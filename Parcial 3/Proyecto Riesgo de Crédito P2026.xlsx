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mue\OneDrive\Desktop\TRABAJO\UNI\8VO SEMESTRE\ADMINISTRACION_RIESGOS\Parcial 3\"/>
    </mc:Choice>
  </mc:AlternateContent>
  <xr:revisionPtr revIDLastSave="0" documentId="8_{C66582AD-8308-4547-885D-36BE4FC21D32}" xr6:coauthVersionLast="47" xr6:coauthVersionMax="47" xr10:uidLastSave="{00000000-0000-0000-0000-000000000000}"/>
  <bookViews>
    <workbookView xWindow="-23148" yWindow="-108" windowWidth="23256" windowHeight="12456" firstSheet="1" activeTab="1" xr2:uid="{CEA01770-20FF-4A55-8AAC-05A44E9C3B65}"/>
  </bookViews>
  <sheets>
    <sheet name="Nombres eq." sheetId="5" r:id="rId1"/>
    <sheet name="datos" sheetId="1" r:id="rId2"/>
    <sheet name="preguntas" sheetId="2" r:id="rId3"/>
    <sheet name="clo" sheetId="3" r:id="rId4"/>
    <sheet name="analysis clo" sheetId="4" r:id="rId5"/>
  </sheets>
  <definedNames>
    <definedName name="_xlnm._FilterDatabase" localSheetId="1" hidden="1">datos!$A$1:$H$1043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9" i="2" l="1"/>
  <c r="C10" i="2"/>
  <c r="G27" i="2"/>
  <c r="G26" i="2"/>
  <c r="E67" i="2"/>
  <c r="C70" i="2"/>
  <c r="F71" i="2"/>
  <c r="C72" i="2"/>
  <c r="F70" i="2" s="1"/>
  <c r="F74" i="2" s="1"/>
  <c r="C76" i="2"/>
  <c r="C59" i="2"/>
  <c r="C61" i="2" s="1"/>
  <c r="F59" i="2" s="1"/>
  <c r="F63" i="2" s="1"/>
  <c r="C41" i="2"/>
  <c r="F60" i="2"/>
  <c r="F7" i="4"/>
  <c r="F8" i="4" s="1"/>
  <c r="F9" i="4" s="1"/>
  <c r="F10" i="4"/>
  <c r="F11" i="4" s="1"/>
  <c r="F12" i="4" s="1"/>
  <c r="F13" i="4" s="1"/>
  <c r="F14" i="4"/>
  <c r="F15" i="4" s="1"/>
  <c r="F16" i="4" s="1"/>
  <c r="F17" i="4" s="1"/>
  <c r="F18" i="4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6" i="4"/>
  <c r="F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5" i="4"/>
  <c r="D5" i="4" a="1"/>
  <c r="D5" i="4" s="1"/>
  <c r="D7" i="4"/>
  <c r="D8" i="4"/>
  <c r="D11" i="4"/>
  <c r="D12" i="4"/>
  <c r="D15" i="4"/>
  <c r="D16" i="4"/>
  <c r="D19" i="4"/>
  <c r="D20" i="4"/>
  <c r="D23" i="4"/>
  <c r="D24" i="4"/>
  <c r="D27" i="4"/>
  <c r="D28" i="4"/>
  <c r="D31" i="4"/>
  <c r="D32" i="4"/>
  <c r="D35" i="4"/>
  <c r="D36" i="4"/>
  <c r="D39" i="4"/>
  <c r="D40" i="4"/>
  <c r="D43" i="4"/>
  <c r="D44" i="4"/>
  <c r="D46" i="4"/>
  <c r="D47" i="4"/>
  <c r="D48" i="4"/>
  <c r="D50" i="4"/>
  <c r="D51" i="4"/>
  <c r="D52" i="4"/>
  <c r="D54" i="4"/>
  <c r="D55" i="4"/>
  <c r="D56" i="4"/>
  <c r="D58" i="4"/>
  <c r="D59" i="4"/>
  <c r="D60" i="4"/>
  <c r="D62" i="4"/>
  <c r="D63" i="4"/>
  <c r="D64" i="4"/>
  <c r="D66" i="4"/>
  <c r="D67" i="4"/>
  <c r="D68" i="4"/>
  <c r="D70" i="4"/>
  <c r="D71" i="4"/>
  <c r="D72" i="4"/>
  <c r="D74" i="4"/>
  <c r="D75" i="4"/>
  <c r="D76" i="4"/>
  <c r="D78" i="4"/>
  <c r="D79" i="4"/>
  <c r="D80" i="4"/>
  <c r="D82" i="4"/>
  <c r="D83" i="4"/>
  <c r="D84" i="4"/>
  <c r="D86" i="4"/>
  <c r="D87" i="4"/>
  <c r="D88" i="4"/>
  <c r="D90" i="4"/>
  <c r="D91" i="4"/>
  <c r="D92" i="4"/>
  <c r="D94" i="4"/>
  <c r="D95" i="4"/>
  <c r="D96" i="4"/>
  <c r="D98" i="4"/>
  <c r="D99" i="4"/>
  <c r="D100" i="4"/>
  <c r="D102" i="4"/>
  <c r="D103" i="4"/>
  <c r="D104" i="4"/>
  <c r="D106" i="4"/>
  <c r="D107" i="4"/>
  <c r="D108" i="4"/>
  <c r="D110" i="4"/>
  <c r="D111" i="4"/>
  <c r="D112" i="4"/>
  <c r="D114" i="4"/>
  <c r="D115" i="4"/>
  <c r="D116" i="4"/>
  <c r="D118" i="4"/>
  <c r="D119" i="4"/>
  <c r="D120" i="4"/>
  <c r="D122" i="4"/>
  <c r="D123" i="4"/>
  <c r="D124" i="4"/>
  <c r="D126" i="4"/>
  <c r="D127" i="4"/>
  <c r="D128" i="4"/>
  <c r="D130" i="4"/>
  <c r="D131" i="4"/>
  <c r="D132" i="4"/>
  <c r="D134" i="4"/>
  <c r="D135" i="4"/>
  <c r="D136" i="4"/>
  <c r="D138" i="4"/>
  <c r="D139" i="4"/>
  <c r="D140" i="4"/>
  <c r="D142" i="4"/>
  <c r="D143" i="4"/>
  <c r="D144" i="4"/>
  <c r="D146" i="4"/>
  <c r="D147" i="4"/>
  <c r="D148" i="4"/>
  <c r="D150" i="4"/>
  <c r="D151" i="4"/>
  <c r="D152" i="4"/>
  <c r="D154" i="4"/>
  <c r="D155" i="4"/>
  <c r="D156" i="4"/>
  <c r="D158" i="4"/>
  <c r="D159" i="4"/>
  <c r="D160" i="4"/>
  <c r="D162" i="4"/>
  <c r="D163" i="4"/>
  <c r="D164" i="4"/>
  <c r="D166" i="4"/>
  <c r="D167" i="4"/>
  <c r="D168" i="4"/>
  <c r="D170" i="4"/>
  <c r="D171" i="4"/>
  <c r="D172" i="4"/>
  <c r="D174" i="4"/>
  <c r="D175" i="4"/>
  <c r="D176" i="4"/>
  <c r="D178" i="4"/>
  <c r="D179" i="4"/>
  <c r="D180" i="4"/>
  <c r="D182" i="4"/>
  <c r="D183" i="4"/>
  <c r="D184" i="4"/>
  <c r="D186" i="4"/>
  <c r="D187" i="4"/>
  <c r="D188" i="4"/>
  <c r="D190" i="4"/>
  <c r="D191" i="4"/>
  <c r="D192" i="4"/>
  <c r="D194" i="4"/>
  <c r="D195" i="4"/>
  <c r="D196" i="4"/>
  <c r="D198" i="4"/>
  <c r="D199" i="4"/>
  <c r="D200" i="4"/>
  <c r="D202" i="4"/>
  <c r="D203" i="4"/>
  <c r="D204" i="4"/>
  <c r="D206" i="4"/>
  <c r="D207" i="4"/>
  <c r="D208" i="4"/>
  <c r="D210" i="4"/>
  <c r="D211" i="4"/>
  <c r="D212" i="4"/>
  <c r="D214" i="4"/>
  <c r="D215" i="4"/>
  <c r="D216" i="4"/>
  <c r="D218" i="4"/>
  <c r="D219" i="4"/>
  <c r="D220" i="4"/>
  <c r="D222" i="4"/>
  <c r="D223" i="4"/>
  <c r="D224" i="4"/>
  <c r="D226" i="4"/>
  <c r="D227" i="4"/>
  <c r="D228" i="4"/>
  <c r="D230" i="4"/>
  <c r="D231" i="4"/>
  <c r="D232" i="4"/>
  <c r="D234" i="4"/>
  <c r="D235" i="4"/>
  <c r="D236" i="4"/>
  <c r="D238" i="4"/>
  <c r="D239" i="4"/>
  <c r="D240" i="4"/>
  <c r="D242" i="4"/>
  <c r="D243" i="4"/>
  <c r="D244" i="4"/>
  <c r="D246" i="4"/>
  <c r="D247" i="4"/>
  <c r="D248" i="4"/>
  <c r="D250" i="4"/>
  <c r="D251" i="4"/>
  <c r="D252" i="4"/>
  <c r="D254" i="4"/>
  <c r="D255" i="4"/>
  <c r="D256" i="4"/>
  <c r="D258" i="4"/>
  <c r="D259" i="4"/>
  <c r="D260" i="4"/>
  <c r="D262" i="4"/>
  <c r="D263" i="4"/>
  <c r="D264" i="4"/>
  <c r="D266" i="4"/>
  <c r="D267" i="4"/>
  <c r="D268" i="4"/>
  <c r="D270" i="4"/>
  <c r="D271" i="4"/>
  <c r="D272" i="4"/>
  <c r="D274" i="4"/>
  <c r="D275" i="4"/>
  <c r="D276" i="4"/>
  <c r="D278" i="4"/>
  <c r="D279" i="4"/>
  <c r="D280" i="4"/>
  <c r="D282" i="4"/>
  <c r="D283" i="4"/>
  <c r="D284" i="4"/>
  <c r="D286" i="4"/>
  <c r="D287" i="4"/>
  <c r="D288" i="4"/>
  <c r="D290" i="4"/>
  <c r="D291" i="4"/>
  <c r="D292" i="4"/>
  <c r="D294" i="4"/>
  <c r="D295" i="4"/>
  <c r="D296" i="4"/>
  <c r="D298" i="4"/>
  <c r="D299" i="4"/>
  <c r="D300" i="4"/>
  <c r="D302" i="4"/>
  <c r="D303" i="4"/>
  <c r="D304" i="4"/>
  <c r="D306" i="4"/>
  <c r="D307" i="4"/>
  <c r="D308" i="4"/>
  <c r="D310" i="4"/>
  <c r="D311" i="4"/>
  <c r="D312" i="4"/>
  <c r="D314" i="4"/>
  <c r="D315" i="4"/>
  <c r="D316" i="4"/>
  <c r="D318" i="4"/>
  <c r="D319" i="4"/>
  <c r="D320" i="4"/>
  <c r="D322" i="4"/>
  <c r="D323" i="4"/>
  <c r="D324" i="4"/>
  <c r="D326" i="4"/>
  <c r="D327" i="4"/>
  <c r="D328" i="4"/>
  <c r="D330" i="4"/>
  <c r="D331" i="4"/>
  <c r="D332" i="4"/>
  <c r="D334" i="4"/>
  <c r="D335" i="4"/>
  <c r="D336" i="4"/>
  <c r="D338" i="4"/>
  <c r="D339" i="4"/>
  <c r="D340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C65" i="2"/>
  <c r="D2" i="4"/>
  <c r="D1" i="4"/>
  <c r="C45" i="2"/>
  <c r="F39" i="2"/>
  <c r="F43" i="2" s="1"/>
  <c r="D716" i="3"/>
  <c r="D132" i="3"/>
  <c r="D200" i="3"/>
  <c r="D278" i="3"/>
  <c r="D550" i="3"/>
  <c r="D523" i="3"/>
  <c r="D702" i="3"/>
  <c r="D872" i="3"/>
  <c r="D561" i="3"/>
  <c r="D9" i="3"/>
  <c r="D531" i="3"/>
  <c r="D46" i="3"/>
  <c r="D421" i="3"/>
  <c r="D135" i="3"/>
  <c r="D119" i="3"/>
  <c r="D320" i="3"/>
  <c r="D795" i="3"/>
  <c r="D537" i="3"/>
  <c r="D856" i="3"/>
  <c r="D105" i="3"/>
  <c r="D481" i="3"/>
  <c r="D393" i="3"/>
  <c r="D672" i="3"/>
  <c r="D619" i="3"/>
  <c r="D137" i="3"/>
  <c r="D214" i="3"/>
  <c r="D883" i="3"/>
  <c r="D257" i="3"/>
  <c r="D469" i="3"/>
  <c r="D211" i="3"/>
  <c r="D576" i="3"/>
  <c r="D710" i="3"/>
  <c r="D66" i="3"/>
  <c r="D136" i="3"/>
  <c r="D519" i="3"/>
  <c r="D422" i="3"/>
  <c r="D1039" i="3"/>
  <c r="D287" i="3"/>
  <c r="D774" i="3"/>
  <c r="D90" i="3"/>
  <c r="D859" i="3"/>
  <c r="D700" i="3"/>
  <c r="D603" i="3"/>
  <c r="D706" i="3"/>
  <c r="D933" i="3"/>
  <c r="D1019" i="3"/>
  <c r="D674" i="3"/>
  <c r="D120" i="3"/>
  <c r="D138" i="3"/>
  <c r="D203" i="3"/>
  <c r="D219" i="3"/>
  <c r="D928" i="3"/>
  <c r="D236" i="3"/>
  <c r="D984" i="3"/>
  <c r="D869" i="3"/>
  <c r="D782" i="3"/>
  <c r="D586" i="3"/>
  <c r="D361" i="3"/>
  <c r="D577" i="3"/>
  <c r="D840" i="3"/>
  <c r="D283" i="3"/>
  <c r="D284" i="3"/>
  <c r="D798" i="3"/>
  <c r="D682" i="3"/>
  <c r="D992" i="3"/>
  <c r="D198" i="3"/>
  <c r="D70" i="3"/>
  <c r="D270" i="3"/>
  <c r="D192" i="3"/>
  <c r="D920" i="3"/>
  <c r="D390" i="3"/>
  <c r="D384" i="3"/>
  <c r="D374" i="3"/>
  <c r="D924" i="3"/>
  <c r="D327" i="3"/>
  <c r="D14" i="3"/>
  <c r="D532" i="3"/>
  <c r="D834" i="3"/>
  <c r="D445" i="3"/>
  <c r="D328" i="3"/>
  <c r="D215" i="3"/>
  <c r="D279" i="3"/>
  <c r="D520" i="3"/>
  <c r="D4" i="3"/>
  <c r="D323" i="3"/>
  <c r="D376" i="3"/>
  <c r="D918" i="3"/>
  <c r="D362" i="3"/>
  <c r="D582" i="3"/>
  <c r="D818" i="3"/>
  <c r="D155" i="3"/>
  <c r="D78" i="3"/>
  <c r="D15" i="3"/>
  <c r="D193" i="3"/>
  <c r="D10" i="3"/>
  <c r="D39" i="3"/>
  <c r="D266" i="3"/>
  <c r="D687" i="3"/>
  <c r="D369" i="3"/>
  <c r="D1005" i="3"/>
  <c r="D410" i="3"/>
  <c r="D617" i="3"/>
  <c r="D824" i="3"/>
  <c r="D33" i="3"/>
  <c r="D30" i="3"/>
  <c r="D701" i="3"/>
  <c r="D759" i="3"/>
  <c r="D732" i="3"/>
  <c r="D267" i="3"/>
  <c r="D538" i="3"/>
  <c r="D2" i="3"/>
  <c r="D735" i="3"/>
  <c r="D111" i="3"/>
  <c r="D857" i="3"/>
  <c r="D777" i="3"/>
  <c r="D940" i="3"/>
  <c r="D508" i="3"/>
  <c r="D1003" i="3"/>
  <c r="D884" i="3"/>
  <c r="D54" i="3"/>
  <c r="D803" i="3"/>
  <c r="D944" i="3"/>
  <c r="D807" i="3"/>
  <c r="D837" i="3"/>
  <c r="D237" i="3"/>
  <c r="D843" i="3"/>
  <c r="D637" i="3"/>
  <c r="D306" i="3"/>
  <c r="D473" i="3"/>
  <c r="D799" i="3"/>
  <c r="D63" i="3"/>
  <c r="D526" i="3"/>
  <c r="D258" i="3"/>
  <c r="D423" i="3"/>
  <c r="D853" i="3"/>
  <c r="D686" i="3"/>
  <c r="D96" i="3"/>
  <c r="D769" i="3"/>
  <c r="D562" i="3"/>
  <c r="D915" i="3"/>
  <c r="D723" i="3"/>
  <c r="D697" i="3"/>
  <c r="D405" i="3"/>
  <c r="D901" i="3"/>
  <c r="D207" i="3"/>
  <c r="D260" i="3"/>
  <c r="D509" i="3"/>
  <c r="D329" i="3"/>
  <c r="D175" i="3"/>
  <c r="D503" i="3"/>
  <c r="D302" i="3"/>
  <c r="D490" i="3"/>
  <c r="D446" i="3"/>
  <c r="D605" i="3"/>
  <c r="D972" i="3"/>
  <c r="D620" i="3"/>
  <c r="D252" i="3"/>
  <c r="D404" i="3"/>
  <c r="D724" i="3"/>
  <c r="D790" i="3"/>
  <c r="D100" i="3"/>
  <c r="D593" i="3"/>
  <c r="D244" i="3"/>
  <c r="D400" i="3"/>
  <c r="D907" i="3"/>
  <c r="D144" i="3"/>
  <c r="D487" i="3"/>
  <c r="D397" i="3"/>
  <c r="D165" i="3"/>
  <c r="D326" i="3"/>
  <c r="D1040" i="3"/>
  <c r="D921" i="3"/>
  <c r="D860" i="3"/>
  <c r="D958" i="3"/>
  <c r="D463" i="3"/>
  <c r="D339" i="3"/>
  <c r="D484" i="3"/>
  <c r="D163" i="3"/>
  <c r="D185" i="3"/>
  <c r="D21" i="3"/>
  <c r="D332" i="3"/>
  <c r="D162" i="3"/>
  <c r="D212" i="3"/>
  <c r="D123" i="3"/>
  <c r="D196" i="3"/>
  <c r="D711" i="3"/>
  <c r="D925" i="3"/>
  <c r="D441" i="3"/>
  <c r="D815" i="3"/>
  <c r="D553" i="3"/>
  <c r="D223" i="3"/>
  <c r="D201" i="3"/>
  <c r="D28" i="3"/>
  <c r="D825" i="3"/>
  <c r="D465" i="3"/>
  <c r="D307" i="3"/>
  <c r="D597" i="3"/>
  <c r="D190" i="3"/>
  <c r="D285" i="3"/>
  <c r="D908" i="3"/>
  <c r="D216" i="3"/>
  <c r="D156" i="3"/>
  <c r="D524" i="3"/>
  <c r="D25" i="3"/>
  <c r="D88" i="3"/>
  <c r="D563" i="3"/>
  <c r="D575" i="3"/>
  <c r="D485" i="3"/>
  <c r="D961" i="3"/>
  <c r="D253" i="3"/>
  <c r="D48" i="3"/>
  <c r="D387" i="3"/>
  <c r="D1009" i="3"/>
  <c r="D438" i="3"/>
  <c r="D319" i="3"/>
  <c r="D899" i="3"/>
  <c r="D34" i="3"/>
  <c r="D890" i="3"/>
  <c r="D740" i="3"/>
  <c r="D935" i="3"/>
  <c r="D695" i="3"/>
  <c r="D628" i="3"/>
  <c r="D288" i="3"/>
  <c r="D286" i="3"/>
  <c r="D876" i="3"/>
  <c r="D470" i="3"/>
  <c r="D988" i="3"/>
  <c r="D873" i="3"/>
  <c r="D719" i="3"/>
  <c r="D29" i="3"/>
  <c r="D1041" i="3"/>
  <c r="D591" i="3"/>
  <c r="D746" i="3"/>
  <c r="D506" i="3"/>
  <c r="D108" i="3"/>
  <c r="D385" i="3"/>
  <c r="D133" i="3"/>
  <c r="D408" i="3"/>
  <c r="D139" i="3"/>
  <c r="D1018" i="3"/>
  <c r="D204" i="3"/>
  <c r="D669" i="3"/>
  <c r="D127" i="3"/>
  <c r="D725" i="3"/>
  <c r="D533" i="3"/>
  <c r="D459" i="3"/>
  <c r="D592" i="3"/>
  <c r="D324" i="3"/>
  <c r="D466" i="3"/>
  <c r="D829" i="3"/>
  <c r="D349" i="3"/>
  <c r="D55" i="3"/>
  <c r="D892" i="3"/>
  <c r="D317" i="3"/>
  <c r="D433" i="3"/>
  <c r="D568" i="3"/>
  <c r="D161" i="3"/>
  <c r="D980" i="3"/>
  <c r="D800" i="3"/>
  <c r="D977" i="3"/>
  <c r="D68" i="3"/>
  <c r="D665" i="3"/>
  <c r="D5" i="3"/>
  <c r="D645" i="3"/>
  <c r="D343" i="3"/>
  <c r="D413" i="3"/>
  <c r="D903" i="3"/>
  <c r="D442" i="3"/>
  <c r="D642" i="3"/>
  <c r="D874" i="3"/>
  <c r="D157" i="3"/>
  <c r="D254" i="3"/>
  <c r="D683" i="3"/>
  <c r="D427" i="3"/>
  <c r="D844" i="3"/>
  <c r="D124" i="3"/>
  <c r="D412" i="3"/>
  <c r="D638" i="3"/>
  <c r="D830" i="3"/>
  <c r="D527" i="3"/>
  <c r="D870" i="3"/>
  <c r="D826" i="3"/>
  <c r="D308" i="3"/>
  <c r="D864" i="3"/>
  <c r="D690" i="3"/>
  <c r="D336" i="3"/>
  <c r="D1006" i="3"/>
  <c r="D741" i="3"/>
  <c r="D579" i="3"/>
  <c r="D831" i="3"/>
  <c r="D962" i="3"/>
  <c r="D659" i="3"/>
  <c r="D91" i="3"/>
  <c r="D953" i="3"/>
  <c r="D191" i="3"/>
  <c r="D337" i="3"/>
  <c r="D909" i="3"/>
  <c r="D910" i="3"/>
  <c r="D989" i="3"/>
  <c r="D760" i="3"/>
  <c r="D557" i="3"/>
  <c r="D841" i="3"/>
  <c r="D401" i="3"/>
  <c r="D847" i="3"/>
  <c r="D551" i="3"/>
  <c r="D249" i="3"/>
  <c r="D626" i="3"/>
  <c r="D346" i="3"/>
  <c r="D112" i="3"/>
  <c r="D394" i="3"/>
  <c r="D94" i="3"/>
  <c r="D255" i="3"/>
  <c r="D333" i="3"/>
  <c r="D391" i="3"/>
  <c r="D854" i="3"/>
  <c r="D197" i="3"/>
  <c r="D334" i="3"/>
  <c r="D959" i="3"/>
  <c r="D486" i="3"/>
  <c r="D861" i="3"/>
  <c r="D116" i="3"/>
  <c r="D83" i="3"/>
  <c r="D232" i="3"/>
  <c r="D6" i="3"/>
  <c r="D877" i="3"/>
  <c r="D81" i="3"/>
  <c r="D766" i="3"/>
  <c r="D775" i="3"/>
  <c r="D261" i="3"/>
  <c r="D584" i="3"/>
  <c r="D650" i="3"/>
  <c r="D954" i="3"/>
  <c r="D69" i="3"/>
  <c r="D67" i="3"/>
  <c r="D916" i="3"/>
  <c r="D268" i="3"/>
  <c r="D440" i="3"/>
  <c r="D113" i="3"/>
  <c r="D11" i="3"/>
  <c r="D460" i="3"/>
  <c r="D796" i="3"/>
  <c r="D424" i="3"/>
  <c r="D718" i="3"/>
  <c r="D205" i="3"/>
  <c r="D510" i="3"/>
  <c r="D176" i="3"/>
  <c r="D59" i="3"/>
  <c r="D904" i="3"/>
  <c r="D941" i="3"/>
  <c r="D835" i="3"/>
  <c r="D525" i="3"/>
  <c r="D994" i="3"/>
  <c r="D885" i="3"/>
  <c r="D963" i="3"/>
  <c r="D474" i="3"/>
  <c r="D515" i="3"/>
  <c r="D673" i="3"/>
  <c r="D761" i="3"/>
  <c r="D548" i="3"/>
  <c r="D788" i="3"/>
  <c r="D778" i="3"/>
  <c r="D382" i="3"/>
  <c r="D736" i="3"/>
  <c r="D309" i="3"/>
  <c r="D106" i="3"/>
  <c r="D273" i="3"/>
  <c r="D720" i="3"/>
  <c r="D335" i="3"/>
  <c r="D671" i="3"/>
  <c r="D166" i="3"/>
  <c r="D675" i="3"/>
  <c r="D922" i="3"/>
  <c r="D238" i="3"/>
  <c r="D128" i="3"/>
  <c r="D511" i="3"/>
  <c r="D1023" i="3"/>
  <c r="D633" i="3"/>
  <c r="D488" i="3"/>
  <c r="D651" i="3"/>
  <c r="D868" i="3"/>
  <c r="D558" i="3"/>
  <c r="D451" i="3"/>
  <c r="D340" i="3"/>
  <c r="D419" i="3"/>
  <c r="D452" i="3"/>
  <c r="D747" i="3"/>
  <c r="D379" i="3"/>
  <c r="D1010" i="3"/>
  <c r="D534" i="3"/>
  <c r="D886" i="3"/>
  <c r="D555" i="3"/>
  <c r="D726" i="3"/>
  <c r="D820" i="3"/>
  <c r="D97" i="3"/>
  <c r="D179" i="3"/>
  <c r="D875" i="3"/>
  <c r="D753" i="3"/>
  <c r="D703" i="3"/>
  <c r="D239" i="3"/>
  <c r="D970" i="3"/>
  <c r="D845" i="3"/>
  <c r="D762" i="3"/>
  <c r="D1020" i="3"/>
  <c r="D303" i="3"/>
  <c r="D482" i="3"/>
  <c r="D691" i="3"/>
  <c r="D821" i="3"/>
  <c r="D52" i="3"/>
  <c r="D101" i="3"/>
  <c r="D540" i="3"/>
  <c r="D140" i="3"/>
  <c r="D621" i="3"/>
  <c r="D467" i="3"/>
  <c r="D297" i="3"/>
  <c r="D375" i="3"/>
  <c r="D121" i="3"/>
  <c r="D569" i="3"/>
  <c r="D234" i="3"/>
  <c r="D643" i="3"/>
  <c r="D931" i="3"/>
  <c r="D262" i="3"/>
  <c r="D744" i="3"/>
  <c r="D721" i="3"/>
  <c r="D73" i="3"/>
  <c r="D483" i="3"/>
  <c r="D141" i="3"/>
  <c r="D365" i="3"/>
  <c r="D406" i="3"/>
  <c r="D974" i="3"/>
  <c r="D754" i="3"/>
  <c r="D36" i="3"/>
  <c r="D315" i="3"/>
  <c r="D187" i="3"/>
  <c r="D507" i="3"/>
  <c r="D22" i="3"/>
  <c r="D250" i="3"/>
  <c r="D373" i="3"/>
  <c r="D749" i="3"/>
  <c r="D71" i="3"/>
  <c r="D60" i="3"/>
  <c r="D455" i="3"/>
  <c r="D649" i="3"/>
  <c r="D114" i="3"/>
  <c r="D712" i="3"/>
  <c r="D183" i="3"/>
  <c r="D263" i="3"/>
  <c r="D228" i="3"/>
  <c r="D1007" i="3"/>
  <c r="D891" i="3"/>
  <c r="D347" i="3"/>
  <c r="D783" i="3"/>
  <c r="D773" i="3"/>
  <c r="D171" i="3"/>
  <c r="D648" i="3"/>
  <c r="D491" i="3"/>
  <c r="D478" i="3"/>
  <c r="D143" i="3"/>
  <c r="D808" i="3"/>
  <c r="D74" i="3"/>
  <c r="D37" i="3"/>
  <c r="D964" i="3"/>
  <c r="D388" i="3"/>
  <c r="D199" i="3"/>
  <c r="D757" i="3"/>
  <c r="D102" i="3"/>
  <c r="D764" i="3"/>
  <c r="D56" i="3"/>
  <c r="D86" i="3"/>
  <c r="D609" i="3"/>
  <c r="D692" i="3"/>
  <c r="D978" i="3"/>
  <c r="D158" i="3"/>
  <c r="D304" i="3"/>
  <c r="D999" i="3"/>
  <c r="D479" i="3"/>
  <c r="D816" i="3"/>
  <c r="D516" i="3"/>
  <c r="D363" i="3"/>
  <c r="D126" i="3"/>
  <c r="D210" i="3"/>
  <c r="D572" i="3"/>
  <c r="D1013" i="3"/>
  <c r="D765" i="3"/>
  <c r="D917" i="3"/>
  <c r="D392" i="3"/>
  <c r="D809" i="3"/>
  <c r="D934" i="3"/>
  <c r="D887" i="3"/>
  <c r="D606" i="3"/>
  <c r="D246" i="3"/>
  <c r="D429" i="3"/>
  <c r="D781" i="3"/>
  <c r="D411" i="3"/>
  <c r="D471" i="3"/>
  <c r="D16" i="3"/>
  <c r="D240" i="3"/>
  <c r="D684" i="3"/>
  <c r="D965" i="3"/>
  <c r="D541" i="3"/>
  <c r="D383" i="3"/>
  <c r="D693" i="3"/>
  <c r="D1011" i="3"/>
  <c r="D356" i="3"/>
  <c r="D26" i="3"/>
  <c r="D169" i="3"/>
  <c r="D784" i="3"/>
  <c r="D172" i="3"/>
  <c r="D792" i="3"/>
  <c r="D380" i="3"/>
  <c r="D966" i="3"/>
  <c r="D713" i="3"/>
  <c r="D822" i="3"/>
  <c r="D985" i="3"/>
  <c r="D661" i="3"/>
  <c r="D188" i="3"/>
  <c r="D889" i="3"/>
  <c r="D578" i="3"/>
  <c r="D448" i="3"/>
  <c r="D353" i="3"/>
  <c r="D280" i="3"/>
  <c r="D12" i="3"/>
  <c r="D256" i="3"/>
  <c r="D936" i="3"/>
  <c r="D1042" i="3"/>
  <c r="D717" i="3"/>
  <c r="D827" i="3"/>
  <c r="D998" i="3"/>
  <c r="D31" i="3"/>
  <c r="D878" i="3"/>
  <c r="D79" i="3"/>
  <c r="D627" i="3"/>
  <c r="D1004" i="3"/>
  <c r="D791" i="3"/>
  <c r="D32" i="3"/>
  <c r="D122" i="3"/>
  <c r="D893" i="3"/>
  <c r="D241" i="3"/>
  <c r="D731" i="3"/>
  <c r="D330" i="3"/>
  <c r="D18" i="3"/>
  <c r="D504" i="3"/>
  <c r="D224" i="3"/>
  <c r="D981" i="3"/>
  <c r="D414" i="3"/>
  <c r="D804" i="3"/>
  <c r="D681" i="3"/>
  <c r="D927" i="3"/>
  <c r="D318" i="3"/>
  <c r="D409" i="3"/>
  <c r="D660" i="3"/>
  <c r="D949" i="3"/>
  <c r="D495" i="3"/>
  <c r="D377" i="3"/>
  <c r="D57" i="3"/>
  <c r="D615" i="3"/>
  <c r="D312" i="3"/>
  <c r="D462" i="3"/>
  <c r="D897" i="3"/>
  <c r="D750" i="3"/>
  <c r="D398" i="3"/>
  <c r="D601" i="3"/>
  <c r="D456" i="3"/>
  <c r="D779" i="3"/>
  <c r="D594" i="3"/>
  <c r="D610" i="3"/>
  <c r="D564" i="3"/>
  <c r="D801" i="3"/>
  <c r="D350" i="3"/>
  <c r="D492" i="3"/>
  <c r="D1031" i="3"/>
  <c r="D1025" i="3"/>
  <c r="D678" i="3"/>
  <c r="D838" i="3"/>
  <c r="D565" i="3"/>
  <c r="D727" i="3"/>
  <c r="D264" i="3"/>
  <c r="D359" i="3"/>
  <c r="D274" i="3"/>
  <c r="D848" i="3"/>
  <c r="D542" i="3"/>
  <c r="D983" i="3"/>
  <c r="D780" i="3"/>
  <c r="D117" i="3"/>
  <c r="D145" i="3"/>
  <c r="D281" i="3"/>
  <c r="D770" i="3"/>
  <c r="D707" i="3"/>
  <c r="D47" i="3"/>
  <c r="D559" i="3"/>
  <c r="D755" i="3"/>
  <c r="D662" i="3"/>
  <c r="D58" i="3"/>
  <c r="D1034" i="3"/>
  <c r="D357" i="3"/>
  <c r="D1032" i="3"/>
  <c r="D44" i="3"/>
  <c r="D407" i="3"/>
  <c r="D498" i="3"/>
  <c r="D694" i="3"/>
  <c r="D810" i="3"/>
  <c r="D611" i="3"/>
  <c r="D836" i="3"/>
  <c r="D655" i="3"/>
  <c r="D415" i="3"/>
  <c r="D987" i="3"/>
  <c r="D146" i="3"/>
  <c r="D805" i="3"/>
  <c r="D325" i="3"/>
  <c r="D1002" i="3"/>
  <c r="D1026" i="3"/>
  <c r="D84" i="3"/>
  <c r="D995" i="3"/>
  <c r="D229" i="3"/>
  <c r="D785" i="3"/>
  <c r="D501" i="3"/>
  <c r="D646" i="3"/>
  <c r="D209" i="3"/>
  <c r="D528" i="3"/>
  <c r="D652" i="3"/>
  <c r="D41" i="3"/>
  <c r="D189" i="3"/>
  <c r="D177" i="3"/>
  <c r="D905" i="3"/>
  <c r="D745" i="3"/>
  <c r="D986" i="3"/>
  <c r="D529" i="3"/>
  <c r="D434" i="3"/>
  <c r="D80" i="3"/>
  <c r="D449" i="3"/>
  <c r="D19" i="3"/>
  <c r="D103" i="3"/>
  <c r="D35" i="3"/>
  <c r="D290" i="3"/>
  <c r="D828" i="3"/>
  <c r="D598" i="3"/>
  <c r="D982" i="3"/>
  <c r="D72" i="3"/>
  <c r="D351" i="3"/>
  <c r="D543" i="3"/>
  <c r="D208" i="3"/>
  <c r="D437" i="3"/>
  <c r="D104" i="3"/>
  <c r="D771" i="3"/>
  <c r="D418" i="3"/>
  <c r="D167" i="3"/>
  <c r="D20" i="3"/>
  <c r="D813" i="3"/>
  <c r="D1008" i="3"/>
  <c r="D862" i="3"/>
  <c r="D366" i="3"/>
  <c r="D493" i="3"/>
  <c r="D544" i="3"/>
  <c r="D911" i="3"/>
  <c r="D152" i="3"/>
  <c r="D871" i="3"/>
  <c r="D118" i="3"/>
  <c r="D225" i="3"/>
  <c r="D570" i="3"/>
  <c r="D679" i="3"/>
  <c r="D360" i="3"/>
  <c r="D425" i="3"/>
  <c r="D663" i="3"/>
  <c r="D955" i="3"/>
  <c r="D730" i="3"/>
  <c r="D496" i="3"/>
  <c r="D521" i="3"/>
  <c r="D656" i="3"/>
  <c r="D265" i="3"/>
  <c r="D677" i="3"/>
  <c r="D704" i="3"/>
  <c r="D344" i="3"/>
  <c r="D206" i="3"/>
  <c r="D763" i="3"/>
  <c r="D560" i="3"/>
  <c r="D92" i="3"/>
  <c r="D50" i="3"/>
  <c r="D49" i="3"/>
  <c r="D585" i="3"/>
  <c r="D587" i="3"/>
  <c r="D849" i="3"/>
  <c r="D150" i="3"/>
  <c r="D461" i="3"/>
  <c r="D629" i="3"/>
  <c r="D1024" i="3"/>
  <c r="D728" i="3"/>
  <c r="D338" i="3"/>
  <c r="D722" i="3"/>
  <c r="D793" i="3"/>
  <c r="D588" i="3"/>
  <c r="D806" i="3"/>
  <c r="D186" i="3"/>
  <c r="D226" i="3"/>
  <c r="D497" i="3"/>
  <c r="D913" i="3"/>
  <c r="D945" i="3"/>
  <c r="D352" i="3"/>
  <c r="D354" i="3"/>
  <c r="D630" i="3"/>
  <c r="D420" i="3"/>
  <c r="D159" i="3"/>
  <c r="D698" i="3"/>
  <c r="D708" i="3"/>
  <c r="D476" i="3"/>
  <c r="D447" i="3"/>
  <c r="D535" i="3"/>
  <c r="D647" i="3"/>
  <c r="D657" i="3"/>
  <c r="D293" i="3"/>
  <c r="D814" i="3"/>
  <c r="D1014" i="3"/>
  <c r="D589" i="3"/>
  <c r="D866" i="3"/>
  <c r="D130" i="3"/>
  <c r="D912" i="3"/>
  <c r="D291" i="3"/>
  <c r="D395" i="3"/>
  <c r="D937" i="3"/>
  <c r="D160" i="3"/>
  <c r="D688" i="3"/>
  <c r="D737" i="3"/>
  <c r="D499" i="3"/>
  <c r="D951" i="3"/>
  <c r="D902" i="3"/>
  <c r="D612" i="3"/>
  <c r="D301" i="3"/>
  <c r="D914" i="3"/>
  <c r="D607" i="3"/>
  <c r="D634" i="3"/>
  <c r="D839" i="3"/>
  <c r="D443" i="3"/>
  <c r="D370" i="3"/>
  <c r="D247" i="3"/>
  <c r="D480" i="3"/>
  <c r="D358" i="3"/>
  <c r="D435" i="3"/>
  <c r="D748" i="3"/>
  <c r="D305" i="3"/>
  <c r="D1017" i="3"/>
  <c r="D502" i="3"/>
  <c r="D894" i="3"/>
  <c r="D581" i="3"/>
  <c r="D738" i="3"/>
  <c r="D371" i="3"/>
  <c r="D1028" i="3"/>
  <c r="D147" i="3"/>
  <c r="D549" i="3"/>
  <c r="D298" i="3"/>
  <c r="D23" i="3"/>
  <c r="D248" i="3"/>
  <c r="D545" i="3"/>
  <c r="D299" i="3"/>
  <c r="D178" i="3"/>
  <c r="D863" i="3"/>
  <c r="D272" i="3"/>
  <c r="D715" i="3"/>
  <c r="D948" i="3"/>
  <c r="D742" i="3"/>
  <c r="D505" i="3"/>
  <c r="D1027" i="3"/>
  <c r="D819" i="3"/>
  <c r="D573" i="3"/>
  <c r="D666" i="3"/>
  <c r="D979" i="3"/>
  <c r="D27" i="3"/>
  <c r="D929" i="3"/>
  <c r="D220" i="3"/>
  <c r="D667" i="3"/>
  <c r="D751" i="3"/>
  <c r="D517" i="3"/>
  <c r="D743" i="3"/>
  <c r="D1037" i="3"/>
  <c r="D194" i="3"/>
  <c r="D89" i="3"/>
  <c r="D450" i="3"/>
  <c r="D595" i="3"/>
  <c r="D389" i="3"/>
  <c r="D734" i="3"/>
  <c r="D898" i="3"/>
  <c r="D624" i="3"/>
  <c r="D842" i="3"/>
  <c r="D61" i="3"/>
  <c r="D789" i="3"/>
  <c r="D942" i="3"/>
  <c r="D680" i="3"/>
  <c r="D794" i="3"/>
  <c r="D222" i="3"/>
  <c r="D275" i="3"/>
  <c r="D170" i="3"/>
  <c r="D758" i="3"/>
  <c r="D1015" i="3"/>
  <c r="D235" i="3"/>
  <c r="D444" i="3"/>
  <c r="D180" i="3"/>
  <c r="D552" i="3"/>
  <c r="D148" i="3"/>
  <c r="D313" i="3"/>
  <c r="D115" i="3"/>
  <c r="D227" i="3"/>
  <c r="D40" i="3"/>
  <c r="D709" i="3"/>
  <c r="D87" i="3"/>
  <c r="D975" i="3"/>
  <c r="D997" i="3"/>
  <c r="D881" i="3"/>
  <c r="D990" i="3"/>
  <c r="D416" i="3"/>
  <c r="D184" i="3"/>
  <c r="D345" i="3"/>
  <c r="D996" i="3"/>
  <c r="D430" i="3"/>
  <c r="D653" i="3"/>
  <c r="D181" i="3"/>
  <c r="D865" i="3"/>
  <c r="D142" i="3"/>
  <c r="D658" i="3"/>
  <c r="D62" i="3"/>
  <c r="D457" i="3"/>
  <c r="D242" i="3"/>
  <c r="D439" i="3"/>
  <c r="D245" i="3"/>
  <c r="D1012" i="3"/>
  <c r="D294" i="3"/>
  <c r="D45" i="3"/>
  <c r="D230" i="3"/>
  <c r="D475" i="3"/>
  <c r="D919" i="3"/>
  <c r="D772" i="3"/>
  <c r="D173" i="3"/>
  <c r="D300" i="3"/>
  <c r="D125" i="3"/>
  <c r="D664" i="3"/>
  <c r="D381" i="3"/>
  <c r="D938" i="3"/>
  <c r="D685" i="3"/>
  <c r="D436" i="3"/>
  <c r="D1038" i="3"/>
  <c r="D1033" i="3"/>
  <c r="D654" i="3"/>
  <c r="D639" i="3"/>
  <c r="D900" i="3"/>
  <c r="D943" i="3"/>
  <c r="D202" i="3"/>
  <c r="D458" i="3"/>
  <c r="D602" i="3"/>
  <c r="D251" i="3"/>
  <c r="D776" i="3"/>
  <c r="D231" i="3"/>
  <c r="D512" i="3"/>
  <c r="D98" i="3"/>
  <c r="D426" i="3"/>
  <c r="D372" i="3"/>
  <c r="D696" i="3"/>
  <c r="D514" i="3"/>
  <c r="D310" i="3"/>
  <c r="D289" i="3"/>
  <c r="D811" i="3"/>
  <c r="D213" i="3"/>
  <c r="D556" i="3"/>
  <c r="D331" i="3"/>
  <c r="D93" i="3"/>
  <c r="D276" i="3"/>
  <c r="D42" i="3"/>
  <c r="D417" i="3"/>
  <c r="D858" i="3"/>
  <c r="D971" i="3"/>
  <c r="D668" i="3"/>
  <c r="D952" i="3"/>
  <c r="D149" i="3"/>
  <c r="D464" i="3"/>
  <c r="D855" i="3"/>
  <c r="D888" i="3"/>
  <c r="D3" i="3"/>
  <c r="D608" i="3"/>
  <c r="D282" i="3"/>
  <c r="D967" i="3"/>
  <c r="D341" i="3"/>
  <c r="D968" i="3"/>
  <c r="D151" i="3"/>
  <c r="D817" i="3"/>
  <c r="D522" i="3"/>
  <c r="D1022" i="3"/>
  <c r="D729" i="3"/>
  <c r="D823" i="3"/>
  <c r="D13" i="3"/>
  <c r="D973" i="3"/>
  <c r="D976" i="3"/>
  <c r="D991" i="3"/>
  <c r="D969" i="3"/>
  <c r="D689" i="3"/>
  <c r="D153" i="3"/>
  <c r="D477" i="3"/>
  <c r="D705" i="3"/>
  <c r="D635" i="3"/>
  <c r="D536" i="3"/>
  <c r="D367" i="3"/>
  <c r="D24" i="3"/>
  <c r="D640" i="3"/>
  <c r="D676" i="3"/>
  <c r="D168" i="3"/>
  <c r="D752" i="3"/>
  <c r="D431" i="3"/>
  <c r="D600" i="3"/>
  <c r="D923" i="3"/>
  <c r="D402" i="3"/>
  <c r="D295" i="3"/>
  <c r="D867" i="3"/>
  <c r="D846" i="3"/>
  <c r="D134" i="3"/>
  <c r="D956" i="3"/>
  <c r="D539" i="3"/>
  <c r="D644" i="3"/>
  <c r="D348" i="3"/>
  <c r="D468" i="3"/>
  <c r="D109" i="3"/>
  <c r="D733" i="3"/>
  <c r="D489" i="3"/>
  <c r="D95" i="3"/>
  <c r="D277" i="3"/>
  <c r="D259" i="3"/>
  <c r="D269" i="3"/>
  <c r="D321" i="3"/>
  <c r="D832" i="3"/>
  <c r="D802" i="3"/>
  <c r="D164" i="3"/>
  <c r="D513" i="3"/>
  <c r="D296" i="3"/>
  <c r="D316" i="3"/>
  <c r="D546" i="3"/>
  <c r="D939" i="3"/>
  <c r="D636" i="3"/>
  <c r="D453" i="3"/>
  <c r="D386" i="3"/>
  <c r="D7" i="3"/>
  <c r="D314" i="3"/>
  <c r="D618" i="3"/>
  <c r="D631" i="3"/>
  <c r="D43" i="3"/>
  <c r="D604" i="3"/>
  <c r="D1035" i="3"/>
  <c r="D129" i="3"/>
  <c r="D399" i="3"/>
  <c r="D756" i="3"/>
  <c r="D355" i="3"/>
  <c r="D518" i="3"/>
  <c r="D17" i="3"/>
  <c r="D428" i="3"/>
  <c r="D75" i="3"/>
  <c r="D714" i="3"/>
  <c r="D1030" i="3"/>
  <c r="D571" i="3"/>
  <c r="D613" i="3"/>
  <c r="D454" i="3"/>
  <c r="D879" i="3"/>
  <c r="D950" i="3"/>
  <c r="D154" i="3"/>
  <c r="D292" i="3"/>
  <c r="D895" i="3"/>
  <c r="D64" i="3"/>
  <c r="D99" i="3"/>
  <c r="D851" i="3"/>
  <c r="D494" i="3"/>
  <c r="D599" i="3"/>
  <c r="D53" i="3"/>
  <c r="D1021" i="3"/>
  <c r="D596" i="3"/>
  <c r="D614" i="3"/>
  <c r="D271" i="3"/>
  <c r="D403" i="3"/>
  <c r="D852" i="3"/>
  <c r="D1043" i="3"/>
  <c r="D82" i="3"/>
  <c r="D1036" i="3"/>
  <c r="D378" i="3"/>
  <c r="D622" i="3"/>
  <c r="D882" i="3"/>
  <c r="D583" i="3"/>
  <c r="D76" i="3"/>
  <c r="D131" i="3"/>
  <c r="D65" i="3"/>
  <c r="D623" i="3"/>
  <c r="D217" i="3"/>
  <c r="D77" i="3"/>
  <c r="D566" i="3"/>
  <c r="D850" i="3"/>
  <c r="D51" i="3"/>
  <c r="D926" i="3"/>
  <c r="D530" i="3"/>
  <c r="D1000" i="3"/>
  <c r="D547" i="3"/>
  <c r="D896" i="3"/>
  <c r="D993" i="3"/>
  <c r="D174" i="3"/>
  <c r="D8" i="3"/>
  <c r="D1029" i="3"/>
  <c r="D1016" i="3"/>
  <c r="D786" i="3"/>
  <c r="D812" i="3"/>
  <c r="D946" i="3"/>
  <c r="D787" i="3"/>
  <c r="D767" i="3"/>
  <c r="D957" i="3"/>
  <c r="D472" i="3"/>
  <c r="D641" i="3"/>
  <c r="D221" i="3"/>
  <c r="D364" i="3"/>
  <c r="D322" i="3"/>
  <c r="D567" i="3"/>
  <c r="D930" i="3"/>
  <c r="D833" i="3"/>
  <c r="D960" i="3"/>
  <c r="D580" i="3"/>
  <c r="D342" i="3"/>
  <c r="D947" i="3"/>
  <c r="D233" i="3"/>
  <c r="D739" i="3"/>
  <c r="D243" i="3"/>
  <c r="D38" i="3"/>
  <c r="D396" i="3"/>
  <c r="D1001" i="3"/>
  <c r="D195" i="3"/>
  <c r="D432" i="3"/>
  <c r="D616" i="3"/>
  <c r="D625" i="3"/>
  <c r="D500" i="3"/>
  <c r="D880" i="3"/>
  <c r="D574" i="3"/>
  <c r="D311" i="3"/>
  <c r="D768" i="3"/>
  <c r="D632" i="3"/>
  <c r="D85" i="3"/>
  <c r="D110" i="3"/>
  <c r="D554" i="3"/>
  <c r="D797" i="3"/>
  <c r="D906" i="3"/>
  <c r="D368" i="3"/>
  <c r="D182" i="3"/>
  <c r="D107" i="3"/>
  <c r="D670" i="3"/>
  <c r="D590" i="3"/>
  <c r="D932" i="3"/>
  <c r="D218" i="3"/>
  <c r="D699" i="3"/>
  <c r="C21" i="2"/>
  <c r="D132" i="1"/>
  <c r="D200" i="1"/>
  <c r="D278" i="1"/>
  <c r="D550" i="1"/>
  <c r="D523" i="1"/>
  <c r="D702" i="1"/>
  <c r="D872" i="1"/>
  <c r="D561" i="1"/>
  <c r="D9" i="1"/>
  <c r="D531" i="1"/>
  <c r="D46" i="1"/>
  <c r="D421" i="1"/>
  <c r="D135" i="1"/>
  <c r="D119" i="1"/>
  <c r="D320" i="1"/>
  <c r="D795" i="1"/>
  <c r="D537" i="1"/>
  <c r="D856" i="1"/>
  <c r="D105" i="1"/>
  <c r="D481" i="1"/>
  <c r="D393" i="1"/>
  <c r="D672" i="1"/>
  <c r="D619" i="1"/>
  <c r="D137" i="1"/>
  <c r="D214" i="1"/>
  <c r="D883" i="1"/>
  <c r="D257" i="1"/>
  <c r="D469" i="1"/>
  <c r="D211" i="1"/>
  <c r="D576" i="1"/>
  <c r="D710" i="1"/>
  <c r="D66" i="1"/>
  <c r="D136" i="1"/>
  <c r="D519" i="1"/>
  <c r="D422" i="1"/>
  <c r="D1039" i="1"/>
  <c r="D287" i="1"/>
  <c r="D774" i="1"/>
  <c r="D90" i="1"/>
  <c r="D859" i="1"/>
  <c r="D700" i="1"/>
  <c r="D603" i="1"/>
  <c r="D706" i="1"/>
  <c r="D933" i="1"/>
  <c r="D1019" i="1"/>
  <c r="D674" i="1"/>
  <c r="D120" i="1"/>
  <c r="D138" i="1"/>
  <c r="D203" i="1"/>
  <c r="D219" i="1"/>
  <c r="D928" i="1"/>
  <c r="D236" i="1"/>
  <c r="D984" i="1"/>
  <c r="D869" i="1"/>
  <c r="D782" i="1"/>
  <c r="D586" i="1"/>
  <c r="D361" i="1"/>
  <c r="D577" i="1"/>
  <c r="D840" i="1"/>
  <c r="D283" i="1"/>
  <c r="D284" i="1"/>
  <c r="D798" i="1"/>
  <c r="D682" i="1"/>
  <c r="D992" i="1"/>
  <c r="D198" i="1"/>
  <c r="D70" i="1"/>
  <c r="D270" i="1"/>
  <c r="D192" i="1"/>
  <c r="D920" i="1"/>
  <c r="D390" i="1"/>
  <c r="D384" i="1"/>
  <c r="D374" i="1"/>
  <c r="D924" i="1"/>
  <c r="D327" i="1"/>
  <c r="D14" i="1"/>
  <c r="D532" i="1"/>
  <c r="D834" i="1"/>
  <c r="D445" i="1"/>
  <c r="D328" i="1"/>
  <c r="D215" i="1"/>
  <c r="D279" i="1"/>
  <c r="D520" i="1"/>
  <c r="D4" i="1"/>
  <c r="D323" i="1"/>
  <c r="D376" i="1"/>
  <c r="D918" i="1"/>
  <c r="D362" i="1"/>
  <c r="D582" i="1"/>
  <c r="D818" i="1"/>
  <c r="D155" i="1"/>
  <c r="D78" i="1"/>
  <c r="D15" i="1"/>
  <c r="D193" i="1"/>
  <c r="D10" i="1"/>
  <c r="D39" i="1"/>
  <c r="D266" i="1"/>
  <c r="D687" i="1"/>
  <c r="D369" i="1"/>
  <c r="D1005" i="1"/>
  <c r="D410" i="1"/>
  <c r="D617" i="1"/>
  <c r="D824" i="1"/>
  <c r="D33" i="1"/>
  <c r="D30" i="1"/>
  <c r="D701" i="1"/>
  <c r="D759" i="1"/>
  <c r="D732" i="1"/>
  <c r="D267" i="1"/>
  <c r="D538" i="1"/>
  <c r="D2" i="1"/>
  <c r="D735" i="1"/>
  <c r="D111" i="1"/>
  <c r="D857" i="1"/>
  <c r="D777" i="1"/>
  <c r="D940" i="1"/>
  <c r="D508" i="1"/>
  <c r="D1003" i="1"/>
  <c r="D884" i="1"/>
  <c r="D54" i="1"/>
  <c r="D803" i="1"/>
  <c r="D944" i="1"/>
  <c r="D807" i="1"/>
  <c r="D837" i="1"/>
  <c r="D237" i="1"/>
  <c r="D843" i="1"/>
  <c r="D637" i="1"/>
  <c r="D306" i="1"/>
  <c r="D473" i="1"/>
  <c r="D799" i="1"/>
  <c r="D63" i="1"/>
  <c r="D526" i="1"/>
  <c r="D258" i="1"/>
  <c r="D423" i="1"/>
  <c r="D853" i="1"/>
  <c r="D686" i="1"/>
  <c r="D96" i="1"/>
  <c r="D769" i="1"/>
  <c r="D562" i="1"/>
  <c r="D915" i="1"/>
  <c r="D723" i="1"/>
  <c r="D697" i="1"/>
  <c r="D405" i="1"/>
  <c r="D901" i="1"/>
  <c r="D207" i="1"/>
  <c r="D260" i="1"/>
  <c r="D509" i="1"/>
  <c r="D329" i="1"/>
  <c r="D175" i="1"/>
  <c r="D503" i="1"/>
  <c r="D302" i="1"/>
  <c r="D490" i="1"/>
  <c r="D446" i="1"/>
  <c r="D605" i="1"/>
  <c r="D972" i="1"/>
  <c r="D620" i="1"/>
  <c r="D252" i="1"/>
  <c r="D404" i="1"/>
  <c r="D724" i="1"/>
  <c r="D790" i="1"/>
  <c r="D100" i="1"/>
  <c r="D593" i="1"/>
  <c r="D244" i="1"/>
  <c r="D400" i="1"/>
  <c r="D907" i="1"/>
  <c r="D144" i="1"/>
  <c r="D487" i="1"/>
  <c r="D397" i="1"/>
  <c r="D165" i="1"/>
  <c r="D326" i="1"/>
  <c r="D1040" i="1"/>
  <c r="D921" i="1"/>
  <c r="D860" i="1"/>
  <c r="D958" i="1"/>
  <c r="D463" i="1"/>
  <c r="D339" i="1"/>
  <c r="D484" i="1"/>
  <c r="D163" i="1"/>
  <c r="D185" i="1"/>
  <c r="D21" i="1"/>
  <c r="D332" i="1"/>
  <c r="D162" i="1"/>
  <c r="D212" i="1"/>
  <c r="D123" i="1"/>
  <c r="D196" i="1"/>
  <c r="D711" i="1"/>
  <c r="D925" i="1"/>
  <c r="D441" i="1"/>
  <c r="D815" i="1"/>
  <c r="D553" i="1"/>
  <c r="D223" i="1"/>
  <c r="D201" i="1"/>
  <c r="D28" i="1"/>
  <c r="D825" i="1"/>
  <c r="D465" i="1"/>
  <c r="D307" i="1"/>
  <c r="D597" i="1"/>
  <c r="D190" i="1"/>
  <c r="D285" i="1"/>
  <c r="D908" i="1"/>
  <c r="D216" i="1"/>
  <c r="D156" i="1"/>
  <c r="D524" i="1"/>
  <c r="D25" i="1"/>
  <c r="D88" i="1"/>
  <c r="D563" i="1"/>
  <c r="D575" i="1"/>
  <c r="D485" i="1"/>
  <c r="D961" i="1"/>
  <c r="D253" i="1"/>
  <c r="D48" i="1"/>
  <c r="D387" i="1"/>
  <c r="D1009" i="1"/>
  <c r="D438" i="1"/>
  <c r="D319" i="1"/>
  <c r="D899" i="1"/>
  <c r="D34" i="1"/>
  <c r="D890" i="1"/>
  <c r="D740" i="1"/>
  <c r="D935" i="1"/>
  <c r="D695" i="1"/>
  <c r="D628" i="1"/>
  <c r="D288" i="1"/>
  <c r="D286" i="1"/>
  <c r="D876" i="1"/>
  <c r="D470" i="1"/>
  <c r="D988" i="1"/>
  <c r="D873" i="1"/>
  <c r="D719" i="1"/>
  <c r="D29" i="1"/>
  <c r="D1041" i="1"/>
  <c r="D591" i="1"/>
  <c r="D746" i="1"/>
  <c r="D506" i="1"/>
  <c r="D108" i="1"/>
  <c r="D385" i="1"/>
  <c r="D133" i="1"/>
  <c r="D408" i="1"/>
  <c r="D139" i="1"/>
  <c r="D1018" i="1"/>
  <c r="D204" i="1"/>
  <c r="D669" i="1"/>
  <c r="D127" i="1"/>
  <c r="D725" i="1"/>
  <c r="D533" i="1"/>
  <c r="D459" i="1"/>
  <c r="D592" i="1"/>
  <c r="D324" i="1"/>
  <c r="D466" i="1"/>
  <c r="D829" i="1"/>
  <c r="D349" i="1"/>
  <c r="D55" i="1"/>
  <c r="D892" i="1"/>
  <c r="D317" i="1"/>
  <c r="D433" i="1"/>
  <c r="D568" i="1"/>
  <c r="D161" i="1"/>
  <c r="D980" i="1"/>
  <c r="D800" i="1"/>
  <c r="D977" i="1"/>
  <c r="D68" i="1"/>
  <c r="D665" i="1"/>
  <c r="D5" i="1"/>
  <c r="D645" i="1"/>
  <c r="D343" i="1"/>
  <c r="D413" i="1"/>
  <c r="D903" i="1"/>
  <c r="D442" i="1"/>
  <c r="D642" i="1"/>
  <c r="D874" i="1"/>
  <c r="D157" i="1"/>
  <c r="D254" i="1"/>
  <c r="D683" i="1"/>
  <c r="D427" i="1"/>
  <c r="D844" i="1"/>
  <c r="D124" i="1"/>
  <c r="D412" i="1"/>
  <c r="D638" i="1"/>
  <c r="D830" i="1"/>
  <c r="D527" i="1"/>
  <c r="D870" i="1"/>
  <c r="D826" i="1"/>
  <c r="D308" i="1"/>
  <c r="D864" i="1"/>
  <c r="D690" i="1"/>
  <c r="D336" i="1"/>
  <c r="D1006" i="1"/>
  <c r="D741" i="1"/>
  <c r="D579" i="1"/>
  <c r="D831" i="1"/>
  <c r="D962" i="1"/>
  <c r="D659" i="1"/>
  <c r="D91" i="1"/>
  <c r="D953" i="1"/>
  <c r="D191" i="1"/>
  <c r="D337" i="1"/>
  <c r="D909" i="1"/>
  <c r="D910" i="1"/>
  <c r="D989" i="1"/>
  <c r="D760" i="1"/>
  <c r="D557" i="1"/>
  <c r="D841" i="1"/>
  <c r="D401" i="1"/>
  <c r="D847" i="1"/>
  <c r="D551" i="1"/>
  <c r="D249" i="1"/>
  <c r="D626" i="1"/>
  <c r="D346" i="1"/>
  <c r="D112" i="1"/>
  <c r="D394" i="1"/>
  <c r="D94" i="1"/>
  <c r="D255" i="1"/>
  <c r="D333" i="1"/>
  <c r="D391" i="1"/>
  <c r="D854" i="1"/>
  <c r="D197" i="1"/>
  <c r="D334" i="1"/>
  <c r="D959" i="1"/>
  <c r="D486" i="1"/>
  <c r="D861" i="1"/>
  <c r="D116" i="1"/>
  <c r="D83" i="1"/>
  <c r="D232" i="1"/>
  <c r="D6" i="1"/>
  <c r="D877" i="1"/>
  <c r="D81" i="1"/>
  <c r="D766" i="1"/>
  <c r="D775" i="1"/>
  <c r="D261" i="1"/>
  <c r="D584" i="1"/>
  <c r="D650" i="1"/>
  <c r="D954" i="1"/>
  <c r="D69" i="1"/>
  <c r="D67" i="1"/>
  <c r="D916" i="1"/>
  <c r="D268" i="1"/>
  <c r="D440" i="1"/>
  <c r="D113" i="1"/>
  <c r="D11" i="1"/>
  <c r="D460" i="1"/>
  <c r="D796" i="1"/>
  <c r="D424" i="1"/>
  <c r="D718" i="1"/>
  <c r="D205" i="1"/>
  <c r="D510" i="1"/>
  <c r="D176" i="1"/>
  <c r="D59" i="1"/>
  <c r="D904" i="1"/>
  <c r="D941" i="1"/>
  <c r="D835" i="1"/>
  <c r="D525" i="1"/>
  <c r="D994" i="1"/>
  <c r="D885" i="1"/>
  <c r="D963" i="1"/>
  <c r="D474" i="1"/>
  <c r="D515" i="1"/>
  <c r="D673" i="1"/>
  <c r="D761" i="1"/>
  <c r="D548" i="1"/>
  <c r="D788" i="1"/>
  <c r="D778" i="1"/>
  <c r="D382" i="1"/>
  <c r="D736" i="1"/>
  <c r="D309" i="1"/>
  <c r="D106" i="1"/>
  <c r="D273" i="1"/>
  <c r="D720" i="1"/>
  <c r="D335" i="1"/>
  <c r="D671" i="1"/>
  <c r="D166" i="1"/>
  <c r="D675" i="1"/>
  <c r="D922" i="1"/>
  <c r="D238" i="1"/>
  <c r="D128" i="1"/>
  <c r="D511" i="1"/>
  <c r="D1023" i="1"/>
  <c r="D633" i="1"/>
  <c r="D488" i="1"/>
  <c r="D651" i="1"/>
  <c r="D868" i="1"/>
  <c r="D558" i="1"/>
  <c r="D451" i="1"/>
  <c r="D340" i="1"/>
  <c r="D419" i="1"/>
  <c r="D452" i="1"/>
  <c r="D747" i="1"/>
  <c r="D379" i="1"/>
  <c r="D1010" i="1"/>
  <c r="D534" i="1"/>
  <c r="D886" i="1"/>
  <c r="D555" i="1"/>
  <c r="D726" i="1"/>
  <c r="D820" i="1"/>
  <c r="D97" i="1"/>
  <c r="D179" i="1"/>
  <c r="D875" i="1"/>
  <c r="D753" i="1"/>
  <c r="D703" i="1"/>
  <c r="D239" i="1"/>
  <c r="D970" i="1"/>
  <c r="D845" i="1"/>
  <c r="D762" i="1"/>
  <c r="D1020" i="1"/>
  <c r="D303" i="1"/>
  <c r="D482" i="1"/>
  <c r="D691" i="1"/>
  <c r="D821" i="1"/>
  <c r="D52" i="1"/>
  <c r="D101" i="1"/>
  <c r="D540" i="1"/>
  <c r="D140" i="1"/>
  <c r="D621" i="1"/>
  <c r="D467" i="1"/>
  <c r="D297" i="1"/>
  <c r="D375" i="1"/>
  <c r="D121" i="1"/>
  <c r="D569" i="1"/>
  <c r="D234" i="1"/>
  <c r="D643" i="1"/>
  <c r="D931" i="1"/>
  <c r="D262" i="1"/>
  <c r="D744" i="1"/>
  <c r="D721" i="1"/>
  <c r="D73" i="1"/>
  <c r="D483" i="1"/>
  <c r="D141" i="1"/>
  <c r="D365" i="1"/>
  <c r="D406" i="1"/>
  <c r="D974" i="1"/>
  <c r="D754" i="1"/>
  <c r="D36" i="1"/>
  <c r="D315" i="1"/>
  <c r="D187" i="1"/>
  <c r="D507" i="1"/>
  <c r="D22" i="1"/>
  <c r="D250" i="1"/>
  <c r="D373" i="1"/>
  <c r="D749" i="1"/>
  <c r="D71" i="1"/>
  <c r="D60" i="1"/>
  <c r="D455" i="1"/>
  <c r="D649" i="1"/>
  <c r="D114" i="1"/>
  <c r="D712" i="1"/>
  <c r="D183" i="1"/>
  <c r="D263" i="1"/>
  <c r="D228" i="1"/>
  <c r="D1007" i="1"/>
  <c r="D891" i="1"/>
  <c r="D347" i="1"/>
  <c r="D783" i="1"/>
  <c r="D773" i="1"/>
  <c r="D171" i="1"/>
  <c r="D648" i="1"/>
  <c r="D491" i="1"/>
  <c r="D478" i="1"/>
  <c r="D143" i="1"/>
  <c r="D808" i="1"/>
  <c r="D74" i="1"/>
  <c r="D37" i="1"/>
  <c r="D964" i="1"/>
  <c r="D388" i="1"/>
  <c r="D199" i="1"/>
  <c r="D757" i="1"/>
  <c r="D102" i="1"/>
  <c r="D764" i="1"/>
  <c r="D56" i="1"/>
  <c r="D86" i="1"/>
  <c r="D609" i="1"/>
  <c r="D692" i="1"/>
  <c r="D978" i="1"/>
  <c r="D158" i="1"/>
  <c r="D304" i="1"/>
  <c r="D999" i="1"/>
  <c r="D479" i="1"/>
  <c r="D816" i="1"/>
  <c r="D516" i="1"/>
  <c r="D363" i="1"/>
  <c r="D126" i="1"/>
  <c r="D210" i="1"/>
  <c r="D572" i="1"/>
  <c r="D1013" i="1"/>
  <c r="D765" i="1"/>
  <c r="D917" i="1"/>
  <c r="D392" i="1"/>
  <c r="D809" i="1"/>
  <c r="D934" i="1"/>
  <c r="D887" i="1"/>
  <c r="D606" i="1"/>
  <c r="D246" i="1"/>
  <c r="D429" i="1"/>
  <c r="D781" i="1"/>
  <c r="D411" i="1"/>
  <c r="D471" i="1"/>
  <c r="D16" i="1"/>
  <c r="D240" i="1"/>
  <c r="D684" i="1"/>
  <c r="D965" i="1"/>
  <c r="D541" i="1"/>
  <c r="D383" i="1"/>
  <c r="D693" i="1"/>
  <c r="D1011" i="1"/>
  <c r="D356" i="1"/>
  <c r="D26" i="1"/>
  <c r="D169" i="1"/>
  <c r="D784" i="1"/>
  <c r="D172" i="1"/>
  <c r="D792" i="1"/>
  <c r="D380" i="1"/>
  <c r="D966" i="1"/>
  <c r="D713" i="1"/>
  <c r="D822" i="1"/>
  <c r="D985" i="1"/>
  <c r="D661" i="1"/>
  <c r="D188" i="1"/>
  <c r="D889" i="1"/>
  <c r="D578" i="1"/>
  <c r="D448" i="1"/>
  <c r="D353" i="1"/>
  <c r="D280" i="1"/>
  <c r="D12" i="1"/>
  <c r="D256" i="1"/>
  <c r="D936" i="1"/>
  <c r="D1042" i="1"/>
  <c r="D717" i="1"/>
  <c r="D827" i="1"/>
  <c r="D998" i="1"/>
  <c r="D31" i="1"/>
  <c r="D878" i="1"/>
  <c r="D79" i="1"/>
  <c r="D627" i="1"/>
  <c r="D1004" i="1"/>
  <c r="D791" i="1"/>
  <c r="D32" i="1"/>
  <c r="D122" i="1"/>
  <c r="D893" i="1"/>
  <c r="D241" i="1"/>
  <c r="D731" i="1"/>
  <c r="D330" i="1"/>
  <c r="D18" i="1"/>
  <c r="D504" i="1"/>
  <c r="D224" i="1"/>
  <c r="D981" i="1"/>
  <c r="D414" i="1"/>
  <c r="D804" i="1"/>
  <c r="D681" i="1"/>
  <c r="D927" i="1"/>
  <c r="D318" i="1"/>
  <c r="D409" i="1"/>
  <c r="D660" i="1"/>
  <c r="D949" i="1"/>
  <c r="D495" i="1"/>
  <c r="D377" i="1"/>
  <c r="D57" i="1"/>
  <c r="D615" i="1"/>
  <c r="D312" i="1"/>
  <c r="D462" i="1"/>
  <c r="D897" i="1"/>
  <c r="D750" i="1"/>
  <c r="D398" i="1"/>
  <c r="D601" i="1"/>
  <c r="D456" i="1"/>
  <c r="D779" i="1"/>
  <c r="D594" i="1"/>
  <c r="D610" i="1"/>
  <c r="D564" i="1"/>
  <c r="D801" i="1"/>
  <c r="D350" i="1"/>
  <c r="D492" i="1"/>
  <c r="D1031" i="1"/>
  <c r="D1025" i="1"/>
  <c r="D678" i="1"/>
  <c r="D838" i="1"/>
  <c r="D565" i="1"/>
  <c r="D727" i="1"/>
  <c r="D264" i="1"/>
  <c r="D359" i="1"/>
  <c r="D274" i="1"/>
  <c r="D848" i="1"/>
  <c r="D542" i="1"/>
  <c r="D983" i="1"/>
  <c r="D780" i="1"/>
  <c r="D117" i="1"/>
  <c r="D145" i="1"/>
  <c r="D281" i="1"/>
  <c r="D770" i="1"/>
  <c r="D707" i="1"/>
  <c r="D47" i="1"/>
  <c r="D559" i="1"/>
  <c r="D755" i="1"/>
  <c r="D662" i="1"/>
  <c r="D58" i="1"/>
  <c r="D1034" i="1"/>
  <c r="D357" i="1"/>
  <c r="D1032" i="1"/>
  <c r="D44" i="1"/>
  <c r="D407" i="1"/>
  <c r="D498" i="1"/>
  <c r="D694" i="1"/>
  <c r="D810" i="1"/>
  <c r="D611" i="1"/>
  <c r="D836" i="1"/>
  <c r="D655" i="1"/>
  <c r="D415" i="1"/>
  <c r="D987" i="1"/>
  <c r="D146" i="1"/>
  <c r="D805" i="1"/>
  <c r="D325" i="1"/>
  <c r="D1002" i="1"/>
  <c r="D1026" i="1"/>
  <c r="D84" i="1"/>
  <c r="D995" i="1"/>
  <c r="D229" i="1"/>
  <c r="D785" i="1"/>
  <c r="D501" i="1"/>
  <c r="D646" i="1"/>
  <c r="D209" i="1"/>
  <c r="D528" i="1"/>
  <c r="D652" i="1"/>
  <c r="D41" i="1"/>
  <c r="D189" i="1"/>
  <c r="D177" i="1"/>
  <c r="D905" i="1"/>
  <c r="D745" i="1"/>
  <c r="D986" i="1"/>
  <c r="D529" i="1"/>
  <c r="D434" i="1"/>
  <c r="D80" i="1"/>
  <c r="D449" i="1"/>
  <c r="D19" i="1"/>
  <c r="D103" i="1"/>
  <c r="D35" i="1"/>
  <c r="D290" i="1"/>
  <c r="D828" i="1"/>
  <c r="D598" i="1"/>
  <c r="D982" i="1"/>
  <c r="D72" i="1"/>
  <c r="D351" i="1"/>
  <c r="D543" i="1"/>
  <c r="D208" i="1"/>
  <c r="D437" i="1"/>
  <c r="D104" i="1"/>
  <c r="D771" i="1"/>
  <c r="D418" i="1"/>
  <c r="D167" i="1"/>
  <c r="D20" i="1"/>
  <c r="D813" i="1"/>
  <c r="D1008" i="1"/>
  <c r="D862" i="1"/>
  <c r="D366" i="1"/>
  <c r="D493" i="1"/>
  <c r="D544" i="1"/>
  <c r="D911" i="1"/>
  <c r="D152" i="1"/>
  <c r="D871" i="1"/>
  <c r="D118" i="1"/>
  <c r="D225" i="1"/>
  <c r="D570" i="1"/>
  <c r="D679" i="1"/>
  <c r="D360" i="1"/>
  <c r="D425" i="1"/>
  <c r="D663" i="1"/>
  <c r="D955" i="1"/>
  <c r="D730" i="1"/>
  <c r="D496" i="1"/>
  <c r="D521" i="1"/>
  <c r="D656" i="1"/>
  <c r="D265" i="1"/>
  <c r="D677" i="1"/>
  <c r="D704" i="1"/>
  <c r="D344" i="1"/>
  <c r="D206" i="1"/>
  <c r="D763" i="1"/>
  <c r="D560" i="1"/>
  <c r="D92" i="1"/>
  <c r="D50" i="1"/>
  <c r="D49" i="1"/>
  <c r="D585" i="1"/>
  <c r="D587" i="1"/>
  <c r="D849" i="1"/>
  <c r="D150" i="1"/>
  <c r="D461" i="1"/>
  <c r="D629" i="1"/>
  <c r="D1024" i="1"/>
  <c r="D728" i="1"/>
  <c r="D338" i="1"/>
  <c r="D722" i="1"/>
  <c r="D793" i="1"/>
  <c r="D588" i="1"/>
  <c r="D806" i="1"/>
  <c r="D186" i="1"/>
  <c r="D226" i="1"/>
  <c r="D497" i="1"/>
  <c r="D913" i="1"/>
  <c r="D945" i="1"/>
  <c r="D352" i="1"/>
  <c r="D354" i="1"/>
  <c r="D630" i="1"/>
  <c r="D420" i="1"/>
  <c r="D159" i="1"/>
  <c r="D698" i="1"/>
  <c r="D708" i="1"/>
  <c r="D476" i="1"/>
  <c r="D447" i="1"/>
  <c r="D535" i="1"/>
  <c r="D647" i="1"/>
  <c r="D657" i="1"/>
  <c r="D293" i="1"/>
  <c r="D814" i="1"/>
  <c r="D1014" i="1"/>
  <c r="D589" i="1"/>
  <c r="D866" i="1"/>
  <c r="D130" i="1"/>
  <c r="D912" i="1"/>
  <c r="D291" i="1"/>
  <c r="D395" i="1"/>
  <c r="D937" i="1"/>
  <c r="D160" i="1"/>
  <c r="D688" i="1"/>
  <c r="D737" i="1"/>
  <c r="D499" i="1"/>
  <c r="D951" i="1"/>
  <c r="D902" i="1"/>
  <c r="D612" i="1"/>
  <c r="D301" i="1"/>
  <c r="D914" i="1"/>
  <c r="D607" i="1"/>
  <c r="D634" i="1"/>
  <c r="D839" i="1"/>
  <c r="D443" i="1"/>
  <c r="D370" i="1"/>
  <c r="D247" i="1"/>
  <c r="D480" i="1"/>
  <c r="D358" i="1"/>
  <c r="D435" i="1"/>
  <c r="D748" i="1"/>
  <c r="D305" i="1"/>
  <c r="D1017" i="1"/>
  <c r="D502" i="1"/>
  <c r="D894" i="1"/>
  <c r="D581" i="1"/>
  <c r="D738" i="1"/>
  <c r="D371" i="1"/>
  <c r="D1028" i="1"/>
  <c r="D147" i="1"/>
  <c r="D549" i="1"/>
  <c r="D298" i="1"/>
  <c r="D23" i="1"/>
  <c r="D248" i="1"/>
  <c r="D545" i="1"/>
  <c r="D299" i="1"/>
  <c r="D178" i="1"/>
  <c r="D863" i="1"/>
  <c r="D272" i="1"/>
  <c r="D715" i="1"/>
  <c r="D948" i="1"/>
  <c r="D742" i="1"/>
  <c r="D505" i="1"/>
  <c r="D1027" i="1"/>
  <c r="D819" i="1"/>
  <c r="D573" i="1"/>
  <c r="D666" i="1"/>
  <c r="D979" i="1"/>
  <c r="D27" i="1"/>
  <c r="D929" i="1"/>
  <c r="D220" i="1"/>
  <c r="D667" i="1"/>
  <c r="D751" i="1"/>
  <c r="D517" i="1"/>
  <c r="D743" i="1"/>
  <c r="D1037" i="1"/>
  <c r="D194" i="1"/>
  <c r="D89" i="1"/>
  <c r="D450" i="1"/>
  <c r="D595" i="1"/>
  <c r="D389" i="1"/>
  <c r="D734" i="1"/>
  <c r="D898" i="1"/>
  <c r="D624" i="1"/>
  <c r="D842" i="1"/>
  <c r="D61" i="1"/>
  <c r="D789" i="1"/>
  <c r="D942" i="1"/>
  <c r="D680" i="1"/>
  <c r="D794" i="1"/>
  <c r="D222" i="1"/>
  <c r="D275" i="1"/>
  <c r="D170" i="1"/>
  <c r="D758" i="1"/>
  <c r="D1015" i="1"/>
  <c r="D235" i="1"/>
  <c r="D444" i="1"/>
  <c r="D180" i="1"/>
  <c r="D552" i="1"/>
  <c r="D148" i="1"/>
  <c r="D313" i="1"/>
  <c r="D115" i="1"/>
  <c r="D227" i="1"/>
  <c r="D40" i="1"/>
  <c r="D709" i="1"/>
  <c r="D87" i="1"/>
  <c r="D975" i="1"/>
  <c r="D997" i="1"/>
  <c r="D881" i="1"/>
  <c r="D990" i="1"/>
  <c r="D416" i="1"/>
  <c r="D184" i="1"/>
  <c r="D345" i="1"/>
  <c r="D996" i="1"/>
  <c r="D430" i="1"/>
  <c r="D653" i="1"/>
  <c r="D181" i="1"/>
  <c r="D865" i="1"/>
  <c r="D142" i="1"/>
  <c r="D658" i="1"/>
  <c r="D62" i="1"/>
  <c r="D457" i="1"/>
  <c r="D242" i="1"/>
  <c r="D439" i="1"/>
  <c r="D245" i="1"/>
  <c r="D1012" i="1"/>
  <c r="D294" i="1"/>
  <c r="D45" i="1"/>
  <c r="D230" i="1"/>
  <c r="D475" i="1"/>
  <c r="D919" i="1"/>
  <c r="D772" i="1"/>
  <c r="D173" i="1"/>
  <c r="D300" i="1"/>
  <c r="D125" i="1"/>
  <c r="D664" i="1"/>
  <c r="D381" i="1"/>
  <c r="D938" i="1"/>
  <c r="D685" i="1"/>
  <c r="D436" i="1"/>
  <c r="D1038" i="1"/>
  <c r="D1033" i="1"/>
  <c r="D654" i="1"/>
  <c r="D639" i="1"/>
  <c r="D900" i="1"/>
  <c r="D943" i="1"/>
  <c r="D202" i="1"/>
  <c r="D458" i="1"/>
  <c r="D602" i="1"/>
  <c r="D251" i="1"/>
  <c r="D776" i="1"/>
  <c r="D231" i="1"/>
  <c r="D512" i="1"/>
  <c r="D98" i="1"/>
  <c r="D426" i="1"/>
  <c r="D372" i="1"/>
  <c r="D696" i="1"/>
  <c r="D514" i="1"/>
  <c r="D310" i="1"/>
  <c r="D289" i="1"/>
  <c r="D811" i="1"/>
  <c r="D213" i="1"/>
  <c r="D556" i="1"/>
  <c r="D331" i="1"/>
  <c r="D93" i="1"/>
  <c r="D276" i="1"/>
  <c r="D42" i="1"/>
  <c r="D417" i="1"/>
  <c r="D858" i="1"/>
  <c r="D971" i="1"/>
  <c r="D668" i="1"/>
  <c r="D952" i="1"/>
  <c r="D149" i="1"/>
  <c r="D464" i="1"/>
  <c r="D855" i="1"/>
  <c r="D888" i="1"/>
  <c r="D3" i="1"/>
  <c r="D608" i="1"/>
  <c r="D282" i="1"/>
  <c r="D967" i="1"/>
  <c r="D341" i="1"/>
  <c r="D968" i="1"/>
  <c r="D151" i="1"/>
  <c r="D817" i="1"/>
  <c r="D522" i="1"/>
  <c r="D1022" i="1"/>
  <c r="D729" i="1"/>
  <c r="D823" i="1"/>
  <c r="D13" i="1"/>
  <c r="D973" i="1"/>
  <c r="D976" i="1"/>
  <c r="D991" i="1"/>
  <c r="D969" i="1"/>
  <c r="D689" i="1"/>
  <c r="D153" i="1"/>
  <c r="D477" i="1"/>
  <c r="D705" i="1"/>
  <c r="D635" i="1"/>
  <c r="D536" i="1"/>
  <c r="D367" i="1"/>
  <c r="D24" i="1"/>
  <c r="D640" i="1"/>
  <c r="D676" i="1"/>
  <c r="D168" i="1"/>
  <c r="D752" i="1"/>
  <c r="D431" i="1"/>
  <c r="D600" i="1"/>
  <c r="D923" i="1"/>
  <c r="D402" i="1"/>
  <c r="D295" i="1"/>
  <c r="D867" i="1"/>
  <c r="D846" i="1"/>
  <c r="D134" i="1"/>
  <c r="D956" i="1"/>
  <c r="D539" i="1"/>
  <c r="D644" i="1"/>
  <c r="D348" i="1"/>
  <c r="D468" i="1"/>
  <c r="D109" i="1"/>
  <c r="D733" i="1"/>
  <c r="D489" i="1"/>
  <c r="D95" i="1"/>
  <c r="D277" i="1"/>
  <c r="D259" i="1"/>
  <c r="D269" i="1"/>
  <c r="D321" i="1"/>
  <c r="D832" i="1"/>
  <c r="D802" i="1"/>
  <c r="D164" i="1"/>
  <c r="D513" i="1"/>
  <c r="D296" i="1"/>
  <c r="D316" i="1"/>
  <c r="D546" i="1"/>
  <c r="D939" i="1"/>
  <c r="D636" i="1"/>
  <c r="D453" i="1"/>
  <c r="D386" i="1"/>
  <c r="D7" i="1"/>
  <c r="D314" i="1"/>
  <c r="D618" i="1"/>
  <c r="D631" i="1"/>
  <c r="D43" i="1"/>
  <c r="D604" i="1"/>
  <c r="D1035" i="1"/>
  <c r="D129" i="1"/>
  <c r="D399" i="1"/>
  <c r="D756" i="1"/>
  <c r="D355" i="1"/>
  <c r="D518" i="1"/>
  <c r="D17" i="1"/>
  <c r="D428" i="1"/>
  <c r="D75" i="1"/>
  <c r="D714" i="1"/>
  <c r="D1030" i="1"/>
  <c r="D571" i="1"/>
  <c r="D613" i="1"/>
  <c r="D454" i="1"/>
  <c r="D879" i="1"/>
  <c r="D950" i="1"/>
  <c r="D154" i="1"/>
  <c r="D292" i="1"/>
  <c r="D895" i="1"/>
  <c r="D64" i="1"/>
  <c r="D99" i="1"/>
  <c r="D851" i="1"/>
  <c r="D494" i="1"/>
  <c r="D599" i="1"/>
  <c r="D53" i="1"/>
  <c r="D1021" i="1"/>
  <c r="D596" i="1"/>
  <c r="D614" i="1"/>
  <c r="D271" i="1"/>
  <c r="D403" i="1"/>
  <c r="D852" i="1"/>
  <c r="D1043" i="1"/>
  <c r="D82" i="1"/>
  <c r="D1036" i="1"/>
  <c r="D378" i="1"/>
  <c r="D622" i="1"/>
  <c r="D882" i="1"/>
  <c r="D583" i="1"/>
  <c r="D76" i="1"/>
  <c r="D131" i="1"/>
  <c r="D65" i="1"/>
  <c r="D623" i="1"/>
  <c r="D217" i="1"/>
  <c r="D77" i="1"/>
  <c r="D566" i="1"/>
  <c r="D850" i="1"/>
  <c r="D51" i="1"/>
  <c r="D926" i="1"/>
  <c r="D530" i="1"/>
  <c r="D1000" i="1"/>
  <c r="D547" i="1"/>
  <c r="D896" i="1"/>
  <c r="D993" i="1"/>
  <c r="D174" i="1"/>
  <c r="D8" i="1"/>
  <c r="D1029" i="1"/>
  <c r="D1016" i="1"/>
  <c r="D786" i="1"/>
  <c r="D812" i="1"/>
  <c r="D946" i="1"/>
  <c r="D787" i="1"/>
  <c r="D767" i="1"/>
  <c r="D957" i="1"/>
  <c r="D472" i="1"/>
  <c r="D641" i="1"/>
  <c r="D221" i="1"/>
  <c r="D364" i="1"/>
  <c r="D322" i="1"/>
  <c r="D567" i="1"/>
  <c r="D930" i="1"/>
  <c r="D833" i="1"/>
  <c r="D960" i="1"/>
  <c r="D580" i="1"/>
  <c r="D342" i="1"/>
  <c r="D947" i="1"/>
  <c r="D233" i="1"/>
  <c r="D739" i="1"/>
  <c r="D243" i="1"/>
  <c r="D38" i="1"/>
  <c r="D396" i="1"/>
  <c r="D1001" i="1"/>
  <c r="D195" i="1"/>
  <c r="D432" i="1"/>
  <c r="D616" i="1"/>
  <c r="D625" i="1"/>
  <c r="D500" i="1"/>
  <c r="D880" i="1"/>
  <c r="D574" i="1"/>
  <c r="D311" i="1"/>
  <c r="D768" i="1"/>
  <c r="D632" i="1"/>
  <c r="D85" i="1"/>
  <c r="D110" i="1"/>
  <c r="D554" i="1"/>
  <c r="D797" i="1"/>
  <c r="D906" i="1"/>
  <c r="D368" i="1"/>
  <c r="D182" i="1"/>
  <c r="D107" i="1"/>
  <c r="D670" i="1"/>
  <c r="D590" i="1"/>
  <c r="D932" i="1"/>
  <c r="D218" i="1"/>
  <c r="D699" i="1"/>
  <c r="D716" i="1"/>
  <c r="D42" i="4" l="1"/>
  <c r="D38" i="4"/>
  <c r="D34" i="4"/>
  <c r="D30" i="4"/>
  <c r="D26" i="4"/>
  <c r="D22" i="4"/>
  <c r="D18" i="4"/>
  <c r="D14" i="4"/>
  <c r="D10" i="4"/>
  <c r="D6" i="4"/>
  <c r="D341" i="4"/>
  <c r="D337" i="4"/>
  <c r="D333" i="4"/>
  <c r="D329" i="4"/>
  <c r="D325" i="4"/>
  <c r="D321" i="4"/>
  <c r="D317" i="4"/>
  <c r="D313" i="4"/>
  <c r="D309" i="4"/>
  <c r="D305" i="4"/>
  <c r="D301" i="4"/>
  <c r="D297" i="4"/>
  <c r="D293" i="4"/>
  <c r="D289" i="4"/>
  <c r="D285" i="4"/>
  <c r="D281" i="4"/>
  <c r="D277" i="4"/>
  <c r="D273" i="4"/>
  <c r="D269" i="4"/>
  <c r="D265" i="4"/>
  <c r="D261" i="4"/>
  <c r="D257" i="4"/>
  <c r="D253" i="4"/>
  <c r="D249" i="4"/>
  <c r="D245" i="4"/>
  <c r="D241" i="4"/>
  <c r="D237" i="4"/>
  <c r="D233" i="4"/>
  <c r="D229" i="4"/>
  <c r="D225" i="4"/>
  <c r="D221" i="4"/>
  <c r="D217" i="4"/>
  <c r="D213" i="4"/>
  <c r="D209" i="4"/>
  <c r="D205" i="4"/>
  <c r="D201" i="4"/>
  <c r="D197" i="4"/>
  <c r="D193" i="4"/>
  <c r="D189" i="4"/>
  <c r="D185" i="4"/>
  <c r="D181" i="4"/>
  <c r="D177" i="4"/>
  <c r="D173" i="4"/>
  <c r="D169" i="4"/>
  <c r="D165" i="4"/>
  <c r="D161" i="4"/>
  <c r="D157" i="4"/>
  <c r="D153" i="4"/>
  <c r="D149" i="4"/>
  <c r="D145" i="4"/>
  <c r="D141" i="4"/>
  <c r="D137" i="4"/>
  <c r="D133" i="4"/>
  <c r="D129" i="4"/>
  <c r="D125" i="4"/>
  <c r="D121" i="4"/>
  <c r="D117" i="4"/>
  <c r="D113" i="4"/>
  <c r="D109" i="4"/>
  <c r="D105" i="4"/>
  <c r="D101" i="4"/>
  <c r="D97" i="4"/>
  <c r="D93" i="4"/>
  <c r="D89" i="4"/>
  <c r="D85" i="4"/>
  <c r="D81" i="4"/>
  <c r="D77" i="4"/>
  <c r="D73" i="4"/>
  <c r="D69" i="4"/>
  <c r="D65" i="4"/>
  <c r="D61" i="4"/>
  <c r="D57" i="4"/>
  <c r="D53" i="4"/>
  <c r="D49" i="4"/>
  <c r="D45" i="4"/>
  <c r="D41" i="4"/>
  <c r="D37" i="4"/>
  <c r="D33" i="4"/>
  <c r="D29" i="4"/>
  <c r="D25" i="4"/>
  <c r="D21" i="4"/>
  <c r="D17" i="4"/>
  <c r="D13" i="4"/>
  <c r="D9" i="4"/>
</calcChain>
</file>

<file path=xl/sharedStrings.xml><?xml version="1.0" encoding="utf-8"?>
<sst xmlns="http://schemas.openxmlformats.org/spreadsheetml/2006/main" count="108" uniqueCount="66">
  <si>
    <t>Isabela Torres-Septien Uribe</t>
  </si>
  <si>
    <t>Regina Espinosa Preciado</t>
  </si>
  <si>
    <t>Samuel Gomez Jimenez</t>
  </si>
  <si>
    <t>Ana Paula Moreno Haro</t>
  </si>
  <si>
    <t>Administración de Riesgo</t>
  </si>
  <si>
    <t>Abraham Oceguera Gomez</t>
  </si>
  <si>
    <t>Loan</t>
  </si>
  <si>
    <t>Saldo Insoluto</t>
  </si>
  <si>
    <t>Prob. Impago</t>
  </si>
  <si>
    <t>LGD</t>
  </si>
  <si>
    <t>Tasa de Recuperación</t>
  </si>
  <si>
    <t>beta factor 1</t>
  </si>
  <si>
    <t>beta factor 2</t>
  </si>
  <si>
    <t>beta factor 3</t>
  </si>
  <si>
    <t>(1 punto): Calcular la pérdida esperada de crédito, el VaR de Crédito (99% nivel de confianza) y el CVaR o Expected Shortfall</t>
  </si>
  <si>
    <t>EL</t>
  </si>
  <si>
    <t>Var</t>
  </si>
  <si>
    <t>Cvar</t>
  </si>
  <si>
    <t>(1 punto): Si el banco tiene un capital de 750 millones de pesos ¿es suficiente regulatoriamente para soportar el nivel de riesgo crediticio que tiene en su balance?</t>
  </si>
  <si>
    <t>Justifica tu respuesta, no se dará el punto si falta explicación, poner "si" o "no" es insuficiente</t>
  </si>
  <si>
    <t>UCL</t>
  </si>
  <si>
    <t>Dado este nivel de UCL, el banco NO cuenta con sufiente capital como para sumplir la regulación (El UCL es mayor al capital disponible)</t>
  </si>
  <si>
    <t>(2 puntos): ¿En qué medida, es decir en qué cantidad se modifican los requerimientos de capital para el banco si a través de un CLO se sacan del balance</t>
  </si>
  <si>
    <t>todos aquellos créditos con una probabilidad de impago igual o mayor a 4%?</t>
  </si>
  <si>
    <t xml:space="preserve">El UCL baja </t>
  </si>
  <si>
    <t>, colocandolo en un nivel suficientemente bajo como para cumplir la regularización con el capital disponible</t>
  </si>
  <si>
    <t>(2 puntos): Pasando ahora al CLO que se crea con los préstamos que se sacarían del balance del banco y con la siguiente estructura:</t>
  </si>
  <si>
    <t>Equity aportan 200 millones de pesos, Mezanine aportan 300 millones de pesos, Junior aportan 500 millones y Senior el resto</t>
  </si>
  <si>
    <t>¿Cuál es la probabilidad que la inversión de los Mezanine se haga cero (pierdan toda su aportación)?</t>
  </si>
  <si>
    <t>¿Cuál es la probabilidad que los Junior empiecen a tener pérdidas?</t>
  </si>
  <si>
    <t>(2 puntos:) Calcular la tasa de interés que hay que cobrar para el siguiente préstamo</t>
  </si>
  <si>
    <t>Se trata una línea revolvente de hasta 100 millones de pesos a plazo de 12 meses</t>
  </si>
  <si>
    <t>La calificación crediticia interna de ese cliente implica una probabilidad de impago del 1.4%</t>
  </si>
  <si>
    <t>La tasa de recuperación dado que no se tienen garantías reales solo fianza y aval de los accionistas es del 67%</t>
  </si>
  <si>
    <t>El costo del fondeo del banco es TIIEF, usará fondeo mayorista</t>
  </si>
  <si>
    <t>El RWA para este tipo de crédito es 100% y el capital asociado a la transacción es de 12%, el ROE objetivo es de 18%</t>
  </si>
  <si>
    <t>Se debe considerar 75 puntos base para cubrir gastos operativos</t>
  </si>
  <si>
    <t>La utilidad mínima deben ser 120 puntos base</t>
  </si>
  <si>
    <t>PD</t>
  </si>
  <si>
    <t>Costo de fondeo</t>
  </si>
  <si>
    <t>EAD</t>
  </si>
  <si>
    <t>sobretasa / spread</t>
  </si>
  <si>
    <t>costo capital</t>
  </si>
  <si>
    <t>Spread</t>
  </si>
  <si>
    <t>opex</t>
  </si>
  <si>
    <t>RWA</t>
  </si>
  <si>
    <t>utilidad</t>
  </si>
  <si>
    <t>Consumo cap</t>
  </si>
  <si>
    <t>TASA</t>
  </si>
  <si>
    <t>ROE</t>
  </si>
  <si>
    <t>(2 puntos:) Calcular la tasa de interés para el siguiente préstamo, debe ser una tasa fija</t>
  </si>
  <si>
    <t>Se trata de un crédito amortizable de 150 millones a un plazo de 10 años, incluye 1 año de gracia en pagos de capital</t>
  </si>
  <si>
    <t>posteriormente pagos mensuales iguales de capital</t>
  </si>
  <si>
    <t>El risk rating interno de este cliente conlleva una probabilidad de default del 2.5%</t>
  </si>
  <si>
    <t>La severidad de la pérdida en caso de default es del 25% dado que se tiene una garantía real (hipoteca industrial)</t>
  </si>
  <si>
    <t>El costo del fondeo es TIIEF + 1% porque es el cupón que pagamos en un cebure que emitimos a 5 años, la idea es en 5 años volver a emitir uno nuevo</t>
  </si>
  <si>
    <t>El RWA para este credito es 50% dado que es para una entidad de gobierno, el capital asociado a la transacción es de 14%, ROE del 16%</t>
  </si>
  <si>
    <t>Se deben considerar 50 puntos base para gastos de operación</t>
  </si>
  <si>
    <t>La utilidad mínima deben ser 100 basis</t>
  </si>
  <si>
    <t>*¿Qué tanto cambiaria la tasa si en lugar de usar un cebure para fondearte usaras depósitos minoristas core a plazo (entre 1 y 3 meses) a tasas alrededor del 5%?</t>
  </si>
  <si>
    <t xml:space="preserve">El cambio en la tasa que cubre el fondearte es de </t>
  </si>
  <si>
    <t>Min</t>
  </si>
  <si>
    <t>Max</t>
  </si>
  <si>
    <t>EQUITY</t>
  </si>
  <si>
    <t>MEZANINE</t>
  </si>
  <si>
    <t>JUNIOR 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</si>
</sst>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0.000%"/>
    <numFmt numFmtId="167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44" fontId="3" fillId="0" borderId="0" xfId="2" applyFont="1" applyAlignment="1">
      <alignment horizontal="left" vertical="center"/>
    </xf>
    <xf numFmtId="0" fontId="0" fillId="2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44" fontId="2" fillId="0" borderId="0" xfId="0" applyNumberFormat="1" applyFont="1"/>
    <xf numFmtId="44" fontId="0" fillId="0" borderId="0" xfId="2" applyFont="1"/>
    <xf numFmtId="0" fontId="0" fillId="0" borderId="0" xfId="2" applyNumberFormat="1" applyFont="1"/>
    <xf numFmtId="10" fontId="0" fillId="0" borderId="0" xfId="3" applyNumberFormat="1" applyFont="1"/>
    <xf numFmtId="44" fontId="0" fillId="4" borderId="0" xfId="2" applyFont="1" applyFill="1"/>
    <xf numFmtId="0" fontId="0" fillId="4" borderId="0" xfId="2" applyNumberFormat="1" applyFont="1" applyFill="1"/>
    <xf numFmtId="10" fontId="0" fillId="4" borderId="0" xfId="3" applyNumberFormat="1" applyFont="1" applyFill="1"/>
    <xf numFmtId="10" fontId="0" fillId="0" borderId="0" xfId="0" applyNumberFormat="1"/>
    <xf numFmtId="44" fontId="0" fillId="5" borderId="0" xfId="2" applyFont="1" applyFill="1"/>
    <xf numFmtId="0" fontId="0" fillId="5" borderId="0" xfId="2" applyNumberFormat="1" applyFont="1" applyFill="1"/>
    <xf numFmtId="10" fontId="0" fillId="5" borderId="0" xfId="3" applyNumberFormat="1" applyFont="1" applyFill="1"/>
    <xf numFmtId="44" fontId="0" fillId="6" borderId="0" xfId="2" applyFont="1" applyFill="1"/>
    <xf numFmtId="0" fontId="0" fillId="6" borderId="0" xfId="2" applyNumberFormat="1" applyFont="1" applyFill="1"/>
    <xf numFmtId="10" fontId="0" fillId="6" borderId="0" xfId="3" applyNumberFormat="1" applyFont="1" applyFill="1"/>
    <xf numFmtId="0" fontId="5" fillId="7" borderId="2" xfId="0" applyFont="1" applyFill="1" applyBorder="1"/>
    <xf numFmtId="0" fontId="0" fillId="9" borderId="0" xfId="0" applyFill="1"/>
    <xf numFmtId="0" fontId="2" fillId="9" borderId="0" xfId="0" applyFont="1" applyFill="1"/>
    <xf numFmtId="44" fontId="2" fillId="9" borderId="0" xfId="0" applyNumberFormat="1" applyFont="1" applyFill="1"/>
    <xf numFmtId="44" fontId="0" fillId="8" borderId="2" xfId="2" applyFont="1" applyFill="1" applyBorder="1" applyAlignment="1">
      <alignment horizontal="left" vertical="center"/>
    </xf>
    <xf numFmtId="10" fontId="0" fillId="8" borderId="3" xfId="0" applyNumberFormat="1" applyFill="1" applyBorder="1"/>
    <xf numFmtId="0" fontId="5" fillId="7" borderId="5" xfId="0" applyFont="1" applyFill="1" applyBorder="1"/>
    <xf numFmtId="0" fontId="5" fillId="7" borderId="6" xfId="0" applyFont="1" applyFill="1" applyBorder="1"/>
    <xf numFmtId="0" fontId="5" fillId="7" borderId="4" xfId="0" applyFont="1" applyFill="1" applyBorder="1"/>
    <xf numFmtId="0" fontId="5" fillId="7" borderId="7" xfId="0" applyFont="1" applyFill="1" applyBorder="1"/>
    <xf numFmtId="0" fontId="5" fillId="7" borderId="8" xfId="0" applyFont="1" applyFill="1" applyBorder="1"/>
    <xf numFmtId="0" fontId="5" fillId="7" borderId="3" xfId="0" applyFont="1" applyFill="1" applyBorder="1"/>
    <xf numFmtId="10" fontId="0" fillId="8" borderId="1" xfId="0" applyNumberFormat="1" applyFill="1" applyBorder="1" applyAlignment="1">
      <alignment horizontal="right"/>
    </xf>
    <xf numFmtId="10" fontId="2" fillId="8" borderId="1" xfId="0" applyNumberFormat="1" applyFont="1" applyFill="1" applyBorder="1" applyAlignment="1">
      <alignment horizontal="right"/>
    </xf>
    <xf numFmtId="0" fontId="0" fillId="8" borderId="1" xfId="0" applyFill="1" applyBorder="1"/>
    <xf numFmtId="9" fontId="0" fillId="8" borderId="1" xfId="0" applyNumberFormat="1" applyFill="1" applyBorder="1"/>
    <xf numFmtId="10" fontId="2" fillId="8" borderId="1" xfId="0" applyNumberFormat="1" applyFont="1" applyFill="1" applyBorder="1"/>
    <xf numFmtId="10" fontId="6" fillId="8" borderId="4" xfId="0" applyNumberFormat="1" applyFont="1" applyFill="1" applyBorder="1" applyAlignment="1">
      <alignment horizontal="right"/>
    </xf>
    <xf numFmtId="10" fontId="6" fillId="8" borderId="3" xfId="0" applyNumberFormat="1" applyFont="1" applyFill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166" fontId="7" fillId="10" borderId="4" xfId="0" applyNumberFormat="1" applyFont="1" applyFill="1" applyBorder="1"/>
    <xf numFmtId="0" fontId="4" fillId="7" borderId="2" xfId="0" applyFont="1" applyFill="1" applyBorder="1"/>
    <xf numFmtId="0" fontId="0" fillId="8" borderId="1" xfId="0" applyFill="1" applyBorder="1" applyAlignment="1">
      <alignment horizontal="right"/>
    </xf>
    <xf numFmtId="10" fontId="7" fillId="10" borderId="4" xfId="0" applyNumberFormat="1" applyFont="1" applyFill="1" applyBorder="1"/>
    <xf numFmtId="167" fontId="0" fillId="8" borderId="1" xfId="0" applyNumberFormat="1" applyFill="1" applyBorder="1"/>
    <xf numFmtId="10" fontId="0" fillId="8" borderId="1" xfId="0" applyNumberFormat="1" applyFill="1" applyBorder="1"/>
    <xf numFmtId="10" fontId="2" fillId="9" borderId="0" xfId="0" applyNumberFormat="1" applyFont="1" applyFill="1" applyAlignment="1">
      <alignment horizontal="left"/>
    </xf>
    <xf numFmtId="0" fontId="0" fillId="11" borderId="0" xfId="0" applyFill="1"/>
    <xf numFmtId="0" fontId="2" fillId="11" borderId="0" xfId="0" applyFont="1" applyFill="1"/>
    <xf numFmtId="0" fontId="2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14" fontId="2" fillId="11" borderId="0" xfId="0" applyNumberFormat="1" applyFont="1" applyFill="1" applyAlignment="1">
      <alignment horizontal="center"/>
    </xf>
    <xf numFmtId="43" fontId="0" fillId="0" borderId="0" xfId="0" applyNumberForma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10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0"/>
      <alignment horizontal="center" vertical="bottom" textRotation="0" wrapText="0" indent="0" justifyLastLine="0" shrinkToFit="0" readingOrder="0"/>
    </dxf>
    <dxf>
      <numFmt numFmtId="164" formatCode="0.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57149</xdr:rowOff>
    </xdr:from>
    <xdr:to>
      <xdr:col>4</xdr:col>
      <xdr:colOff>28575</xdr:colOff>
      <xdr:row>14</xdr:row>
      <xdr:rowOff>21980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241D58EA-1F68-5F65-2BE3-B7C9BEC5B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247649"/>
          <a:ext cx="2266950" cy="244133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447B97-85D8-4FC4-ABD1-66A180AAA183}" name="Tabla1" displayName="Tabla1" ref="A1:H1043" totalsRowShown="0" headerRowDxfId="9" dataDxfId="8">
  <autoFilter ref="A1:H1043" xr:uid="{B3447B97-85D8-4FC4-ABD1-66A180AAA183}"/>
  <sortState xmlns:xlrd2="http://schemas.microsoft.com/office/spreadsheetml/2017/richdata2" ref="A2:H1043">
    <sortCondition descending="1" ref="C1:C1043"/>
  </sortState>
  <tableColumns count="8">
    <tableColumn id="1" xr3:uid="{4C75726F-1876-401E-A3D3-A640A9413912}" name="Loan" dataDxfId="7"/>
    <tableColumn id="2" xr3:uid="{8F9E00CD-D900-4F46-938E-63AB211491C8}" name="Saldo Insoluto" dataDxfId="6" dataCellStyle="Millares"/>
    <tableColumn id="3" xr3:uid="{230FA6D8-F507-4C35-8AA2-1473A453C942}" name="Prob. Impago" dataDxfId="5"/>
    <tableColumn id="4" xr3:uid="{A11D034A-27FD-4660-A81D-4B2A8178A771}" name="LGD" dataDxfId="4">
      <calculatedColumnFormula>1-E2</calculatedColumnFormula>
    </tableColumn>
    <tableColumn id="5" xr3:uid="{94768243-CCF1-4200-83B9-0638C9BE7ED7}" name="Tasa de Recuperación" dataDxfId="3"/>
    <tableColumn id="6" xr3:uid="{D61EB477-625D-45D7-9DC0-1E5A65191748}" name="beta factor 1" dataDxfId="2"/>
    <tableColumn id="7" xr3:uid="{7BF72E4B-499B-45BB-A86D-A2E5F262036F}" name="beta factor 2" dataDxfId="1"/>
    <tableColumn id="8" xr3:uid="{40D8CAF6-8112-4C36-AD6F-460B6B5F4AAA}" name="beta factor 3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67B3-3C11-47FA-81CE-4AA0F0E5B039}">
  <dimension ref="C12:J22"/>
  <sheetViews>
    <sheetView topLeftCell="A5" workbookViewId="0">
      <selection activeCell="D21" sqref="D21"/>
    </sheetView>
  </sheetViews>
  <sheetFormatPr baseColWidth="10" defaultColWidth="11.42578125" defaultRowHeight="15" x14ac:dyDescent="0.25"/>
  <cols>
    <col min="1" max="2" width="11.42578125" style="51"/>
    <col min="3" max="3" width="10.42578125" style="51" customWidth="1"/>
    <col min="4" max="6" width="11.42578125" style="51"/>
    <col min="7" max="7" width="9.7109375" style="51" customWidth="1"/>
    <col min="8" max="8" width="11.140625" style="51" customWidth="1"/>
    <col min="9" max="16384" width="11.42578125" style="51"/>
  </cols>
  <sheetData>
    <row r="12" spans="3:10" x14ac:dyDescent="0.25">
      <c r="G12" s="52"/>
      <c r="I12" s="53"/>
      <c r="J12" s="54"/>
    </row>
    <row r="13" spans="3:10" x14ac:dyDescent="0.25">
      <c r="G13" s="52"/>
      <c r="I13" s="53"/>
      <c r="J13" s="54"/>
    </row>
    <row r="14" spans="3:10" x14ac:dyDescent="0.25">
      <c r="G14" s="52"/>
      <c r="I14" s="53"/>
      <c r="J14" s="54"/>
    </row>
    <row r="15" spans="3:10" x14ac:dyDescent="0.25">
      <c r="C15" s="53" t="s">
        <v>0</v>
      </c>
      <c r="G15" s="52"/>
      <c r="I15" s="53"/>
      <c r="J15" s="54"/>
    </row>
    <row r="16" spans="3:10" x14ac:dyDescent="0.25">
      <c r="C16" s="53" t="s">
        <v>1</v>
      </c>
      <c r="G16" s="52"/>
      <c r="I16" s="53"/>
      <c r="J16" s="54"/>
    </row>
    <row r="17" spans="3:10" x14ac:dyDescent="0.25">
      <c r="C17" s="53" t="s">
        <v>2</v>
      </c>
      <c r="G17" s="52"/>
      <c r="I17" s="53"/>
      <c r="J17" s="54"/>
    </row>
    <row r="18" spans="3:10" x14ac:dyDescent="0.25">
      <c r="C18" s="53" t="s">
        <v>3</v>
      </c>
      <c r="G18" s="52"/>
      <c r="I18" s="53"/>
      <c r="J18" s="54"/>
    </row>
    <row r="19" spans="3:10" x14ac:dyDescent="0.25">
      <c r="C19" s="53"/>
      <c r="G19" s="52"/>
      <c r="I19" s="53"/>
      <c r="J19" s="54"/>
    </row>
    <row r="20" spans="3:10" x14ac:dyDescent="0.25">
      <c r="C20" s="53" t="s">
        <v>4</v>
      </c>
    </row>
    <row r="21" spans="3:10" x14ac:dyDescent="0.25">
      <c r="C21" s="53" t="s">
        <v>5</v>
      </c>
    </row>
    <row r="22" spans="3:10" x14ac:dyDescent="0.25">
      <c r="C22" s="55">
        <v>46148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1163-AB35-4837-A00D-9F9AF33AFD75}">
  <dimension ref="A1:H1043"/>
  <sheetViews>
    <sheetView tabSelected="1" workbookViewId="0">
      <selection activeCell="J7" sqref="J7"/>
    </sheetView>
  </sheetViews>
  <sheetFormatPr baseColWidth="10" defaultColWidth="11.42578125" defaultRowHeight="15" x14ac:dyDescent="0.25"/>
  <cols>
    <col min="2" max="2" width="13.85546875" bestFit="1" customWidth="1"/>
    <col min="3" max="3" width="11.7109375" bestFit="1" customWidth="1"/>
    <col min="4" max="4" width="11.7109375" customWidth="1"/>
    <col min="5" max="5" width="19.28515625" bestFit="1" customWidth="1"/>
    <col min="6" max="8" width="11.28515625" bestFit="1" customWidth="1"/>
  </cols>
  <sheetData>
    <row r="1" spans="1:8" x14ac:dyDescent="0.25">
      <c r="A1" s="5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5" t="s">
        <v>11</v>
      </c>
      <c r="G1" s="5" t="s">
        <v>12</v>
      </c>
      <c r="H1" s="5" t="s">
        <v>13</v>
      </c>
    </row>
    <row r="2" spans="1:8" x14ac:dyDescent="0.25">
      <c r="A2" s="1">
        <v>111</v>
      </c>
      <c r="B2" s="4">
        <v>2994174</v>
      </c>
      <c r="C2" s="3">
        <v>0.06</v>
      </c>
      <c r="D2" s="3">
        <f t="shared" ref="D2:D65" si="0">1-E2</f>
        <v>0.4</v>
      </c>
      <c r="E2" s="1">
        <v>0.6</v>
      </c>
      <c r="F2" s="2">
        <v>0.27</v>
      </c>
      <c r="G2" s="2">
        <v>0.34</v>
      </c>
      <c r="H2" s="2">
        <v>0.3899999999999999</v>
      </c>
    </row>
    <row r="3" spans="1:8" x14ac:dyDescent="0.25">
      <c r="A3" s="1">
        <v>872</v>
      </c>
      <c r="B3" s="4">
        <v>1790147</v>
      </c>
      <c r="C3" s="3">
        <v>0.06</v>
      </c>
      <c r="D3" s="3">
        <f t="shared" si="0"/>
        <v>0.4</v>
      </c>
      <c r="E3" s="1">
        <v>0.6</v>
      </c>
      <c r="F3" s="2">
        <v>0.4</v>
      </c>
      <c r="G3" s="2">
        <v>0.46</v>
      </c>
      <c r="H3" s="2">
        <v>0.14000000000000001</v>
      </c>
    </row>
    <row r="4" spans="1:8" x14ac:dyDescent="0.25">
      <c r="A4" s="1">
        <v>84</v>
      </c>
      <c r="B4" s="4">
        <v>5886251</v>
      </c>
      <c r="C4" s="3">
        <v>5.9900000000000002E-2</v>
      </c>
      <c r="D4" s="3">
        <f t="shared" si="0"/>
        <v>0.6</v>
      </c>
      <c r="E4" s="1">
        <v>0.4</v>
      </c>
      <c r="F4" s="2">
        <v>0.41</v>
      </c>
      <c r="G4" s="2">
        <v>0.24</v>
      </c>
      <c r="H4" s="2">
        <v>0.35000000000000003</v>
      </c>
    </row>
    <row r="5" spans="1:8" x14ac:dyDescent="0.25">
      <c r="A5" s="1">
        <v>263</v>
      </c>
      <c r="B5" s="4">
        <v>4221506</v>
      </c>
      <c r="C5" s="3">
        <v>5.9900000000000002E-2</v>
      </c>
      <c r="D5" s="3">
        <f t="shared" si="0"/>
        <v>0.6</v>
      </c>
      <c r="E5" s="1">
        <v>0.4</v>
      </c>
      <c r="F5" s="2">
        <v>0.27</v>
      </c>
      <c r="G5" s="2">
        <v>0.46</v>
      </c>
      <c r="H5" s="2">
        <v>0.27</v>
      </c>
    </row>
    <row r="6" spans="1:8" x14ac:dyDescent="0.25">
      <c r="A6" s="1">
        <v>324</v>
      </c>
      <c r="B6" s="4">
        <v>2576054</v>
      </c>
      <c r="C6" s="3">
        <v>5.9900000000000002E-2</v>
      </c>
      <c r="D6" s="3">
        <f t="shared" si="0"/>
        <v>0.4</v>
      </c>
      <c r="E6" s="1">
        <v>0.6</v>
      </c>
      <c r="F6" s="2">
        <v>0.16</v>
      </c>
      <c r="G6" s="2">
        <v>0.3</v>
      </c>
      <c r="H6" s="2">
        <v>0.53999999999999992</v>
      </c>
    </row>
    <row r="7" spans="1:8" x14ac:dyDescent="0.25">
      <c r="A7" s="1">
        <v>933</v>
      </c>
      <c r="B7" s="4">
        <v>6851655</v>
      </c>
      <c r="C7" s="3">
        <v>5.9900000000000002E-2</v>
      </c>
      <c r="D7" s="3">
        <f t="shared" si="0"/>
        <v>0.6</v>
      </c>
      <c r="E7" s="1">
        <v>0.4</v>
      </c>
      <c r="F7" s="2">
        <v>0.25</v>
      </c>
      <c r="G7" s="2">
        <v>0.44</v>
      </c>
      <c r="H7" s="2">
        <v>0.31000000000000005</v>
      </c>
    </row>
    <row r="8" spans="1:8" x14ac:dyDescent="0.25">
      <c r="A8" s="1">
        <v>993</v>
      </c>
      <c r="B8" s="4">
        <v>8756975</v>
      </c>
      <c r="C8" s="3">
        <v>5.9900000000000002E-2</v>
      </c>
      <c r="D8" s="3">
        <f t="shared" si="0"/>
        <v>0.7</v>
      </c>
      <c r="E8" s="1">
        <v>0.3</v>
      </c>
      <c r="F8" s="2">
        <v>0.26</v>
      </c>
      <c r="G8" s="2">
        <v>0.33</v>
      </c>
      <c r="H8" s="2">
        <v>0.40999999999999992</v>
      </c>
    </row>
    <row r="9" spans="1:8" x14ac:dyDescent="0.25">
      <c r="A9" s="1">
        <v>10</v>
      </c>
      <c r="B9" s="4">
        <v>9720269</v>
      </c>
      <c r="C9" s="3">
        <v>5.9800000000000006E-2</v>
      </c>
      <c r="D9" s="3">
        <f t="shared" si="0"/>
        <v>0.7</v>
      </c>
      <c r="E9" s="1">
        <v>0.3</v>
      </c>
      <c r="F9" s="2">
        <v>0.28000000000000003</v>
      </c>
      <c r="G9" s="2">
        <v>0.23</v>
      </c>
      <c r="H9" s="2">
        <v>0.49</v>
      </c>
    </row>
    <row r="10" spans="1:8" x14ac:dyDescent="0.25">
      <c r="A10" s="1">
        <v>95</v>
      </c>
      <c r="B10" s="4">
        <v>7922274</v>
      </c>
      <c r="C10" s="3">
        <v>5.9800000000000006E-2</v>
      </c>
      <c r="D10" s="3">
        <f t="shared" si="0"/>
        <v>0.7</v>
      </c>
      <c r="E10" s="1">
        <v>0.3</v>
      </c>
      <c r="F10" s="2">
        <v>0.2</v>
      </c>
      <c r="G10" s="2">
        <v>0.36</v>
      </c>
      <c r="H10" s="2">
        <v>0.44</v>
      </c>
    </row>
    <row r="11" spans="1:8" x14ac:dyDescent="0.25">
      <c r="A11" s="1">
        <v>339</v>
      </c>
      <c r="B11" s="4">
        <v>2533306</v>
      </c>
      <c r="C11" s="3">
        <v>5.9699999999999996E-2</v>
      </c>
      <c r="D11" s="3">
        <f t="shared" si="0"/>
        <v>0.4</v>
      </c>
      <c r="E11" s="1">
        <v>0.6</v>
      </c>
      <c r="F11" s="2">
        <v>0.37</v>
      </c>
      <c r="G11" s="2">
        <v>0.27</v>
      </c>
      <c r="H11" s="2">
        <v>0.36</v>
      </c>
    </row>
    <row r="12" spans="1:8" x14ac:dyDescent="0.25">
      <c r="A12" s="1">
        <v>521</v>
      </c>
      <c r="B12" s="4">
        <v>9478442</v>
      </c>
      <c r="C12" s="3">
        <v>5.9699999999999996E-2</v>
      </c>
      <c r="D12" s="3">
        <f t="shared" si="0"/>
        <v>0.7</v>
      </c>
      <c r="E12" s="1">
        <v>0.3</v>
      </c>
      <c r="F12" s="2">
        <v>0.26</v>
      </c>
      <c r="G12" s="2">
        <v>0.22</v>
      </c>
      <c r="H12" s="2">
        <v>0.52</v>
      </c>
    </row>
    <row r="13" spans="1:8" x14ac:dyDescent="0.25">
      <c r="A13" s="1">
        <v>884</v>
      </c>
      <c r="B13" s="4">
        <v>6311161</v>
      </c>
      <c r="C13" s="3">
        <v>5.9699999999999996E-2</v>
      </c>
      <c r="D13" s="3">
        <f t="shared" si="0"/>
        <v>0.6</v>
      </c>
      <c r="E13" s="1">
        <v>0.4</v>
      </c>
      <c r="F13" s="2">
        <v>0.4</v>
      </c>
      <c r="G13" s="2">
        <v>0.28000000000000003</v>
      </c>
      <c r="H13" s="2">
        <v>0.31999999999999995</v>
      </c>
    </row>
    <row r="14" spans="1:8" x14ac:dyDescent="0.25">
      <c r="A14" s="1">
        <v>76</v>
      </c>
      <c r="B14" s="4">
        <v>955864</v>
      </c>
      <c r="C14" s="3">
        <v>5.9500000000000004E-2</v>
      </c>
      <c r="D14" s="3">
        <f t="shared" si="0"/>
        <v>0.4</v>
      </c>
      <c r="E14" s="1">
        <v>0.6</v>
      </c>
      <c r="F14" s="2">
        <v>0.14000000000000001</v>
      </c>
      <c r="G14" s="2">
        <v>0.35</v>
      </c>
      <c r="H14" s="2">
        <v>0.51</v>
      </c>
    </row>
    <row r="15" spans="1:8" x14ac:dyDescent="0.25">
      <c r="A15" s="1">
        <v>93</v>
      </c>
      <c r="B15" s="4">
        <v>761104</v>
      </c>
      <c r="C15" s="3">
        <v>5.9500000000000004E-2</v>
      </c>
      <c r="D15" s="3">
        <f t="shared" si="0"/>
        <v>0.4</v>
      </c>
      <c r="E15" s="1">
        <v>0.6</v>
      </c>
      <c r="F15" s="2">
        <v>0.14000000000000001</v>
      </c>
      <c r="G15" s="2">
        <v>0.38</v>
      </c>
      <c r="H15" s="2">
        <v>0.48</v>
      </c>
    </row>
    <row r="16" spans="1:8" x14ac:dyDescent="0.25">
      <c r="A16" s="1">
        <v>495</v>
      </c>
      <c r="B16" s="4">
        <v>9854640</v>
      </c>
      <c r="C16" s="3">
        <v>5.9400000000000001E-2</v>
      </c>
      <c r="D16" s="3">
        <f t="shared" si="0"/>
        <v>0.7</v>
      </c>
      <c r="E16" s="1">
        <v>0.3</v>
      </c>
      <c r="F16" s="2">
        <v>0.28000000000000003</v>
      </c>
      <c r="G16" s="2">
        <v>0.44</v>
      </c>
      <c r="H16" s="2">
        <v>0.28000000000000003</v>
      </c>
    </row>
    <row r="17" spans="1:8" x14ac:dyDescent="0.25">
      <c r="A17" s="1">
        <v>945</v>
      </c>
      <c r="B17" s="4">
        <v>961744</v>
      </c>
      <c r="C17" s="3">
        <v>5.9400000000000001E-2</v>
      </c>
      <c r="D17" s="3">
        <f t="shared" si="0"/>
        <v>0.4</v>
      </c>
      <c r="E17" s="1">
        <v>0.6</v>
      </c>
      <c r="F17" s="2">
        <v>0.28000000000000003</v>
      </c>
      <c r="G17" s="2">
        <v>0.43</v>
      </c>
      <c r="H17" s="2">
        <v>0.29000000000000004</v>
      </c>
    </row>
    <row r="18" spans="1:8" x14ac:dyDescent="0.25">
      <c r="A18" s="1">
        <v>540</v>
      </c>
      <c r="B18" s="4">
        <v>8724071</v>
      </c>
      <c r="C18" s="3">
        <v>5.9200000000000003E-2</v>
      </c>
      <c r="D18" s="3">
        <f t="shared" si="0"/>
        <v>0.7</v>
      </c>
      <c r="E18" s="1">
        <v>0.3</v>
      </c>
      <c r="F18" s="2">
        <v>0.28999999999999998</v>
      </c>
      <c r="G18" s="2">
        <v>0.4</v>
      </c>
      <c r="H18" s="2">
        <v>0.31</v>
      </c>
    </row>
    <row r="19" spans="1:8" x14ac:dyDescent="0.25">
      <c r="A19" s="1">
        <v>630</v>
      </c>
      <c r="B19" s="4">
        <v>2288948</v>
      </c>
      <c r="C19" s="3">
        <v>5.9200000000000003E-2</v>
      </c>
      <c r="D19" s="3">
        <f t="shared" si="0"/>
        <v>0.4</v>
      </c>
      <c r="E19" s="1">
        <v>0.6</v>
      </c>
      <c r="F19" s="2">
        <v>0.44</v>
      </c>
      <c r="G19" s="2">
        <v>0.32</v>
      </c>
      <c r="H19" s="2">
        <v>0.23999999999999994</v>
      </c>
    </row>
    <row r="20" spans="1:8" x14ac:dyDescent="0.25">
      <c r="A20" s="1">
        <v>646</v>
      </c>
      <c r="B20" s="4">
        <v>7112900</v>
      </c>
      <c r="C20" s="3">
        <v>5.9200000000000003E-2</v>
      </c>
      <c r="D20" s="3">
        <f t="shared" si="0"/>
        <v>0.7</v>
      </c>
      <c r="E20" s="1">
        <v>0.3</v>
      </c>
      <c r="F20" s="2">
        <v>0.44</v>
      </c>
      <c r="G20" s="2">
        <v>0.25</v>
      </c>
      <c r="H20" s="2">
        <v>0.31</v>
      </c>
    </row>
    <row r="21" spans="1:8" x14ac:dyDescent="0.25">
      <c r="A21" s="1">
        <v>180</v>
      </c>
      <c r="B21" s="4">
        <v>6847188</v>
      </c>
      <c r="C21" s="3">
        <v>5.91E-2</v>
      </c>
      <c r="D21" s="3">
        <f t="shared" si="0"/>
        <v>0.6</v>
      </c>
      <c r="E21" s="1">
        <v>0.4</v>
      </c>
      <c r="F21" s="2">
        <v>0.27</v>
      </c>
      <c r="G21" s="2">
        <v>0.31</v>
      </c>
      <c r="H21" s="2">
        <v>0.41999999999999993</v>
      </c>
    </row>
    <row r="22" spans="1:8" x14ac:dyDescent="0.25">
      <c r="A22" s="1">
        <v>435</v>
      </c>
      <c r="B22" s="4">
        <v>1400786</v>
      </c>
      <c r="C22" s="3">
        <v>5.91E-2</v>
      </c>
      <c r="D22" s="3">
        <f t="shared" si="0"/>
        <v>0.4</v>
      </c>
      <c r="E22" s="1">
        <v>0.6</v>
      </c>
      <c r="F22" s="2">
        <v>0.28999999999999998</v>
      </c>
      <c r="G22" s="2">
        <v>0.5</v>
      </c>
      <c r="H22" s="2">
        <v>0.21000000000000002</v>
      </c>
    </row>
    <row r="23" spans="1:8" x14ac:dyDescent="0.25">
      <c r="A23" s="1">
        <v>748</v>
      </c>
      <c r="B23" s="4">
        <v>7559360</v>
      </c>
      <c r="C23" s="3">
        <v>5.91E-2</v>
      </c>
      <c r="D23" s="3">
        <f t="shared" si="0"/>
        <v>0.7</v>
      </c>
      <c r="E23" s="1">
        <v>0.3</v>
      </c>
      <c r="F23" s="2">
        <v>0.31</v>
      </c>
      <c r="G23" s="2">
        <v>0.28999999999999998</v>
      </c>
      <c r="H23" s="2">
        <v>0.39999999999999997</v>
      </c>
    </row>
    <row r="24" spans="1:8" x14ac:dyDescent="0.25">
      <c r="A24" s="1">
        <v>896</v>
      </c>
      <c r="B24" s="4">
        <v>132862</v>
      </c>
      <c r="C24" s="3">
        <v>5.91E-2</v>
      </c>
      <c r="D24" s="3">
        <f t="shared" si="0"/>
        <v>0.4</v>
      </c>
      <c r="E24" s="1">
        <v>0.6</v>
      </c>
      <c r="F24" s="2">
        <v>0.26</v>
      </c>
      <c r="G24" s="2">
        <v>0.35</v>
      </c>
      <c r="H24" s="2">
        <v>0.39</v>
      </c>
    </row>
    <row r="25" spans="1:8" x14ac:dyDescent="0.25">
      <c r="A25" s="1">
        <v>204</v>
      </c>
      <c r="B25" s="4">
        <v>2151477</v>
      </c>
      <c r="C25" s="3">
        <v>5.9000000000000004E-2</v>
      </c>
      <c r="D25" s="3">
        <f t="shared" si="0"/>
        <v>0.4</v>
      </c>
      <c r="E25" s="1">
        <v>0.6</v>
      </c>
      <c r="F25" s="2">
        <v>0.2</v>
      </c>
      <c r="G25" s="2">
        <v>0.32</v>
      </c>
      <c r="H25" s="2">
        <v>0.47999999999999993</v>
      </c>
    </row>
    <row r="26" spans="1:8" x14ac:dyDescent="0.25">
      <c r="A26" s="1">
        <v>504</v>
      </c>
      <c r="B26" s="4">
        <v>5595187</v>
      </c>
      <c r="C26" s="3">
        <v>5.9000000000000004E-2</v>
      </c>
      <c r="D26" s="3">
        <f t="shared" si="0"/>
        <v>0.6</v>
      </c>
      <c r="E26" s="1">
        <v>0.4</v>
      </c>
      <c r="F26" s="2">
        <v>0.45</v>
      </c>
      <c r="G26" s="2">
        <v>0.47</v>
      </c>
      <c r="H26" s="2">
        <v>8.0000000000000016E-2</v>
      </c>
    </row>
    <row r="27" spans="1:8" x14ac:dyDescent="0.25">
      <c r="A27" s="1">
        <v>764</v>
      </c>
      <c r="B27" s="4">
        <v>5125284</v>
      </c>
      <c r="C27" s="3">
        <v>5.9000000000000004E-2</v>
      </c>
      <c r="D27" s="3">
        <f t="shared" si="0"/>
        <v>0.6</v>
      </c>
      <c r="E27" s="1">
        <v>0.4</v>
      </c>
      <c r="F27" s="2">
        <v>0.28000000000000003</v>
      </c>
      <c r="G27" s="2">
        <v>0.5</v>
      </c>
      <c r="H27" s="2">
        <v>0.21999999999999997</v>
      </c>
    </row>
    <row r="28" spans="1:8" x14ac:dyDescent="0.25">
      <c r="A28" s="1">
        <v>193</v>
      </c>
      <c r="B28" s="4">
        <v>8821398</v>
      </c>
      <c r="C28" s="3">
        <v>5.8899999999999994E-2</v>
      </c>
      <c r="D28" s="3">
        <f t="shared" si="0"/>
        <v>0.7</v>
      </c>
      <c r="E28" s="1">
        <v>0.3</v>
      </c>
      <c r="F28" s="2">
        <v>0.15</v>
      </c>
      <c r="G28" s="2">
        <v>0.36</v>
      </c>
      <c r="H28" s="2">
        <v>0.49</v>
      </c>
    </row>
    <row r="29" spans="1:8" x14ac:dyDescent="0.25">
      <c r="A29" s="1">
        <v>230</v>
      </c>
      <c r="B29" s="4">
        <v>5894397</v>
      </c>
      <c r="C29" s="3">
        <v>5.8899999999999994E-2</v>
      </c>
      <c r="D29" s="3">
        <f t="shared" si="0"/>
        <v>0.6</v>
      </c>
      <c r="E29" s="1">
        <v>0.4</v>
      </c>
      <c r="F29" s="2">
        <v>0.28000000000000003</v>
      </c>
      <c r="G29" s="2">
        <v>0.35</v>
      </c>
      <c r="H29" s="2">
        <v>0.37</v>
      </c>
    </row>
    <row r="30" spans="1:8" x14ac:dyDescent="0.25">
      <c r="A30" s="1">
        <v>105</v>
      </c>
      <c r="B30" s="4">
        <v>6850788</v>
      </c>
      <c r="C30" s="3">
        <v>5.8799999999999998E-2</v>
      </c>
      <c r="D30" s="3">
        <f t="shared" si="0"/>
        <v>0.6</v>
      </c>
      <c r="E30" s="1">
        <v>0.4</v>
      </c>
      <c r="F30" s="2">
        <v>0.28000000000000003</v>
      </c>
      <c r="G30" s="2">
        <v>0.28999999999999998</v>
      </c>
      <c r="H30" s="2">
        <v>0.42999999999999994</v>
      </c>
    </row>
    <row r="31" spans="1:8" x14ac:dyDescent="0.25">
      <c r="A31" s="1">
        <v>528</v>
      </c>
      <c r="B31" s="4">
        <v>2938937</v>
      </c>
      <c r="C31" s="3">
        <v>5.8799999999999998E-2</v>
      </c>
      <c r="D31" s="3">
        <f t="shared" si="0"/>
        <v>0.4</v>
      </c>
      <c r="E31" s="1">
        <v>0.6</v>
      </c>
      <c r="F31" s="2">
        <v>0.45</v>
      </c>
      <c r="G31" s="2">
        <v>0.37</v>
      </c>
      <c r="H31" s="2">
        <v>0.18</v>
      </c>
    </row>
    <row r="32" spans="1:8" x14ac:dyDescent="0.25">
      <c r="A32" s="1">
        <v>534</v>
      </c>
      <c r="B32" s="4">
        <v>121375</v>
      </c>
      <c r="C32" s="3">
        <v>5.8799999999999998E-2</v>
      </c>
      <c r="D32" s="3">
        <f t="shared" si="0"/>
        <v>0.4</v>
      </c>
      <c r="E32" s="1">
        <v>0.6</v>
      </c>
      <c r="F32" s="2">
        <v>0.39</v>
      </c>
      <c r="G32" s="2">
        <v>0.47</v>
      </c>
      <c r="H32" s="2">
        <v>0.14000000000000001</v>
      </c>
    </row>
    <row r="33" spans="1:8" x14ac:dyDescent="0.25">
      <c r="A33" s="1">
        <v>104</v>
      </c>
      <c r="B33" s="4">
        <v>1721862</v>
      </c>
      <c r="C33" s="3">
        <v>5.8700000000000002E-2</v>
      </c>
      <c r="D33" s="3">
        <f t="shared" si="0"/>
        <v>0.4</v>
      </c>
      <c r="E33" s="1">
        <v>0.6</v>
      </c>
      <c r="F33" s="2">
        <v>0.4</v>
      </c>
      <c r="G33" s="2">
        <v>0.4</v>
      </c>
      <c r="H33" s="2">
        <v>0.19999999999999996</v>
      </c>
    </row>
    <row r="34" spans="1:8" x14ac:dyDescent="0.25">
      <c r="A34" s="1">
        <v>217</v>
      </c>
      <c r="B34" s="4">
        <v>8025234</v>
      </c>
      <c r="C34" s="3">
        <v>5.8700000000000002E-2</v>
      </c>
      <c r="D34" s="3">
        <f t="shared" si="0"/>
        <v>0.7</v>
      </c>
      <c r="E34" s="1">
        <v>0.3</v>
      </c>
      <c r="F34" s="2">
        <v>0.22</v>
      </c>
      <c r="G34" s="2">
        <v>0.25</v>
      </c>
      <c r="H34" s="2">
        <v>0.53</v>
      </c>
    </row>
    <row r="35" spans="1:8" x14ac:dyDescent="0.25">
      <c r="A35" s="1">
        <v>632</v>
      </c>
      <c r="B35" s="4">
        <v>3361596</v>
      </c>
      <c r="C35" s="3">
        <v>5.8700000000000002E-2</v>
      </c>
      <c r="D35" s="3">
        <f t="shared" si="0"/>
        <v>0.6</v>
      </c>
      <c r="E35" s="1">
        <v>0.4</v>
      </c>
      <c r="F35" s="2">
        <v>0.28999999999999998</v>
      </c>
      <c r="G35" s="2">
        <v>0.22</v>
      </c>
      <c r="H35" s="2">
        <v>0.49000000000000005</v>
      </c>
    </row>
    <row r="36" spans="1:8" x14ac:dyDescent="0.25">
      <c r="A36" s="1">
        <v>431</v>
      </c>
      <c r="B36" s="4">
        <v>6907613</v>
      </c>
      <c r="C36" s="3">
        <v>5.8600000000000006E-2</v>
      </c>
      <c r="D36" s="3">
        <f t="shared" si="0"/>
        <v>0.6</v>
      </c>
      <c r="E36" s="1">
        <v>0.4</v>
      </c>
      <c r="F36" s="2">
        <v>0.43</v>
      </c>
      <c r="G36" s="2">
        <v>0.2</v>
      </c>
      <c r="H36" s="2">
        <v>0.37000000000000005</v>
      </c>
    </row>
    <row r="37" spans="1:8" x14ac:dyDescent="0.25">
      <c r="A37" s="1">
        <v>460</v>
      </c>
      <c r="B37" s="4">
        <v>2648350</v>
      </c>
      <c r="C37" s="3">
        <v>5.8600000000000006E-2</v>
      </c>
      <c r="D37" s="3">
        <f t="shared" si="0"/>
        <v>0.4</v>
      </c>
      <c r="E37" s="1">
        <v>0.6</v>
      </c>
      <c r="F37" s="2">
        <v>0.25</v>
      </c>
      <c r="G37" s="2">
        <v>0.24</v>
      </c>
      <c r="H37" s="2">
        <v>0.51</v>
      </c>
    </row>
    <row r="38" spans="1:8" x14ac:dyDescent="0.25">
      <c r="A38" s="1">
        <v>1017</v>
      </c>
      <c r="B38" s="4">
        <v>5682334</v>
      </c>
      <c r="C38" s="3">
        <v>5.8600000000000006E-2</v>
      </c>
      <c r="D38" s="3">
        <f t="shared" si="0"/>
        <v>0.6</v>
      </c>
      <c r="E38" s="1">
        <v>0.4</v>
      </c>
      <c r="F38" s="2">
        <v>0.12</v>
      </c>
      <c r="G38" s="2">
        <v>0.28999999999999998</v>
      </c>
      <c r="H38" s="2">
        <v>0.59</v>
      </c>
    </row>
    <row r="39" spans="1:8" x14ac:dyDescent="0.25">
      <c r="A39" s="1">
        <v>96</v>
      </c>
      <c r="B39" s="4">
        <v>6279063</v>
      </c>
      <c r="C39" s="3">
        <v>5.8499999999999996E-2</v>
      </c>
      <c r="D39" s="3">
        <f t="shared" si="0"/>
        <v>0.6</v>
      </c>
      <c r="E39" s="1">
        <v>0.4</v>
      </c>
      <c r="F39" s="2">
        <v>0.37</v>
      </c>
      <c r="G39" s="2">
        <v>0.41</v>
      </c>
      <c r="H39" s="2">
        <v>0.22000000000000008</v>
      </c>
    </row>
    <row r="40" spans="1:8" x14ac:dyDescent="0.25">
      <c r="A40" s="1">
        <v>799</v>
      </c>
      <c r="B40" s="4">
        <v>9983449</v>
      </c>
      <c r="C40" s="3">
        <v>5.8400000000000001E-2</v>
      </c>
      <c r="D40" s="3">
        <f t="shared" si="0"/>
        <v>0.7</v>
      </c>
      <c r="E40" s="1">
        <v>0.3</v>
      </c>
      <c r="F40" s="2">
        <v>0.38</v>
      </c>
      <c r="G40" s="2">
        <v>0.24</v>
      </c>
      <c r="H40" s="2">
        <v>0.38</v>
      </c>
    </row>
    <row r="41" spans="1:8" x14ac:dyDescent="0.25">
      <c r="A41" s="1">
        <v>620</v>
      </c>
      <c r="B41" s="4">
        <v>2433055</v>
      </c>
      <c r="C41" s="3">
        <v>5.8299999999999998E-2</v>
      </c>
      <c r="D41" s="3">
        <f t="shared" si="0"/>
        <v>0.4</v>
      </c>
      <c r="E41" s="1">
        <v>0.6</v>
      </c>
      <c r="F41" s="2">
        <v>0.17</v>
      </c>
      <c r="G41" s="2">
        <v>0.44</v>
      </c>
      <c r="H41" s="2">
        <v>0.39</v>
      </c>
    </row>
    <row r="42" spans="1:8" x14ac:dyDescent="0.25">
      <c r="A42" s="1">
        <v>862</v>
      </c>
      <c r="B42" s="4">
        <v>5197330</v>
      </c>
      <c r="C42" s="3">
        <v>5.8299999999999998E-2</v>
      </c>
      <c r="D42" s="3">
        <f t="shared" si="0"/>
        <v>0.6</v>
      </c>
      <c r="E42" s="1">
        <v>0.4</v>
      </c>
      <c r="F42" s="2">
        <v>0.38</v>
      </c>
      <c r="G42" s="2">
        <v>0.5</v>
      </c>
      <c r="H42" s="2">
        <v>0.12</v>
      </c>
    </row>
    <row r="43" spans="1:8" x14ac:dyDescent="0.25">
      <c r="A43" s="1">
        <v>937</v>
      </c>
      <c r="B43" s="4">
        <v>4012231</v>
      </c>
      <c r="C43" s="3">
        <v>5.8299999999999998E-2</v>
      </c>
      <c r="D43" s="3">
        <f t="shared" si="0"/>
        <v>0.6</v>
      </c>
      <c r="E43" s="1">
        <v>0.4</v>
      </c>
      <c r="F43" s="2">
        <v>0.21</v>
      </c>
      <c r="G43" s="2">
        <v>0.23</v>
      </c>
      <c r="H43" s="2">
        <v>0.56000000000000005</v>
      </c>
    </row>
    <row r="44" spans="1:8" x14ac:dyDescent="0.25">
      <c r="A44" s="1">
        <v>596</v>
      </c>
      <c r="B44" s="4">
        <v>1429611</v>
      </c>
      <c r="C44" s="3">
        <v>5.8200000000000002E-2</v>
      </c>
      <c r="D44" s="3">
        <f t="shared" si="0"/>
        <v>0.4</v>
      </c>
      <c r="E44" s="1">
        <v>0.6</v>
      </c>
      <c r="F44" s="2">
        <v>0.42</v>
      </c>
      <c r="G44" s="2">
        <v>0.28999999999999998</v>
      </c>
      <c r="H44" s="2">
        <v>0.28999999999999998</v>
      </c>
    </row>
    <row r="45" spans="1:8" x14ac:dyDescent="0.25">
      <c r="A45" s="1">
        <v>823</v>
      </c>
      <c r="B45" s="4">
        <v>4501793</v>
      </c>
      <c r="C45" s="3">
        <v>5.8200000000000002E-2</v>
      </c>
      <c r="D45" s="3">
        <f t="shared" si="0"/>
        <v>0.6</v>
      </c>
      <c r="E45" s="1">
        <v>0.4</v>
      </c>
      <c r="F45" s="2">
        <v>0.1</v>
      </c>
      <c r="G45" s="2">
        <v>0.28999999999999998</v>
      </c>
      <c r="H45" s="2">
        <v>0.61</v>
      </c>
    </row>
    <row r="46" spans="1:8" x14ac:dyDescent="0.25">
      <c r="A46" s="1">
        <v>12</v>
      </c>
      <c r="B46" s="4">
        <v>6634913</v>
      </c>
      <c r="C46" s="3">
        <v>5.8099999999999999E-2</v>
      </c>
      <c r="D46" s="3">
        <f t="shared" si="0"/>
        <v>0.6</v>
      </c>
      <c r="E46" s="1">
        <v>0.4</v>
      </c>
      <c r="F46" s="2">
        <v>0.17</v>
      </c>
      <c r="G46" s="2">
        <v>0.39</v>
      </c>
      <c r="H46" s="2">
        <v>0.43999999999999995</v>
      </c>
    </row>
    <row r="47" spans="1:8" x14ac:dyDescent="0.25">
      <c r="A47" s="1">
        <v>588</v>
      </c>
      <c r="B47" s="4">
        <v>5509213</v>
      </c>
      <c r="C47" s="3">
        <v>5.8099999999999999E-2</v>
      </c>
      <c r="D47" s="3">
        <f t="shared" si="0"/>
        <v>0.6</v>
      </c>
      <c r="E47" s="1">
        <v>0.4</v>
      </c>
      <c r="F47" s="2">
        <v>0.16</v>
      </c>
      <c r="G47" s="2">
        <v>0.25</v>
      </c>
      <c r="H47" s="2">
        <v>0.59</v>
      </c>
    </row>
    <row r="48" spans="1:8" x14ac:dyDescent="0.25">
      <c r="A48" s="1">
        <v>211</v>
      </c>
      <c r="B48" s="4">
        <v>8003575</v>
      </c>
      <c r="C48" s="3">
        <v>5.7999999999999996E-2</v>
      </c>
      <c r="D48" s="3">
        <f t="shared" si="0"/>
        <v>0.7</v>
      </c>
      <c r="E48" s="1">
        <v>0.3</v>
      </c>
      <c r="F48" s="2">
        <v>0.18</v>
      </c>
      <c r="G48" s="2">
        <v>0.39</v>
      </c>
      <c r="H48" s="2">
        <v>0.43</v>
      </c>
    </row>
    <row r="49" spans="1:8" x14ac:dyDescent="0.25">
      <c r="A49" s="1">
        <v>677</v>
      </c>
      <c r="B49" s="4">
        <v>6996219</v>
      </c>
      <c r="C49" s="3">
        <v>5.7999999999999996E-2</v>
      </c>
      <c r="D49" s="3">
        <f t="shared" si="0"/>
        <v>0.6</v>
      </c>
      <c r="E49" s="1">
        <v>0.4</v>
      </c>
      <c r="F49" s="2">
        <v>0.17</v>
      </c>
      <c r="G49" s="2">
        <v>0.28000000000000003</v>
      </c>
      <c r="H49" s="2">
        <v>0.54999999999999993</v>
      </c>
    </row>
    <row r="50" spans="1:8" x14ac:dyDescent="0.25">
      <c r="A50" s="1">
        <v>676</v>
      </c>
      <c r="B50" s="4">
        <v>2933752</v>
      </c>
      <c r="C50" s="3">
        <v>5.79E-2</v>
      </c>
      <c r="D50" s="3">
        <f t="shared" si="0"/>
        <v>0.4</v>
      </c>
      <c r="E50" s="1">
        <v>0.6</v>
      </c>
      <c r="F50" s="2">
        <v>0.33</v>
      </c>
      <c r="G50" s="2">
        <v>0.43</v>
      </c>
      <c r="H50" s="2">
        <v>0.24000000000000005</v>
      </c>
    </row>
    <row r="51" spans="1:8" x14ac:dyDescent="0.25">
      <c r="A51" s="1">
        <v>985</v>
      </c>
      <c r="B51" s="4">
        <v>4134405</v>
      </c>
      <c r="C51" s="3">
        <v>5.79E-2</v>
      </c>
      <c r="D51" s="3">
        <f t="shared" si="0"/>
        <v>0.6</v>
      </c>
      <c r="E51" s="1">
        <v>0.4</v>
      </c>
      <c r="F51" s="2">
        <v>0.36</v>
      </c>
      <c r="G51" s="2">
        <v>0.26</v>
      </c>
      <c r="H51" s="2">
        <v>0.38</v>
      </c>
    </row>
    <row r="52" spans="1:8" x14ac:dyDescent="0.25">
      <c r="A52" s="1">
        <v>408</v>
      </c>
      <c r="B52" s="4">
        <v>2527592</v>
      </c>
      <c r="C52" s="3">
        <v>5.7800000000000004E-2</v>
      </c>
      <c r="D52" s="3">
        <f t="shared" si="0"/>
        <v>0.4</v>
      </c>
      <c r="E52" s="1">
        <v>0.6</v>
      </c>
      <c r="F52" s="2">
        <v>0.19</v>
      </c>
      <c r="G52" s="2">
        <v>0.5</v>
      </c>
      <c r="H52" s="2">
        <v>0.31</v>
      </c>
    </row>
    <row r="53" spans="1:8" x14ac:dyDescent="0.25">
      <c r="A53" s="1">
        <v>963</v>
      </c>
      <c r="B53" s="4">
        <v>7909479</v>
      </c>
      <c r="C53" s="3">
        <v>5.7800000000000004E-2</v>
      </c>
      <c r="D53" s="3">
        <f t="shared" si="0"/>
        <v>0.7</v>
      </c>
      <c r="E53" s="1">
        <v>0.3</v>
      </c>
      <c r="F53" s="2">
        <v>0.22</v>
      </c>
      <c r="G53" s="2">
        <v>0.44</v>
      </c>
      <c r="H53" s="2">
        <v>0.34000000000000008</v>
      </c>
    </row>
    <row r="54" spans="1:8" x14ac:dyDescent="0.25">
      <c r="A54" s="1">
        <v>120</v>
      </c>
      <c r="B54" s="4">
        <v>4687106</v>
      </c>
      <c r="C54" s="3">
        <v>5.7699999999999994E-2</v>
      </c>
      <c r="D54" s="3">
        <f t="shared" si="0"/>
        <v>0.6</v>
      </c>
      <c r="E54" s="1">
        <v>0.4</v>
      </c>
      <c r="F54" s="2">
        <v>0.21</v>
      </c>
      <c r="G54" s="2">
        <v>0.32</v>
      </c>
      <c r="H54" s="2">
        <v>0.47</v>
      </c>
    </row>
    <row r="55" spans="1:8" x14ac:dyDescent="0.25">
      <c r="A55" s="1">
        <v>252</v>
      </c>
      <c r="B55" s="4">
        <v>6816708</v>
      </c>
      <c r="C55" s="3">
        <v>5.7699999999999994E-2</v>
      </c>
      <c r="D55" s="3">
        <f t="shared" si="0"/>
        <v>0.6</v>
      </c>
      <c r="E55" s="1">
        <v>0.4</v>
      </c>
      <c r="F55" s="2">
        <v>0.21</v>
      </c>
      <c r="G55" s="2">
        <v>0.43</v>
      </c>
      <c r="H55" s="2">
        <v>0.3600000000000001</v>
      </c>
    </row>
    <row r="56" spans="1:8" x14ac:dyDescent="0.25">
      <c r="A56" s="1">
        <v>467</v>
      </c>
      <c r="B56" s="4">
        <v>3479612</v>
      </c>
      <c r="C56" s="3">
        <v>5.7599999999999998E-2</v>
      </c>
      <c r="D56" s="3">
        <f t="shared" si="0"/>
        <v>0.6</v>
      </c>
      <c r="E56" s="1">
        <v>0.4</v>
      </c>
      <c r="F56" s="2">
        <v>0.24</v>
      </c>
      <c r="G56" s="2">
        <v>0.31</v>
      </c>
      <c r="H56" s="2">
        <v>0.44999999999999996</v>
      </c>
    </row>
    <row r="57" spans="1:8" x14ac:dyDescent="0.25">
      <c r="A57" s="1">
        <v>554</v>
      </c>
      <c r="B57" s="4">
        <v>3805933</v>
      </c>
      <c r="C57" s="3">
        <v>5.7500000000000002E-2</v>
      </c>
      <c r="D57" s="3">
        <f t="shared" si="0"/>
        <v>0.6</v>
      </c>
      <c r="E57" s="1">
        <v>0.4</v>
      </c>
      <c r="F57" s="2">
        <v>0.28000000000000003</v>
      </c>
      <c r="G57" s="2">
        <v>0.27</v>
      </c>
      <c r="H57" s="2">
        <v>0.44999999999999996</v>
      </c>
    </row>
    <row r="58" spans="1:8" x14ac:dyDescent="0.25">
      <c r="A58" s="1">
        <v>592</v>
      </c>
      <c r="B58" s="4">
        <v>6296302</v>
      </c>
      <c r="C58" s="3">
        <v>5.7500000000000002E-2</v>
      </c>
      <c r="D58" s="3">
        <f t="shared" si="0"/>
        <v>0.6</v>
      </c>
      <c r="E58" s="1">
        <v>0.4</v>
      </c>
      <c r="F58" s="2">
        <v>0.21</v>
      </c>
      <c r="G58" s="2">
        <v>0.32</v>
      </c>
      <c r="H58" s="2">
        <v>0.47</v>
      </c>
    </row>
    <row r="59" spans="1:8" x14ac:dyDescent="0.25">
      <c r="A59" s="1">
        <v>347</v>
      </c>
      <c r="B59" s="4">
        <v>8422823</v>
      </c>
      <c r="C59" s="3">
        <v>5.74E-2</v>
      </c>
      <c r="D59" s="3">
        <f t="shared" si="0"/>
        <v>0.7</v>
      </c>
      <c r="E59" s="1">
        <v>0.3</v>
      </c>
      <c r="F59" s="2">
        <v>0.31</v>
      </c>
      <c r="G59" s="2">
        <v>0.31</v>
      </c>
      <c r="H59" s="2">
        <v>0.37999999999999995</v>
      </c>
    </row>
    <row r="60" spans="1:8" x14ac:dyDescent="0.25">
      <c r="A60" s="1">
        <v>440</v>
      </c>
      <c r="B60" s="4">
        <v>6097466</v>
      </c>
      <c r="C60" s="3">
        <v>5.74E-2</v>
      </c>
      <c r="D60" s="3">
        <f t="shared" si="0"/>
        <v>0.6</v>
      </c>
      <c r="E60" s="1">
        <v>0.4</v>
      </c>
      <c r="F60" s="2">
        <v>0.34</v>
      </c>
      <c r="G60" s="2">
        <v>0.22</v>
      </c>
      <c r="H60" s="2">
        <v>0.44</v>
      </c>
    </row>
    <row r="61" spans="1:8" x14ac:dyDescent="0.25">
      <c r="A61" s="1">
        <v>781</v>
      </c>
      <c r="B61" s="4">
        <v>7905861</v>
      </c>
      <c r="C61" s="3">
        <v>5.74E-2</v>
      </c>
      <c r="D61" s="3">
        <f t="shared" si="0"/>
        <v>0.7</v>
      </c>
      <c r="E61" s="1">
        <v>0.3</v>
      </c>
      <c r="F61" s="2">
        <v>0.34</v>
      </c>
      <c r="G61" s="2">
        <v>0.25</v>
      </c>
      <c r="H61" s="2">
        <v>0.41</v>
      </c>
    </row>
    <row r="62" spans="1:8" x14ac:dyDescent="0.25">
      <c r="A62" s="1">
        <v>816</v>
      </c>
      <c r="B62" s="4">
        <v>6363725</v>
      </c>
      <c r="C62" s="3">
        <v>5.7300000000000004E-2</v>
      </c>
      <c r="D62" s="3">
        <f t="shared" si="0"/>
        <v>0.6</v>
      </c>
      <c r="E62" s="1">
        <v>0.4</v>
      </c>
      <c r="F62" s="2">
        <v>0.15</v>
      </c>
      <c r="G62" s="2">
        <v>0.47</v>
      </c>
      <c r="H62" s="2">
        <v>0.38</v>
      </c>
    </row>
    <row r="63" spans="1:8" x14ac:dyDescent="0.25">
      <c r="A63" s="1">
        <v>131</v>
      </c>
      <c r="B63" s="4">
        <v>8675428</v>
      </c>
      <c r="C63" s="3">
        <v>5.7200000000000001E-2</v>
      </c>
      <c r="D63" s="3">
        <f t="shared" si="0"/>
        <v>0.7</v>
      </c>
      <c r="E63" s="1">
        <v>0.3</v>
      </c>
      <c r="F63" s="2">
        <v>0.12</v>
      </c>
      <c r="G63" s="2">
        <v>0.45</v>
      </c>
      <c r="H63" s="2">
        <v>0.43000000000000005</v>
      </c>
    </row>
    <row r="64" spans="1:8" x14ac:dyDescent="0.25">
      <c r="A64" s="1">
        <v>958</v>
      </c>
      <c r="B64" s="4">
        <v>521293</v>
      </c>
      <c r="C64" s="3">
        <v>5.7200000000000001E-2</v>
      </c>
      <c r="D64" s="3">
        <f t="shared" si="0"/>
        <v>0.4</v>
      </c>
      <c r="E64" s="1">
        <v>0.6</v>
      </c>
      <c r="F64" s="2">
        <v>0.12</v>
      </c>
      <c r="G64" s="2">
        <v>0.37</v>
      </c>
      <c r="H64" s="2">
        <v>0.51</v>
      </c>
    </row>
    <row r="65" spans="1:8" x14ac:dyDescent="0.25">
      <c r="A65" s="1">
        <v>979</v>
      </c>
      <c r="B65" s="4">
        <v>938248</v>
      </c>
      <c r="C65" s="3">
        <v>5.7200000000000001E-2</v>
      </c>
      <c r="D65" s="3">
        <f t="shared" si="0"/>
        <v>0.4</v>
      </c>
      <c r="E65" s="1">
        <v>0.6</v>
      </c>
      <c r="F65" s="2">
        <v>0.4</v>
      </c>
      <c r="G65" s="2">
        <v>0.46</v>
      </c>
      <c r="H65" s="2">
        <v>0.14000000000000001</v>
      </c>
    </row>
    <row r="66" spans="1:8" x14ac:dyDescent="0.25">
      <c r="A66" s="1">
        <v>33</v>
      </c>
      <c r="B66" s="4">
        <v>5961998</v>
      </c>
      <c r="C66" s="3">
        <v>5.7099999999999998E-2</v>
      </c>
      <c r="D66" s="3">
        <f t="shared" ref="D66:D129" si="1">1-E66</f>
        <v>0.6</v>
      </c>
      <c r="E66" s="1">
        <v>0.4</v>
      </c>
      <c r="F66" s="2">
        <v>0.42</v>
      </c>
      <c r="G66" s="2">
        <v>0.28000000000000003</v>
      </c>
      <c r="H66" s="2">
        <v>0.3</v>
      </c>
    </row>
    <row r="67" spans="1:8" x14ac:dyDescent="0.25">
      <c r="A67" s="1">
        <v>334</v>
      </c>
      <c r="B67" s="4">
        <v>9402034</v>
      </c>
      <c r="C67" s="3">
        <v>5.7099999999999998E-2</v>
      </c>
      <c r="D67" s="3">
        <f t="shared" si="1"/>
        <v>0.7</v>
      </c>
      <c r="E67" s="1">
        <v>0.3</v>
      </c>
      <c r="F67" s="2">
        <v>0.24</v>
      </c>
      <c r="G67" s="2">
        <v>0.46</v>
      </c>
      <c r="H67" s="2">
        <v>0.30000000000000004</v>
      </c>
    </row>
    <row r="68" spans="1:8" x14ac:dyDescent="0.25">
      <c r="A68" s="1">
        <v>261</v>
      </c>
      <c r="B68" s="4">
        <v>579034</v>
      </c>
      <c r="C68" s="3">
        <v>5.7000000000000002E-2</v>
      </c>
      <c r="D68" s="3">
        <f t="shared" si="1"/>
        <v>0.4</v>
      </c>
      <c r="E68" s="1">
        <v>0.6</v>
      </c>
      <c r="F68" s="2">
        <v>0.3</v>
      </c>
      <c r="G68" s="2">
        <v>0.42</v>
      </c>
      <c r="H68" s="2">
        <v>0.28000000000000008</v>
      </c>
    </row>
    <row r="69" spans="1:8" x14ac:dyDescent="0.25">
      <c r="A69" s="1">
        <v>333</v>
      </c>
      <c r="B69" s="4">
        <v>8320743</v>
      </c>
      <c r="C69" s="3">
        <v>5.7000000000000002E-2</v>
      </c>
      <c r="D69" s="3">
        <f t="shared" si="1"/>
        <v>0.7</v>
      </c>
      <c r="E69" s="1">
        <v>0.3</v>
      </c>
      <c r="F69" s="2">
        <v>0.44</v>
      </c>
      <c r="G69" s="2">
        <v>0.28000000000000003</v>
      </c>
      <c r="H69" s="2">
        <v>0.27999999999999997</v>
      </c>
    </row>
    <row r="70" spans="1:8" x14ac:dyDescent="0.25">
      <c r="A70" s="1">
        <v>67</v>
      </c>
      <c r="B70" s="4">
        <v>8049011</v>
      </c>
      <c r="C70" s="3">
        <v>5.6900000000000006E-2</v>
      </c>
      <c r="D70" s="3">
        <f t="shared" si="1"/>
        <v>0.7</v>
      </c>
      <c r="E70" s="1">
        <v>0.3</v>
      </c>
      <c r="F70" s="2">
        <v>0.14000000000000001</v>
      </c>
      <c r="G70" s="2">
        <v>0.2</v>
      </c>
      <c r="H70" s="2">
        <v>0.66</v>
      </c>
    </row>
    <row r="71" spans="1:8" x14ac:dyDescent="0.25">
      <c r="A71" s="1">
        <v>439</v>
      </c>
      <c r="B71" s="4">
        <v>6225918</v>
      </c>
      <c r="C71" s="3">
        <v>5.6900000000000006E-2</v>
      </c>
      <c r="D71" s="3">
        <f t="shared" si="1"/>
        <v>0.6</v>
      </c>
      <c r="E71" s="1">
        <v>0.4</v>
      </c>
      <c r="F71" s="2">
        <v>0.13</v>
      </c>
      <c r="G71" s="2">
        <v>0.43</v>
      </c>
      <c r="H71" s="2">
        <v>0.44000000000000006</v>
      </c>
    </row>
    <row r="72" spans="1:8" x14ac:dyDescent="0.25">
      <c r="A72" s="1">
        <v>637</v>
      </c>
      <c r="B72" s="4">
        <v>2769690</v>
      </c>
      <c r="C72" s="3">
        <v>5.6799999999999996E-2</v>
      </c>
      <c r="D72" s="3">
        <f t="shared" si="1"/>
        <v>0.4</v>
      </c>
      <c r="E72" s="1">
        <v>0.6</v>
      </c>
      <c r="F72" s="2">
        <v>0.18</v>
      </c>
      <c r="G72" s="2">
        <v>0.26</v>
      </c>
      <c r="H72" s="2">
        <v>0.56000000000000005</v>
      </c>
    </row>
    <row r="73" spans="1:8" x14ac:dyDescent="0.25">
      <c r="A73" s="1">
        <v>424</v>
      </c>
      <c r="B73" s="4">
        <v>722594</v>
      </c>
      <c r="C73" s="3">
        <v>5.6600000000000004E-2</v>
      </c>
      <c r="D73" s="3">
        <f t="shared" si="1"/>
        <v>0.4</v>
      </c>
      <c r="E73" s="1">
        <v>0.6</v>
      </c>
      <c r="F73" s="2">
        <v>0.25</v>
      </c>
      <c r="G73" s="2">
        <v>0.49</v>
      </c>
      <c r="H73" s="2">
        <v>0.26</v>
      </c>
    </row>
    <row r="74" spans="1:8" x14ac:dyDescent="0.25">
      <c r="A74" s="1">
        <v>459</v>
      </c>
      <c r="B74" s="4">
        <v>5410150</v>
      </c>
      <c r="C74" s="3">
        <v>5.6399999999999999E-2</v>
      </c>
      <c r="D74" s="3">
        <f t="shared" si="1"/>
        <v>0.6</v>
      </c>
      <c r="E74" s="1">
        <v>0.4</v>
      </c>
      <c r="F74" s="2">
        <v>0.14000000000000001</v>
      </c>
      <c r="G74" s="2">
        <v>0.47</v>
      </c>
      <c r="H74" s="2">
        <v>0.39</v>
      </c>
    </row>
    <row r="75" spans="1:8" x14ac:dyDescent="0.25">
      <c r="A75" s="1">
        <v>947</v>
      </c>
      <c r="B75" s="4">
        <v>5501895</v>
      </c>
      <c r="C75" s="3">
        <v>5.6299999999999996E-2</v>
      </c>
      <c r="D75" s="3">
        <f t="shared" si="1"/>
        <v>0.6</v>
      </c>
      <c r="E75" s="1">
        <v>0.4</v>
      </c>
      <c r="F75" s="2">
        <v>0.44</v>
      </c>
      <c r="G75" s="2">
        <v>0.21</v>
      </c>
      <c r="H75" s="2">
        <v>0.35000000000000003</v>
      </c>
    </row>
    <row r="76" spans="1:8" x14ac:dyDescent="0.25">
      <c r="A76" s="1">
        <v>977</v>
      </c>
      <c r="B76" s="4">
        <v>1339023</v>
      </c>
      <c r="C76" s="3">
        <v>5.6299999999999996E-2</v>
      </c>
      <c r="D76" s="3">
        <f t="shared" si="1"/>
        <v>0.4</v>
      </c>
      <c r="E76" s="1">
        <v>0.6</v>
      </c>
      <c r="F76" s="2">
        <v>0.28000000000000003</v>
      </c>
      <c r="G76" s="2">
        <v>0.45</v>
      </c>
      <c r="H76" s="2">
        <v>0.27</v>
      </c>
    </row>
    <row r="77" spans="1:8" x14ac:dyDescent="0.25">
      <c r="A77" s="1">
        <v>982</v>
      </c>
      <c r="B77" s="4">
        <v>7542021</v>
      </c>
      <c r="C77" s="3">
        <v>5.6299999999999996E-2</v>
      </c>
      <c r="D77" s="3">
        <f t="shared" si="1"/>
        <v>0.7</v>
      </c>
      <c r="E77" s="1">
        <v>0.3</v>
      </c>
      <c r="F77" s="2">
        <v>0.25</v>
      </c>
      <c r="G77" s="2">
        <v>0.49</v>
      </c>
      <c r="H77" s="2">
        <v>0.26</v>
      </c>
    </row>
    <row r="78" spans="1:8" x14ac:dyDescent="0.25">
      <c r="A78" s="1">
        <v>92</v>
      </c>
      <c r="B78" s="4">
        <v>7824263</v>
      </c>
      <c r="C78" s="3">
        <v>5.62E-2</v>
      </c>
      <c r="D78" s="3">
        <f t="shared" si="1"/>
        <v>0.7</v>
      </c>
      <c r="E78" s="1">
        <v>0.3</v>
      </c>
      <c r="F78" s="2">
        <v>0.38</v>
      </c>
      <c r="G78" s="2">
        <v>0.36</v>
      </c>
      <c r="H78" s="2">
        <v>0.26</v>
      </c>
    </row>
    <row r="79" spans="1:8" x14ac:dyDescent="0.25">
      <c r="A79" s="1">
        <v>530</v>
      </c>
      <c r="B79" s="4">
        <v>8421527</v>
      </c>
      <c r="C79" s="3">
        <v>5.62E-2</v>
      </c>
      <c r="D79" s="3">
        <f t="shared" si="1"/>
        <v>0.7</v>
      </c>
      <c r="E79" s="1">
        <v>0.3</v>
      </c>
      <c r="F79" s="2">
        <v>0.15</v>
      </c>
      <c r="G79" s="2">
        <v>0.3</v>
      </c>
      <c r="H79" s="2">
        <v>0.54999999999999993</v>
      </c>
    </row>
    <row r="80" spans="1:8" x14ac:dyDescent="0.25">
      <c r="A80" s="1">
        <v>628</v>
      </c>
      <c r="B80" s="4">
        <v>6338420</v>
      </c>
      <c r="C80" s="3">
        <v>5.62E-2</v>
      </c>
      <c r="D80" s="3">
        <f t="shared" si="1"/>
        <v>0.6</v>
      </c>
      <c r="E80" s="1">
        <v>0.4</v>
      </c>
      <c r="F80" s="2">
        <v>0.17</v>
      </c>
      <c r="G80" s="2">
        <v>0.46</v>
      </c>
      <c r="H80" s="2">
        <v>0.37</v>
      </c>
    </row>
    <row r="81" spans="1:8" x14ac:dyDescent="0.25">
      <c r="A81" s="1">
        <v>326</v>
      </c>
      <c r="B81" s="4">
        <v>4513497</v>
      </c>
      <c r="C81" s="3">
        <v>5.6100000000000004E-2</v>
      </c>
      <c r="D81" s="3">
        <f t="shared" si="1"/>
        <v>0.6</v>
      </c>
      <c r="E81" s="1">
        <v>0.4</v>
      </c>
      <c r="F81" s="2">
        <v>0.18</v>
      </c>
      <c r="G81" s="2">
        <v>0.31</v>
      </c>
      <c r="H81" s="2">
        <v>0.51</v>
      </c>
    </row>
    <row r="82" spans="1:8" x14ac:dyDescent="0.25">
      <c r="A82" s="1">
        <v>971</v>
      </c>
      <c r="B82" s="4">
        <v>1058596</v>
      </c>
      <c r="C82" s="3">
        <v>5.6100000000000004E-2</v>
      </c>
      <c r="D82" s="3">
        <f t="shared" si="1"/>
        <v>0.4</v>
      </c>
      <c r="E82" s="1">
        <v>0.6</v>
      </c>
      <c r="F82" s="2">
        <v>0.24</v>
      </c>
      <c r="G82" s="2">
        <v>0.48</v>
      </c>
      <c r="H82" s="2">
        <v>0.28000000000000003</v>
      </c>
    </row>
    <row r="83" spans="1:8" x14ac:dyDescent="0.25">
      <c r="A83" s="1">
        <v>322</v>
      </c>
      <c r="B83" s="4">
        <v>1967157</v>
      </c>
      <c r="C83" s="3">
        <v>5.5999999999999994E-2</v>
      </c>
      <c r="D83" s="3">
        <f t="shared" si="1"/>
        <v>0.4</v>
      </c>
      <c r="E83" s="1">
        <v>0.6</v>
      </c>
      <c r="F83" s="2">
        <v>0.12</v>
      </c>
      <c r="G83" s="2">
        <v>0.22</v>
      </c>
      <c r="H83" s="2">
        <v>0.66</v>
      </c>
    </row>
    <row r="84" spans="1:8" x14ac:dyDescent="0.25">
      <c r="A84" s="1">
        <v>611</v>
      </c>
      <c r="B84" s="4">
        <v>4906472</v>
      </c>
      <c r="C84" s="3">
        <v>5.5999999999999994E-2</v>
      </c>
      <c r="D84" s="3">
        <f t="shared" si="1"/>
        <v>0.6</v>
      </c>
      <c r="E84" s="1">
        <v>0.4</v>
      </c>
      <c r="F84" s="2">
        <v>0.44</v>
      </c>
      <c r="G84" s="2">
        <v>0.46</v>
      </c>
      <c r="H84" s="2">
        <v>0.10000000000000003</v>
      </c>
    </row>
    <row r="85" spans="1:8" x14ac:dyDescent="0.25">
      <c r="A85" s="1">
        <v>1030</v>
      </c>
      <c r="B85" s="4">
        <v>8945016</v>
      </c>
      <c r="C85" s="3">
        <v>5.5999999999999994E-2</v>
      </c>
      <c r="D85" s="3">
        <f t="shared" si="1"/>
        <v>0.7</v>
      </c>
      <c r="E85" s="1">
        <v>0.3</v>
      </c>
      <c r="F85" s="2">
        <v>0.45</v>
      </c>
      <c r="G85" s="2">
        <v>0.5</v>
      </c>
      <c r="H85" s="2">
        <v>4.9999999999999989E-2</v>
      </c>
    </row>
    <row r="86" spans="1:8" x14ac:dyDescent="0.25">
      <c r="A86" s="1">
        <v>468</v>
      </c>
      <c r="B86" s="4">
        <v>5860618</v>
      </c>
      <c r="C86" s="3">
        <v>5.5899999999999998E-2</v>
      </c>
      <c r="D86" s="3">
        <f t="shared" si="1"/>
        <v>0.6</v>
      </c>
      <c r="E86" s="1">
        <v>0.4</v>
      </c>
      <c r="F86" s="2">
        <v>0.11</v>
      </c>
      <c r="G86" s="2">
        <v>0.5</v>
      </c>
      <c r="H86" s="2">
        <v>0.39</v>
      </c>
    </row>
    <row r="87" spans="1:8" x14ac:dyDescent="0.25">
      <c r="A87" s="1">
        <v>801</v>
      </c>
      <c r="B87" s="4">
        <v>8354137</v>
      </c>
      <c r="C87" s="3">
        <v>5.57E-2</v>
      </c>
      <c r="D87" s="3">
        <f t="shared" si="1"/>
        <v>0.7</v>
      </c>
      <c r="E87" s="1">
        <v>0.3</v>
      </c>
      <c r="F87" s="2">
        <v>0.4</v>
      </c>
      <c r="G87" s="2">
        <v>0.34</v>
      </c>
      <c r="H87" s="2">
        <v>0.2599999999999999</v>
      </c>
    </row>
    <row r="88" spans="1:8" x14ac:dyDescent="0.25">
      <c r="A88" s="1">
        <v>205</v>
      </c>
      <c r="B88" s="4">
        <v>7191379</v>
      </c>
      <c r="C88" s="3">
        <v>5.5599999999999997E-2</v>
      </c>
      <c r="D88" s="3">
        <f t="shared" si="1"/>
        <v>0.7</v>
      </c>
      <c r="E88" s="1">
        <v>0.3</v>
      </c>
      <c r="F88" s="2">
        <v>0.14000000000000001</v>
      </c>
      <c r="G88" s="2">
        <v>0.23</v>
      </c>
      <c r="H88" s="2">
        <v>0.63</v>
      </c>
    </row>
    <row r="89" spans="1:8" x14ac:dyDescent="0.25">
      <c r="A89" s="1">
        <v>773</v>
      </c>
      <c r="B89" s="4">
        <v>6101259</v>
      </c>
      <c r="C89" s="3">
        <v>5.5599999999999997E-2</v>
      </c>
      <c r="D89" s="3">
        <f t="shared" si="1"/>
        <v>0.6</v>
      </c>
      <c r="E89" s="1">
        <v>0.4</v>
      </c>
      <c r="F89" s="2">
        <v>0.43</v>
      </c>
      <c r="G89" s="2">
        <v>0.28999999999999998</v>
      </c>
      <c r="H89" s="2">
        <v>0.27999999999999997</v>
      </c>
    </row>
    <row r="90" spans="1:8" x14ac:dyDescent="0.25">
      <c r="A90" s="1">
        <v>40</v>
      </c>
      <c r="B90" s="4">
        <v>4873722</v>
      </c>
      <c r="C90" s="3">
        <v>5.5500000000000001E-2</v>
      </c>
      <c r="D90" s="3">
        <f t="shared" si="1"/>
        <v>0.6</v>
      </c>
      <c r="E90" s="1">
        <v>0.4</v>
      </c>
      <c r="F90" s="2">
        <v>0.44</v>
      </c>
      <c r="G90" s="2">
        <v>0.4</v>
      </c>
      <c r="H90" s="2">
        <v>0.15999999999999998</v>
      </c>
    </row>
    <row r="91" spans="1:8" x14ac:dyDescent="0.25">
      <c r="A91" s="1">
        <v>293</v>
      </c>
      <c r="B91" s="4">
        <v>9502294</v>
      </c>
      <c r="C91" s="3">
        <v>5.5500000000000001E-2</v>
      </c>
      <c r="D91" s="3">
        <f t="shared" si="1"/>
        <v>0.7</v>
      </c>
      <c r="E91" s="1">
        <v>0.3</v>
      </c>
      <c r="F91" s="2">
        <v>0.21</v>
      </c>
      <c r="G91" s="2">
        <v>0.41</v>
      </c>
      <c r="H91" s="2">
        <v>0.38000000000000012</v>
      </c>
    </row>
    <row r="92" spans="1:8" x14ac:dyDescent="0.25">
      <c r="A92" s="1">
        <v>675</v>
      </c>
      <c r="B92" s="4">
        <v>2690212</v>
      </c>
      <c r="C92" s="3">
        <v>5.5500000000000001E-2</v>
      </c>
      <c r="D92" s="3">
        <f t="shared" si="1"/>
        <v>0.4</v>
      </c>
      <c r="E92" s="1">
        <v>0.6</v>
      </c>
      <c r="F92" s="2">
        <v>0.32</v>
      </c>
      <c r="G92" s="2">
        <v>0.26</v>
      </c>
      <c r="H92" s="2">
        <v>0.42</v>
      </c>
    </row>
    <row r="93" spans="1:8" x14ac:dyDescent="0.25">
      <c r="A93" s="1">
        <v>860</v>
      </c>
      <c r="B93" s="4">
        <v>2402603</v>
      </c>
      <c r="C93" s="3">
        <v>5.5500000000000001E-2</v>
      </c>
      <c r="D93" s="3">
        <f t="shared" si="1"/>
        <v>0.4</v>
      </c>
      <c r="E93" s="1">
        <v>0.6</v>
      </c>
      <c r="F93" s="2">
        <v>0.24</v>
      </c>
      <c r="G93" s="2">
        <v>0.31</v>
      </c>
      <c r="H93" s="2">
        <v>0.44999999999999996</v>
      </c>
    </row>
    <row r="94" spans="1:8" x14ac:dyDescent="0.25">
      <c r="A94" s="1">
        <v>311</v>
      </c>
      <c r="B94" s="4">
        <v>6500613</v>
      </c>
      <c r="C94" s="3">
        <v>5.5399999999999998E-2</v>
      </c>
      <c r="D94" s="3">
        <f t="shared" si="1"/>
        <v>0.6</v>
      </c>
      <c r="E94" s="1">
        <v>0.4</v>
      </c>
      <c r="F94" s="2">
        <v>0.35</v>
      </c>
      <c r="G94" s="2">
        <v>0.43</v>
      </c>
      <c r="H94" s="2">
        <v>0.22000000000000008</v>
      </c>
    </row>
    <row r="95" spans="1:8" x14ac:dyDescent="0.25">
      <c r="A95" s="1">
        <v>917</v>
      </c>
      <c r="B95" s="4">
        <v>3044759</v>
      </c>
      <c r="C95" s="3">
        <v>5.5399999999999998E-2</v>
      </c>
      <c r="D95" s="3">
        <f t="shared" si="1"/>
        <v>0.6</v>
      </c>
      <c r="E95" s="1">
        <v>0.4</v>
      </c>
      <c r="F95" s="2">
        <v>0.35</v>
      </c>
      <c r="G95" s="2">
        <v>0.41</v>
      </c>
      <c r="H95" s="2">
        <v>0.2400000000000001</v>
      </c>
    </row>
    <row r="96" spans="1:8" x14ac:dyDescent="0.25">
      <c r="A96" s="1">
        <v>137</v>
      </c>
      <c r="B96" s="4">
        <v>7098599</v>
      </c>
      <c r="C96" s="3">
        <v>5.5300000000000002E-2</v>
      </c>
      <c r="D96" s="3">
        <f t="shared" si="1"/>
        <v>0.7</v>
      </c>
      <c r="E96" s="1">
        <v>0.3</v>
      </c>
      <c r="F96" s="2">
        <v>0.36</v>
      </c>
      <c r="G96" s="2">
        <v>0.37</v>
      </c>
      <c r="H96" s="2">
        <v>0.27</v>
      </c>
    </row>
    <row r="97" spans="1:8" x14ac:dyDescent="0.25">
      <c r="A97" s="1">
        <v>394</v>
      </c>
      <c r="B97" s="4">
        <v>2737185</v>
      </c>
      <c r="C97" s="3">
        <v>5.5300000000000002E-2</v>
      </c>
      <c r="D97" s="3">
        <f t="shared" si="1"/>
        <v>0.4</v>
      </c>
      <c r="E97" s="1">
        <v>0.6</v>
      </c>
      <c r="F97" s="2">
        <v>0.38</v>
      </c>
      <c r="G97" s="2">
        <v>0.25</v>
      </c>
      <c r="H97" s="2">
        <v>0.37</v>
      </c>
    </row>
    <row r="98" spans="1:8" x14ac:dyDescent="0.25">
      <c r="A98" s="1">
        <v>849</v>
      </c>
      <c r="B98" s="4">
        <v>2176235</v>
      </c>
      <c r="C98" s="3">
        <v>5.5300000000000002E-2</v>
      </c>
      <c r="D98" s="3">
        <f t="shared" si="1"/>
        <v>0.4</v>
      </c>
      <c r="E98" s="1">
        <v>0.6</v>
      </c>
      <c r="F98" s="2">
        <v>0.35</v>
      </c>
      <c r="G98" s="2">
        <v>0.31</v>
      </c>
      <c r="H98" s="2">
        <v>0.33999999999999997</v>
      </c>
    </row>
    <row r="99" spans="1:8" x14ac:dyDescent="0.25">
      <c r="A99" s="1">
        <v>959</v>
      </c>
      <c r="B99" s="4">
        <v>498114</v>
      </c>
      <c r="C99" s="3">
        <v>5.5199999999999999E-2</v>
      </c>
      <c r="D99" s="3">
        <f t="shared" si="1"/>
        <v>0.4</v>
      </c>
      <c r="E99" s="1">
        <v>0.6</v>
      </c>
      <c r="F99" s="2">
        <v>0.43</v>
      </c>
      <c r="G99" s="2">
        <v>0.3</v>
      </c>
      <c r="H99" s="2">
        <v>0.26999999999999996</v>
      </c>
    </row>
    <row r="100" spans="1:8" x14ac:dyDescent="0.25">
      <c r="A100" s="1">
        <v>161</v>
      </c>
      <c r="B100" s="4">
        <v>155276</v>
      </c>
      <c r="C100" s="3">
        <v>5.5099999999999996E-2</v>
      </c>
      <c r="D100" s="3">
        <f t="shared" si="1"/>
        <v>0.4</v>
      </c>
      <c r="E100" s="1">
        <v>0.6</v>
      </c>
      <c r="F100" s="2">
        <v>0.27</v>
      </c>
      <c r="G100" s="2">
        <v>0.34</v>
      </c>
      <c r="H100" s="2">
        <v>0.3899999999999999</v>
      </c>
    </row>
    <row r="101" spans="1:8" x14ac:dyDescent="0.25">
      <c r="A101" s="1">
        <v>409</v>
      </c>
      <c r="B101" s="4">
        <v>269030</v>
      </c>
      <c r="C101" s="3">
        <v>5.5099999999999996E-2</v>
      </c>
      <c r="D101" s="3">
        <f t="shared" si="1"/>
        <v>0.4</v>
      </c>
      <c r="E101" s="1">
        <v>0.6</v>
      </c>
      <c r="F101" s="2">
        <v>0.17</v>
      </c>
      <c r="G101" s="2">
        <v>0.39</v>
      </c>
      <c r="H101" s="2">
        <v>0.43999999999999995</v>
      </c>
    </row>
    <row r="102" spans="1:8" x14ac:dyDescent="0.25">
      <c r="A102" s="1">
        <v>465</v>
      </c>
      <c r="B102" s="4">
        <v>7172662</v>
      </c>
      <c r="C102" s="3">
        <v>5.5E-2</v>
      </c>
      <c r="D102" s="3">
        <f t="shared" si="1"/>
        <v>0.7</v>
      </c>
      <c r="E102" s="1">
        <v>0.3</v>
      </c>
      <c r="F102" s="2">
        <v>0.41</v>
      </c>
      <c r="G102" s="2">
        <v>0.23</v>
      </c>
      <c r="H102" s="2">
        <v>0.36000000000000004</v>
      </c>
    </row>
    <row r="103" spans="1:8" x14ac:dyDescent="0.25">
      <c r="A103" s="1">
        <v>631</v>
      </c>
      <c r="B103" s="4">
        <v>4873981</v>
      </c>
      <c r="C103" s="3">
        <v>5.5E-2</v>
      </c>
      <c r="D103" s="3">
        <f t="shared" si="1"/>
        <v>0.6</v>
      </c>
      <c r="E103" s="1">
        <v>0.4</v>
      </c>
      <c r="F103" s="2">
        <v>0.34</v>
      </c>
      <c r="G103" s="2">
        <v>0.46</v>
      </c>
      <c r="H103" s="2">
        <v>0.2</v>
      </c>
    </row>
    <row r="104" spans="1:8" x14ac:dyDescent="0.25">
      <c r="A104" s="1">
        <v>642</v>
      </c>
      <c r="B104" s="4">
        <v>9316810</v>
      </c>
      <c r="C104" s="3">
        <v>5.5E-2</v>
      </c>
      <c r="D104" s="3">
        <f t="shared" si="1"/>
        <v>0.7</v>
      </c>
      <c r="E104" s="1">
        <v>0.3</v>
      </c>
      <c r="F104" s="2">
        <v>0.16</v>
      </c>
      <c r="G104" s="2">
        <v>0.33</v>
      </c>
      <c r="H104" s="2">
        <v>0.5099999999999999</v>
      </c>
    </row>
    <row r="105" spans="1:8" x14ac:dyDescent="0.25">
      <c r="A105" s="1">
        <v>20</v>
      </c>
      <c r="B105" s="4">
        <v>9926474</v>
      </c>
      <c r="C105" s="3">
        <v>5.4900000000000004E-2</v>
      </c>
      <c r="D105" s="3">
        <f t="shared" si="1"/>
        <v>0.7</v>
      </c>
      <c r="E105" s="1">
        <v>0.3</v>
      </c>
      <c r="F105" s="2">
        <v>0.15</v>
      </c>
      <c r="G105" s="2">
        <v>0.45</v>
      </c>
      <c r="H105" s="2">
        <v>0.4</v>
      </c>
    </row>
    <row r="106" spans="1:8" x14ac:dyDescent="0.25">
      <c r="A106" s="1">
        <v>365</v>
      </c>
      <c r="B106" s="4">
        <v>817876</v>
      </c>
      <c r="C106" s="3">
        <v>5.4900000000000004E-2</v>
      </c>
      <c r="D106" s="3">
        <f t="shared" si="1"/>
        <v>0.4</v>
      </c>
      <c r="E106" s="1">
        <v>0.6</v>
      </c>
      <c r="F106" s="2">
        <v>0.41</v>
      </c>
      <c r="G106" s="2">
        <v>0.22</v>
      </c>
      <c r="H106" s="2">
        <v>0.37000000000000005</v>
      </c>
    </row>
    <row r="107" spans="1:8" x14ac:dyDescent="0.25">
      <c r="A107" s="1">
        <v>1037</v>
      </c>
      <c r="B107" s="4">
        <v>1144178</v>
      </c>
      <c r="C107" s="3">
        <v>5.4900000000000004E-2</v>
      </c>
      <c r="D107" s="3">
        <f t="shared" si="1"/>
        <v>0.4</v>
      </c>
      <c r="E107" s="1">
        <v>0.6</v>
      </c>
      <c r="F107" s="2">
        <v>0.19</v>
      </c>
      <c r="G107" s="2">
        <v>0.38</v>
      </c>
      <c r="H107" s="2">
        <v>0.43</v>
      </c>
    </row>
    <row r="108" spans="1:8" x14ac:dyDescent="0.25">
      <c r="A108" s="1">
        <v>235</v>
      </c>
      <c r="B108" s="4">
        <v>1326602</v>
      </c>
      <c r="C108" s="3">
        <v>5.4800000000000001E-2</v>
      </c>
      <c r="D108" s="3">
        <f t="shared" si="1"/>
        <v>0.4</v>
      </c>
      <c r="E108" s="1">
        <v>0.6</v>
      </c>
      <c r="F108" s="2">
        <v>0.26</v>
      </c>
      <c r="G108" s="2">
        <v>0.21</v>
      </c>
      <c r="H108" s="2">
        <v>0.53</v>
      </c>
    </row>
    <row r="109" spans="1:8" x14ac:dyDescent="0.25">
      <c r="A109" s="1">
        <v>914</v>
      </c>
      <c r="B109" s="4">
        <v>6517541</v>
      </c>
      <c r="C109" s="3">
        <v>5.4800000000000001E-2</v>
      </c>
      <c r="D109" s="3">
        <f t="shared" si="1"/>
        <v>0.6</v>
      </c>
      <c r="E109" s="1">
        <v>0.4</v>
      </c>
      <c r="F109" s="2">
        <v>0.18</v>
      </c>
      <c r="G109" s="2">
        <v>0.48</v>
      </c>
      <c r="H109" s="2">
        <v>0.34</v>
      </c>
    </row>
    <row r="110" spans="1:8" x14ac:dyDescent="0.25">
      <c r="A110" s="1">
        <v>1031</v>
      </c>
      <c r="B110" s="4">
        <v>396620</v>
      </c>
      <c r="C110" s="3">
        <v>5.4800000000000001E-2</v>
      </c>
      <c r="D110" s="3">
        <f t="shared" si="1"/>
        <v>0.4</v>
      </c>
      <c r="E110" s="1">
        <v>0.6</v>
      </c>
      <c r="F110" s="2">
        <v>0.45</v>
      </c>
      <c r="G110" s="2">
        <v>0.34</v>
      </c>
      <c r="H110" s="2">
        <v>0.20999999999999991</v>
      </c>
    </row>
    <row r="111" spans="1:8" x14ac:dyDescent="0.25">
      <c r="A111" s="1">
        <v>113</v>
      </c>
      <c r="B111" s="4">
        <v>9055534</v>
      </c>
      <c r="C111" s="3">
        <v>5.4699999999999999E-2</v>
      </c>
      <c r="D111" s="3">
        <f t="shared" si="1"/>
        <v>0.7</v>
      </c>
      <c r="E111" s="1">
        <v>0.3</v>
      </c>
      <c r="F111" s="2">
        <v>0.22</v>
      </c>
      <c r="G111" s="2">
        <v>0.21</v>
      </c>
      <c r="H111" s="2">
        <v>0.57000000000000006</v>
      </c>
    </row>
    <row r="112" spans="1:8" x14ac:dyDescent="0.25">
      <c r="A112" s="1">
        <v>309</v>
      </c>
      <c r="B112" s="4">
        <v>7483444</v>
      </c>
      <c r="C112" s="3">
        <v>5.4699999999999999E-2</v>
      </c>
      <c r="D112" s="3">
        <f t="shared" si="1"/>
        <v>0.7</v>
      </c>
      <c r="E112" s="1">
        <v>0.3</v>
      </c>
      <c r="F112" s="2">
        <v>0.36</v>
      </c>
      <c r="G112" s="2">
        <v>0.36</v>
      </c>
      <c r="H112" s="2">
        <v>0.28000000000000003</v>
      </c>
    </row>
    <row r="113" spans="1:8" x14ac:dyDescent="0.25">
      <c r="A113" s="1">
        <v>338</v>
      </c>
      <c r="B113" s="4">
        <v>9473903</v>
      </c>
      <c r="C113" s="3">
        <v>5.4699999999999999E-2</v>
      </c>
      <c r="D113" s="3">
        <f t="shared" si="1"/>
        <v>0.7</v>
      </c>
      <c r="E113" s="1">
        <v>0.3</v>
      </c>
      <c r="F113" s="2">
        <v>0.39</v>
      </c>
      <c r="G113" s="2">
        <v>0.36</v>
      </c>
      <c r="H113" s="2">
        <v>0.25</v>
      </c>
    </row>
    <row r="114" spans="1:8" x14ac:dyDescent="0.25">
      <c r="A114" s="1">
        <v>443</v>
      </c>
      <c r="B114" s="4">
        <v>1865219</v>
      </c>
      <c r="C114" s="3">
        <v>5.4699999999999999E-2</v>
      </c>
      <c r="D114" s="3">
        <f t="shared" si="1"/>
        <v>0.4</v>
      </c>
      <c r="E114" s="1">
        <v>0.6</v>
      </c>
      <c r="F114" s="2">
        <v>0.18</v>
      </c>
      <c r="G114" s="2">
        <v>0.4</v>
      </c>
      <c r="H114" s="2">
        <v>0.42</v>
      </c>
    </row>
    <row r="115" spans="1:8" x14ac:dyDescent="0.25">
      <c r="A115" s="1">
        <v>797</v>
      </c>
      <c r="B115" s="4">
        <v>7912819</v>
      </c>
      <c r="C115" s="3">
        <v>5.4699999999999999E-2</v>
      </c>
      <c r="D115" s="3">
        <f t="shared" si="1"/>
        <v>0.7</v>
      </c>
      <c r="E115" s="1">
        <v>0.3</v>
      </c>
      <c r="F115" s="2">
        <v>0.19</v>
      </c>
      <c r="G115" s="2">
        <v>0.38</v>
      </c>
      <c r="H115" s="2">
        <v>0.43</v>
      </c>
    </row>
    <row r="116" spans="1:8" x14ac:dyDescent="0.25">
      <c r="A116" s="1">
        <v>321</v>
      </c>
      <c r="B116" s="4">
        <v>4914215</v>
      </c>
      <c r="C116" s="3">
        <v>5.4600000000000003E-2</v>
      </c>
      <c r="D116" s="3">
        <f t="shared" si="1"/>
        <v>0.6</v>
      </c>
      <c r="E116" s="1">
        <v>0.4</v>
      </c>
      <c r="F116" s="2">
        <v>0.37</v>
      </c>
      <c r="G116" s="2">
        <v>0.28999999999999998</v>
      </c>
      <c r="H116" s="2">
        <v>0.33999999999999997</v>
      </c>
    </row>
    <row r="117" spans="1:8" x14ac:dyDescent="0.25">
      <c r="A117" s="1">
        <v>583</v>
      </c>
      <c r="B117" s="4">
        <v>9527566</v>
      </c>
      <c r="C117" s="3">
        <v>5.4600000000000003E-2</v>
      </c>
      <c r="D117" s="3">
        <f t="shared" si="1"/>
        <v>0.7</v>
      </c>
      <c r="E117" s="1">
        <v>0.3</v>
      </c>
      <c r="F117" s="2">
        <v>0.14000000000000001</v>
      </c>
      <c r="G117" s="2">
        <v>0.31</v>
      </c>
      <c r="H117" s="2">
        <v>0.54999999999999993</v>
      </c>
    </row>
    <row r="118" spans="1:8" x14ac:dyDescent="0.25">
      <c r="A118" s="1">
        <v>656</v>
      </c>
      <c r="B118" s="4">
        <v>6666455</v>
      </c>
      <c r="C118" s="3">
        <v>5.4600000000000003E-2</v>
      </c>
      <c r="D118" s="3">
        <f t="shared" si="1"/>
        <v>0.6</v>
      </c>
      <c r="E118" s="1">
        <v>0.4</v>
      </c>
      <c r="F118" s="2">
        <v>0.41</v>
      </c>
      <c r="G118" s="2">
        <v>0.2</v>
      </c>
      <c r="H118" s="2">
        <v>0.39000000000000007</v>
      </c>
    </row>
    <row r="119" spans="1:8" x14ac:dyDescent="0.25">
      <c r="A119" s="1">
        <v>15</v>
      </c>
      <c r="B119" s="4">
        <v>1962054</v>
      </c>
      <c r="C119" s="3">
        <v>5.45E-2</v>
      </c>
      <c r="D119" s="3">
        <f t="shared" si="1"/>
        <v>0.4</v>
      </c>
      <c r="E119" s="1">
        <v>0.6</v>
      </c>
      <c r="F119" s="2">
        <v>0.36</v>
      </c>
      <c r="G119" s="2">
        <v>0.32</v>
      </c>
      <c r="H119" s="2">
        <v>0.31999999999999995</v>
      </c>
    </row>
    <row r="120" spans="1:8" x14ac:dyDescent="0.25">
      <c r="A120" s="1">
        <v>48</v>
      </c>
      <c r="B120" s="4">
        <v>250533</v>
      </c>
      <c r="C120" s="3">
        <v>5.45E-2</v>
      </c>
      <c r="D120" s="3">
        <f t="shared" si="1"/>
        <v>0.4</v>
      </c>
      <c r="E120" s="1">
        <v>0.6</v>
      </c>
      <c r="F120" s="2">
        <v>0.31</v>
      </c>
      <c r="G120" s="2">
        <v>0.25</v>
      </c>
      <c r="H120" s="2">
        <v>0.44</v>
      </c>
    </row>
    <row r="121" spans="1:8" x14ac:dyDescent="0.25">
      <c r="A121" s="1">
        <v>416</v>
      </c>
      <c r="B121" s="4">
        <v>5192386</v>
      </c>
      <c r="C121" s="3">
        <v>5.4400000000000004E-2</v>
      </c>
      <c r="D121" s="3">
        <f t="shared" si="1"/>
        <v>0.6</v>
      </c>
      <c r="E121" s="1">
        <v>0.4</v>
      </c>
      <c r="F121" s="2">
        <v>0.18</v>
      </c>
      <c r="G121" s="2">
        <v>0.22</v>
      </c>
      <c r="H121" s="2">
        <v>0.60000000000000009</v>
      </c>
    </row>
    <row r="122" spans="1:8" x14ac:dyDescent="0.25">
      <c r="A122" s="1">
        <v>535</v>
      </c>
      <c r="B122" s="4">
        <v>1576476</v>
      </c>
      <c r="C122" s="3">
        <v>5.4000000000000006E-2</v>
      </c>
      <c r="D122" s="3">
        <f t="shared" si="1"/>
        <v>0.4</v>
      </c>
      <c r="E122" s="1">
        <v>0.6</v>
      </c>
      <c r="F122" s="2">
        <v>0.42</v>
      </c>
      <c r="G122" s="2">
        <v>0.28999999999999998</v>
      </c>
      <c r="H122" s="2">
        <v>0.28999999999999998</v>
      </c>
    </row>
    <row r="123" spans="1:8" x14ac:dyDescent="0.25">
      <c r="A123" s="1">
        <v>184</v>
      </c>
      <c r="B123" s="4">
        <v>9492679</v>
      </c>
      <c r="C123" s="3">
        <v>5.3899999999999997E-2</v>
      </c>
      <c r="D123" s="3">
        <f t="shared" si="1"/>
        <v>0.7</v>
      </c>
      <c r="E123" s="1">
        <v>0.3</v>
      </c>
      <c r="F123" s="2">
        <v>0.17</v>
      </c>
      <c r="G123" s="2">
        <v>0.3</v>
      </c>
      <c r="H123" s="2">
        <v>0.52999999999999992</v>
      </c>
    </row>
    <row r="124" spans="1:8" x14ac:dyDescent="0.25">
      <c r="A124" s="1">
        <v>276</v>
      </c>
      <c r="B124" s="4">
        <v>3015825</v>
      </c>
      <c r="C124" s="3">
        <v>5.3899999999999997E-2</v>
      </c>
      <c r="D124" s="3">
        <f t="shared" si="1"/>
        <v>0.6</v>
      </c>
      <c r="E124" s="1">
        <v>0.4</v>
      </c>
      <c r="F124" s="2">
        <v>0.28999999999999998</v>
      </c>
      <c r="G124" s="2">
        <v>0.27</v>
      </c>
      <c r="H124" s="2">
        <v>0.44</v>
      </c>
    </row>
    <row r="125" spans="1:8" x14ac:dyDescent="0.25">
      <c r="A125" s="1">
        <v>830</v>
      </c>
      <c r="B125" s="4">
        <v>2152316</v>
      </c>
      <c r="C125" s="3">
        <v>5.3899999999999997E-2</v>
      </c>
      <c r="D125" s="3">
        <f t="shared" si="1"/>
        <v>0.4</v>
      </c>
      <c r="E125" s="1">
        <v>0.6</v>
      </c>
      <c r="F125" s="2">
        <v>0.44</v>
      </c>
      <c r="G125" s="2">
        <v>0.24</v>
      </c>
      <c r="H125" s="2">
        <v>0.32</v>
      </c>
    </row>
    <row r="126" spans="1:8" x14ac:dyDescent="0.25">
      <c r="A126" s="1">
        <v>479</v>
      </c>
      <c r="B126" s="4">
        <v>2305968</v>
      </c>
      <c r="C126" s="3">
        <v>5.3800000000000001E-2</v>
      </c>
      <c r="D126" s="3">
        <f t="shared" si="1"/>
        <v>0.4</v>
      </c>
      <c r="E126" s="1">
        <v>0.6</v>
      </c>
      <c r="F126" s="2">
        <v>0.27</v>
      </c>
      <c r="G126" s="2">
        <v>0.32</v>
      </c>
      <c r="H126" s="2">
        <v>0.40999999999999992</v>
      </c>
    </row>
    <row r="127" spans="1:8" x14ac:dyDescent="0.25">
      <c r="A127" s="1">
        <v>243</v>
      </c>
      <c r="B127" s="4">
        <v>9401346</v>
      </c>
      <c r="C127" s="3">
        <v>5.3699999999999998E-2</v>
      </c>
      <c r="D127" s="3">
        <f t="shared" si="1"/>
        <v>0.7</v>
      </c>
      <c r="E127" s="1">
        <v>0.3</v>
      </c>
      <c r="F127" s="2">
        <v>0.32</v>
      </c>
      <c r="G127" s="2">
        <v>0.38</v>
      </c>
      <c r="H127" s="2">
        <v>0.3</v>
      </c>
    </row>
    <row r="128" spans="1:8" x14ac:dyDescent="0.25">
      <c r="A128" s="1">
        <v>374</v>
      </c>
      <c r="B128" s="4">
        <v>394917</v>
      </c>
      <c r="C128" s="3">
        <v>5.3699999999999998E-2</v>
      </c>
      <c r="D128" s="3">
        <f t="shared" si="1"/>
        <v>0.4</v>
      </c>
      <c r="E128" s="1">
        <v>0.6</v>
      </c>
      <c r="F128" s="2">
        <v>0.3</v>
      </c>
      <c r="G128" s="2">
        <v>0.38</v>
      </c>
      <c r="H128" s="2">
        <v>0.32</v>
      </c>
    </row>
    <row r="129" spans="1:8" x14ac:dyDescent="0.25">
      <c r="A129" s="1">
        <v>940</v>
      </c>
      <c r="B129" s="4">
        <v>9853675</v>
      </c>
      <c r="C129" s="3">
        <v>5.3699999999999998E-2</v>
      </c>
      <c r="D129" s="3">
        <f t="shared" si="1"/>
        <v>0.7</v>
      </c>
      <c r="E129" s="1">
        <v>0.3</v>
      </c>
      <c r="F129" s="2">
        <v>0.13</v>
      </c>
      <c r="G129" s="2">
        <v>0.44</v>
      </c>
      <c r="H129" s="2">
        <v>0.43000000000000005</v>
      </c>
    </row>
    <row r="130" spans="1:8" x14ac:dyDescent="0.25">
      <c r="A130" s="1">
        <v>713</v>
      </c>
      <c r="B130" s="4">
        <v>6521195</v>
      </c>
      <c r="C130" s="3">
        <v>5.3600000000000002E-2</v>
      </c>
      <c r="D130" s="3">
        <f t="shared" ref="D130:D193" si="2">1-E130</f>
        <v>0.6</v>
      </c>
      <c r="E130" s="1">
        <v>0.4</v>
      </c>
      <c r="F130" s="2">
        <v>0.27</v>
      </c>
      <c r="G130" s="2">
        <v>0.3</v>
      </c>
      <c r="H130" s="2">
        <v>0.42999999999999994</v>
      </c>
    </row>
    <row r="131" spans="1:8" x14ac:dyDescent="0.25">
      <c r="A131" s="1">
        <v>978</v>
      </c>
      <c r="B131" s="4">
        <v>2169672</v>
      </c>
      <c r="C131" s="3">
        <v>5.3600000000000002E-2</v>
      </c>
      <c r="D131" s="3">
        <f t="shared" si="2"/>
        <v>0.4</v>
      </c>
      <c r="E131" s="1">
        <v>0.6</v>
      </c>
      <c r="F131" s="2">
        <v>0.14000000000000001</v>
      </c>
      <c r="G131" s="2">
        <v>0.41</v>
      </c>
      <c r="H131" s="2">
        <v>0.45000000000000007</v>
      </c>
    </row>
    <row r="132" spans="1:8" x14ac:dyDescent="0.25">
      <c r="A132" s="1">
        <v>2</v>
      </c>
      <c r="B132" s="4">
        <v>2729982</v>
      </c>
      <c r="C132" s="3">
        <v>5.3399999999999996E-2</v>
      </c>
      <c r="D132" s="3">
        <f t="shared" si="2"/>
        <v>0.4</v>
      </c>
      <c r="E132" s="1">
        <v>0.6</v>
      </c>
      <c r="F132" s="2">
        <v>0.37</v>
      </c>
      <c r="G132" s="2">
        <v>0.22</v>
      </c>
      <c r="H132" s="2">
        <v>0.41000000000000003</v>
      </c>
    </row>
    <row r="133" spans="1:8" x14ac:dyDescent="0.25">
      <c r="A133" s="1">
        <v>237</v>
      </c>
      <c r="B133" s="4">
        <v>5022336</v>
      </c>
      <c r="C133" s="3">
        <v>5.3399999999999996E-2</v>
      </c>
      <c r="D133" s="3">
        <f t="shared" si="2"/>
        <v>0.6</v>
      </c>
      <c r="E133" s="1">
        <v>0.4</v>
      </c>
      <c r="F133" s="2">
        <v>0.22</v>
      </c>
      <c r="G133" s="2">
        <v>0.23</v>
      </c>
      <c r="H133" s="2">
        <v>0.55000000000000004</v>
      </c>
    </row>
    <row r="134" spans="1:8" x14ac:dyDescent="0.25">
      <c r="A134" s="1">
        <v>908</v>
      </c>
      <c r="B134" s="4">
        <v>2839111</v>
      </c>
      <c r="C134" s="3">
        <v>5.3399999999999996E-2</v>
      </c>
      <c r="D134" s="3">
        <f t="shared" si="2"/>
        <v>0.4</v>
      </c>
      <c r="E134" s="1">
        <v>0.6</v>
      </c>
      <c r="F134" s="2">
        <v>0.25</v>
      </c>
      <c r="G134" s="2">
        <v>0.43</v>
      </c>
      <c r="H134" s="2">
        <v>0.32000000000000006</v>
      </c>
    </row>
    <row r="135" spans="1:8" x14ac:dyDescent="0.25">
      <c r="A135" s="1">
        <v>14</v>
      </c>
      <c r="B135" s="4">
        <v>1572885</v>
      </c>
      <c r="C135" s="3">
        <v>5.33E-2</v>
      </c>
      <c r="D135" s="3">
        <f t="shared" si="2"/>
        <v>0.4</v>
      </c>
      <c r="E135" s="1">
        <v>0.6</v>
      </c>
      <c r="F135" s="2">
        <v>0.39</v>
      </c>
      <c r="G135" s="2">
        <v>0.46</v>
      </c>
      <c r="H135" s="2">
        <v>0.15000000000000002</v>
      </c>
    </row>
    <row r="136" spans="1:8" x14ac:dyDescent="0.25">
      <c r="A136" s="1">
        <v>34</v>
      </c>
      <c r="B136" s="4">
        <v>3087943</v>
      </c>
      <c r="C136" s="3">
        <v>5.33E-2</v>
      </c>
      <c r="D136" s="3">
        <f t="shared" si="2"/>
        <v>0.6</v>
      </c>
      <c r="E136" s="1">
        <v>0.4</v>
      </c>
      <c r="F136" s="2">
        <v>0.1</v>
      </c>
      <c r="G136" s="2">
        <v>0.48</v>
      </c>
      <c r="H136" s="2">
        <v>0.42000000000000004</v>
      </c>
    </row>
    <row r="137" spans="1:8" x14ac:dyDescent="0.25">
      <c r="A137" s="1">
        <v>25</v>
      </c>
      <c r="B137" s="4">
        <v>2065779</v>
      </c>
      <c r="C137" s="3">
        <v>5.3200000000000004E-2</v>
      </c>
      <c r="D137" s="3">
        <f t="shared" si="2"/>
        <v>0.4</v>
      </c>
      <c r="E137" s="1">
        <v>0.6</v>
      </c>
      <c r="F137" s="2">
        <v>0.21</v>
      </c>
      <c r="G137" s="2">
        <v>0.38</v>
      </c>
      <c r="H137" s="2">
        <v>0.41000000000000003</v>
      </c>
    </row>
    <row r="138" spans="1:8" x14ac:dyDescent="0.25">
      <c r="A138" s="1">
        <v>49</v>
      </c>
      <c r="B138" s="4">
        <v>1493943</v>
      </c>
      <c r="C138" s="3">
        <v>5.3200000000000004E-2</v>
      </c>
      <c r="D138" s="3">
        <f t="shared" si="2"/>
        <v>0.4</v>
      </c>
      <c r="E138" s="1">
        <v>0.6</v>
      </c>
      <c r="F138" s="2">
        <v>0.28000000000000003</v>
      </c>
      <c r="G138" s="2">
        <v>0.48</v>
      </c>
      <c r="H138" s="2">
        <v>0.24</v>
      </c>
    </row>
    <row r="139" spans="1:8" x14ac:dyDescent="0.25">
      <c r="A139" s="1">
        <v>239</v>
      </c>
      <c r="B139" s="4">
        <v>1687083</v>
      </c>
      <c r="C139" s="3">
        <v>5.3200000000000004E-2</v>
      </c>
      <c r="D139" s="3">
        <f t="shared" si="2"/>
        <v>0.4</v>
      </c>
      <c r="E139" s="1">
        <v>0.6</v>
      </c>
      <c r="F139" s="2">
        <v>0.13</v>
      </c>
      <c r="G139" s="2">
        <v>0.5</v>
      </c>
      <c r="H139" s="2">
        <v>0.37</v>
      </c>
    </row>
    <row r="140" spans="1:8" x14ac:dyDescent="0.25">
      <c r="A140" s="1">
        <v>411</v>
      </c>
      <c r="B140" s="4">
        <v>2302612</v>
      </c>
      <c r="C140" s="3">
        <v>5.3200000000000004E-2</v>
      </c>
      <c r="D140" s="3">
        <f t="shared" si="2"/>
        <v>0.4</v>
      </c>
      <c r="E140" s="1">
        <v>0.6</v>
      </c>
      <c r="F140" s="2">
        <v>0.38</v>
      </c>
      <c r="G140" s="2">
        <v>0.44</v>
      </c>
      <c r="H140" s="2">
        <v>0.18000000000000005</v>
      </c>
    </row>
    <row r="141" spans="1:8" x14ac:dyDescent="0.25">
      <c r="A141" s="1">
        <v>426</v>
      </c>
      <c r="B141" s="4">
        <v>1666517</v>
      </c>
      <c r="C141" s="3">
        <v>5.3200000000000004E-2</v>
      </c>
      <c r="D141" s="3">
        <f t="shared" si="2"/>
        <v>0.4</v>
      </c>
      <c r="E141" s="1">
        <v>0.6</v>
      </c>
      <c r="F141" s="2">
        <v>0.12</v>
      </c>
      <c r="G141" s="2">
        <v>0.4</v>
      </c>
      <c r="H141" s="2">
        <v>0.48</v>
      </c>
    </row>
    <row r="142" spans="1:8" x14ac:dyDescent="0.25">
      <c r="A142" s="1">
        <v>814</v>
      </c>
      <c r="B142" s="4">
        <v>5724135</v>
      </c>
      <c r="C142" s="3">
        <v>5.3200000000000004E-2</v>
      </c>
      <c r="D142" s="3">
        <f t="shared" si="2"/>
        <v>0.6</v>
      </c>
      <c r="E142" s="1">
        <v>0.4</v>
      </c>
      <c r="F142" s="2">
        <v>0.22</v>
      </c>
      <c r="G142" s="2">
        <v>0.28000000000000003</v>
      </c>
      <c r="H142" s="2">
        <v>0.5</v>
      </c>
    </row>
    <row r="143" spans="1:8" x14ac:dyDescent="0.25">
      <c r="A143" s="1">
        <v>457</v>
      </c>
      <c r="B143" s="4">
        <v>6870087</v>
      </c>
      <c r="C143" s="3">
        <v>5.3099999999999994E-2</v>
      </c>
      <c r="D143" s="3">
        <f t="shared" si="2"/>
        <v>0.6</v>
      </c>
      <c r="E143" s="1">
        <v>0.4</v>
      </c>
      <c r="F143" s="2">
        <v>0.2</v>
      </c>
      <c r="G143" s="2">
        <v>0.33</v>
      </c>
      <c r="H143" s="2">
        <v>0.46999999999999992</v>
      </c>
    </row>
    <row r="144" spans="1:8" x14ac:dyDescent="0.25">
      <c r="A144" s="1">
        <v>166</v>
      </c>
      <c r="B144" s="4">
        <v>2581067</v>
      </c>
      <c r="C144" s="3">
        <v>5.2900000000000003E-2</v>
      </c>
      <c r="D144" s="3">
        <f t="shared" si="2"/>
        <v>0.4</v>
      </c>
      <c r="E144" s="1">
        <v>0.6</v>
      </c>
      <c r="F144" s="2">
        <v>0.33</v>
      </c>
      <c r="G144" s="2">
        <v>0.2</v>
      </c>
      <c r="H144" s="2">
        <v>0.47000000000000003</v>
      </c>
    </row>
    <row r="145" spans="1:8" x14ac:dyDescent="0.25">
      <c r="A145" s="1">
        <v>584</v>
      </c>
      <c r="B145" s="4">
        <v>700108</v>
      </c>
      <c r="C145" s="3">
        <v>5.2900000000000003E-2</v>
      </c>
      <c r="D145" s="3">
        <f t="shared" si="2"/>
        <v>0.4</v>
      </c>
      <c r="E145" s="1">
        <v>0.6</v>
      </c>
      <c r="F145" s="2">
        <v>0.1</v>
      </c>
      <c r="G145" s="2">
        <v>0.46</v>
      </c>
      <c r="H145" s="2">
        <v>0.44000000000000006</v>
      </c>
    </row>
    <row r="146" spans="1:8" x14ac:dyDescent="0.25">
      <c r="A146" s="1">
        <v>606</v>
      </c>
      <c r="B146" s="4">
        <v>5276736</v>
      </c>
      <c r="C146" s="3">
        <v>5.2900000000000003E-2</v>
      </c>
      <c r="D146" s="3">
        <f t="shared" si="2"/>
        <v>0.6</v>
      </c>
      <c r="E146" s="1">
        <v>0.4</v>
      </c>
      <c r="F146" s="2">
        <v>0.42</v>
      </c>
      <c r="G146" s="2">
        <v>0.42</v>
      </c>
      <c r="H146" s="2">
        <v>0.16000000000000009</v>
      </c>
    </row>
    <row r="147" spans="1:8" x14ac:dyDescent="0.25">
      <c r="A147" s="1">
        <v>745</v>
      </c>
      <c r="B147" s="4">
        <v>2403591</v>
      </c>
      <c r="C147" s="3">
        <v>5.2900000000000003E-2</v>
      </c>
      <c r="D147" s="3">
        <f t="shared" si="2"/>
        <v>0.4</v>
      </c>
      <c r="E147" s="1">
        <v>0.6</v>
      </c>
      <c r="F147" s="2">
        <v>0.2</v>
      </c>
      <c r="G147" s="2">
        <v>0.41</v>
      </c>
      <c r="H147" s="2">
        <v>0.39000000000000007</v>
      </c>
    </row>
    <row r="148" spans="1:8" x14ac:dyDescent="0.25">
      <c r="A148" s="1">
        <v>795</v>
      </c>
      <c r="B148" s="4">
        <v>5743201</v>
      </c>
      <c r="C148" s="3">
        <v>5.2900000000000003E-2</v>
      </c>
      <c r="D148" s="3">
        <f t="shared" si="2"/>
        <v>0.6</v>
      </c>
      <c r="E148" s="1">
        <v>0.4</v>
      </c>
      <c r="F148" s="2">
        <v>0.14000000000000001</v>
      </c>
      <c r="G148" s="2">
        <v>0.32</v>
      </c>
      <c r="H148" s="2">
        <v>0.53999999999999992</v>
      </c>
    </row>
    <row r="149" spans="1:8" x14ac:dyDescent="0.25">
      <c r="A149" s="1">
        <v>868</v>
      </c>
      <c r="B149" s="4">
        <v>8196122</v>
      </c>
      <c r="C149" s="3">
        <v>5.2900000000000003E-2</v>
      </c>
      <c r="D149" s="3">
        <f t="shared" si="2"/>
        <v>0.7</v>
      </c>
      <c r="E149" s="1">
        <v>0.3</v>
      </c>
      <c r="F149" s="2">
        <v>0.3</v>
      </c>
      <c r="G149" s="2">
        <v>0.43</v>
      </c>
      <c r="H149" s="2">
        <v>0.27000000000000007</v>
      </c>
    </row>
    <row r="150" spans="1:8" x14ac:dyDescent="0.25">
      <c r="A150" s="1">
        <v>681</v>
      </c>
      <c r="B150" s="4">
        <v>140042</v>
      </c>
      <c r="C150" s="3">
        <v>5.28E-2</v>
      </c>
      <c r="D150" s="3">
        <f t="shared" si="2"/>
        <v>0.4</v>
      </c>
      <c r="E150" s="1">
        <v>0.6</v>
      </c>
      <c r="F150" s="2">
        <v>0.2</v>
      </c>
      <c r="G150" s="2">
        <v>0.42</v>
      </c>
      <c r="H150" s="2">
        <v>0.38000000000000006</v>
      </c>
    </row>
    <row r="151" spans="1:8" x14ac:dyDescent="0.25">
      <c r="A151" s="1">
        <v>878</v>
      </c>
      <c r="B151" s="4">
        <v>3356562</v>
      </c>
      <c r="C151" s="3">
        <v>5.28E-2</v>
      </c>
      <c r="D151" s="3">
        <f t="shared" si="2"/>
        <v>0.6</v>
      </c>
      <c r="E151" s="1">
        <v>0.4</v>
      </c>
      <c r="F151" s="2">
        <v>0.34</v>
      </c>
      <c r="G151" s="2">
        <v>0.41</v>
      </c>
      <c r="H151" s="2">
        <v>0.25000000000000006</v>
      </c>
    </row>
    <row r="152" spans="1:8" x14ac:dyDescent="0.25">
      <c r="A152" s="1">
        <v>654</v>
      </c>
      <c r="B152" s="4">
        <v>1268490</v>
      </c>
      <c r="C152" s="3">
        <v>5.2699999999999997E-2</v>
      </c>
      <c r="D152" s="3">
        <f t="shared" si="2"/>
        <v>0.4</v>
      </c>
      <c r="E152" s="1">
        <v>0.6</v>
      </c>
      <c r="F152" s="2">
        <v>0.28000000000000003</v>
      </c>
      <c r="G152" s="2">
        <v>0.21</v>
      </c>
      <c r="H152" s="2">
        <v>0.51</v>
      </c>
    </row>
    <row r="153" spans="1:8" x14ac:dyDescent="0.25">
      <c r="A153" s="1">
        <v>890</v>
      </c>
      <c r="B153" s="4">
        <v>9133436</v>
      </c>
      <c r="C153" s="3">
        <v>5.2699999999999997E-2</v>
      </c>
      <c r="D153" s="3">
        <f t="shared" si="2"/>
        <v>0.7</v>
      </c>
      <c r="E153" s="1">
        <v>0.3</v>
      </c>
      <c r="F153" s="2">
        <v>0.32</v>
      </c>
      <c r="G153" s="2">
        <v>0.36</v>
      </c>
      <c r="H153" s="2">
        <v>0.32</v>
      </c>
    </row>
    <row r="154" spans="1:8" x14ac:dyDescent="0.25">
      <c r="A154" s="1">
        <v>955</v>
      </c>
      <c r="B154" s="4">
        <v>124696</v>
      </c>
      <c r="C154" s="3">
        <v>5.2699999999999997E-2</v>
      </c>
      <c r="D154" s="3">
        <f t="shared" si="2"/>
        <v>0.4</v>
      </c>
      <c r="E154" s="1">
        <v>0.6</v>
      </c>
      <c r="F154" s="2">
        <v>0.32</v>
      </c>
      <c r="G154" s="2">
        <v>0.28999999999999998</v>
      </c>
      <c r="H154" s="2">
        <v>0.38999999999999996</v>
      </c>
    </row>
    <row r="155" spans="1:8" x14ac:dyDescent="0.25">
      <c r="A155" s="1">
        <v>91</v>
      </c>
      <c r="B155" s="4">
        <v>5457747</v>
      </c>
      <c r="C155" s="3">
        <v>5.2600000000000001E-2</v>
      </c>
      <c r="D155" s="3">
        <f t="shared" si="2"/>
        <v>0.6</v>
      </c>
      <c r="E155" s="1">
        <v>0.4</v>
      </c>
      <c r="F155" s="2">
        <v>0.26</v>
      </c>
      <c r="G155" s="2">
        <v>0.27</v>
      </c>
      <c r="H155" s="2">
        <v>0.47</v>
      </c>
    </row>
    <row r="156" spans="1:8" x14ac:dyDescent="0.25">
      <c r="A156" s="1">
        <v>202</v>
      </c>
      <c r="B156" s="4">
        <v>1190118</v>
      </c>
      <c r="C156" s="3">
        <v>5.2600000000000001E-2</v>
      </c>
      <c r="D156" s="3">
        <f t="shared" si="2"/>
        <v>0.4</v>
      </c>
      <c r="E156" s="1">
        <v>0.6</v>
      </c>
      <c r="F156" s="2">
        <v>0.41</v>
      </c>
      <c r="G156" s="2">
        <v>0.34</v>
      </c>
      <c r="H156" s="2">
        <v>0.24999999999999994</v>
      </c>
    </row>
    <row r="157" spans="1:8" x14ac:dyDescent="0.25">
      <c r="A157" s="1">
        <v>271</v>
      </c>
      <c r="B157" s="4">
        <v>6593828</v>
      </c>
      <c r="C157" s="3">
        <v>5.2600000000000001E-2</v>
      </c>
      <c r="D157" s="3">
        <f t="shared" si="2"/>
        <v>0.6</v>
      </c>
      <c r="E157" s="1">
        <v>0.4</v>
      </c>
      <c r="F157" s="2">
        <v>0.45</v>
      </c>
      <c r="G157" s="2">
        <v>0.35</v>
      </c>
      <c r="H157" s="2">
        <v>0.2</v>
      </c>
    </row>
    <row r="158" spans="1:8" x14ac:dyDescent="0.25">
      <c r="A158" s="1">
        <v>472</v>
      </c>
      <c r="B158" s="4">
        <v>6808071</v>
      </c>
      <c r="C158" s="3">
        <v>5.2600000000000001E-2</v>
      </c>
      <c r="D158" s="3">
        <f t="shared" si="2"/>
        <v>0.6</v>
      </c>
      <c r="E158" s="1">
        <v>0.4</v>
      </c>
      <c r="F158" s="2">
        <v>0.25</v>
      </c>
      <c r="G158" s="2">
        <v>0.36</v>
      </c>
      <c r="H158" s="2">
        <v>0.39</v>
      </c>
    </row>
    <row r="159" spans="1:8" x14ac:dyDescent="0.25">
      <c r="A159" s="1">
        <v>700</v>
      </c>
      <c r="B159" s="4">
        <v>8021376</v>
      </c>
      <c r="C159" s="3">
        <v>5.2600000000000001E-2</v>
      </c>
      <c r="D159" s="3">
        <f t="shared" si="2"/>
        <v>0.7</v>
      </c>
      <c r="E159" s="1">
        <v>0.3</v>
      </c>
      <c r="F159" s="2">
        <v>0.38</v>
      </c>
      <c r="G159" s="2">
        <v>0.46</v>
      </c>
      <c r="H159" s="2">
        <v>0.16000000000000003</v>
      </c>
    </row>
    <row r="160" spans="1:8" x14ac:dyDescent="0.25">
      <c r="A160" s="1">
        <v>718</v>
      </c>
      <c r="B160" s="4">
        <v>8008731</v>
      </c>
      <c r="C160" s="3">
        <v>5.2600000000000001E-2</v>
      </c>
      <c r="D160" s="3">
        <f t="shared" si="2"/>
        <v>0.7</v>
      </c>
      <c r="E160" s="1">
        <v>0.3</v>
      </c>
      <c r="F160" s="2">
        <v>0.16</v>
      </c>
      <c r="G160" s="2">
        <v>0.22</v>
      </c>
      <c r="H160" s="2">
        <v>0.62</v>
      </c>
    </row>
    <row r="161" spans="1:8" x14ac:dyDescent="0.25">
      <c r="A161" s="1">
        <v>257</v>
      </c>
      <c r="B161" s="4">
        <v>2404628</v>
      </c>
      <c r="C161" s="3">
        <v>5.2499999999999998E-2</v>
      </c>
      <c r="D161" s="3">
        <f t="shared" si="2"/>
        <v>0.4</v>
      </c>
      <c r="E161" s="1">
        <v>0.6</v>
      </c>
      <c r="F161" s="2">
        <v>0.19</v>
      </c>
      <c r="G161" s="2">
        <v>0.26</v>
      </c>
      <c r="H161" s="2">
        <v>0.55000000000000004</v>
      </c>
    </row>
    <row r="162" spans="1:8" x14ac:dyDescent="0.25">
      <c r="A162" s="1">
        <v>182</v>
      </c>
      <c r="B162" s="4">
        <v>6052423</v>
      </c>
      <c r="C162" s="3">
        <v>5.2400000000000002E-2</v>
      </c>
      <c r="D162" s="3">
        <f t="shared" si="2"/>
        <v>0.6</v>
      </c>
      <c r="E162" s="1">
        <v>0.4</v>
      </c>
      <c r="F162" s="2">
        <v>0.28000000000000003</v>
      </c>
      <c r="G162" s="2">
        <v>0.42</v>
      </c>
      <c r="H162" s="2">
        <v>0.30000000000000004</v>
      </c>
    </row>
    <row r="163" spans="1:8" x14ac:dyDescent="0.25">
      <c r="A163" s="1">
        <v>178</v>
      </c>
      <c r="B163" s="4">
        <v>4492756</v>
      </c>
      <c r="C163" s="3">
        <v>5.2199999999999996E-2</v>
      </c>
      <c r="D163" s="3">
        <f t="shared" si="2"/>
        <v>0.6</v>
      </c>
      <c r="E163" s="1">
        <v>0.4</v>
      </c>
      <c r="F163" s="2">
        <v>0.21</v>
      </c>
      <c r="G163" s="2">
        <v>0.28999999999999998</v>
      </c>
      <c r="H163" s="2">
        <v>0.5</v>
      </c>
    </row>
    <row r="164" spans="1:8" x14ac:dyDescent="0.25">
      <c r="A164" s="1">
        <v>924</v>
      </c>
      <c r="B164" s="4">
        <v>1822038</v>
      </c>
      <c r="C164" s="3">
        <v>5.2199999999999996E-2</v>
      </c>
      <c r="D164" s="3">
        <f t="shared" si="2"/>
        <v>0.4</v>
      </c>
      <c r="E164" s="1">
        <v>0.6</v>
      </c>
      <c r="F164" s="2">
        <v>0.31</v>
      </c>
      <c r="G164" s="2">
        <v>0.27</v>
      </c>
      <c r="H164" s="2">
        <v>0.42</v>
      </c>
    </row>
    <row r="165" spans="1:8" x14ac:dyDescent="0.25">
      <c r="A165" s="1">
        <v>169</v>
      </c>
      <c r="B165" s="4">
        <v>9859494</v>
      </c>
      <c r="C165" s="3">
        <v>5.21E-2</v>
      </c>
      <c r="D165" s="3">
        <f t="shared" si="2"/>
        <v>0.7</v>
      </c>
      <c r="E165" s="1">
        <v>0.3</v>
      </c>
      <c r="F165" s="2">
        <v>0.31</v>
      </c>
      <c r="G165" s="2">
        <v>0.37</v>
      </c>
      <c r="H165" s="2">
        <v>0.32</v>
      </c>
    </row>
    <row r="166" spans="1:8" x14ac:dyDescent="0.25">
      <c r="A166" s="1">
        <v>370</v>
      </c>
      <c r="B166" s="4">
        <v>5060846</v>
      </c>
      <c r="C166" s="3">
        <v>5.21E-2</v>
      </c>
      <c r="D166" s="3">
        <f t="shared" si="2"/>
        <v>0.6</v>
      </c>
      <c r="E166" s="1">
        <v>0.4</v>
      </c>
      <c r="F166" s="2">
        <v>0.37</v>
      </c>
      <c r="G166" s="2">
        <v>0.21</v>
      </c>
      <c r="H166" s="2">
        <v>0.42000000000000004</v>
      </c>
    </row>
    <row r="167" spans="1:8" x14ac:dyDescent="0.25">
      <c r="A167" s="1">
        <v>645</v>
      </c>
      <c r="B167" s="4">
        <v>3248181</v>
      </c>
      <c r="C167" s="3">
        <v>5.21E-2</v>
      </c>
      <c r="D167" s="3">
        <f t="shared" si="2"/>
        <v>0.6</v>
      </c>
      <c r="E167" s="1">
        <v>0.4</v>
      </c>
      <c r="F167" s="2">
        <v>0.12</v>
      </c>
      <c r="G167" s="2">
        <v>0.22</v>
      </c>
      <c r="H167" s="2">
        <v>0.66</v>
      </c>
    </row>
    <row r="168" spans="1:8" x14ac:dyDescent="0.25">
      <c r="A168" s="1">
        <v>899</v>
      </c>
      <c r="B168" s="4">
        <v>9294700</v>
      </c>
      <c r="C168" s="3">
        <v>5.21E-2</v>
      </c>
      <c r="D168" s="3">
        <f t="shared" si="2"/>
        <v>0.7</v>
      </c>
      <c r="E168" s="1">
        <v>0.3</v>
      </c>
      <c r="F168" s="2">
        <v>0.31</v>
      </c>
      <c r="G168" s="2">
        <v>0.21</v>
      </c>
      <c r="H168" s="2">
        <v>0.48000000000000004</v>
      </c>
    </row>
    <row r="169" spans="1:8" x14ac:dyDescent="0.25">
      <c r="A169" s="1">
        <v>505</v>
      </c>
      <c r="B169" s="4">
        <v>1563646</v>
      </c>
      <c r="C169" s="3">
        <v>5.2000000000000005E-2</v>
      </c>
      <c r="D169" s="3">
        <f t="shared" si="2"/>
        <v>0.4</v>
      </c>
      <c r="E169" s="1">
        <v>0.6</v>
      </c>
      <c r="F169" s="2">
        <v>0.32</v>
      </c>
      <c r="G169" s="2">
        <v>0.27</v>
      </c>
      <c r="H169" s="2">
        <v>0.41</v>
      </c>
    </row>
    <row r="170" spans="1:8" x14ac:dyDescent="0.25">
      <c r="A170" s="1">
        <v>788</v>
      </c>
      <c r="B170" s="4">
        <v>6054199</v>
      </c>
      <c r="C170" s="3">
        <v>5.2000000000000005E-2</v>
      </c>
      <c r="D170" s="3">
        <f t="shared" si="2"/>
        <v>0.6</v>
      </c>
      <c r="E170" s="1">
        <v>0.4</v>
      </c>
      <c r="F170" s="2">
        <v>0.17</v>
      </c>
      <c r="G170" s="2">
        <v>0.3</v>
      </c>
      <c r="H170" s="2">
        <v>0.52999999999999992</v>
      </c>
    </row>
    <row r="171" spans="1:8" x14ac:dyDescent="0.25">
      <c r="A171" s="1">
        <v>453</v>
      </c>
      <c r="B171" s="4">
        <v>7535609</v>
      </c>
      <c r="C171" s="3">
        <v>5.1900000000000002E-2</v>
      </c>
      <c r="D171" s="3">
        <f t="shared" si="2"/>
        <v>0.7</v>
      </c>
      <c r="E171" s="1">
        <v>0.3</v>
      </c>
      <c r="F171" s="2">
        <v>0.19</v>
      </c>
      <c r="G171" s="2">
        <v>0.28999999999999998</v>
      </c>
      <c r="H171" s="2">
        <v>0.52</v>
      </c>
    </row>
    <row r="172" spans="1:8" x14ac:dyDescent="0.25">
      <c r="A172" s="1">
        <v>507</v>
      </c>
      <c r="B172" s="4">
        <v>6226497</v>
      </c>
      <c r="C172" s="3">
        <v>5.1799999999999999E-2</v>
      </c>
      <c r="D172" s="3">
        <f t="shared" si="2"/>
        <v>0.6</v>
      </c>
      <c r="E172" s="1">
        <v>0.4</v>
      </c>
      <c r="F172" s="2">
        <v>0.17</v>
      </c>
      <c r="G172" s="2">
        <v>0.48</v>
      </c>
      <c r="H172" s="2">
        <v>0.35</v>
      </c>
    </row>
    <row r="173" spans="1:8" x14ac:dyDescent="0.25">
      <c r="A173" s="1">
        <v>828</v>
      </c>
      <c r="B173" s="4">
        <v>9507703</v>
      </c>
      <c r="C173" s="3">
        <v>5.1699999999999996E-2</v>
      </c>
      <c r="D173" s="3">
        <f t="shared" si="2"/>
        <v>0.7</v>
      </c>
      <c r="E173" s="1">
        <v>0.3</v>
      </c>
      <c r="F173" s="2">
        <v>0.4</v>
      </c>
      <c r="G173" s="2">
        <v>0.22</v>
      </c>
      <c r="H173" s="2">
        <v>0.38</v>
      </c>
    </row>
    <row r="174" spans="1:8" x14ac:dyDescent="0.25">
      <c r="A174" s="1">
        <v>992</v>
      </c>
      <c r="B174" s="4">
        <v>5930562</v>
      </c>
      <c r="C174" s="3">
        <v>5.1699999999999996E-2</v>
      </c>
      <c r="D174" s="3">
        <f t="shared" si="2"/>
        <v>0.6</v>
      </c>
      <c r="E174" s="1">
        <v>0.4</v>
      </c>
      <c r="F174" s="2">
        <v>0.15</v>
      </c>
      <c r="G174" s="2">
        <v>0.38</v>
      </c>
      <c r="H174" s="2">
        <v>0.47</v>
      </c>
    </row>
    <row r="175" spans="1:8" x14ac:dyDescent="0.25">
      <c r="A175" s="1">
        <v>149</v>
      </c>
      <c r="B175" s="4">
        <v>6664007</v>
      </c>
      <c r="C175" s="3">
        <v>5.16E-2</v>
      </c>
      <c r="D175" s="3">
        <f t="shared" si="2"/>
        <v>0.6</v>
      </c>
      <c r="E175" s="1">
        <v>0.4</v>
      </c>
      <c r="F175" s="2">
        <v>0.43</v>
      </c>
      <c r="G175" s="2">
        <v>0.36</v>
      </c>
      <c r="H175" s="2">
        <v>0.21000000000000002</v>
      </c>
    </row>
    <row r="176" spans="1:8" x14ac:dyDescent="0.25">
      <c r="A176" s="1">
        <v>346</v>
      </c>
      <c r="B176" s="4">
        <v>2068780</v>
      </c>
      <c r="C176" s="3">
        <v>5.16E-2</v>
      </c>
      <c r="D176" s="3">
        <f t="shared" si="2"/>
        <v>0.4</v>
      </c>
      <c r="E176" s="1">
        <v>0.6</v>
      </c>
      <c r="F176" s="2">
        <v>0.39</v>
      </c>
      <c r="G176" s="2">
        <v>0.22</v>
      </c>
      <c r="H176" s="2">
        <v>0.39</v>
      </c>
    </row>
    <row r="177" spans="1:8" x14ac:dyDescent="0.25">
      <c r="A177" s="1">
        <v>622</v>
      </c>
      <c r="B177" s="4">
        <v>9231649</v>
      </c>
      <c r="C177" s="3">
        <v>5.16E-2</v>
      </c>
      <c r="D177" s="3">
        <f t="shared" si="2"/>
        <v>0.7</v>
      </c>
      <c r="E177" s="1">
        <v>0.3</v>
      </c>
      <c r="F177" s="2">
        <v>0.22</v>
      </c>
      <c r="G177" s="2">
        <v>0.37</v>
      </c>
      <c r="H177" s="2">
        <v>0.41000000000000003</v>
      </c>
    </row>
    <row r="178" spans="1:8" x14ac:dyDescent="0.25">
      <c r="A178" s="1">
        <v>752</v>
      </c>
      <c r="B178" s="4">
        <v>3440913</v>
      </c>
      <c r="C178" s="3">
        <v>5.16E-2</v>
      </c>
      <c r="D178" s="3">
        <f t="shared" si="2"/>
        <v>0.6</v>
      </c>
      <c r="E178" s="1">
        <v>0.4</v>
      </c>
      <c r="F178" s="2">
        <v>0.32</v>
      </c>
      <c r="G178" s="2">
        <v>0.31</v>
      </c>
      <c r="H178" s="2">
        <v>0.36999999999999994</v>
      </c>
    </row>
    <row r="179" spans="1:8" x14ac:dyDescent="0.25">
      <c r="A179" s="1">
        <v>395</v>
      </c>
      <c r="B179" s="4">
        <v>1491428</v>
      </c>
      <c r="C179" s="3">
        <v>5.1500000000000004E-2</v>
      </c>
      <c r="D179" s="3">
        <f t="shared" si="2"/>
        <v>0.4</v>
      </c>
      <c r="E179" s="1">
        <v>0.6</v>
      </c>
      <c r="F179" s="2">
        <v>0.27</v>
      </c>
      <c r="G179" s="2">
        <v>0.43</v>
      </c>
      <c r="H179" s="2">
        <v>0.30000000000000004</v>
      </c>
    </row>
    <row r="180" spans="1:8" x14ac:dyDescent="0.25">
      <c r="A180" s="1">
        <v>793</v>
      </c>
      <c r="B180" s="4">
        <v>3990903</v>
      </c>
      <c r="C180" s="3">
        <v>5.1500000000000004E-2</v>
      </c>
      <c r="D180" s="3">
        <f t="shared" si="2"/>
        <v>0.6</v>
      </c>
      <c r="E180" s="1">
        <v>0.4</v>
      </c>
      <c r="F180" s="2">
        <v>0.45</v>
      </c>
      <c r="G180" s="2">
        <v>0.21</v>
      </c>
      <c r="H180" s="2">
        <v>0.34</v>
      </c>
    </row>
    <row r="181" spans="1:8" x14ac:dyDescent="0.25">
      <c r="A181" s="1">
        <v>812</v>
      </c>
      <c r="B181" s="4">
        <v>2839541</v>
      </c>
      <c r="C181" s="3">
        <v>5.1500000000000004E-2</v>
      </c>
      <c r="D181" s="3">
        <f t="shared" si="2"/>
        <v>0.4</v>
      </c>
      <c r="E181" s="1">
        <v>0.6</v>
      </c>
      <c r="F181" s="2">
        <v>0.23</v>
      </c>
      <c r="G181" s="2">
        <v>0.48</v>
      </c>
      <c r="H181" s="2">
        <v>0.29000000000000004</v>
      </c>
    </row>
    <row r="182" spans="1:8" x14ac:dyDescent="0.25">
      <c r="A182" s="1">
        <v>1036</v>
      </c>
      <c r="B182" s="4">
        <v>4671176</v>
      </c>
      <c r="C182" s="3">
        <v>5.1500000000000004E-2</v>
      </c>
      <c r="D182" s="3">
        <f t="shared" si="2"/>
        <v>0.6</v>
      </c>
      <c r="E182" s="1">
        <v>0.4</v>
      </c>
      <c r="F182" s="2">
        <v>0.3</v>
      </c>
      <c r="G182" s="2">
        <v>0.33</v>
      </c>
      <c r="H182" s="2">
        <v>0.36999999999999994</v>
      </c>
    </row>
    <row r="183" spans="1:8" x14ac:dyDescent="0.25">
      <c r="A183" s="1">
        <v>445</v>
      </c>
      <c r="B183" s="4">
        <v>7863390</v>
      </c>
      <c r="C183" s="3">
        <v>5.1399999999999994E-2</v>
      </c>
      <c r="D183" s="3">
        <f t="shared" si="2"/>
        <v>0.7</v>
      </c>
      <c r="E183" s="1">
        <v>0.3</v>
      </c>
      <c r="F183" s="2">
        <v>0.38</v>
      </c>
      <c r="G183" s="2">
        <v>0.43</v>
      </c>
      <c r="H183" s="2">
        <v>0.19000000000000006</v>
      </c>
    </row>
    <row r="184" spans="1:8" x14ac:dyDescent="0.25">
      <c r="A184" s="1">
        <v>807</v>
      </c>
      <c r="B184" s="4">
        <v>7375522</v>
      </c>
      <c r="C184" s="3">
        <v>5.1399999999999994E-2</v>
      </c>
      <c r="D184" s="3">
        <f t="shared" si="2"/>
        <v>0.7</v>
      </c>
      <c r="E184" s="1">
        <v>0.3</v>
      </c>
      <c r="F184" s="2">
        <v>0.22</v>
      </c>
      <c r="G184" s="2">
        <v>0.3</v>
      </c>
      <c r="H184" s="2">
        <v>0.48</v>
      </c>
    </row>
    <row r="185" spans="1:8" x14ac:dyDescent="0.25">
      <c r="A185" s="1">
        <v>179</v>
      </c>
      <c r="B185" s="4">
        <v>2804053</v>
      </c>
      <c r="C185" s="3">
        <v>5.1299999999999998E-2</v>
      </c>
      <c r="D185" s="3">
        <f t="shared" si="2"/>
        <v>0.4</v>
      </c>
      <c r="E185" s="1">
        <v>0.6</v>
      </c>
      <c r="F185" s="2">
        <v>0.12</v>
      </c>
      <c r="G185" s="2">
        <v>0.34</v>
      </c>
      <c r="H185" s="2">
        <v>0.53999999999999992</v>
      </c>
    </row>
    <row r="186" spans="1:8" x14ac:dyDescent="0.25">
      <c r="A186" s="1">
        <v>691</v>
      </c>
      <c r="B186" s="4">
        <v>7235096</v>
      </c>
      <c r="C186" s="3">
        <v>5.1299999999999998E-2</v>
      </c>
      <c r="D186" s="3">
        <f t="shared" si="2"/>
        <v>0.7</v>
      </c>
      <c r="E186" s="1">
        <v>0.3</v>
      </c>
      <c r="F186" s="2">
        <v>0.32</v>
      </c>
      <c r="G186" s="2">
        <v>0.28000000000000003</v>
      </c>
      <c r="H186" s="2">
        <v>0.39999999999999997</v>
      </c>
    </row>
    <row r="187" spans="1:8" x14ac:dyDescent="0.25">
      <c r="A187" s="1">
        <v>433</v>
      </c>
      <c r="B187" s="4">
        <v>353252</v>
      </c>
      <c r="C187" s="3">
        <v>5.1200000000000002E-2</v>
      </c>
      <c r="D187" s="3">
        <f t="shared" si="2"/>
        <v>0.4</v>
      </c>
      <c r="E187" s="1">
        <v>0.6</v>
      </c>
      <c r="F187" s="2">
        <v>0.37</v>
      </c>
      <c r="G187" s="2">
        <v>0.46</v>
      </c>
      <c r="H187" s="2">
        <v>0.17000000000000004</v>
      </c>
    </row>
    <row r="188" spans="1:8" x14ac:dyDescent="0.25">
      <c r="A188" s="1">
        <v>515</v>
      </c>
      <c r="B188" s="4">
        <v>8060039</v>
      </c>
      <c r="C188" s="3">
        <v>5.1200000000000002E-2</v>
      </c>
      <c r="D188" s="3">
        <f t="shared" si="2"/>
        <v>0.7</v>
      </c>
      <c r="E188" s="1">
        <v>0.3</v>
      </c>
      <c r="F188" s="2">
        <v>0.31</v>
      </c>
      <c r="G188" s="2">
        <v>0.43</v>
      </c>
      <c r="H188" s="2">
        <v>0.26000000000000006</v>
      </c>
    </row>
    <row r="189" spans="1:8" x14ac:dyDescent="0.25">
      <c r="A189" s="1">
        <v>621</v>
      </c>
      <c r="B189" s="4">
        <v>1345392</v>
      </c>
      <c r="C189" s="3">
        <v>5.1200000000000002E-2</v>
      </c>
      <c r="D189" s="3">
        <f t="shared" si="2"/>
        <v>0.4</v>
      </c>
      <c r="E189" s="1">
        <v>0.6</v>
      </c>
      <c r="F189" s="2">
        <v>0.23</v>
      </c>
      <c r="G189" s="2">
        <v>0.48</v>
      </c>
      <c r="H189" s="2">
        <v>0.29000000000000004</v>
      </c>
    </row>
    <row r="190" spans="1:8" x14ac:dyDescent="0.25">
      <c r="A190" s="1">
        <v>198</v>
      </c>
      <c r="B190" s="4">
        <v>8119651</v>
      </c>
      <c r="C190" s="3">
        <v>5.1100000000000007E-2</v>
      </c>
      <c r="D190" s="3">
        <f t="shared" si="2"/>
        <v>0.7</v>
      </c>
      <c r="E190" s="1">
        <v>0.3</v>
      </c>
      <c r="F190" s="2">
        <v>0.12</v>
      </c>
      <c r="G190" s="2">
        <v>0.39</v>
      </c>
      <c r="H190" s="2">
        <v>0.49</v>
      </c>
    </row>
    <row r="191" spans="1:8" x14ac:dyDescent="0.25">
      <c r="A191" s="1">
        <v>295</v>
      </c>
      <c r="B191" s="4">
        <v>8779339</v>
      </c>
      <c r="C191" s="3">
        <v>5.1100000000000007E-2</v>
      </c>
      <c r="D191" s="3">
        <f t="shared" si="2"/>
        <v>0.7</v>
      </c>
      <c r="E191" s="1">
        <v>0.3</v>
      </c>
      <c r="F191" s="2">
        <v>0.31</v>
      </c>
      <c r="G191" s="2">
        <v>0.43</v>
      </c>
      <c r="H191" s="2">
        <v>0.26000000000000006</v>
      </c>
    </row>
    <row r="192" spans="1:8" x14ac:dyDescent="0.25">
      <c r="A192" s="1">
        <v>69</v>
      </c>
      <c r="B192" s="4">
        <v>2469530</v>
      </c>
      <c r="C192" s="3">
        <v>5.0999999999999997E-2</v>
      </c>
      <c r="D192" s="3">
        <f t="shared" si="2"/>
        <v>0.4</v>
      </c>
      <c r="E192" s="1">
        <v>0.6</v>
      </c>
      <c r="F192" s="2">
        <v>0.14000000000000001</v>
      </c>
      <c r="G192" s="2">
        <v>0.49</v>
      </c>
      <c r="H192" s="2">
        <v>0.37</v>
      </c>
    </row>
    <row r="193" spans="1:8" x14ac:dyDescent="0.25">
      <c r="A193" s="1">
        <v>94</v>
      </c>
      <c r="B193" s="4">
        <v>7793779</v>
      </c>
      <c r="C193" s="3">
        <v>5.0999999999999997E-2</v>
      </c>
      <c r="D193" s="3">
        <f t="shared" si="2"/>
        <v>0.7</v>
      </c>
      <c r="E193" s="1">
        <v>0.3</v>
      </c>
      <c r="F193" s="2">
        <v>0.39</v>
      </c>
      <c r="G193" s="2">
        <v>0.26</v>
      </c>
      <c r="H193" s="2">
        <v>0.35</v>
      </c>
    </row>
    <row r="194" spans="1:8" x14ac:dyDescent="0.25">
      <c r="A194" s="1">
        <v>772</v>
      </c>
      <c r="B194" s="4">
        <v>1782688</v>
      </c>
      <c r="C194" s="3">
        <v>5.0999999999999997E-2</v>
      </c>
      <c r="D194" s="3">
        <f t="shared" ref="D194:D257" si="3">1-E194</f>
        <v>0.4</v>
      </c>
      <c r="E194" s="1">
        <v>0.6</v>
      </c>
      <c r="F194" s="2">
        <v>0.32</v>
      </c>
      <c r="G194" s="2">
        <v>0.49</v>
      </c>
      <c r="H194" s="2">
        <v>0.19</v>
      </c>
    </row>
    <row r="195" spans="1:8" x14ac:dyDescent="0.25">
      <c r="A195" s="1">
        <v>1020</v>
      </c>
      <c r="B195" s="4">
        <v>4475045</v>
      </c>
      <c r="C195" s="3">
        <v>5.0999999999999997E-2</v>
      </c>
      <c r="D195" s="3">
        <f t="shared" si="3"/>
        <v>0.6</v>
      </c>
      <c r="E195" s="1">
        <v>0.4</v>
      </c>
      <c r="F195" s="2">
        <v>0.12</v>
      </c>
      <c r="G195" s="2">
        <v>0.44</v>
      </c>
      <c r="H195" s="2">
        <v>0.44000000000000006</v>
      </c>
    </row>
    <row r="196" spans="1:8" x14ac:dyDescent="0.25">
      <c r="A196" s="1">
        <v>185</v>
      </c>
      <c r="B196" s="4">
        <v>4585718</v>
      </c>
      <c r="C196" s="3">
        <v>5.0900000000000001E-2</v>
      </c>
      <c r="D196" s="3">
        <f t="shared" si="3"/>
        <v>0.6</v>
      </c>
      <c r="E196" s="1">
        <v>0.4</v>
      </c>
      <c r="F196" s="2">
        <v>0.28000000000000003</v>
      </c>
      <c r="G196" s="2">
        <v>0.5</v>
      </c>
      <c r="H196" s="2">
        <v>0.21999999999999997</v>
      </c>
    </row>
    <row r="197" spans="1:8" x14ac:dyDescent="0.25">
      <c r="A197" s="1">
        <v>316</v>
      </c>
      <c r="B197" s="4">
        <v>6418287</v>
      </c>
      <c r="C197" s="3">
        <v>5.0900000000000001E-2</v>
      </c>
      <c r="D197" s="3">
        <f t="shared" si="3"/>
        <v>0.6</v>
      </c>
      <c r="E197" s="1">
        <v>0.4</v>
      </c>
      <c r="F197" s="2">
        <v>0.17</v>
      </c>
      <c r="G197" s="2">
        <v>0.34</v>
      </c>
      <c r="H197" s="2">
        <v>0.48999999999999988</v>
      </c>
    </row>
    <row r="198" spans="1:8" x14ac:dyDescent="0.25">
      <c r="A198" s="1">
        <v>66</v>
      </c>
      <c r="B198" s="4">
        <v>4786575</v>
      </c>
      <c r="C198" s="3">
        <v>5.0799999999999998E-2</v>
      </c>
      <c r="D198" s="3">
        <f t="shared" si="3"/>
        <v>0.6</v>
      </c>
      <c r="E198" s="1">
        <v>0.4</v>
      </c>
      <c r="F198" s="2">
        <v>0.23</v>
      </c>
      <c r="G198" s="2">
        <v>0.41</v>
      </c>
      <c r="H198" s="2">
        <v>0.3600000000000001</v>
      </c>
    </row>
    <row r="199" spans="1:8" x14ac:dyDescent="0.25">
      <c r="A199" s="1">
        <v>463</v>
      </c>
      <c r="B199" s="4">
        <v>9068265</v>
      </c>
      <c r="C199" s="3">
        <v>5.0799999999999998E-2</v>
      </c>
      <c r="D199" s="3">
        <f t="shared" si="3"/>
        <v>0.7</v>
      </c>
      <c r="E199" s="1">
        <v>0.3</v>
      </c>
      <c r="F199" s="2">
        <v>0.1</v>
      </c>
      <c r="G199" s="2">
        <v>0.25</v>
      </c>
      <c r="H199" s="2">
        <v>0.65</v>
      </c>
    </row>
    <row r="200" spans="1:8" x14ac:dyDescent="0.25">
      <c r="A200" s="1">
        <v>3</v>
      </c>
      <c r="B200" s="4">
        <v>2604808</v>
      </c>
      <c r="C200" s="3">
        <v>5.0700000000000002E-2</v>
      </c>
      <c r="D200" s="3">
        <f t="shared" si="3"/>
        <v>0.4</v>
      </c>
      <c r="E200" s="1">
        <v>0.6</v>
      </c>
      <c r="F200" s="2">
        <v>0.45</v>
      </c>
      <c r="G200" s="2">
        <v>0.21</v>
      </c>
      <c r="H200" s="2">
        <v>0.34</v>
      </c>
    </row>
    <row r="201" spans="1:8" x14ac:dyDescent="0.25">
      <c r="A201" s="1">
        <v>192</v>
      </c>
      <c r="B201" s="4">
        <v>4122420</v>
      </c>
      <c r="C201" s="3">
        <v>5.0700000000000002E-2</v>
      </c>
      <c r="D201" s="3">
        <f t="shared" si="3"/>
        <v>0.6</v>
      </c>
      <c r="E201" s="1">
        <v>0.4</v>
      </c>
      <c r="F201" s="2">
        <v>0.35</v>
      </c>
      <c r="G201" s="2">
        <v>0.4</v>
      </c>
      <c r="H201" s="2">
        <v>0.25</v>
      </c>
    </row>
    <row r="202" spans="1:8" x14ac:dyDescent="0.25">
      <c r="A202" s="1">
        <v>842</v>
      </c>
      <c r="B202" s="4">
        <v>2003045</v>
      </c>
      <c r="C202" s="3">
        <v>5.0599999999999999E-2</v>
      </c>
      <c r="D202" s="3">
        <f t="shared" si="3"/>
        <v>0.4</v>
      </c>
      <c r="E202" s="1">
        <v>0.6</v>
      </c>
      <c r="F202" s="2">
        <v>0.45</v>
      </c>
      <c r="G202" s="2">
        <v>0.26</v>
      </c>
      <c r="H202" s="2">
        <v>0.28999999999999998</v>
      </c>
    </row>
    <row r="203" spans="1:8" x14ac:dyDescent="0.25">
      <c r="A203" s="1">
        <v>50</v>
      </c>
      <c r="B203" s="4">
        <v>4328088</v>
      </c>
      <c r="C203" s="3">
        <v>5.0499999999999996E-2</v>
      </c>
      <c r="D203" s="3">
        <f t="shared" si="3"/>
        <v>0.6</v>
      </c>
      <c r="E203" s="1">
        <v>0.4</v>
      </c>
      <c r="F203" s="2">
        <v>0.27</v>
      </c>
      <c r="G203" s="2">
        <v>0.34</v>
      </c>
      <c r="H203" s="2">
        <v>0.3899999999999999</v>
      </c>
    </row>
    <row r="204" spans="1:8" x14ac:dyDescent="0.25">
      <c r="A204" s="1">
        <v>241</v>
      </c>
      <c r="B204" s="4">
        <v>6980380</v>
      </c>
      <c r="C204" s="3">
        <v>5.0499999999999996E-2</v>
      </c>
      <c r="D204" s="3">
        <f t="shared" si="3"/>
        <v>0.6</v>
      </c>
      <c r="E204" s="1">
        <v>0.4</v>
      </c>
      <c r="F204" s="2">
        <v>0.18</v>
      </c>
      <c r="G204" s="2">
        <v>0.4</v>
      </c>
      <c r="H204" s="2">
        <v>0.42</v>
      </c>
    </row>
    <row r="205" spans="1:8" x14ac:dyDescent="0.25">
      <c r="A205" s="1">
        <v>344</v>
      </c>
      <c r="B205" s="4">
        <v>4718009</v>
      </c>
      <c r="C205" s="3">
        <v>5.0499999999999996E-2</v>
      </c>
      <c r="D205" s="3">
        <f t="shared" si="3"/>
        <v>0.6</v>
      </c>
      <c r="E205" s="1">
        <v>0.4</v>
      </c>
      <c r="F205" s="2">
        <v>0.37</v>
      </c>
      <c r="G205" s="2">
        <v>0.5</v>
      </c>
      <c r="H205" s="2">
        <v>0.13</v>
      </c>
    </row>
    <row r="206" spans="1:8" x14ac:dyDescent="0.25">
      <c r="A206" s="1">
        <v>672</v>
      </c>
      <c r="B206" s="4">
        <v>813562</v>
      </c>
      <c r="C206" s="3">
        <v>5.0499999999999996E-2</v>
      </c>
      <c r="D206" s="3">
        <f t="shared" si="3"/>
        <v>0.4</v>
      </c>
      <c r="E206" s="1">
        <v>0.6</v>
      </c>
      <c r="F206" s="2">
        <v>0.24</v>
      </c>
      <c r="G206" s="2">
        <v>0.46</v>
      </c>
      <c r="H206" s="2">
        <v>0.30000000000000004</v>
      </c>
    </row>
    <row r="207" spans="1:8" x14ac:dyDescent="0.25">
      <c r="A207" s="1">
        <v>145</v>
      </c>
      <c r="B207" s="4">
        <v>1003886</v>
      </c>
      <c r="C207" s="3">
        <v>5.04E-2</v>
      </c>
      <c r="D207" s="3">
        <f t="shared" si="3"/>
        <v>0.4</v>
      </c>
      <c r="E207" s="1">
        <v>0.6</v>
      </c>
      <c r="F207" s="2">
        <v>0.14000000000000001</v>
      </c>
      <c r="G207" s="2">
        <v>0.49</v>
      </c>
      <c r="H207" s="2">
        <v>0.37</v>
      </c>
    </row>
    <row r="208" spans="1:8" x14ac:dyDescent="0.25">
      <c r="A208" s="1">
        <v>640</v>
      </c>
      <c r="B208" s="4">
        <v>9982638</v>
      </c>
      <c r="C208" s="3">
        <v>5.04E-2</v>
      </c>
      <c r="D208" s="3">
        <f t="shared" si="3"/>
        <v>0.7</v>
      </c>
      <c r="E208" s="1">
        <v>0.3</v>
      </c>
      <c r="F208" s="2">
        <v>0.42</v>
      </c>
      <c r="G208" s="2">
        <v>0.28000000000000003</v>
      </c>
      <c r="H208" s="2">
        <v>0.3</v>
      </c>
    </row>
    <row r="209" spans="1:8" x14ac:dyDescent="0.25">
      <c r="A209" s="1">
        <v>617</v>
      </c>
      <c r="B209" s="4">
        <v>4019026</v>
      </c>
      <c r="C209" s="3">
        <v>5.0300000000000004E-2</v>
      </c>
      <c r="D209" s="3">
        <f t="shared" si="3"/>
        <v>0.6</v>
      </c>
      <c r="E209" s="1">
        <v>0.4</v>
      </c>
      <c r="F209" s="2">
        <v>0.37</v>
      </c>
      <c r="G209" s="2">
        <v>0.26</v>
      </c>
      <c r="H209" s="2">
        <v>0.37</v>
      </c>
    </row>
    <row r="210" spans="1:8" x14ac:dyDescent="0.25">
      <c r="A210" s="1">
        <v>480</v>
      </c>
      <c r="B210" s="4">
        <v>1566230</v>
      </c>
      <c r="C210" s="3">
        <v>5.0199999999999995E-2</v>
      </c>
      <c r="D210" s="3">
        <f t="shared" si="3"/>
        <v>0.4</v>
      </c>
      <c r="E210" s="1">
        <v>0.6</v>
      </c>
      <c r="F210" s="2">
        <v>0.36</v>
      </c>
      <c r="G210" s="2">
        <v>0.36</v>
      </c>
      <c r="H210" s="2">
        <v>0.28000000000000003</v>
      </c>
    </row>
    <row r="211" spans="1:8" x14ac:dyDescent="0.25">
      <c r="A211" s="1">
        <v>30</v>
      </c>
      <c r="B211" s="4">
        <v>5147894</v>
      </c>
      <c r="C211" s="3">
        <v>5.0099999999999999E-2</v>
      </c>
      <c r="D211" s="3">
        <f t="shared" si="3"/>
        <v>0.6</v>
      </c>
      <c r="E211" s="1">
        <v>0.4</v>
      </c>
      <c r="F211" s="2">
        <v>0.4</v>
      </c>
      <c r="G211" s="2">
        <v>0.33</v>
      </c>
      <c r="H211" s="2">
        <v>0.26999999999999991</v>
      </c>
    </row>
    <row r="212" spans="1:8" x14ac:dyDescent="0.25">
      <c r="A212" s="1">
        <v>183</v>
      </c>
      <c r="B212" s="4">
        <v>7380353</v>
      </c>
      <c r="C212" s="3">
        <v>0.05</v>
      </c>
      <c r="D212" s="3">
        <f t="shared" si="3"/>
        <v>0.7</v>
      </c>
      <c r="E212" s="1">
        <v>0.3</v>
      </c>
      <c r="F212" s="2">
        <v>0.24</v>
      </c>
      <c r="G212" s="2">
        <v>0.43</v>
      </c>
      <c r="H212" s="2">
        <v>0.33000000000000007</v>
      </c>
    </row>
    <row r="213" spans="1:8" x14ac:dyDescent="0.25">
      <c r="A213" s="1">
        <v>857</v>
      </c>
      <c r="B213" s="4">
        <v>3254951</v>
      </c>
      <c r="C213" s="3">
        <v>0.05</v>
      </c>
      <c r="D213" s="3">
        <f t="shared" si="3"/>
        <v>0.6</v>
      </c>
      <c r="E213" s="1">
        <v>0.4</v>
      </c>
      <c r="F213" s="2">
        <v>0.17</v>
      </c>
      <c r="G213" s="2">
        <v>0.37</v>
      </c>
      <c r="H213" s="2">
        <v>0.45999999999999996</v>
      </c>
    </row>
    <row r="214" spans="1:8" x14ac:dyDescent="0.25">
      <c r="A214" s="1">
        <v>26</v>
      </c>
      <c r="B214" s="4">
        <v>8274696</v>
      </c>
      <c r="C214" s="3">
        <v>4.99E-2</v>
      </c>
      <c r="D214" s="3">
        <f t="shared" si="3"/>
        <v>0.7</v>
      </c>
      <c r="E214" s="1">
        <v>0.3</v>
      </c>
      <c r="F214" s="2">
        <v>0.23</v>
      </c>
      <c r="G214" s="2">
        <v>0.25</v>
      </c>
      <c r="H214" s="2">
        <v>0.52</v>
      </c>
    </row>
    <row r="215" spans="1:8" x14ac:dyDescent="0.25">
      <c r="A215" s="1">
        <v>81</v>
      </c>
      <c r="B215" s="4">
        <v>5955269</v>
      </c>
      <c r="C215" s="3">
        <v>4.99E-2</v>
      </c>
      <c r="D215" s="3">
        <f t="shared" si="3"/>
        <v>0.6</v>
      </c>
      <c r="E215" s="1">
        <v>0.4</v>
      </c>
      <c r="F215" s="2">
        <v>0.37</v>
      </c>
      <c r="G215" s="2">
        <v>0.34</v>
      </c>
      <c r="H215" s="2">
        <v>0.28999999999999992</v>
      </c>
    </row>
    <row r="216" spans="1:8" x14ac:dyDescent="0.25">
      <c r="A216" s="1">
        <v>201</v>
      </c>
      <c r="B216" s="4">
        <v>5847977</v>
      </c>
      <c r="C216" s="3">
        <v>4.99E-2</v>
      </c>
      <c r="D216" s="3">
        <f t="shared" si="3"/>
        <v>0.6</v>
      </c>
      <c r="E216" s="1">
        <v>0.4</v>
      </c>
      <c r="F216" s="2">
        <v>0.41</v>
      </c>
      <c r="G216" s="2">
        <v>0.36</v>
      </c>
      <c r="H216" s="2">
        <v>0.23000000000000004</v>
      </c>
    </row>
    <row r="217" spans="1:8" x14ac:dyDescent="0.25">
      <c r="A217" s="1">
        <v>981</v>
      </c>
      <c r="B217" s="4">
        <v>9694972</v>
      </c>
      <c r="C217" s="3">
        <v>4.99E-2</v>
      </c>
      <c r="D217" s="3">
        <f t="shared" si="3"/>
        <v>0.7</v>
      </c>
      <c r="E217" s="1">
        <v>0.3</v>
      </c>
      <c r="F217" s="2">
        <v>0.25</v>
      </c>
      <c r="G217" s="2">
        <v>0.28999999999999998</v>
      </c>
      <c r="H217" s="2">
        <v>0.45999999999999996</v>
      </c>
    </row>
    <row r="218" spans="1:8" x14ac:dyDescent="0.25">
      <c r="A218" s="1">
        <v>1041</v>
      </c>
      <c r="B218" s="4">
        <v>300160</v>
      </c>
      <c r="C218" s="3">
        <v>4.99E-2</v>
      </c>
      <c r="D218" s="3">
        <f t="shared" si="3"/>
        <v>0.4</v>
      </c>
      <c r="E218" s="1">
        <v>0.6</v>
      </c>
      <c r="F218" s="2">
        <v>0.28999999999999998</v>
      </c>
      <c r="G218" s="2">
        <v>0.33</v>
      </c>
      <c r="H218" s="2">
        <v>0.37999999999999995</v>
      </c>
    </row>
    <row r="219" spans="1:8" x14ac:dyDescent="0.25">
      <c r="A219" s="1">
        <v>51</v>
      </c>
      <c r="B219" s="4">
        <v>7833809</v>
      </c>
      <c r="C219" s="3">
        <v>4.9800000000000004E-2</v>
      </c>
      <c r="D219" s="3">
        <f t="shared" si="3"/>
        <v>0.7</v>
      </c>
      <c r="E219" s="1">
        <v>0.3</v>
      </c>
      <c r="F219" s="2">
        <v>0.28000000000000003</v>
      </c>
      <c r="G219" s="2">
        <v>0.39</v>
      </c>
      <c r="H219" s="2">
        <v>0.32999999999999996</v>
      </c>
    </row>
    <row r="220" spans="1:8" x14ac:dyDescent="0.25">
      <c r="A220" s="1">
        <v>766</v>
      </c>
      <c r="B220" s="4">
        <v>9927202</v>
      </c>
      <c r="C220" s="3">
        <v>4.9699999999999994E-2</v>
      </c>
      <c r="D220" s="3">
        <f t="shared" si="3"/>
        <v>0.7</v>
      </c>
      <c r="E220" s="1">
        <v>0.3</v>
      </c>
      <c r="F220" s="2">
        <v>0.2</v>
      </c>
      <c r="G220" s="2">
        <v>0.39</v>
      </c>
      <c r="H220" s="2">
        <v>0.41</v>
      </c>
    </row>
    <row r="221" spans="1:8" x14ac:dyDescent="0.25">
      <c r="A221" s="1">
        <v>1004</v>
      </c>
      <c r="B221" s="4">
        <v>8365931</v>
      </c>
      <c r="C221" s="3">
        <v>4.9699999999999994E-2</v>
      </c>
      <c r="D221" s="3">
        <f t="shared" si="3"/>
        <v>0.7</v>
      </c>
      <c r="E221" s="1">
        <v>0.3</v>
      </c>
      <c r="F221" s="2">
        <v>0.45</v>
      </c>
      <c r="G221" s="2">
        <v>0.25</v>
      </c>
      <c r="H221" s="2">
        <v>0.3</v>
      </c>
    </row>
    <row r="222" spans="1:8" x14ac:dyDescent="0.25">
      <c r="A222" s="1">
        <v>786</v>
      </c>
      <c r="B222" s="4">
        <v>2549421</v>
      </c>
      <c r="C222" s="3">
        <v>4.9599999999999998E-2</v>
      </c>
      <c r="D222" s="3">
        <f t="shared" si="3"/>
        <v>0.4</v>
      </c>
      <c r="E222" s="1">
        <v>0.6</v>
      </c>
      <c r="F222" s="2">
        <v>0.25</v>
      </c>
      <c r="G222" s="2">
        <v>0.22</v>
      </c>
      <c r="H222" s="2">
        <v>0.53</v>
      </c>
    </row>
    <row r="223" spans="1:8" x14ac:dyDescent="0.25">
      <c r="A223" s="1">
        <v>191</v>
      </c>
      <c r="B223" s="4">
        <v>2528185</v>
      </c>
      <c r="C223" s="3">
        <v>4.9400000000000006E-2</v>
      </c>
      <c r="D223" s="3">
        <f t="shared" si="3"/>
        <v>0.4</v>
      </c>
      <c r="E223" s="1">
        <v>0.6</v>
      </c>
      <c r="F223" s="2">
        <v>0.39</v>
      </c>
      <c r="G223" s="2">
        <v>0.21</v>
      </c>
      <c r="H223" s="2">
        <v>0.4</v>
      </c>
    </row>
    <row r="224" spans="1:8" x14ac:dyDescent="0.25">
      <c r="A224" s="1">
        <v>542</v>
      </c>
      <c r="B224" s="4">
        <v>7120433</v>
      </c>
      <c r="C224" s="3">
        <v>4.9400000000000006E-2</v>
      </c>
      <c r="D224" s="3">
        <f t="shared" si="3"/>
        <v>0.7</v>
      </c>
      <c r="E224" s="1">
        <v>0.3</v>
      </c>
      <c r="F224" s="2">
        <v>0.31</v>
      </c>
      <c r="G224" s="2">
        <v>0.41</v>
      </c>
      <c r="H224" s="2">
        <v>0.28000000000000008</v>
      </c>
    </row>
    <row r="225" spans="1:8" x14ac:dyDescent="0.25">
      <c r="A225" s="1">
        <v>657</v>
      </c>
      <c r="B225" s="4">
        <v>4327481</v>
      </c>
      <c r="C225" s="3">
        <v>4.9400000000000006E-2</v>
      </c>
      <c r="D225" s="3">
        <f t="shared" si="3"/>
        <v>0.6</v>
      </c>
      <c r="E225" s="1">
        <v>0.4</v>
      </c>
      <c r="F225" s="2">
        <v>0.24</v>
      </c>
      <c r="G225" s="2">
        <v>0.31</v>
      </c>
      <c r="H225" s="2">
        <v>0.44999999999999996</v>
      </c>
    </row>
    <row r="226" spans="1:8" x14ac:dyDescent="0.25">
      <c r="A226" s="1">
        <v>692</v>
      </c>
      <c r="B226" s="4">
        <v>3485530</v>
      </c>
      <c r="C226" s="3">
        <v>4.9299999999999997E-2</v>
      </c>
      <c r="D226" s="3">
        <f t="shared" si="3"/>
        <v>0.6</v>
      </c>
      <c r="E226" s="1">
        <v>0.4</v>
      </c>
      <c r="F226" s="2">
        <v>0.25</v>
      </c>
      <c r="G226" s="2">
        <v>0.22</v>
      </c>
      <c r="H226" s="2">
        <v>0.53</v>
      </c>
    </row>
    <row r="227" spans="1:8" x14ac:dyDescent="0.25">
      <c r="A227" s="1">
        <v>798</v>
      </c>
      <c r="B227" s="4">
        <v>1302508</v>
      </c>
      <c r="C227" s="3">
        <v>4.9299999999999997E-2</v>
      </c>
      <c r="D227" s="3">
        <f t="shared" si="3"/>
        <v>0.4</v>
      </c>
      <c r="E227" s="1">
        <v>0.6</v>
      </c>
      <c r="F227" s="2">
        <v>0.26</v>
      </c>
      <c r="G227" s="2">
        <v>0.37</v>
      </c>
      <c r="H227" s="2">
        <v>0.37</v>
      </c>
    </row>
    <row r="228" spans="1:8" x14ac:dyDescent="0.25">
      <c r="A228" s="1">
        <v>447</v>
      </c>
      <c r="B228" s="4">
        <v>1664428</v>
      </c>
      <c r="C228" s="3">
        <v>4.9200000000000001E-2</v>
      </c>
      <c r="D228" s="3">
        <f t="shared" si="3"/>
        <v>0.4</v>
      </c>
      <c r="E228" s="1">
        <v>0.6</v>
      </c>
      <c r="F228" s="2">
        <v>0.4</v>
      </c>
      <c r="G228" s="2">
        <v>0.44</v>
      </c>
      <c r="H228" s="2">
        <v>0.16000000000000003</v>
      </c>
    </row>
    <row r="229" spans="1:8" x14ac:dyDescent="0.25">
      <c r="A229" s="1">
        <v>613</v>
      </c>
      <c r="B229" s="4">
        <v>7744004</v>
      </c>
      <c r="C229" s="3">
        <v>4.9200000000000001E-2</v>
      </c>
      <c r="D229" s="3">
        <f t="shared" si="3"/>
        <v>0.7</v>
      </c>
      <c r="E229" s="1">
        <v>0.3</v>
      </c>
      <c r="F229" s="2">
        <v>0.44</v>
      </c>
      <c r="G229" s="2">
        <v>0.47</v>
      </c>
      <c r="H229" s="2">
        <v>9.0000000000000024E-2</v>
      </c>
    </row>
    <row r="230" spans="1:8" x14ac:dyDescent="0.25">
      <c r="A230" s="1">
        <v>824</v>
      </c>
      <c r="B230" s="4">
        <v>7950979</v>
      </c>
      <c r="C230" s="3">
        <v>4.9200000000000001E-2</v>
      </c>
      <c r="D230" s="3">
        <f t="shared" si="3"/>
        <v>0.7</v>
      </c>
      <c r="E230" s="1">
        <v>0.3</v>
      </c>
      <c r="F230" s="2">
        <v>0.16</v>
      </c>
      <c r="G230" s="2">
        <v>0.33</v>
      </c>
      <c r="H230" s="2">
        <v>0.5099999999999999</v>
      </c>
    </row>
    <row r="231" spans="1:8" x14ac:dyDescent="0.25">
      <c r="A231" s="1">
        <v>847</v>
      </c>
      <c r="B231" s="4">
        <v>1115412</v>
      </c>
      <c r="C231" s="3">
        <v>4.9200000000000001E-2</v>
      </c>
      <c r="D231" s="3">
        <f t="shared" si="3"/>
        <v>0.4</v>
      </c>
      <c r="E231" s="1">
        <v>0.6</v>
      </c>
      <c r="F231" s="2">
        <v>0.35</v>
      </c>
      <c r="G231" s="2">
        <v>0.22</v>
      </c>
      <c r="H231" s="2">
        <v>0.43000000000000005</v>
      </c>
    </row>
    <row r="232" spans="1:8" x14ac:dyDescent="0.25">
      <c r="A232" s="1">
        <v>323</v>
      </c>
      <c r="B232" s="4">
        <v>7205391</v>
      </c>
      <c r="C232" s="3">
        <v>4.9100000000000005E-2</v>
      </c>
      <c r="D232" s="3">
        <f t="shared" si="3"/>
        <v>0.7</v>
      </c>
      <c r="E232" s="1">
        <v>0.3</v>
      </c>
      <c r="F232" s="2">
        <v>0.13</v>
      </c>
      <c r="G232" s="2">
        <v>0.39</v>
      </c>
      <c r="H232" s="2">
        <v>0.48</v>
      </c>
    </row>
    <row r="233" spans="1:8" x14ac:dyDescent="0.25">
      <c r="A233" s="1">
        <v>1014</v>
      </c>
      <c r="B233" s="4">
        <v>1370046</v>
      </c>
      <c r="C233" s="3">
        <v>4.9000000000000002E-2</v>
      </c>
      <c r="D233" s="3">
        <f t="shared" si="3"/>
        <v>0.4</v>
      </c>
      <c r="E233" s="1">
        <v>0.6</v>
      </c>
      <c r="F233" s="2">
        <v>0.24</v>
      </c>
      <c r="G233" s="2">
        <v>0.28999999999999998</v>
      </c>
      <c r="H233" s="2">
        <v>0.47</v>
      </c>
    </row>
    <row r="234" spans="1:8" x14ac:dyDescent="0.25">
      <c r="A234" s="1">
        <v>418</v>
      </c>
      <c r="B234" s="4">
        <v>6308018</v>
      </c>
      <c r="C234" s="3">
        <v>4.8799999999999996E-2</v>
      </c>
      <c r="D234" s="3">
        <f t="shared" si="3"/>
        <v>0.6</v>
      </c>
      <c r="E234" s="1">
        <v>0.4</v>
      </c>
      <c r="F234" s="2">
        <v>0.23</v>
      </c>
      <c r="G234" s="2">
        <v>0.41</v>
      </c>
      <c r="H234" s="2">
        <v>0.3600000000000001</v>
      </c>
    </row>
    <row r="235" spans="1:8" x14ac:dyDescent="0.25">
      <c r="A235" s="1">
        <v>791</v>
      </c>
      <c r="B235" s="4">
        <v>7276677</v>
      </c>
      <c r="C235" s="3">
        <v>4.8799999999999996E-2</v>
      </c>
      <c r="D235" s="3">
        <f t="shared" si="3"/>
        <v>0.7</v>
      </c>
      <c r="E235" s="1">
        <v>0.3</v>
      </c>
      <c r="F235" s="2">
        <v>0.12</v>
      </c>
      <c r="G235" s="2">
        <v>0.32</v>
      </c>
      <c r="H235" s="2">
        <v>0.55999999999999994</v>
      </c>
    </row>
    <row r="236" spans="1:8" x14ac:dyDescent="0.25">
      <c r="A236" s="1">
        <v>53</v>
      </c>
      <c r="B236" s="4">
        <v>8906748</v>
      </c>
      <c r="C236" s="3">
        <v>4.8600000000000004E-2</v>
      </c>
      <c r="D236" s="3">
        <f t="shared" si="3"/>
        <v>0.7</v>
      </c>
      <c r="E236" s="1">
        <v>0.3</v>
      </c>
      <c r="F236" s="2">
        <v>0.11</v>
      </c>
      <c r="G236" s="2">
        <v>0.3</v>
      </c>
      <c r="H236" s="2">
        <v>0.59</v>
      </c>
    </row>
    <row r="237" spans="1:8" x14ac:dyDescent="0.25">
      <c r="A237" s="1">
        <v>125</v>
      </c>
      <c r="B237" s="4">
        <v>3029190</v>
      </c>
      <c r="C237" s="3">
        <v>4.8600000000000004E-2</v>
      </c>
      <c r="D237" s="3">
        <f t="shared" si="3"/>
        <v>0.6</v>
      </c>
      <c r="E237" s="1">
        <v>0.4</v>
      </c>
      <c r="F237" s="2">
        <v>0.43</v>
      </c>
      <c r="G237" s="2">
        <v>0.26</v>
      </c>
      <c r="H237" s="2">
        <v>0.31</v>
      </c>
    </row>
    <row r="238" spans="1:8" x14ac:dyDescent="0.25">
      <c r="A238" s="1">
        <v>373</v>
      </c>
      <c r="B238" s="4">
        <v>8696605</v>
      </c>
      <c r="C238" s="3">
        <v>4.8499999999999995E-2</v>
      </c>
      <c r="D238" s="3">
        <f t="shared" si="3"/>
        <v>0.7</v>
      </c>
      <c r="E238" s="1">
        <v>0.3</v>
      </c>
      <c r="F238" s="2">
        <v>0.45</v>
      </c>
      <c r="G238" s="2">
        <v>0.45</v>
      </c>
      <c r="H238" s="2">
        <v>0.10000000000000003</v>
      </c>
    </row>
    <row r="239" spans="1:8" x14ac:dyDescent="0.25">
      <c r="A239" s="1">
        <v>399</v>
      </c>
      <c r="B239" s="4">
        <v>2002255</v>
      </c>
      <c r="C239" s="3">
        <v>4.8399999999999999E-2</v>
      </c>
      <c r="D239" s="3">
        <f t="shared" si="3"/>
        <v>0.4</v>
      </c>
      <c r="E239" s="1">
        <v>0.6</v>
      </c>
      <c r="F239" s="2">
        <v>0.4</v>
      </c>
      <c r="G239" s="2">
        <v>0.34</v>
      </c>
      <c r="H239" s="2">
        <v>0.2599999999999999</v>
      </c>
    </row>
    <row r="240" spans="1:8" x14ac:dyDescent="0.25">
      <c r="A240" s="1">
        <v>496</v>
      </c>
      <c r="B240" s="4">
        <v>898089</v>
      </c>
      <c r="C240" s="3">
        <v>4.8399999999999999E-2</v>
      </c>
      <c r="D240" s="3">
        <f t="shared" si="3"/>
        <v>0.4</v>
      </c>
      <c r="E240" s="1">
        <v>0.6</v>
      </c>
      <c r="F240" s="2">
        <v>0.39</v>
      </c>
      <c r="G240" s="2">
        <v>0.4</v>
      </c>
      <c r="H240" s="2">
        <v>0.20999999999999996</v>
      </c>
    </row>
    <row r="241" spans="1:8" x14ac:dyDescent="0.25">
      <c r="A241" s="1">
        <v>537</v>
      </c>
      <c r="B241" s="4">
        <v>1246512</v>
      </c>
      <c r="C241" s="3">
        <v>4.8399999999999999E-2</v>
      </c>
      <c r="D241" s="3">
        <f t="shared" si="3"/>
        <v>0.4</v>
      </c>
      <c r="E241" s="1">
        <v>0.6</v>
      </c>
      <c r="F241" s="2">
        <v>0.36</v>
      </c>
      <c r="G241" s="2">
        <v>0.38</v>
      </c>
      <c r="H241" s="2">
        <v>0.26</v>
      </c>
    </row>
    <row r="242" spans="1:8" x14ac:dyDescent="0.25">
      <c r="A242" s="1">
        <v>818</v>
      </c>
      <c r="B242" s="4">
        <v>4275627</v>
      </c>
      <c r="C242" s="3">
        <v>4.8399999999999999E-2</v>
      </c>
      <c r="D242" s="3">
        <f t="shared" si="3"/>
        <v>0.6</v>
      </c>
      <c r="E242" s="1">
        <v>0.4</v>
      </c>
      <c r="F242" s="2">
        <v>0.43</v>
      </c>
      <c r="G242" s="2">
        <v>0.4</v>
      </c>
      <c r="H242" s="2">
        <v>0.16999999999999998</v>
      </c>
    </row>
    <row r="243" spans="1:8" x14ac:dyDescent="0.25">
      <c r="A243" s="1">
        <v>1016</v>
      </c>
      <c r="B243" s="4">
        <v>111426</v>
      </c>
      <c r="C243" s="3">
        <v>4.8399999999999999E-2</v>
      </c>
      <c r="D243" s="3">
        <f t="shared" si="3"/>
        <v>0.4</v>
      </c>
      <c r="E243" s="1">
        <v>0.6</v>
      </c>
      <c r="F243" s="2">
        <v>0.16</v>
      </c>
      <c r="G243" s="2">
        <v>0.31</v>
      </c>
      <c r="H243" s="2">
        <v>0.52999999999999992</v>
      </c>
    </row>
    <row r="244" spans="1:8" x14ac:dyDescent="0.25">
      <c r="A244" s="1">
        <v>163</v>
      </c>
      <c r="B244" s="4">
        <v>1986909</v>
      </c>
      <c r="C244" s="3">
        <v>4.8300000000000003E-2</v>
      </c>
      <c r="D244" s="3">
        <f t="shared" si="3"/>
        <v>0.4</v>
      </c>
      <c r="E244" s="1">
        <v>0.6</v>
      </c>
      <c r="F244" s="2">
        <v>0.4</v>
      </c>
      <c r="G244" s="2">
        <v>0.25</v>
      </c>
      <c r="H244" s="2">
        <v>0.35</v>
      </c>
    </row>
    <row r="245" spans="1:8" x14ac:dyDescent="0.25">
      <c r="A245" s="1">
        <v>820</v>
      </c>
      <c r="B245" s="4">
        <v>4328153</v>
      </c>
      <c r="C245" s="3">
        <v>4.8300000000000003E-2</v>
      </c>
      <c r="D245" s="3">
        <f t="shared" si="3"/>
        <v>0.6</v>
      </c>
      <c r="E245" s="1">
        <v>0.4</v>
      </c>
      <c r="F245" s="2">
        <v>0.11</v>
      </c>
      <c r="G245" s="2">
        <v>0.25</v>
      </c>
      <c r="H245" s="2">
        <v>0.64</v>
      </c>
    </row>
    <row r="246" spans="1:8" x14ac:dyDescent="0.25">
      <c r="A246" s="1">
        <v>490</v>
      </c>
      <c r="B246" s="4">
        <v>8809941</v>
      </c>
      <c r="C246" s="3">
        <v>4.8099999999999997E-2</v>
      </c>
      <c r="D246" s="3">
        <f t="shared" si="3"/>
        <v>0.7</v>
      </c>
      <c r="E246" s="1">
        <v>0.3</v>
      </c>
      <c r="F246" s="2">
        <v>0.27</v>
      </c>
      <c r="G246" s="2">
        <v>0.31</v>
      </c>
      <c r="H246" s="2">
        <v>0.41999999999999993</v>
      </c>
    </row>
    <row r="247" spans="1:8" x14ac:dyDescent="0.25">
      <c r="A247" s="1">
        <v>732</v>
      </c>
      <c r="B247" s="4">
        <v>9079123</v>
      </c>
      <c r="C247" s="3">
        <v>4.8099999999999997E-2</v>
      </c>
      <c r="D247" s="3">
        <f t="shared" si="3"/>
        <v>0.7</v>
      </c>
      <c r="E247" s="1">
        <v>0.3</v>
      </c>
      <c r="F247" s="2">
        <v>0.28999999999999998</v>
      </c>
      <c r="G247" s="2">
        <v>0.38</v>
      </c>
      <c r="H247" s="2">
        <v>0.33</v>
      </c>
    </row>
    <row r="248" spans="1:8" x14ac:dyDescent="0.25">
      <c r="A248" s="1">
        <v>749</v>
      </c>
      <c r="B248" s="4">
        <v>9894245</v>
      </c>
      <c r="C248" s="3">
        <v>4.8099999999999997E-2</v>
      </c>
      <c r="D248" s="3">
        <f t="shared" si="3"/>
        <v>0.7</v>
      </c>
      <c r="E248" s="1">
        <v>0.3</v>
      </c>
      <c r="F248" s="2">
        <v>0.35</v>
      </c>
      <c r="G248" s="2">
        <v>0.4</v>
      </c>
      <c r="H248" s="2">
        <v>0.25</v>
      </c>
    </row>
    <row r="249" spans="1:8" x14ac:dyDescent="0.25">
      <c r="A249" s="1">
        <v>306</v>
      </c>
      <c r="B249" s="4">
        <v>6615537</v>
      </c>
      <c r="C249" s="3">
        <v>4.7899999999999998E-2</v>
      </c>
      <c r="D249" s="3">
        <f t="shared" si="3"/>
        <v>0.6</v>
      </c>
      <c r="E249" s="1">
        <v>0.4</v>
      </c>
      <c r="F249" s="2">
        <v>0.24</v>
      </c>
      <c r="G249" s="2">
        <v>0.31</v>
      </c>
      <c r="H249" s="2">
        <v>0.44999999999999996</v>
      </c>
    </row>
    <row r="250" spans="1:8" x14ac:dyDescent="0.25">
      <c r="A250" s="1">
        <v>436</v>
      </c>
      <c r="B250" s="4">
        <v>2720779</v>
      </c>
      <c r="C250" s="3">
        <v>4.7899999999999998E-2</v>
      </c>
      <c r="D250" s="3">
        <f t="shared" si="3"/>
        <v>0.4</v>
      </c>
      <c r="E250" s="1">
        <v>0.6</v>
      </c>
      <c r="F250" s="2">
        <v>0.3</v>
      </c>
      <c r="G250" s="2">
        <v>0.26</v>
      </c>
      <c r="H250" s="2">
        <v>0.44</v>
      </c>
    </row>
    <row r="251" spans="1:8" x14ac:dyDescent="0.25">
      <c r="A251" s="1">
        <v>845</v>
      </c>
      <c r="B251" s="4">
        <v>2733480</v>
      </c>
      <c r="C251" s="3">
        <v>4.7899999999999998E-2</v>
      </c>
      <c r="D251" s="3">
        <f t="shared" si="3"/>
        <v>0.4</v>
      </c>
      <c r="E251" s="1">
        <v>0.6</v>
      </c>
      <c r="F251" s="2">
        <v>0.23</v>
      </c>
      <c r="G251" s="2">
        <v>0.2</v>
      </c>
      <c r="H251" s="2">
        <v>0.57000000000000006</v>
      </c>
    </row>
    <row r="252" spans="1:8" x14ac:dyDescent="0.25">
      <c r="A252" s="1">
        <v>157</v>
      </c>
      <c r="B252" s="4">
        <v>4128477</v>
      </c>
      <c r="C252" s="3">
        <v>4.7800000000000002E-2</v>
      </c>
      <c r="D252" s="3">
        <f t="shared" si="3"/>
        <v>0.6</v>
      </c>
      <c r="E252" s="1">
        <v>0.4</v>
      </c>
      <c r="F252" s="2">
        <v>0.11</v>
      </c>
      <c r="G252" s="2">
        <v>0.23</v>
      </c>
      <c r="H252" s="2">
        <v>0.66</v>
      </c>
    </row>
    <row r="253" spans="1:8" x14ac:dyDescent="0.25">
      <c r="A253" s="1">
        <v>210</v>
      </c>
      <c r="B253" s="4">
        <v>9088150</v>
      </c>
      <c r="C253" s="3">
        <v>4.7800000000000002E-2</v>
      </c>
      <c r="D253" s="3">
        <f t="shared" si="3"/>
        <v>0.7</v>
      </c>
      <c r="E253" s="1">
        <v>0.3</v>
      </c>
      <c r="F253" s="2">
        <v>0.35</v>
      </c>
      <c r="G253" s="2">
        <v>0.25</v>
      </c>
      <c r="H253" s="2">
        <v>0.4</v>
      </c>
    </row>
    <row r="254" spans="1:8" x14ac:dyDescent="0.25">
      <c r="A254" s="1">
        <v>272</v>
      </c>
      <c r="B254" s="4">
        <v>4718056</v>
      </c>
      <c r="C254" s="3">
        <v>4.7800000000000002E-2</v>
      </c>
      <c r="D254" s="3">
        <f t="shared" si="3"/>
        <v>0.6</v>
      </c>
      <c r="E254" s="1">
        <v>0.4</v>
      </c>
      <c r="F254" s="2">
        <v>0.44</v>
      </c>
      <c r="G254" s="2">
        <v>0.39</v>
      </c>
      <c r="H254" s="2">
        <v>0.16999999999999998</v>
      </c>
    </row>
    <row r="255" spans="1:8" x14ac:dyDescent="0.25">
      <c r="A255" s="1">
        <v>312</v>
      </c>
      <c r="B255" s="4">
        <v>5890748</v>
      </c>
      <c r="C255" s="3">
        <v>4.7800000000000002E-2</v>
      </c>
      <c r="D255" s="3">
        <f t="shared" si="3"/>
        <v>0.6</v>
      </c>
      <c r="E255" s="1">
        <v>0.4</v>
      </c>
      <c r="F255" s="2">
        <v>0.21</v>
      </c>
      <c r="G255" s="2">
        <v>0.44</v>
      </c>
      <c r="H255" s="2">
        <v>0.35000000000000009</v>
      </c>
    </row>
    <row r="256" spans="1:8" x14ac:dyDescent="0.25">
      <c r="A256" s="1">
        <v>522</v>
      </c>
      <c r="B256" s="4">
        <v>6530414</v>
      </c>
      <c r="C256" s="3">
        <v>4.7800000000000002E-2</v>
      </c>
      <c r="D256" s="3">
        <f t="shared" si="3"/>
        <v>0.6</v>
      </c>
      <c r="E256" s="1">
        <v>0.4</v>
      </c>
      <c r="F256" s="2">
        <v>0.37</v>
      </c>
      <c r="G256" s="2">
        <v>0.25</v>
      </c>
      <c r="H256" s="2">
        <v>0.38</v>
      </c>
    </row>
    <row r="257" spans="1:8" x14ac:dyDescent="0.25">
      <c r="A257" s="1">
        <v>28</v>
      </c>
      <c r="B257" s="4">
        <v>8340456</v>
      </c>
      <c r="C257" s="3">
        <v>4.7699999999999992E-2</v>
      </c>
      <c r="D257" s="3">
        <f t="shared" si="3"/>
        <v>0.7</v>
      </c>
      <c r="E257" s="1">
        <v>0.3</v>
      </c>
      <c r="F257" s="2">
        <v>0.15</v>
      </c>
      <c r="G257" s="2">
        <v>0.2</v>
      </c>
      <c r="H257" s="2">
        <v>0.65</v>
      </c>
    </row>
    <row r="258" spans="1:8" x14ac:dyDescent="0.25">
      <c r="A258" s="1">
        <v>133</v>
      </c>
      <c r="B258" s="4">
        <v>1364025</v>
      </c>
      <c r="C258" s="3">
        <v>4.7699999999999992E-2</v>
      </c>
      <c r="D258" s="3">
        <f t="shared" ref="D258:D321" si="4">1-E258</f>
        <v>0.4</v>
      </c>
      <c r="E258" s="1">
        <v>0.6</v>
      </c>
      <c r="F258" s="2">
        <v>0.39</v>
      </c>
      <c r="G258" s="2">
        <v>0.25</v>
      </c>
      <c r="H258" s="2">
        <v>0.36</v>
      </c>
    </row>
    <row r="259" spans="1:8" x14ac:dyDescent="0.25">
      <c r="A259" s="1">
        <v>919</v>
      </c>
      <c r="B259" s="4">
        <v>1249532</v>
      </c>
      <c r="C259" s="3">
        <v>4.7699999999999992E-2</v>
      </c>
      <c r="D259" s="3">
        <f t="shared" si="4"/>
        <v>0.4</v>
      </c>
      <c r="E259" s="1">
        <v>0.6</v>
      </c>
      <c r="F259" s="2">
        <v>0.41</v>
      </c>
      <c r="G259" s="2">
        <v>0.46</v>
      </c>
      <c r="H259" s="2">
        <v>0.13000000000000006</v>
      </c>
    </row>
    <row r="260" spans="1:8" x14ac:dyDescent="0.25">
      <c r="A260" s="1">
        <v>146</v>
      </c>
      <c r="B260" s="4">
        <v>1860955</v>
      </c>
      <c r="C260" s="3">
        <v>4.7599999999999996E-2</v>
      </c>
      <c r="D260" s="3">
        <f t="shared" si="4"/>
        <v>0.4</v>
      </c>
      <c r="E260" s="1">
        <v>0.6</v>
      </c>
      <c r="F260" s="2">
        <v>0.25</v>
      </c>
      <c r="G260" s="2">
        <v>0.21</v>
      </c>
      <c r="H260" s="2">
        <v>0.54</v>
      </c>
    </row>
    <row r="261" spans="1:8" x14ac:dyDescent="0.25">
      <c r="A261" s="1">
        <v>329</v>
      </c>
      <c r="B261" s="4">
        <v>2260966</v>
      </c>
      <c r="C261" s="3">
        <v>4.7599999999999996E-2</v>
      </c>
      <c r="D261" s="3">
        <f t="shared" si="4"/>
        <v>0.4</v>
      </c>
      <c r="E261" s="1">
        <v>0.6</v>
      </c>
      <c r="F261" s="2">
        <v>0.42</v>
      </c>
      <c r="G261" s="2">
        <v>0.45</v>
      </c>
      <c r="H261" s="2">
        <v>0.13000000000000006</v>
      </c>
    </row>
    <row r="262" spans="1:8" x14ac:dyDescent="0.25">
      <c r="A262" s="1">
        <v>421</v>
      </c>
      <c r="B262" s="4">
        <v>6727825</v>
      </c>
      <c r="C262" s="3">
        <v>4.7599999999999996E-2</v>
      </c>
      <c r="D262" s="3">
        <f t="shared" si="4"/>
        <v>0.6</v>
      </c>
      <c r="E262" s="1">
        <v>0.4</v>
      </c>
      <c r="F262" s="2">
        <v>0.21</v>
      </c>
      <c r="G262" s="2">
        <v>0.33</v>
      </c>
      <c r="H262" s="2">
        <v>0.45999999999999996</v>
      </c>
    </row>
    <row r="263" spans="1:8" x14ac:dyDescent="0.25">
      <c r="A263" s="1">
        <v>446</v>
      </c>
      <c r="B263" s="4">
        <v>4794558</v>
      </c>
      <c r="C263" s="3">
        <v>4.7500000000000001E-2</v>
      </c>
      <c r="D263" s="3">
        <f t="shared" si="4"/>
        <v>0.6</v>
      </c>
      <c r="E263" s="1">
        <v>0.4</v>
      </c>
      <c r="F263" s="2">
        <v>0.31</v>
      </c>
      <c r="G263" s="2">
        <v>0.32</v>
      </c>
      <c r="H263" s="2">
        <v>0.36999999999999994</v>
      </c>
    </row>
    <row r="264" spans="1:8" x14ac:dyDescent="0.25">
      <c r="A264" s="1">
        <v>576</v>
      </c>
      <c r="B264" s="4">
        <v>6437180</v>
      </c>
      <c r="C264" s="3">
        <v>4.7500000000000001E-2</v>
      </c>
      <c r="D264" s="3">
        <f t="shared" si="4"/>
        <v>0.6</v>
      </c>
      <c r="E264" s="1">
        <v>0.4</v>
      </c>
      <c r="F264" s="2">
        <v>0.11</v>
      </c>
      <c r="G264" s="2">
        <v>0.22</v>
      </c>
      <c r="H264" s="2">
        <v>0.67</v>
      </c>
    </row>
    <row r="265" spans="1:8" x14ac:dyDescent="0.25">
      <c r="A265" s="1">
        <v>668</v>
      </c>
      <c r="B265" s="4">
        <v>5795575</v>
      </c>
      <c r="C265" s="3">
        <v>4.7400000000000005E-2</v>
      </c>
      <c r="D265" s="3">
        <f t="shared" si="4"/>
        <v>0.6</v>
      </c>
      <c r="E265" s="1">
        <v>0.4</v>
      </c>
      <c r="F265" s="2">
        <v>0.22</v>
      </c>
      <c r="G265" s="2">
        <v>0.5</v>
      </c>
      <c r="H265" s="2">
        <v>0.28000000000000003</v>
      </c>
    </row>
    <row r="266" spans="1:8" x14ac:dyDescent="0.25">
      <c r="A266" s="1">
        <v>97</v>
      </c>
      <c r="B266" s="4">
        <v>5710219</v>
      </c>
      <c r="C266" s="3">
        <v>4.7199999999999999E-2</v>
      </c>
      <c r="D266" s="3">
        <f t="shared" si="4"/>
        <v>0.6</v>
      </c>
      <c r="E266" s="1">
        <v>0.4</v>
      </c>
      <c r="F266" s="2">
        <v>0.18</v>
      </c>
      <c r="G266" s="2">
        <v>0.35</v>
      </c>
      <c r="H266" s="2">
        <v>0.47000000000000003</v>
      </c>
    </row>
    <row r="267" spans="1:8" x14ac:dyDescent="0.25">
      <c r="A267" s="1">
        <v>109</v>
      </c>
      <c r="B267" s="4">
        <v>1744920</v>
      </c>
      <c r="C267" s="3">
        <v>4.7199999999999999E-2</v>
      </c>
      <c r="D267" s="3">
        <f t="shared" si="4"/>
        <v>0.4</v>
      </c>
      <c r="E267" s="1">
        <v>0.6</v>
      </c>
      <c r="F267" s="2">
        <v>0.39</v>
      </c>
      <c r="G267" s="2">
        <v>0.31</v>
      </c>
      <c r="H267" s="2">
        <v>0.29999999999999993</v>
      </c>
    </row>
    <row r="268" spans="1:8" x14ac:dyDescent="0.25">
      <c r="A268" s="1">
        <v>336</v>
      </c>
      <c r="B268" s="4">
        <v>1899108</v>
      </c>
      <c r="C268" s="3">
        <v>4.7199999999999999E-2</v>
      </c>
      <c r="D268" s="3">
        <f t="shared" si="4"/>
        <v>0.4</v>
      </c>
      <c r="E268" s="1">
        <v>0.6</v>
      </c>
      <c r="F268" s="2">
        <v>0.23</v>
      </c>
      <c r="G268" s="2">
        <v>0.28000000000000003</v>
      </c>
      <c r="H268" s="2">
        <v>0.49</v>
      </c>
    </row>
    <row r="269" spans="1:8" x14ac:dyDescent="0.25">
      <c r="A269" s="1">
        <v>920</v>
      </c>
      <c r="B269" s="4">
        <v>6914478</v>
      </c>
      <c r="C269" s="3">
        <v>4.7199999999999999E-2</v>
      </c>
      <c r="D269" s="3">
        <f t="shared" si="4"/>
        <v>0.6</v>
      </c>
      <c r="E269" s="1">
        <v>0.4</v>
      </c>
      <c r="F269" s="2">
        <v>0.12</v>
      </c>
      <c r="G269" s="2">
        <v>0.34</v>
      </c>
      <c r="H269" s="2">
        <v>0.53999999999999992</v>
      </c>
    </row>
    <row r="270" spans="1:8" x14ac:dyDescent="0.25">
      <c r="A270" s="1">
        <v>68</v>
      </c>
      <c r="B270" s="4">
        <v>6961109</v>
      </c>
      <c r="C270" s="3">
        <v>4.7100000000000003E-2</v>
      </c>
      <c r="D270" s="3">
        <f t="shared" si="4"/>
        <v>0.6</v>
      </c>
      <c r="E270" s="1">
        <v>0.4</v>
      </c>
      <c r="F270" s="2">
        <v>0.41</v>
      </c>
      <c r="G270" s="2">
        <v>0.31</v>
      </c>
      <c r="H270" s="2">
        <v>0.27999999999999997</v>
      </c>
    </row>
    <row r="271" spans="1:8" x14ac:dyDescent="0.25">
      <c r="A271" s="1">
        <v>967</v>
      </c>
      <c r="B271" s="4">
        <v>7111897</v>
      </c>
      <c r="C271" s="3">
        <v>4.7100000000000003E-2</v>
      </c>
      <c r="D271" s="3">
        <f t="shared" si="4"/>
        <v>0.7</v>
      </c>
      <c r="E271" s="1">
        <v>0.3</v>
      </c>
      <c r="F271" s="2">
        <v>0.3</v>
      </c>
      <c r="G271" s="2">
        <v>0.33</v>
      </c>
      <c r="H271" s="2">
        <v>0.36999999999999994</v>
      </c>
    </row>
    <row r="272" spans="1:8" x14ac:dyDescent="0.25">
      <c r="A272" s="1">
        <v>754</v>
      </c>
      <c r="B272" s="4">
        <v>7834925</v>
      </c>
      <c r="C272" s="3">
        <v>4.7E-2</v>
      </c>
      <c r="D272" s="3">
        <f t="shared" si="4"/>
        <v>0.7</v>
      </c>
      <c r="E272" s="1">
        <v>0.3</v>
      </c>
      <c r="F272" s="2">
        <v>0.39</v>
      </c>
      <c r="G272" s="2">
        <v>0.28999999999999998</v>
      </c>
      <c r="H272" s="2">
        <v>0.31999999999999995</v>
      </c>
    </row>
    <row r="273" spans="1:8" x14ac:dyDescent="0.25">
      <c r="A273" s="1">
        <v>366</v>
      </c>
      <c r="B273" s="4">
        <v>9309898</v>
      </c>
      <c r="C273" s="3">
        <v>4.6900000000000004E-2</v>
      </c>
      <c r="D273" s="3">
        <f t="shared" si="4"/>
        <v>0.7</v>
      </c>
      <c r="E273" s="1">
        <v>0.3</v>
      </c>
      <c r="F273" s="2">
        <v>0.42</v>
      </c>
      <c r="G273" s="2">
        <v>0.48</v>
      </c>
      <c r="H273" s="2">
        <v>0.10000000000000003</v>
      </c>
    </row>
    <row r="274" spans="1:8" x14ac:dyDescent="0.25">
      <c r="A274" s="1">
        <v>578</v>
      </c>
      <c r="B274" s="4">
        <v>8595854</v>
      </c>
      <c r="C274" s="3">
        <v>4.6900000000000004E-2</v>
      </c>
      <c r="D274" s="3">
        <f t="shared" si="4"/>
        <v>0.7</v>
      </c>
      <c r="E274" s="1">
        <v>0.3</v>
      </c>
      <c r="F274" s="2">
        <v>0.28000000000000003</v>
      </c>
      <c r="G274" s="2">
        <v>0.37</v>
      </c>
      <c r="H274" s="2">
        <v>0.35</v>
      </c>
    </row>
    <row r="275" spans="1:8" x14ac:dyDescent="0.25">
      <c r="A275" s="1">
        <v>787</v>
      </c>
      <c r="B275" s="4">
        <v>4417336</v>
      </c>
      <c r="C275" s="3">
        <v>4.6900000000000004E-2</v>
      </c>
      <c r="D275" s="3">
        <f t="shared" si="4"/>
        <v>0.6</v>
      </c>
      <c r="E275" s="1">
        <v>0.4</v>
      </c>
      <c r="F275" s="2">
        <v>0.45</v>
      </c>
      <c r="G275" s="2">
        <v>0.5</v>
      </c>
      <c r="H275" s="2">
        <v>4.9999999999999989E-2</v>
      </c>
    </row>
    <row r="276" spans="1:8" x14ac:dyDescent="0.25">
      <c r="A276" s="1">
        <v>861</v>
      </c>
      <c r="B276" s="4">
        <v>6529970</v>
      </c>
      <c r="C276" s="3">
        <v>4.6900000000000004E-2</v>
      </c>
      <c r="D276" s="3">
        <f t="shared" si="4"/>
        <v>0.6</v>
      </c>
      <c r="E276" s="1">
        <v>0.4</v>
      </c>
      <c r="F276" s="2">
        <v>0.37</v>
      </c>
      <c r="G276" s="2">
        <v>0.46</v>
      </c>
      <c r="H276" s="2">
        <v>0.17000000000000004</v>
      </c>
    </row>
    <row r="277" spans="1:8" x14ac:dyDescent="0.25">
      <c r="A277" s="1">
        <v>918</v>
      </c>
      <c r="B277" s="4">
        <v>7015682</v>
      </c>
      <c r="C277" s="3">
        <v>4.6900000000000004E-2</v>
      </c>
      <c r="D277" s="3">
        <f t="shared" si="4"/>
        <v>0.7</v>
      </c>
      <c r="E277" s="1">
        <v>0.3</v>
      </c>
      <c r="F277" s="2">
        <v>0.23</v>
      </c>
      <c r="G277" s="2">
        <v>0.27</v>
      </c>
      <c r="H277" s="2">
        <v>0.5</v>
      </c>
    </row>
    <row r="278" spans="1:8" x14ac:dyDescent="0.25">
      <c r="A278" s="1">
        <v>4</v>
      </c>
      <c r="B278" s="4">
        <v>7359940</v>
      </c>
      <c r="C278" s="3">
        <v>4.6799999999999994E-2</v>
      </c>
      <c r="D278" s="3">
        <f t="shared" si="4"/>
        <v>0.7</v>
      </c>
      <c r="E278" s="1">
        <v>0.3</v>
      </c>
      <c r="F278" s="2">
        <v>0.43</v>
      </c>
      <c r="G278" s="2">
        <v>0.26</v>
      </c>
      <c r="H278" s="2">
        <v>0.31</v>
      </c>
    </row>
    <row r="279" spans="1:8" x14ac:dyDescent="0.25">
      <c r="A279" s="1">
        <v>82</v>
      </c>
      <c r="B279" s="4">
        <v>1956423</v>
      </c>
      <c r="C279" s="3">
        <v>4.6799999999999994E-2</v>
      </c>
      <c r="D279" s="3">
        <f t="shared" si="4"/>
        <v>0.4</v>
      </c>
      <c r="E279" s="1">
        <v>0.6</v>
      </c>
      <c r="F279" s="2">
        <v>0.34</v>
      </c>
      <c r="G279" s="2">
        <v>0.26</v>
      </c>
      <c r="H279" s="2">
        <v>0.39999999999999997</v>
      </c>
    </row>
    <row r="280" spans="1:8" x14ac:dyDescent="0.25">
      <c r="A280" s="1">
        <v>520</v>
      </c>
      <c r="B280" s="4">
        <v>7483673</v>
      </c>
      <c r="C280" s="3">
        <v>4.6799999999999994E-2</v>
      </c>
      <c r="D280" s="3">
        <f t="shared" si="4"/>
        <v>0.7</v>
      </c>
      <c r="E280" s="1">
        <v>0.3</v>
      </c>
      <c r="F280" s="2">
        <v>0.26</v>
      </c>
      <c r="G280" s="2">
        <v>0.47</v>
      </c>
      <c r="H280" s="2">
        <v>0.27</v>
      </c>
    </row>
    <row r="281" spans="1:8" x14ac:dyDescent="0.25">
      <c r="A281" s="1">
        <v>585</v>
      </c>
      <c r="B281" s="4">
        <v>5937613</v>
      </c>
      <c r="C281" s="3">
        <v>4.6799999999999994E-2</v>
      </c>
      <c r="D281" s="3">
        <f t="shared" si="4"/>
        <v>0.6</v>
      </c>
      <c r="E281" s="1">
        <v>0.4</v>
      </c>
      <c r="F281" s="2">
        <v>0.32</v>
      </c>
      <c r="G281" s="2">
        <v>0.27</v>
      </c>
      <c r="H281" s="2">
        <v>0.41</v>
      </c>
    </row>
    <row r="282" spans="1:8" x14ac:dyDescent="0.25">
      <c r="A282" s="1">
        <v>874</v>
      </c>
      <c r="B282" s="4">
        <v>663743</v>
      </c>
      <c r="C282" s="3">
        <v>4.6799999999999994E-2</v>
      </c>
      <c r="D282" s="3">
        <f t="shared" si="4"/>
        <v>0.4</v>
      </c>
      <c r="E282" s="1">
        <v>0.6</v>
      </c>
      <c r="F282" s="2">
        <v>0.26</v>
      </c>
      <c r="G282" s="2">
        <v>0.33</v>
      </c>
      <c r="H282" s="2">
        <v>0.40999999999999992</v>
      </c>
    </row>
    <row r="283" spans="1:8" x14ac:dyDescent="0.25">
      <c r="A283" s="1">
        <v>61</v>
      </c>
      <c r="B283" s="4">
        <v>1978557</v>
      </c>
      <c r="C283" s="3">
        <v>4.6600000000000003E-2</v>
      </c>
      <c r="D283" s="3">
        <f t="shared" si="4"/>
        <v>0.4</v>
      </c>
      <c r="E283" s="1">
        <v>0.6</v>
      </c>
      <c r="F283" s="2">
        <v>0.22</v>
      </c>
      <c r="G283" s="2">
        <v>0.37</v>
      </c>
      <c r="H283" s="2">
        <v>0.41000000000000003</v>
      </c>
    </row>
    <row r="284" spans="1:8" x14ac:dyDescent="0.25">
      <c r="A284" s="1">
        <v>62</v>
      </c>
      <c r="B284" s="4">
        <v>4415133</v>
      </c>
      <c r="C284" s="3">
        <v>4.6600000000000003E-2</v>
      </c>
      <c r="D284" s="3">
        <f t="shared" si="4"/>
        <v>0.6</v>
      </c>
      <c r="E284" s="1">
        <v>0.4</v>
      </c>
      <c r="F284" s="2">
        <v>0.32</v>
      </c>
      <c r="G284" s="2">
        <v>0.33</v>
      </c>
      <c r="H284" s="2">
        <v>0.34999999999999992</v>
      </c>
    </row>
    <row r="285" spans="1:8" x14ac:dyDescent="0.25">
      <c r="A285" s="1">
        <v>199</v>
      </c>
      <c r="B285" s="4">
        <v>4215703</v>
      </c>
      <c r="C285" s="3">
        <v>4.6600000000000003E-2</v>
      </c>
      <c r="D285" s="3">
        <f t="shared" si="4"/>
        <v>0.6</v>
      </c>
      <c r="E285" s="1">
        <v>0.4</v>
      </c>
      <c r="F285" s="2">
        <v>0.2</v>
      </c>
      <c r="G285" s="2">
        <v>0.32</v>
      </c>
      <c r="H285" s="2">
        <v>0.47999999999999993</v>
      </c>
    </row>
    <row r="286" spans="1:8" x14ac:dyDescent="0.25">
      <c r="A286" s="1">
        <v>224</v>
      </c>
      <c r="B286" s="4">
        <v>1390375</v>
      </c>
      <c r="C286" s="3">
        <v>4.6500000000000007E-2</v>
      </c>
      <c r="D286" s="3">
        <f t="shared" si="4"/>
        <v>0.4</v>
      </c>
      <c r="E286" s="1">
        <v>0.6</v>
      </c>
      <c r="F286" s="2">
        <v>0.16</v>
      </c>
      <c r="G286" s="2">
        <v>0.42</v>
      </c>
      <c r="H286" s="2">
        <v>0.42000000000000004</v>
      </c>
    </row>
    <row r="287" spans="1:8" x14ac:dyDescent="0.25">
      <c r="A287" s="1">
        <v>38</v>
      </c>
      <c r="B287" s="4">
        <v>1104411</v>
      </c>
      <c r="C287" s="3">
        <v>4.6300000000000001E-2</v>
      </c>
      <c r="D287" s="3">
        <f t="shared" si="4"/>
        <v>0.4</v>
      </c>
      <c r="E287" s="1">
        <v>0.6</v>
      </c>
      <c r="F287" s="2">
        <v>0.15</v>
      </c>
      <c r="G287" s="2">
        <v>0.46</v>
      </c>
      <c r="H287" s="2">
        <v>0.39</v>
      </c>
    </row>
    <row r="288" spans="1:8" x14ac:dyDescent="0.25">
      <c r="A288" s="1">
        <v>223</v>
      </c>
      <c r="B288" s="4">
        <v>5999454</v>
      </c>
      <c r="C288" s="3">
        <v>4.6199999999999998E-2</v>
      </c>
      <c r="D288" s="3">
        <f t="shared" si="4"/>
        <v>0.6</v>
      </c>
      <c r="E288" s="1">
        <v>0.4</v>
      </c>
      <c r="F288" s="2">
        <v>0.32</v>
      </c>
      <c r="G288" s="2">
        <v>0.48</v>
      </c>
      <c r="H288" s="2">
        <v>0.2</v>
      </c>
    </row>
    <row r="289" spans="1:8" x14ac:dyDescent="0.25">
      <c r="A289" s="1">
        <v>855</v>
      </c>
      <c r="B289" s="4">
        <v>3520326</v>
      </c>
      <c r="C289" s="3">
        <v>4.6199999999999998E-2</v>
      </c>
      <c r="D289" s="3">
        <f t="shared" si="4"/>
        <v>0.6</v>
      </c>
      <c r="E289" s="1">
        <v>0.4</v>
      </c>
      <c r="F289" s="2">
        <v>0.33</v>
      </c>
      <c r="G289" s="2">
        <v>0.49</v>
      </c>
      <c r="H289" s="2">
        <v>0.18</v>
      </c>
    </row>
    <row r="290" spans="1:8" x14ac:dyDescent="0.25">
      <c r="A290" s="1">
        <v>633</v>
      </c>
      <c r="B290" s="4">
        <v>2078854</v>
      </c>
      <c r="C290" s="3">
        <v>4.6100000000000002E-2</v>
      </c>
      <c r="D290" s="3">
        <f t="shared" si="4"/>
        <v>0.4</v>
      </c>
      <c r="E290" s="1">
        <v>0.6</v>
      </c>
      <c r="F290" s="2">
        <v>0.31</v>
      </c>
      <c r="G290" s="2">
        <v>0.24</v>
      </c>
      <c r="H290" s="2">
        <v>0.45</v>
      </c>
    </row>
    <row r="291" spans="1:8" x14ac:dyDescent="0.25">
      <c r="A291" s="1">
        <v>715</v>
      </c>
      <c r="B291" s="4">
        <v>6853262</v>
      </c>
      <c r="C291" s="3">
        <v>4.6100000000000002E-2</v>
      </c>
      <c r="D291" s="3">
        <f t="shared" si="4"/>
        <v>0.6</v>
      </c>
      <c r="E291" s="1">
        <v>0.4</v>
      </c>
      <c r="F291" s="2">
        <v>0.19</v>
      </c>
      <c r="G291" s="2">
        <v>0.41</v>
      </c>
      <c r="H291" s="2">
        <v>0.40000000000000008</v>
      </c>
    </row>
    <row r="292" spans="1:8" x14ac:dyDescent="0.25">
      <c r="A292" s="1">
        <v>956</v>
      </c>
      <c r="B292" s="4">
        <v>755824</v>
      </c>
      <c r="C292" s="3">
        <v>4.5999999999999999E-2</v>
      </c>
      <c r="D292" s="3">
        <f t="shared" si="4"/>
        <v>0.4</v>
      </c>
      <c r="E292" s="1">
        <v>0.6</v>
      </c>
      <c r="F292" s="2">
        <v>0.32</v>
      </c>
      <c r="G292" s="2">
        <v>0.22</v>
      </c>
      <c r="H292" s="2">
        <v>0.46</v>
      </c>
    </row>
    <row r="293" spans="1:8" x14ac:dyDescent="0.25">
      <c r="A293" s="1">
        <v>708</v>
      </c>
      <c r="B293" s="4">
        <v>9467401</v>
      </c>
      <c r="C293" s="3">
        <v>4.5899999999999996E-2</v>
      </c>
      <c r="D293" s="3">
        <f t="shared" si="4"/>
        <v>0.7</v>
      </c>
      <c r="E293" s="1">
        <v>0.3</v>
      </c>
      <c r="F293" s="2">
        <v>0.16</v>
      </c>
      <c r="G293" s="2">
        <v>0.3</v>
      </c>
      <c r="H293" s="2">
        <v>0.53999999999999992</v>
      </c>
    </row>
    <row r="294" spans="1:8" x14ac:dyDescent="0.25">
      <c r="A294" s="1">
        <v>822</v>
      </c>
      <c r="B294" s="4">
        <v>4032971</v>
      </c>
      <c r="C294" s="3">
        <v>4.5899999999999996E-2</v>
      </c>
      <c r="D294" s="3">
        <f t="shared" si="4"/>
        <v>0.6</v>
      </c>
      <c r="E294" s="1">
        <v>0.4</v>
      </c>
      <c r="F294" s="2">
        <v>0.25</v>
      </c>
      <c r="G294" s="2">
        <v>0.21</v>
      </c>
      <c r="H294" s="2">
        <v>0.54</v>
      </c>
    </row>
    <row r="295" spans="1:8" x14ac:dyDescent="0.25">
      <c r="A295" s="1">
        <v>905</v>
      </c>
      <c r="B295" s="4">
        <v>9236848</v>
      </c>
      <c r="C295" s="3">
        <v>4.5899999999999996E-2</v>
      </c>
      <c r="D295" s="3">
        <f t="shared" si="4"/>
        <v>0.7</v>
      </c>
      <c r="E295" s="1">
        <v>0.3</v>
      </c>
      <c r="F295" s="2">
        <v>0.22</v>
      </c>
      <c r="G295" s="2">
        <v>0.28000000000000003</v>
      </c>
      <c r="H295" s="2">
        <v>0.5</v>
      </c>
    </row>
    <row r="296" spans="1:8" x14ac:dyDescent="0.25">
      <c r="A296" s="1">
        <v>926</v>
      </c>
      <c r="B296" s="4">
        <v>8352823</v>
      </c>
      <c r="C296" s="3">
        <v>4.5899999999999996E-2</v>
      </c>
      <c r="D296" s="3">
        <f t="shared" si="4"/>
        <v>0.7</v>
      </c>
      <c r="E296" s="1">
        <v>0.3</v>
      </c>
      <c r="F296" s="2">
        <v>0.24</v>
      </c>
      <c r="G296" s="2">
        <v>0.38</v>
      </c>
      <c r="H296" s="2">
        <v>0.38</v>
      </c>
    </row>
    <row r="297" spans="1:8" x14ac:dyDescent="0.25">
      <c r="A297" s="1">
        <v>414</v>
      </c>
      <c r="B297" s="4">
        <v>5044696</v>
      </c>
      <c r="C297" s="3">
        <v>4.58E-2</v>
      </c>
      <c r="D297" s="3">
        <f t="shared" si="4"/>
        <v>0.6</v>
      </c>
      <c r="E297" s="1">
        <v>0.4</v>
      </c>
      <c r="F297" s="2">
        <v>0.13</v>
      </c>
      <c r="G297" s="2">
        <v>0.36</v>
      </c>
      <c r="H297" s="2">
        <v>0.51</v>
      </c>
    </row>
    <row r="298" spans="1:8" x14ac:dyDescent="0.25">
      <c r="A298" s="1">
        <v>747</v>
      </c>
      <c r="B298" s="4">
        <v>1830231</v>
      </c>
      <c r="C298" s="3">
        <v>4.58E-2</v>
      </c>
      <c r="D298" s="3">
        <f t="shared" si="4"/>
        <v>0.4</v>
      </c>
      <c r="E298" s="1">
        <v>0.6</v>
      </c>
      <c r="F298" s="2">
        <v>0.25</v>
      </c>
      <c r="G298" s="2">
        <v>0.2</v>
      </c>
      <c r="H298" s="2">
        <v>0.55000000000000004</v>
      </c>
    </row>
    <row r="299" spans="1:8" x14ac:dyDescent="0.25">
      <c r="A299" s="1">
        <v>751</v>
      </c>
      <c r="B299" s="4">
        <v>6644768</v>
      </c>
      <c r="C299" s="3">
        <v>4.58E-2</v>
      </c>
      <c r="D299" s="3">
        <f t="shared" si="4"/>
        <v>0.6</v>
      </c>
      <c r="E299" s="1">
        <v>0.4</v>
      </c>
      <c r="F299" s="2">
        <v>0.37</v>
      </c>
      <c r="G299" s="2">
        <v>0.33</v>
      </c>
      <c r="H299" s="2">
        <v>0.29999999999999993</v>
      </c>
    </row>
    <row r="300" spans="1:8" x14ac:dyDescent="0.25">
      <c r="A300" s="1">
        <v>829</v>
      </c>
      <c r="B300" s="4">
        <v>7538329</v>
      </c>
      <c r="C300" s="3">
        <v>4.58E-2</v>
      </c>
      <c r="D300" s="3">
        <f t="shared" si="4"/>
        <v>0.7</v>
      </c>
      <c r="E300" s="1">
        <v>0.3</v>
      </c>
      <c r="F300" s="2">
        <v>0.39</v>
      </c>
      <c r="G300" s="2">
        <v>0.45</v>
      </c>
      <c r="H300" s="2">
        <v>0.16000000000000003</v>
      </c>
    </row>
    <row r="301" spans="1:8" x14ac:dyDescent="0.25">
      <c r="A301" s="1">
        <v>725</v>
      </c>
      <c r="B301" s="4">
        <v>1505125</v>
      </c>
      <c r="C301" s="3">
        <v>4.5700000000000005E-2</v>
      </c>
      <c r="D301" s="3">
        <f t="shared" si="4"/>
        <v>0.4</v>
      </c>
      <c r="E301" s="1">
        <v>0.6</v>
      </c>
      <c r="F301" s="2">
        <v>0.39</v>
      </c>
      <c r="G301" s="2">
        <v>0.5</v>
      </c>
      <c r="H301" s="2">
        <v>0.10999999999999999</v>
      </c>
    </row>
    <row r="302" spans="1:8" x14ac:dyDescent="0.25">
      <c r="A302" s="1">
        <v>151</v>
      </c>
      <c r="B302" s="4">
        <v>8082436</v>
      </c>
      <c r="C302" s="3">
        <v>4.5599999999999995E-2</v>
      </c>
      <c r="D302" s="3">
        <f t="shared" si="4"/>
        <v>0.7</v>
      </c>
      <c r="E302" s="1">
        <v>0.3</v>
      </c>
      <c r="F302" s="2">
        <v>0.34</v>
      </c>
      <c r="G302" s="2">
        <v>0.37</v>
      </c>
      <c r="H302" s="2">
        <v>0.28999999999999998</v>
      </c>
    </row>
    <row r="303" spans="1:8" x14ac:dyDescent="0.25">
      <c r="A303" s="1">
        <v>404</v>
      </c>
      <c r="B303" s="4">
        <v>383051</v>
      </c>
      <c r="C303" s="3">
        <v>4.5599999999999995E-2</v>
      </c>
      <c r="D303" s="3">
        <f t="shared" si="4"/>
        <v>0.4</v>
      </c>
      <c r="E303" s="1">
        <v>0.6</v>
      </c>
      <c r="F303" s="2">
        <v>0.12</v>
      </c>
      <c r="G303" s="2">
        <v>0.32</v>
      </c>
      <c r="H303" s="2">
        <v>0.55999999999999994</v>
      </c>
    </row>
    <row r="304" spans="1:8" x14ac:dyDescent="0.25">
      <c r="A304" s="1">
        <v>473</v>
      </c>
      <c r="B304" s="4">
        <v>4570320</v>
      </c>
      <c r="C304" s="3">
        <v>4.5599999999999995E-2</v>
      </c>
      <c r="D304" s="3">
        <f t="shared" si="4"/>
        <v>0.6</v>
      </c>
      <c r="E304" s="1">
        <v>0.4</v>
      </c>
      <c r="F304" s="2">
        <v>0.15</v>
      </c>
      <c r="G304" s="2">
        <v>0.45</v>
      </c>
      <c r="H304" s="2">
        <v>0.4</v>
      </c>
    </row>
    <row r="305" spans="1:8" x14ac:dyDescent="0.25">
      <c r="A305" s="1">
        <v>737</v>
      </c>
      <c r="B305" s="4">
        <v>3454494</v>
      </c>
      <c r="C305" s="3">
        <v>4.5599999999999995E-2</v>
      </c>
      <c r="D305" s="3">
        <f t="shared" si="4"/>
        <v>0.6</v>
      </c>
      <c r="E305" s="1">
        <v>0.4</v>
      </c>
      <c r="F305" s="2">
        <v>0.28000000000000003</v>
      </c>
      <c r="G305" s="2">
        <v>0.48</v>
      </c>
      <c r="H305" s="2">
        <v>0.24</v>
      </c>
    </row>
    <row r="306" spans="1:8" x14ac:dyDescent="0.25">
      <c r="A306" s="1">
        <v>128</v>
      </c>
      <c r="B306" s="4">
        <v>5316227</v>
      </c>
      <c r="C306" s="3">
        <v>4.5400000000000003E-2</v>
      </c>
      <c r="D306" s="3">
        <f t="shared" si="4"/>
        <v>0.6</v>
      </c>
      <c r="E306" s="1">
        <v>0.4</v>
      </c>
      <c r="F306" s="2">
        <v>0.11</v>
      </c>
      <c r="G306" s="2">
        <v>0.41</v>
      </c>
      <c r="H306" s="2">
        <v>0.48000000000000009</v>
      </c>
    </row>
    <row r="307" spans="1:8" x14ac:dyDescent="0.25">
      <c r="A307" s="1">
        <v>196</v>
      </c>
      <c r="B307" s="4">
        <v>348499</v>
      </c>
      <c r="C307" s="3">
        <v>4.5400000000000003E-2</v>
      </c>
      <c r="D307" s="3">
        <f t="shared" si="4"/>
        <v>0.4</v>
      </c>
      <c r="E307" s="1">
        <v>0.6</v>
      </c>
      <c r="F307" s="2">
        <v>0.35</v>
      </c>
      <c r="G307" s="2">
        <v>0.35</v>
      </c>
      <c r="H307" s="2">
        <v>0.30000000000000004</v>
      </c>
    </row>
    <row r="308" spans="1:8" x14ac:dyDescent="0.25">
      <c r="A308" s="1">
        <v>283</v>
      </c>
      <c r="B308" s="4">
        <v>2009895</v>
      </c>
      <c r="C308" s="3">
        <v>4.5400000000000003E-2</v>
      </c>
      <c r="D308" s="3">
        <f t="shared" si="4"/>
        <v>0.4</v>
      </c>
      <c r="E308" s="1">
        <v>0.6</v>
      </c>
      <c r="F308" s="2">
        <v>0.4</v>
      </c>
      <c r="G308" s="2">
        <v>0.5</v>
      </c>
      <c r="H308" s="2">
        <v>9.9999999999999978E-2</v>
      </c>
    </row>
    <row r="309" spans="1:8" x14ac:dyDescent="0.25">
      <c r="A309" s="1">
        <v>364</v>
      </c>
      <c r="B309" s="4">
        <v>2385693</v>
      </c>
      <c r="C309" s="3">
        <v>4.5400000000000003E-2</v>
      </c>
      <c r="D309" s="3">
        <f t="shared" si="4"/>
        <v>0.4</v>
      </c>
      <c r="E309" s="1">
        <v>0.6</v>
      </c>
      <c r="F309" s="2">
        <v>0.4</v>
      </c>
      <c r="G309" s="2">
        <v>0.43</v>
      </c>
      <c r="H309" s="2">
        <v>0.17000000000000004</v>
      </c>
    </row>
    <row r="310" spans="1:8" x14ac:dyDescent="0.25">
      <c r="A310" s="1">
        <v>854</v>
      </c>
      <c r="B310" s="4">
        <v>8391893</v>
      </c>
      <c r="C310" s="3">
        <v>4.5400000000000003E-2</v>
      </c>
      <c r="D310" s="3">
        <f t="shared" si="4"/>
        <v>0.7</v>
      </c>
      <c r="E310" s="1">
        <v>0.3</v>
      </c>
      <c r="F310" s="2">
        <v>0.3</v>
      </c>
      <c r="G310" s="2">
        <v>0.22</v>
      </c>
      <c r="H310" s="2">
        <v>0.48000000000000004</v>
      </c>
    </row>
    <row r="311" spans="1:8" x14ac:dyDescent="0.25">
      <c r="A311" s="1">
        <v>1027</v>
      </c>
      <c r="B311" s="4">
        <v>404387</v>
      </c>
      <c r="C311" s="3">
        <v>4.5400000000000003E-2</v>
      </c>
      <c r="D311" s="3">
        <f t="shared" si="4"/>
        <v>0.4</v>
      </c>
      <c r="E311" s="1">
        <v>0.6</v>
      </c>
      <c r="F311" s="2">
        <v>0.17</v>
      </c>
      <c r="G311" s="2">
        <v>0.46</v>
      </c>
      <c r="H311" s="2">
        <v>0.37</v>
      </c>
    </row>
    <row r="312" spans="1:8" x14ac:dyDescent="0.25">
      <c r="A312" s="1">
        <v>556</v>
      </c>
      <c r="B312" s="4">
        <v>1764280</v>
      </c>
      <c r="C312" s="3">
        <v>4.53E-2</v>
      </c>
      <c r="D312" s="3">
        <f t="shared" si="4"/>
        <v>0.4</v>
      </c>
      <c r="E312" s="1">
        <v>0.6</v>
      </c>
      <c r="F312" s="2">
        <v>0.38</v>
      </c>
      <c r="G312" s="2">
        <v>0.48</v>
      </c>
      <c r="H312" s="2">
        <v>0.14000000000000001</v>
      </c>
    </row>
    <row r="313" spans="1:8" x14ac:dyDescent="0.25">
      <c r="A313" s="1">
        <v>796</v>
      </c>
      <c r="B313" s="4">
        <v>301321</v>
      </c>
      <c r="C313" s="3">
        <v>4.5199999999999997E-2</v>
      </c>
      <c r="D313" s="3">
        <f t="shared" si="4"/>
        <v>0.4</v>
      </c>
      <c r="E313" s="1">
        <v>0.6</v>
      </c>
      <c r="F313" s="2">
        <v>0.32</v>
      </c>
      <c r="G313" s="2">
        <v>0.28000000000000003</v>
      </c>
      <c r="H313" s="2">
        <v>0.39999999999999997</v>
      </c>
    </row>
    <row r="314" spans="1:8" x14ac:dyDescent="0.25">
      <c r="A314" s="1">
        <v>934</v>
      </c>
      <c r="B314" s="4">
        <v>8850762</v>
      </c>
      <c r="C314" s="3">
        <v>4.4999999999999998E-2</v>
      </c>
      <c r="D314" s="3">
        <f t="shared" si="4"/>
        <v>0.7</v>
      </c>
      <c r="E314" s="1">
        <v>0.3</v>
      </c>
      <c r="F314" s="2">
        <v>0.26</v>
      </c>
      <c r="G314" s="2">
        <v>0.5</v>
      </c>
      <c r="H314" s="2">
        <v>0.24</v>
      </c>
    </row>
    <row r="315" spans="1:8" x14ac:dyDescent="0.25">
      <c r="A315" s="1">
        <v>432</v>
      </c>
      <c r="B315" s="4">
        <v>1789950</v>
      </c>
      <c r="C315" s="3">
        <v>4.4900000000000002E-2</v>
      </c>
      <c r="D315" s="3">
        <f t="shared" si="4"/>
        <v>0.4</v>
      </c>
      <c r="E315" s="1">
        <v>0.6</v>
      </c>
      <c r="F315" s="2">
        <v>0.12</v>
      </c>
      <c r="G315" s="2">
        <v>0.39</v>
      </c>
      <c r="H315" s="2">
        <v>0.49</v>
      </c>
    </row>
    <row r="316" spans="1:8" x14ac:dyDescent="0.25">
      <c r="A316" s="1">
        <v>927</v>
      </c>
      <c r="B316" s="4">
        <v>2738627</v>
      </c>
      <c r="C316" s="3">
        <v>4.4900000000000002E-2</v>
      </c>
      <c r="D316" s="3">
        <f t="shared" si="4"/>
        <v>0.4</v>
      </c>
      <c r="E316" s="1">
        <v>0.6</v>
      </c>
      <c r="F316" s="2">
        <v>0.12</v>
      </c>
      <c r="G316" s="2">
        <v>0.4</v>
      </c>
      <c r="H316" s="2">
        <v>0.48</v>
      </c>
    </row>
    <row r="317" spans="1:8" x14ac:dyDescent="0.25">
      <c r="A317" s="1">
        <v>254</v>
      </c>
      <c r="B317" s="4">
        <v>9993693</v>
      </c>
      <c r="C317" s="3">
        <v>4.4800000000000006E-2</v>
      </c>
      <c r="D317" s="3">
        <f t="shared" si="4"/>
        <v>0.7</v>
      </c>
      <c r="E317" s="1">
        <v>0.3</v>
      </c>
      <c r="F317" s="2">
        <v>0.36</v>
      </c>
      <c r="G317" s="2">
        <v>0.25</v>
      </c>
      <c r="H317" s="2">
        <v>0.39</v>
      </c>
    </row>
    <row r="318" spans="1:8" x14ac:dyDescent="0.25">
      <c r="A318" s="1">
        <v>548</v>
      </c>
      <c r="B318" s="4">
        <v>4731305</v>
      </c>
      <c r="C318" s="3">
        <v>4.4800000000000006E-2</v>
      </c>
      <c r="D318" s="3">
        <f t="shared" si="4"/>
        <v>0.6</v>
      </c>
      <c r="E318" s="1">
        <v>0.4</v>
      </c>
      <c r="F318" s="2">
        <v>0.41</v>
      </c>
      <c r="G318" s="2">
        <v>0.3</v>
      </c>
      <c r="H318" s="2">
        <v>0.28999999999999998</v>
      </c>
    </row>
    <row r="319" spans="1:8" x14ac:dyDescent="0.25">
      <c r="A319" s="1">
        <v>215</v>
      </c>
      <c r="B319" s="4">
        <v>306969</v>
      </c>
      <c r="C319" s="3">
        <v>4.4699999999999997E-2</v>
      </c>
      <c r="D319" s="3">
        <f t="shared" si="4"/>
        <v>0.4</v>
      </c>
      <c r="E319" s="1">
        <v>0.6</v>
      </c>
      <c r="F319" s="2">
        <v>0.13</v>
      </c>
      <c r="G319" s="2">
        <v>0.27</v>
      </c>
      <c r="H319" s="2">
        <v>0.6</v>
      </c>
    </row>
    <row r="320" spans="1:8" x14ac:dyDescent="0.25">
      <c r="A320" s="1">
        <v>16</v>
      </c>
      <c r="B320" s="4">
        <v>7172849</v>
      </c>
      <c r="C320" s="3">
        <v>4.4400000000000002E-2</v>
      </c>
      <c r="D320" s="3">
        <f t="shared" si="4"/>
        <v>0.7</v>
      </c>
      <c r="E320" s="1">
        <v>0.3</v>
      </c>
      <c r="F320" s="2">
        <v>0.3</v>
      </c>
      <c r="G320" s="2">
        <v>0.22</v>
      </c>
      <c r="H320" s="2">
        <v>0.48000000000000004</v>
      </c>
    </row>
    <row r="321" spans="1:8" x14ac:dyDescent="0.25">
      <c r="A321" s="1">
        <v>921</v>
      </c>
      <c r="B321" s="4">
        <v>8544392</v>
      </c>
      <c r="C321" s="3">
        <v>4.4400000000000002E-2</v>
      </c>
      <c r="D321" s="3">
        <f t="shared" si="4"/>
        <v>0.7</v>
      </c>
      <c r="E321" s="1">
        <v>0.3</v>
      </c>
      <c r="F321" s="2">
        <v>0.4</v>
      </c>
      <c r="G321" s="2">
        <v>0.44</v>
      </c>
      <c r="H321" s="2">
        <v>0.16000000000000003</v>
      </c>
    </row>
    <row r="322" spans="1:8" x14ac:dyDescent="0.25">
      <c r="A322" s="1">
        <v>1006</v>
      </c>
      <c r="B322" s="4">
        <v>3543981</v>
      </c>
      <c r="C322" s="3">
        <v>4.4299999999999999E-2</v>
      </c>
      <c r="D322" s="3">
        <f t="shared" ref="D322:D385" si="5">1-E322</f>
        <v>0.6</v>
      </c>
      <c r="E322" s="1">
        <v>0.4</v>
      </c>
      <c r="F322" s="2">
        <v>0.17</v>
      </c>
      <c r="G322" s="2">
        <v>0.26</v>
      </c>
      <c r="H322" s="2">
        <v>0.56999999999999995</v>
      </c>
    </row>
    <row r="323" spans="1:8" x14ac:dyDescent="0.25">
      <c r="A323" s="1">
        <v>85</v>
      </c>
      <c r="B323" s="4">
        <v>9675841</v>
      </c>
      <c r="C323" s="3">
        <v>4.4199999999999996E-2</v>
      </c>
      <c r="D323" s="3">
        <f t="shared" si="5"/>
        <v>0.7</v>
      </c>
      <c r="E323" s="1">
        <v>0.3</v>
      </c>
      <c r="F323" s="2">
        <v>0.38</v>
      </c>
      <c r="G323" s="2">
        <v>0.35</v>
      </c>
      <c r="H323" s="2">
        <v>0.27</v>
      </c>
    </row>
    <row r="324" spans="1:8" x14ac:dyDescent="0.25">
      <c r="A324" s="1">
        <v>248</v>
      </c>
      <c r="B324" s="4">
        <v>366823</v>
      </c>
      <c r="C324" s="3">
        <v>4.4199999999999996E-2</v>
      </c>
      <c r="D324" s="3">
        <f t="shared" si="5"/>
        <v>0.4</v>
      </c>
      <c r="E324" s="1">
        <v>0.6</v>
      </c>
      <c r="F324" s="2">
        <v>0.25</v>
      </c>
      <c r="G324" s="2">
        <v>0.27</v>
      </c>
      <c r="H324" s="2">
        <v>0.48</v>
      </c>
    </row>
    <row r="325" spans="1:8" x14ac:dyDescent="0.25">
      <c r="A325" s="1">
        <v>608</v>
      </c>
      <c r="B325" s="4">
        <v>6043755</v>
      </c>
      <c r="C325" s="3">
        <v>4.41E-2</v>
      </c>
      <c r="D325" s="3">
        <f t="shared" si="5"/>
        <v>0.6</v>
      </c>
      <c r="E325" s="1">
        <v>0.4</v>
      </c>
      <c r="F325" s="2">
        <v>0.12</v>
      </c>
      <c r="G325" s="2">
        <v>0.43</v>
      </c>
      <c r="H325" s="2">
        <v>0.45000000000000007</v>
      </c>
    </row>
    <row r="326" spans="1:8" x14ac:dyDescent="0.25">
      <c r="A326" s="1">
        <v>170</v>
      </c>
      <c r="B326" s="4">
        <v>1954508</v>
      </c>
      <c r="C326" s="3">
        <v>4.4000000000000004E-2</v>
      </c>
      <c r="D326" s="3">
        <f t="shared" si="5"/>
        <v>0.4</v>
      </c>
      <c r="E326" s="1">
        <v>0.6</v>
      </c>
      <c r="F326" s="2">
        <v>0.26</v>
      </c>
      <c r="G326" s="2">
        <v>0.34</v>
      </c>
      <c r="H326" s="2">
        <v>0.39999999999999991</v>
      </c>
    </row>
    <row r="327" spans="1:8" x14ac:dyDescent="0.25">
      <c r="A327" s="1">
        <v>75</v>
      </c>
      <c r="B327" s="4">
        <v>3507736</v>
      </c>
      <c r="C327" s="3">
        <v>4.3899999999999995E-2</v>
      </c>
      <c r="D327" s="3">
        <f t="shared" si="5"/>
        <v>0.6</v>
      </c>
      <c r="E327" s="1">
        <v>0.4</v>
      </c>
      <c r="F327" s="2">
        <v>0.34</v>
      </c>
      <c r="G327" s="2">
        <v>0.28000000000000003</v>
      </c>
      <c r="H327" s="2">
        <v>0.37999999999999995</v>
      </c>
    </row>
    <row r="328" spans="1:8" x14ac:dyDescent="0.25">
      <c r="A328" s="1">
        <v>80</v>
      </c>
      <c r="B328" s="4">
        <v>772670</v>
      </c>
      <c r="C328" s="3">
        <v>4.3899999999999995E-2</v>
      </c>
      <c r="D328" s="3">
        <f t="shared" si="5"/>
        <v>0.4</v>
      </c>
      <c r="E328" s="1">
        <v>0.6</v>
      </c>
      <c r="F328" s="2">
        <v>0.12</v>
      </c>
      <c r="G328" s="2">
        <v>0.4</v>
      </c>
      <c r="H328" s="2">
        <v>0.48</v>
      </c>
    </row>
    <row r="329" spans="1:8" x14ac:dyDescent="0.25">
      <c r="A329" s="1">
        <v>148</v>
      </c>
      <c r="B329" s="4">
        <v>856247</v>
      </c>
      <c r="C329" s="3">
        <v>4.3899999999999995E-2</v>
      </c>
      <c r="D329" s="3">
        <f t="shared" si="5"/>
        <v>0.4</v>
      </c>
      <c r="E329" s="1">
        <v>0.6</v>
      </c>
      <c r="F329" s="2">
        <v>0.45</v>
      </c>
      <c r="G329" s="2">
        <v>0.48</v>
      </c>
      <c r="H329" s="2">
        <v>7.0000000000000007E-2</v>
      </c>
    </row>
    <row r="330" spans="1:8" x14ac:dyDescent="0.25">
      <c r="A330" s="1">
        <v>539</v>
      </c>
      <c r="B330" s="4">
        <v>2086853</v>
      </c>
      <c r="C330" s="3">
        <v>4.3899999999999995E-2</v>
      </c>
      <c r="D330" s="3">
        <f t="shared" si="5"/>
        <v>0.4</v>
      </c>
      <c r="E330" s="1">
        <v>0.6</v>
      </c>
      <c r="F330" s="2">
        <v>0.11</v>
      </c>
      <c r="G330" s="2">
        <v>0.44</v>
      </c>
      <c r="H330" s="2">
        <v>0.45000000000000007</v>
      </c>
    </row>
    <row r="331" spans="1:8" x14ac:dyDescent="0.25">
      <c r="A331" s="1">
        <v>859</v>
      </c>
      <c r="B331" s="4">
        <v>6307776</v>
      </c>
      <c r="C331" s="3">
        <v>4.3899999999999995E-2</v>
      </c>
      <c r="D331" s="3">
        <f t="shared" si="5"/>
        <v>0.6</v>
      </c>
      <c r="E331" s="1">
        <v>0.4</v>
      </c>
      <c r="F331" s="2">
        <v>0.2</v>
      </c>
      <c r="G331" s="2">
        <v>0.22</v>
      </c>
      <c r="H331" s="2">
        <v>0.58000000000000007</v>
      </c>
    </row>
    <row r="332" spans="1:8" x14ac:dyDescent="0.25">
      <c r="A332" s="1">
        <v>181</v>
      </c>
      <c r="B332" s="4">
        <v>9704214</v>
      </c>
      <c r="C332" s="3">
        <v>4.3700000000000003E-2</v>
      </c>
      <c r="D332" s="3">
        <f t="shared" si="5"/>
        <v>0.7</v>
      </c>
      <c r="E332" s="1">
        <v>0.3</v>
      </c>
      <c r="F332" s="2">
        <v>0.28999999999999998</v>
      </c>
      <c r="G332" s="2">
        <v>0.42</v>
      </c>
      <c r="H332" s="2">
        <v>0.29000000000000009</v>
      </c>
    </row>
    <row r="333" spans="1:8" x14ac:dyDescent="0.25">
      <c r="A333" s="1">
        <v>313</v>
      </c>
      <c r="B333" s="4">
        <v>5920620</v>
      </c>
      <c r="C333" s="3">
        <v>4.3700000000000003E-2</v>
      </c>
      <c r="D333" s="3">
        <f t="shared" si="5"/>
        <v>0.6</v>
      </c>
      <c r="E333" s="1">
        <v>0.4</v>
      </c>
      <c r="F333" s="2">
        <v>0.39</v>
      </c>
      <c r="G333" s="2">
        <v>0.21</v>
      </c>
      <c r="H333" s="2">
        <v>0.4</v>
      </c>
    </row>
    <row r="334" spans="1:8" x14ac:dyDescent="0.25">
      <c r="A334" s="1">
        <v>317</v>
      </c>
      <c r="B334" s="4">
        <v>9042739</v>
      </c>
      <c r="C334" s="3">
        <v>4.3700000000000003E-2</v>
      </c>
      <c r="D334" s="3">
        <f t="shared" si="5"/>
        <v>0.7</v>
      </c>
      <c r="E334" s="1">
        <v>0.3</v>
      </c>
      <c r="F334" s="2">
        <v>0.2</v>
      </c>
      <c r="G334" s="2">
        <v>0.33</v>
      </c>
      <c r="H334" s="2">
        <v>0.46999999999999992</v>
      </c>
    </row>
    <row r="335" spans="1:8" x14ac:dyDescent="0.25">
      <c r="A335" s="1">
        <v>368</v>
      </c>
      <c r="B335" s="4">
        <v>6491353</v>
      </c>
      <c r="C335" s="3">
        <v>4.3700000000000003E-2</v>
      </c>
      <c r="D335" s="3">
        <f t="shared" si="5"/>
        <v>0.6</v>
      </c>
      <c r="E335" s="1">
        <v>0.4</v>
      </c>
      <c r="F335" s="2">
        <v>0.35</v>
      </c>
      <c r="G335" s="2">
        <v>0.38</v>
      </c>
      <c r="H335" s="2">
        <v>0.27</v>
      </c>
    </row>
    <row r="336" spans="1:8" x14ac:dyDescent="0.25">
      <c r="A336" s="1">
        <v>286</v>
      </c>
      <c r="B336" s="4">
        <v>1030597</v>
      </c>
      <c r="C336" s="3">
        <v>4.36E-2</v>
      </c>
      <c r="D336" s="3">
        <f t="shared" si="5"/>
        <v>0.4</v>
      </c>
      <c r="E336" s="1">
        <v>0.6</v>
      </c>
      <c r="F336" s="2">
        <v>0.23</v>
      </c>
      <c r="G336" s="2">
        <v>0.41</v>
      </c>
      <c r="H336" s="2">
        <v>0.3600000000000001</v>
      </c>
    </row>
    <row r="337" spans="1:8" x14ac:dyDescent="0.25">
      <c r="A337" s="1">
        <v>296</v>
      </c>
      <c r="B337" s="4">
        <v>6881800</v>
      </c>
      <c r="C337" s="3">
        <v>4.36E-2</v>
      </c>
      <c r="D337" s="3">
        <f t="shared" si="5"/>
        <v>0.6</v>
      </c>
      <c r="E337" s="1">
        <v>0.4</v>
      </c>
      <c r="F337" s="2">
        <v>0.38</v>
      </c>
      <c r="G337" s="2">
        <v>0.23</v>
      </c>
      <c r="H337" s="2">
        <v>0.39</v>
      </c>
    </row>
    <row r="338" spans="1:8" x14ac:dyDescent="0.25">
      <c r="A338" s="1">
        <v>686</v>
      </c>
      <c r="B338" s="4">
        <v>148872</v>
      </c>
      <c r="C338" s="3">
        <v>4.36E-2</v>
      </c>
      <c r="D338" s="3">
        <f t="shared" si="5"/>
        <v>0.4</v>
      </c>
      <c r="E338" s="1">
        <v>0.6</v>
      </c>
      <c r="F338" s="2">
        <v>0.36</v>
      </c>
      <c r="G338" s="2">
        <v>0.33</v>
      </c>
      <c r="H338" s="2">
        <v>0.30999999999999994</v>
      </c>
    </row>
    <row r="339" spans="1:8" x14ac:dyDescent="0.25">
      <c r="A339" s="1">
        <v>176</v>
      </c>
      <c r="B339" s="4">
        <v>1643391</v>
      </c>
      <c r="C339" s="3">
        <v>4.3299999999999998E-2</v>
      </c>
      <c r="D339" s="3">
        <f t="shared" si="5"/>
        <v>0.4</v>
      </c>
      <c r="E339" s="1">
        <v>0.6</v>
      </c>
      <c r="F339" s="2">
        <v>0.16</v>
      </c>
      <c r="G339" s="2">
        <v>0.28000000000000003</v>
      </c>
      <c r="H339" s="2">
        <v>0.55999999999999994</v>
      </c>
    </row>
    <row r="340" spans="1:8" x14ac:dyDescent="0.25">
      <c r="A340" s="1">
        <v>383</v>
      </c>
      <c r="B340" s="4">
        <v>2409332</v>
      </c>
      <c r="C340" s="3">
        <v>4.3299999999999998E-2</v>
      </c>
      <c r="D340" s="3">
        <f t="shared" si="5"/>
        <v>0.4</v>
      </c>
      <c r="E340" s="1">
        <v>0.6</v>
      </c>
      <c r="F340" s="2">
        <v>0.22</v>
      </c>
      <c r="G340" s="2">
        <v>0.46</v>
      </c>
      <c r="H340" s="2">
        <v>0.32000000000000006</v>
      </c>
    </row>
    <row r="341" spans="1:8" x14ac:dyDescent="0.25">
      <c r="A341" s="1">
        <v>876</v>
      </c>
      <c r="B341" s="4">
        <v>8027298</v>
      </c>
      <c r="C341" s="3">
        <v>4.3299999999999998E-2</v>
      </c>
      <c r="D341" s="3">
        <f t="shared" si="5"/>
        <v>0.7</v>
      </c>
      <c r="E341" s="1">
        <v>0.3</v>
      </c>
      <c r="F341" s="2">
        <v>0.23</v>
      </c>
      <c r="G341" s="2">
        <v>0.49</v>
      </c>
      <c r="H341" s="2">
        <v>0.28000000000000003</v>
      </c>
    </row>
    <row r="342" spans="1:8" x14ac:dyDescent="0.25">
      <c r="A342" s="1">
        <v>1012</v>
      </c>
      <c r="B342" s="4">
        <v>9451597</v>
      </c>
      <c r="C342" s="3">
        <v>4.3299999999999998E-2</v>
      </c>
      <c r="D342" s="3">
        <f t="shared" si="5"/>
        <v>0.7</v>
      </c>
      <c r="E342" s="1">
        <v>0.3</v>
      </c>
      <c r="F342" s="2">
        <v>0.1</v>
      </c>
      <c r="G342" s="2">
        <v>0.43</v>
      </c>
      <c r="H342" s="2">
        <v>0.47000000000000008</v>
      </c>
    </row>
    <row r="343" spans="1:8" x14ac:dyDescent="0.25">
      <c r="A343" s="1">
        <v>265</v>
      </c>
      <c r="B343" s="4">
        <v>6488642</v>
      </c>
      <c r="C343" s="3">
        <v>4.3200000000000002E-2</v>
      </c>
      <c r="D343" s="3">
        <f t="shared" si="5"/>
        <v>0.6</v>
      </c>
      <c r="E343" s="1">
        <v>0.4</v>
      </c>
      <c r="F343" s="2">
        <v>0.43</v>
      </c>
      <c r="G343" s="2">
        <v>0.25</v>
      </c>
      <c r="H343" s="2">
        <v>0.32</v>
      </c>
    </row>
    <row r="344" spans="1:8" x14ac:dyDescent="0.25">
      <c r="A344" s="1">
        <v>671</v>
      </c>
      <c r="B344" s="4">
        <v>3614544</v>
      </c>
      <c r="C344" s="3">
        <v>4.3200000000000002E-2</v>
      </c>
      <c r="D344" s="3">
        <f t="shared" si="5"/>
        <v>0.6</v>
      </c>
      <c r="E344" s="1">
        <v>0.4</v>
      </c>
      <c r="F344" s="2">
        <v>0.4</v>
      </c>
      <c r="G344" s="2">
        <v>0.28999999999999998</v>
      </c>
      <c r="H344" s="2">
        <v>0.30999999999999994</v>
      </c>
    </row>
    <row r="345" spans="1:8" x14ac:dyDescent="0.25">
      <c r="A345" s="1">
        <v>808</v>
      </c>
      <c r="B345" s="4">
        <v>6593689</v>
      </c>
      <c r="C345" s="3">
        <v>4.3200000000000002E-2</v>
      </c>
      <c r="D345" s="3">
        <f t="shared" si="5"/>
        <v>0.6</v>
      </c>
      <c r="E345" s="1">
        <v>0.4</v>
      </c>
      <c r="F345" s="2">
        <v>0.23</v>
      </c>
      <c r="G345" s="2">
        <v>0.34</v>
      </c>
      <c r="H345" s="2">
        <v>0.42999999999999994</v>
      </c>
    </row>
    <row r="346" spans="1:8" x14ac:dyDescent="0.25">
      <c r="A346" s="1">
        <v>308</v>
      </c>
      <c r="B346" s="4">
        <v>7445635</v>
      </c>
      <c r="C346" s="3">
        <v>4.3099999999999999E-2</v>
      </c>
      <c r="D346" s="3">
        <f t="shared" si="5"/>
        <v>0.7</v>
      </c>
      <c r="E346" s="1">
        <v>0.3</v>
      </c>
      <c r="F346" s="2">
        <v>0.19</v>
      </c>
      <c r="G346" s="2">
        <v>0.49</v>
      </c>
      <c r="H346" s="2">
        <v>0.32</v>
      </c>
    </row>
    <row r="347" spans="1:8" x14ac:dyDescent="0.25">
      <c r="A347" s="1">
        <v>450</v>
      </c>
      <c r="B347" s="4">
        <v>8541219</v>
      </c>
      <c r="C347" s="3">
        <v>4.2999999999999997E-2</v>
      </c>
      <c r="D347" s="3">
        <f t="shared" si="5"/>
        <v>0.7</v>
      </c>
      <c r="E347" s="1">
        <v>0.3</v>
      </c>
      <c r="F347" s="2">
        <v>0.28000000000000003</v>
      </c>
      <c r="G347" s="2">
        <v>0.21</v>
      </c>
      <c r="H347" s="2">
        <v>0.51</v>
      </c>
    </row>
    <row r="348" spans="1:8" x14ac:dyDescent="0.25">
      <c r="A348" s="1">
        <v>912</v>
      </c>
      <c r="B348" s="4">
        <v>5043157</v>
      </c>
      <c r="C348" s="3">
        <v>4.2999999999999997E-2</v>
      </c>
      <c r="D348" s="3">
        <f t="shared" si="5"/>
        <v>0.6</v>
      </c>
      <c r="E348" s="1">
        <v>0.4</v>
      </c>
      <c r="F348" s="2">
        <v>0.36</v>
      </c>
      <c r="G348" s="2">
        <v>0.28999999999999998</v>
      </c>
      <c r="H348" s="2">
        <v>0.35</v>
      </c>
    </row>
    <row r="349" spans="1:8" x14ac:dyDescent="0.25">
      <c r="A349" s="1">
        <v>251</v>
      </c>
      <c r="B349" s="4">
        <v>7315022</v>
      </c>
      <c r="C349" s="3">
        <v>4.2900000000000001E-2</v>
      </c>
      <c r="D349" s="3">
        <f t="shared" si="5"/>
        <v>0.7</v>
      </c>
      <c r="E349" s="1">
        <v>0.3</v>
      </c>
      <c r="F349" s="2">
        <v>0.17</v>
      </c>
      <c r="G349" s="2">
        <v>0.24</v>
      </c>
      <c r="H349" s="2">
        <v>0.59</v>
      </c>
    </row>
    <row r="350" spans="1:8" x14ac:dyDescent="0.25">
      <c r="A350" s="1">
        <v>568</v>
      </c>
      <c r="B350" s="4">
        <v>4080400</v>
      </c>
      <c r="C350" s="3">
        <v>4.2900000000000001E-2</v>
      </c>
      <c r="D350" s="3">
        <f t="shared" si="5"/>
        <v>0.6</v>
      </c>
      <c r="E350" s="1">
        <v>0.4</v>
      </c>
      <c r="F350" s="2">
        <v>0.3</v>
      </c>
      <c r="G350" s="2">
        <v>0.5</v>
      </c>
      <c r="H350" s="2">
        <v>0.2</v>
      </c>
    </row>
    <row r="351" spans="1:8" x14ac:dyDescent="0.25">
      <c r="A351" s="1">
        <v>638</v>
      </c>
      <c r="B351" s="4">
        <v>6415580</v>
      </c>
      <c r="C351" s="3">
        <v>4.2900000000000001E-2</v>
      </c>
      <c r="D351" s="3">
        <f t="shared" si="5"/>
        <v>0.6</v>
      </c>
      <c r="E351" s="1">
        <v>0.4</v>
      </c>
      <c r="F351" s="2">
        <v>0.33</v>
      </c>
      <c r="G351" s="2">
        <v>0.41</v>
      </c>
      <c r="H351" s="2">
        <v>0.26000000000000006</v>
      </c>
    </row>
    <row r="352" spans="1:8" x14ac:dyDescent="0.25">
      <c r="A352" s="1">
        <v>696</v>
      </c>
      <c r="B352" s="4">
        <v>4426494</v>
      </c>
      <c r="C352" s="3">
        <v>4.2900000000000001E-2</v>
      </c>
      <c r="D352" s="3">
        <f t="shared" si="5"/>
        <v>0.6</v>
      </c>
      <c r="E352" s="1">
        <v>0.4</v>
      </c>
      <c r="F352" s="2">
        <v>0.23</v>
      </c>
      <c r="G352" s="2">
        <v>0.34</v>
      </c>
      <c r="H352" s="2">
        <v>0.42999999999999994</v>
      </c>
    </row>
    <row r="353" spans="1:8" x14ac:dyDescent="0.25">
      <c r="A353" s="1">
        <v>519</v>
      </c>
      <c r="B353" s="4">
        <v>6997960</v>
      </c>
      <c r="C353" s="3">
        <v>4.2800000000000005E-2</v>
      </c>
      <c r="D353" s="3">
        <f t="shared" si="5"/>
        <v>0.6</v>
      </c>
      <c r="E353" s="1">
        <v>0.4</v>
      </c>
      <c r="F353" s="2">
        <v>0.16</v>
      </c>
      <c r="G353" s="2">
        <v>0.45</v>
      </c>
      <c r="H353" s="2">
        <v>0.39</v>
      </c>
    </row>
    <row r="354" spans="1:8" x14ac:dyDescent="0.25">
      <c r="A354" s="1">
        <v>697</v>
      </c>
      <c r="B354" s="4">
        <v>2532757</v>
      </c>
      <c r="C354" s="3">
        <v>4.2800000000000005E-2</v>
      </c>
      <c r="D354" s="3">
        <f t="shared" si="5"/>
        <v>0.4</v>
      </c>
      <c r="E354" s="1">
        <v>0.6</v>
      </c>
      <c r="F354" s="2">
        <v>0.37</v>
      </c>
      <c r="G354" s="2">
        <v>0.3</v>
      </c>
      <c r="H354" s="2">
        <v>0.32999999999999996</v>
      </c>
    </row>
    <row r="355" spans="1:8" x14ac:dyDescent="0.25">
      <c r="A355" s="1">
        <v>943</v>
      </c>
      <c r="B355" s="4">
        <v>9087022</v>
      </c>
      <c r="C355" s="3">
        <v>4.2699999999999995E-2</v>
      </c>
      <c r="D355" s="3">
        <f t="shared" si="5"/>
        <v>0.7</v>
      </c>
      <c r="E355" s="1">
        <v>0.3</v>
      </c>
      <c r="F355" s="2">
        <v>0.43</v>
      </c>
      <c r="G355" s="2">
        <v>0.38</v>
      </c>
      <c r="H355" s="2">
        <v>0.19</v>
      </c>
    </row>
    <row r="356" spans="1:8" x14ac:dyDescent="0.25">
      <c r="A356" s="1">
        <v>503</v>
      </c>
      <c r="B356" s="4">
        <v>9291722</v>
      </c>
      <c r="C356" s="3">
        <v>4.2599999999999999E-2</v>
      </c>
      <c r="D356" s="3">
        <f t="shared" si="5"/>
        <v>0.7</v>
      </c>
      <c r="E356" s="1">
        <v>0.3</v>
      </c>
      <c r="F356" s="2">
        <v>0.36</v>
      </c>
      <c r="G356" s="2">
        <v>0.21</v>
      </c>
      <c r="H356" s="2">
        <v>0.43000000000000005</v>
      </c>
    </row>
    <row r="357" spans="1:8" x14ac:dyDescent="0.25">
      <c r="A357" s="1">
        <v>594</v>
      </c>
      <c r="B357" s="4">
        <v>3776919</v>
      </c>
      <c r="C357" s="3">
        <v>4.2599999999999999E-2</v>
      </c>
      <c r="D357" s="3">
        <f t="shared" si="5"/>
        <v>0.6</v>
      </c>
      <c r="E357" s="1">
        <v>0.4</v>
      </c>
      <c r="F357" s="2">
        <v>0.45</v>
      </c>
      <c r="G357" s="2">
        <v>0.38</v>
      </c>
      <c r="H357" s="2">
        <v>0.16999999999999998</v>
      </c>
    </row>
    <row r="358" spans="1:8" x14ac:dyDescent="0.25">
      <c r="A358" s="1">
        <v>734</v>
      </c>
      <c r="B358" s="4">
        <v>6214466</v>
      </c>
      <c r="C358" s="3">
        <v>4.2599999999999999E-2</v>
      </c>
      <c r="D358" s="3">
        <f t="shared" si="5"/>
        <v>0.6</v>
      </c>
      <c r="E358" s="1">
        <v>0.4</v>
      </c>
      <c r="F358" s="2">
        <v>0.43</v>
      </c>
      <c r="G358" s="2">
        <v>0.27</v>
      </c>
      <c r="H358" s="2">
        <v>0.3</v>
      </c>
    </row>
    <row r="359" spans="1:8" x14ac:dyDescent="0.25">
      <c r="A359" s="1">
        <v>577</v>
      </c>
      <c r="B359" s="4">
        <v>4639042</v>
      </c>
      <c r="C359" s="3">
        <v>4.2500000000000003E-2</v>
      </c>
      <c r="D359" s="3">
        <f t="shared" si="5"/>
        <v>0.6</v>
      </c>
      <c r="E359" s="1">
        <v>0.4</v>
      </c>
      <c r="F359" s="2">
        <v>0.44</v>
      </c>
      <c r="G359" s="2">
        <v>0.27</v>
      </c>
      <c r="H359" s="2">
        <v>0.28999999999999998</v>
      </c>
    </row>
    <row r="360" spans="1:8" x14ac:dyDescent="0.25">
      <c r="A360" s="1">
        <v>660</v>
      </c>
      <c r="B360" s="4">
        <v>2693279</v>
      </c>
      <c r="C360" s="3">
        <v>4.2500000000000003E-2</v>
      </c>
      <c r="D360" s="3">
        <f t="shared" si="5"/>
        <v>0.4</v>
      </c>
      <c r="E360" s="1">
        <v>0.6</v>
      </c>
      <c r="F360" s="2">
        <v>0.22</v>
      </c>
      <c r="G360" s="2">
        <v>0.4</v>
      </c>
      <c r="H360" s="2">
        <v>0.38</v>
      </c>
    </row>
    <row r="361" spans="1:8" x14ac:dyDescent="0.25">
      <c r="A361" s="1">
        <v>58</v>
      </c>
      <c r="B361" s="4">
        <v>9864699</v>
      </c>
      <c r="C361" s="3">
        <v>4.24E-2</v>
      </c>
      <c r="D361" s="3">
        <f t="shared" si="5"/>
        <v>0.7</v>
      </c>
      <c r="E361" s="1">
        <v>0.3</v>
      </c>
      <c r="F361" s="2">
        <v>0.21</v>
      </c>
      <c r="G361" s="2">
        <v>0.21</v>
      </c>
      <c r="H361" s="2">
        <v>0.58000000000000007</v>
      </c>
    </row>
    <row r="362" spans="1:8" x14ac:dyDescent="0.25">
      <c r="A362" s="1">
        <v>88</v>
      </c>
      <c r="B362" s="4">
        <v>9433586</v>
      </c>
      <c r="C362" s="3">
        <v>4.2300000000000004E-2</v>
      </c>
      <c r="D362" s="3">
        <f t="shared" si="5"/>
        <v>0.7</v>
      </c>
      <c r="E362" s="1">
        <v>0.3</v>
      </c>
      <c r="F362" s="2">
        <v>0.39</v>
      </c>
      <c r="G362" s="2">
        <v>0.39</v>
      </c>
      <c r="H362" s="2">
        <v>0.21999999999999997</v>
      </c>
    </row>
    <row r="363" spans="1:8" x14ac:dyDescent="0.25">
      <c r="A363" s="1">
        <v>478</v>
      </c>
      <c r="B363" s="4">
        <v>2334511</v>
      </c>
      <c r="C363" s="3">
        <v>4.2300000000000004E-2</v>
      </c>
      <c r="D363" s="3">
        <f t="shared" si="5"/>
        <v>0.4</v>
      </c>
      <c r="E363" s="1">
        <v>0.6</v>
      </c>
      <c r="F363" s="2">
        <v>0.33</v>
      </c>
      <c r="G363" s="2">
        <v>0.28000000000000003</v>
      </c>
      <c r="H363" s="2">
        <v>0.38999999999999996</v>
      </c>
    </row>
    <row r="364" spans="1:8" x14ac:dyDescent="0.25">
      <c r="A364" s="1">
        <v>1005</v>
      </c>
      <c r="B364" s="4">
        <v>5515767</v>
      </c>
      <c r="C364" s="3">
        <v>4.2199999999999994E-2</v>
      </c>
      <c r="D364" s="3">
        <f t="shared" si="5"/>
        <v>0.6</v>
      </c>
      <c r="E364" s="1">
        <v>0.4</v>
      </c>
      <c r="F364" s="2">
        <v>0.41</v>
      </c>
      <c r="G364" s="2">
        <v>0.25</v>
      </c>
      <c r="H364" s="2">
        <v>0.34</v>
      </c>
    </row>
    <row r="365" spans="1:8" x14ac:dyDescent="0.25">
      <c r="A365" s="1">
        <v>427</v>
      </c>
      <c r="B365" s="4">
        <v>6535963</v>
      </c>
      <c r="C365" s="3">
        <v>4.2099999999999999E-2</v>
      </c>
      <c r="D365" s="3">
        <f t="shared" si="5"/>
        <v>0.6</v>
      </c>
      <c r="E365" s="1">
        <v>0.4</v>
      </c>
      <c r="F365" s="2">
        <v>0.19</v>
      </c>
      <c r="G365" s="2">
        <v>0.34</v>
      </c>
      <c r="H365" s="2">
        <v>0.46999999999999992</v>
      </c>
    </row>
    <row r="366" spans="1:8" x14ac:dyDescent="0.25">
      <c r="A366" s="1">
        <v>650</v>
      </c>
      <c r="B366" s="4">
        <v>6847901</v>
      </c>
      <c r="C366" s="3">
        <v>4.2099999999999999E-2</v>
      </c>
      <c r="D366" s="3">
        <f t="shared" si="5"/>
        <v>0.6</v>
      </c>
      <c r="E366" s="1">
        <v>0.4</v>
      </c>
      <c r="F366" s="2">
        <v>0.35</v>
      </c>
      <c r="G366" s="2">
        <v>0.41</v>
      </c>
      <c r="H366" s="2">
        <v>0.2400000000000001</v>
      </c>
    </row>
    <row r="367" spans="1:8" x14ac:dyDescent="0.25">
      <c r="A367" s="1">
        <v>895</v>
      </c>
      <c r="B367" s="4">
        <v>7925746</v>
      </c>
      <c r="C367" s="3">
        <v>4.2099999999999999E-2</v>
      </c>
      <c r="D367" s="3">
        <f t="shared" si="5"/>
        <v>0.7</v>
      </c>
      <c r="E367" s="1">
        <v>0.3</v>
      </c>
      <c r="F367" s="2">
        <v>0.36</v>
      </c>
      <c r="G367" s="2">
        <v>0.4</v>
      </c>
      <c r="H367" s="2">
        <v>0.24</v>
      </c>
    </row>
    <row r="368" spans="1:8" x14ac:dyDescent="0.25">
      <c r="A368" s="1">
        <v>1035</v>
      </c>
      <c r="B368" s="4">
        <v>7246125</v>
      </c>
      <c r="C368" s="3">
        <v>4.2099999999999999E-2</v>
      </c>
      <c r="D368" s="3">
        <f t="shared" si="5"/>
        <v>0.7</v>
      </c>
      <c r="E368" s="1">
        <v>0.3</v>
      </c>
      <c r="F368" s="2">
        <v>0.37</v>
      </c>
      <c r="G368" s="2">
        <v>0.37</v>
      </c>
      <c r="H368" s="2">
        <v>0.26</v>
      </c>
    </row>
    <row r="369" spans="1:8" x14ac:dyDescent="0.25">
      <c r="A369" s="1">
        <v>99</v>
      </c>
      <c r="B369" s="4">
        <v>4983265</v>
      </c>
      <c r="C369" s="3">
        <v>4.2000000000000003E-2</v>
      </c>
      <c r="D369" s="3">
        <f t="shared" si="5"/>
        <v>0.6</v>
      </c>
      <c r="E369" s="1">
        <v>0.4</v>
      </c>
      <c r="F369" s="2">
        <v>0.37</v>
      </c>
      <c r="G369" s="2">
        <v>0.28000000000000003</v>
      </c>
      <c r="H369" s="2">
        <v>0.35</v>
      </c>
    </row>
    <row r="370" spans="1:8" x14ac:dyDescent="0.25">
      <c r="A370" s="1">
        <v>731</v>
      </c>
      <c r="B370" s="4">
        <v>1208368</v>
      </c>
      <c r="C370" s="3">
        <v>4.2000000000000003E-2</v>
      </c>
      <c r="D370" s="3">
        <f t="shared" si="5"/>
        <v>0.4</v>
      </c>
      <c r="E370" s="1">
        <v>0.6</v>
      </c>
      <c r="F370" s="2">
        <v>0.15</v>
      </c>
      <c r="G370" s="2">
        <v>0.36</v>
      </c>
      <c r="H370" s="2">
        <v>0.49</v>
      </c>
    </row>
    <row r="371" spans="1:8" x14ac:dyDescent="0.25">
      <c r="A371" s="1">
        <v>743</v>
      </c>
      <c r="B371" s="4">
        <v>2151357</v>
      </c>
      <c r="C371" s="3">
        <v>4.2000000000000003E-2</v>
      </c>
      <c r="D371" s="3">
        <f t="shared" si="5"/>
        <v>0.4</v>
      </c>
      <c r="E371" s="1">
        <v>0.6</v>
      </c>
      <c r="F371" s="2">
        <v>0.21</v>
      </c>
      <c r="G371" s="2">
        <v>0.23</v>
      </c>
      <c r="H371" s="2">
        <v>0.56000000000000005</v>
      </c>
    </row>
    <row r="372" spans="1:8" x14ac:dyDescent="0.25">
      <c r="A372" s="1">
        <v>851</v>
      </c>
      <c r="B372" s="4">
        <v>2646480</v>
      </c>
      <c r="C372" s="3">
        <v>4.2000000000000003E-2</v>
      </c>
      <c r="D372" s="3">
        <f t="shared" si="5"/>
        <v>0.4</v>
      </c>
      <c r="E372" s="1">
        <v>0.6</v>
      </c>
      <c r="F372" s="2">
        <v>0.15</v>
      </c>
      <c r="G372" s="2">
        <v>0.34</v>
      </c>
      <c r="H372" s="2">
        <v>0.5099999999999999</v>
      </c>
    </row>
    <row r="373" spans="1:8" x14ac:dyDescent="0.25">
      <c r="A373" s="1">
        <v>437</v>
      </c>
      <c r="B373" s="4">
        <v>4317532</v>
      </c>
      <c r="C373" s="3">
        <v>4.1900000000000007E-2</v>
      </c>
      <c r="D373" s="3">
        <f t="shared" si="5"/>
        <v>0.6</v>
      </c>
      <c r="E373" s="1">
        <v>0.4</v>
      </c>
      <c r="F373" s="2">
        <v>0.43</v>
      </c>
      <c r="G373" s="2">
        <v>0.5</v>
      </c>
      <c r="H373" s="2">
        <v>7.0000000000000007E-2</v>
      </c>
    </row>
    <row r="374" spans="1:8" x14ac:dyDescent="0.25">
      <c r="A374" s="1">
        <v>73</v>
      </c>
      <c r="B374" s="4">
        <v>6314393</v>
      </c>
      <c r="C374" s="3">
        <v>4.1799999999999997E-2</v>
      </c>
      <c r="D374" s="3">
        <f t="shared" si="5"/>
        <v>0.6</v>
      </c>
      <c r="E374" s="1">
        <v>0.4</v>
      </c>
      <c r="F374" s="2">
        <v>0.28000000000000003</v>
      </c>
      <c r="G374" s="2">
        <v>0.36</v>
      </c>
      <c r="H374" s="2">
        <v>0.36</v>
      </c>
    </row>
    <row r="375" spans="1:8" x14ac:dyDescent="0.25">
      <c r="A375" s="1">
        <v>415</v>
      </c>
      <c r="B375" s="4">
        <v>8388281</v>
      </c>
      <c r="C375" s="3">
        <v>4.1799999999999997E-2</v>
      </c>
      <c r="D375" s="3">
        <f t="shared" si="5"/>
        <v>0.7</v>
      </c>
      <c r="E375" s="1">
        <v>0.3</v>
      </c>
      <c r="F375" s="2">
        <v>0.28000000000000003</v>
      </c>
      <c r="G375" s="2">
        <v>0.41</v>
      </c>
      <c r="H375" s="2">
        <v>0.31000000000000005</v>
      </c>
    </row>
    <row r="376" spans="1:8" x14ac:dyDescent="0.25">
      <c r="A376" s="1">
        <v>86</v>
      </c>
      <c r="B376" s="4">
        <v>3364261</v>
      </c>
      <c r="C376" s="3">
        <v>4.1700000000000001E-2</v>
      </c>
      <c r="D376" s="3">
        <f t="shared" si="5"/>
        <v>0.6</v>
      </c>
      <c r="E376" s="1">
        <v>0.4</v>
      </c>
      <c r="F376" s="2">
        <v>0.4</v>
      </c>
      <c r="G376" s="2">
        <v>0.27</v>
      </c>
      <c r="H376" s="2">
        <v>0.32999999999999996</v>
      </c>
    </row>
    <row r="377" spans="1:8" x14ac:dyDescent="0.25">
      <c r="A377" s="1">
        <v>553</v>
      </c>
      <c r="B377" s="4">
        <v>4053728</v>
      </c>
      <c r="C377" s="3">
        <v>4.1700000000000001E-2</v>
      </c>
      <c r="D377" s="3">
        <f t="shared" si="5"/>
        <v>0.6</v>
      </c>
      <c r="E377" s="1">
        <v>0.4</v>
      </c>
      <c r="F377" s="2">
        <v>0.26</v>
      </c>
      <c r="G377" s="2">
        <v>0.23</v>
      </c>
      <c r="H377" s="2">
        <v>0.51</v>
      </c>
    </row>
    <row r="378" spans="1:8" x14ac:dyDescent="0.25">
      <c r="A378" s="1">
        <v>973</v>
      </c>
      <c r="B378" s="4">
        <v>5711105</v>
      </c>
      <c r="C378" s="3">
        <v>4.1700000000000001E-2</v>
      </c>
      <c r="D378" s="3">
        <f t="shared" si="5"/>
        <v>0.6</v>
      </c>
      <c r="E378" s="1">
        <v>0.4</v>
      </c>
      <c r="F378" s="2">
        <v>0.24</v>
      </c>
      <c r="G378" s="2">
        <v>0.37</v>
      </c>
      <c r="H378" s="2">
        <v>0.39</v>
      </c>
    </row>
    <row r="379" spans="1:8" x14ac:dyDescent="0.25">
      <c r="A379" s="1">
        <v>387</v>
      </c>
      <c r="B379" s="4">
        <v>458358</v>
      </c>
      <c r="C379" s="3">
        <v>4.1599999999999998E-2</v>
      </c>
      <c r="D379" s="3">
        <f t="shared" si="5"/>
        <v>0.4</v>
      </c>
      <c r="E379" s="1">
        <v>0.6</v>
      </c>
      <c r="F379" s="2">
        <v>0.34</v>
      </c>
      <c r="G379" s="2">
        <v>0.49</v>
      </c>
      <c r="H379" s="2">
        <v>0.16999999999999998</v>
      </c>
    </row>
    <row r="380" spans="1:8" x14ac:dyDescent="0.25">
      <c r="A380" s="1">
        <v>509</v>
      </c>
      <c r="B380" s="4">
        <v>3393164</v>
      </c>
      <c r="C380" s="3">
        <v>4.1599999999999998E-2</v>
      </c>
      <c r="D380" s="3">
        <f t="shared" si="5"/>
        <v>0.6</v>
      </c>
      <c r="E380" s="1">
        <v>0.4</v>
      </c>
      <c r="F380" s="2">
        <v>0.2</v>
      </c>
      <c r="G380" s="2">
        <v>0.35</v>
      </c>
      <c r="H380" s="2">
        <v>0.45</v>
      </c>
    </row>
    <row r="381" spans="1:8" x14ac:dyDescent="0.25">
      <c r="A381" s="1">
        <v>832</v>
      </c>
      <c r="B381" s="4">
        <v>109236</v>
      </c>
      <c r="C381" s="3">
        <v>4.1500000000000002E-2</v>
      </c>
      <c r="D381" s="3">
        <f t="shared" si="5"/>
        <v>0.4</v>
      </c>
      <c r="E381" s="1">
        <v>0.6</v>
      </c>
      <c r="F381" s="2">
        <v>0.19</v>
      </c>
      <c r="G381" s="2">
        <v>0.27</v>
      </c>
      <c r="H381" s="2">
        <v>0.54</v>
      </c>
    </row>
    <row r="382" spans="1:8" x14ac:dyDescent="0.25">
      <c r="A382" s="1">
        <v>362</v>
      </c>
      <c r="B382" s="4">
        <v>9752783</v>
      </c>
      <c r="C382" s="3">
        <v>4.1399999999999999E-2</v>
      </c>
      <c r="D382" s="3">
        <f t="shared" si="5"/>
        <v>0.7</v>
      </c>
      <c r="E382" s="1">
        <v>0.3</v>
      </c>
      <c r="F382" s="2">
        <v>0.15</v>
      </c>
      <c r="G382" s="2">
        <v>0.37</v>
      </c>
      <c r="H382" s="2">
        <v>0.48</v>
      </c>
    </row>
    <row r="383" spans="1:8" x14ac:dyDescent="0.25">
      <c r="A383" s="1">
        <v>500</v>
      </c>
      <c r="B383" s="4">
        <v>2308965</v>
      </c>
      <c r="C383" s="3">
        <v>4.1399999999999999E-2</v>
      </c>
      <c r="D383" s="3">
        <f t="shared" si="5"/>
        <v>0.4</v>
      </c>
      <c r="E383" s="1">
        <v>0.6</v>
      </c>
      <c r="F383" s="2">
        <v>0.23</v>
      </c>
      <c r="G383" s="2">
        <v>0.31</v>
      </c>
      <c r="H383" s="2">
        <v>0.45999999999999996</v>
      </c>
    </row>
    <row r="384" spans="1:8" x14ac:dyDescent="0.25">
      <c r="A384" s="1">
        <v>72</v>
      </c>
      <c r="B384" s="4">
        <v>5015708</v>
      </c>
      <c r="C384" s="3">
        <v>4.1299999999999996E-2</v>
      </c>
      <c r="D384" s="3">
        <f t="shared" si="5"/>
        <v>0.6</v>
      </c>
      <c r="E384" s="1">
        <v>0.4</v>
      </c>
      <c r="F384" s="2">
        <v>0.2</v>
      </c>
      <c r="G384" s="2">
        <v>0.45</v>
      </c>
      <c r="H384" s="2">
        <v>0.35000000000000003</v>
      </c>
    </row>
    <row r="385" spans="1:8" x14ac:dyDescent="0.25">
      <c r="A385" s="1">
        <v>236</v>
      </c>
      <c r="B385" s="4">
        <v>8589558</v>
      </c>
      <c r="C385" s="3">
        <v>4.1299999999999996E-2</v>
      </c>
      <c r="D385" s="3">
        <f t="shared" si="5"/>
        <v>0.7</v>
      </c>
      <c r="E385" s="1">
        <v>0.3</v>
      </c>
      <c r="F385" s="2">
        <v>0.31</v>
      </c>
      <c r="G385" s="2">
        <v>0.33</v>
      </c>
      <c r="H385" s="2">
        <v>0.35999999999999993</v>
      </c>
    </row>
    <row r="386" spans="1:8" x14ac:dyDescent="0.25">
      <c r="A386" s="1">
        <v>932</v>
      </c>
      <c r="B386" s="4">
        <v>8988582</v>
      </c>
      <c r="C386" s="3">
        <v>4.1299999999999996E-2</v>
      </c>
      <c r="D386" s="3">
        <f t="shared" ref="D386:D449" si="6">1-E386</f>
        <v>0.7</v>
      </c>
      <c r="E386" s="1">
        <v>0.3</v>
      </c>
      <c r="F386" s="2">
        <v>0.15</v>
      </c>
      <c r="G386" s="2">
        <v>0.44</v>
      </c>
      <c r="H386" s="2">
        <v>0.41000000000000003</v>
      </c>
    </row>
    <row r="387" spans="1:8" x14ac:dyDescent="0.25">
      <c r="A387" s="1">
        <v>212</v>
      </c>
      <c r="B387" s="4">
        <v>3357818</v>
      </c>
      <c r="C387" s="3">
        <v>4.1200000000000001E-2</v>
      </c>
      <c r="D387" s="3">
        <f t="shared" si="6"/>
        <v>0.6</v>
      </c>
      <c r="E387" s="1">
        <v>0.4</v>
      </c>
      <c r="F387" s="2">
        <v>0.28000000000000003</v>
      </c>
      <c r="G387" s="2">
        <v>0.41</v>
      </c>
      <c r="H387" s="2">
        <v>0.31000000000000005</v>
      </c>
    </row>
    <row r="388" spans="1:8" x14ac:dyDescent="0.25">
      <c r="A388" s="1">
        <v>462</v>
      </c>
      <c r="B388" s="4">
        <v>5901276</v>
      </c>
      <c r="C388" s="3">
        <v>4.1200000000000001E-2</v>
      </c>
      <c r="D388" s="3">
        <f t="shared" si="6"/>
        <v>0.6</v>
      </c>
      <c r="E388" s="1">
        <v>0.4</v>
      </c>
      <c r="F388" s="2">
        <v>0.38</v>
      </c>
      <c r="G388" s="2">
        <v>0.34</v>
      </c>
      <c r="H388" s="2">
        <v>0.27999999999999992</v>
      </c>
    </row>
    <row r="389" spans="1:8" x14ac:dyDescent="0.25">
      <c r="A389" s="1">
        <v>776</v>
      </c>
      <c r="B389" s="4">
        <v>6899688</v>
      </c>
      <c r="C389" s="3">
        <v>4.1200000000000001E-2</v>
      </c>
      <c r="D389" s="3">
        <f t="shared" si="6"/>
        <v>0.6</v>
      </c>
      <c r="E389" s="1">
        <v>0.4</v>
      </c>
      <c r="F389" s="2">
        <v>0.44</v>
      </c>
      <c r="G389" s="2">
        <v>0.43</v>
      </c>
      <c r="H389" s="2">
        <v>0.13000000000000006</v>
      </c>
    </row>
    <row r="390" spans="1:8" x14ac:dyDescent="0.25">
      <c r="A390" s="1">
        <v>71</v>
      </c>
      <c r="B390" s="4">
        <v>5239156</v>
      </c>
      <c r="C390" s="3">
        <v>4.1100000000000005E-2</v>
      </c>
      <c r="D390" s="3">
        <f t="shared" si="6"/>
        <v>0.6</v>
      </c>
      <c r="E390" s="1">
        <v>0.4</v>
      </c>
      <c r="F390" s="2">
        <v>0.11</v>
      </c>
      <c r="G390" s="2">
        <v>0.5</v>
      </c>
      <c r="H390" s="2">
        <v>0.39</v>
      </c>
    </row>
    <row r="391" spans="1:8" x14ac:dyDescent="0.25">
      <c r="A391" s="1">
        <v>314</v>
      </c>
      <c r="B391" s="4">
        <v>8926821</v>
      </c>
      <c r="C391" s="3">
        <v>4.1100000000000005E-2</v>
      </c>
      <c r="D391" s="3">
        <f t="shared" si="6"/>
        <v>0.7</v>
      </c>
      <c r="E391" s="1">
        <v>0.3</v>
      </c>
      <c r="F391" s="2">
        <v>0.14000000000000001</v>
      </c>
      <c r="G391" s="2">
        <v>0.27</v>
      </c>
      <c r="H391" s="2">
        <v>0.59</v>
      </c>
    </row>
    <row r="392" spans="1:8" x14ac:dyDescent="0.25">
      <c r="A392" s="1">
        <v>485</v>
      </c>
      <c r="B392" s="4">
        <v>3525965</v>
      </c>
      <c r="C392" s="3">
        <v>4.1100000000000005E-2</v>
      </c>
      <c r="D392" s="3">
        <f t="shared" si="6"/>
        <v>0.6</v>
      </c>
      <c r="E392" s="1">
        <v>0.4</v>
      </c>
      <c r="F392" s="2">
        <v>0.24</v>
      </c>
      <c r="G392" s="2">
        <v>0.44</v>
      </c>
      <c r="H392" s="2">
        <v>0.32000000000000006</v>
      </c>
    </row>
    <row r="393" spans="1:8" x14ac:dyDescent="0.25">
      <c r="A393" s="1">
        <v>22</v>
      </c>
      <c r="B393" s="4">
        <v>2585299</v>
      </c>
      <c r="C393" s="3">
        <v>4.0999999999999995E-2</v>
      </c>
      <c r="D393" s="3">
        <f t="shared" si="6"/>
        <v>0.4</v>
      </c>
      <c r="E393" s="1">
        <v>0.6</v>
      </c>
      <c r="F393" s="2">
        <v>0.15</v>
      </c>
      <c r="G393" s="2">
        <v>0.31</v>
      </c>
      <c r="H393" s="2">
        <v>0.53999999999999992</v>
      </c>
    </row>
    <row r="394" spans="1:8" x14ac:dyDescent="0.25">
      <c r="A394" s="1">
        <v>310</v>
      </c>
      <c r="B394" s="4">
        <v>7993677</v>
      </c>
      <c r="C394" s="3">
        <v>4.0999999999999995E-2</v>
      </c>
      <c r="D394" s="3">
        <f t="shared" si="6"/>
        <v>0.7</v>
      </c>
      <c r="E394" s="1">
        <v>0.3</v>
      </c>
      <c r="F394" s="2">
        <v>0.1</v>
      </c>
      <c r="G394" s="2">
        <v>0.23</v>
      </c>
      <c r="H394" s="2">
        <v>0.67</v>
      </c>
    </row>
    <row r="395" spans="1:8" x14ac:dyDescent="0.25">
      <c r="A395" s="1">
        <v>716</v>
      </c>
      <c r="B395" s="4">
        <v>3828259</v>
      </c>
      <c r="C395" s="3">
        <v>4.0999999999999995E-2</v>
      </c>
      <c r="D395" s="3">
        <f t="shared" si="6"/>
        <v>0.6</v>
      </c>
      <c r="E395" s="1">
        <v>0.4</v>
      </c>
      <c r="F395" s="2">
        <v>0.21</v>
      </c>
      <c r="G395" s="2">
        <v>0.37</v>
      </c>
      <c r="H395" s="2">
        <v>0.42000000000000004</v>
      </c>
    </row>
    <row r="396" spans="1:8" x14ac:dyDescent="0.25">
      <c r="A396" s="1">
        <v>1018</v>
      </c>
      <c r="B396" s="4">
        <v>6813272</v>
      </c>
      <c r="C396" s="3">
        <v>4.0899999999999999E-2</v>
      </c>
      <c r="D396" s="3">
        <f t="shared" si="6"/>
        <v>0.6</v>
      </c>
      <c r="E396" s="1">
        <v>0.4</v>
      </c>
      <c r="F396" s="2">
        <v>0.26</v>
      </c>
      <c r="G396" s="2">
        <v>0.31</v>
      </c>
      <c r="H396" s="2">
        <v>0.42999999999999994</v>
      </c>
    </row>
    <row r="397" spans="1:8" x14ac:dyDescent="0.25">
      <c r="A397" s="1">
        <v>168</v>
      </c>
      <c r="B397" s="4">
        <v>9333159</v>
      </c>
      <c r="C397" s="3">
        <v>4.07E-2</v>
      </c>
      <c r="D397" s="3">
        <f t="shared" si="6"/>
        <v>0.7</v>
      </c>
      <c r="E397" s="1">
        <v>0.3</v>
      </c>
      <c r="F397" s="2">
        <v>0.15</v>
      </c>
      <c r="G397" s="2">
        <v>0.28000000000000003</v>
      </c>
      <c r="H397" s="2">
        <v>0.56999999999999995</v>
      </c>
    </row>
    <row r="398" spans="1:8" x14ac:dyDescent="0.25">
      <c r="A398" s="1">
        <v>560</v>
      </c>
      <c r="B398" s="4">
        <v>1280178</v>
      </c>
      <c r="C398" s="3">
        <v>4.07E-2</v>
      </c>
      <c r="D398" s="3">
        <f t="shared" si="6"/>
        <v>0.4</v>
      </c>
      <c r="E398" s="1">
        <v>0.6</v>
      </c>
      <c r="F398" s="2">
        <v>0.3</v>
      </c>
      <c r="G398" s="2">
        <v>0.46</v>
      </c>
      <c r="H398" s="2">
        <v>0.24000000000000005</v>
      </c>
    </row>
    <row r="399" spans="1:8" x14ac:dyDescent="0.25">
      <c r="A399" s="1">
        <v>941</v>
      </c>
      <c r="B399" s="4">
        <v>2854310</v>
      </c>
      <c r="C399" s="3">
        <v>4.07E-2</v>
      </c>
      <c r="D399" s="3">
        <f t="shared" si="6"/>
        <v>0.4</v>
      </c>
      <c r="E399" s="1">
        <v>0.6</v>
      </c>
      <c r="F399" s="2">
        <v>0.24</v>
      </c>
      <c r="G399" s="2">
        <v>0.39</v>
      </c>
      <c r="H399" s="2">
        <v>0.37</v>
      </c>
    </row>
    <row r="400" spans="1:8" x14ac:dyDescent="0.25">
      <c r="A400" s="1">
        <v>164</v>
      </c>
      <c r="B400" s="4">
        <v>284177</v>
      </c>
      <c r="C400" s="3">
        <v>4.0500000000000001E-2</v>
      </c>
      <c r="D400" s="3">
        <f t="shared" si="6"/>
        <v>0.4</v>
      </c>
      <c r="E400" s="1">
        <v>0.6</v>
      </c>
      <c r="F400" s="2">
        <v>0.32</v>
      </c>
      <c r="G400" s="2">
        <v>0.3</v>
      </c>
      <c r="H400" s="2">
        <v>0.37999999999999995</v>
      </c>
    </row>
    <row r="401" spans="1:8" x14ac:dyDescent="0.25">
      <c r="A401" s="1">
        <v>303</v>
      </c>
      <c r="B401" s="4">
        <v>637809</v>
      </c>
      <c r="C401" s="3">
        <v>4.0500000000000001E-2</v>
      </c>
      <c r="D401" s="3">
        <f t="shared" si="6"/>
        <v>0.4</v>
      </c>
      <c r="E401" s="1">
        <v>0.6</v>
      </c>
      <c r="F401" s="2">
        <v>0.21</v>
      </c>
      <c r="G401" s="2">
        <v>0.28000000000000003</v>
      </c>
      <c r="H401" s="2">
        <v>0.51</v>
      </c>
    </row>
    <row r="402" spans="1:8" x14ac:dyDescent="0.25">
      <c r="A402" s="1">
        <v>904</v>
      </c>
      <c r="B402" s="4">
        <v>5264984</v>
      </c>
      <c r="C402" s="3">
        <v>4.0500000000000001E-2</v>
      </c>
      <c r="D402" s="3">
        <f t="shared" si="6"/>
        <v>0.6</v>
      </c>
      <c r="E402" s="1">
        <v>0.4</v>
      </c>
      <c r="F402" s="2">
        <v>0.23</v>
      </c>
      <c r="G402" s="2">
        <v>0.38</v>
      </c>
      <c r="H402" s="2">
        <v>0.39</v>
      </c>
    </row>
    <row r="403" spans="1:8" x14ac:dyDescent="0.25">
      <c r="A403" s="1">
        <v>968</v>
      </c>
      <c r="B403" s="4">
        <v>5012196</v>
      </c>
      <c r="C403" s="3">
        <v>4.0500000000000001E-2</v>
      </c>
      <c r="D403" s="3">
        <f t="shared" si="6"/>
        <v>0.6</v>
      </c>
      <c r="E403" s="1">
        <v>0.4</v>
      </c>
      <c r="F403" s="2">
        <v>0.2</v>
      </c>
      <c r="G403" s="2">
        <v>0.39</v>
      </c>
      <c r="H403" s="2">
        <v>0.41</v>
      </c>
    </row>
    <row r="404" spans="1:8" x14ac:dyDescent="0.25">
      <c r="A404" s="1">
        <v>158</v>
      </c>
      <c r="B404" s="4">
        <v>7524091</v>
      </c>
      <c r="C404" s="3">
        <v>4.0399999999999998E-2</v>
      </c>
      <c r="D404" s="3">
        <f t="shared" si="6"/>
        <v>0.7</v>
      </c>
      <c r="E404" s="1">
        <v>0.3</v>
      </c>
      <c r="F404" s="2">
        <v>0.12</v>
      </c>
      <c r="G404" s="2">
        <v>0.22</v>
      </c>
      <c r="H404" s="2">
        <v>0.66</v>
      </c>
    </row>
    <row r="405" spans="1:8" x14ac:dyDescent="0.25">
      <c r="A405" s="1">
        <v>143</v>
      </c>
      <c r="B405" s="4">
        <v>2439557</v>
      </c>
      <c r="C405" s="3">
        <v>4.0300000000000002E-2</v>
      </c>
      <c r="D405" s="3">
        <f t="shared" si="6"/>
        <v>0.4</v>
      </c>
      <c r="E405" s="1">
        <v>0.6</v>
      </c>
      <c r="F405" s="2">
        <v>0.25</v>
      </c>
      <c r="G405" s="2">
        <v>0.28999999999999998</v>
      </c>
      <c r="H405" s="2">
        <v>0.45999999999999996</v>
      </c>
    </row>
    <row r="406" spans="1:8" x14ac:dyDescent="0.25">
      <c r="A406" s="1">
        <v>428</v>
      </c>
      <c r="B406" s="4">
        <v>8518477</v>
      </c>
      <c r="C406" s="3">
        <v>4.0300000000000002E-2</v>
      </c>
      <c r="D406" s="3">
        <f t="shared" si="6"/>
        <v>0.7</v>
      </c>
      <c r="E406" s="1">
        <v>0.3</v>
      </c>
      <c r="F406" s="2">
        <v>0.28999999999999998</v>
      </c>
      <c r="G406" s="2">
        <v>0.43</v>
      </c>
      <c r="H406" s="2">
        <v>0.28000000000000008</v>
      </c>
    </row>
    <row r="407" spans="1:8" x14ac:dyDescent="0.25">
      <c r="A407" s="1">
        <v>597</v>
      </c>
      <c r="B407" s="4">
        <v>5848840</v>
      </c>
      <c r="C407" s="3">
        <v>4.0300000000000002E-2</v>
      </c>
      <c r="D407" s="3">
        <f t="shared" si="6"/>
        <v>0.6</v>
      </c>
      <c r="E407" s="1">
        <v>0.4</v>
      </c>
      <c r="F407" s="2">
        <v>0.1</v>
      </c>
      <c r="G407" s="2">
        <v>0.33</v>
      </c>
      <c r="H407" s="2">
        <v>0.56999999999999995</v>
      </c>
    </row>
    <row r="408" spans="1:8" x14ac:dyDescent="0.25">
      <c r="A408" s="1">
        <v>238</v>
      </c>
      <c r="B408" s="4">
        <v>2336465</v>
      </c>
      <c r="C408" s="3">
        <v>4.0199999999999993E-2</v>
      </c>
      <c r="D408" s="3">
        <f t="shared" si="6"/>
        <v>0.4</v>
      </c>
      <c r="E408" s="1">
        <v>0.6</v>
      </c>
      <c r="F408" s="2">
        <v>0.36</v>
      </c>
      <c r="G408" s="2">
        <v>0.34</v>
      </c>
      <c r="H408" s="2">
        <v>0.29999999999999993</v>
      </c>
    </row>
    <row r="409" spans="1:8" x14ac:dyDescent="0.25">
      <c r="A409" s="1">
        <v>549</v>
      </c>
      <c r="B409" s="4">
        <v>5427316</v>
      </c>
      <c r="C409" s="3">
        <v>4.0199999999999993E-2</v>
      </c>
      <c r="D409" s="3">
        <f t="shared" si="6"/>
        <v>0.6</v>
      </c>
      <c r="E409" s="1">
        <v>0.4</v>
      </c>
      <c r="F409" s="2">
        <v>0.31</v>
      </c>
      <c r="G409" s="2">
        <v>0.31</v>
      </c>
      <c r="H409" s="2">
        <v>0.37999999999999995</v>
      </c>
    </row>
    <row r="410" spans="1:8" x14ac:dyDescent="0.25">
      <c r="A410" s="1">
        <v>101</v>
      </c>
      <c r="B410" s="4">
        <v>2853907</v>
      </c>
      <c r="C410" s="3">
        <v>4.0099999999999997E-2</v>
      </c>
      <c r="D410" s="3">
        <f t="shared" si="6"/>
        <v>0.4</v>
      </c>
      <c r="E410" s="1">
        <v>0.6</v>
      </c>
      <c r="F410" s="2">
        <v>0.45</v>
      </c>
      <c r="G410" s="2">
        <v>0.25</v>
      </c>
      <c r="H410" s="2">
        <v>0.3</v>
      </c>
    </row>
    <row r="411" spans="1:8" x14ac:dyDescent="0.25">
      <c r="A411" s="1">
        <v>493</v>
      </c>
      <c r="B411" s="4">
        <v>221875</v>
      </c>
      <c r="C411" s="3">
        <v>0.04</v>
      </c>
      <c r="D411" s="3">
        <f t="shared" si="6"/>
        <v>0.4</v>
      </c>
      <c r="E411" s="1">
        <v>0.6</v>
      </c>
      <c r="F411" s="2">
        <v>0.37</v>
      </c>
      <c r="G411" s="2">
        <v>0.21</v>
      </c>
      <c r="H411" s="2">
        <v>0.42000000000000004</v>
      </c>
    </row>
    <row r="412" spans="1:8" x14ac:dyDescent="0.25">
      <c r="A412" s="1">
        <v>277</v>
      </c>
      <c r="B412" s="4">
        <v>7759055</v>
      </c>
      <c r="C412" s="3">
        <v>3.9800000000000002E-2</v>
      </c>
      <c r="D412" s="3">
        <f t="shared" si="6"/>
        <v>0.7</v>
      </c>
      <c r="E412" s="1">
        <v>0.3</v>
      </c>
      <c r="F412" s="2">
        <v>0.39</v>
      </c>
      <c r="G412" s="2">
        <v>0.35</v>
      </c>
      <c r="H412" s="2">
        <v>0.26</v>
      </c>
    </row>
    <row r="413" spans="1:8" x14ac:dyDescent="0.25">
      <c r="A413" s="1">
        <v>266</v>
      </c>
      <c r="B413" s="4">
        <v>8091614</v>
      </c>
      <c r="C413" s="3">
        <v>3.9699999999999999E-2</v>
      </c>
      <c r="D413" s="3">
        <f t="shared" si="6"/>
        <v>0.7</v>
      </c>
      <c r="E413" s="1">
        <v>0.3</v>
      </c>
      <c r="F413" s="2">
        <v>0.39</v>
      </c>
      <c r="G413" s="2">
        <v>0.41</v>
      </c>
      <c r="H413" s="2">
        <v>0.20000000000000007</v>
      </c>
    </row>
    <row r="414" spans="1:8" x14ac:dyDescent="0.25">
      <c r="A414" s="1">
        <v>544</v>
      </c>
      <c r="B414" s="4">
        <v>934468</v>
      </c>
      <c r="C414" s="3">
        <v>3.9699999999999999E-2</v>
      </c>
      <c r="D414" s="3">
        <f t="shared" si="6"/>
        <v>0.4</v>
      </c>
      <c r="E414" s="1">
        <v>0.6</v>
      </c>
      <c r="F414" s="2">
        <v>0.28999999999999998</v>
      </c>
      <c r="G414" s="2">
        <v>0.32</v>
      </c>
      <c r="H414" s="2">
        <v>0.38999999999999996</v>
      </c>
    </row>
    <row r="415" spans="1:8" x14ac:dyDescent="0.25">
      <c r="A415" s="1">
        <v>604</v>
      </c>
      <c r="B415" s="4">
        <v>7957105</v>
      </c>
      <c r="C415" s="3">
        <v>3.9699999999999999E-2</v>
      </c>
      <c r="D415" s="3">
        <f t="shared" si="6"/>
        <v>0.7</v>
      </c>
      <c r="E415" s="1">
        <v>0.3</v>
      </c>
      <c r="F415" s="2">
        <v>0.24</v>
      </c>
      <c r="G415" s="2">
        <v>0.33</v>
      </c>
      <c r="H415" s="2">
        <v>0.42999999999999994</v>
      </c>
    </row>
    <row r="416" spans="1:8" x14ac:dyDescent="0.25">
      <c r="A416" s="1">
        <v>806</v>
      </c>
      <c r="B416" s="4">
        <v>6995264</v>
      </c>
      <c r="C416" s="3">
        <v>3.9699999999999999E-2</v>
      </c>
      <c r="D416" s="3">
        <f t="shared" si="6"/>
        <v>0.6</v>
      </c>
      <c r="E416" s="1">
        <v>0.4</v>
      </c>
      <c r="F416" s="2">
        <v>0.2</v>
      </c>
      <c r="G416" s="2">
        <v>0.44</v>
      </c>
      <c r="H416" s="2">
        <v>0.36000000000000004</v>
      </c>
    </row>
    <row r="417" spans="1:8" x14ac:dyDescent="0.25">
      <c r="A417" s="1">
        <v>863</v>
      </c>
      <c r="B417" s="4">
        <v>7895075</v>
      </c>
      <c r="C417" s="3">
        <v>3.9699999999999999E-2</v>
      </c>
      <c r="D417" s="3">
        <f t="shared" si="6"/>
        <v>0.7</v>
      </c>
      <c r="E417" s="1">
        <v>0.3</v>
      </c>
      <c r="F417" s="2">
        <v>0.16</v>
      </c>
      <c r="G417" s="2">
        <v>0.44</v>
      </c>
      <c r="H417" s="2">
        <v>0.4</v>
      </c>
    </row>
    <row r="418" spans="1:8" x14ac:dyDescent="0.25">
      <c r="A418" s="1">
        <v>644</v>
      </c>
      <c r="B418" s="4">
        <v>3076822</v>
      </c>
      <c r="C418" s="3">
        <v>3.9599999999999996E-2</v>
      </c>
      <c r="D418" s="3">
        <f t="shared" si="6"/>
        <v>0.6</v>
      </c>
      <c r="E418" s="1">
        <v>0.4</v>
      </c>
      <c r="F418" s="2">
        <v>0.34</v>
      </c>
      <c r="G418" s="2">
        <v>0.4</v>
      </c>
      <c r="H418" s="2">
        <v>0.25999999999999995</v>
      </c>
    </row>
    <row r="419" spans="1:8" x14ac:dyDescent="0.25">
      <c r="A419" s="1">
        <v>384</v>
      </c>
      <c r="B419" s="4">
        <v>9444314</v>
      </c>
      <c r="C419" s="3">
        <v>3.95E-2</v>
      </c>
      <c r="D419" s="3">
        <f t="shared" si="6"/>
        <v>0.7</v>
      </c>
      <c r="E419" s="1">
        <v>0.3</v>
      </c>
      <c r="F419" s="2">
        <v>0.39</v>
      </c>
      <c r="G419" s="2">
        <v>0.25</v>
      </c>
      <c r="H419" s="2">
        <v>0.36</v>
      </c>
    </row>
    <row r="420" spans="1:8" x14ac:dyDescent="0.25">
      <c r="A420" s="1">
        <v>699</v>
      </c>
      <c r="B420" s="4">
        <v>5812048</v>
      </c>
      <c r="C420" s="3">
        <v>3.95E-2</v>
      </c>
      <c r="D420" s="3">
        <f t="shared" si="6"/>
        <v>0.6</v>
      </c>
      <c r="E420" s="1">
        <v>0.4</v>
      </c>
      <c r="F420" s="2">
        <v>0.37</v>
      </c>
      <c r="G420" s="2">
        <v>0.3</v>
      </c>
      <c r="H420" s="2">
        <v>0.32999999999999996</v>
      </c>
    </row>
    <row r="421" spans="1:8" x14ac:dyDescent="0.25">
      <c r="A421" s="1">
        <v>13</v>
      </c>
      <c r="B421" s="4">
        <v>5492636</v>
      </c>
      <c r="C421" s="3">
        <v>3.9399999999999998E-2</v>
      </c>
      <c r="D421" s="3">
        <f t="shared" si="6"/>
        <v>0.6</v>
      </c>
      <c r="E421" s="1">
        <v>0.4</v>
      </c>
      <c r="F421" s="2">
        <v>0.19</v>
      </c>
      <c r="G421" s="2">
        <v>0.23</v>
      </c>
      <c r="H421" s="2">
        <v>0.58000000000000007</v>
      </c>
    </row>
    <row r="422" spans="1:8" x14ac:dyDescent="0.25">
      <c r="A422" s="1">
        <v>36</v>
      </c>
      <c r="B422" s="4">
        <v>1775943</v>
      </c>
      <c r="C422" s="3">
        <v>3.9300000000000002E-2</v>
      </c>
      <c r="D422" s="3">
        <f t="shared" si="6"/>
        <v>0.4</v>
      </c>
      <c r="E422" s="1">
        <v>0.6</v>
      </c>
      <c r="F422" s="2">
        <v>0.28000000000000003</v>
      </c>
      <c r="G422" s="2">
        <v>0.21</v>
      </c>
      <c r="H422" s="2">
        <v>0.51</v>
      </c>
    </row>
    <row r="423" spans="1:8" x14ac:dyDescent="0.25">
      <c r="A423" s="1">
        <v>134</v>
      </c>
      <c r="B423" s="4">
        <v>3533359</v>
      </c>
      <c r="C423" s="3">
        <v>3.9300000000000002E-2</v>
      </c>
      <c r="D423" s="3">
        <f t="shared" si="6"/>
        <v>0.6</v>
      </c>
      <c r="E423" s="1">
        <v>0.4</v>
      </c>
      <c r="F423" s="2">
        <v>0.27</v>
      </c>
      <c r="G423" s="2">
        <v>0.32</v>
      </c>
      <c r="H423" s="2">
        <v>0.40999999999999992</v>
      </c>
    </row>
    <row r="424" spans="1:8" x14ac:dyDescent="0.25">
      <c r="A424" s="1">
        <v>342</v>
      </c>
      <c r="B424" s="4">
        <v>4811568</v>
      </c>
      <c r="C424" s="3">
        <v>3.9300000000000002E-2</v>
      </c>
      <c r="D424" s="3">
        <f t="shared" si="6"/>
        <v>0.6</v>
      </c>
      <c r="E424" s="1">
        <v>0.4</v>
      </c>
      <c r="F424" s="2">
        <v>0.3</v>
      </c>
      <c r="G424" s="2">
        <v>0.47</v>
      </c>
      <c r="H424" s="2">
        <v>0.23000000000000004</v>
      </c>
    </row>
    <row r="425" spans="1:8" x14ac:dyDescent="0.25">
      <c r="A425" s="1">
        <v>661</v>
      </c>
      <c r="B425" s="4">
        <v>8406105</v>
      </c>
      <c r="C425" s="3">
        <v>3.9300000000000002E-2</v>
      </c>
      <c r="D425" s="3">
        <f t="shared" si="6"/>
        <v>0.7</v>
      </c>
      <c r="E425" s="1">
        <v>0.3</v>
      </c>
      <c r="F425" s="2">
        <v>0.19</v>
      </c>
      <c r="G425" s="2">
        <v>0.27</v>
      </c>
      <c r="H425" s="2">
        <v>0.54</v>
      </c>
    </row>
    <row r="426" spans="1:8" x14ac:dyDescent="0.25">
      <c r="A426" s="1">
        <v>850</v>
      </c>
      <c r="B426" s="4">
        <v>1772827</v>
      </c>
      <c r="C426" s="3">
        <v>3.9300000000000002E-2</v>
      </c>
      <c r="D426" s="3">
        <f t="shared" si="6"/>
        <v>0.4</v>
      </c>
      <c r="E426" s="1">
        <v>0.6</v>
      </c>
      <c r="F426" s="2">
        <v>0.4</v>
      </c>
      <c r="G426" s="2">
        <v>0.21</v>
      </c>
      <c r="H426" s="2">
        <v>0.39</v>
      </c>
    </row>
    <row r="427" spans="1:8" x14ac:dyDescent="0.25">
      <c r="A427" s="1">
        <v>274</v>
      </c>
      <c r="B427" s="4">
        <v>2177419</v>
      </c>
      <c r="C427" s="3">
        <v>3.9199999999999999E-2</v>
      </c>
      <c r="D427" s="3">
        <f t="shared" si="6"/>
        <v>0.4</v>
      </c>
      <c r="E427" s="1">
        <v>0.6</v>
      </c>
      <c r="F427" s="2">
        <v>0.43</v>
      </c>
      <c r="G427" s="2">
        <v>0.48</v>
      </c>
      <c r="H427" s="2">
        <v>9.0000000000000024E-2</v>
      </c>
    </row>
    <row r="428" spans="1:8" x14ac:dyDescent="0.25">
      <c r="A428" s="1">
        <v>946</v>
      </c>
      <c r="B428" s="4">
        <v>7199031</v>
      </c>
      <c r="C428" s="3">
        <v>3.9199999999999999E-2</v>
      </c>
      <c r="D428" s="3">
        <f t="shared" si="6"/>
        <v>0.7</v>
      </c>
      <c r="E428" s="1">
        <v>0.3</v>
      </c>
      <c r="F428" s="2">
        <v>0.36</v>
      </c>
      <c r="G428" s="2">
        <v>0.32</v>
      </c>
      <c r="H428" s="2">
        <v>0.31999999999999995</v>
      </c>
    </row>
    <row r="429" spans="1:8" x14ac:dyDescent="0.25">
      <c r="A429" s="1">
        <v>491</v>
      </c>
      <c r="B429" s="4">
        <v>1077859</v>
      </c>
      <c r="C429" s="3">
        <v>3.9100000000000003E-2</v>
      </c>
      <c r="D429" s="3">
        <f t="shared" si="6"/>
        <v>0.4</v>
      </c>
      <c r="E429" s="1">
        <v>0.6</v>
      </c>
      <c r="F429" s="2">
        <v>0.13</v>
      </c>
      <c r="G429" s="2">
        <v>0.3</v>
      </c>
      <c r="H429" s="2">
        <v>0.56999999999999995</v>
      </c>
    </row>
    <row r="430" spans="1:8" x14ac:dyDescent="0.25">
      <c r="A430" s="1">
        <v>810</v>
      </c>
      <c r="B430" s="4">
        <v>6051975</v>
      </c>
      <c r="C430" s="3">
        <v>3.9E-2</v>
      </c>
      <c r="D430" s="3">
        <f t="shared" si="6"/>
        <v>0.6</v>
      </c>
      <c r="E430" s="1">
        <v>0.4</v>
      </c>
      <c r="F430" s="2">
        <v>0.17</v>
      </c>
      <c r="G430" s="2">
        <v>0.24</v>
      </c>
      <c r="H430" s="2">
        <v>0.59</v>
      </c>
    </row>
    <row r="431" spans="1:8" x14ac:dyDescent="0.25">
      <c r="A431" s="1">
        <v>901</v>
      </c>
      <c r="B431" s="4">
        <v>2399118</v>
      </c>
      <c r="C431" s="3">
        <v>3.9E-2</v>
      </c>
      <c r="D431" s="3">
        <f t="shared" si="6"/>
        <v>0.4</v>
      </c>
      <c r="E431" s="1">
        <v>0.6</v>
      </c>
      <c r="F431" s="2">
        <v>0.13</v>
      </c>
      <c r="G431" s="2">
        <v>0.41</v>
      </c>
      <c r="H431" s="2">
        <v>0.46000000000000008</v>
      </c>
    </row>
    <row r="432" spans="1:8" x14ac:dyDescent="0.25">
      <c r="A432" s="1">
        <v>1021</v>
      </c>
      <c r="B432" s="4">
        <v>6663568</v>
      </c>
      <c r="C432" s="3">
        <v>3.9E-2</v>
      </c>
      <c r="D432" s="3">
        <f t="shared" si="6"/>
        <v>0.6</v>
      </c>
      <c r="E432" s="1">
        <v>0.4</v>
      </c>
      <c r="F432" s="2">
        <v>0.17</v>
      </c>
      <c r="G432" s="2">
        <v>0.49</v>
      </c>
      <c r="H432" s="2">
        <v>0.33999999999999997</v>
      </c>
    </row>
    <row r="433" spans="1:8" x14ac:dyDescent="0.25">
      <c r="A433" s="1">
        <v>255</v>
      </c>
      <c r="B433" s="4">
        <v>5497017</v>
      </c>
      <c r="C433" s="3">
        <v>3.8900000000000004E-2</v>
      </c>
      <c r="D433" s="3">
        <f t="shared" si="6"/>
        <v>0.6</v>
      </c>
      <c r="E433" s="1">
        <v>0.4</v>
      </c>
      <c r="F433" s="2">
        <v>0.24</v>
      </c>
      <c r="G433" s="2">
        <v>0.36</v>
      </c>
      <c r="H433" s="2">
        <v>0.4</v>
      </c>
    </row>
    <row r="434" spans="1:8" x14ac:dyDescent="0.25">
      <c r="A434" s="1">
        <v>627</v>
      </c>
      <c r="B434" s="4">
        <v>1205179</v>
      </c>
      <c r="C434" s="3">
        <v>3.8900000000000004E-2</v>
      </c>
      <c r="D434" s="3">
        <f t="shared" si="6"/>
        <v>0.4</v>
      </c>
      <c r="E434" s="1">
        <v>0.6</v>
      </c>
      <c r="F434" s="2">
        <v>0.32</v>
      </c>
      <c r="G434" s="2">
        <v>0.43</v>
      </c>
      <c r="H434" s="2">
        <v>0.25000000000000006</v>
      </c>
    </row>
    <row r="435" spans="1:8" x14ac:dyDescent="0.25">
      <c r="A435" s="1">
        <v>735</v>
      </c>
      <c r="B435" s="4">
        <v>4962947</v>
      </c>
      <c r="C435" s="3">
        <v>3.8900000000000004E-2</v>
      </c>
      <c r="D435" s="3">
        <f t="shared" si="6"/>
        <v>0.6</v>
      </c>
      <c r="E435" s="1">
        <v>0.4</v>
      </c>
      <c r="F435" s="2">
        <v>0.15</v>
      </c>
      <c r="G435" s="2">
        <v>0.37</v>
      </c>
      <c r="H435" s="2">
        <v>0.48</v>
      </c>
    </row>
    <row r="436" spans="1:8" x14ac:dyDescent="0.25">
      <c r="A436" s="1">
        <v>835</v>
      </c>
      <c r="B436" s="4">
        <v>9162732</v>
      </c>
      <c r="C436" s="3">
        <v>3.8900000000000004E-2</v>
      </c>
      <c r="D436" s="3">
        <f t="shared" si="6"/>
        <v>0.7</v>
      </c>
      <c r="E436" s="1">
        <v>0.3</v>
      </c>
      <c r="F436" s="2">
        <v>0.35</v>
      </c>
      <c r="G436" s="2">
        <v>0.46</v>
      </c>
      <c r="H436" s="2">
        <v>0.19000000000000006</v>
      </c>
    </row>
    <row r="437" spans="1:8" x14ac:dyDescent="0.25">
      <c r="A437" s="1">
        <v>641</v>
      </c>
      <c r="B437" s="4">
        <v>1424323</v>
      </c>
      <c r="C437" s="3">
        <v>3.8800000000000001E-2</v>
      </c>
      <c r="D437" s="3">
        <f t="shared" si="6"/>
        <v>0.4</v>
      </c>
      <c r="E437" s="1">
        <v>0.6</v>
      </c>
      <c r="F437" s="2">
        <v>0.16</v>
      </c>
      <c r="G437" s="2">
        <v>0.36</v>
      </c>
      <c r="H437" s="2">
        <v>0.48</v>
      </c>
    </row>
    <row r="438" spans="1:8" x14ac:dyDescent="0.25">
      <c r="A438" s="1">
        <v>214</v>
      </c>
      <c r="B438" s="4">
        <v>6037922</v>
      </c>
      <c r="C438" s="3">
        <v>3.8699999999999998E-2</v>
      </c>
      <c r="D438" s="3">
        <f t="shared" si="6"/>
        <v>0.6</v>
      </c>
      <c r="E438" s="1">
        <v>0.4</v>
      </c>
      <c r="F438" s="2">
        <v>0.36</v>
      </c>
      <c r="G438" s="2">
        <v>0.47</v>
      </c>
      <c r="H438" s="2">
        <v>0.17000000000000004</v>
      </c>
    </row>
    <row r="439" spans="1:8" x14ac:dyDescent="0.25">
      <c r="A439" s="1">
        <v>819</v>
      </c>
      <c r="B439" s="4">
        <v>4808842</v>
      </c>
      <c r="C439" s="3">
        <v>3.8599999999999995E-2</v>
      </c>
      <c r="D439" s="3">
        <f t="shared" si="6"/>
        <v>0.6</v>
      </c>
      <c r="E439" s="1">
        <v>0.4</v>
      </c>
      <c r="F439" s="2">
        <v>0.26</v>
      </c>
      <c r="G439" s="2">
        <v>0.28999999999999998</v>
      </c>
      <c r="H439" s="2">
        <v>0.44999999999999996</v>
      </c>
    </row>
    <row r="440" spans="1:8" x14ac:dyDescent="0.25">
      <c r="A440" s="1">
        <v>337</v>
      </c>
      <c r="B440" s="4">
        <v>6819699</v>
      </c>
      <c r="C440" s="3">
        <v>3.8399999999999997E-2</v>
      </c>
      <c r="D440" s="3">
        <f t="shared" si="6"/>
        <v>0.6</v>
      </c>
      <c r="E440" s="1">
        <v>0.4</v>
      </c>
      <c r="F440" s="2">
        <v>0.25</v>
      </c>
      <c r="G440" s="2">
        <v>0.44</v>
      </c>
      <c r="H440" s="2">
        <v>0.31000000000000005</v>
      </c>
    </row>
    <row r="441" spans="1:8" x14ac:dyDescent="0.25">
      <c r="A441" s="1">
        <v>188</v>
      </c>
      <c r="B441" s="4">
        <v>5027438</v>
      </c>
      <c r="C441" s="3">
        <v>3.8300000000000001E-2</v>
      </c>
      <c r="D441" s="3">
        <f t="shared" si="6"/>
        <v>0.6</v>
      </c>
      <c r="E441" s="1">
        <v>0.4</v>
      </c>
      <c r="F441" s="2">
        <v>0.45</v>
      </c>
      <c r="G441" s="2">
        <v>0.48</v>
      </c>
      <c r="H441" s="2">
        <v>7.0000000000000007E-2</v>
      </c>
    </row>
    <row r="442" spans="1:8" x14ac:dyDescent="0.25">
      <c r="A442" s="1">
        <v>268</v>
      </c>
      <c r="B442" s="4">
        <v>1352553</v>
      </c>
      <c r="C442" s="3">
        <v>3.8300000000000001E-2</v>
      </c>
      <c r="D442" s="3">
        <f t="shared" si="6"/>
        <v>0.4</v>
      </c>
      <c r="E442" s="1">
        <v>0.6</v>
      </c>
      <c r="F442" s="2">
        <v>0.39</v>
      </c>
      <c r="G442" s="2">
        <v>0.27</v>
      </c>
      <c r="H442" s="2">
        <v>0.33999999999999997</v>
      </c>
    </row>
    <row r="443" spans="1:8" x14ac:dyDescent="0.25">
      <c r="A443" s="1">
        <v>730</v>
      </c>
      <c r="B443" s="4">
        <v>5998083</v>
      </c>
      <c r="C443" s="3">
        <v>3.8300000000000001E-2</v>
      </c>
      <c r="D443" s="3">
        <f t="shared" si="6"/>
        <v>0.6</v>
      </c>
      <c r="E443" s="1">
        <v>0.4</v>
      </c>
      <c r="F443" s="2">
        <v>0.28000000000000003</v>
      </c>
      <c r="G443" s="2">
        <v>0.5</v>
      </c>
      <c r="H443" s="2">
        <v>0.21999999999999997</v>
      </c>
    </row>
    <row r="444" spans="1:8" x14ac:dyDescent="0.25">
      <c r="A444" s="1">
        <v>792</v>
      </c>
      <c r="B444" s="4">
        <v>2736064</v>
      </c>
      <c r="C444" s="3">
        <v>3.8300000000000001E-2</v>
      </c>
      <c r="D444" s="3">
        <f t="shared" si="6"/>
        <v>0.4</v>
      </c>
      <c r="E444" s="1">
        <v>0.6</v>
      </c>
      <c r="F444" s="2">
        <v>0.21</v>
      </c>
      <c r="G444" s="2">
        <v>0.42</v>
      </c>
      <c r="H444" s="2">
        <v>0.37000000000000011</v>
      </c>
    </row>
    <row r="445" spans="1:8" x14ac:dyDescent="0.25">
      <c r="A445" s="1">
        <v>79</v>
      </c>
      <c r="B445" s="4">
        <v>4603743</v>
      </c>
      <c r="C445" s="3">
        <v>3.8199999999999998E-2</v>
      </c>
      <c r="D445" s="3">
        <f t="shared" si="6"/>
        <v>0.6</v>
      </c>
      <c r="E445" s="1">
        <v>0.4</v>
      </c>
      <c r="F445" s="2">
        <v>0.14000000000000001</v>
      </c>
      <c r="G445" s="2">
        <v>0.43</v>
      </c>
      <c r="H445" s="2">
        <v>0.43000000000000005</v>
      </c>
    </row>
    <row r="446" spans="1:8" x14ac:dyDescent="0.25">
      <c r="A446" s="1">
        <v>153</v>
      </c>
      <c r="B446" s="4">
        <v>6551535</v>
      </c>
      <c r="C446" s="3">
        <v>3.8199999999999998E-2</v>
      </c>
      <c r="D446" s="3">
        <f t="shared" si="6"/>
        <v>0.6</v>
      </c>
      <c r="E446" s="1">
        <v>0.4</v>
      </c>
      <c r="F446" s="2">
        <v>0.17</v>
      </c>
      <c r="G446" s="2">
        <v>0.36</v>
      </c>
      <c r="H446" s="2">
        <v>0.47</v>
      </c>
    </row>
    <row r="447" spans="1:8" x14ac:dyDescent="0.25">
      <c r="A447" s="1">
        <v>704</v>
      </c>
      <c r="B447" s="4">
        <v>9128984</v>
      </c>
      <c r="C447" s="3">
        <v>3.8199999999999998E-2</v>
      </c>
      <c r="D447" s="3">
        <f t="shared" si="6"/>
        <v>0.7</v>
      </c>
      <c r="E447" s="1">
        <v>0.3</v>
      </c>
      <c r="F447" s="2">
        <v>0.36</v>
      </c>
      <c r="G447" s="2">
        <v>0.31</v>
      </c>
      <c r="H447" s="2">
        <v>0.32999999999999996</v>
      </c>
    </row>
    <row r="448" spans="1:8" x14ac:dyDescent="0.25">
      <c r="A448" s="1">
        <v>518</v>
      </c>
      <c r="B448" s="4">
        <v>1940442</v>
      </c>
      <c r="C448" s="3">
        <v>3.8100000000000002E-2</v>
      </c>
      <c r="D448" s="3">
        <f t="shared" si="6"/>
        <v>0.4</v>
      </c>
      <c r="E448" s="1">
        <v>0.6</v>
      </c>
      <c r="F448" s="2">
        <v>0.43</v>
      </c>
      <c r="G448" s="2">
        <v>0.37</v>
      </c>
      <c r="H448" s="2">
        <v>0.2</v>
      </c>
    </row>
    <row r="449" spans="1:8" x14ac:dyDescent="0.25">
      <c r="A449" s="1">
        <v>629</v>
      </c>
      <c r="B449" s="4">
        <v>8768000</v>
      </c>
      <c r="C449" s="3">
        <v>3.8100000000000002E-2</v>
      </c>
      <c r="D449" s="3">
        <f t="shared" si="6"/>
        <v>0.7</v>
      </c>
      <c r="E449" s="1">
        <v>0.3</v>
      </c>
      <c r="F449" s="2">
        <v>0.21</v>
      </c>
      <c r="G449" s="2">
        <v>0.44</v>
      </c>
      <c r="H449" s="2">
        <v>0.35000000000000009</v>
      </c>
    </row>
    <row r="450" spans="1:8" x14ac:dyDescent="0.25">
      <c r="A450" s="1">
        <v>774</v>
      </c>
      <c r="B450" s="4">
        <v>5058541</v>
      </c>
      <c r="C450" s="3">
        <v>3.8100000000000002E-2</v>
      </c>
      <c r="D450" s="3">
        <f t="shared" ref="D450:D513" si="7">1-E450</f>
        <v>0.6</v>
      </c>
      <c r="E450" s="1">
        <v>0.4</v>
      </c>
      <c r="F450" s="2">
        <v>0.22</v>
      </c>
      <c r="G450" s="2">
        <v>0.5</v>
      </c>
      <c r="H450" s="2">
        <v>0.28000000000000003</v>
      </c>
    </row>
    <row r="451" spans="1:8" x14ac:dyDescent="0.25">
      <c r="A451" s="1">
        <v>382</v>
      </c>
      <c r="B451" s="4">
        <v>9398753</v>
      </c>
      <c r="C451" s="3">
        <v>3.7999999999999999E-2</v>
      </c>
      <c r="D451" s="3">
        <f t="shared" si="7"/>
        <v>0.7</v>
      </c>
      <c r="E451" s="1">
        <v>0.3</v>
      </c>
      <c r="F451" s="2">
        <v>0.31</v>
      </c>
      <c r="G451" s="2">
        <v>0.49</v>
      </c>
      <c r="H451" s="2">
        <v>0.2</v>
      </c>
    </row>
    <row r="452" spans="1:8" x14ac:dyDescent="0.25">
      <c r="A452" s="1">
        <v>385</v>
      </c>
      <c r="B452" s="4">
        <v>9490130</v>
      </c>
      <c r="C452" s="3">
        <v>3.7999999999999999E-2</v>
      </c>
      <c r="D452" s="3">
        <f t="shared" si="7"/>
        <v>0.7</v>
      </c>
      <c r="E452" s="1">
        <v>0.3</v>
      </c>
      <c r="F452" s="2">
        <v>0.1</v>
      </c>
      <c r="G452" s="2">
        <v>0.4</v>
      </c>
      <c r="H452" s="2">
        <v>0.5</v>
      </c>
    </row>
    <row r="453" spans="1:8" x14ac:dyDescent="0.25">
      <c r="A453" s="1">
        <v>931</v>
      </c>
      <c r="B453" s="4">
        <v>845513</v>
      </c>
      <c r="C453" s="3">
        <v>3.7999999999999999E-2</v>
      </c>
      <c r="D453" s="3">
        <f t="shared" si="7"/>
        <v>0.4</v>
      </c>
      <c r="E453" s="1">
        <v>0.6</v>
      </c>
      <c r="F453" s="2">
        <v>0.39</v>
      </c>
      <c r="G453" s="2">
        <v>0.33</v>
      </c>
      <c r="H453" s="2">
        <v>0.27999999999999992</v>
      </c>
    </row>
    <row r="454" spans="1:8" x14ac:dyDescent="0.25">
      <c r="A454" s="1">
        <v>952</v>
      </c>
      <c r="B454" s="4">
        <v>296798</v>
      </c>
      <c r="C454" s="3">
        <v>3.7999999999999999E-2</v>
      </c>
      <c r="D454" s="3">
        <f t="shared" si="7"/>
        <v>0.4</v>
      </c>
      <c r="E454" s="1">
        <v>0.6</v>
      </c>
      <c r="F454" s="2">
        <v>0.2</v>
      </c>
      <c r="G454" s="2">
        <v>0.23</v>
      </c>
      <c r="H454" s="2">
        <v>0.57000000000000006</v>
      </c>
    </row>
    <row r="455" spans="1:8" x14ac:dyDescent="0.25">
      <c r="A455" s="1">
        <v>441</v>
      </c>
      <c r="B455" s="4">
        <v>5862118</v>
      </c>
      <c r="C455" s="3">
        <v>3.7900000000000003E-2</v>
      </c>
      <c r="D455" s="3">
        <f t="shared" si="7"/>
        <v>0.6</v>
      </c>
      <c r="E455" s="1">
        <v>0.4</v>
      </c>
      <c r="F455" s="2">
        <v>0.2</v>
      </c>
      <c r="G455" s="2">
        <v>0.34</v>
      </c>
      <c r="H455" s="2">
        <v>0.45999999999999991</v>
      </c>
    </row>
    <row r="456" spans="1:8" x14ac:dyDescent="0.25">
      <c r="A456" s="1">
        <v>562</v>
      </c>
      <c r="B456" s="4">
        <v>1261119</v>
      </c>
      <c r="C456" s="3">
        <v>3.7900000000000003E-2</v>
      </c>
      <c r="D456" s="3">
        <f t="shared" si="7"/>
        <v>0.4</v>
      </c>
      <c r="E456" s="1">
        <v>0.6</v>
      </c>
      <c r="F456" s="2">
        <v>0.34</v>
      </c>
      <c r="G456" s="2">
        <v>0.37</v>
      </c>
      <c r="H456" s="2">
        <v>0.28999999999999998</v>
      </c>
    </row>
    <row r="457" spans="1:8" x14ac:dyDescent="0.25">
      <c r="A457" s="1">
        <v>817</v>
      </c>
      <c r="B457" s="4">
        <v>5431253</v>
      </c>
      <c r="C457" s="3">
        <v>3.7900000000000003E-2</v>
      </c>
      <c r="D457" s="3">
        <f t="shared" si="7"/>
        <v>0.6</v>
      </c>
      <c r="E457" s="1">
        <v>0.4</v>
      </c>
      <c r="F457" s="2">
        <v>0.17</v>
      </c>
      <c r="G457" s="2">
        <v>0.4</v>
      </c>
      <c r="H457" s="2">
        <v>0.42999999999999994</v>
      </c>
    </row>
    <row r="458" spans="1:8" x14ac:dyDescent="0.25">
      <c r="A458" s="1">
        <v>843</v>
      </c>
      <c r="B458" s="4">
        <v>929817</v>
      </c>
      <c r="C458" s="3">
        <v>3.7900000000000003E-2</v>
      </c>
      <c r="D458" s="3">
        <f t="shared" si="7"/>
        <v>0.4</v>
      </c>
      <c r="E458" s="1">
        <v>0.6</v>
      </c>
      <c r="F458" s="2">
        <v>0.38</v>
      </c>
      <c r="G458" s="2">
        <v>0.44</v>
      </c>
      <c r="H458" s="2">
        <v>0.18000000000000005</v>
      </c>
    </row>
    <row r="459" spans="1:8" x14ac:dyDescent="0.25">
      <c r="A459" s="1">
        <v>246</v>
      </c>
      <c r="B459" s="4">
        <v>9050313</v>
      </c>
      <c r="C459" s="3">
        <v>3.78E-2</v>
      </c>
      <c r="D459" s="3">
        <f t="shared" si="7"/>
        <v>0.7</v>
      </c>
      <c r="E459" s="1">
        <v>0.3</v>
      </c>
      <c r="F459" s="2">
        <v>0.35</v>
      </c>
      <c r="G459" s="2">
        <v>0.33</v>
      </c>
      <c r="H459" s="2">
        <v>0.31999999999999995</v>
      </c>
    </row>
    <row r="460" spans="1:8" x14ac:dyDescent="0.25">
      <c r="A460" s="1">
        <v>340</v>
      </c>
      <c r="B460" s="4">
        <v>695416</v>
      </c>
      <c r="C460" s="3">
        <v>3.78E-2</v>
      </c>
      <c r="D460" s="3">
        <f t="shared" si="7"/>
        <v>0.4</v>
      </c>
      <c r="E460" s="1">
        <v>0.6</v>
      </c>
      <c r="F460" s="2">
        <v>0.25</v>
      </c>
      <c r="G460" s="2">
        <v>0.48</v>
      </c>
      <c r="H460" s="2">
        <v>0.27</v>
      </c>
    </row>
    <row r="461" spans="1:8" x14ac:dyDescent="0.25">
      <c r="A461" s="1">
        <v>682</v>
      </c>
      <c r="B461" s="4">
        <v>5584188</v>
      </c>
      <c r="C461" s="3">
        <v>3.78E-2</v>
      </c>
      <c r="D461" s="3">
        <f t="shared" si="7"/>
        <v>0.6</v>
      </c>
      <c r="E461" s="1">
        <v>0.4</v>
      </c>
      <c r="F461" s="2">
        <v>0.34</v>
      </c>
      <c r="G461" s="2">
        <v>0.21</v>
      </c>
      <c r="H461" s="2">
        <v>0.45</v>
      </c>
    </row>
    <row r="462" spans="1:8" x14ac:dyDescent="0.25">
      <c r="A462" s="1">
        <v>557</v>
      </c>
      <c r="B462" s="4">
        <v>9787371</v>
      </c>
      <c r="C462" s="3">
        <v>3.7699999999999997E-2</v>
      </c>
      <c r="D462" s="3">
        <f t="shared" si="7"/>
        <v>0.7</v>
      </c>
      <c r="E462" s="1">
        <v>0.3</v>
      </c>
      <c r="F462" s="2">
        <v>0.39</v>
      </c>
      <c r="G462" s="2">
        <v>0.49</v>
      </c>
      <c r="H462" s="2">
        <v>0.12</v>
      </c>
    </row>
    <row r="463" spans="1:8" x14ac:dyDescent="0.25">
      <c r="A463" s="1">
        <v>175</v>
      </c>
      <c r="B463" s="4">
        <v>7977811</v>
      </c>
      <c r="C463" s="3">
        <v>3.7599999999999995E-2</v>
      </c>
      <c r="D463" s="3">
        <f t="shared" si="7"/>
        <v>0.7</v>
      </c>
      <c r="E463" s="1">
        <v>0.3</v>
      </c>
      <c r="F463" s="2">
        <v>0.37</v>
      </c>
      <c r="G463" s="2">
        <v>0.2</v>
      </c>
      <c r="H463" s="2">
        <v>0.43000000000000005</v>
      </c>
    </row>
    <row r="464" spans="1:8" x14ac:dyDescent="0.25">
      <c r="A464" s="1">
        <v>869</v>
      </c>
      <c r="B464" s="4">
        <v>1311271</v>
      </c>
      <c r="C464" s="3">
        <v>3.7599999999999995E-2</v>
      </c>
      <c r="D464" s="3">
        <f t="shared" si="7"/>
        <v>0.4</v>
      </c>
      <c r="E464" s="1">
        <v>0.6</v>
      </c>
      <c r="F464" s="2">
        <v>0.31</v>
      </c>
      <c r="G464" s="2">
        <v>0.27</v>
      </c>
      <c r="H464" s="2">
        <v>0.42</v>
      </c>
    </row>
    <row r="465" spans="1:8" x14ac:dyDescent="0.25">
      <c r="A465" s="1">
        <v>195</v>
      </c>
      <c r="B465" s="4">
        <v>5532166</v>
      </c>
      <c r="C465" s="3">
        <v>3.7499999999999999E-2</v>
      </c>
      <c r="D465" s="3">
        <f t="shared" si="7"/>
        <v>0.6</v>
      </c>
      <c r="E465" s="1">
        <v>0.4</v>
      </c>
      <c r="F465" s="2">
        <v>0.44</v>
      </c>
      <c r="G465" s="2">
        <v>0.48</v>
      </c>
      <c r="H465" s="2">
        <v>8.0000000000000016E-2</v>
      </c>
    </row>
    <row r="466" spans="1:8" x14ac:dyDescent="0.25">
      <c r="A466" s="1">
        <v>249</v>
      </c>
      <c r="B466" s="4">
        <v>7736390</v>
      </c>
      <c r="C466" s="3">
        <v>3.7499999999999999E-2</v>
      </c>
      <c r="D466" s="3">
        <f t="shared" si="7"/>
        <v>0.7</v>
      </c>
      <c r="E466" s="1">
        <v>0.3</v>
      </c>
      <c r="F466" s="2">
        <v>0.1</v>
      </c>
      <c r="G466" s="2">
        <v>0.2</v>
      </c>
      <c r="H466" s="2">
        <v>0.70000000000000007</v>
      </c>
    </row>
    <row r="467" spans="1:8" x14ac:dyDescent="0.25">
      <c r="A467" s="1">
        <v>413</v>
      </c>
      <c r="B467" s="4">
        <v>6201993</v>
      </c>
      <c r="C467" s="3">
        <v>3.7499999999999999E-2</v>
      </c>
      <c r="D467" s="3">
        <f t="shared" si="7"/>
        <v>0.6</v>
      </c>
      <c r="E467" s="1">
        <v>0.4</v>
      </c>
      <c r="F467" s="2">
        <v>0.13</v>
      </c>
      <c r="G467" s="2">
        <v>0.3</v>
      </c>
      <c r="H467" s="2">
        <v>0.56999999999999995</v>
      </c>
    </row>
    <row r="468" spans="1:8" x14ac:dyDescent="0.25">
      <c r="A468" s="1">
        <v>913</v>
      </c>
      <c r="B468" s="4">
        <v>2124353</v>
      </c>
      <c r="C468" s="3">
        <v>3.7499999999999999E-2</v>
      </c>
      <c r="D468" s="3">
        <f t="shared" si="7"/>
        <v>0.4</v>
      </c>
      <c r="E468" s="1">
        <v>0.6</v>
      </c>
      <c r="F468" s="2">
        <v>0.34</v>
      </c>
      <c r="G468" s="2">
        <v>0.41</v>
      </c>
      <c r="H468" s="2">
        <v>0.25000000000000006</v>
      </c>
    </row>
    <row r="469" spans="1:8" x14ac:dyDescent="0.25">
      <c r="A469" s="1">
        <v>29</v>
      </c>
      <c r="B469" s="4">
        <v>2756984</v>
      </c>
      <c r="C469" s="3">
        <v>3.7400000000000003E-2</v>
      </c>
      <c r="D469" s="3">
        <f t="shared" si="7"/>
        <v>0.4</v>
      </c>
      <c r="E469" s="1">
        <v>0.6</v>
      </c>
      <c r="F469" s="2">
        <v>0.27</v>
      </c>
      <c r="G469" s="2">
        <v>0.35</v>
      </c>
      <c r="H469" s="2">
        <v>0.38</v>
      </c>
    </row>
    <row r="470" spans="1:8" x14ac:dyDescent="0.25">
      <c r="A470" s="1">
        <v>226</v>
      </c>
      <c r="B470" s="4">
        <v>7167936</v>
      </c>
      <c r="C470" s="3">
        <v>3.7400000000000003E-2</v>
      </c>
      <c r="D470" s="3">
        <f t="shared" si="7"/>
        <v>0.7</v>
      </c>
      <c r="E470" s="1">
        <v>0.3</v>
      </c>
      <c r="F470" s="2">
        <v>0.2</v>
      </c>
      <c r="G470" s="2">
        <v>0.33</v>
      </c>
      <c r="H470" s="2">
        <v>0.46999999999999992</v>
      </c>
    </row>
    <row r="471" spans="1:8" x14ac:dyDescent="0.25">
      <c r="A471" s="1">
        <v>494</v>
      </c>
      <c r="B471" s="4">
        <v>8426324</v>
      </c>
      <c r="C471" s="3">
        <v>3.7400000000000003E-2</v>
      </c>
      <c r="D471" s="3">
        <f t="shared" si="7"/>
        <v>0.7</v>
      </c>
      <c r="E471" s="1">
        <v>0.3</v>
      </c>
      <c r="F471" s="2">
        <v>0.19</v>
      </c>
      <c r="G471" s="2">
        <v>0.2</v>
      </c>
      <c r="H471" s="2">
        <v>0.6100000000000001</v>
      </c>
    </row>
    <row r="472" spans="1:8" x14ac:dyDescent="0.25">
      <c r="A472" s="1">
        <v>1002</v>
      </c>
      <c r="B472" s="4">
        <v>6417708</v>
      </c>
      <c r="C472" s="3">
        <v>3.7400000000000003E-2</v>
      </c>
      <c r="D472" s="3">
        <f t="shared" si="7"/>
        <v>0.6</v>
      </c>
      <c r="E472" s="1">
        <v>0.4</v>
      </c>
      <c r="F472" s="2">
        <v>0.38</v>
      </c>
      <c r="G472" s="2">
        <v>0.3</v>
      </c>
      <c r="H472" s="2">
        <v>0.31999999999999995</v>
      </c>
    </row>
    <row r="473" spans="1:8" x14ac:dyDescent="0.25">
      <c r="A473" s="1">
        <v>129</v>
      </c>
      <c r="B473" s="4">
        <v>9170364</v>
      </c>
      <c r="C473" s="3">
        <v>3.73E-2</v>
      </c>
      <c r="D473" s="3">
        <f t="shared" si="7"/>
        <v>0.7</v>
      </c>
      <c r="E473" s="1">
        <v>0.3</v>
      </c>
      <c r="F473" s="2">
        <v>0.13</v>
      </c>
      <c r="G473" s="2">
        <v>0.32</v>
      </c>
      <c r="H473" s="2">
        <v>0.54999999999999993</v>
      </c>
    </row>
    <row r="474" spans="1:8" x14ac:dyDescent="0.25">
      <c r="A474" s="1">
        <v>355</v>
      </c>
      <c r="B474" s="4">
        <v>4152504</v>
      </c>
      <c r="C474" s="3">
        <v>3.73E-2</v>
      </c>
      <c r="D474" s="3">
        <f t="shared" si="7"/>
        <v>0.6</v>
      </c>
      <c r="E474" s="1">
        <v>0.4</v>
      </c>
      <c r="F474" s="2">
        <v>0.24</v>
      </c>
      <c r="G474" s="2">
        <v>0.46</v>
      </c>
      <c r="H474" s="2">
        <v>0.30000000000000004</v>
      </c>
    </row>
    <row r="475" spans="1:8" x14ac:dyDescent="0.25">
      <c r="A475" s="1">
        <v>825</v>
      </c>
      <c r="B475" s="4">
        <v>5142115</v>
      </c>
      <c r="C475" s="3">
        <v>3.73E-2</v>
      </c>
      <c r="D475" s="3">
        <f t="shared" si="7"/>
        <v>0.6</v>
      </c>
      <c r="E475" s="1">
        <v>0.4</v>
      </c>
      <c r="F475" s="2">
        <v>0.1</v>
      </c>
      <c r="G475" s="2">
        <v>0.28999999999999998</v>
      </c>
      <c r="H475" s="2">
        <v>0.61</v>
      </c>
    </row>
    <row r="476" spans="1:8" x14ac:dyDescent="0.25">
      <c r="A476" s="1">
        <v>703</v>
      </c>
      <c r="B476" s="4">
        <v>4432498</v>
      </c>
      <c r="C476" s="3">
        <v>3.7200000000000004E-2</v>
      </c>
      <c r="D476" s="3">
        <f t="shared" si="7"/>
        <v>0.6</v>
      </c>
      <c r="E476" s="1">
        <v>0.4</v>
      </c>
      <c r="F476" s="2">
        <v>0.39</v>
      </c>
      <c r="G476" s="2">
        <v>0.28999999999999998</v>
      </c>
      <c r="H476" s="2">
        <v>0.31999999999999995</v>
      </c>
    </row>
    <row r="477" spans="1:8" x14ac:dyDescent="0.25">
      <c r="A477" s="1">
        <v>891</v>
      </c>
      <c r="B477" s="4">
        <v>1205838</v>
      </c>
      <c r="C477" s="3">
        <v>3.7200000000000004E-2</v>
      </c>
      <c r="D477" s="3">
        <f t="shared" si="7"/>
        <v>0.4</v>
      </c>
      <c r="E477" s="1">
        <v>0.6</v>
      </c>
      <c r="F477" s="2">
        <v>0.18</v>
      </c>
      <c r="G477" s="2">
        <v>0.3</v>
      </c>
      <c r="H477" s="2">
        <v>0.52</v>
      </c>
    </row>
    <row r="478" spans="1:8" x14ac:dyDescent="0.25">
      <c r="A478" s="1">
        <v>456</v>
      </c>
      <c r="B478" s="4">
        <v>921859</v>
      </c>
      <c r="C478" s="3">
        <v>3.7100000000000001E-2</v>
      </c>
      <c r="D478" s="3">
        <f t="shared" si="7"/>
        <v>0.4</v>
      </c>
      <c r="E478" s="1">
        <v>0.6</v>
      </c>
      <c r="F478" s="2">
        <v>0.39</v>
      </c>
      <c r="G478" s="2">
        <v>0.26</v>
      </c>
      <c r="H478" s="2">
        <v>0.35</v>
      </c>
    </row>
    <row r="479" spans="1:8" x14ac:dyDescent="0.25">
      <c r="A479" s="1">
        <v>475</v>
      </c>
      <c r="B479" s="4">
        <v>6853839</v>
      </c>
      <c r="C479" s="3">
        <v>3.7100000000000001E-2</v>
      </c>
      <c r="D479" s="3">
        <f t="shared" si="7"/>
        <v>0.6</v>
      </c>
      <c r="E479" s="1">
        <v>0.4</v>
      </c>
      <c r="F479" s="2">
        <v>0.1</v>
      </c>
      <c r="G479" s="2">
        <v>0.45</v>
      </c>
      <c r="H479" s="2">
        <v>0.45000000000000007</v>
      </c>
    </row>
    <row r="480" spans="1:8" x14ac:dyDescent="0.25">
      <c r="A480" s="1">
        <v>733</v>
      </c>
      <c r="B480" s="4">
        <v>3179558</v>
      </c>
      <c r="C480" s="3">
        <v>3.7100000000000001E-2</v>
      </c>
      <c r="D480" s="3">
        <f t="shared" si="7"/>
        <v>0.6</v>
      </c>
      <c r="E480" s="1">
        <v>0.4</v>
      </c>
      <c r="F480" s="2">
        <v>0.34</v>
      </c>
      <c r="G480" s="2">
        <v>0.45</v>
      </c>
      <c r="H480" s="2">
        <v>0.21000000000000002</v>
      </c>
    </row>
    <row r="481" spans="1:8" x14ac:dyDescent="0.25">
      <c r="A481" s="1">
        <v>21</v>
      </c>
      <c r="B481" s="4">
        <v>5024211</v>
      </c>
      <c r="C481" s="3">
        <v>3.7000000000000005E-2</v>
      </c>
      <c r="D481" s="3">
        <f t="shared" si="7"/>
        <v>0.6</v>
      </c>
      <c r="E481" s="1">
        <v>0.4</v>
      </c>
      <c r="F481" s="2">
        <v>0.17</v>
      </c>
      <c r="G481" s="2">
        <v>0.31</v>
      </c>
      <c r="H481" s="2">
        <v>0.51999999999999991</v>
      </c>
    </row>
    <row r="482" spans="1:8" x14ac:dyDescent="0.25">
      <c r="A482" s="1">
        <v>405</v>
      </c>
      <c r="B482" s="4">
        <v>2496562</v>
      </c>
      <c r="C482" s="3">
        <v>3.7000000000000005E-2</v>
      </c>
      <c r="D482" s="3">
        <f t="shared" si="7"/>
        <v>0.4</v>
      </c>
      <c r="E482" s="1">
        <v>0.6</v>
      </c>
      <c r="F482" s="2">
        <v>0.45</v>
      </c>
      <c r="G482" s="2">
        <v>0.48</v>
      </c>
      <c r="H482" s="2">
        <v>7.0000000000000007E-2</v>
      </c>
    </row>
    <row r="483" spans="1:8" x14ac:dyDescent="0.25">
      <c r="A483" s="1">
        <v>425</v>
      </c>
      <c r="B483" s="4">
        <v>1404714</v>
      </c>
      <c r="C483" s="3">
        <v>3.7000000000000005E-2</v>
      </c>
      <c r="D483" s="3">
        <f t="shared" si="7"/>
        <v>0.4</v>
      </c>
      <c r="E483" s="1">
        <v>0.6</v>
      </c>
      <c r="F483" s="2">
        <v>0.14000000000000001</v>
      </c>
      <c r="G483" s="2">
        <v>0.31</v>
      </c>
      <c r="H483" s="2">
        <v>0.54999999999999993</v>
      </c>
    </row>
    <row r="484" spans="1:8" x14ac:dyDescent="0.25">
      <c r="A484" s="1">
        <v>177</v>
      </c>
      <c r="B484" s="4">
        <v>7716493</v>
      </c>
      <c r="C484" s="3">
        <v>3.6799999999999999E-2</v>
      </c>
      <c r="D484" s="3">
        <f t="shared" si="7"/>
        <v>0.7</v>
      </c>
      <c r="E484" s="1">
        <v>0.3</v>
      </c>
      <c r="F484" s="2">
        <v>0.36</v>
      </c>
      <c r="G484" s="2">
        <v>0.36</v>
      </c>
      <c r="H484" s="2">
        <v>0.28000000000000003</v>
      </c>
    </row>
    <row r="485" spans="1:8" x14ac:dyDescent="0.25">
      <c r="A485" s="1">
        <v>208</v>
      </c>
      <c r="B485" s="4">
        <v>3934007</v>
      </c>
      <c r="C485" s="3">
        <v>3.6799999999999999E-2</v>
      </c>
      <c r="D485" s="3">
        <f t="shared" si="7"/>
        <v>0.6</v>
      </c>
      <c r="E485" s="1">
        <v>0.4</v>
      </c>
      <c r="F485" s="2">
        <v>0.33</v>
      </c>
      <c r="G485" s="2">
        <v>0.4</v>
      </c>
      <c r="H485" s="2">
        <v>0.26999999999999996</v>
      </c>
    </row>
    <row r="486" spans="1:8" x14ac:dyDescent="0.25">
      <c r="A486" s="1">
        <v>319</v>
      </c>
      <c r="B486" s="4">
        <v>2918604</v>
      </c>
      <c r="C486" s="3">
        <v>3.6699999999999997E-2</v>
      </c>
      <c r="D486" s="3">
        <f t="shared" si="7"/>
        <v>0.4</v>
      </c>
      <c r="E486" s="1">
        <v>0.6</v>
      </c>
      <c r="F486" s="2">
        <v>0.13</v>
      </c>
      <c r="G486" s="2">
        <v>0.28000000000000003</v>
      </c>
      <c r="H486" s="2">
        <v>0.59</v>
      </c>
    </row>
    <row r="487" spans="1:8" x14ac:dyDescent="0.25">
      <c r="A487" s="1">
        <v>167</v>
      </c>
      <c r="B487" s="4">
        <v>1239149</v>
      </c>
      <c r="C487" s="3">
        <v>3.6600000000000001E-2</v>
      </c>
      <c r="D487" s="3">
        <f t="shared" si="7"/>
        <v>0.4</v>
      </c>
      <c r="E487" s="1">
        <v>0.6</v>
      </c>
      <c r="F487" s="2">
        <v>0.32</v>
      </c>
      <c r="G487" s="2">
        <v>0.2</v>
      </c>
      <c r="H487" s="2">
        <v>0.48000000000000004</v>
      </c>
    </row>
    <row r="488" spans="1:8" x14ac:dyDescent="0.25">
      <c r="A488" s="1">
        <v>378</v>
      </c>
      <c r="B488" s="4">
        <v>5980908</v>
      </c>
      <c r="C488" s="3">
        <v>3.6499999999999998E-2</v>
      </c>
      <c r="D488" s="3">
        <f t="shared" si="7"/>
        <v>0.6</v>
      </c>
      <c r="E488" s="1">
        <v>0.4</v>
      </c>
      <c r="F488" s="2">
        <v>0.25</v>
      </c>
      <c r="G488" s="2">
        <v>0.24</v>
      </c>
      <c r="H488" s="2">
        <v>0.51</v>
      </c>
    </row>
    <row r="489" spans="1:8" x14ac:dyDescent="0.25">
      <c r="A489" s="1">
        <v>916</v>
      </c>
      <c r="B489" s="4">
        <v>220701</v>
      </c>
      <c r="C489" s="3">
        <v>3.6400000000000002E-2</v>
      </c>
      <c r="D489" s="3">
        <f t="shared" si="7"/>
        <v>0.4</v>
      </c>
      <c r="E489" s="1">
        <v>0.6</v>
      </c>
      <c r="F489" s="2">
        <v>0.15</v>
      </c>
      <c r="G489" s="2">
        <v>0.2</v>
      </c>
      <c r="H489" s="2">
        <v>0.65</v>
      </c>
    </row>
    <row r="490" spans="1:8" x14ac:dyDescent="0.25">
      <c r="A490" s="1">
        <v>152</v>
      </c>
      <c r="B490" s="4">
        <v>8720840</v>
      </c>
      <c r="C490" s="3">
        <v>3.6299999999999999E-2</v>
      </c>
      <c r="D490" s="3">
        <f t="shared" si="7"/>
        <v>0.7</v>
      </c>
      <c r="E490" s="1">
        <v>0.3</v>
      </c>
      <c r="F490" s="2">
        <v>0.22</v>
      </c>
      <c r="G490" s="2">
        <v>0.42</v>
      </c>
      <c r="H490" s="2">
        <v>0.3600000000000001</v>
      </c>
    </row>
    <row r="491" spans="1:8" x14ac:dyDescent="0.25">
      <c r="A491" s="1">
        <v>455</v>
      </c>
      <c r="B491" s="4">
        <v>1698134</v>
      </c>
      <c r="C491" s="3">
        <v>3.6299999999999999E-2</v>
      </c>
      <c r="D491" s="3">
        <f t="shared" si="7"/>
        <v>0.4</v>
      </c>
      <c r="E491" s="1">
        <v>0.6</v>
      </c>
      <c r="F491" s="2">
        <v>0.37</v>
      </c>
      <c r="G491" s="2">
        <v>0.27</v>
      </c>
      <c r="H491" s="2">
        <v>0.36</v>
      </c>
    </row>
    <row r="492" spans="1:8" x14ac:dyDescent="0.25">
      <c r="A492" s="1">
        <v>569</v>
      </c>
      <c r="B492" s="4">
        <v>7465131</v>
      </c>
      <c r="C492" s="3">
        <v>3.6299999999999999E-2</v>
      </c>
      <c r="D492" s="3">
        <f t="shared" si="7"/>
        <v>0.7</v>
      </c>
      <c r="E492" s="1">
        <v>0.3</v>
      </c>
      <c r="F492" s="2">
        <v>0.1</v>
      </c>
      <c r="G492" s="2">
        <v>0.2</v>
      </c>
      <c r="H492" s="2">
        <v>0.70000000000000007</v>
      </c>
    </row>
    <row r="493" spans="1:8" x14ac:dyDescent="0.25">
      <c r="A493" s="1">
        <v>651</v>
      </c>
      <c r="B493" s="4">
        <v>797468</v>
      </c>
      <c r="C493" s="3">
        <v>3.6299999999999999E-2</v>
      </c>
      <c r="D493" s="3">
        <f t="shared" si="7"/>
        <v>0.4</v>
      </c>
      <c r="E493" s="1">
        <v>0.6</v>
      </c>
      <c r="F493" s="2">
        <v>0.37</v>
      </c>
      <c r="G493" s="2">
        <v>0.39</v>
      </c>
      <c r="H493" s="2">
        <v>0.24</v>
      </c>
    </row>
    <row r="494" spans="1:8" x14ac:dyDescent="0.25">
      <c r="A494" s="1">
        <v>961</v>
      </c>
      <c r="B494" s="4">
        <v>5521263</v>
      </c>
      <c r="C494" s="3">
        <v>3.6299999999999999E-2</v>
      </c>
      <c r="D494" s="3">
        <f t="shared" si="7"/>
        <v>0.6</v>
      </c>
      <c r="E494" s="1">
        <v>0.4</v>
      </c>
      <c r="F494" s="2">
        <v>0.34</v>
      </c>
      <c r="G494" s="2">
        <v>0.3</v>
      </c>
      <c r="H494" s="2">
        <v>0.35999999999999993</v>
      </c>
    </row>
    <row r="495" spans="1:8" x14ac:dyDescent="0.25">
      <c r="A495" s="1">
        <v>552</v>
      </c>
      <c r="B495" s="4">
        <v>4423844</v>
      </c>
      <c r="C495" s="3">
        <v>3.6200000000000003E-2</v>
      </c>
      <c r="D495" s="3">
        <f t="shared" si="7"/>
        <v>0.6</v>
      </c>
      <c r="E495" s="1">
        <v>0.4</v>
      </c>
      <c r="F495" s="2">
        <v>0.16</v>
      </c>
      <c r="G495" s="2">
        <v>0.4</v>
      </c>
      <c r="H495" s="2">
        <v>0.43999999999999995</v>
      </c>
    </row>
    <row r="496" spans="1:8" x14ac:dyDescent="0.25">
      <c r="A496" s="1">
        <v>665</v>
      </c>
      <c r="B496" s="4">
        <v>9564781</v>
      </c>
      <c r="C496" s="3">
        <v>3.6200000000000003E-2</v>
      </c>
      <c r="D496" s="3">
        <f t="shared" si="7"/>
        <v>0.7</v>
      </c>
      <c r="E496" s="1">
        <v>0.3</v>
      </c>
      <c r="F496" s="2">
        <v>0.17</v>
      </c>
      <c r="G496" s="2">
        <v>0.32</v>
      </c>
      <c r="H496" s="2">
        <v>0.5099999999999999</v>
      </c>
    </row>
    <row r="497" spans="1:8" x14ac:dyDescent="0.25">
      <c r="A497" s="1">
        <v>693</v>
      </c>
      <c r="B497" s="4">
        <v>5671415</v>
      </c>
      <c r="C497" s="3">
        <v>3.6200000000000003E-2</v>
      </c>
      <c r="D497" s="3">
        <f t="shared" si="7"/>
        <v>0.6</v>
      </c>
      <c r="E497" s="1">
        <v>0.4</v>
      </c>
      <c r="F497" s="2">
        <v>0.45</v>
      </c>
      <c r="G497" s="2">
        <v>0.25</v>
      </c>
      <c r="H497" s="2">
        <v>0.3</v>
      </c>
    </row>
    <row r="498" spans="1:8" x14ac:dyDescent="0.25">
      <c r="A498" s="1">
        <v>598</v>
      </c>
      <c r="B498" s="4">
        <v>7218117</v>
      </c>
      <c r="C498" s="3">
        <v>3.61E-2</v>
      </c>
      <c r="D498" s="3">
        <f t="shared" si="7"/>
        <v>0.7</v>
      </c>
      <c r="E498" s="1">
        <v>0.3</v>
      </c>
      <c r="F498" s="2">
        <v>0.44</v>
      </c>
      <c r="G498" s="2">
        <v>0.45</v>
      </c>
      <c r="H498" s="2">
        <v>0.11000000000000004</v>
      </c>
    </row>
    <row r="499" spans="1:8" x14ac:dyDescent="0.25">
      <c r="A499" s="1">
        <v>721</v>
      </c>
      <c r="B499" s="4">
        <v>7207327</v>
      </c>
      <c r="C499" s="3">
        <v>3.61E-2</v>
      </c>
      <c r="D499" s="3">
        <f t="shared" si="7"/>
        <v>0.7</v>
      </c>
      <c r="E499" s="1">
        <v>0.3</v>
      </c>
      <c r="F499" s="2">
        <v>0.26</v>
      </c>
      <c r="G499" s="2">
        <v>0.24</v>
      </c>
      <c r="H499" s="2">
        <v>0.5</v>
      </c>
    </row>
    <row r="500" spans="1:8" x14ac:dyDescent="0.25">
      <c r="A500" s="1">
        <v>1024</v>
      </c>
      <c r="B500" s="4">
        <v>3005698</v>
      </c>
      <c r="C500" s="3">
        <v>3.61E-2</v>
      </c>
      <c r="D500" s="3">
        <f t="shared" si="7"/>
        <v>0.6</v>
      </c>
      <c r="E500" s="1">
        <v>0.4</v>
      </c>
      <c r="F500" s="2">
        <v>0.43</v>
      </c>
      <c r="G500" s="2">
        <v>0.37</v>
      </c>
      <c r="H500" s="2">
        <v>0.2</v>
      </c>
    </row>
    <row r="501" spans="1:8" x14ac:dyDescent="0.25">
      <c r="A501" s="1">
        <v>615</v>
      </c>
      <c r="B501" s="4">
        <v>1949768</v>
      </c>
      <c r="C501" s="3">
        <v>3.6000000000000004E-2</v>
      </c>
      <c r="D501" s="3">
        <f t="shared" si="7"/>
        <v>0.4</v>
      </c>
      <c r="E501" s="1">
        <v>0.6</v>
      </c>
      <c r="F501" s="2">
        <v>0.21</v>
      </c>
      <c r="G501" s="2">
        <v>0.34</v>
      </c>
      <c r="H501" s="2">
        <v>0.44999999999999996</v>
      </c>
    </row>
    <row r="502" spans="1:8" x14ac:dyDescent="0.25">
      <c r="A502" s="1">
        <v>739</v>
      </c>
      <c r="B502" s="4">
        <v>7869266</v>
      </c>
      <c r="C502" s="3">
        <v>3.6000000000000004E-2</v>
      </c>
      <c r="D502" s="3">
        <f t="shared" si="7"/>
        <v>0.7</v>
      </c>
      <c r="E502" s="1">
        <v>0.3</v>
      </c>
      <c r="F502" s="2">
        <v>0.43</v>
      </c>
      <c r="G502" s="2">
        <v>0.38</v>
      </c>
      <c r="H502" s="2">
        <v>0.19</v>
      </c>
    </row>
    <row r="503" spans="1:8" x14ac:dyDescent="0.25">
      <c r="A503" s="1">
        <v>150</v>
      </c>
      <c r="B503" s="4">
        <v>3855506</v>
      </c>
      <c r="C503" s="3">
        <v>3.5900000000000001E-2</v>
      </c>
      <c r="D503" s="3">
        <f t="shared" si="7"/>
        <v>0.6</v>
      </c>
      <c r="E503" s="1">
        <v>0.4</v>
      </c>
      <c r="F503" s="2">
        <v>0.22</v>
      </c>
      <c r="G503" s="2">
        <v>0.23</v>
      </c>
      <c r="H503" s="2">
        <v>0.55000000000000004</v>
      </c>
    </row>
    <row r="504" spans="1:8" x14ac:dyDescent="0.25">
      <c r="A504" s="1">
        <v>541</v>
      </c>
      <c r="B504" s="4">
        <v>1485817</v>
      </c>
      <c r="C504" s="3">
        <v>3.5900000000000001E-2</v>
      </c>
      <c r="D504" s="3">
        <f t="shared" si="7"/>
        <v>0.4</v>
      </c>
      <c r="E504" s="1">
        <v>0.6</v>
      </c>
      <c r="F504" s="2">
        <v>0.11</v>
      </c>
      <c r="G504" s="2">
        <v>0.3</v>
      </c>
      <c r="H504" s="2">
        <v>0.59</v>
      </c>
    </row>
    <row r="505" spans="1:8" x14ac:dyDescent="0.25">
      <c r="A505" s="1">
        <v>758</v>
      </c>
      <c r="B505" s="4">
        <v>7741733</v>
      </c>
      <c r="C505" s="3">
        <v>3.5900000000000001E-2</v>
      </c>
      <c r="D505" s="3">
        <f t="shared" si="7"/>
        <v>0.7</v>
      </c>
      <c r="E505" s="1">
        <v>0.3</v>
      </c>
      <c r="F505" s="2">
        <v>0.35</v>
      </c>
      <c r="G505" s="2">
        <v>0.28999999999999998</v>
      </c>
      <c r="H505" s="2">
        <v>0.36</v>
      </c>
    </row>
    <row r="506" spans="1:8" x14ac:dyDescent="0.25">
      <c r="A506" s="1">
        <v>234</v>
      </c>
      <c r="B506" s="4">
        <v>8496614</v>
      </c>
      <c r="C506" s="3">
        <v>3.5799999999999998E-2</v>
      </c>
      <c r="D506" s="3">
        <f t="shared" si="7"/>
        <v>0.7</v>
      </c>
      <c r="E506" s="1">
        <v>0.3</v>
      </c>
      <c r="F506" s="2">
        <v>0.19</v>
      </c>
      <c r="G506" s="2">
        <v>0.47</v>
      </c>
      <c r="H506" s="2">
        <v>0.34</v>
      </c>
    </row>
    <row r="507" spans="1:8" x14ac:dyDescent="0.25">
      <c r="A507" s="1">
        <v>434</v>
      </c>
      <c r="B507" s="4">
        <v>8800999</v>
      </c>
      <c r="C507" s="3">
        <v>3.5799999999999998E-2</v>
      </c>
      <c r="D507" s="3">
        <f t="shared" si="7"/>
        <v>0.7</v>
      </c>
      <c r="E507" s="1">
        <v>0.3</v>
      </c>
      <c r="F507" s="2">
        <v>0.45</v>
      </c>
      <c r="G507" s="2">
        <v>0.37</v>
      </c>
      <c r="H507" s="2">
        <v>0.18</v>
      </c>
    </row>
    <row r="508" spans="1:8" x14ac:dyDescent="0.25">
      <c r="A508" s="1">
        <v>117</v>
      </c>
      <c r="B508" s="4">
        <v>2876196</v>
      </c>
      <c r="C508" s="3">
        <v>3.5699999999999996E-2</v>
      </c>
      <c r="D508" s="3">
        <f t="shared" si="7"/>
        <v>0.4</v>
      </c>
      <c r="E508" s="1">
        <v>0.6</v>
      </c>
      <c r="F508" s="2">
        <v>0.38</v>
      </c>
      <c r="G508" s="2">
        <v>0.21</v>
      </c>
      <c r="H508" s="2">
        <v>0.41000000000000003</v>
      </c>
    </row>
    <row r="509" spans="1:8" x14ac:dyDescent="0.25">
      <c r="A509" s="1">
        <v>147</v>
      </c>
      <c r="B509" s="4">
        <v>5361816</v>
      </c>
      <c r="C509" s="3">
        <v>3.56E-2</v>
      </c>
      <c r="D509" s="3">
        <f t="shared" si="7"/>
        <v>0.6</v>
      </c>
      <c r="E509" s="1">
        <v>0.4</v>
      </c>
      <c r="F509" s="2">
        <v>0.26</v>
      </c>
      <c r="G509" s="2">
        <v>0.2</v>
      </c>
      <c r="H509" s="2">
        <v>0.54</v>
      </c>
    </row>
    <row r="510" spans="1:8" x14ac:dyDescent="0.25">
      <c r="A510" s="1">
        <v>345</v>
      </c>
      <c r="B510" s="4">
        <v>4886120</v>
      </c>
      <c r="C510" s="3">
        <v>3.56E-2</v>
      </c>
      <c r="D510" s="3">
        <f t="shared" si="7"/>
        <v>0.6</v>
      </c>
      <c r="E510" s="1">
        <v>0.4</v>
      </c>
      <c r="F510" s="2">
        <v>0.31</v>
      </c>
      <c r="G510" s="2">
        <v>0.42</v>
      </c>
      <c r="H510" s="2">
        <v>0.27000000000000007</v>
      </c>
    </row>
    <row r="511" spans="1:8" x14ac:dyDescent="0.25">
      <c r="A511" s="1">
        <v>375</v>
      </c>
      <c r="B511" s="4">
        <v>4139231</v>
      </c>
      <c r="C511" s="3">
        <v>3.56E-2</v>
      </c>
      <c r="D511" s="3">
        <f t="shared" si="7"/>
        <v>0.6</v>
      </c>
      <c r="E511" s="1">
        <v>0.4</v>
      </c>
      <c r="F511" s="2">
        <v>0.27</v>
      </c>
      <c r="G511" s="2">
        <v>0.44</v>
      </c>
      <c r="H511" s="2">
        <v>0.29000000000000004</v>
      </c>
    </row>
    <row r="512" spans="1:8" x14ac:dyDescent="0.25">
      <c r="A512" s="1">
        <v>848</v>
      </c>
      <c r="B512" s="4">
        <v>7165717</v>
      </c>
      <c r="C512" s="3">
        <v>3.56E-2</v>
      </c>
      <c r="D512" s="3">
        <f t="shared" si="7"/>
        <v>0.7</v>
      </c>
      <c r="E512" s="1">
        <v>0.3</v>
      </c>
      <c r="F512" s="2">
        <v>0.18</v>
      </c>
      <c r="G512" s="2">
        <v>0.43</v>
      </c>
      <c r="H512" s="2">
        <v>0.39000000000000007</v>
      </c>
    </row>
    <row r="513" spans="1:8" x14ac:dyDescent="0.25">
      <c r="A513" s="1">
        <v>925</v>
      </c>
      <c r="B513" s="4">
        <v>9599038</v>
      </c>
      <c r="C513" s="3">
        <v>3.56E-2</v>
      </c>
      <c r="D513" s="3">
        <f t="shared" si="7"/>
        <v>0.7</v>
      </c>
      <c r="E513" s="1">
        <v>0.3</v>
      </c>
      <c r="F513" s="2">
        <v>0.22</v>
      </c>
      <c r="G513" s="2">
        <v>0.27</v>
      </c>
      <c r="H513" s="2">
        <v>0.51</v>
      </c>
    </row>
    <row r="514" spans="1:8" x14ac:dyDescent="0.25">
      <c r="A514" s="1">
        <v>853</v>
      </c>
      <c r="B514" s="4">
        <v>4725910</v>
      </c>
      <c r="C514" s="3">
        <v>3.5499999999999997E-2</v>
      </c>
      <c r="D514" s="3">
        <f t="shared" ref="D514:D577" si="8">1-E514</f>
        <v>0.6</v>
      </c>
      <c r="E514" s="1">
        <v>0.4</v>
      </c>
      <c r="F514" s="2">
        <v>0.38</v>
      </c>
      <c r="G514" s="2">
        <v>0.48</v>
      </c>
      <c r="H514" s="2">
        <v>0.14000000000000001</v>
      </c>
    </row>
    <row r="515" spans="1:8" x14ac:dyDescent="0.25">
      <c r="A515" s="1">
        <v>356</v>
      </c>
      <c r="B515" s="4">
        <v>4323775</v>
      </c>
      <c r="C515" s="3">
        <v>3.5400000000000001E-2</v>
      </c>
      <c r="D515" s="3">
        <f t="shared" si="8"/>
        <v>0.6</v>
      </c>
      <c r="E515" s="1">
        <v>0.4</v>
      </c>
      <c r="F515" s="2">
        <v>0.45</v>
      </c>
      <c r="G515" s="2">
        <v>0.31</v>
      </c>
      <c r="H515" s="2">
        <v>0.23999999999999994</v>
      </c>
    </row>
    <row r="516" spans="1:8" x14ac:dyDescent="0.25">
      <c r="A516" s="1">
        <v>477</v>
      </c>
      <c r="B516" s="4">
        <v>5260113</v>
      </c>
      <c r="C516" s="3">
        <v>3.5400000000000001E-2</v>
      </c>
      <c r="D516" s="3">
        <f t="shared" si="8"/>
        <v>0.6</v>
      </c>
      <c r="E516" s="1">
        <v>0.4</v>
      </c>
      <c r="F516" s="2">
        <v>0.34</v>
      </c>
      <c r="G516" s="2">
        <v>0.48</v>
      </c>
      <c r="H516" s="2">
        <v>0.18</v>
      </c>
    </row>
    <row r="517" spans="1:8" x14ac:dyDescent="0.25">
      <c r="A517" s="1">
        <v>769</v>
      </c>
      <c r="B517" s="4">
        <v>6746394</v>
      </c>
      <c r="C517" s="3">
        <v>3.5400000000000001E-2</v>
      </c>
      <c r="D517" s="3">
        <f t="shared" si="8"/>
        <v>0.6</v>
      </c>
      <c r="E517" s="1">
        <v>0.4</v>
      </c>
      <c r="F517" s="2">
        <v>0.4</v>
      </c>
      <c r="G517" s="2">
        <v>0.47</v>
      </c>
      <c r="H517" s="2">
        <v>0.13</v>
      </c>
    </row>
    <row r="518" spans="1:8" x14ac:dyDescent="0.25">
      <c r="A518" s="1">
        <v>944</v>
      </c>
      <c r="B518" s="4">
        <v>3254495</v>
      </c>
      <c r="C518" s="3">
        <v>3.5400000000000001E-2</v>
      </c>
      <c r="D518" s="3">
        <f t="shared" si="8"/>
        <v>0.6</v>
      </c>
      <c r="E518" s="1">
        <v>0.4</v>
      </c>
      <c r="F518" s="2">
        <v>0.28999999999999998</v>
      </c>
      <c r="G518" s="2">
        <v>0.42</v>
      </c>
      <c r="H518" s="2">
        <v>0.29000000000000009</v>
      </c>
    </row>
    <row r="519" spans="1:8" x14ac:dyDescent="0.25">
      <c r="A519" s="1">
        <v>35</v>
      </c>
      <c r="B519" s="4">
        <v>6757370</v>
      </c>
      <c r="C519" s="3">
        <v>3.5299999999999998E-2</v>
      </c>
      <c r="D519" s="3">
        <f t="shared" si="8"/>
        <v>0.6</v>
      </c>
      <c r="E519" s="1">
        <v>0.4</v>
      </c>
      <c r="F519" s="2">
        <v>0.24</v>
      </c>
      <c r="G519" s="2">
        <v>0.33</v>
      </c>
      <c r="H519" s="2">
        <v>0.42999999999999994</v>
      </c>
    </row>
    <row r="520" spans="1:8" x14ac:dyDescent="0.25">
      <c r="A520" s="1">
        <v>83</v>
      </c>
      <c r="B520" s="4">
        <v>7529645</v>
      </c>
      <c r="C520" s="3">
        <v>3.5200000000000002E-2</v>
      </c>
      <c r="D520" s="3">
        <f t="shared" si="8"/>
        <v>0.7</v>
      </c>
      <c r="E520" s="1">
        <v>0.3</v>
      </c>
      <c r="F520" s="2">
        <v>0.26</v>
      </c>
      <c r="G520" s="2">
        <v>0.45</v>
      </c>
      <c r="H520" s="2">
        <v>0.29000000000000004</v>
      </c>
    </row>
    <row r="521" spans="1:8" x14ac:dyDescent="0.25">
      <c r="A521" s="1">
        <v>666</v>
      </c>
      <c r="B521" s="4">
        <v>4940971</v>
      </c>
      <c r="C521" s="3">
        <v>3.5200000000000002E-2</v>
      </c>
      <c r="D521" s="3">
        <f t="shared" si="8"/>
        <v>0.6</v>
      </c>
      <c r="E521" s="1">
        <v>0.4</v>
      </c>
      <c r="F521" s="2">
        <v>0.13</v>
      </c>
      <c r="G521" s="2">
        <v>0.26</v>
      </c>
      <c r="H521" s="2">
        <v>0.61</v>
      </c>
    </row>
    <row r="522" spans="1:8" x14ac:dyDescent="0.25">
      <c r="A522" s="1">
        <v>880</v>
      </c>
      <c r="B522" s="4">
        <v>4495144</v>
      </c>
      <c r="C522" s="3">
        <v>3.5200000000000002E-2</v>
      </c>
      <c r="D522" s="3">
        <f t="shared" si="8"/>
        <v>0.6</v>
      </c>
      <c r="E522" s="1">
        <v>0.4</v>
      </c>
      <c r="F522" s="2">
        <v>0.12</v>
      </c>
      <c r="G522" s="2">
        <v>0.32</v>
      </c>
      <c r="H522" s="2">
        <v>0.55999999999999994</v>
      </c>
    </row>
    <row r="523" spans="1:8" x14ac:dyDescent="0.25">
      <c r="A523" s="1">
        <v>6</v>
      </c>
      <c r="B523" s="4">
        <v>4292093</v>
      </c>
      <c r="C523" s="3">
        <v>3.5099999999999999E-2</v>
      </c>
      <c r="D523" s="3">
        <f t="shared" si="8"/>
        <v>0.6</v>
      </c>
      <c r="E523" s="1">
        <v>0.4</v>
      </c>
      <c r="F523" s="2">
        <v>0.1</v>
      </c>
      <c r="G523" s="2">
        <v>0.23</v>
      </c>
      <c r="H523" s="2">
        <v>0.67</v>
      </c>
    </row>
    <row r="524" spans="1:8" x14ac:dyDescent="0.25">
      <c r="A524" s="1">
        <v>203</v>
      </c>
      <c r="B524" s="4">
        <v>796885</v>
      </c>
      <c r="C524" s="3">
        <v>3.5099999999999999E-2</v>
      </c>
      <c r="D524" s="3">
        <f t="shared" si="8"/>
        <v>0.4</v>
      </c>
      <c r="E524" s="1">
        <v>0.6</v>
      </c>
      <c r="F524" s="2">
        <v>0.31</v>
      </c>
      <c r="G524" s="2">
        <v>0.43</v>
      </c>
      <c r="H524" s="2">
        <v>0.26000000000000006</v>
      </c>
    </row>
    <row r="525" spans="1:8" x14ac:dyDescent="0.25">
      <c r="A525" s="1">
        <v>351</v>
      </c>
      <c r="B525" s="4">
        <v>885770</v>
      </c>
      <c r="C525" s="3">
        <v>3.5099999999999999E-2</v>
      </c>
      <c r="D525" s="3">
        <f t="shared" si="8"/>
        <v>0.4</v>
      </c>
      <c r="E525" s="1">
        <v>0.6</v>
      </c>
      <c r="F525" s="2">
        <v>0.11</v>
      </c>
      <c r="G525" s="2">
        <v>0.34</v>
      </c>
      <c r="H525" s="2">
        <v>0.54999999999999993</v>
      </c>
    </row>
    <row r="526" spans="1:8" x14ac:dyDescent="0.25">
      <c r="A526" s="1">
        <v>132</v>
      </c>
      <c r="B526" s="4">
        <v>6782627</v>
      </c>
      <c r="C526" s="3">
        <v>3.5000000000000003E-2</v>
      </c>
      <c r="D526" s="3">
        <f t="shared" si="8"/>
        <v>0.6</v>
      </c>
      <c r="E526" s="1">
        <v>0.4</v>
      </c>
      <c r="F526" s="2">
        <v>0.17</v>
      </c>
      <c r="G526" s="2">
        <v>0.3</v>
      </c>
      <c r="H526" s="2">
        <v>0.52999999999999992</v>
      </c>
    </row>
    <row r="527" spans="1:8" x14ac:dyDescent="0.25">
      <c r="A527" s="1">
        <v>280</v>
      </c>
      <c r="B527" s="4">
        <v>8199859</v>
      </c>
      <c r="C527" s="3">
        <v>3.5000000000000003E-2</v>
      </c>
      <c r="D527" s="3">
        <f t="shared" si="8"/>
        <v>0.7</v>
      </c>
      <c r="E527" s="1">
        <v>0.3</v>
      </c>
      <c r="F527" s="2">
        <v>0.28000000000000003</v>
      </c>
      <c r="G527" s="2">
        <v>0.37</v>
      </c>
      <c r="H527" s="2">
        <v>0.35</v>
      </c>
    </row>
    <row r="528" spans="1:8" x14ac:dyDescent="0.25">
      <c r="A528" s="1">
        <v>618</v>
      </c>
      <c r="B528" s="4">
        <v>6833211</v>
      </c>
      <c r="C528" s="3">
        <v>3.5000000000000003E-2</v>
      </c>
      <c r="D528" s="3">
        <f t="shared" si="8"/>
        <v>0.6</v>
      </c>
      <c r="E528" s="1">
        <v>0.4</v>
      </c>
      <c r="F528" s="2">
        <v>0.31</v>
      </c>
      <c r="G528" s="2">
        <v>0.33</v>
      </c>
      <c r="H528" s="2">
        <v>0.35999999999999993</v>
      </c>
    </row>
    <row r="529" spans="1:8" x14ac:dyDescent="0.25">
      <c r="A529" s="1">
        <v>626</v>
      </c>
      <c r="B529" s="4">
        <v>3337624</v>
      </c>
      <c r="C529" s="3">
        <v>3.5000000000000003E-2</v>
      </c>
      <c r="D529" s="3">
        <f t="shared" si="8"/>
        <v>0.6</v>
      </c>
      <c r="E529" s="1">
        <v>0.4</v>
      </c>
      <c r="F529" s="2">
        <v>0.28999999999999998</v>
      </c>
      <c r="G529" s="2">
        <v>0.27</v>
      </c>
      <c r="H529" s="2">
        <v>0.44</v>
      </c>
    </row>
    <row r="530" spans="1:8" x14ac:dyDescent="0.25">
      <c r="A530" s="1">
        <v>987</v>
      </c>
      <c r="B530" s="4">
        <v>6198710</v>
      </c>
      <c r="C530" s="3">
        <v>3.49E-2</v>
      </c>
      <c r="D530" s="3">
        <f t="shared" si="8"/>
        <v>0.6</v>
      </c>
      <c r="E530" s="1">
        <v>0.4</v>
      </c>
      <c r="F530" s="2">
        <v>0.41</v>
      </c>
      <c r="G530" s="2">
        <v>0.26</v>
      </c>
      <c r="H530" s="2">
        <v>0.33</v>
      </c>
    </row>
    <row r="531" spans="1:8" x14ac:dyDescent="0.25">
      <c r="A531" s="1">
        <v>11</v>
      </c>
      <c r="B531" s="4">
        <v>6758899</v>
      </c>
      <c r="C531" s="3">
        <v>3.4799999999999998E-2</v>
      </c>
      <c r="D531" s="3">
        <f t="shared" si="8"/>
        <v>0.6</v>
      </c>
      <c r="E531" s="1">
        <v>0.4</v>
      </c>
      <c r="F531" s="2">
        <v>0.25</v>
      </c>
      <c r="G531" s="2">
        <v>0.23</v>
      </c>
      <c r="H531" s="2">
        <v>0.52</v>
      </c>
    </row>
    <row r="532" spans="1:8" x14ac:dyDescent="0.25">
      <c r="A532" s="1">
        <v>77</v>
      </c>
      <c r="B532" s="4">
        <v>2317779</v>
      </c>
      <c r="C532" s="3">
        <v>3.4799999999999998E-2</v>
      </c>
      <c r="D532" s="3">
        <f t="shared" si="8"/>
        <v>0.4</v>
      </c>
      <c r="E532" s="1">
        <v>0.6</v>
      </c>
      <c r="F532" s="2">
        <v>0.18</v>
      </c>
      <c r="G532" s="2">
        <v>0.47</v>
      </c>
      <c r="H532" s="2">
        <v>0.35000000000000003</v>
      </c>
    </row>
    <row r="533" spans="1:8" x14ac:dyDescent="0.25">
      <c r="A533" s="1">
        <v>245</v>
      </c>
      <c r="B533" s="4">
        <v>9547174</v>
      </c>
      <c r="C533" s="3">
        <v>3.4700000000000002E-2</v>
      </c>
      <c r="D533" s="3">
        <f t="shared" si="8"/>
        <v>0.7</v>
      </c>
      <c r="E533" s="1">
        <v>0.3</v>
      </c>
      <c r="F533" s="2">
        <v>0.19</v>
      </c>
      <c r="G533" s="2">
        <v>0.47</v>
      </c>
      <c r="H533" s="2">
        <v>0.34</v>
      </c>
    </row>
    <row r="534" spans="1:8" x14ac:dyDescent="0.25">
      <c r="A534" s="1">
        <v>389</v>
      </c>
      <c r="B534" s="4">
        <v>9008408</v>
      </c>
      <c r="C534" s="3">
        <v>3.4700000000000002E-2</v>
      </c>
      <c r="D534" s="3">
        <f t="shared" si="8"/>
        <v>0.7</v>
      </c>
      <c r="E534" s="1">
        <v>0.3</v>
      </c>
      <c r="F534" s="2">
        <v>0.24</v>
      </c>
      <c r="G534" s="2">
        <v>0.31</v>
      </c>
      <c r="H534" s="2">
        <v>0.44999999999999996</v>
      </c>
    </row>
    <row r="535" spans="1:8" x14ac:dyDescent="0.25">
      <c r="A535" s="1">
        <v>705</v>
      </c>
      <c r="B535" s="4">
        <v>4426344</v>
      </c>
      <c r="C535" s="3">
        <v>3.4700000000000002E-2</v>
      </c>
      <c r="D535" s="3">
        <f t="shared" si="8"/>
        <v>0.6</v>
      </c>
      <c r="E535" s="1">
        <v>0.4</v>
      </c>
      <c r="F535" s="2">
        <v>0.12</v>
      </c>
      <c r="G535" s="2">
        <v>0.35</v>
      </c>
      <c r="H535" s="2">
        <v>0.53</v>
      </c>
    </row>
    <row r="536" spans="1:8" x14ac:dyDescent="0.25">
      <c r="A536" s="1">
        <v>894</v>
      </c>
      <c r="B536" s="4">
        <v>7028397</v>
      </c>
      <c r="C536" s="3">
        <v>3.4700000000000002E-2</v>
      </c>
      <c r="D536" s="3">
        <f t="shared" si="8"/>
        <v>0.7</v>
      </c>
      <c r="E536" s="1">
        <v>0.3</v>
      </c>
      <c r="F536" s="2">
        <v>0.11</v>
      </c>
      <c r="G536" s="2">
        <v>0.36</v>
      </c>
      <c r="H536" s="2">
        <v>0.53</v>
      </c>
    </row>
    <row r="537" spans="1:8" x14ac:dyDescent="0.25">
      <c r="A537" s="1">
        <v>18</v>
      </c>
      <c r="B537" s="4">
        <v>2206063</v>
      </c>
      <c r="C537" s="3">
        <v>3.4599999999999999E-2</v>
      </c>
      <c r="D537" s="3">
        <f t="shared" si="8"/>
        <v>0.4</v>
      </c>
      <c r="E537" s="1">
        <v>0.6</v>
      </c>
      <c r="F537" s="2">
        <v>0.35</v>
      </c>
      <c r="G537" s="2">
        <v>0.48</v>
      </c>
      <c r="H537" s="2">
        <v>0.17000000000000004</v>
      </c>
    </row>
    <row r="538" spans="1:8" x14ac:dyDescent="0.25">
      <c r="A538" s="1">
        <v>110</v>
      </c>
      <c r="B538" s="4">
        <v>5822207</v>
      </c>
      <c r="C538" s="3">
        <v>3.4599999999999999E-2</v>
      </c>
      <c r="D538" s="3">
        <f t="shared" si="8"/>
        <v>0.6</v>
      </c>
      <c r="E538" s="1">
        <v>0.4</v>
      </c>
      <c r="F538" s="2">
        <v>0.11</v>
      </c>
      <c r="G538" s="2">
        <v>0.25</v>
      </c>
      <c r="H538" s="2">
        <v>0.64</v>
      </c>
    </row>
    <row r="539" spans="1:8" x14ac:dyDescent="0.25">
      <c r="A539" s="1">
        <v>910</v>
      </c>
      <c r="B539" s="4">
        <v>884019</v>
      </c>
      <c r="C539" s="3">
        <v>3.4599999999999999E-2</v>
      </c>
      <c r="D539" s="3">
        <f t="shared" si="8"/>
        <v>0.4</v>
      </c>
      <c r="E539" s="1">
        <v>0.6</v>
      </c>
      <c r="F539" s="2">
        <v>0.16</v>
      </c>
      <c r="G539" s="2">
        <v>0.34</v>
      </c>
      <c r="H539" s="2">
        <v>0.49999999999999989</v>
      </c>
    </row>
    <row r="540" spans="1:8" x14ac:dyDescent="0.25">
      <c r="A540" s="1">
        <v>410</v>
      </c>
      <c r="B540" s="4">
        <v>8560842</v>
      </c>
      <c r="C540" s="3">
        <v>3.4500000000000003E-2</v>
      </c>
      <c r="D540" s="3">
        <f t="shared" si="8"/>
        <v>0.7</v>
      </c>
      <c r="E540" s="1">
        <v>0.3</v>
      </c>
      <c r="F540" s="2">
        <v>0.23</v>
      </c>
      <c r="G540" s="2">
        <v>0.24</v>
      </c>
      <c r="H540" s="2">
        <v>0.53</v>
      </c>
    </row>
    <row r="541" spans="1:8" x14ac:dyDescent="0.25">
      <c r="A541" s="1">
        <v>499</v>
      </c>
      <c r="B541" s="4">
        <v>8104287</v>
      </c>
      <c r="C541" s="3">
        <v>3.4500000000000003E-2</v>
      </c>
      <c r="D541" s="3">
        <f t="shared" si="8"/>
        <v>0.7</v>
      </c>
      <c r="E541" s="1">
        <v>0.3</v>
      </c>
      <c r="F541" s="2">
        <v>0.34</v>
      </c>
      <c r="G541" s="2">
        <v>0.48</v>
      </c>
      <c r="H541" s="2">
        <v>0.18</v>
      </c>
    </row>
    <row r="542" spans="1:8" x14ac:dyDescent="0.25">
      <c r="A542" s="1">
        <v>580</v>
      </c>
      <c r="B542" s="4">
        <v>8299057</v>
      </c>
      <c r="C542" s="3">
        <v>3.4500000000000003E-2</v>
      </c>
      <c r="D542" s="3">
        <f t="shared" si="8"/>
        <v>0.7</v>
      </c>
      <c r="E542" s="1">
        <v>0.3</v>
      </c>
      <c r="F542" s="2">
        <v>0.33</v>
      </c>
      <c r="G542" s="2">
        <v>0.28000000000000003</v>
      </c>
      <c r="H542" s="2">
        <v>0.38999999999999996</v>
      </c>
    </row>
    <row r="543" spans="1:8" x14ac:dyDescent="0.25">
      <c r="A543" s="1">
        <v>639</v>
      </c>
      <c r="B543" s="4">
        <v>2373004</v>
      </c>
      <c r="C543" s="3">
        <v>3.44E-2</v>
      </c>
      <c r="D543" s="3">
        <f t="shared" si="8"/>
        <v>0.4</v>
      </c>
      <c r="E543" s="1">
        <v>0.6</v>
      </c>
      <c r="F543" s="2">
        <v>0.36</v>
      </c>
      <c r="G543" s="2">
        <v>0.31</v>
      </c>
      <c r="H543" s="2">
        <v>0.32999999999999996</v>
      </c>
    </row>
    <row r="544" spans="1:8" x14ac:dyDescent="0.25">
      <c r="A544" s="1">
        <v>652</v>
      </c>
      <c r="B544" s="4">
        <v>5548244</v>
      </c>
      <c r="C544" s="3">
        <v>3.44E-2</v>
      </c>
      <c r="D544" s="3">
        <f t="shared" si="8"/>
        <v>0.6</v>
      </c>
      <c r="E544" s="1">
        <v>0.4</v>
      </c>
      <c r="F544" s="2">
        <v>0.39</v>
      </c>
      <c r="G544" s="2">
        <v>0.42</v>
      </c>
      <c r="H544" s="2">
        <v>0.19000000000000006</v>
      </c>
    </row>
    <row r="545" spans="1:8" x14ac:dyDescent="0.25">
      <c r="A545" s="1">
        <v>750</v>
      </c>
      <c r="B545" s="4">
        <v>9130706</v>
      </c>
      <c r="C545" s="3">
        <v>3.44E-2</v>
      </c>
      <c r="D545" s="3">
        <f t="shared" si="8"/>
        <v>0.7</v>
      </c>
      <c r="E545" s="1">
        <v>0.3</v>
      </c>
      <c r="F545" s="2">
        <v>0.24</v>
      </c>
      <c r="G545" s="2">
        <v>0.28999999999999998</v>
      </c>
      <c r="H545" s="2">
        <v>0.47</v>
      </c>
    </row>
    <row r="546" spans="1:8" x14ac:dyDescent="0.25">
      <c r="A546" s="1">
        <v>928</v>
      </c>
      <c r="B546" s="4">
        <v>8301823</v>
      </c>
      <c r="C546" s="3">
        <v>3.44E-2</v>
      </c>
      <c r="D546" s="3">
        <f t="shared" si="8"/>
        <v>0.7</v>
      </c>
      <c r="E546" s="1">
        <v>0.3</v>
      </c>
      <c r="F546" s="2">
        <v>0.36</v>
      </c>
      <c r="G546" s="2">
        <v>0.36</v>
      </c>
      <c r="H546" s="2">
        <v>0.28000000000000003</v>
      </c>
    </row>
    <row r="547" spans="1:8" x14ac:dyDescent="0.25">
      <c r="A547" s="1">
        <v>989</v>
      </c>
      <c r="B547" s="4">
        <v>4008710</v>
      </c>
      <c r="C547" s="3">
        <v>3.44E-2</v>
      </c>
      <c r="D547" s="3">
        <f t="shared" si="8"/>
        <v>0.6</v>
      </c>
      <c r="E547" s="1">
        <v>0.4</v>
      </c>
      <c r="F547" s="2">
        <v>0.2</v>
      </c>
      <c r="G547" s="2">
        <v>0.36</v>
      </c>
      <c r="H547" s="2">
        <v>0.44</v>
      </c>
    </row>
    <row r="548" spans="1:8" x14ac:dyDescent="0.25">
      <c r="A548" s="1">
        <v>359</v>
      </c>
      <c r="B548" s="4">
        <v>2458173</v>
      </c>
      <c r="C548" s="3">
        <v>3.4300000000000004E-2</v>
      </c>
      <c r="D548" s="3">
        <f t="shared" si="8"/>
        <v>0.4</v>
      </c>
      <c r="E548" s="1">
        <v>0.6</v>
      </c>
      <c r="F548" s="2">
        <v>0.39</v>
      </c>
      <c r="G548" s="2">
        <v>0.45</v>
      </c>
      <c r="H548" s="2">
        <v>0.16000000000000003</v>
      </c>
    </row>
    <row r="549" spans="1:8" x14ac:dyDescent="0.25">
      <c r="A549" s="1">
        <v>746</v>
      </c>
      <c r="B549" s="4">
        <v>1471281</v>
      </c>
      <c r="C549" s="3">
        <v>3.4200000000000001E-2</v>
      </c>
      <c r="D549" s="3">
        <f t="shared" si="8"/>
        <v>0.4</v>
      </c>
      <c r="E549" s="1">
        <v>0.6</v>
      </c>
      <c r="F549" s="2">
        <v>0.3</v>
      </c>
      <c r="G549" s="2">
        <v>0.37</v>
      </c>
      <c r="H549" s="2">
        <v>0.33</v>
      </c>
    </row>
    <row r="550" spans="1:8" x14ac:dyDescent="0.25">
      <c r="A550" s="1">
        <v>5</v>
      </c>
      <c r="B550" s="4">
        <v>7357799</v>
      </c>
      <c r="C550" s="3">
        <v>3.4099999999999998E-2</v>
      </c>
      <c r="D550" s="3">
        <f t="shared" si="8"/>
        <v>0.7</v>
      </c>
      <c r="E550" s="1">
        <v>0.3</v>
      </c>
      <c r="F550" s="2">
        <v>0.35</v>
      </c>
      <c r="G550" s="2">
        <v>0.44</v>
      </c>
      <c r="H550" s="2">
        <v>0.21000000000000008</v>
      </c>
    </row>
    <row r="551" spans="1:8" x14ac:dyDescent="0.25">
      <c r="A551" s="1">
        <v>305</v>
      </c>
      <c r="B551" s="4">
        <v>4488730</v>
      </c>
      <c r="C551" s="3">
        <v>3.4099999999999998E-2</v>
      </c>
      <c r="D551" s="3">
        <f t="shared" si="8"/>
        <v>0.6</v>
      </c>
      <c r="E551" s="1">
        <v>0.4</v>
      </c>
      <c r="F551" s="2">
        <v>0.42</v>
      </c>
      <c r="G551" s="2">
        <v>0.46</v>
      </c>
      <c r="H551" s="2">
        <v>0.12000000000000005</v>
      </c>
    </row>
    <row r="552" spans="1:8" x14ac:dyDescent="0.25">
      <c r="A552" s="1">
        <v>794</v>
      </c>
      <c r="B552" s="4">
        <v>7302617</v>
      </c>
      <c r="C552" s="3">
        <v>3.4099999999999998E-2</v>
      </c>
      <c r="D552" s="3">
        <f t="shared" si="8"/>
        <v>0.7</v>
      </c>
      <c r="E552" s="1">
        <v>0.3</v>
      </c>
      <c r="F552" s="2">
        <v>0.15</v>
      </c>
      <c r="G552" s="2">
        <v>0.42</v>
      </c>
      <c r="H552" s="2">
        <v>0.43000000000000005</v>
      </c>
    </row>
    <row r="553" spans="1:8" x14ac:dyDescent="0.25">
      <c r="A553" s="1">
        <v>190</v>
      </c>
      <c r="B553" s="4">
        <v>5861766</v>
      </c>
      <c r="C553" s="3">
        <v>3.4000000000000002E-2</v>
      </c>
      <c r="D553" s="3">
        <f t="shared" si="8"/>
        <v>0.6</v>
      </c>
      <c r="E553" s="1">
        <v>0.4</v>
      </c>
      <c r="F553" s="2">
        <v>0.2</v>
      </c>
      <c r="G553" s="2">
        <v>0.4</v>
      </c>
      <c r="H553" s="2">
        <v>0.39999999999999997</v>
      </c>
    </row>
    <row r="554" spans="1:8" x14ac:dyDescent="0.25">
      <c r="A554" s="1">
        <v>1032</v>
      </c>
      <c r="B554" s="4">
        <v>555065</v>
      </c>
      <c r="C554" s="3">
        <v>3.3799999999999997E-2</v>
      </c>
      <c r="D554" s="3">
        <f t="shared" si="8"/>
        <v>0.4</v>
      </c>
      <c r="E554" s="1">
        <v>0.6</v>
      </c>
      <c r="F554" s="2">
        <v>0.39</v>
      </c>
      <c r="G554" s="2">
        <v>0.38</v>
      </c>
      <c r="H554" s="2">
        <v>0.22999999999999998</v>
      </c>
    </row>
    <row r="555" spans="1:8" x14ac:dyDescent="0.25">
      <c r="A555" s="1">
        <v>391</v>
      </c>
      <c r="B555" s="4">
        <v>2213527</v>
      </c>
      <c r="C555" s="3">
        <v>3.3700000000000001E-2</v>
      </c>
      <c r="D555" s="3">
        <f t="shared" si="8"/>
        <v>0.4</v>
      </c>
      <c r="E555" s="1">
        <v>0.6</v>
      </c>
      <c r="F555" s="2">
        <v>0.36</v>
      </c>
      <c r="G555" s="2">
        <v>0.48</v>
      </c>
      <c r="H555" s="2">
        <v>0.16000000000000003</v>
      </c>
    </row>
    <row r="556" spans="1:8" x14ac:dyDescent="0.25">
      <c r="A556" s="1">
        <v>858</v>
      </c>
      <c r="B556" s="4">
        <v>6916445</v>
      </c>
      <c r="C556" s="3">
        <v>3.3700000000000001E-2</v>
      </c>
      <c r="D556" s="3">
        <f t="shared" si="8"/>
        <v>0.6</v>
      </c>
      <c r="E556" s="1">
        <v>0.4</v>
      </c>
      <c r="F556" s="2">
        <v>0.28000000000000003</v>
      </c>
      <c r="G556" s="2">
        <v>0.37</v>
      </c>
      <c r="H556" s="2">
        <v>0.35</v>
      </c>
    </row>
    <row r="557" spans="1:8" x14ac:dyDescent="0.25">
      <c r="A557" s="1">
        <v>301</v>
      </c>
      <c r="B557" s="4">
        <v>9704573</v>
      </c>
      <c r="C557" s="3">
        <v>3.3599999999999998E-2</v>
      </c>
      <c r="D557" s="3">
        <f t="shared" si="8"/>
        <v>0.7</v>
      </c>
      <c r="E557" s="1">
        <v>0.3</v>
      </c>
      <c r="F557" s="2">
        <v>0.17</v>
      </c>
      <c r="G557" s="2">
        <v>0.28000000000000003</v>
      </c>
      <c r="H557" s="2">
        <v>0.54999999999999993</v>
      </c>
    </row>
    <row r="558" spans="1:8" x14ac:dyDescent="0.25">
      <c r="A558" s="1">
        <v>381</v>
      </c>
      <c r="B558" s="4">
        <v>6887467</v>
      </c>
      <c r="C558" s="3">
        <v>3.3599999999999998E-2</v>
      </c>
      <c r="D558" s="3">
        <f t="shared" si="8"/>
        <v>0.6</v>
      </c>
      <c r="E558" s="1">
        <v>0.4</v>
      </c>
      <c r="F558" s="2">
        <v>0.3</v>
      </c>
      <c r="G558" s="2">
        <v>0.33</v>
      </c>
      <c r="H558" s="2">
        <v>0.36999999999999994</v>
      </c>
    </row>
    <row r="559" spans="1:8" x14ac:dyDescent="0.25">
      <c r="A559" s="1">
        <v>589</v>
      </c>
      <c r="B559" s="4">
        <v>9899379</v>
      </c>
      <c r="C559" s="3">
        <v>3.3599999999999998E-2</v>
      </c>
      <c r="D559" s="3">
        <f t="shared" si="8"/>
        <v>0.7</v>
      </c>
      <c r="E559" s="1">
        <v>0.3</v>
      </c>
      <c r="F559" s="2">
        <v>0.34</v>
      </c>
      <c r="G559" s="2">
        <v>0.43</v>
      </c>
      <c r="H559" s="2">
        <v>0.23000000000000004</v>
      </c>
    </row>
    <row r="560" spans="1:8" x14ac:dyDescent="0.25">
      <c r="A560" s="1">
        <v>674</v>
      </c>
      <c r="B560" s="4">
        <v>1789500</v>
      </c>
      <c r="C560" s="3">
        <v>3.3500000000000002E-2</v>
      </c>
      <c r="D560" s="3">
        <f t="shared" si="8"/>
        <v>0.4</v>
      </c>
      <c r="E560" s="1">
        <v>0.6</v>
      </c>
      <c r="F560" s="2">
        <v>0.3</v>
      </c>
      <c r="G560" s="2">
        <v>0.24</v>
      </c>
      <c r="H560" s="2">
        <v>0.46</v>
      </c>
    </row>
    <row r="561" spans="1:8" x14ac:dyDescent="0.25">
      <c r="A561" s="1">
        <v>9</v>
      </c>
      <c r="B561" s="4">
        <v>7294311</v>
      </c>
      <c r="C561" s="3">
        <v>3.3399999999999999E-2</v>
      </c>
      <c r="D561" s="3">
        <f t="shared" si="8"/>
        <v>0.7</v>
      </c>
      <c r="E561" s="1">
        <v>0.3</v>
      </c>
      <c r="F561" s="2">
        <v>0.37</v>
      </c>
      <c r="G561" s="2">
        <v>0.28000000000000003</v>
      </c>
      <c r="H561" s="2">
        <v>0.35</v>
      </c>
    </row>
    <row r="562" spans="1:8" x14ac:dyDescent="0.25">
      <c r="A562" s="1">
        <v>139</v>
      </c>
      <c r="B562" s="4">
        <v>9778060</v>
      </c>
      <c r="C562" s="3">
        <v>3.3300000000000003E-2</v>
      </c>
      <c r="D562" s="3">
        <f t="shared" si="8"/>
        <v>0.7</v>
      </c>
      <c r="E562" s="1">
        <v>0.3</v>
      </c>
      <c r="F562" s="2">
        <v>0.11</v>
      </c>
      <c r="G562" s="2">
        <v>0.3</v>
      </c>
      <c r="H562" s="2">
        <v>0.59</v>
      </c>
    </row>
    <row r="563" spans="1:8" x14ac:dyDescent="0.25">
      <c r="A563" s="1">
        <v>206</v>
      </c>
      <c r="B563" s="4">
        <v>1997430</v>
      </c>
      <c r="C563" s="3">
        <v>3.3300000000000003E-2</v>
      </c>
      <c r="D563" s="3">
        <f t="shared" si="8"/>
        <v>0.4</v>
      </c>
      <c r="E563" s="1">
        <v>0.6</v>
      </c>
      <c r="F563" s="2">
        <v>0.42</v>
      </c>
      <c r="G563" s="2">
        <v>0.4</v>
      </c>
      <c r="H563" s="2">
        <v>0.18</v>
      </c>
    </row>
    <row r="564" spans="1:8" x14ac:dyDescent="0.25">
      <c r="A564" s="1">
        <v>566</v>
      </c>
      <c r="B564" s="4">
        <v>1423177</v>
      </c>
      <c r="C564" s="3">
        <v>3.3300000000000003E-2</v>
      </c>
      <c r="D564" s="3">
        <f t="shared" si="8"/>
        <v>0.4</v>
      </c>
      <c r="E564" s="1">
        <v>0.6</v>
      </c>
      <c r="F564" s="2">
        <v>0.22</v>
      </c>
      <c r="G564" s="2">
        <v>0.26</v>
      </c>
      <c r="H564" s="2">
        <v>0.52</v>
      </c>
    </row>
    <row r="565" spans="1:8" x14ac:dyDescent="0.25">
      <c r="A565" s="1">
        <v>574</v>
      </c>
      <c r="B565" s="4">
        <v>5494980</v>
      </c>
      <c r="C565" s="3">
        <v>3.3300000000000003E-2</v>
      </c>
      <c r="D565" s="3">
        <f t="shared" si="8"/>
        <v>0.6</v>
      </c>
      <c r="E565" s="1">
        <v>0.4</v>
      </c>
      <c r="F565" s="2">
        <v>0.2</v>
      </c>
      <c r="G565" s="2">
        <v>0.35</v>
      </c>
      <c r="H565" s="2">
        <v>0.45</v>
      </c>
    </row>
    <row r="566" spans="1:8" x14ac:dyDescent="0.25">
      <c r="A566" s="1">
        <v>983</v>
      </c>
      <c r="B566" s="4">
        <v>7843441</v>
      </c>
      <c r="C566" s="3">
        <v>3.3300000000000003E-2</v>
      </c>
      <c r="D566" s="3">
        <f t="shared" si="8"/>
        <v>0.7</v>
      </c>
      <c r="E566" s="1">
        <v>0.3</v>
      </c>
      <c r="F566" s="2">
        <v>0.22</v>
      </c>
      <c r="G566" s="2">
        <v>0.44</v>
      </c>
      <c r="H566" s="2">
        <v>0.34000000000000008</v>
      </c>
    </row>
    <row r="567" spans="1:8" x14ac:dyDescent="0.25">
      <c r="A567" s="1">
        <v>1007</v>
      </c>
      <c r="B567" s="4">
        <v>459033</v>
      </c>
      <c r="C567" s="3">
        <v>3.32E-2</v>
      </c>
      <c r="D567" s="3">
        <f t="shared" si="8"/>
        <v>0.4</v>
      </c>
      <c r="E567" s="1">
        <v>0.6</v>
      </c>
      <c r="F567" s="2">
        <v>0.43</v>
      </c>
      <c r="G567" s="2">
        <v>0.48</v>
      </c>
      <c r="H567" s="2">
        <v>9.0000000000000024E-2</v>
      </c>
    </row>
    <row r="568" spans="1:8" x14ac:dyDescent="0.25">
      <c r="A568" s="1">
        <v>256</v>
      </c>
      <c r="B568" s="4">
        <v>6798754</v>
      </c>
      <c r="C568" s="3">
        <v>3.3000000000000002E-2</v>
      </c>
      <c r="D568" s="3">
        <f t="shared" si="8"/>
        <v>0.6</v>
      </c>
      <c r="E568" s="1">
        <v>0.4</v>
      </c>
      <c r="F568" s="2">
        <v>0.45</v>
      </c>
      <c r="G568" s="2">
        <v>0.41</v>
      </c>
      <c r="H568" s="2">
        <v>0.14000000000000007</v>
      </c>
    </row>
    <row r="569" spans="1:8" x14ac:dyDescent="0.25">
      <c r="A569" s="1">
        <v>417</v>
      </c>
      <c r="B569" s="4">
        <v>1954850</v>
      </c>
      <c r="C569" s="3">
        <v>3.3000000000000002E-2</v>
      </c>
      <c r="D569" s="3">
        <f t="shared" si="8"/>
        <v>0.4</v>
      </c>
      <c r="E569" s="1">
        <v>0.6</v>
      </c>
      <c r="F569" s="2">
        <v>0.43</v>
      </c>
      <c r="G569" s="2">
        <v>0.36</v>
      </c>
      <c r="H569" s="2">
        <v>0.21000000000000002</v>
      </c>
    </row>
    <row r="570" spans="1:8" x14ac:dyDescent="0.25">
      <c r="A570" s="1">
        <v>658</v>
      </c>
      <c r="B570" s="4">
        <v>4190748</v>
      </c>
      <c r="C570" s="3">
        <v>3.3000000000000002E-2</v>
      </c>
      <c r="D570" s="3">
        <f t="shared" si="8"/>
        <v>0.6</v>
      </c>
      <c r="E570" s="1">
        <v>0.4</v>
      </c>
      <c r="F570" s="2">
        <v>0.43</v>
      </c>
      <c r="G570" s="2">
        <v>0.45</v>
      </c>
      <c r="H570" s="2">
        <v>0.12000000000000005</v>
      </c>
    </row>
    <row r="571" spans="1:8" x14ac:dyDescent="0.25">
      <c r="A571" s="1">
        <v>950</v>
      </c>
      <c r="B571" s="4">
        <v>7268547</v>
      </c>
      <c r="C571" s="3">
        <v>3.2899999999999999E-2</v>
      </c>
      <c r="D571" s="3">
        <f t="shared" si="8"/>
        <v>0.7</v>
      </c>
      <c r="E571" s="1">
        <v>0.3</v>
      </c>
      <c r="F571" s="2">
        <v>0.23</v>
      </c>
      <c r="G571" s="2">
        <v>0.2</v>
      </c>
      <c r="H571" s="2">
        <v>0.57000000000000006</v>
      </c>
    </row>
    <row r="572" spans="1:8" x14ac:dyDescent="0.25">
      <c r="A572" s="1">
        <v>481</v>
      </c>
      <c r="B572" s="4">
        <v>5199223</v>
      </c>
      <c r="C572" s="3">
        <v>3.2799999999999996E-2</v>
      </c>
      <c r="D572" s="3">
        <f t="shared" si="8"/>
        <v>0.6</v>
      </c>
      <c r="E572" s="1">
        <v>0.4</v>
      </c>
      <c r="F572" s="2">
        <v>0.15</v>
      </c>
      <c r="G572" s="2">
        <v>0.24</v>
      </c>
      <c r="H572" s="2">
        <v>0.61</v>
      </c>
    </row>
    <row r="573" spans="1:8" x14ac:dyDescent="0.25">
      <c r="A573" s="1">
        <v>761</v>
      </c>
      <c r="B573" s="4">
        <v>1251593</v>
      </c>
      <c r="C573" s="3">
        <v>3.2799999999999996E-2</v>
      </c>
      <c r="D573" s="3">
        <f t="shared" si="8"/>
        <v>0.4</v>
      </c>
      <c r="E573" s="1">
        <v>0.6</v>
      </c>
      <c r="F573" s="2">
        <v>0.44</v>
      </c>
      <c r="G573" s="2">
        <v>0.44</v>
      </c>
      <c r="H573" s="2">
        <v>0.12000000000000005</v>
      </c>
    </row>
    <row r="574" spans="1:8" x14ac:dyDescent="0.25">
      <c r="A574" s="1">
        <v>1026</v>
      </c>
      <c r="B574" s="4">
        <v>6543300</v>
      </c>
      <c r="C574" s="3">
        <v>3.2799999999999996E-2</v>
      </c>
      <c r="D574" s="3">
        <f t="shared" si="8"/>
        <v>0.6</v>
      </c>
      <c r="E574" s="1">
        <v>0.4</v>
      </c>
      <c r="F574" s="2">
        <v>0.1</v>
      </c>
      <c r="G574" s="2">
        <v>0.28999999999999998</v>
      </c>
      <c r="H574" s="2">
        <v>0.61</v>
      </c>
    </row>
    <row r="575" spans="1:8" x14ac:dyDescent="0.25">
      <c r="A575" s="1">
        <v>207</v>
      </c>
      <c r="B575" s="4">
        <v>9688026</v>
      </c>
      <c r="C575" s="3">
        <v>3.27E-2</v>
      </c>
      <c r="D575" s="3">
        <f t="shared" si="8"/>
        <v>0.7</v>
      </c>
      <c r="E575" s="1">
        <v>0.3</v>
      </c>
      <c r="F575" s="2">
        <v>0.1</v>
      </c>
      <c r="G575" s="2">
        <v>0.33</v>
      </c>
      <c r="H575" s="2">
        <v>0.56999999999999995</v>
      </c>
    </row>
    <row r="576" spans="1:8" x14ac:dyDescent="0.25">
      <c r="A576" s="1">
        <v>31</v>
      </c>
      <c r="B576" s="4">
        <v>5970023</v>
      </c>
      <c r="C576" s="3">
        <v>3.2599999999999997E-2</v>
      </c>
      <c r="D576" s="3">
        <f t="shared" si="8"/>
        <v>0.6</v>
      </c>
      <c r="E576" s="1">
        <v>0.4</v>
      </c>
      <c r="F576" s="2">
        <v>0.13</v>
      </c>
      <c r="G576" s="2">
        <v>0.34</v>
      </c>
      <c r="H576" s="2">
        <v>0.52999999999999992</v>
      </c>
    </row>
    <row r="577" spans="1:8" x14ac:dyDescent="0.25">
      <c r="A577" s="1">
        <v>59</v>
      </c>
      <c r="B577" s="4">
        <v>2789626</v>
      </c>
      <c r="C577" s="3">
        <v>3.2599999999999997E-2</v>
      </c>
      <c r="D577" s="3">
        <f t="shared" si="8"/>
        <v>0.4</v>
      </c>
      <c r="E577" s="1">
        <v>0.6</v>
      </c>
      <c r="F577" s="2">
        <v>0.39</v>
      </c>
      <c r="G577" s="2">
        <v>0.43</v>
      </c>
      <c r="H577" s="2">
        <v>0.18000000000000005</v>
      </c>
    </row>
    <row r="578" spans="1:8" x14ac:dyDescent="0.25">
      <c r="A578" s="1">
        <v>517</v>
      </c>
      <c r="B578" s="4">
        <v>9277219</v>
      </c>
      <c r="C578" s="3">
        <v>3.2599999999999997E-2</v>
      </c>
      <c r="D578" s="3">
        <f t="shared" ref="D578:D641" si="9">1-E578</f>
        <v>0.7</v>
      </c>
      <c r="E578" s="1">
        <v>0.3</v>
      </c>
      <c r="F578" s="2">
        <v>0.41</v>
      </c>
      <c r="G578" s="2">
        <v>0.48</v>
      </c>
      <c r="H578" s="2">
        <v>0.11000000000000004</v>
      </c>
    </row>
    <row r="579" spans="1:8" x14ac:dyDescent="0.25">
      <c r="A579" s="1">
        <v>289</v>
      </c>
      <c r="B579" s="4">
        <v>9292068</v>
      </c>
      <c r="C579" s="3">
        <v>3.2400000000000005E-2</v>
      </c>
      <c r="D579" s="3">
        <f t="shared" si="9"/>
        <v>0.7</v>
      </c>
      <c r="E579" s="1">
        <v>0.3</v>
      </c>
      <c r="F579" s="2">
        <v>0.11</v>
      </c>
      <c r="G579" s="2">
        <v>0.23</v>
      </c>
      <c r="H579" s="2">
        <v>0.66</v>
      </c>
    </row>
    <row r="580" spans="1:8" x14ac:dyDescent="0.25">
      <c r="A580" s="1">
        <v>1011</v>
      </c>
      <c r="B580" s="4">
        <v>9635890</v>
      </c>
      <c r="C580" s="3">
        <v>3.2400000000000005E-2</v>
      </c>
      <c r="D580" s="3">
        <f t="shared" si="9"/>
        <v>0.7</v>
      </c>
      <c r="E580" s="1">
        <v>0.3</v>
      </c>
      <c r="F580" s="2">
        <v>0.12</v>
      </c>
      <c r="G580" s="2">
        <v>0.25</v>
      </c>
      <c r="H580" s="2">
        <v>0.63</v>
      </c>
    </row>
    <row r="581" spans="1:8" x14ac:dyDescent="0.25">
      <c r="A581" s="1">
        <v>741</v>
      </c>
      <c r="B581" s="4">
        <v>5394495</v>
      </c>
      <c r="C581" s="3">
        <v>3.2300000000000002E-2</v>
      </c>
      <c r="D581" s="3">
        <f t="shared" si="9"/>
        <v>0.6</v>
      </c>
      <c r="E581" s="1">
        <v>0.4</v>
      </c>
      <c r="F581" s="2">
        <v>0.25</v>
      </c>
      <c r="G581" s="2">
        <v>0.2</v>
      </c>
      <c r="H581" s="2">
        <v>0.55000000000000004</v>
      </c>
    </row>
    <row r="582" spans="1:8" x14ac:dyDescent="0.25">
      <c r="A582" s="1">
        <v>89</v>
      </c>
      <c r="B582" s="4">
        <v>4862634</v>
      </c>
      <c r="C582" s="3">
        <v>3.2199999999999999E-2</v>
      </c>
      <c r="D582" s="3">
        <f t="shared" si="9"/>
        <v>0.6</v>
      </c>
      <c r="E582" s="1">
        <v>0.4</v>
      </c>
      <c r="F582" s="2">
        <v>0.14000000000000001</v>
      </c>
      <c r="G582" s="2">
        <v>0.2</v>
      </c>
      <c r="H582" s="2">
        <v>0.66</v>
      </c>
    </row>
    <row r="583" spans="1:8" x14ac:dyDescent="0.25">
      <c r="A583" s="1">
        <v>976</v>
      </c>
      <c r="B583" s="4">
        <v>8254777</v>
      </c>
      <c r="C583" s="3">
        <v>3.2199999999999999E-2</v>
      </c>
      <c r="D583" s="3">
        <f t="shared" si="9"/>
        <v>0.7</v>
      </c>
      <c r="E583" s="1">
        <v>0.3</v>
      </c>
      <c r="F583" s="2">
        <v>0.38</v>
      </c>
      <c r="G583" s="2">
        <v>0.33</v>
      </c>
      <c r="H583" s="2">
        <v>0.28999999999999992</v>
      </c>
    </row>
    <row r="584" spans="1:8" x14ac:dyDescent="0.25">
      <c r="A584" s="1">
        <v>330</v>
      </c>
      <c r="B584" s="4">
        <v>6814366</v>
      </c>
      <c r="C584" s="3">
        <v>3.2099999999999997E-2</v>
      </c>
      <c r="D584" s="3">
        <f t="shared" si="9"/>
        <v>0.6</v>
      </c>
      <c r="E584" s="1">
        <v>0.4</v>
      </c>
      <c r="F584" s="2">
        <v>0.16</v>
      </c>
      <c r="G584" s="2">
        <v>0.43</v>
      </c>
      <c r="H584" s="2">
        <v>0.41000000000000003</v>
      </c>
    </row>
    <row r="585" spans="1:8" x14ac:dyDescent="0.25">
      <c r="A585" s="1">
        <v>678</v>
      </c>
      <c r="B585" s="4">
        <v>8519726</v>
      </c>
      <c r="C585" s="3">
        <v>3.2099999999999997E-2</v>
      </c>
      <c r="D585" s="3">
        <f t="shared" si="9"/>
        <v>0.7</v>
      </c>
      <c r="E585" s="1">
        <v>0.3</v>
      </c>
      <c r="F585" s="2">
        <v>0.4</v>
      </c>
      <c r="G585" s="2">
        <v>0.37</v>
      </c>
      <c r="H585" s="2">
        <v>0.22999999999999998</v>
      </c>
    </row>
    <row r="586" spans="1:8" x14ac:dyDescent="0.25">
      <c r="A586" s="1">
        <v>57</v>
      </c>
      <c r="B586" s="4">
        <v>2038599</v>
      </c>
      <c r="C586" s="3">
        <v>3.1899999999999998E-2</v>
      </c>
      <c r="D586" s="3">
        <f t="shared" si="9"/>
        <v>0.4</v>
      </c>
      <c r="E586" s="1">
        <v>0.6</v>
      </c>
      <c r="F586" s="2">
        <v>0.39</v>
      </c>
      <c r="G586" s="2">
        <v>0.3</v>
      </c>
      <c r="H586" s="2">
        <v>0.30999999999999994</v>
      </c>
    </row>
    <row r="587" spans="1:8" x14ac:dyDescent="0.25">
      <c r="A587" s="1">
        <v>679</v>
      </c>
      <c r="B587" s="4">
        <v>9792262</v>
      </c>
      <c r="C587" s="3">
        <v>3.1899999999999998E-2</v>
      </c>
      <c r="D587" s="3">
        <f t="shared" si="9"/>
        <v>0.7</v>
      </c>
      <c r="E587" s="1">
        <v>0.3</v>
      </c>
      <c r="F587" s="2">
        <v>0.28000000000000003</v>
      </c>
      <c r="G587" s="2">
        <v>0.41</v>
      </c>
      <c r="H587" s="2">
        <v>0.31000000000000005</v>
      </c>
    </row>
    <row r="588" spans="1:8" x14ac:dyDescent="0.25">
      <c r="A588" s="1">
        <v>689</v>
      </c>
      <c r="B588" s="4">
        <v>5278748</v>
      </c>
      <c r="C588" s="3">
        <v>3.1899999999999998E-2</v>
      </c>
      <c r="D588" s="3">
        <f t="shared" si="9"/>
        <v>0.6</v>
      </c>
      <c r="E588" s="1">
        <v>0.4</v>
      </c>
      <c r="F588" s="2">
        <v>0.25</v>
      </c>
      <c r="G588" s="2">
        <v>0.3</v>
      </c>
      <c r="H588" s="2">
        <v>0.44999999999999996</v>
      </c>
    </row>
    <row r="589" spans="1:8" x14ac:dyDescent="0.25">
      <c r="A589" s="1">
        <v>711</v>
      </c>
      <c r="B589" s="4">
        <v>6403468</v>
      </c>
      <c r="C589" s="3">
        <v>3.1899999999999998E-2</v>
      </c>
      <c r="D589" s="3">
        <f t="shared" si="9"/>
        <v>0.6</v>
      </c>
      <c r="E589" s="1">
        <v>0.4</v>
      </c>
      <c r="F589" s="2">
        <v>0.44</v>
      </c>
      <c r="G589" s="2">
        <v>0.5</v>
      </c>
      <c r="H589" s="2">
        <v>0.06</v>
      </c>
    </row>
    <row r="590" spans="1:8" x14ac:dyDescent="0.25">
      <c r="A590" s="1">
        <v>1039</v>
      </c>
      <c r="B590" s="4">
        <v>9645057</v>
      </c>
      <c r="C590" s="3">
        <v>3.1899999999999998E-2</v>
      </c>
      <c r="D590" s="3">
        <f t="shared" si="9"/>
        <v>0.7</v>
      </c>
      <c r="E590" s="1">
        <v>0.3</v>
      </c>
      <c r="F590" s="2">
        <v>0.28999999999999998</v>
      </c>
      <c r="G590" s="2">
        <v>0.45</v>
      </c>
      <c r="H590" s="2">
        <v>0.26000000000000006</v>
      </c>
    </row>
    <row r="591" spans="1:8" x14ac:dyDescent="0.25">
      <c r="A591" s="1">
        <v>232</v>
      </c>
      <c r="B591" s="4">
        <v>2307353</v>
      </c>
      <c r="C591" s="3">
        <v>3.1800000000000002E-2</v>
      </c>
      <c r="D591" s="3">
        <f t="shared" si="9"/>
        <v>0.4</v>
      </c>
      <c r="E591" s="1">
        <v>0.6</v>
      </c>
      <c r="F591" s="2">
        <v>0.18</v>
      </c>
      <c r="G591" s="2">
        <v>0.44</v>
      </c>
      <c r="H591" s="2">
        <v>0.38000000000000006</v>
      </c>
    </row>
    <row r="592" spans="1:8" x14ac:dyDescent="0.25">
      <c r="A592" s="1">
        <v>247</v>
      </c>
      <c r="B592" s="4">
        <v>5270364</v>
      </c>
      <c r="C592" s="3">
        <v>3.1800000000000002E-2</v>
      </c>
      <c r="D592" s="3">
        <f t="shared" si="9"/>
        <v>0.6</v>
      </c>
      <c r="E592" s="1">
        <v>0.4</v>
      </c>
      <c r="F592" s="2">
        <v>0.12</v>
      </c>
      <c r="G592" s="2">
        <v>0.43</v>
      </c>
      <c r="H592" s="2">
        <v>0.45000000000000007</v>
      </c>
    </row>
    <row r="593" spans="1:8" x14ac:dyDescent="0.25">
      <c r="A593" s="1">
        <v>162</v>
      </c>
      <c r="B593" s="4">
        <v>3439322</v>
      </c>
      <c r="C593" s="3">
        <v>3.1600000000000003E-2</v>
      </c>
      <c r="D593" s="3">
        <f t="shared" si="9"/>
        <v>0.6</v>
      </c>
      <c r="E593" s="1">
        <v>0.4</v>
      </c>
      <c r="F593" s="2">
        <v>0.18</v>
      </c>
      <c r="G593" s="2">
        <v>0.35</v>
      </c>
      <c r="H593" s="2">
        <v>0.47000000000000003</v>
      </c>
    </row>
    <row r="594" spans="1:8" x14ac:dyDescent="0.25">
      <c r="A594" s="1">
        <v>564</v>
      </c>
      <c r="B594" s="4">
        <v>8057137</v>
      </c>
      <c r="C594" s="3">
        <v>3.1600000000000003E-2</v>
      </c>
      <c r="D594" s="3">
        <f t="shared" si="9"/>
        <v>0.7</v>
      </c>
      <c r="E594" s="1">
        <v>0.3</v>
      </c>
      <c r="F594" s="2">
        <v>0.2</v>
      </c>
      <c r="G594" s="2">
        <v>0.41</v>
      </c>
      <c r="H594" s="2">
        <v>0.39000000000000007</v>
      </c>
    </row>
    <row r="595" spans="1:8" x14ac:dyDescent="0.25">
      <c r="A595" s="1">
        <v>775</v>
      </c>
      <c r="B595" s="4">
        <v>2422815</v>
      </c>
      <c r="C595" s="3">
        <v>3.1600000000000003E-2</v>
      </c>
      <c r="D595" s="3">
        <f t="shared" si="9"/>
        <v>0.4</v>
      </c>
      <c r="E595" s="1">
        <v>0.6</v>
      </c>
      <c r="F595" s="2">
        <v>0.41</v>
      </c>
      <c r="G595" s="2">
        <v>0.38</v>
      </c>
      <c r="H595" s="2">
        <v>0.21000000000000002</v>
      </c>
    </row>
    <row r="596" spans="1:8" x14ac:dyDescent="0.25">
      <c r="A596" s="1">
        <v>965</v>
      </c>
      <c r="B596" s="4">
        <v>516946</v>
      </c>
      <c r="C596" s="3">
        <v>3.1600000000000003E-2</v>
      </c>
      <c r="D596" s="3">
        <f t="shared" si="9"/>
        <v>0.4</v>
      </c>
      <c r="E596" s="1">
        <v>0.6</v>
      </c>
      <c r="F596" s="2">
        <v>0.39</v>
      </c>
      <c r="G596" s="2">
        <v>0.46</v>
      </c>
      <c r="H596" s="2">
        <v>0.15000000000000002</v>
      </c>
    </row>
    <row r="597" spans="1:8" x14ac:dyDescent="0.25">
      <c r="A597" s="1">
        <v>197</v>
      </c>
      <c r="B597" s="4">
        <v>5405607</v>
      </c>
      <c r="C597" s="3">
        <v>3.1400000000000004E-2</v>
      </c>
      <c r="D597" s="3">
        <f t="shared" si="9"/>
        <v>0.6</v>
      </c>
      <c r="E597" s="1">
        <v>0.4</v>
      </c>
      <c r="F597" s="2">
        <v>0.38</v>
      </c>
      <c r="G597" s="2">
        <v>0.5</v>
      </c>
      <c r="H597" s="2">
        <v>0.12</v>
      </c>
    </row>
    <row r="598" spans="1:8" x14ac:dyDescent="0.25">
      <c r="A598" s="1">
        <v>635</v>
      </c>
      <c r="B598" s="4">
        <v>3823401</v>
      </c>
      <c r="C598" s="3">
        <v>3.1400000000000004E-2</v>
      </c>
      <c r="D598" s="3">
        <f t="shared" si="9"/>
        <v>0.6</v>
      </c>
      <c r="E598" s="1">
        <v>0.4</v>
      </c>
      <c r="F598" s="2">
        <v>0.36</v>
      </c>
      <c r="G598" s="2">
        <v>0.3</v>
      </c>
      <c r="H598" s="2">
        <v>0.33999999999999997</v>
      </c>
    </row>
    <row r="599" spans="1:8" x14ac:dyDescent="0.25">
      <c r="A599" s="1">
        <v>962</v>
      </c>
      <c r="B599" s="4">
        <v>8786394</v>
      </c>
      <c r="C599" s="3">
        <v>3.1400000000000004E-2</v>
      </c>
      <c r="D599" s="3">
        <f t="shared" si="9"/>
        <v>0.7</v>
      </c>
      <c r="E599" s="1">
        <v>0.3</v>
      </c>
      <c r="F599" s="2">
        <v>0.14000000000000001</v>
      </c>
      <c r="G599" s="2">
        <v>0.2</v>
      </c>
      <c r="H599" s="2">
        <v>0.66</v>
      </c>
    </row>
    <row r="600" spans="1:8" x14ac:dyDescent="0.25">
      <c r="A600" s="1">
        <v>902</v>
      </c>
      <c r="B600" s="4">
        <v>5458345</v>
      </c>
      <c r="C600" s="3">
        <v>3.1300000000000001E-2</v>
      </c>
      <c r="D600" s="3">
        <f t="shared" si="9"/>
        <v>0.6</v>
      </c>
      <c r="E600" s="1">
        <v>0.4</v>
      </c>
      <c r="F600" s="2">
        <v>0.33</v>
      </c>
      <c r="G600" s="2">
        <v>0.22</v>
      </c>
      <c r="H600" s="2">
        <v>0.45</v>
      </c>
    </row>
    <row r="601" spans="1:8" x14ac:dyDescent="0.25">
      <c r="A601" s="1">
        <v>561</v>
      </c>
      <c r="B601" s="4">
        <v>7893345</v>
      </c>
      <c r="C601" s="3">
        <v>3.1200000000000002E-2</v>
      </c>
      <c r="D601" s="3">
        <f t="shared" si="9"/>
        <v>0.7</v>
      </c>
      <c r="E601" s="1">
        <v>0.3</v>
      </c>
      <c r="F601" s="2">
        <v>0.45</v>
      </c>
      <c r="G601" s="2">
        <v>0.24</v>
      </c>
      <c r="H601" s="2">
        <v>0.31</v>
      </c>
    </row>
    <row r="602" spans="1:8" x14ac:dyDescent="0.25">
      <c r="A602" s="1">
        <v>844</v>
      </c>
      <c r="B602" s="4">
        <v>9744594</v>
      </c>
      <c r="C602" s="3">
        <v>3.1200000000000002E-2</v>
      </c>
      <c r="D602" s="3">
        <f t="shared" si="9"/>
        <v>0.7</v>
      </c>
      <c r="E602" s="1">
        <v>0.3</v>
      </c>
      <c r="F602" s="2">
        <v>0.35</v>
      </c>
      <c r="G602" s="2">
        <v>0.28999999999999998</v>
      </c>
      <c r="H602" s="2">
        <v>0.36</v>
      </c>
    </row>
    <row r="603" spans="1:8" x14ac:dyDescent="0.25">
      <c r="A603" s="1">
        <v>43</v>
      </c>
      <c r="B603" s="4">
        <v>2613577</v>
      </c>
      <c r="C603" s="3">
        <v>3.1099999999999999E-2</v>
      </c>
      <c r="D603" s="3">
        <f t="shared" si="9"/>
        <v>0.4</v>
      </c>
      <c r="E603" s="1">
        <v>0.6</v>
      </c>
      <c r="F603" s="2">
        <v>0.17</v>
      </c>
      <c r="G603" s="2">
        <v>0.4</v>
      </c>
      <c r="H603" s="2">
        <v>0.42999999999999994</v>
      </c>
    </row>
    <row r="604" spans="1:8" x14ac:dyDescent="0.25">
      <c r="A604" s="1">
        <v>938</v>
      </c>
      <c r="B604" s="4">
        <v>4595411</v>
      </c>
      <c r="C604" s="3">
        <v>3.1099999999999999E-2</v>
      </c>
      <c r="D604" s="3">
        <f t="shared" si="9"/>
        <v>0.6</v>
      </c>
      <c r="E604" s="1">
        <v>0.4</v>
      </c>
      <c r="F604" s="2">
        <v>0.42</v>
      </c>
      <c r="G604" s="2">
        <v>0.2</v>
      </c>
      <c r="H604" s="2">
        <v>0.38000000000000006</v>
      </c>
    </row>
    <row r="605" spans="1:8" x14ac:dyDescent="0.25">
      <c r="A605" s="1">
        <v>154</v>
      </c>
      <c r="B605" s="4">
        <v>7690548</v>
      </c>
      <c r="C605" s="3">
        <v>3.1E-2</v>
      </c>
      <c r="D605" s="3">
        <f t="shared" si="9"/>
        <v>0.7</v>
      </c>
      <c r="E605" s="1">
        <v>0.3</v>
      </c>
      <c r="F605" s="2">
        <v>0.19</v>
      </c>
      <c r="G605" s="2">
        <v>0.49</v>
      </c>
      <c r="H605" s="2">
        <v>0.32</v>
      </c>
    </row>
    <row r="606" spans="1:8" x14ac:dyDescent="0.25">
      <c r="A606" s="1">
        <v>489</v>
      </c>
      <c r="B606" s="4">
        <v>6922723</v>
      </c>
      <c r="C606" s="3">
        <v>3.0899999999999997E-2</v>
      </c>
      <c r="D606" s="3">
        <f t="shared" si="9"/>
        <v>0.6</v>
      </c>
      <c r="E606" s="1">
        <v>0.4</v>
      </c>
      <c r="F606" s="2">
        <v>0.45</v>
      </c>
      <c r="G606" s="2">
        <v>0.32</v>
      </c>
      <c r="H606" s="2">
        <v>0.22999999999999993</v>
      </c>
    </row>
    <row r="607" spans="1:8" x14ac:dyDescent="0.25">
      <c r="A607" s="1">
        <v>727</v>
      </c>
      <c r="B607" s="4">
        <v>2245532</v>
      </c>
      <c r="C607" s="3">
        <v>3.0899999999999997E-2</v>
      </c>
      <c r="D607" s="3">
        <f t="shared" si="9"/>
        <v>0.4</v>
      </c>
      <c r="E607" s="1">
        <v>0.6</v>
      </c>
      <c r="F607" s="2">
        <v>0.25</v>
      </c>
      <c r="G607" s="2">
        <v>0.25</v>
      </c>
      <c r="H607" s="2">
        <v>0.5</v>
      </c>
    </row>
    <row r="608" spans="1:8" x14ac:dyDescent="0.25">
      <c r="A608" s="1">
        <v>873</v>
      </c>
      <c r="B608" s="4">
        <v>2973696</v>
      </c>
      <c r="C608" s="3">
        <v>3.0899999999999997E-2</v>
      </c>
      <c r="D608" s="3">
        <f t="shared" si="9"/>
        <v>0.4</v>
      </c>
      <c r="E608" s="1">
        <v>0.6</v>
      </c>
      <c r="F608" s="2">
        <v>0.32</v>
      </c>
      <c r="G608" s="2">
        <v>0.37</v>
      </c>
      <c r="H608" s="2">
        <v>0.31</v>
      </c>
    </row>
    <row r="609" spans="1:8" x14ac:dyDescent="0.25">
      <c r="A609" s="1">
        <v>469</v>
      </c>
      <c r="B609" s="4">
        <v>2332022</v>
      </c>
      <c r="C609" s="3">
        <v>3.0800000000000001E-2</v>
      </c>
      <c r="D609" s="3">
        <f t="shared" si="9"/>
        <v>0.4</v>
      </c>
      <c r="E609" s="1">
        <v>0.6</v>
      </c>
      <c r="F609" s="2">
        <v>0.44</v>
      </c>
      <c r="G609" s="2">
        <v>0.3</v>
      </c>
      <c r="H609" s="2">
        <v>0.25999999999999995</v>
      </c>
    </row>
    <row r="610" spans="1:8" x14ac:dyDescent="0.25">
      <c r="A610" s="1">
        <v>565</v>
      </c>
      <c r="B610" s="4">
        <v>9293668</v>
      </c>
      <c r="C610" s="3">
        <v>3.0800000000000001E-2</v>
      </c>
      <c r="D610" s="3">
        <f t="shared" si="9"/>
        <v>0.7</v>
      </c>
      <c r="E610" s="1">
        <v>0.3</v>
      </c>
      <c r="F610" s="2">
        <v>0.21</v>
      </c>
      <c r="G610" s="2">
        <v>0.36</v>
      </c>
      <c r="H610" s="2">
        <v>0.43000000000000005</v>
      </c>
    </row>
    <row r="611" spans="1:8" x14ac:dyDescent="0.25">
      <c r="A611" s="1">
        <v>601</v>
      </c>
      <c r="B611" s="4">
        <v>3644549</v>
      </c>
      <c r="C611" s="3">
        <v>3.0800000000000001E-2</v>
      </c>
      <c r="D611" s="3">
        <f t="shared" si="9"/>
        <v>0.6</v>
      </c>
      <c r="E611" s="1">
        <v>0.4</v>
      </c>
      <c r="F611" s="2">
        <v>0.31</v>
      </c>
      <c r="G611" s="2">
        <v>0.5</v>
      </c>
      <c r="H611" s="2">
        <v>0.19</v>
      </c>
    </row>
    <row r="612" spans="1:8" x14ac:dyDescent="0.25">
      <c r="A612" s="1">
        <v>724</v>
      </c>
      <c r="B612" s="4">
        <v>5720508</v>
      </c>
      <c r="C612" s="3">
        <v>3.0800000000000001E-2</v>
      </c>
      <c r="D612" s="3">
        <f t="shared" si="9"/>
        <v>0.6</v>
      </c>
      <c r="E612" s="1">
        <v>0.4</v>
      </c>
      <c r="F612" s="2">
        <v>0.26</v>
      </c>
      <c r="G612" s="2">
        <v>0.39</v>
      </c>
      <c r="H612" s="2">
        <v>0.35</v>
      </c>
    </row>
    <row r="613" spans="1:8" x14ac:dyDescent="0.25">
      <c r="A613" s="1">
        <v>951</v>
      </c>
      <c r="B613" s="4">
        <v>4258471</v>
      </c>
      <c r="C613" s="3">
        <v>3.0800000000000001E-2</v>
      </c>
      <c r="D613" s="3">
        <f t="shared" si="9"/>
        <v>0.6</v>
      </c>
      <c r="E613" s="1">
        <v>0.4</v>
      </c>
      <c r="F613" s="2">
        <v>0.1</v>
      </c>
      <c r="G613" s="2">
        <v>0.2</v>
      </c>
      <c r="H613" s="2">
        <v>0.70000000000000007</v>
      </c>
    </row>
    <row r="614" spans="1:8" x14ac:dyDescent="0.25">
      <c r="A614" s="1">
        <v>966</v>
      </c>
      <c r="B614" s="4">
        <v>7737028</v>
      </c>
      <c r="C614" s="3">
        <v>3.0800000000000001E-2</v>
      </c>
      <c r="D614" s="3">
        <f t="shared" si="9"/>
        <v>0.7</v>
      </c>
      <c r="E614" s="1">
        <v>0.3</v>
      </c>
      <c r="F614" s="2">
        <v>0.37</v>
      </c>
      <c r="G614" s="2">
        <v>0.45</v>
      </c>
      <c r="H614" s="2">
        <v>0.18000000000000005</v>
      </c>
    </row>
    <row r="615" spans="1:8" x14ac:dyDescent="0.25">
      <c r="A615" s="1">
        <v>555</v>
      </c>
      <c r="B615" s="4">
        <v>1067120</v>
      </c>
      <c r="C615" s="3">
        <v>3.0699999999999998E-2</v>
      </c>
      <c r="D615" s="3">
        <f t="shared" si="9"/>
        <v>0.4</v>
      </c>
      <c r="E615" s="1">
        <v>0.6</v>
      </c>
      <c r="F615" s="2">
        <v>0.45</v>
      </c>
      <c r="G615" s="2">
        <v>0.3</v>
      </c>
      <c r="H615" s="2">
        <v>0.24999999999999994</v>
      </c>
    </row>
    <row r="616" spans="1:8" x14ac:dyDescent="0.25">
      <c r="A616" s="1">
        <v>1022</v>
      </c>
      <c r="B616" s="4">
        <v>9202322</v>
      </c>
      <c r="C616" s="3">
        <v>3.0699999999999998E-2</v>
      </c>
      <c r="D616" s="3">
        <f t="shared" si="9"/>
        <v>0.7</v>
      </c>
      <c r="E616" s="1">
        <v>0.3</v>
      </c>
      <c r="F616" s="2">
        <v>0.24</v>
      </c>
      <c r="G616" s="2">
        <v>0.34</v>
      </c>
      <c r="H616" s="2">
        <v>0.41999999999999993</v>
      </c>
    </row>
    <row r="617" spans="1:8" x14ac:dyDescent="0.25">
      <c r="A617" s="1">
        <v>102</v>
      </c>
      <c r="B617" s="4">
        <v>4564532</v>
      </c>
      <c r="C617" s="3">
        <v>3.0600000000000002E-2</v>
      </c>
      <c r="D617" s="3">
        <f t="shared" si="9"/>
        <v>0.6</v>
      </c>
      <c r="E617" s="1">
        <v>0.4</v>
      </c>
      <c r="F617" s="2">
        <v>0.45</v>
      </c>
      <c r="G617" s="2">
        <v>0.44</v>
      </c>
      <c r="H617" s="2">
        <v>0.11000000000000004</v>
      </c>
    </row>
    <row r="618" spans="1:8" x14ac:dyDescent="0.25">
      <c r="A618" s="1">
        <v>935</v>
      </c>
      <c r="B618" s="4">
        <v>279655</v>
      </c>
      <c r="C618" s="3">
        <v>3.0600000000000002E-2</v>
      </c>
      <c r="D618" s="3">
        <f t="shared" si="9"/>
        <v>0.4</v>
      </c>
      <c r="E618" s="1">
        <v>0.6</v>
      </c>
      <c r="F618" s="2">
        <v>0.43</v>
      </c>
      <c r="G618" s="2">
        <v>0.36</v>
      </c>
      <c r="H618" s="2">
        <v>0.21000000000000002</v>
      </c>
    </row>
    <row r="619" spans="1:8" x14ac:dyDescent="0.25">
      <c r="A619" s="1">
        <v>24</v>
      </c>
      <c r="B619" s="4">
        <v>1160525</v>
      </c>
      <c r="C619" s="3">
        <v>3.0499999999999999E-2</v>
      </c>
      <c r="D619" s="3">
        <f t="shared" si="9"/>
        <v>0.4</v>
      </c>
      <c r="E619" s="1">
        <v>0.6</v>
      </c>
      <c r="F619" s="2">
        <v>0.26</v>
      </c>
      <c r="G619" s="2">
        <v>0.44</v>
      </c>
      <c r="H619" s="2">
        <v>0.30000000000000004</v>
      </c>
    </row>
    <row r="620" spans="1:8" x14ac:dyDescent="0.25">
      <c r="A620" s="1">
        <v>156</v>
      </c>
      <c r="B620" s="4">
        <v>8227575</v>
      </c>
      <c r="C620" s="3">
        <v>3.0499999999999999E-2</v>
      </c>
      <c r="D620" s="3">
        <f t="shared" si="9"/>
        <v>0.7</v>
      </c>
      <c r="E620" s="1">
        <v>0.3</v>
      </c>
      <c r="F620" s="2">
        <v>0.13</v>
      </c>
      <c r="G620" s="2">
        <v>0.43</v>
      </c>
      <c r="H620" s="2">
        <v>0.44000000000000006</v>
      </c>
    </row>
    <row r="621" spans="1:8" x14ac:dyDescent="0.25">
      <c r="A621" s="1">
        <v>412</v>
      </c>
      <c r="B621" s="4">
        <v>6966968</v>
      </c>
      <c r="C621" s="3">
        <v>3.0499999999999999E-2</v>
      </c>
      <c r="D621" s="3">
        <f t="shared" si="9"/>
        <v>0.6</v>
      </c>
      <c r="E621" s="1">
        <v>0.4</v>
      </c>
      <c r="F621" s="2">
        <v>0.22</v>
      </c>
      <c r="G621" s="2">
        <v>0.48</v>
      </c>
      <c r="H621" s="2">
        <v>0.30000000000000004</v>
      </c>
    </row>
    <row r="622" spans="1:8" x14ac:dyDescent="0.25">
      <c r="A622" s="1">
        <v>974</v>
      </c>
      <c r="B622" s="4">
        <v>4896256</v>
      </c>
      <c r="C622" s="3">
        <v>3.0499999999999999E-2</v>
      </c>
      <c r="D622" s="3">
        <f t="shared" si="9"/>
        <v>0.6</v>
      </c>
      <c r="E622" s="1">
        <v>0.4</v>
      </c>
      <c r="F622" s="2">
        <v>0.15</v>
      </c>
      <c r="G622" s="2">
        <v>0.24</v>
      </c>
      <c r="H622" s="2">
        <v>0.61</v>
      </c>
    </row>
    <row r="623" spans="1:8" x14ac:dyDescent="0.25">
      <c r="A623" s="1">
        <v>980</v>
      </c>
      <c r="B623" s="4">
        <v>376163</v>
      </c>
      <c r="C623" s="3">
        <v>3.0499999999999999E-2</v>
      </c>
      <c r="D623" s="3">
        <f t="shared" si="9"/>
        <v>0.4</v>
      </c>
      <c r="E623" s="1">
        <v>0.6</v>
      </c>
      <c r="F623" s="2">
        <v>0.45</v>
      </c>
      <c r="G623" s="2">
        <v>0.3</v>
      </c>
      <c r="H623" s="2">
        <v>0.24999999999999994</v>
      </c>
    </row>
    <row r="624" spans="1:8" x14ac:dyDescent="0.25">
      <c r="A624" s="1">
        <v>779</v>
      </c>
      <c r="B624" s="4">
        <v>3951186</v>
      </c>
      <c r="C624" s="3">
        <v>3.04E-2</v>
      </c>
      <c r="D624" s="3">
        <f t="shared" si="9"/>
        <v>0.6</v>
      </c>
      <c r="E624" s="1">
        <v>0.4</v>
      </c>
      <c r="F624" s="2">
        <v>0.36</v>
      </c>
      <c r="G624" s="2">
        <v>0.3</v>
      </c>
      <c r="H624" s="2">
        <v>0.33999999999999997</v>
      </c>
    </row>
    <row r="625" spans="1:8" x14ac:dyDescent="0.25">
      <c r="A625" s="1">
        <v>1023</v>
      </c>
      <c r="B625" s="4">
        <v>537402</v>
      </c>
      <c r="C625" s="3">
        <v>3.0299999999999997E-2</v>
      </c>
      <c r="D625" s="3">
        <f t="shared" si="9"/>
        <v>0.4</v>
      </c>
      <c r="E625" s="1">
        <v>0.6</v>
      </c>
      <c r="F625" s="2">
        <v>0.3</v>
      </c>
      <c r="G625" s="2">
        <v>0.44</v>
      </c>
      <c r="H625" s="2">
        <v>0.26000000000000006</v>
      </c>
    </row>
    <row r="626" spans="1:8" x14ac:dyDescent="0.25">
      <c r="A626" s="1">
        <v>307</v>
      </c>
      <c r="B626" s="4">
        <v>4946137</v>
      </c>
      <c r="C626" s="3">
        <v>3.0200000000000001E-2</v>
      </c>
      <c r="D626" s="3">
        <f t="shared" si="9"/>
        <v>0.6</v>
      </c>
      <c r="E626" s="1">
        <v>0.4</v>
      </c>
      <c r="F626" s="2">
        <v>0.15</v>
      </c>
      <c r="G626" s="2">
        <v>0.43</v>
      </c>
      <c r="H626" s="2">
        <v>0.42000000000000004</v>
      </c>
    </row>
    <row r="627" spans="1:8" x14ac:dyDescent="0.25">
      <c r="A627" s="1">
        <v>531</v>
      </c>
      <c r="B627" s="4">
        <v>7599989</v>
      </c>
      <c r="C627" s="3">
        <v>3.0200000000000001E-2</v>
      </c>
      <c r="D627" s="3">
        <f t="shared" si="9"/>
        <v>0.7</v>
      </c>
      <c r="E627" s="1">
        <v>0.3</v>
      </c>
      <c r="F627" s="2">
        <v>0.35</v>
      </c>
      <c r="G627" s="2">
        <v>0.38</v>
      </c>
      <c r="H627" s="2">
        <v>0.27</v>
      </c>
    </row>
    <row r="628" spans="1:8" x14ac:dyDescent="0.25">
      <c r="A628" s="1">
        <v>222</v>
      </c>
      <c r="B628" s="4">
        <v>5369979</v>
      </c>
      <c r="C628" s="3">
        <v>3.0099999999999998E-2</v>
      </c>
      <c r="D628" s="3">
        <f t="shared" si="9"/>
        <v>0.6</v>
      </c>
      <c r="E628" s="1">
        <v>0.4</v>
      </c>
      <c r="F628" s="2">
        <v>0.2</v>
      </c>
      <c r="G628" s="2">
        <v>0.44</v>
      </c>
      <c r="H628" s="2">
        <v>0.36000000000000004</v>
      </c>
    </row>
    <row r="629" spans="1:8" x14ac:dyDescent="0.25">
      <c r="A629" s="1">
        <v>683</v>
      </c>
      <c r="B629" s="4">
        <v>7703679</v>
      </c>
      <c r="C629" s="3">
        <v>3.0099999999999998E-2</v>
      </c>
      <c r="D629" s="3">
        <f t="shared" si="9"/>
        <v>0.7</v>
      </c>
      <c r="E629" s="1">
        <v>0.3</v>
      </c>
      <c r="F629" s="2">
        <v>0.39</v>
      </c>
      <c r="G629" s="2">
        <v>0.23</v>
      </c>
      <c r="H629" s="2">
        <v>0.38</v>
      </c>
    </row>
    <row r="630" spans="1:8" x14ac:dyDescent="0.25">
      <c r="A630" s="1">
        <v>698</v>
      </c>
      <c r="B630" s="4">
        <v>5217476</v>
      </c>
      <c r="C630" s="3">
        <v>3.0099999999999998E-2</v>
      </c>
      <c r="D630" s="3">
        <f t="shared" si="9"/>
        <v>0.6</v>
      </c>
      <c r="E630" s="1">
        <v>0.4</v>
      </c>
      <c r="F630" s="2">
        <v>0.22</v>
      </c>
      <c r="G630" s="2">
        <v>0.26</v>
      </c>
      <c r="H630" s="2">
        <v>0.52</v>
      </c>
    </row>
    <row r="631" spans="1:8" x14ac:dyDescent="0.25">
      <c r="A631" s="1">
        <v>936</v>
      </c>
      <c r="B631" s="4">
        <v>134331</v>
      </c>
      <c r="C631" s="3">
        <v>3.0099999999999998E-2</v>
      </c>
      <c r="D631" s="3">
        <f t="shared" si="9"/>
        <v>0.4</v>
      </c>
      <c r="E631" s="1">
        <v>0.6</v>
      </c>
      <c r="F631" s="2">
        <v>0.32</v>
      </c>
      <c r="G631" s="2">
        <v>0.41</v>
      </c>
      <c r="H631" s="2">
        <v>0.27000000000000007</v>
      </c>
    </row>
    <row r="632" spans="1:8" x14ac:dyDescent="0.25">
      <c r="A632" s="1">
        <v>1029</v>
      </c>
      <c r="B632" s="4">
        <v>1200373</v>
      </c>
      <c r="C632" s="3">
        <v>3.0099999999999998E-2</v>
      </c>
      <c r="D632" s="3">
        <f t="shared" si="9"/>
        <v>0.4</v>
      </c>
      <c r="E632" s="1">
        <v>0.6</v>
      </c>
      <c r="F632" s="2">
        <v>0.2</v>
      </c>
      <c r="G632" s="2">
        <v>0.22</v>
      </c>
      <c r="H632" s="2">
        <v>0.58000000000000007</v>
      </c>
    </row>
    <row r="633" spans="1:8" x14ac:dyDescent="0.25">
      <c r="A633" s="1">
        <v>377</v>
      </c>
      <c r="B633" s="4">
        <v>7821175</v>
      </c>
      <c r="C633" s="3">
        <v>0.03</v>
      </c>
      <c r="D633" s="3">
        <f t="shared" si="9"/>
        <v>0.7</v>
      </c>
      <c r="E633" s="1">
        <v>0.3</v>
      </c>
      <c r="F633" s="2">
        <v>0.16</v>
      </c>
      <c r="G633" s="2">
        <v>0.48</v>
      </c>
      <c r="H633" s="2">
        <v>0.36</v>
      </c>
    </row>
    <row r="634" spans="1:8" x14ac:dyDescent="0.25">
      <c r="A634" s="1">
        <v>728</v>
      </c>
      <c r="B634" s="4">
        <v>8449053</v>
      </c>
      <c r="C634" s="3">
        <v>0.03</v>
      </c>
      <c r="D634" s="3">
        <f t="shared" si="9"/>
        <v>0.7</v>
      </c>
      <c r="E634" s="1">
        <v>0.3</v>
      </c>
      <c r="F634" s="2">
        <v>0.42</v>
      </c>
      <c r="G634" s="2">
        <v>0.5</v>
      </c>
      <c r="H634" s="2">
        <v>8.0000000000000016E-2</v>
      </c>
    </row>
    <row r="635" spans="1:8" x14ac:dyDescent="0.25">
      <c r="A635" s="1">
        <v>893</v>
      </c>
      <c r="B635" s="4">
        <v>4666544</v>
      </c>
      <c r="C635" s="3">
        <v>0.03</v>
      </c>
      <c r="D635" s="3">
        <f t="shared" si="9"/>
        <v>0.6</v>
      </c>
      <c r="E635" s="1">
        <v>0.4</v>
      </c>
      <c r="F635" s="2">
        <v>0.14000000000000001</v>
      </c>
      <c r="G635" s="2">
        <v>0.48</v>
      </c>
      <c r="H635" s="2">
        <v>0.38</v>
      </c>
    </row>
    <row r="636" spans="1:8" x14ac:dyDescent="0.25">
      <c r="A636" s="1">
        <v>930</v>
      </c>
      <c r="B636" s="4">
        <v>9700534</v>
      </c>
      <c r="C636" s="3">
        <v>0.03</v>
      </c>
      <c r="D636" s="3">
        <f t="shared" si="9"/>
        <v>0.7</v>
      </c>
      <c r="E636" s="1">
        <v>0.3</v>
      </c>
      <c r="F636" s="2">
        <v>0.37</v>
      </c>
      <c r="G636" s="2">
        <v>0.49</v>
      </c>
      <c r="H636" s="2">
        <v>0.14000000000000001</v>
      </c>
    </row>
    <row r="637" spans="1:8" x14ac:dyDescent="0.25">
      <c r="A637" s="1">
        <v>127</v>
      </c>
      <c r="B637" s="4">
        <v>8608488</v>
      </c>
      <c r="C637" s="3">
        <v>2.9900000000000003E-2</v>
      </c>
      <c r="D637" s="3">
        <f t="shared" si="9"/>
        <v>0.7</v>
      </c>
      <c r="E637" s="1">
        <v>0.3</v>
      </c>
      <c r="F637" s="2">
        <v>0.35</v>
      </c>
      <c r="G637" s="2">
        <v>0.49</v>
      </c>
      <c r="H637" s="2">
        <v>0.16000000000000003</v>
      </c>
    </row>
    <row r="638" spans="1:8" x14ac:dyDescent="0.25">
      <c r="A638" s="1">
        <v>278</v>
      </c>
      <c r="B638" s="4">
        <v>7833636</v>
      </c>
      <c r="C638" s="3">
        <v>2.9900000000000003E-2</v>
      </c>
      <c r="D638" s="3">
        <f t="shared" si="9"/>
        <v>0.7</v>
      </c>
      <c r="E638" s="1">
        <v>0.3</v>
      </c>
      <c r="F638" s="2">
        <v>0.45</v>
      </c>
      <c r="G638" s="2">
        <v>0.36</v>
      </c>
      <c r="H638" s="2">
        <v>0.19</v>
      </c>
    </row>
    <row r="639" spans="1:8" x14ac:dyDescent="0.25">
      <c r="A639" s="1">
        <v>839</v>
      </c>
      <c r="B639" s="4">
        <v>1352965</v>
      </c>
      <c r="C639" s="3">
        <v>2.9900000000000003E-2</v>
      </c>
      <c r="D639" s="3">
        <f t="shared" si="9"/>
        <v>0.4</v>
      </c>
      <c r="E639" s="1">
        <v>0.6</v>
      </c>
      <c r="F639" s="2">
        <v>0.39</v>
      </c>
      <c r="G639" s="2">
        <v>0.33</v>
      </c>
      <c r="H639" s="2">
        <v>0.27999999999999992</v>
      </c>
    </row>
    <row r="640" spans="1:8" x14ac:dyDescent="0.25">
      <c r="A640" s="1">
        <v>897</v>
      </c>
      <c r="B640" s="4">
        <v>7569428</v>
      </c>
      <c r="C640" s="3">
        <v>2.9900000000000003E-2</v>
      </c>
      <c r="D640" s="3">
        <f t="shared" si="9"/>
        <v>0.7</v>
      </c>
      <c r="E640" s="1">
        <v>0.3</v>
      </c>
      <c r="F640" s="2">
        <v>0.1</v>
      </c>
      <c r="G640" s="2">
        <v>0.44</v>
      </c>
      <c r="H640" s="2">
        <v>0.46000000000000008</v>
      </c>
    </row>
    <row r="641" spans="1:8" x14ac:dyDescent="0.25">
      <c r="A641" s="1">
        <v>1003</v>
      </c>
      <c r="B641" s="4">
        <v>7773614</v>
      </c>
      <c r="C641" s="3">
        <v>2.9900000000000003E-2</v>
      </c>
      <c r="D641" s="3">
        <f t="shared" si="9"/>
        <v>0.7</v>
      </c>
      <c r="E641" s="1">
        <v>0.3</v>
      </c>
      <c r="F641" s="2">
        <v>0.18</v>
      </c>
      <c r="G641" s="2">
        <v>0.25</v>
      </c>
      <c r="H641" s="2">
        <v>0.57000000000000006</v>
      </c>
    </row>
    <row r="642" spans="1:8" x14ac:dyDescent="0.25">
      <c r="A642" s="1">
        <v>269</v>
      </c>
      <c r="B642" s="4">
        <v>8816799</v>
      </c>
      <c r="C642" s="3">
        <v>2.98E-2</v>
      </c>
      <c r="D642" s="3">
        <f t="shared" ref="D642:D705" si="10">1-E642</f>
        <v>0.7</v>
      </c>
      <c r="E642" s="1">
        <v>0.3</v>
      </c>
      <c r="F642" s="2">
        <v>0.33</v>
      </c>
      <c r="G642" s="2">
        <v>0.4</v>
      </c>
      <c r="H642" s="2">
        <v>0.26999999999999996</v>
      </c>
    </row>
    <row r="643" spans="1:8" x14ac:dyDescent="0.25">
      <c r="A643" s="1">
        <v>419</v>
      </c>
      <c r="B643" s="4">
        <v>1549436</v>
      </c>
      <c r="C643" s="3">
        <v>2.98E-2</v>
      </c>
      <c r="D643" s="3">
        <f t="shared" si="10"/>
        <v>0.4</v>
      </c>
      <c r="E643" s="1">
        <v>0.6</v>
      </c>
      <c r="F643" s="2">
        <v>0.21</v>
      </c>
      <c r="G643" s="2">
        <v>0.48</v>
      </c>
      <c r="H643" s="2">
        <v>0.31000000000000005</v>
      </c>
    </row>
    <row r="644" spans="1:8" x14ac:dyDescent="0.25">
      <c r="A644" s="1">
        <v>911</v>
      </c>
      <c r="B644" s="4">
        <v>6157309</v>
      </c>
      <c r="C644" s="3">
        <v>2.9700000000000001E-2</v>
      </c>
      <c r="D644" s="3">
        <f t="shared" si="10"/>
        <v>0.6</v>
      </c>
      <c r="E644" s="1">
        <v>0.4</v>
      </c>
      <c r="F644" s="2">
        <v>0.45</v>
      </c>
      <c r="G644" s="2">
        <v>0.2</v>
      </c>
      <c r="H644" s="2">
        <v>0.35000000000000003</v>
      </c>
    </row>
    <row r="645" spans="1:8" x14ac:dyDescent="0.25">
      <c r="A645" s="1">
        <v>264</v>
      </c>
      <c r="B645" s="4">
        <v>5606935</v>
      </c>
      <c r="C645" s="3">
        <v>2.9500000000000002E-2</v>
      </c>
      <c r="D645" s="3">
        <f t="shared" si="10"/>
        <v>0.6</v>
      </c>
      <c r="E645" s="1">
        <v>0.4</v>
      </c>
      <c r="F645" s="2">
        <v>0.42</v>
      </c>
      <c r="G645" s="2">
        <v>0.31</v>
      </c>
      <c r="H645" s="2">
        <v>0.26999999999999996</v>
      </c>
    </row>
    <row r="646" spans="1:8" x14ac:dyDescent="0.25">
      <c r="A646" s="1">
        <v>616</v>
      </c>
      <c r="B646" s="4">
        <v>9114078</v>
      </c>
      <c r="C646" s="3">
        <v>2.9500000000000002E-2</v>
      </c>
      <c r="D646" s="3">
        <f t="shared" si="10"/>
        <v>0.7</v>
      </c>
      <c r="E646" s="1">
        <v>0.3</v>
      </c>
      <c r="F646" s="2">
        <v>0.32</v>
      </c>
      <c r="G646" s="2">
        <v>0.26</v>
      </c>
      <c r="H646" s="2">
        <v>0.42</v>
      </c>
    </row>
    <row r="647" spans="1:8" x14ac:dyDescent="0.25">
      <c r="A647" s="1">
        <v>706</v>
      </c>
      <c r="B647" s="4">
        <v>2415601</v>
      </c>
      <c r="C647" s="3">
        <v>2.9500000000000002E-2</v>
      </c>
      <c r="D647" s="3">
        <f t="shared" si="10"/>
        <v>0.4</v>
      </c>
      <c r="E647" s="1">
        <v>0.6</v>
      </c>
      <c r="F647" s="2">
        <v>0.4</v>
      </c>
      <c r="G647" s="2">
        <v>0.5</v>
      </c>
      <c r="H647" s="2">
        <v>9.9999999999999978E-2</v>
      </c>
    </row>
    <row r="648" spans="1:8" x14ac:dyDescent="0.25">
      <c r="A648" s="1">
        <v>454</v>
      </c>
      <c r="B648" s="4">
        <v>4412868</v>
      </c>
      <c r="C648" s="3">
        <v>2.9399999999999999E-2</v>
      </c>
      <c r="D648" s="3">
        <f t="shared" si="10"/>
        <v>0.6</v>
      </c>
      <c r="E648" s="1">
        <v>0.4</v>
      </c>
      <c r="F648" s="2">
        <v>0.42</v>
      </c>
      <c r="G648" s="2">
        <v>0.35</v>
      </c>
      <c r="H648" s="2">
        <v>0.23000000000000004</v>
      </c>
    </row>
    <row r="649" spans="1:8" x14ac:dyDescent="0.25">
      <c r="A649" s="1">
        <v>442</v>
      </c>
      <c r="B649" s="4">
        <v>8585374</v>
      </c>
      <c r="C649" s="3">
        <v>2.9300000000000003E-2</v>
      </c>
      <c r="D649" s="3">
        <f t="shared" si="10"/>
        <v>0.7</v>
      </c>
      <c r="E649" s="1">
        <v>0.3</v>
      </c>
      <c r="F649" s="2">
        <v>0.28999999999999998</v>
      </c>
      <c r="G649" s="2">
        <v>0.39</v>
      </c>
      <c r="H649" s="2">
        <v>0.32</v>
      </c>
    </row>
    <row r="650" spans="1:8" x14ac:dyDescent="0.25">
      <c r="A650" s="1">
        <v>331</v>
      </c>
      <c r="B650" s="4">
        <v>6620441</v>
      </c>
      <c r="C650" s="3">
        <v>2.92E-2</v>
      </c>
      <c r="D650" s="3">
        <f t="shared" si="10"/>
        <v>0.6</v>
      </c>
      <c r="E650" s="1">
        <v>0.4</v>
      </c>
      <c r="F650" s="2">
        <v>0.38</v>
      </c>
      <c r="G650" s="2">
        <v>0.25</v>
      </c>
      <c r="H650" s="2">
        <v>0.37</v>
      </c>
    </row>
    <row r="651" spans="1:8" x14ac:dyDescent="0.25">
      <c r="A651" s="1">
        <v>379</v>
      </c>
      <c r="B651" s="4">
        <v>4237216</v>
      </c>
      <c r="C651" s="3">
        <v>2.92E-2</v>
      </c>
      <c r="D651" s="3">
        <f t="shared" si="10"/>
        <v>0.6</v>
      </c>
      <c r="E651" s="1">
        <v>0.4</v>
      </c>
      <c r="F651" s="2">
        <v>0.38</v>
      </c>
      <c r="G651" s="2">
        <v>0.26</v>
      </c>
      <c r="H651" s="2">
        <v>0.36</v>
      </c>
    </row>
    <row r="652" spans="1:8" x14ac:dyDescent="0.25">
      <c r="A652" s="1">
        <v>619</v>
      </c>
      <c r="B652" s="4">
        <v>1244572</v>
      </c>
      <c r="C652" s="3">
        <v>2.92E-2</v>
      </c>
      <c r="D652" s="3">
        <f t="shared" si="10"/>
        <v>0.4</v>
      </c>
      <c r="E652" s="1">
        <v>0.6</v>
      </c>
      <c r="F652" s="2">
        <v>0.31</v>
      </c>
      <c r="G652" s="2">
        <v>0.42</v>
      </c>
      <c r="H652" s="2">
        <v>0.27000000000000007</v>
      </c>
    </row>
    <row r="653" spans="1:8" x14ac:dyDescent="0.25">
      <c r="A653" s="1">
        <v>811</v>
      </c>
      <c r="B653" s="4">
        <v>636628</v>
      </c>
      <c r="C653" s="3">
        <v>2.92E-2</v>
      </c>
      <c r="D653" s="3">
        <f t="shared" si="10"/>
        <v>0.4</v>
      </c>
      <c r="E653" s="1">
        <v>0.6</v>
      </c>
      <c r="F653" s="2">
        <v>0.16</v>
      </c>
      <c r="G653" s="2">
        <v>0.21</v>
      </c>
      <c r="H653" s="2">
        <v>0.63</v>
      </c>
    </row>
    <row r="654" spans="1:8" x14ac:dyDescent="0.25">
      <c r="A654" s="1">
        <v>838</v>
      </c>
      <c r="B654" s="4">
        <v>9866919</v>
      </c>
      <c r="C654" s="3">
        <v>2.92E-2</v>
      </c>
      <c r="D654" s="3">
        <f t="shared" si="10"/>
        <v>0.7</v>
      </c>
      <c r="E654" s="1">
        <v>0.3</v>
      </c>
      <c r="F654" s="2">
        <v>0.11</v>
      </c>
      <c r="G654" s="2">
        <v>0.46</v>
      </c>
      <c r="H654" s="2">
        <v>0.43000000000000005</v>
      </c>
    </row>
    <row r="655" spans="1:8" x14ac:dyDescent="0.25">
      <c r="A655" s="1">
        <v>603</v>
      </c>
      <c r="B655" s="4">
        <v>4255659</v>
      </c>
      <c r="C655" s="3">
        <v>2.9100000000000001E-2</v>
      </c>
      <c r="D655" s="3">
        <f t="shared" si="10"/>
        <v>0.6</v>
      </c>
      <c r="E655" s="1">
        <v>0.4</v>
      </c>
      <c r="F655" s="2">
        <v>0.42</v>
      </c>
      <c r="G655" s="2">
        <v>0.22</v>
      </c>
      <c r="H655" s="2">
        <v>0.36000000000000004</v>
      </c>
    </row>
    <row r="656" spans="1:8" x14ac:dyDescent="0.25">
      <c r="A656" s="1">
        <v>667</v>
      </c>
      <c r="B656" s="4">
        <v>6034505</v>
      </c>
      <c r="C656" s="3">
        <v>2.9100000000000001E-2</v>
      </c>
      <c r="D656" s="3">
        <f t="shared" si="10"/>
        <v>0.6</v>
      </c>
      <c r="E656" s="1">
        <v>0.4</v>
      </c>
      <c r="F656" s="2">
        <v>0.2</v>
      </c>
      <c r="G656" s="2">
        <v>0.5</v>
      </c>
      <c r="H656" s="2">
        <v>0.3</v>
      </c>
    </row>
    <row r="657" spans="1:8" x14ac:dyDescent="0.25">
      <c r="A657" s="1">
        <v>707</v>
      </c>
      <c r="B657" s="4">
        <v>2662142</v>
      </c>
      <c r="C657" s="3">
        <v>2.9100000000000001E-2</v>
      </c>
      <c r="D657" s="3">
        <f t="shared" si="10"/>
        <v>0.4</v>
      </c>
      <c r="E657" s="1">
        <v>0.6</v>
      </c>
      <c r="F657" s="2">
        <v>0.19</v>
      </c>
      <c r="G657" s="2">
        <v>0.48</v>
      </c>
      <c r="H657" s="2">
        <v>0.33</v>
      </c>
    </row>
    <row r="658" spans="1:8" x14ac:dyDescent="0.25">
      <c r="A658" s="1">
        <v>815</v>
      </c>
      <c r="B658" s="4">
        <v>6023739</v>
      </c>
      <c r="C658" s="3">
        <v>2.9100000000000001E-2</v>
      </c>
      <c r="D658" s="3">
        <f t="shared" si="10"/>
        <v>0.6</v>
      </c>
      <c r="E658" s="1">
        <v>0.4</v>
      </c>
      <c r="F658" s="2">
        <v>0.28000000000000003</v>
      </c>
      <c r="G658" s="2">
        <v>0.36</v>
      </c>
      <c r="H658" s="2">
        <v>0.36</v>
      </c>
    </row>
    <row r="659" spans="1:8" x14ac:dyDescent="0.25">
      <c r="A659" s="1">
        <v>292</v>
      </c>
      <c r="B659" s="4">
        <v>8110475</v>
      </c>
      <c r="C659" s="3">
        <v>2.8999999999999998E-2</v>
      </c>
      <c r="D659" s="3">
        <f t="shared" si="10"/>
        <v>0.7</v>
      </c>
      <c r="E659" s="1">
        <v>0.3</v>
      </c>
      <c r="F659" s="2">
        <v>0.43</v>
      </c>
      <c r="G659" s="2">
        <v>0.32</v>
      </c>
      <c r="H659" s="2">
        <v>0.24999999999999994</v>
      </c>
    </row>
    <row r="660" spans="1:8" x14ac:dyDescent="0.25">
      <c r="A660" s="1">
        <v>550</v>
      </c>
      <c r="B660" s="4">
        <v>7325334</v>
      </c>
      <c r="C660" s="3">
        <v>2.8999999999999998E-2</v>
      </c>
      <c r="D660" s="3">
        <f t="shared" si="10"/>
        <v>0.7</v>
      </c>
      <c r="E660" s="1">
        <v>0.3</v>
      </c>
      <c r="F660" s="2">
        <v>0.2</v>
      </c>
      <c r="G660" s="2">
        <v>0.39</v>
      </c>
      <c r="H660" s="2">
        <v>0.41</v>
      </c>
    </row>
    <row r="661" spans="1:8" x14ac:dyDescent="0.25">
      <c r="A661" s="1">
        <v>514</v>
      </c>
      <c r="B661" s="4">
        <v>4286106</v>
      </c>
      <c r="C661" s="3">
        <v>2.8799999999999999E-2</v>
      </c>
      <c r="D661" s="3">
        <f t="shared" si="10"/>
        <v>0.6</v>
      </c>
      <c r="E661" s="1">
        <v>0.4</v>
      </c>
      <c r="F661" s="2">
        <v>0.23</v>
      </c>
      <c r="G661" s="2">
        <v>0.39</v>
      </c>
      <c r="H661" s="2">
        <v>0.38</v>
      </c>
    </row>
    <row r="662" spans="1:8" x14ac:dyDescent="0.25">
      <c r="A662" s="1">
        <v>591</v>
      </c>
      <c r="B662" s="4">
        <v>8113096</v>
      </c>
      <c r="C662" s="3">
        <v>2.8799999999999999E-2</v>
      </c>
      <c r="D662" s="3">
        <f t="shared" si="10"/>
        <v>0.7</v>
      </c>
      <c r="E662" s="1">
        <v>0.3</v>
      </c>
      <c r="F662" s="2">
        <v>0.41</v>
      </c>
      <c r="G662" s="2">
        <v>0.26</v>
      </c>
      <c r="H662" s="2">
        <v>0.33</v>
      </c>
    </row>
    <row r="663" spans="1:8" x14ac:dyDescent="0.25">
      <c r="A663" s="1">
        <v>662</v>
      </c>
      <c r="B663" s="4">
        <v>4466591</v>
      </c>
      <c r="C663" s="3">
        <v>2.8799999999999999E-2</v>
      </c>
      <c r="D663" s="3">
        <f t="shared" si="10"/>
        <v>0.6</v>
      </c>
      <c r="E663" s="1">
        <v>0.4</v>
      </c>
      <c r="F663" s="2">
        <v>0.2</v>
      </c>
      <c r="G663" s="2">
        <v>0.42</v>
      </c>
      <c r="H663" s="2">
        <v>0.38000000000000006</v>
      </c>
    </row>
    <row r="664" spans="1:8" x14ac:dyDescent="0.25">
      <c r="A664" s="1">
        <v>831</v>
      </c>
      <c r="B664" s="4">
        <v>4767104</v>
      </c>
      <c r="C664" s="3">
        <v>2.8799999999999999E-2</v>
      </c>
      <c r="D664" s="3">
        <f t="shared" si="10"/>
        <v>0.6</v>
      </c>
      <c r="E664" s="1">
        <v>0.4</v>
      </c>
      <c r="F664" s="2">
        <v>0.22</v>
      </c>
      <c r="G664" s="2">
        <v>0.48</v>
      </c>
      <c r="H664" s="2">
        <v>0.30000000000000004</v>
      </c>
    </row>
    <row r="665" spans="1:8" x14ac:dyDescent="0.25">
      <c r="A665" s="1">
        <v>262</v>
      </c>
      <c r="B665" s="4">
        <v>9540910</v>
      </c>
      <c r="C665" s="3">
        <v>2.87E-2</v>
      </c>
      <c r="D665" s="3">
        <f t="shared" si="10"/>
        <v>0.7</v>
      </c>
      <c r="E665" s="1">
        <v>0.3</v>
      </c>
      <c r="F665" s="2">
        <v>0.3</v>
      </c>
      <c r="G665" s="2">
        <v>0.21</v>
      </c>
      <c r="H665" s="2">
        <v>0.49000000000000005</v>
      </c>
    </row>
    <row r="666" spans="1:8" x14ac:dyDescent="0.25">
      <c r="A666" s="1">
        <v>762</v>
      </c>
      <c r="B666" s="4">
        <v>6348233</v>
      </c>
      <c r="C666" s="3">
        <v>2.87E-2</v>
      </c>
      <c r="D666" s="3">
        <f t="shared" si="10"/>
        <v>0.6</v>
      </c>
      <c r="E666" s="1">
        <v>0.4</v>
      </c>
      <c r="F666" s="2">
        <v>0.33</v>
      </c>
      <c r="G666" s="2">
        <v>0.46</v>
      </c>
      <c r="H666" s="2">
        <v>0.21000000000000002</v>
      </c>
    </row>
    <row r="667" spans="1:8" x14ac:dyDescent="0.25">
      <c r="A667" s="1">
        <v>767</v>
      </c>
      <c r="B667" s="4">
        <v>392720</v>
      </c>
      <c r="C667" s="3">
        <v>2.87E-2</v>
      </c>
      <c r="D667" s="3">
        <f t="shared" si="10"/>
        <v>0.4</v>
      </c>
      <c r="E667" s="1">
        <v>0.6</v>
      </c>
      <c r="F667" s="2">
        <v>0.22</v>
      </c>
      <c r="G667" s="2">
        <v>0.36</v>
      </c>
      <c r="H667" s="2">
        <v>0.42000000000000004</v>
      </c>
    </row>
    <row r="668" spans="1:8" x14ac:dyDescent="0.25">
      <c r="A668" s="1">
        <v>866</v>
      </c>
      <c r="B668" s="4">
        <v>9153556</v>
      </c>
      <c r="C668" s="3">
        <v>2.87E-2</v>
      </c>
      <c r="D668" s="3">
        <f t="shared" si="10"/>
        <v>0.7</v>
      </c>
      <c r="E668" s="1">
        <v>0.3</v>
      </c>
      <c r="F668" s="2">
        <v>0.18</v>
      </c>
      <c r="G668" s="2">
        <v>0.21</v>
      </c>
      <c r="H668" s="2">
        <v>0.6100000000000001</v>
      </c>
    </row>
    <row r="669" spans="1:8" x14ac:dyDescent="0.25">
      <c r="A669" s="1">
        <v>242</v>
      </c>
      <c r="B669" s="4">
        <v>9187441</v>
      </c>
      <c r="C669" s="3">
        <v>2.8500000000000001E-2</v>
      </c>
      <c r="D669" s="3">
        <f t="shared" si="10"/>
        <v>0.7</v>
      </c>
      <c r="E669" s="1">
        <v>0.3</v>
      </c>
      <c r="F669" s="2">
        <v>0.25</v>
      </c>
      <c r="G669" s="2">
        <v>0.27</v>
      </c>
      <c r="H669" s="2">
        <v>0.48</v>
      </c>
    </row>
    <row r="670" spans="1:8" x14ac:dyDescent="0.25">
      <c r="A670" s="1">
        <v>1038</v>
      </c>
      <c r="B670" s="4">
        <v>7144436</v>
      </c>
      <c r="C670" s="3">
        <v>2.8500000000000001E-2</v>
      </c>
      <c r="D670" s="3">
        <f t="shared" si="10"/>
        <v>0.7</v>
      </c>
      <c r="E670" s="1">
        <v>0.3</v>
      </c>
      <c r="F670" s="2">
        <v>0.19</v>
      </c>
      <c r="G670" s="2">
        <v>0.43</v>
      </c>
      <c r="H670" s="2">
        <v>0.38000000000000006</v>
      </c>
    </row>
    <row r="671" spans="1:8" x14ac:dyDescent="0.25">
      <c r="A671" s="1">
        <v>369</v>
      </c>
      <c r="B671" s="4">
        <v>7928836</v>
      </c>
      <c r="C671" s="3">
        <v>2.8399999999999998E-2</v>
      </c>
      <c r="D671" s="3">
        <f t="shared" si="10"/>
        <v>0.7</v>
      </c>
      <c r="E671" s="1">
        <v>0.3</v>
      </c>
      <c r="F671" s="2">
        <v>0.42</v>
      </c>
      <c r="G671" s="2">
        <v>0.35</v>
      </c>
      <c r="H671" s="2">
        <v>0.23000000000000004</v>
      </c>
    </row>
    <row r="672" spans="1:8" x14ac:dyDescent="0.25">
      <c r="A672" s="1">
        <v>23</v>
      </c>
      <c r="B672" s="4">
        <v>3525089</v>
      </c>
      <c r="C672" s="3">
        <v>2.8300000000000002E-2</v>
      </c>
      <c r="D672" s="3">
        <f t="shared" si="10"/>
        <v>0.6</v>
      </c>
      <c r="E672" s="1">
        <v>0.4</v>
      </c>
      <c r="F672" s="2">
        <v>0.4</v>
      </c>
      <c r="G672" s="2">
        <v>0.39</v>
      </c>
      <c r="H672" s="2">
        <v>0.20999999999999996</v>
      </c>
    </row>
    <row r="673" spans="1:8" x14ac:dyDescent="0.25">
      <c r="A673" s="1">
        <v>357</v>
      </c>
      <c r="B673" s="4">
        <v>1600402</v>
      </c>
      <c r="C673" s="3">
        <v>2.8199999999999999E-2</v>
      </c>
      <c r="D673" s="3">
        <f t="shared" si="10"/>
        <v>0.4</v>
      </c>
      <c r="E673" s="1">
        <v>0.6</v>
      </c>
      <c r="F673" s="2">
        <v>0.11</v>
      </c>
      <c r="G673" s="2">
        <v>0.28000000000000003</v>
      </c>
      <c r="H673" s="2">
        <v>0.61</v>
      </c>
    </row>
    <row r="674" spans="1:8" x14ac:dyDescent="0.25">
      <c r="A674" s="1">
        <v>47</v>
      </c>
      <c r="B674" s="4">
        <v>1095478</v>
      </c>
      <c r="C674" s="3">
        <v>2.81E-2</v>
      </c>
      <c r="D674" s="3">
        <f t="shared" si="10"/>
        <v>0.4</v>
      </c>
      <c r="E674" s="1">
        <v>0.6</v>
      </c>
      <c r="F674" s="2">
        <v>0.45</v>
      </c>
      <c r="G674" s="2">
        <v>0.42</v>
      </c>
      <c r="H674" s="2">
        <v>0.13000000000000006</v>
      </c>
    </row>
    <row r="675" spans="1:8" x14ac:dyDescent="0.25">
      <c r="A675" s="1">
        <v>371</v>
      </c>
      <c r="B675" s="4">
        <v>4087079</v>
      </c>
      <c r="C675" s="3">
        <v>2.7999999999999997E-2</v>
      </c>
      <c r="D675" s="3">
        <f t="shared" si="10"/>
        <v>0.6</v>
      </c>
      <c r="E675" s="1">
        <v>0.4</v>
      </c>
      <c r="F675" s="2">
        <v>0.25</v>
      </c>
      <c r="G675" s="2">
        <v>0.22</v>
      </c>
      <c r="H675" s="2">
        <v>0.53</v>
      </c>
    </row>
    <row r="676" spans="1:8" x14ac:dyDescent="0.25">
      <c r="A676" s="1">
        <v>898</v>
      </c>
      <c r="B676" s="4">
        <v>8231036</v>
      </c>
      <c r="C676" s="3">
        <v>2.7999999999999997E-2</v>
      </c>
      <c r="D676" s="3">
        <f t="shared" si="10"/>
        <v>0.7</v>
      </c>
      <c r="E676" s="1">
        <v>0.3</v>
      </c>
      <c r="F676" s="2">
        <v>0.4</v>
      </c>
      <c r="G676" s="2">
        <v>0.44</v>
      </c>
      <c r="H676" s="2">
        <v>0.16000000000000003</v>
      </c>
    </row>
    <row r="677" spans="1:8" x14ac:dyDescent="0.25">
      <c r="A677" s="1">
        <v>669</v>
      </c>
      <c r="B677" s="4">
        <v>6268033</v>
      </c>
      <c r="C677" s="3">
        <v>2.7900000000000001E-2</v>
      </c>
      <c r="D677" s="3">
        <f t="shared" si="10"/>
        <v>0.6</v>
      </c>
      <c r="E677" s="1">
        <v>0.4</v>
      </c>
      <c r="F677" s="2">
        <v>0.22</v>
      </c>
      <c r="G677" s="2">
        <v>0.35</v>
      </c>
      <c r="H677" s="2">
        <v>0.43000000000000005</v>
      </c>
    </row>
    <row r="678" spans="1:8" x14ac:dyDescent="0.25">
      <c r="A678" s="1">
        <v>572</v>
      </c>
      <c r="B678" s="4">
        <v>8408788</v>
      </c>
      <c r="C678" s="3">
        <v>2.7799999999999998E-2</v>
      </c>
      <c r="D678" s="3">
        <f t="shared" si="10"/>
        <v>0.7</v>
      </c>
      <c r="E678" s="1">
        <v>0.3</v>
      </c>
      <c r="F678" s="2">
        <v>0.26</v>
      </c>
      <c r="G678" s="2">
        <v>0.27</v>
      </c>
      <c r="H678" s="2">
        <v>0.47</v>
      </c>
    </row>
    <row r="679" spans="1:8" x14ac:dyDescent="0.25">
      <c r="A679" s="1">
        <v>659</v>
      </c>
      <c r="B679" s="4">
        <v>5189792</v>
      </c>
      <c r="C679" s="3">
        <v>2.7799999999999998E-2</v>
      </c>
      <c r="D679" s="3">
        <f t="shared" si="10"/>
        <v>0.6</v>
      </c>
      <c r="E679" s="1">
        <v>0.4</v>
      </c>
      <c r="F679" s="2">
        <v>0.39</v>
      </c>
      <c r="G679" s="2">
        <v>0.23</v>
      </c>
      <c r="H679" s="2">
        <v>0.38</v>
      </c>
    </row>
    <row r="680" spans="1:8" x14ac:dyDescent="0.25">
      <c r="A680" s="1">
        <v>784</v>
      </c>
      <c r="B680" s="4">
        <v>744156</v>
      </c>
      <c r="C680" s="3">
        <v>2.7799999999999998E-2</v>
      </c>
      <c r="D680" s="3">
        <f t="shared" si="10"/>
        <v>0.4</v>
      </c>
      <c r="E680" s="1">
        <v>0.6</v>
      </c>
      <c r="F680" s="2">
        <v>0.31</v>
      </c>
      <c r="G680" s="2">
        <v>0.41</v>
      </c>
      <c r="H680" s="2">
        <v>0.28000000000000008</v>
      </c>
    </row>
    <row r="681" spans="1:8" x14ac:dyDescent="0.25">
      <c r="A681" s="1">
        <v>546</v>
      </c>
      <c r="B681" s="4">
        <v>9190762</v>
      </c>
      <c r="C681" s="3">
        <v>2.7699999999999999E-2</v>
      </c>
      <c r="D681" s="3">
        <f t="shared" si="10"/>
        <v>0.7</v>
      </c>
      <c r="E681" s="1">
        <v>0.3</v>
      </c>
      <c r="F681" s="2">
        <v>0.32</v>
      </c>
      <c r="G681" s="2">
        <v>0.33</v>
      </c>
      <c r="H681" s="2">
        <v>0.34999999999999992</v>
      </c>
    </row>
    <row r="682" spans="1:8" x14ac:dyDescent="0.25">
      <c r="A682" s="1">
        <v>64</v>
      </c>
      <c r="B682" s="4">
        <v>3509025</v>
      </c>
      <c r="C682" s="3">
        <v>2.76E-2</v>
      </c>
      <c r="D682" s="3">
        <f t="shared" si="10"/>
        <v>0.6</v>
      </c>
      <c r="E682" s="1">
        <v>0.4</v>
      </c>
      <c r="F682" s="2">
        <v>0.27</v>
      </c>
      <c r="G682" s="2">
        <v>0.47</v>
      </c>
      <c r="H682" s="2">
        <v>0.26</v>
      </c>
    </row>
    <row r="683" spans="1:8" x14ac:dyDescent="0.25">
      <c r="A683" s="1">
        <v>273</v>
      </c>
      <c r="B683" s="4">
        <v>6938631</v>
      </c>
      <c r="C683" s="3">
        <v>2.76E-2</v>
      </c>
      <c r="D683" s="3">
        <f t="shared" si="10"/>
        <v>0.6</v>
      </c>
      <c r="E683" s="1">
        <v>0.4</v>
      </c>
      <c r="F683" s="2">
        <v>0.38</v>
      </c>
      <c r="G683" s="2">
        <v>0.44</v>
      </c>
      <c r="H683" s="2">
        <v>0.18000000000000005</v>
      </c>
    </row>
    <row r="684" spans="1:8" x14ac:dyDescent="0.25">
      <c r="A684" s="1">
        <v>497</v>
      </c>
      <c r="B684" s="4">
        <v>1325111</v>
      </c>
      <c r="C684" s="3">
        <v>2.76E-2</v>
      </c>
      <c r="D684" s="3">
        <f t="shared" si="10"/>
        <v>0.4</v>
      </c>
      <c r="E684" s="1">
        <v>0.6</v>
      </c>
      <c r="F684" s="2">
        <v>0.17</v>
      </c>
      <c r="G684" s="2">
        <v>0.28000000000000003</v>
      </c>
      <c r="H684" s="2">
        <v>0.54999999999999993</v>
      </c>
    </row>
    <row r="685" spans="1:8" x14ac:dyDescent="0.25">
      <c r="A685" s="1">
        <v>834</v>
      </c>
      <c r="B685" s="4">
        <v>5946101</v>
      </c>
      <c r="C685" s="3">
        <v>2.76E-2</v>
      </c>
      <c r="D685" s="3">
        <f t="shared" si="10"/>
        <v>0.6</v>
      </c>
      <c r="E685" s="1">
        <v>0.4</v>
      </c>
      <c r="F685" s="2">
        <v>0.12</v>
      </c>
      <c r="G685" s="2">
        <v>0.48</v>
      </c>
      <c r="H685" s="2">
        <v>0.4</v>
      </c>
    </row>
    <row r="686" spans="1:8" x14ac:dyDescent="0.25">
      <c r="A686" s="1">
        <v>136</v>
      </c>
      <c r="B686" s="4">
        <v>612959</v>
      </c>
      <c r="C686" s="3">
        <v>2.75E-2</v>
      </c>
      <c r="D686" s="3">
        <f t="shared" si="10"/>
        <v>0.4</v>
      </c>
      <c r="E686" s="1">
        <v>0.6</v>
      </c>
      <c r="F686" s="2">
        <v>0.41</v>
      </c>
      <c r="G686" s="2">
        <v>0.43</v>
      </c>
      <c r="H686" s="2">
        <v>0.16000000000000009</v>
      </c>
    </row>
    <row r="687" spans="1:8" x14ac:dyDescent="0.25">
      <c r="A687" s="1">
        <v>98</v>
      </c>
      <c r="B687" s="4">
        <v>8558431</v>
      </c>
      <c r="C687" s="3">
        <v>2.7400000000000001E-2</v>
      </c>
      <c r="D687" s="3">
        <f t="shared" si="10"/>
        <v>0.7</v>
      </c>
      <c r="E687" s="1">
        <v>0.3</v>
      </c>
      <c r="F687" s="2">
        <v>0.36</v>
      </c>
      <c r="G687" s="2">
        <v>0.23</v>
      </c>
      <c r="H687" s="2">
        <v>0.41000000000000003</v>
      </c>
    </row>
    <row r="688" spans="1:8" x14ac:dyDescent="0.25">
      <c r="A688" s="1">
        <v>719</v>
      </c>
      <c r="B688" s="4">
        <v>7233485</v>
      </c>
      <c r="C688" s="3">
        <v>2.7400000000000001E-2</v>
      </c>
      <c r="D688" s="3">
        <f t="shared" si="10"/>
        <v>0.7</v>
      </c>
      <c r="E688" s="1">
        <v>0.3</v>
      </c>
      <c r="F688" s="2">
        <v>0.28999999999999998</v>
      </c>
      <c r="G688" s="2">
        <v>0.46</v>
      </c>
      <c r="H688" s="2">
        <v>0.25000000000000006</v>
      </c>
    </row>
    <row r="689" spans="1:8" x14ac:dyDescent="0.25">
      <c r="A689" s="1">
        <v>889</v>
      </c>
      <c r="B689" s="4">
        <v>8707056</v>
      </c>
      <c r="C689" s="3">
        <v>2.7400000000000001E-2</v>
      </c>
      <c r="D689" s="3">
        <f t="shared" si="10"/>
        <v>0.7</v>
      </c>
      <c r="E689" s="1">
        <v>0.3</v>
      </c>
      <c r="F689" s="2">
        <v>0.37</v>
      </c>
      <c r="G689" s="2">
        <v>0.42</v>
      </c>
      <c r="H689" s="2">
        <v>0.21000000000000008</v>
      </c>
    </row>
    <row r="690" spans="1:8" x14ac:dyDescent="0.25">
      <c r="A690" s="1">
        <v>285</v>
      </c>
      <c r="B690" s="4">
        <v>251950</v>
      </c>
      <c r="C690" s="3">
        <v>2.7300000000000001E-2</v>
      </c>
      <c r="D690" s="3">
        <f t="shared" si="10"/>
        <v>0.4</v>
      </c>
      <c r="E690" s="1">
        <v>0.6</v>
      </c>
      <c r="F690" s="2">
        <v>0.19</v>
      </c>
      <c r="G690" s="2">
        <v>0.28999999999999998</v>
      </c>
      <c r="H690" s="2">
        <v>0.52</v>
      </c>
    </row>
    <row r="691" spans="1:8" x14ac:dyDescent="0.25">
      <c r="A691" s="1">
        <v>406</v>
      </c>
      <c r="B691" s="4">
        <v>8682850</v>
      </c>
      <c r="C691" s="3">
        <v>2.7300000000000001E-2</v>
      </c>
      <c r="D691" s="3">
        <f t="shared" si="10"/>
        <v>0.7</v>
      </c>
      <c r="E691" s="1">
        <v>0.3</v>
      </c>
      <c r="F691" s="2">
        <v>0.26</v>
      </c>
      <c r="G691" s="2">
        <v>0.34</v>
      </c>
      <c r="H691" s="2">
        <v>0.39999999999999991</v>
      </c>
    </row>
    <row r="692" spans="1:8" x14ac:dyDescent="0.25">
      <c r="A692" s="1">
        <v>470</v>
      </c>
      <c r="B692" s="4">
        <v>5658220</v>
      </c>
      <c r="C692" s="3">
        <v>2.7300000000000001E-2</v>
      </c>
      <c r="D692" s="3">
        <f t="shared" si="10"/>
        <v>0.6</v>
      </c>
      <c r="E692" s="1">
        <v>0.4</v>
      </c>
      <c r="F692" s="2">
        <v>0.4</v>
      </c>
      <c r="G692" s="2">
        <v>0.34</v>
      </c>
      <c r="H692" s="2">
        <v>0.2599999999999999</v>
      </c>
    </row>
    <row r="693" spans="1:8" x14ac:dyDescent="0.25">
      <c r="A693" s="1">
        <v>501</v>
      </c>
      <c r="B693" s="4">
        <v>2390880</v>
      </c>
      <c r="C693" s="3">
        <v>2.7200000000000002E-2</v>
      </c>
      <c r="D693" s="3">
        <f t="shared" si="10"/>
        <v>0.4</v>
      </c>
      <c r="E693" s="1">
        <v>0.6</v>
      </c>
      <c r="F693" s="2">
        <v>0.21</v>
      </c>
      <c r="G693" s="2">
        <v>0.2</v>
      </c>
      <c r="H693" s="2">
        <v>0.59000000000000008</v>
      </c>
    </row>
    <row r="694" spans="1:8" x14ac:dyDescent="0.25">
      <c r="A694" s="1">
        <v>599</v>
      </c>
      <c r="B694" s="4">
        <v>3307996</v>
      </c>
      <c r="C694" s="3">
        <v>2.7200000000000002E-2</v>
      </c>
      <c r="D694" s="3">
        <f t="shared" si="10"/>
        <v>0.6</v>
      </c>
      <c r="E694" s="1">
        <v>0.4</v>
      </c>
      <c r="F694" s="2">
        <v>0.28999999999999998</v>
      </c>
      <c r="G694" s="2">
        <v>0.38</v>
      </c>
      <c r="H694" s="2">
        <v>0.33</v>
      </c>
    </row>
    <row r="695" spans="1:8" x14ac:dyDescent="0.25">
      <c r="A695" s="1">
        <v>221</v>
      </c>
      <c r="B695" s="4">
        <v>2680440</v>
      </c>
      <c r="C695" s="3">
        <v>2.7000000000000003E-2</v>
      </c>
      <c r="D695" s="3">
        <f t="shared" si="10"/>
        <v>0.4</v>
      </c>
      <c r="E695" s="1">
        <v>0.6</v>
      </c>
      <c r="F695" s="2">
        <v>0.44</v>
      </c>
      <c r="G695" s="2">
        <v>0.39</v>
      </c>
      <c r="H695" s="2">
        <v>0.16999999999999998</v>
      </c>
    </row>
    <row r="696" spans="1:8" x14ac:dyDescent="0.25">
      <c r="A696" s="1">
        <v>852</v>
      </c>
      <c r="B696" s="4">
        <v>3808352</v>
      </c>
      <c r="C696" s="3">
        <v>2.7000000000000003E-2</v>
      </c>
      <c r="D696" s="3">
        <f t="shared" si="10"/>
        <v>0.6</v>
      </c>
      <c r="E696" s="1">
        <v>0.4</v>
      </c>
      <c r="F696" s="2">
        <v>0.34</v>
      </c>
      <c r="G696" s="2">
        <v>0.48</v>
      </c>
      <c r="H696" s="2">
        <v>0.18</v>
      </c>
    </row>
    <row r="697" spans="1:8" x14ac:dyDescent="0.25">
      <c r="A697" s="1">
        <v>142</v>
      </c>
      <c r="B697" s="4">
        <v>5540427</v>
      </c>
      <c r="C697" s="3">
        <v>2.69E-2</v>
      </c>
      <c r="D697" s="3">
        <f t="shared" si="10"/>
        <v>0.6</v>
      </c>
      <c r="E697" s="1">
        <v>0.4</v>
      </c>
      <c r="F697" s="2">
        <v>0.28999999999999998</v>
      </c>
      <c r="G697" s="2">
        <v>0.27</v>
      </c>
      <c r="H697" s="2">
        <v>0.44</v>
      </c>
    </row>
    <row r="698" spans="1:8" x14ac:dyDescent="0.25">
      <c r="A698" s="1">
        <v>701</v>
      </c>
      <c r="B698" s="4">
        <v>9904733</v>
      </c>
      <c r="C698" s="3">
        <v>2.69E-2</v>
      </c>
      <c r="D698" s="3">
        <f t="shared" si="10"/>
        <v>0.7</v>
      </c>
      <c r="E698" s="1">
        <v>0.3</v>
      </c>
      <c r="F698" s="2">
        <v>0.37</v>
      </c>
      <c r="G698" s="2">
        <v>0.4</v>
      </c>
      <c r="H698" s="2">
        <v>0.22999999999999998</v>
      </c>
    </row>
    <row r="699" spans="1:8" x14ac:dyDescent="0.25">
      <c r="A699" s="1">
        <v>1042</v>
      </c>
      <c r="B699" s="4">
        <v>5264870</v>
      </c>
      <c r="C699" s="3">
        <v>2.6800000000000001E-2</v>
      </c>
      <c r="D699" s="3">
        <f t="shared" si="10"/>
        <v>0.6</v>
      </c>
      <c r="E699" s="1">
        <v>0.4</v>
      </c>
      <c r="F699" s="2">
        <v>0.42</v>
      </c>
      <c r="G699" s="2">
        <v>0.28999999999999998</v>
      </c>
      <c r="H699" s="2">
        <v>0.28999999999999998</v>
      </c>
    </row>
    <row r="700" spans="1:8" x14ac:dyDescent="0.25">
      <c r="A700" s="1">
        <v>42</v>
      </c>
      <c r="B700" s="4">
        <v>5048486</v>
      </c>
      <c r="C700" s="3">
        <v>2.6699999999999998E-2</v>
      </c>
      <c r="D700" s="3">
        <f t="shared" si="10"/>
        <v>0.6</v>
      </c>
      <c r="E700" s="1">
        <v>0.4</v>
      </c>
      <c r="F700" s="2">
        <v>0.2</v>
      </c>
      <c r="G700" s="2">
        <v>0.46</v>
      </c>
      <c r="H700" s="2">
        <v>0.34</v>
      </c>
    </row>
    <row r="701" spans="1:8" x14ac:dyDescent="0.25">
      <c r="A701" s="1">
        <v>106</v>
      </c>
      <c r="B701" s="4">
        <v>5932467</v>
      </c>
      <c r="C701" s="3">
        <v>2.6699999999999998E-2</v>
      </c>
      <c r="D701" s="3">
        <f t="shared" si="10"/>
        <v>0.6</v>
      </c>
      <c r="E701" s="1">
        <v>0.4</v>
      </c>
      <c r="F701" s="2">
        <v>0.36</v>
      </c>
      <c r="G701" s="2">
        <v>0.28000000000000003</v>
      </c>
      <c r="H701" s="2">
        <v>0.36</v>
      </c>
    </row>
    <row r="702" spans="1:8" x14ac:dyDescent="0.25">
      <c r="A702" s="1">
        <v>7</v>
      </c>
      <c r="B702" s="4">
        <v>7805733</v>
      </c>
      <c r="C702" s="3">
        <v>2.6600000000000002E-2</v>
      </c>
      <c r="D702" s="3">
        <f t="shared" si="10"/>
        <v>0.7</v>
      </c>
      <c r="E702" s="1">
        <v>0.3</v>
      </c>
      <c r="F702" s="2">
        <v>0.28999999999999998</v>
      </c>
      <c r="G702" s="2">
        <v>0.23</v>
      </c>
      <c r="H702" s="2">
        <v>0.48000000000000004</v>
      </c>
    </row>
    <row r="703" spans="1:8" x14ac:dyDescent="0.25">
      <c r="A703" s="1">
        <v>398</v>
      </c>
      <c r="B703" s="4">
        <v>8325284</v>
      </c>
      <c r="C703" s="3">
        <v>2.6600000000000002E-2</v>
      </c>
      <c r="D703" s="3">
        <f t="shared" si="10"/>
        <v>0.7</v>
      </c>
      <c r="E703" s="1">
        <v>0.3</v>
      </c>
      <c r="F703" s="2">
        <v>0.17</v>
      </c>
      <c r="G703" s="2">
        <v>0.26</v>
      </c>
      <c r="H703" s="2">
        <v>0.56999999999999995</v>
      </c>
    </row>
    <row r="704" spans="1:8" x14ac:dyDescent="0.25">
      <c r="A704" s="1">
        <v>670</v>
      </c>
      <c r="B704" s="4">
        <v>8642491</v>
      </c>
      <c r="C704" s="3">
        <v>2.6499999999999999E-2</v>
      </c>
      <c r="D704" s="3">
        <f t="shared" si="10"/>
        <v>0.7</v>
      </c>
      <c r="E704" s="1">
        <v>0.3</v>
      </c>
      <c r="F704" s="2">
        <v>0.16</v>
      </c>
      <c r="G704" s="2">
        <v>0.28000000000000003</v>
      </c>
      <c r="H704" s="2">
        <v>0.55999999999999994</v>
      </c>
    </row>
    <row r="705" spans="1:8" x14ac:dyDescent="0.25">
      <c r="A705" s="1">
        <v>892</v>
      </c>
      <c r="B705" s="4">
        <v>5231992</v>
      </c>
      <c r="C705" s="3">
        <v>2.6499999999999999E-2</v>
      </c>
      <c r="D705" s="3">
        <f t="shared" si="10"/>
        <v>0.6</v>
      </c>
      <c r="E705" s="1">
        <v>0.4</v>
      </c>
      <c r="F705" s="2">
        <v>0.11</v>
      </c>
      <c r="G705" s="2">
        <v>0.3</v>
      </c>
      <c r="H705" s="2">
        <v>0.59</v>
      </c>
    </row>
    <row r="706" spans="1:8" x14ac:dyDescent="0.25">
      <c r="A706" s="1">
        <v>44</v>
      </c>
      <c r="B706" s="4">
        <v>5340463</v>
      </c>
      <c r="C706" s="3">
        <v>2.64E-2</v>
      </c>
      <c r="D706" s="3">
        <f t="shared" ref="D706:D769" si="11">1-E706</f>
        <v>0.6</v>
      </c>
      <c r="E706" s="1">
        <v>0.4</v>
      </c>
      <c r="F706" s="2">
        <v>0.28000000000000003</v>
      </c>
      <c r="G706" s="2">
        <v>0.33</v>
      </c>
      <c r="H706" s="2">
        <v>0.3899999999999999</v>
      </c>
    </row>
    <row r="707" spans="1:8" x14ac:dyDescent="0.25">
      <c r="A707" s="1">
        <v>587</v>
      </c>
      <c r="B707" s="4">
        <v>6257581</v>
      </c>
      <c r="C707" s="3">
        <v>2.64E-2</v>
      </c>
      <c r="D707" s="3">
        <f t="shared" si="11"/>
        <v>0.6</v>
      </c>
      <c r="E707" s="1">
        <v>0.4</v>
      </c>
      <c r="F707" s="2">
        <v>0.22</v>
      </c>
      <c r="G707" s="2">
        <v>0.27</v>
      </c>
      <c r="H707" s="2">
        <v>0.51</v>
      </c>
    </row>
    <row r="708" spans="1:8" x14ac:dyDescent="0.25">
      <c r="A708" s="1">
        <v>702</v>
      </c>
      <c r="B708" s="4">
        <v>4680810</v>
      </c>
      <c r="C708" s="3">
        <v>2.64E-2</v>
      </c>
      <c r="D708" s="3">
        <f t="shared" si="11"/>
        <v>0.6</v>
      </c>
      <c r="E708" s="1">
        <v>0.4</v>
      </c>
      <c r="F708" s="2">
        <v>0.19</v>
      </c>
      <c r="G708" s="2">
        <v>0.2</v>
      </c>
      <c r="H708" s="2">
        <v>0.6100000000000001</v>
      </c>
    </row>
    <row r="709" spans="1:8" x14ac:dyDescent="0.25">
      <c r="A709" s="1">
        <v>800</v>
      </c>
      <c r="B709" s="4">
        <v>9293435</v>
      </c>
      <c r="C709" s="3">
        <v>2.64E-2</v>
      </c>
      <c r="D709" s="3">
        <f t="shared" si="11"/>
        <v>0.7</v>
      </c>
      <c r="E709" s="1">
        <v>0.3</v>
      </c>
      <c r="F709" s="2">
        <v>0.3</v>
      </c>
      <c r="G709" s="2">
        <v>0.42</v>
      </c>
      <c r="H709" s="2">
        <v>0.28000000000000008</v>
      </c>
    </row>
    <row r="710" spans="1:8" x14ac:dyDescent="0.25">
      <c r="A710" s="1">
        <v>32</v>
      </c>
      <c r="B710" s="4">
        <v>9356583</v>
      </c>
      <c r="C710" s="3">
        <v>2.63E-2</v>
      </c>
      <c r="D710" s="3">
        <f t="shared" si="11"/>
        <v>0.7</v>
      </c>
      <c r="E710" s="1">
        <v>0.3</v>
      </c>
      <c r="F710" s="2">
        <v>0.1</v>
      </c>
      <c r="G710" s="2">
        <v>0.23</v>
      </c>
      <c r="H710" s="2">
        <v>0.67</v>
      </c>
    </row>
    <row r="711" spans="1:8" x14ac:dyDescent="0.25">
      <c r="A711" s="1">
        <v>186</v>
      </c>
      <c r="B711" s="4">
        <v>8516869</v>
      </c>
      <c r="C711" s="3">
        <v>2.63E-2</v>
      </c>
      <c r="D711" s="3">
        <f t="shared" si="11"/>
        <v>0.7</v>
      </c>
      <c r="E711" s="1">
        <v>0.3</v>
      </c>
      <c r="F711" s="2">
        <v>0.12</v>
      </c>
      <c r="G711" s="2">
        <v>0.23</v>
      </c>
      <c r="H711" s="2">
        <v>0.65</v>
      </c>
    </row>
    <row r="712" spans="1:8" x14ac:dyDescent="0.25">
      <c r="A712" s="1">
        <v>444</v>
      </c>
      <c r="B712" s="4">
        <v>6123992</v>
      </c>
      <c r="C712" s="3">
        <v>2.63E-2</v>
      </c>
      <c r="D712" s="3">
        <f t="shared" si="11"/>
        <v>0.6</v>
      </c>
      <c r="E712" s="1">
        <v>0.4</v>
      </c>
      <c r="F712" s="2">
        <v>0.4</v>
      </c>
      <c r="G712" s="2">
        <v>0.4</v>
      </c>
      <c r="H712" s="2">
        <v>0.19999999999999996</v>
      </c>
    </row>
    <row r="713" spans="1:8" x14ac:dyDescent="0.25">
      <c r="A713" s="1">
        <v>511</v>
      </c>
      <c r="B713" s="4">
        <v>924656</v>
      </c>
      <c r="C713" s="3">
        <v>2.63E-2</v>
      </c>
      <c r="D713" s="3">
        <f t="shared" si="11"/>
        <v>0.4</v>
      </c>
      <c r="E713" s="1">
        <v>0.6</v>
      </c>
      <c r="F713" s="2">
        <v>0.41</v>
      </c>
      <c r="G713" s="2">
        <v>0.31</v>
      </c>
      <c r="H713" s="2">
        <v>0.27999999999999997</v>
      </c>
    </row>
    <row r="714" spans="1:8" x14ac:dyDescent="0.25">
      <c r="A714" s="1">
        <v>948</v>
      </c>
      <c r="B714" s="4">
        <v>1629171</v>
      </c>
      <c r="C714" s="3">
        <v>2.6200000000000001E-2</v>
      </c>
      <c r="D714" s="3">
        <f t="shared" si="11"/>
        <v>0.4</v>
      </c>
      <c r="E714" s="1">
        <v>0.6</v>
      </c>
      <c r="F714" s="2">
        <v>0.32</v>
      </c>
      <c r="G714" s="2">
        <v>0.4</v>
      </c>
      <c r="H714" s="2">
        <v>0.27999999999999997</v>
      </c>
    </row>
    <row r="715" spans="1:8" x14ac:dyDescent="0.25">
      <c r="A715" s="1">
        <v>755</v>
      </c>
      <c r="B715" s="4">
        <v>5701978</v>
      </c>
      <c r="C715" s="3">
        <v>2.6099999999999998E-2</v>
      </c>
      <c r="D715" s="3">
        <f t="shared" si="11"/>
        <v>0.6</v>
      </c>
      <c r="E715" s="1">
        <v>0.4</v>
      </c>
      <c r="F715" s="2">
        <v>0.28999999999999998</v>
      </c>
      <c r="G715" s="2">
        <v>0.22</v>
      </c>
      <c r="H715" s="2">
        <v>0.49000000000000005</v>
      </c>
    </row>
    <row r="716" spans="1:8" x14ac:dyDescent="0.25">
      <c r="A716" s="1">
        <v>1</v>
      </c>
      <c r="B716" s="4">
        <v>6626334</v>
      </c>
      <c r="C716" s="3">
        <v>2.6000000000000002E-2</v>
      </c>
      <c r="D716" s="3">
        <f t="shared" si="11"/>
        <v>0.6</v>
      </c>
      <c r="E716" s="1">
        <v>0.4</v>
      </c>
      <c r="F716" s="2">
        <v>0.35</v>
      </c>
      <c r="G716" s="2">
        <v>0.35</v>
      </c>
      <c r="H716" s="2">
        <v>0.30000000000000004</v>
      </c>
    </row>
    <row r="717" spans="1:8" x14ac:dyDescent="0.25">
      <c r="A717" s="1">
        <v>525</v>
      </c>
      <c r="B717" s="4">
        <v>1526847</v>
      </c>
      <c r="C717" s="3">
        <v>2.6000000000000002E-2</v>
      </c>
      <c r="D717" s="3">
        <f t="shared" si="11"/>
        <v>0.4</v>
      </c>
      <c r="E717" s="1">
        <v>0.6</v>
      </c>
      <c r="F717" s="2">
        <v>0.1</v>
      </c>
      <c r="G717" s="2">
        <v>0.49</v>
      </c>
      <c r="H717" s="2">
        <v>0.41000000000000003</v>
      </c>
    </row>
    <row r="718" spans="1:8" x14ac:dyDescent="0.25">
      <c r="A718" s="1">
        <v>343</v>
      </c>
      <c r="B718" s="4">
        <v>5189328</v>
      </c>
      <c r="C718" s="3">
        <v>2.5899999999999999E-2</v>
      </c>
      <c r="D718" s="3">
        <f t="shared" si="11"/>
        <v>0.6</v>
      </c>
      <c r="E718" s="1">
        <v>0.4</v>
      </c>
      <c r="F718" s="2">
        <v>0.3</v>
      </c>
      <c r="G718" s="2">
        <v>0.36</v>
      </c>
      <c r="H718" s="2">
        <v>0.34</v>
      </c>
    </row>
    <row r="719" spans="1:8" x14ac:dyDescent="0.25">
      <c r="A719" s="1">
        <v>229</v>
      </c>
      <c r="B719" s="4">
        <v>8705447</v>
      </c>
      <c r="C719" s="3">
        <v>2.58E-2</v>
      </c>
      <c r="D719" s="3">
        <f t="shared" si="11"/>
        <v>0.7</v>
      </c>
      <c r="E719" s="1">
        <v>0.3</v>
      </c>
      <c r="F719" s="2">
        <v>0.2</v>
      </c>
      <c r="G719" s="2">
        <v>0.39</v>
      </c>
      <c r="H719" s="2">
        <v>0.41</v>
      </c>
    </row>
    <row r="720" spans="1:8" x14ac:dyDescent="0.25">
      <c r="A720" s="1">
        <v>367</v>
      </c>
      <c r="B720" s="4">
        <v>194891</v>
      </c>
      <c r="C720" s="3">
        <v>2.58E-2</v>
      </c>
      <c r="D720" s="3">
        <f t="shared" si="11"/>
        <v>0.4</v>
      </c>
      <c r="E720" s="1">
        <v>0.6</v>
      </c>
      <c r="F720" s="2">
        <v>0.36</v>
      </c>
      <c r="G720" s="2">
        <v>0.42</v>
      </c>
      <c r="H720" s="2">
        <v>0.22000000000000008</v>
      </c>
    </row>
    <row r="721" spans="1:8" x14ac:dyDescent="0.25">
      <c r="A721" s="1">
        <v>423</v>
      </c>
      <c r="B721" s="4">
        <v>3264493</v>
      </c>
      <c r="C721" s="3">
        <v>2.58E-2</v>
      </c>
      <c r="D721" s="3">
        <f t="shared" si="11"/>
        <v>0.6</v>
      </c>
      <c r="E721" s="1">
        <v>0.4</v>
      </c>
      <c r="F721" s="2">
        <v>0.39</v>
      </c>
      <c r="G721" s="2">
        <v>0.44</v>
      </c>
      <c r="H721" s="2">
        <v>0.17000000000000004</v>
      </c>
    </row>
    <row r="722" spans="1:8" x14ac:dyDescent="0.25">
      <c r="A722" s="1">
        <v>687</v>
      </c>
      <c r="B722" s="4">
        <v>2127490</v>
      </c>
      <c r="C722" s="3">
        <v>2.58E-2</v>
      </c>
      <c r="D722" s="3">
        <f t="shared" si="11"/>
        <v>0.4</v>
      </c>
      <c r="E722" s="1">
        <v>0.6</v>
      </c>
      <c r="F722" s="2">
        <v>0.19</v>
      </c>
      <c r="G722" s="2">
        <v>0.35</v>
      </c>
      <c r="H722" s="2">
        <v>0.46</v>
      </c>
    </row>
    <row r="723" spans="1:8" x14ac:dyDescent="0.25">
      <c r="A723" s="1">
        <v>141</v>
      </c>
      <c r="B723" s="4">
        <v>4766131</v>
      </c>
      <c r="C723" s="3">
        <v>2.5699999999999997E-2</v>
      </c>
      <c r="D723" s="3">
        <f t="shared" si="11"/>
        <v>0.6</v>
      </c>
      <c r="E723" s="1">
        <v>0.4</v>
      </c>
      <c r="F723" s="2">
        <v>0.31</v>
      </c>
      <c r="G723" s="2">
        <v>0.44</v>
      </c>
      <c r="H723" s="2">
        <v>0.25000000000000006</v>
      </c>
    </row>
    <row r="724" spans="1:8" x14ac:dyDescent="0.25">
      <c r="A724" s="1">
        <v>159</v>
      </c>
      <c r="B724" s="4">
        <v>1986473</v>
      </c>
      <c r="C724" s="3">
        <v>2.5699999999999997E-2</v>
      </c>
      <c r="D724" s="3">
        <f t="shared" si="11"/>
        <v>0.4</v>
      </c>
      <c r="E724" s="1">
        <v>0.6</v>
      </c>
      <c r="F724" s="2">
        <v>0.21</v>
      </c>
      <c r="G724" s="2">
        <v>0.26</v>
      </c>
      <c r="H724" s="2">
        <v>0.53</v>
      </c>
    </row>
    <row r="725" spans="1:8" x14ac:dyDescent="0.25">
      <c r="A725" s="1">
        <v>244</v>
      </c>
      <c r="B725" s="4">
        <v>7230456</v>
      </c>
      <c r="C725" s="3">
        <v>2.5699999999999997E-2</v>
      </c>
      <c r="D725" s="3">
        <f t="shared" si="11"/>
        <v>0.7</v>
      </c>
      <c r="E725" s="1">
        <v>0.3</v>
      </c>
      <c r="F725" s="2">
        <v>0.28000000000000003</v>
      </c>
      <c r="G725" s="2">
        <v>0.46</v>
      </c>
      <c r="H725" s="2">
        <v>0.26</v>
      </c>
    </row>
    <row r="726" spans="1:8" x14ac:dyDescent="0.25">
      <c r="A726" s="1">
        <v>392</v>
      </c>
      <c r="B726" s="4">
        <v>5030905</v>
      </c>
      <c r="C726" s="3">
        <v>2.5699999999999997E-2</v>
      </c>
      <c r="D726" s="3">
        <f t="shared" si="11"/>
        <v>0.6</v>
      </c>
      <c r="E726" s="1">
        <v>0.4</v>
      </c>
      <c r="F726" s="2">
        <v>0.28999999999999998</v>
      </c>
      <c r="G726" s="2">
        <v>0.2</v>
      </c>
      <c r="H726" s="2">
        <v>0.51</v>
      </c>
    </row>
    <row r="727" spans="1:8" x14ac:dyDescent="0.25">
      <c r="A727" s="1">
        <v>575</v>
      </c>
      <c r="B727" s="4">
        <v>7190644</v>
      </c>
      <c r="C727" s="3">
        <v>2.5600000000000001E-2</v>
      </c>
      <c r="D727" s="3">
        <f t="shared" si="11"/>
        <v>0.7</v>
      </c>
      <c r="E727" s="1">
        <v>0.3</v>
      </c>
      <c r="F727" s="2">
        <v>0.18</v>
      </c>
      <c r="G727" s="2">
        <v>0.45</v>
      </c>
      <c r="H727" s="2">
        <v>0.37000000000000005</v>
      </c>
    </row>
    <row r="728" spans="1:8" x14ac:dyDescent="0.25">
      <c r="A728" s="1">
        <v>685</v>
      </c>
      <c r="B728" s="4">
        <v>9327802</v>
      </c>
      <c r="C728" s="3">
        <v>2.5499999999999998E-2</v>
      </c>
      <c r="D728" s="3">
        <f t="shared" si="11"/>
        <v>0.7</v>
      </c>
      <c r="E728" s="1">
        <v>0.3</v>
      </c>
      <c r="F728" s="2">
        <v>0.37</v>
      </c>
      <c r="G728" s="2">
        <v>0.31</v>
      </c>
      <c r="H728" s="2">
        <v>0.31999999999999995</v>
      </c>
    </row>
    <row r="729" spans="1:8" x14ac:dyDescent="0.25">
      <c r="A729" s="1">
        <v>882</v>
      </c>
      <c r="B729" s="4">
        <v>8148133</v>
      </c>
      <c r="C729" s="3">
        <v>2.5499999999999998E-2</v>
      </c>
      <c r="D729" s="3">
        <f t="shared" si="11"/>
        <v>0.7</v>
      </c>
      <c r="E729" s="1">
        <v>0.3</v>
      </c>
      <c r="F729" s="2">
        <v>0.35</v>
      </c>
      <c r="G729" s="2">
        <v>0.34</v>
      </c>
      <c r="H729" s="2">
        <v>0.30999999999999994</v>
      </c>
    </row>
    <row r="730" spans="1:8" x14ac:dyDescent="0.25">
      <c r="A730" s="1">
        <v>664</v>
      </c>
      <c r="B730" s="4">
        <v>732694</v>
      </c>
      <c r="C730" s="3">
        <v>2.5399999999999999E-2</v>
      </c>
      <c r="D730" s="3">
        <f t="shared" si="11"/>
        <v>0.4</v>
      </c>
      <c r="E730" s="1">
        <v>0.6</v>
      </c>
      <c r="F730" s="2">
        <v>0.36</v>
      </c>
      <c r="G730" s="2">
        <v>0.41</v>
      </c>
      <c r="H730" s="2">
        <v>0.23000000000000009</v>
      </c>
    </row>
    <row r="731" spans="1:8" x14ac:dyDescent="0.25">
      <c r="A731" s="1">
        <v>538</v>
      </c>
      <c r="B731" s="4">
        <v>8605877</v>
      </c>
      <c r="C731" s="3">
        <v>2.53E-2</v>
      </c>
      <c r="D731" s="3">
        <f t="shared" si="11"/>
        <v>0.7</v>
      </c>
      <c r="E731" s="1">
        <v>0.3</v>
      </c>
      <c r="F731" s="2">
        <v>0.28999999999999998</v>
      </c>
      <c r="G731" s="2">
        <v>0.24</v>
      </c>
      <c r="H731" s="2">
        <v>0.47000000000000003</v>
      </c>
    </row>
    <row r="732" spans="1:8" x14ac:dyDescent="0.25">
      <c r="A732" s="1">
        <v>108</v>
      </c>
      <c r="B732" s="4">
        <v>9422068</v>
      </c>
      <c r="C732" s="3">
        <v>2.52E-2</v>
      </c>
      <c r="D732" s="3">
        <f t="shared" si="11"/>
        <v>0.7</v>
      </c>
      <c r="E732" s="1">
        <v>0.3</v>
      </c>
      <c r="F732" s="2">
        <v>0.32</v>
      </c>
      <c r="G732" s="2">
        <v>0.31</v>
      </c>
      <c r="H732" s="2">
        <v>0.36999999999999994</v>
      </c>
    </row>
    <row r="733" spans="1:8" x14ac:dyDescent="0.25">
      <c r="A733" s="1">
        <v>915</v>
      </c>
      <c r="B733" s="4">
        <v>1280910</v>
      </c>
      <c r="C733" s="3">
        <v>2.52E-2</v>
      </c>
      <c r="D733" s="3">
        <f t="shared" si="11"/>
        <v>0.4</v>
      </c>
      <c r="E733" s="1">
        <v>0.6</v>
      </c>
      <c r="F733" s="2">
        <v>0.1</v>
      </c>
      <c r="G733" s="2">
        <v>0.2</v>
      </c>
      <c r="H733" s="2">
        <v>0.70000000000000007</v>
      </c>
    </row>
    <row r="734" spans="1:8" x14ac:dyDescent="0.25">
      <c r="A734" s="1">
        <v>777</v>
      </c>
      <c r="B734" s="4">
        <v>8664450</v>
      </c>
      <c r="C734" s="3">
        <v>2.5099999999999997E-2</v>
      </c>
      <c r="D734" s="3">
        <f t="shared" si="11"/>
        <v>0.7</v>
      </c>
      <c r="E734" s="1">
        <v>0.3</v>
      </c>
      <c r="F734" s="2">
        <v>0.13</v>
      </c>
      <c r="G734" s="2">
        <v>0.39</v>
      </c>
      <c r="H734" s="2">
        <v>0.48</v>
      </c>
    </row>
    <row r="735" spans="1:8" x14ac:dyDescent="0.25">
      <c r="A735" s="1">
        <v>112</v>
      </c>
      <c r="B735" s="4">
        <v>5336648</v>
      </c>
      <c r="C735" s="3">
        <v>2.5000000000000001E-2</v>
      </c>
      <c r="D735" s="3">
        <f t="shared" si="11"/>
        <v>0.6</v>
      </c>
      <c r="E735" s="1">
        <v>0.4</v>
      </c>
      <c r="F735" s="2">
        <v>0.44</v>
      </c>
      <c r="G735" s="2">
        <v>0.5</v>
      </c>
      <c r="H735" s="2">
        <v>0.06</v>
      </c>
    </row>
    <row r="736" spans="1:8" x14ac:dyDescent="0.25">
      <c r="A736" s="1">
        <v>363</v>
      </c>
      <c r="B736" s="4">
        <v>8258393</v>
      </c>
      <c r="C736" s="3">
        <v>2.5000000000000001E-2</v>
      </c>
      <c r="D736" s="3">
        <f t="shared" si="11"/>
        <v>0.7</v>
      </c>
      <c r="E736" s="1">
        <v>0.3</v>
      </c>
      <c r="F736" s="2">
        <v>0.31</v>
      </c>
      <c r="G736" s="2">
        <v>0.36</v>
      </c>
      <c r="H736" s="2">
        <v>0.33</v>
      </c>
    </row>
    <row r="737" spans="1:8" x14ac:dyDescent="0.25">
      <c r="A737" s="1">
        <v>720</v>
      </c>
      <c r="B737" s="4">
        <v>4763465</v>
      </c>
      <c r="C737" s="3">
        <v>2.5000000000000001E-2</v>
      </c>
      <c r="D737" s="3">
        <f t="shared" si="11"/>
        <v>0.6</v>
      </c>
      <c r="E737" s="1">
        <v>0.4</v>
      </c>
      <c r="F737" s="2">
        <v>0.12</v>
      </c>
      <c r="G737" s="2">
        <v>0.32</v>
      </c>
      <c r="H737" s="2">
        <v>0.55999999999999994</v>
      </c>
    </row>
    <row r="738" spans="1:8" x14ac:dyDescent="0.25">
      <c r="A738" s="1">
        <v>742</v>
      </c>
      <c r="B738" s="4">
        <v>7010606</v>
      </c>
      <c r="C738" s="3">
        <v>2.4900000000000002E-2</v>
      </c>
      <c r="D738" s="3">
        <f t="shared" si="11"/>
        <v>0.7</v>
      </c>
      <c r="E738" s="1">
        <v>0.3</v>
      </c>
      <c r="F738" s="2">
        <v>0.11</v>
      </c>
      <c r="G738" s="2">
        <v>0.2</v>
      </c>
      <c r="H738" s="2">
        <v>0.69000000000000006</v>
      </c>
    </row>
    <row r="739" spans="1:8" x14ac:dyDescent="0.25">
      <c r="A739" s="1">
        <v>1015</v>
      </c>
      <c r="B739" s="4">
        <v>8458495</v>
      </c>
      <c r="C739" s="3">
        <v>2.4900000000000002E-2</v>
      </c>
      <c r="D739" s="3">
        <f t="shared" si="11"/>
        <v>0.7</v>
      </c>
      <c r="E739" s="1">
        <v>0.3</v>
      </c>
      <c r="F739" s="2">
        <v>0.33</v>
      </c>
      <c r="G739" s="2">
        <v>0.39</v>
      </c>
      <c r="H739" s="2">
        <v>0.27999999999999997</v>
      </c>
    </row>
    <row r="740" spans="1:8" x14ac:dyDescent="0.25">
      <c r="A740" s="1">
        <v>219</v>
      </c>
      <c r="B740" s="4">
        <v>6169658</v>
      </c>
      <c r="C740" s="3">
        <v>2.4799999999999999E-2</v>
      </c>
      <c r="D740" s="3">
        <f t="shared" si="11"/>
        <v>0.6</v>
      </c>
      <c r="E740" s="1">
        <v>0.4</v>
      </c>
      <c r="F740" s="2">
        <v>0.35</v>
      </c>
      <c r="G740" s="2">
        <v>0.24</v>
      </c>
      <c r="H740" s="2">
        <v>0.41000000000000003</v>
      </c>
    </row>
    <row r="741" spans="1:8" x14ac:dyDescent="0.25">
      <c r="A741" s="1">
        <v>288</v>
      </c>
      <c r="B741" s="4">
        <v>6913269</v>
      </c>
      <c r="C741" s="3">
        <v>2.4799999999999999E-2</v>
      </c>
      <c r="D741" s="3">
        <f t="shared" si="11"/>
        <v>0.6</v>
      </c>
      <c r="E741" s="1">
        <v>0.4</v>
      </c>
      <c r="F741" s="2">
        <v>0.43</v>
      </c>
      <c r="G741" s="2">
        <v>0.26</v>
      </c>
      <c r="H741" s="2">
        <v>0.31</v>
      </c>
    </row>
    <row r="742" spans="1:8" x14ac:dyDescent="0.25">
      <c r="A742" s="1">
        <v>757</v>
      </c>
      <c r="B742" s="4">
        <v>2870683</v>
      </c>
      <c r="C742" s="3">
        <v>2.4799999999999999E-2</v>
      </c>
      <c r="D742" s="3">
        <f t="shared" si="11"/>
        <v>0.4</v>
      </c>
      <c r="E742" s="1">
        <v>0.6</v>
      </c>
      <c r="F742" s="2">
        <v>0.14000000000000001</v>
      </c>
      <c r="G742" s="2">
        <v>0.33</v>
      </c>
      <c r="H742" s="2">
        <v>0.52999999999999992</v>
      </c>
    </row>
    <row r="743" spans="1:8" x14ac:dyDescent="0.25">
      <c r="A743" s="1">
        <v>770</v>
      </c>
      <c r="B743" s="4">
        <v>198079</v>
      </c>
      <c r="C743" s="3">
        <v>2.4700000000000003E-2</v>
      </c>
      <c r="D743" s="3">
        <f t="shared" si="11"/>
        <v>0.4</v>
      </c>
      <c r="E743" s="1">
        <v>0.6</v>
      </c>
      <c r="F743" s="2">
        <v>0.17</v>
      </c>
      <c r="G743" s="2">
        <v>0.4</v>
      </c>
      <c r="H743" s="2">
        <v>0.42999999999999994</v>
      </c>
    </row>
    <row r="744" spans="1:8" x14ac:dyDescent="0.25">
      <c r="A744" s="1">
        <v>422</v>
      </c>
      <c r="B744" s="4">
        <v>2239654</v>
      </c>
      <c r="C744" s="3">
        <v>2.4500000000000001E-2</v>
      </c>
      <c r="D744" s="3">
        <f t="shared" si="11"/>
        <v>0.4</v>
      </c>
      <c r="E744" s="1">
        <v>0.6</v>
      </c>
      <c r="F744" s="2">
        <v>0.31</v>
      </c>
      <c r="G744" s="2">
        <v>0.47</v>
      </c>
      <c r="H744" s="2">
        <v>0.22000000000000003</v>
      </c>
    </row>
    <row r="745" spans="1:8" x14ac:dyDescent="0.25">
      <c r="A745" s="1">
        <v>624</v>
      </c>
      <c r="B745" s="4">
        <v>6992020</v>
      </c>
      <c r="C745" s="3">
        <v>2.4500000000000001E-2</v>
      </c>
      <c r="D745" s="3">
        <f t="shared" si="11"/>
        <v>0.6</v>
      </c>
      <c r="E745" s="1">
        <v>0.4</v>
      </c>
      <c r="F745" s="2">
        <v>0.3</v>
      </c>
      <c r="G745" s="2">
        <v>0.48</v>
      </c>
      <c r="H745" s="2">
        <v>0.22000000000000003</v>
      </c>
    </row>
    <row r="746" spans="1:8" x14ac:dyDescent="0.25">
      <c r="A746" s="1">
        <v>233</v>
      </c>
      <c r="B746" s="4">
        <v>6559631</v>
      </c>
      <c r="C746" s="3">
        <v>2.4399999999999998E-2</v>
      </c>
      <c r="D746" s="3">
        <f t="shared" si="11"/>
        <v>0.6</v>
      </c>
      <c r="E746" s="1">
        <v>0.4</v>
      </c>
      <c r="F746" s="2">
        <v>0.16</v>
      </c>
      <c r="G746" s="2">
        <v>0.38</v>
      </c>
      <c r="H746" s="2">
        <v>0.45999999999999996</v>
      </c>
    </row>
    <row r="747" spans="1:8" x14ac:dyDescent="0.25">
      <c r="A747" s="1">
        <v>386</v>
      </c>
      <c r="B747" s="4">
        <v>5643947</v>
      </c>
      <c r="C747" s="3">
        <v>2.4399999999999998E-2</v>
      </c>
      <c r="D747" s="3">
        <f t="shared" si="11"/>
        <v>0.6</v>
      </c>
      <c r="E747" s="1">
        <v>0.4</v>
      </c>
      <c r="F747" s="2">
        <v>0.21</v>
      </c>
      <c r="G747" s="2">
        <v>0.47</v>
      </c>
      <c r="H747" s="2">
        <v>0.32000000000000006</v>
      </c>
    </row>
    <row r="748" spans="1:8" x14ac:dyDescent="0.25">
      <c r="A748" s="1">
        <v>736</v>
      </c>
      <c r="B748" s="4">
        <v>4199871</v>
      </c>
      <c r="C748" s="3">
        <v>2.4399999999999998E-2</v>
      </c>
      <c r="D748" s="3">
        <f t="shared" si="11"/>
        <v>0.6</v>
      </c>
      <c r="E748" s="1">
        <v>0.4</v>
      </c>
      <c r="F748" s="2">
        <v>0.25</v>
      </c>
      <c r="G748" s="2">
        <v>0.33</v>
      </c>
      <c r="H748" s="2">
        <v>0.41999999999999993</v>
      </c>
    </row>
    <row r="749" spans="1:8" x14ac:dyDescent="0.25">
      <c r="A749" s="1">
        <v>438</v>
      </c>
      <c r="B749" s="4">
        <v>5219639</v>
      </c>
      <c r="C749" s="3">
        <v>2.4300000000000002E-2</v>
      </c>
      <c r="D749" s="3">
        <f t="shared" si="11"/>
        <v>0.6</v>
      </c>
      <c r="E749" s="1">
        <v>0.4</v>
      </c>
      <c r="F749" s="2">
        <v>0.43</v>
      </c>
      <c r="G749" s="2">
        <v>0.46</v>
      </c>
      <c r="H749" s="2">
        <v>0.11000000000000004</v>
      </c>
    </row>
    <row r="750" spans="1:8" x14ac:dyDescent="0.25">
      <c r="A750" s="1">
        <v>559</v>
      </c>
      <c r="B750" s="4">
        <v>1892652</v>
      </c>
      <c r="C750" s="3">
        <v>2.4300000000000002E-2</v>
      </c>
      <c r="D750" s="3">
        <f t="shared" si="11"/>
        <v>0.4</v>
      </c>
      <c r="E750" s="1">
        <v>0.6</v>
      </c>
      <c r="F750" s="2">
        <v>0.38</v>
      </c>
      <c r="G750" s="2">
        <v>0.26</v>
      </c>
      <c r="H750" s="2">
        <v>0.36</v>
      </c>
    </row>
    <row r="751" spans="1:8" x14ac:dyDescent="0.25">
      <c r="A751" s="1">
        <v>768</v>
      </c>
      <c r="B751" s="4">
        <v>4769825</v>
      </c>
      <c r="C751" s="3">
        <v>2.4199999999999999E-2</v>
      </c>
      <c r="D751" s="3">
        <f t="shared" si="11"/>
        <v>0.6</v>
      </c>
      <c r="E751" s="1">
        <v>0.4</v>
      </c>
      <c r="F751" s="2">
        <v>0.3</v>
      </c>
      <c r="G751" s="2">
        <v>0.33</v>
      </c>
      <c r="H751" s="2">
        <v>0.36999999999999994</v>
      </c>
    </row>
    <row r="752" spans="1:8" x14ac:dyDescent="0.25">
      <c r="A752" s="1">
        <v>900</v>
      </c>
      <c r="B752" s="4">
        <v>3558211</v>
      </c>
      <c r="C752" s="3">
        <v>2.4199999999999999E-2</v>
      </c>
      <c r="D752" s="3">
        <f t="shared" si="11"/>
        <v>0.6</v>
      </c>
      <c r="E752" s="1">
        <v>0.4</v>
      </c>
      <c r="F752" s="2">
        <v>0.35</v>
      </c>
      <c r="G752" s="2">
        <v>0.37</v>
      </c>
      <c r="H752" s="2">
        <v>0.28000000000000003</v>
      </c>
    </row>
    <row r="753" spans="1:8" x14ac:dyDescent="0.25">
      <c r="A753" s="1">
        <v>397</v>
      </c>
      <c r="B753" s="4">
        <v>4957262</v>
      </c>
      <c r="C753" s="3">
        <v>2.41E-2</v>
      </c>
      <c r="D753" s="3">
        <f t="shared" si="11"/>
        <v>0.6</v>
      </c>
      <c r="E753" s="1">
        <v>0.4</v>
      </c>
      <c r="F753" s="2">
        <v>0.28000000000000003</v>
      </c>
      <c r="G753" s="2">
        <v>0.36</v>
      </c>
      <c r="H753" s="2">
        <v>0.36</v>
      </c>
    </row>
    <row r="754" spans="1:8" x14ac:dyDescent="0.25">
      <c r="A754" s="1">
        <v>430</v>
      </c>
      <c r="B754" s="4">
        <v>3058570</v>
      </c>
      <c r="C754" s="3">
        <v>2.41E-2</v>
      </c>
      <c r="D754" s="3">
        <f t="shared" si="11"/>
        <v>0.6</v>
      </c>
      <c r="E754" s="1">
        <v>0.4</v>
      </c>
      <c r="F754" s="2">
        <v>0.13</v>
      </c>
      <c r="G754" s="2">
        <v>0.3</v>
      </c>
      <c r="H754" s="2">
        <v>0.56999999999999995</v>
      </c>
    </row>
    <row r="755" spans="1:8" x14ac:dyDescent="0.25">
      <c r="A755" s="1">
        <v>590</v>
      </c>
      <c r="B755" s="4">
        <v>5299827</v>
      </c>
      <c r="C755" s="3">
        <v>2.41E-2</v>
      </c>
      <c r="D755" s="3">
        <f t="shared" si="11"/>
        <v>0.6</v>
      </c>
      <c r="E755" s="1">
        <v>0.4</v>
      </c>
      <c r="F755" s="2">
        <v>0.34</v>
      </c>
      <c r="G755" s="2">
        <v>0.41</v>
      </c>
      <c r="H755" s="2">
        <v>0.25000000000000006</v>
      </c>
    </row>
    <row r="756" spans="1:8" x14ac:dyDescent="0.25">
      <c r="A756" s="1">
        <v>942</v>
      </c>
      <c r="B756" s="4">
        <v>7423949</v>
      </c>
      <c r="C756" s="3">
        <v>2.41E-2</v>
      </c>
      <c r="D756" s="3">
        <f t="shared" si="11"/>
        <v>0.7</v>
      </c>
      <c r="E756" s="1">
        <v>0.3</v>
      </c>
      <c r="F756" s="2">
        <v>0.28000000000000003</v>
      </c>
      <c r="G756" s="2">
        <v>0.38</v>
      </c>
      <c r="H756" s="2">
        <v>0.33999999999999997</v>
      </c>
    </row>
    <row r="757" spans="1:8" x14ac:dyDescent="0.25">
      <c r="A757" s="1">
        <v>464</v>
      </c>
      <c r="B757" s="4">
        <v>3410763</v>
      </c>
      <c r="C757" s="3">
        <v>2.4E-2</v>
      </c>
      <c r="D757" s="3">
        <f t="shared" si="11"/>
        <v>0.6</v>
      </c>
      <c r="E757" s="1">
        <v>0.4</v>
      </c>
      <c r="F757" s="2">
        <v>0.42</v>
      </c>
      <c r="G757" s="2">
        <v>0.2</v>
      </c>
      <c r="H757" s="2">
        <v>0.38000000000000006</v>
      </c>
    </row>
    <row r="758" spans="1:8" x14ac:dyDescent="0.25">
      <c r="A758" s="1">
        <v>789</v>
      </c>
      <c r="B758" s="4">
        <v>3597996</v>
      </c>
      <c r="C758" s="3">
        <v>2.4E-2</v>
      </c>
      <c r="D758" s="3">
        <f t="shared" si="11"/>
        <v>0.6</v>
      </c>
      <c r="E758" s="1">
        <v>0.4</v>
      </c>
      <c r="F758" s="2">
        <v>0.27</v>
      </c>
      <c r="G758" s="2">
        <v>0.36</v>
      </c>
      <c r="H758" s="2">
        <v>0.37</v>
      </c>
    </row>
    <row r="759" spans="1:8" x14ac:dyDescent="0.25">
      <c r="A759" s="1">
        <v>107</v>
      </c>
      <c r="B759" s="4">
        <v>6923015</v>
      </c>
      <c r="C759" s="3">
        <v>2.3900000000000001E-2</v>
      </c>
      <c r="D759" s="3">
        <f t="shared" si="11"/>
        <v>0.6</v>
      </c>
      <c r="E759" s="1">
        <v>0.4</v>
      </c>
      <c r="F759" s="2">
        <v>0.11</v>
      </c>
      <c r="G759" s="2">
        <v>0.27</v>
      </c>
      <c r="H759" s="2">
        <v>0.62</v>
      </c>
    </row>
    <row r="760" spans="1:8" x14ac:dyDescent="0.25">
      <c r="A760" s="1">
        <v>300</v>
      </c>
      <c r="B760" s="4">
        <v>3864269</v>
      </c>
      <c r="C760" s="3">
        <v>2.3900000000000001E-2</v>
      </c>
      <c r="D760" s="3">
        <f t="shared" si="11"/>
        <v>0.6</v>
      </c>
      <c r="E760" s="1">
        <v>0.4</v>
      </c>
      <c r="F760" s="2">
        <v>0.41</v>
      </c>
      <c r="G760" s="2">
        <v>0.2</v>
      </c>
      <c r="H760" s="2">
        <v>0.39000000000000007</v>
      </c>
    </row>
    <row r="761" spans="1:8" x14ac:dyDescent="0.25">
      <c r="A761" s="1">
        <v>358</v>
      </c>
      <c r="B761" s="4">
        <v>180380</v>
      </c>
      <c r="C761" s="3">
        <v>2.3900000000000001E-2</v>
      </c>
      <c r="D761" s="3">
        <f t="shared" si="11"/>
        <v>0.4</v>
      </c>
      <c r="E761" s="1">
        <v>0.6</v>
      </c>
      <c r="F761" s="2">
        <v>0.25</v>
      </c>
      <c r="G761" s="2">
        <v>0.45</v>
      </c>
      <c r="H761" s="2">
        <v>0.30000000000000004</v>
      </c>
    </row>
    <row r="762" spans="1:8" x14ac:dyDescent="0.25">
      <c r="A762" s="1">
        <v>402</v>
      </c>
      <c r="B762" s="4">
        <v>578962</v>
      </c>
      <c r="C762" s="3">
        <v>2.3900000000000001E-2</v>
      </c>
      <c r="D762" s="3">
        <f t="shared" si="11"/>
        <v>0.4</v>
      </c>
      <c r="E762" s="1">
        <v>0.6</v>
      </c>
      <c r="F762" s="2">
        <v>0.27</v>
      </c>
      <c r="G762" s="2">
        <v>0.3</v>
      </c>
      <c r="H762" s="2">
        <v>0.42999999999999994</v>
      </c>
    </row>
    <row r="763" spans="1:8" x14ac:dyDescent="0.25">
      <c r="A763" s="1">
        <v>673</v>
      </c>
      <c r="B763" s="4">
        <v>6269669</v>
      </c>
      <c r="C763" s="3">
        <v>2.3900000000000001E-2</v>
      </c>
      <c r="D763" s="3">
        <f t="shared" si="11"/>
        <v>0.6</v>
      </c>
      <c r="E763" s="1">
        <v>0.4</v>
      </c>
      <c r="F763" s="2">
        <v>0.12</v>
      </c>
      <c r="G763" s="2">
        <v>0.48</v>
      </c>
      <c r="H763" s="2">
        <v>0.4</v>
      </c>
    </row>
    <row r="764" spans="1:8" x14ac:dyDescent="0.25">
      <c r="A764" s="1">
        <v>466</v>
      </c>
      <c r="B764" s="4">
        <v>8322499</v>
      </c>
      <c r="C764" s="3">
        <v>2.3799999999999998E-2</v>
      </c>
      <c r="D764" s="3">
        <f t="shared" si="11"/>
        <v>0.7</v>
      </c>
      <c r="E764" s="1">
        <v>0.3</v>
      </c>
      <c r="F764" s="2">
        <v>0.14000000000000001</v>
      </c>
      <c r="G764" s="2">
        <v>0.31</v>
      </c>
      <c r="H764" s="2">
        <v>0.54999999999999993</v>
      </c>
    </row>
    <row r="765" spans="1:8" x14ac:dyDescent="0.25">
      <c r="A765" s="1">
        <v>483</v>
      </c>
      <c r="B765" s="4">
        <v>3414818</v>
      </c>
      <c r="C765" s="3">
        <v>2.3799999999999998E-2</v>
      </c>
      <c r="D765" s="3">
        <f t="shared" si="11"/>
        <v>0.6</v>
      </c>
      <c r="E765" s="1">
        <v>0.4</v>
      </c>
      <c r="F765" s="2">
        <v>0.1</v>
      </c>
      <c r="G765" s="2">
        <v>0.37</v>
      </c>
      <c r="H765" s="2">
        <v>0.53</v>
      </c>
    </row>
    <row r="766" spans="1:8" x14ac:dyDescent="0.25">
      <c r="A766" s="1">
        <v>327</v>
      </c>
      <c r="B766" s="4">
        <v>8839321</v>
      </c>
      <c r="C766" s="3">
        <v>2.3700000000000002E-2</v>
      </c>
      <c r="D766" s="3">
        <f t="shared" si="11"/>
        <v>0.7</v>
      </c>
      <c r="E766" s="1">
        <v>0.3</v>
      </c>
      <c r="F766" s="2">
        <v>0.19</v>
      </c>
      <c r="G766" s="2">
        <v>0.28999999999999998</v>
      </c>
      <c r="H766" s="2">
        <v>0.52</v>
      </c>
    </row>
    <row r="767" spans="1:8" x14ac:dyDescent="0.25">
      <c r="A767" s="1">
        <v>1000</v>
      </c>
      <c r="B767" s="4">
        <v>7315559</v>
      </c>
      <c r="C767" s="3">
        <v>2.3599999999999999E-2</v>
      </c>
      <c r="D767" s="3">
        <f t="shared" si="11"/>
        <v>0.7</v>
      </c>
      <c r="E767" s="1">
        <v>0.3</v>
      </c>
      <c r="F767" s="2">
        <v>0.38</v>
      </c>
      <c r="G767" s="2">
        <v>0.33</v>
      </c>
      <c r="H767" s="2">
        <v>0.28999999999999992</v>
      </c>
    </row>
    <row r="768" spans="1:8" x14ac:dyDescent="0.25">
      <c r="A768" s="1">
        <v>1028</v>
      </c>
      <c r="B768" s="4">
        <v>372241</v>
      </c>
      <c r="C768" s="3">
        <v>2.3599999999999999E-2</v>
      </c>
      <c r="D768" s="3">
        <f t="shared" si="11"/>
        <v>0.4</v>
      </c>
      <c r="E768" s="1">
        <v>0.6</v>
      </c>
      <c r="F768" s="2">
        <v>0.21</v>
      </c>
      <c r="G768" s="2">
        <v>0.21</v>
      </c>
      <c r="H768" s="2">
        <v>0.58000000000000007</v>
      </c>
    </row>
    <row r="769" spans="1:8" x14ac:dyDescent="0.25">
      <c r="A769" s="1">
        <v>138</v>
      </c>
      <c r="B769" s="4">
        <v>4622352</v>
      </c>
      <c r="C769" s="3">
        <v>2.35E-2</v>
      </c>
      <c r="D769" s="3">
        <f t="shared" si="11"/>
        <v>0.6</v>
      </c>
      <c r="E769" s="1">
        <v>0.4</v>
      </c>
      <c r="F769" s="2">
        <v>0.16</v>
      </c>
      <c r="G769" s="2">
        <v>0.2</v>
      </c>
      <c r="H769" s="2">
        <v>0.64</v>
      </c>
    </row>
    <row r="770" spans="1:8" x14ac:dyDescent="0.25">
      <c r="A770" s="1">
        <v>586</v>
      </c>
      <c r="B770" s="4">
        <v>5486548</v>
      </c>
      <c r="C770" s="3">
        <v>2.35E-2</v>
      </c>
      <c r="D770" s="3">
        <f t="shared" ref="D770:D833" si="12">1-E770</f>
        <v>0.6</v>
      </c>
      <c r="E770" s="1">
        <v>0.4</v>
      </c>
      <c r="F770" s="2">
        <v>0.14000000000000001</v>
      </c>
      <c r="G770" s="2">
        <v>0.31</v>
      </c>
      <c r="H770" s="2">
        <v>0.54999999999999993</v>
      </c>
    </row>
    <row r="771" spans="1:8" x14ac:dyDescent="0.25">
      <c r="A771" s="1">
        <v>643</v>
      </c>
      <c r="B771" s="4">
        <v>3602428</v>
      </c>
      <c r="C771" s="3">
        <v>2.35E-2</v>
      </c>
      <c r="D771" s="3">
        <f t="shared" si="12"/>
        <v>0.6</v>
      </c>
      <c r="E771" s="1">
        <v>0.4</v>
      </c>
      <c r="F771" s="2">
        <v>0.32</v>
      </c>
      <c r="G771" s="2">
        <v>0.33</v>
      </c>
      <c r="H771" s="2">
        <v>0.34999999999999992</v>
      </c>
    </row>
    <row r="772" spans="1:8" x14ac:dyDescent="0.25">
      <c r="A772" s="1">
        <v>827</v>
      </c>
      <c r="B772" s="4">
        <v>617233</v>
      </c>
      <c r="C772" s="3">
        <v>2.35E-2</v>
      </c>
      <c r="D772" s="3">
        <f t="shared" si="12"/>
        <v>0.4</v>
      </c>
      <c r="E772" s="1">
        <v>0.6</v>
      </c>
      <c r="F772" s="2">
        <v>0.11</v>
      </c>
      <c r="G772" s="2">
        <v>0.25</v>
      </c>
      <c r="H772" s="2">
        <v>0.64</v>
      </c>
    </row>
    <row r="773" spans="1:8" x14ac:dyDescent="0.25">
      <c r="A773" s="1">
        <v>452</v>
      </c>
      <c r="B773" s="4">
        <v>7260840</v>
      </c>
      <c r="C773" s="3">
        <v>2.3399999999999997E-2</v>
      </c>
      <c r="D773" s="3">
        <f t="shared" si="12"/>
        <v>0.7</v>
      </c>
      <c r="E773" s="1">
        <v>0.3</v>
      </c>
      <c r="F773" s="2">
        <v>0.42</v>
      </c>
      <c r="G773" s="2">
        <v>0.32</v>
      </c>
      <c r="H773" s="2">
        <v>0.25999999999999995</v>
      </c>
    </row>
    <row r="774" spans="1:8" x14ac:dyDescent="0.25">
      <c r="A774" s="1">
        <v>39</v>
      </c>
      <c r="B774" s="4">
        <v>6549178</v>
      </c>
      <c r="C774" s="3">
        <v>2.3300000000000001E-2</v>
      </c>
      <c r="D774" s="3">
        <f t="shared" si="12"/>
        <v>0.6</v>
      </c>
      <c r="E774" s="1">
        <v>0.4</v>
      </c>
      <c r="F774" s="2">
        <v>0.19</v>
      </c>
      <c r="G774" s="2">
        <v>0.49</v>
      </c>
      <c r="H774" s="2">
        <v>0.32</v>
      </c>
    </row>
    <row r="775" spans="1:8" x14ac:dyDescent="0.25">
      <c r="A775" s="1">
        <v>328</v>
      </c>
      <c r="B775" s="4">
        <v>2923966</v>
      </c>
      <c r="C775" s="3">
        <v>2.3199999999999998E-2</v>
      </c>
      <c r="D775" s="3">
        <f t="shared" si="12"/>
        <v>0.4</v>
      </c>
      <c r="E775" s="1">
        <v>0.6</v>
      </c>
      <c r="F775" s="2">
        <v>0.19</v>
      </c>
      <c r="G775" s="2">
        <v>0.31</v>
      </c>
      <c r="H775" s="2">
        <v>0.49999999999999994</v>
      </c>
    </row>
    <row r="776" spans="1:8" x14ac:dyDescent="0.25">
      <c r="A776" s="1">
        <v>846</v>
      </c>
      <c r="B776" s="4">
        <v>147470</v>
      </c>
      <c r="C776" s="3">
        <v>2.3099999999999999E-2</v>
      </c>
      <c r="D776" s="3">
        <f t="shared" si="12"/>
        <v>0.4</v>
      </c>
      <c r="E776" s="1">
        <v>0.6</v>
      </c>
      <c r="F776" s="2">
        <v>0.17</v>
      </c>
      <c r="G776" s="2">
        <v>0.25</v>
      </c>
      <c r="H776" s="2">
        <v>0.57999999999999996</v>
      </c>
    </row>
    <row r="777" spans="1:8" x14ac:dyDescent="0.25">
      <c r="A777" s="1">
        <v>115</v>
      </c>
      <c r="B777" s="4">
        <v>4849533</v>
      </c>
      <c r="C777" s="3">
        <v>2.3E-2</v>
      </c>
      <c r="D777" s="3">
        <f t="shared" si="12"/>
        <v>0.6</v>
      </c>
      <c r="E777" s="1">
        <v>0.4</v>
      </c>
      <c r="F777" s="2">
        <v>0.26</v>
      </c>
      <c r="G777" s="2">
        <v>0.36</v>
      </c>
      <c r="H777" s="2">
        <v>0.38</v>
      </c>
    </row>
    <row r="778" spans="1:8" x14ac:dyDescent="0.25">
      <c r="A778" s="1">
        <v>361</v>
      </c>
      <c r="B778" s="4">
        <v>6908143</v>
      </c>
      <c r="C778" s="3">
        <v>2.3E-2</v>
      </c>
      <c r="D778" s="3">
        <f t="shared" si="12"/>
        <v>0.6</v>
      </c>
      <c r="E778" s="1">
        <v>0.4</v>
      </c>
      <c r="F778" s="2">
        <v>0.27</v>
      </c>
      <c r="G778" s="2">
        <v>0.36</v>
      </c>
      <c r="H778" s="2">
        <v>0.37</v>
      </c>
    </row>
    <row r="779" spans="1:8" x14ac:dyDescent="0.25">
      <c r="A779" s="1">
        <v>563</v>
      </c>
      <c r="B779" s="4">
        <v>5712718</v>
      </c>
      <c r="C779" s="3">
        <v>2.3E-2</v>
      </c>
      <c r="D779" s="3">
        <f t="shared" si="12"/>
        <v>0.6</v>
      </c>
      <c r="E779" s="1">
        <v>0.4</v>
      </c>
      <c r="F779" s="2">
        <v>0.39</v>
      </c>
      <c r="G779" s="2">
        <v>0.5</v>
      </c>
      <c r="H779" s="2">
        <v>0.10999999999999999</v>
      </c>
    </row>
    <row r="780" spans="1:8" x14ac:dyDescent="0.25">
      <c r="A780" s="1">
        <v>582</v>
      </c>
      <c r="B780" s="4">
        <v>6183985</v>
      </c>
      <c r="C780" s="3">
        <v>2.3E-2</v>
      </c>
      <c r="D780" s="3">
        <f t="shared" si="12"/>
        <v>0.6</v>
      </c>
      <c r="E780" s="1">
        <v>0.4</v>
      </c>
      <c r="F780" s="2">
        <v>0.1</v>
      </c>
      <c r="G780" s="2">
        <v>0.24</v>
      </c>
      <c r="H780" s="2">
        <v>0.66</v>
      </c>
    </row>
    <row r="781" spans="1:8" x14ac:dyDescent="0.25">
      <c r="A781" s="1">
        <v>492</v>
      </c>
      <c r="B781" s="4">
        <v>7519558</v>
      </c>
      <c r="C781" s="3">
        <v>2.29E-2</v>
      </c>
      <c r="D781" s="3">
        <f t="shared" si="12"/>
        <v>0.7</v>
      </c>
      <c r="E781" s="1">
        <v>0.3</v>
      </c>
      <c r="F781" s="2">
        <v>0.37</v>
      </c>
      <c r="G781" s="2">
        <v>0.26</v>
      </c>
      <c r="H781" s="2">
        <v>0.37</v>
      </c>
    </row>
    <row r="782" spans="1:8" x14ac:dyDescent="0.25">
      <c r="A782" s="1">
        <v>56</v>
      </c>
      <c r="B782" s="4">
        <v>8103274</v>
      </c>
      <c r="C782" s="3">
        <v>2.2799999999999997E-2</v>
      </c>
      <c r="D782" s="3">
        <f t="shared" si="12"/>
        <v>0.7</v>
      </c>
      <c r="E782" s="1">
        <v>0.3</v>
      </c>
      <c r="F782" s="2">
        <v>0.2</v>
      </c>
      <c r="G782" s="2">
        <v>0.36</v>
      </c>
      <c r="H782" s="2">
        <v>0.44</v>
      </c>
    </row>
    <row r="783" spans="1:8" x14ac:dyDescent="0.25">
      <c r="A783" s="1">
        <v>451</v>
      </c>
      <c r="B783" s="4">
        <v>1531367</v>
      </c>
      <c r="C783" s="3">
        <v>2.2700000000000001E-2</v>
      </c>
      <c r="D783" s="3">
        <f t="shared" si="12"/>
        <v>0.4</v>
      </c>
      <c r="E783" s="1">
        <v>0.6</v>
      </c>
      <c r="F783" s="2">
        <v>0.38</v>
      </c>
      <c r="G783" s="2">
        <v>0.5</v>
      </c>
      <c r="H783" s="2">
        <v>0.12</v>
      </c>
    </row>
    <row r="784" spans="1:8" x14ac:dyDescent="0.25">
      <c r="A784" s="1">
        <v>506</v>
      </c>
      <c r="B784" s="4">
        <v>1066442</v>
      </c>
      <c r="C784" s="3">
        <v>2.2700000000000001E-2</v>
      </c>
      <c r="D784" s="3">
        <f t="shared" si="12"/>
        <v>0.4</v>
      </c>
      <c r="E784" s="1">
        <v>0.6</v>
      </c>
      <c r="F784" s="2">
        <v>0.14000000000000001</v>
      </c>
      <c r="G784" s="2">
        <v>0.35</v>
      </c>
      <c r="H784" s="2">
        <v>0.51</v>
      </c>
    </row>
    <row r="785" spans="1:8" x14ac:dyDescent="0.25">
      <c r="A785" s="1">
        <v>614</v>
      </c>
      <c r="B785" s="4">
        <v>5545871</v>
      </c>
      <c r="C785" s="3">
        <v>2.2599999999999999E-2</v>
      </c>
      <c r="D785" s="3">
        <f t="shared" si="12"/>
        <v>0.6</v>
      </c>
      <c r="E785" s="1">
        <v>0.4</v>
      </c>
      <c r="F785" s="2">
        <v>0.14000000000000001</v>
      </c>
      <c r="G785" s="2">
        <v>0.28000000000000003</v>
      </c>
      <c r="H785" s="2">
        <v>0.57999999999999996</v>
      </c>
    </row>
    <row r="786" spans="1:8" x14ac:dyDescent="0.25">
      <c r="A786" s="1">
        <v>996</v>
      </c>
      <c r="B786" s="4">
        <v>4848753</v>
      </c>
      <c r="C786" s="3">
        <v>2.2599999999999999E-2</v>
      </c>
      <c r="D786" s="3">
        <f t="shared" si="12"/>
        <v>0.6</v>
      </c>
      <c r="E786" s="1">
        <v>0.4</v>
      </c>
      <c r="F786" s="2">
        <v>0.45</v>
      </c>
      <c r="G786" s="2">
        <v>0.38</v>
      </c>
      <c r="H786" s="2">
        <v>0.16999999999999998</v>
      </c>
    </row>
    <row r="787" spans="1:8" x14ac:dyDescent="0.25">
      <c r="A787" s="1">
        <v>999</v>
      </c>
      <c r="B787" s="4">
        <v>2847544</v>
      </c>
      <c r="C787" s="3">
        <v>2.2599999999999999E-2</v>
      </c>
      <c r="D787" s="3">
        <f t="shared" si="12"/>
        <v>0.4</v>
      </c>
      <c r="E787" s="1">
        <v>0.6</v>
      </c>
      <c r="F787" s="2">
        <v>0.31</v>
      </c>
      <c r="G787" s="2">
        <v>0.21</v>
      </c>
      <c r="H787" s="2">
        <v>0.48000000000000004</v>
      </c>
    </row>
    <row r="788" spans="1:8" x14ac:dyDescent="0.25">
      <c r="A788" s="1">
        <v>360</v>
      </c>
      <c r="B788" s="4">
        <v>7057182</v>
      </c>
      <c r="C788" s="3">
        <v>2.2499999999999999E-2</v>
      </c>
      <c r="D788" s="3">
        <f t="shared" si="12"/>
        <v>0.7</v>
      </c>
      <c r="E788" s="1">
        <v>0.3</v>
      </c>
      <c r="F788" s="2">
        <v>0.27</v>
      </c>
      <c r="G788" s="2">
        <v>0.38</v>
      </c>
      <c r="H788" s="2">
        <v>0.35</v>
      </c>
    </row>
    <row r="789" spans="1:8" x14ac:dyDescent="0.25">
      <c r="A789" s="1">
        <v>782</v>
      </c>
      <c r="B789" s="4">
        <v>8745243</v>
      </c>
      <c r="C789" s="3">
        <v>2.2499999999999999E-2</v>
      </c>
      <c r="D789" s="3">
        <f t="shared" si="12"/>
        <v>0.7</v>
      </c>
      <c r="E789" s="1">
        <v>0.3</v>
      </c>
      <c r="F789" s="2">
        <v>0.42</v>
      </c>
      <c r="G789" s="2">
        <v>0.48</v>
      </c>
      <c r="H789" s="2">
        <v>0.10000000000000003</v>
      </c>
    </row>
    <row r="790" spans="1:8" x14ac:dyDescent="0.25">
      <c r="A790" s="1">
        <v>160</v>
      </c>
      <c r="B790" s="4">
        <v>3521638</v>
      </c>
      <c r="C790" s="3">
        <v>2.2400000000000003E-2</v>
      </c>
      <c r="D790" s="3">
        <f t="shared" si="12"/>
        <v>0.6</v>
      </c>
      <c r="E790" s="1">
        <v>0.4</v>
      </c>
      <c r="F790" s="2">
        <v>0.23</v>
      </c>
      <c r="G790" s="2">
        <v>0.43</v>
      </c>
      <c r="H790" s="2">
        <v>0.34000000000000008</v>
      </c>
    </row>
    <row r="791" spans="1:8" x14ac:dyDescent="0.25">
      <c r="A791" s="1">
        <v>533</v>
      </c>
      <c r="B791" s="4">
        <v>9161118</v>
      </c>
      <c r="C791" s="3">
        <v>2.2400000000000003E-2</v>
      </c>
      <c r="D791" s="3">
        <f t="shared" si="12"/>
        <v>0.7</v>
      </c>
      <c r="E791" s="1">
        <v>0.3</v>
      </c>
      <c r="F791" s="2">
        <v>0.41</v>
      </c>
      <c r="G791" s="2">
        <v>0.33</v>
      </c>
      <c r="H791" s="2">
        <v>0.25999999999999995</v>
      </c>
    </row>
    <row r="792" spans="1:8" x14ac:dyDescent="0.25">
      <c r="A792" s="1">
        <v>508</v>
      </c>
      <c r="B792" s="4">
        <v>6139383</v>
      </c>
      <c r="C792" s="3">
        <v>2.23E-2</v>
      </c>
      <c r="D792" s="3">
        <f t="shared" si="12"/>
        <v>0.6</v>
      </c>
      <c r="E792" s="1">
        <v>0.4</v>
      </c>
      <c r="F792" s="2">
        <v>0.42</v>
      </c>
      <c r="G792" s="2">
        <v>0.43</v>
      </c>
      <c r="H792" s="2">
        <v>0.15000000000000008</v>
      </c>
    </row>
    <row r="793" spans="1:8" x14ac:dyDescent="0.25">
      <c r="A793" s="1">
        <v>688</v>
      </c>
      <c r="B793" s="4">
        <v>8529929</v>
      </c>
      <c r="C793" s="3">
        <v>2.2200000000000001E-2</v>
      </c>
      <c r="D793" s="3">
        <f t="shared" si="12"/>
        <v>0.7</v>
      </c>
      <c r="E793" s="1">
        <v>0.3</v>
      </c>
      <c r="F793" s="2">
        <v>0.33</v>
      </c>
      <c r="G793" s="2">
        <v>0.46</v>
      </c>
      <c r="H793" s="2">
        <v>0.21000000000000002</v>
      </c>
    </row>
    <row r="794" spans="1:8" x14ac:dyDescent="0.25">
      <c r="A794" s="1">
        <v>785</v>
      </c>
      <c r="B794" s="4">
        <v>5621419</v>
      </c>
      <c r="C794" s="3">
        <v>2.2200000000000001E-2</v>
      </c>
      <c r="D794" s="3">
        <f t="shared" si="12"/>
        <v>0.6</v>
      </c>
      <c r="E794" s="1">
        <v>0.4</v>
      </c>
      <c r="F794" s="2">
        <v>0.18</v>
      </c>
      <c r="G794" s="2">
        <v>0.32</v>
      </c>
      <c r="H794" s="2">
        <v>0.49999999999999994</v>
      </c>
    </row>
    <row r="795" spans="1:8" x14ac:dyDescent="0.25">
      <c r="A795" s="1">
        <v>17</v>
      </c>
      <c r="B795" s="4">
        <v>6633834</v>
      </c>
      <c r="C795" s="3">
        <v>2.2099999999999998E-2</v>
      </c>
      <c r="D795" s="3">
        <f t="shared" si="12"/>
        <v>0.6</v>
      </c>
      <c r="E795" s="1">
        <v>0.4</v>
      </c>
      <c r="F795" s="2">
        <v>0.38</v>
      </c>
      <c r="G795" s="2">
        <v>0.31</v>
      </c>
      <c r="H795" s="2">
        <v>0.30999999999999994</v>
      </c>
    </row>
    <row r="796" spans="1:8" x14ac:dyDescent="0.25">
      <c r="A796" s="1">
        <v>341</v>
      </c>
      <c r="B796" s="4">
        <v>4908900</v>
      </c>
      <c r="C796" s="3">
        <v>2.2099999999999998E-2</v>
      </c>
      <c r="D796" s="3">
        <f t="shared" si="12"/>
        <v>0.6</v>
      </c>
      <c r="E796" s="1">
        <v>0.4</v>
      </c>
      <c r="F796" s="2">
        <v>0.44</v>
      </c>
      <c r="G796" s="2">
        <v>0.28999999999999998</v>
      </c>
      <c r="H796" s="2">
        <v>0.26999999999999996</v>
      </c>
    </row>
    <row r="797" spans="1:8" x14ac:dyDescent="0.25">
      <c r="A797" s="1">
        <v>1033</v>
      </c>
      <c r="B797" s="4">
        <v>4532874</v>
      </c>
      <c r="C797" s="3">
        <v>2.2099999999999998E-2</v>
      </c>
      <c r="D797" s="3">
        <f t="shared" si="12"/>
        <v>0.6</v>
      </c>
      <c r="E797" s="1">
        <v>0.4</v>
      </c>
      <c r="F797" s="2">
        <v>0.41</v>
      </c>
      <c r="G797" s="2">
        <v>0.36</v>
      </c>
      <c r="H797" s="2">
        <v>0.23000000000000004</v>
      </c>
    </row>
    <row r="798" spans="1:8" x14ac:dyDescent="0.25">
      <c r="A798" s="1">
        <v>63</v>
      </c>
      <c r="B798" s="4">
        <v>4722077</v>
      </c>
      <c r="C798" s="3">
        <v>2.2000000000000002E-2</v>
      </c>
      <c r="D798" s="3">
        <f t="shared" si="12"/>
        <v>0.6</v>
      </c>
      <c r="E798" s="1">
        <v>0.4</v>
      </c>
      <c r="F798" s="2">
        <v>0.28000000000000003</v>
      </c>
      <c r="G798" s="2">
        <v>0.31</v>
      </c>
      <c r="H798" s="2">
        <v>0.40999999999999992</v>
      </c>
    </row>
    <row r="799" spans="1:8" x14ac:dyDescent="0.25">
      <c r="A799" s="1">
        <v>130</v>
      </c>
      <c r="B799" s="4">
        <v>9308487</v>
      </c>
      <c r="C799" s="3">
        <v>2.2000000000000002E-2</v>
      </c>
      <c r="D799" s="3">
        <f t="shared" si="12"/>
        <v>0.7</v>
      </c>
      <c r="E799" s="1">
        <v>0.3</v>
      </c>
      <c r="F799" s="2">
        <v>0.18</v>
      </c>
      <c r="G799" s="2">
        <v>0.26</v>
      </c>
      <c r="H799" s="2">
        <v>0.56000000000000005</v>
      </c>
    </row>
    <row r="800" spans="1:8" x14ac:dyDescent="0.25">
      <c r="A800" s="1">
        <v>259</v>
      </c>
      <c r="B800" s="4">
        <v>2308789</v>
      </c>
      <c r="C800" s="3">
        <v>2.2000000000000002E-2</v>
      </c>
      <c r="D800" s="3">
        <f t="shared" si="12"/>
        <v>0.4</v>
      </c>
      <c r="E800" s="1">
        <v>0.6</v>
      </c>
      <c r="F800" s="2">
        <v>0.25</v>
      </c>
      <c r="G800" s="2">
        <v>0.35</v>
      </c>
      <c r="H800" s="2">
        <v>0.4</v>
      </c>
    </row>
    <row r="801" spans="1:8" x14ac:dyDescent="0.25">
      <c r="A801" s="1">
        <v>567</v>
      </c>
      <c r="B801" s="4">
        <v>2021353</v>
      </c>
      <c r="C801" s="3">
        <v>2.2000000000000002E-2</v>
      </c>
      <c r="D801" s="3">
        <f t="shared" si="12"/>
        <v>0.4</v>
      </c>
      <c r="E801" s="1">
        <v>0.6</v>
      </c>
      <c r="F801" s="2">
        <v>0.31</v>
      </c>
      <c r="G801" s="2">
        <v>0.2</v>
      </c>
      <c r="H801" s="2">
        <v>0.49000000000000005</v>
      </c>
    </row>
    <row r="802" spans="1:8" x14ac:dyDescent="0.25">
      <c r="A802" s="1">
        <v>923</v>
      </c>
      <c r="B802" s="4">
        <v>7781999</v>
      </c>
      <c r="C802" s="3">
        <v>2.1899999999999999E-2</v>
      </c>
      <c r="D802" s="3">
        <f t="shared" si="12"/>
        <v>0.7</v>
      </c>
      <c r="E802" s="1">
        <v>0.3</v>
      </c>
      <c r="F802" s="2">
        <v>0.37</v>
      </c>
      <c r="G802" s="2">
        <v>0.3</v>
      </c>
      <c r="H802" s="2">
        <v>0.32999999999999996</v>
      </c>
    </row>
    <row r="803" spans="1:8" x14ac:dyDescent="0.25">
      <c r="A803" s="1">
        <v>121</v>
      </c>
      <c r="B803" s="4">
        <v>148791</v>
      </c>
      <c r="C803" s="3">
        <v>2.18E-2</v>
      </c>
      <c r="D803" s="3">
        <f t="shared" si="12"/>
        <v>0.4</v>
      </c>
      <c r="E803" s="1">
        <v>0.6</v>
      </c>
      <c r="F803" s="2">
        <v>0.32</v>
      </c>
      <c r="G803" s="2">
        <v>0.41</v>
      </c>
      <c r="H803" s="2">
        <v>0.27000000000000007</v>
      </c>
    </row>
    <row r="804" spans="1:8" x14ac:dyDescent="0.25">
      <c r="A804" s="1">
        <v>545</v>
      </c>
      <c r="B804" s="4">
        <v>3702867</v>
      </c>
      <c r="C804" s="3">
        <v>2.18E-2</v>
      </c>
      <c r="D804" s="3">
        <f t="shared" si="12"/>
        <v>0.6</v>
      </c>
      <c r="E804" s="1">
        <v>0.4</v>
      </c>
      <c r="F804" s="2">
        <v>0.23</v>
      </c>
      <c r="G804" s="2">
        <v>0.44</v>
      </c>
      <c r="H804" s="2">
        <v>0.33000000000000007</v>
      </c>
    </row>
    <row r="805" spans="1:8" x14ac:dyDescent="0.25">
      <c r="A805" s="1">
        <v>607</v>
      </c>
      <c r="B805" s="4">
        <v>9142524</v>
      </c>
      <c r="C805" s="3">
        <v>2.18E-2</v>
      </c>
      <c r="D805" s="3">
        <f t="shared" si="12"/>
        <v>0.7</v>
      </c>
      <c r="E805" s="1">
        <v>0.3</v>
      </c>
      <c r="F805" s="2">
        <v>0.31</v>
      </c>
      <c r="G805" s="2">
        <v>0.43</v>
      </c>
      <c r="H805" s="2">
        <v>0.26000000000000006</v>
      </c>
    </row>
    <row r="806" spans="1:8" x14ac:dyDescent="0.25">
      <c r="A806" s="1">
        <v>690</v>
      </c>
      <c r="B806" s="4">
        <v>2304742</v>
      </c>
      <c r="C806" s="3">
        <v>2.18E-2</v>
      </c>
      <c r="D806" s="3">
        <f t="shared" si="12"/>
        <v>0.4</v>
      </c>
      <c r="E806" s="1">
        <v>0.6</v>
      </c>
      <c r="F806" s="2">
        <v>0.23</v>
      </c>
      <c r="G806" s="2">
        <v>0.33</v>
      </c>
      <c r="H806" s="2">
        <v>0.43999999999999995</v>
      </c>
    </row>
    <row r="807" spans="1:8" x14ac:dyDescent="0.25">
      <c r="A807" s="1">
        <v>123</v>
      </c>
      <c r="B807" s="4">
        <v>8522768</v>
      </c>
      <c r="C807" s="3">
        <v>2.1700000000000001E-2</v>
      </c>
      <c r="D807" s="3">
        <f t="shared" si="12"/>
        <v>0.7</v>
      </c>
      <c r="E807" s="1">
        <v>0.3</v>
      </c>
      <c r="F807" s="2">
        <v>0.26</v>
      </c>
      <c r="G807" s="2">
        <v>0.32</v>
      </c>
      <c r="H807" s="2">
        <v>0.41999999999999993</v>
      </c>
    </row>
    <row r="808" spans="1:8" x14ac:dyDescent="0.25">
      <c r="A808" s="1">
        <v>458</v>
      </c>
      <c r="B808" s="4">
        <v>7756084</v>
      </c>
      <c r="C808" s="3">
        <v>2.1700000000000001E-2</v>
      </c>
      <c r="D808" s="3">
        <f t="shared" si="12"/>
        <v>0.7</v>
      </c>
      <c r="E808" s="1">
        <v>0.3</v>
      </c>
      <c r="F808" s="2">
        <v>0.27</v>
      </c>
      <c r="G808" s="2">
        <v>0.47</v>
      </c>
      <c r="H808" s="2">
        <v>0.26</v>
      </c>
    </row>
    <row r="809" spans="1:8" x14ac:dyDescent="0.25">
      <c r="A809" s="1">
        <v>486</v>
      </c>
      <c r="B809" s="4">
        <v>2315355</v>
      </c>
      <c r="C809" s="3">
        <v>2.1600000000000001E-2</v>
      </c>
      <c r="D809" s="3">
        <f t="shared" si="12"/>
        <v>0.4</v>
      </c>
      <c r="E809" s="1">
        <v>0.6</v>
      </c>
      <c r="F809" s="2">
        <v>0.11</v>
      </c>
      <c r="G809" s="2">
        <v>0.38</v>
      </c>
      <c r="H809" s="2">
        <v>0.51</v>
      </c>
    </row>
    <row r="810" spans="1:8" x14ac:dyDescent="0.25">
      <c r="A810" s="1">
        <v>600</v>
      </c>
      <c r="B810" s="4">
        <v>8528698</v>
      </c>
      <c r="C810" s="3">
        <v>2.1600000000000001E-2</v>
      </c>
      <c r="D810" s="3">
        <f t="shared" si="12"/>
        <v>0.7</v>
      </c>
      <c r="E810" s="1">
        <v>0.3</v>
      </c>
      <c r="F810" s="2">
        <v>0.25</v>
      </c>
      <c r="G810" s="2">
        <v>0.21</v>
      </c>
      <c r="H810" s="2">
        <v>0.54</v>
      </c>
    </row>
    <row r="811" spans="1:8" x14ac:dyDescent="0.25">
      <c r="A811" s="1">
        <v>856</v>
      </c>
      <c r="B811" s="4">
        <v>1338003</v>
      </c>
      <c r="C811" s="3">
        <v>2.1600000000000001E-2</v>
      </c>
      <c r="D811" s="3">
        <f t="shared" si="12"/>
        <v>0.4</v>
      </c>
      <c r="E811" s="1">
        <v>0.6</v>
      </c>
      <c r="F811" s="2">
        <v>0.19</v>
      </c>
      <c r="G811" s="2">
        <v>0.28000000000000003</v>
      </c>
      <c r="H811" s="2">
        <v>0.53</v>
      </c>
    </row>
    <row r="812" spans="1:8" x14ac:dyDescent="0.25">
      <c r="A812" s="1">
        <v>997</v>
      </c>
      <c r="B812" s="4">
        <v>3782825</v>
      </c>
      <c r="C812" s="3">
        <v>2.1600000000000001E-2</v>
      </c>
      <c r="D812" s="3">
        <f t="shared" si="12"/>
        <v>0.6</v>
      </c>
      <c r="E812" s="1">
        <v>0.4</v>
      </c>
      <c r="F812" s="2">
        <v>0.16</v>
      </c>
      <c r="G812" s="2">
        <v>0.33</v>
      </c>
      <c r="H812" s="2">
        <v>0.5099999999999999</v>
      </c>
    </row>
    <row r="813" spans="1:8" x14ac:dyDescent="0.25">
      <c r="A813" s="1">
        <v>647</v>
      </c>
      <c r="B813" s="4">
        <v>5260243</v>
      </c>
      <c r="C813" s="3">
        <v>2.1499999999999998E-2</v>
      </c>
      <c r="D813" s="3">
        <f t="shared" si="12"/>
        <v>0.6</v>
      </c>
      <c r="E813" s="1">
        <v>0.4</v>
      </c>
      <c r="F813" s="2">
        <v>0.26</v>
      </c>
      <c r="G813" s="2">
        <v>0.25</v>
      </c>
      <c r="H813" s="2">
        <v>0.49</v>
      </c>
    </row>
    <row r="814" spans="1:8" x14ac:dyDescent="0.25">
      <c r="A814" s="1">
        <v>709</v>
      </c>
      <c r="B814" s="4">
        <v>2002637</v>
      </c>
      <c r="C814" s="3">
        <v>2.1499999999999998E-2</v>
      </c>
      <c r="D814" s="3">
        <f t="shared" si="12"/>
        <v>0.4</v>
      </c>
      <c r="E814" s="1">
        <v>0.6</v>
      </c>
      <c r="F814" s="2">
        <v>0.32</v>
      </c>
      <c r="G814" s="2">
        <v>0.23</v>
      </c>
      <c r="H814" s="2">
        <v>0.45</v>
      </c>
    </row>
    <row r="815" spans="1:8" x14ac:dyDescent="0.25">
      <c r="A815" s="1">
        <v>189</v>
      </c>
      <c r="B815" s="4">
        <v>9635865</v>
      </c>
      <c r="C815" s="3">
        <v>2.12E-2</v>
      </c>
      <c r="D815" s="3">
        <f t="shared" si="12"/>
        <v>0.7</v>
      </c>
      <c r="E815" s="1">
        <v>0.3</v>
      </c>
      <c r="F815" s="2">
        <v>0.17</v>
      </c>
      <c r="G815" s="2">
        <v>0.27</v>
      </c>
      <c r="H815" s="2">
        <v>0.55999999999999994</v>
      </c>
    </row>
    <row r="816" spans="1:8" x14ac:dyDescent="0.25">
      <c r="A816" s="1">
        <v>476</v>
      </c>
      <c r="B816" s="4">
        <v>3550730</v>
      </c>
      <c r="C816" s="3">
        <v>2.12E-2</v>
      </c>
      <c r="D816" s="3">
        <f t="shared" si="12"/>
        <v>0.6</v>
      </c>
      <c r="E816" s="1">
        <v>0.4</v>
      </c>
      <c r="F816" s="2">
        <v>0.24</v>
      </c>
      <c r="G816" s="2">
        <v>0.24</v>
      </c>
      <c r="H816" s="2">
        <v>0.52</v>
      </c>
    </row>
    <row r="817" spans="1:8" x14ac:dyDescent="0.25">
      <c r="A817" s="1">
        <v>879</v>
      </c>
      <c r="B817" s="4">
        <v>6156270</v>
      </c>
      <c r="C817" s="3">
        <v>2.12E-2</v>
      </c>
      <c r="D817" s="3">
        <f t="shared" si="12"/>
        <v>0.6</v>
      </c>
      <c r="E817" s="1">
        <v>0.4</v>
      </c>
      <c r="F817" s="2">
        <v>0.14000000000000001</v>
      </c>
      <c r="G817" s="2">
        <v>0.4</v>
      </c>
      <c r="H817" s="2">
        <v>0.45999999999999996</v>
      </c>
    </row>
    <row r="818" spans="1:8" x14ac:dyDescent="0.25">
      <c r="A818" s="1">
        <v>90</v>
      </c>
      <c r="B818" s="4">
        <v>8397454</v>
      </c>
      <c r="C818" s="3">
        <v>2.1099999999999997E-2</v>
      </c>
      <c r="D818" s="3">
        <f t="shared" si="12"/>
        <v>0.7</v>
      </c>
      <c r="E818" s="1">
        <v>0.3</v>
      </c>
      <c r="F818" s="2">
        <v>0.12</v>
      </c>
      <c r="G818" s="2">
        <v>0.23</v>
      </c>
      <c r="H818" s="2">
        <v>0.65</v>
      </c>
    </row>
    <row r="819" spans="1:8" x14ac:dyDescent="0.25">
      <c r="A819" s="1">
        <v>760</v>
      </c>
      <c r="B819" s="4">
        <v>9318901</v>
      </c>
      <c r="C819" s="3">
        <v>2.1099999999999997E-2</v>
      </c>
      <c r="D819" s="3">
        <f t="shared" si="12"/>
        <v>0.7</v>
      </c>
      <c r="E819" s="1">
        <v>0.3</v>
      </c>
      <c r="F819" s="2">
        <v>0.27</v>
      </c>
      <c r="G819" s="2">
        <v>0.38</v>
      </c>
      <c r="H819" s="2">
        <v>0.35</v>
      </c>
    </row>
    <row r="820" spans="1:8" x14ac:dyDescent="0.25">
      <c r="A820" s="1">
        <v>393</v>
      </c>
      <c r="B820" s="4">
        <v>6786962</v>
      </c>
      <c r="C820" s="3">
        <v>2.1000000000000001E-2</v>
      </c>
      <c r="D820" s="3">
        <f t="shared" si="12"/>
        <v>0.6</v>
      </c>
      <c r="E820" s="1">
        <v>0.4</v>
      </c>
      <c r="F820" s="2">
        <v>0.24</v>
      </c>
      <c r="G820" s="2">
        <v>0.34</v>
      </c>
      <c r="H820" s="2">
        <v>0.41999999999999993</v>
      </c>
    </row>
    <row r="821" spans="1:8" x14ac:dyDescent="0.25">
      <c r="A821" s="1">
        <v>407</v>
      </c>
      <c r="B821" s="4">
        <v>6812284</v>
      </c>
      <c r="C821" s="3">
        <v>2.0899999999999998E-2</v>
      </c>
      <c r="D821" s="3">
        <f t="shared" si="12"/>
        <v>0.6</v>
      </c>
      <c r="E821" s="1">
        <v>0.4</v>
      </c>
      <c r="F821" s="2">
        <v>0.23</v>
      </c>
      <c r="G821" s="2">
        <v>0.28999999999999998</v>
      </c>
      <c r="H821" s="2">
        <v>0.48</v>
      </c>
    </row>
    <row r="822" spans="1:8" x14ac:dyDescent="0.25">
      <c r="A822" s="1">
        <v>512</v>
      </c>
      <c r="B822" s="4">
        <v>8597410</v>
      </c>
      <c r="C822" s="3">
        <v>2.0799999999999999E-2</v>
      </c>
      <c r="D822" s="3">
        <f t="shared" si="12"/>
        <v>0.7</v>
      </c>
      <c r="E822" s="1">
        <v>0.3</v>
      </c>
      <c r="F822" s="2">
        <v>0.43</v>
      </c>
      <c r="G822" s="2">
        <v>0.32</v>
      </c>
      <c r="H822" s="2">
        <v>0.24999999999999994</v>
      </c>
    </row>
    <row r="823" spans="1:8" x14ac:dyDescent="0.25">
      <c r="A823" s="1">
        <v>883</v>
      </c>
      <c r="B823" s="4">
        <v>7453278</v>
      </c>
      <c r="C823" s="3">
        <v>2.0799999999999999E-2</v>
      </c>
      <c r="D823" s="3">
        <f t="shared" si="12"/>
        <v>0.7</v>
      </c>
      <c r="E823" s="1">
        <v>0.3</v>
      </c>
      <c r="F823" s="2">
        <v>0.11</v>
      </c>
      <c r="G823" s="2">
        <v>0.24</v>
      </c>
      <c r="H823" s="2">
        <v>0.65</v>
      </c>
    </row>
    <row r="824" spans="1:8" x14ac:dyDescent="0.25">
      <c r="A824" s="1">
        <v>103</v>
      </c>
      <c r="B824" s="4">
        <v>5040048</v>
      </c>
      <c r="C824" s="3">
        <v>2.07E-2</v>
      </c>
      <c r="D824" s="3">
        <f t="shared" si="12"/>
        <v>0.6</v>
      </c>
      <c r="E824" s="1">
        <v>0.4</v>
      </c>
      <c r="F824" s="2">
        <v>0.41</v>
      </c>
      <c r="G824" s="2">
        <v>0.45</v>
      </c>
      <c r="H824" s="2">
        <v>0.14000000000000007</v>
      </c>
    </row>
    <row r="825" spans="1:8" x14ac:dyDescent="0.25">
      <c r="A825" s="1">
        <v>194</v>
      </c>
      <c r="B825" s="4">
        <v>3633141</v>
      </c>
      <c r="C825" s="3">
        <v>2.07E-2</v>
      </c>
      <c r="D825" s="3">
        <f t="shared" si="12"/>
        <v>0.6</v>
      </c>
      <c r="E825" s="1">
        <v>0.4</v>
      </c>
      <c r="F825" s="2">
        <v>0.14000000000000001</v>
      </c>
      <c r="G825" s="2">
        <v>0.32</v>
      </c>
      <c r="H825" s="2">
        <v>0.53999999999999992</v>
      </c>
    </row>
    <row r="826" spans="1:8" x14ac:dyDescent="0.25">
      <c r="A826" s="1">
        <v>282</v>
      </c>
      <c r="B826" s="4">
        <v>4570045</v>
      </c>
      <c r="C826" s="3">
        <v>2.07E-2</v>
      </c>
      <c r="D826" s="3">
        <f t="shared" si="12"/>
        <v>0.6</v>
      </c>
      <c r="E826" s="1">
        <v>0.4</v>
      </c>
      <c r="F826" s="2">
        <v>0.28999999999999998</v>
      </c>
      <c r="G826" s="2">
        <v>0.48</v>
      </c>
      <c r="H826" s="2">
        <v>0.23000000000000004</v>
      </c>
    </row>
    <row r="827" spans="1:8" x14ac:dyDescent="0.25">
      <c r="A827" s="1">
        <v>526</v>
      </c>
      <c r="B827" s="4">
        <v>9284902</v>
      </c>
      <c r="C827" s="3">
        <v>2.07E-2</v>
      </c>
      <c r="D827" s="3">
        <f t="shared" si="12"/>
        <v>0.7</v>
      </c>
      <c r="E827" s="1">
        <v>0.3</v>
      </c>
      <c r="F827" s="2">
        <v>0.44</v>
      </c>
      <c r="G827" s="2">
        <v>0.46</v>
      </c>
      <c r="H827" s="2">
        <v>0.10000000000000003</v>
      </c>
    </row>
    <row r="828" spans="1:8" x14ac:dyDescent="0.25">
      <c r="A828" s="1">
        <v>634</v>
      </c>
      <c r="B828" s="4">
        <v>350963</v>
      </c>
      <c r="C828" s="3">
        <v>2.07E-2</v>
      </c>
      <c r="D828" s="3">
        <f t="shared" si="12"/>
        <v>0.4</v>
      </c>
      <c r="E828" s="1">
        <v>0.6</v>
      </c>
      <c r="F828" s="2">
        <v>0.31</v>
      </c>
      <c r="G828" s="2">
        <v>0.32</v>
      </c>
      <c r="H828" s="2">
        <v>0.36999999999999994</v>
      </c>
    </row>
    <row r="829" spans="1:8" x14ac:dyDescent="0.25">
      <c r="A829" s="1">
        <v>250</v>
      </c>
      <c r="B829" s="4">
        <v>471488</v>
      </c>
      <c r="C829" s="3">
        <v>2.06E-2</v>
      </c>
      <c r="D829" s="3">
        <f t="shared" si="12"/>
        <v>0.4</v>
      </c>
      <c r="E829" s="1">
        <v>0.6</v>
      </c>
      <c r="F829" s="2">
        <v>0.31</v>
      </c>
      <c r="G829" s="2">
        <v>0.22</v>
      </c>
      <c r="H829" s="2">
        <v>0.47000000000000003</v>
      </c>
    </row>
    <row r="830" spans="1:8" x14ac:dyDescent="0.25">
      <c r="A830" s="1">
        <v>279</v>
      </c>
      <c r="B830" s="4">
        <v>9536221</v>
      </c>
      <c r="C830" s="3">
        <v>2.06E-2</v>
      </c>
      <c r="D830" s="3">
        <f t="shared" si="12"/>
        <v>0.7</v>
      </c>
      <c r="E830" s="1">
        <v>0.3</v>
      </c>
      <c r="F830" s="2">
        <v>0.45</v>
      </c>
      <c r="G830" s="2">
        <v>0.48</v>
      </c>
      <c r="H830" s="2">
        <v>7.0000000000000007E-2</v>
      </c>
    </row>
    <row r="831" spans="1:8" x14ac:dyDescent="0.25">
      <c r="A831" s="1">
        <v>290</v>
      </c>
      <c r="B831" s="4">
        <v>8030304</v>
      </c>
      <c r="C831" s="3">
        <v>2.06E-2</v>
      </c>
      <c r="D831" s="3">
        <f t="shared" si="12"/>
        <v>0.7</v>
      </c>
      <c r="E831" s="1">
        <v>0.3</v>
      </c>
      <c r="F831" s="2">
        <v>0.38</v>
      </c>
      <c r="G831" s="2">
        <v>0.22</v>
      </c>
      <c r="H831" s="2">
        <v>0.4</v>
      </c>
    </row>
    <row r="832" spans="1:8" x14ac:dyDescent="0.25">
      <c r="A832" s="1">
        <v>922</v>
      </c>
      <c r="B832" s="4">
        <v>1355429</v>
      </c>
      <c r="C832" s="3">
        <v>2.06E-2</v>
      </c>
      <c r="D832" s="3">
        <f t="shared" si="12"/>
        <v>0.4</v>
      </c>
      <c r="E832" s="1">
        <v>0.6</v>
      </c>
      <c r="F832" s="2">
        <v>0.18</v>
      </c>
      <c r="G832" s="2">
        <v>0.37</v>
      </c>
      <c r="H832" s="2">
        <v>0.45</v>
      </c>
    </row>
    <row r="833" spans="1:8" x14ac:dyDescent="0.25">
      <c r="A833" s="1">
        <v>1009</v>
      </c>
      <c r="B833" s="4">
        <v>4790621</v>
      </c>
      <c r="C833" s="3">
        <v>2.06E-2</v>
      </c>
      <c r="D833" s="3">
        <f t="shared" si="12"/>
        <v>0.6</v>
      </c>
      <c r="E833" s="1">
        <v>0.4</v>
      </c>
      <c r="F833" s="2">
        <v>0.21</v>
      </c>
      <c r="G833" s="2">
        <v>0.22</v>
      </c>
      <c r="H833" s="2">
        <v>0.57000000000000006</v>
      </c>
    </row>
    <row r="834" spans="1:8" x14ac:dyDescent="0.25">
      <c r="A834" s="1">
        <v>78</v>
      </c>
      <c r="B834" s="4">
        <v>6774981</v>
      </c>
      <c r="C834" s="3">
        <v>2.0499999999999997E-2</v>
      </c>
      <c r="D834" s="3">
        <f t="shared" ref="D834:D897" si="13">1-E834</f>
        <v>0.6</v>
      </c>
      <c r="E834" s="1">
        <v>0.4</v>
      </c>
      <c r="F834" s="2">
        <v>0.32</v>
      </c>
      <c r="G834" s="2">
        <v>0.46</v>
      </c>
      <c r="H834" s="2">
        <v>0.22000000000000003</v>
      </c>
    </row>
    <row r="835" spans="1:8" x14ac:dyDescent="0.25">
      <c r="A835" s="1">
        <v>350</v>
      </c>
      <c r="B835" s="4">
        <v>147286</v>
      </c>
      <c r="C835" s="3">
        <v>2.0499999999999997E-2</v>
      </c>
      <c r="D835" s="3">
        <f t="shared" si="13"/>
        <v>0.4</v>
      </c>
      <c r="E835" s="1">
        <v>0.6</v>
      </c>
      <c r="F835" s="2">
        <v>0.28999999999999998</v>
      </c>
      <c r="G835" s="2">
        <v>0.23</v>
      </c>
      <c r="H835" s="2">
        <v>0.48000000000000004</v>
      </c>
    </row>
    <row r="836" spans="1:8" x14ac:dyDescent="0.25">
      <c r="A836" s="1">
        <v>602</v>
      </c>
      <c r="B836" s="4">
        <v>7819767</v>
      </c>
      <c r="C836" s="3">
        <v>2.0499999999999997E-2</v>
      </c>
      <c r="D836" s="3">
        <f t="shared" si="13"/>
        <v>0.7</v>
      </c>
      <c r="E836" s="1">
        <v>0.3</v>
      </c>
      <c r="F836" s="2">
        <v>0.26</v>
      </c>
      <c r="G836" s="2">
        <v>0.31</v>
      </c>
      <c r="H836" s="2">
        <v>0.42999999999999994</v>
      </c>
    </row>
    <row r="837" spans="1:8" x14ac:dyDescent="0.25">
      <c r="A837" s="1">
        <v>124</v>
      </c>
      <c r="B837" s="4">
        <v>1421456</v>
      </c>
      <c r="C837" s="3">
        <v>2.0400000000000001E-2</v>
      </c>
      <c r="D837" s="3">
        <f t="shared" si="13"/>
        <v>0.4</v>
      </c>
      <c r="E837" s="1">
        <v>0.6</v>
      </c>
      <c r="F837" s="2">
        <v>0.42</v>
      </c>
      <c r="G837" s="2">
        <v>0.38</v>
      </c>
      <c r="H837" s="2">
        <v>0.2</v>
      </c>
    </row>
    <row r="838" spans="1:8" x14ac:dyDescent="0.25">
      <c r="A838" s="1">
        <v>573</v>
      </c>
      <c r="B838" s="4">
        <v>5570063</v>
      </c>
      <c r="C838" s="3">
        <v>2.0400000000000001E-2</v>
      </c>
      <c r="D838" s="3">
        <f t="shared" si="13"/>
        <v>0.6</v>
      </c>
      <c r="E838" s="1">
        <v>0.4</v>
      </c>
      <c r="F838" s="2">
        <v>0.11</v>
      </c>
      <c r="G838" s="2">
        <v>0.36</v>
      </c>
      <c r="H838" s="2">
        <v>0.53</v>
      </c>
    </row>
    <row r="839" spans="1:8" x14ac:dyDescent="0.25">
      <c r="A839" s="1">
        <v>729</v>
      </c>
      <c r="B839" s="4">
        <v>7059398</v>
      </c>
      <c r="C839" s="3">
        <v>2.0400000000000001E-2</v>
      </c>
      <c r="D839" s="3">
        <f t="shared" si="13"/>
        <v>0.7</v>
      </c>
      <c r="E839" s="1">
        <v>0.3</v>
      </c>
      <c r="F839" s="2">
        <v>0.23</v>
      </c>
      <c r="G839" s="2">
        <v>0.46</v>
      </c>
      <c r="H839" s="2">
        <v>0.31000000000000005</v>
      </c>
    </row>
    <row r="840" spans="1:8" x14ac:dyDescent="0.25">
      <c r="A840" s="1">
        <v>60</v>
      </c>
      <c r="B840" s="4">
        <v>2221084</v>
      </c>
      <c r="C840" s="3">
        <v>2.0299999999999999E-2</v>
      </c>
      <c r="D840" s="3">
        <f t="shared" si="13"/>
        <v>0.4</v>
      </c>
      <c r="E840" s="1">
        <v>0.6</v>
      </c>
      <c r="F840" s="2">
        <v>0.36</v>
      </c>
      <c r="G840" s="2">
        <v>0.47</v>
      </c>
      <c r="H840" s="2">
        <v>0.17000000000000004</v>
      </c>
    </row>
    <row r="841" spans="1:8" x14ac:dyDescent="0.25">
      <c r="A841" s="1">
        <v>302</v>
      </c>
      <c r="B841" s="4">
        <v>7625688</v>
      </c>
      <c r="C841" s="3">
        <v>2.0299999999999999E-2</v>
      </c>
      <c r="D841" s="3">
        <f t="shared" si="13"/>
        <v>0.7</v>
      </c>
      <c r="E841" s="1">
        <v>0.3</v>
      </c>
      <c r="F841" s="2">
        <v>0.43</v>
      </c>
      <c r="G841" s="2">
        <v>0.34</v>
      </c>
      <c r="H841" s="2">
        <v>0.22999999999999993</v>
      </c>
    </row>
    <row r="842" spans="1:8" x14ac:dyDescent="0.25">
      <c r="A842" s="1">
        <v>780</v>
      </c>
      <c r="B842" s="4">
        <v>7003574</v>
      </c>
      <c r="C842" s="3">
        <v>2.0299999999999999E-2</v>
      </c>
      <c r="D842" s="3">
        <f t="shared" si="13"/>
        <v>0.7</v>
      </c>
      <c r="E842" s="1">
        <v>0.3</v>
      </c>
      <c r="F842" s="2">
        <v>0.11</v>
      </c>
      <c r="G842" s="2">
        <v>0.3</v>
      </c>
      <c r="H842" s="2">
        <v>0.59</v>
      </c>
    </row>
    <row r="843" spans="1:8" x14ac:dyDescent="0.25">
      <c r="A843" s="1">
        <v>126</v>
      </c>
      <c r="B843" s="4">
        <v>6219051</v>
      </c>
      <c r="C843" s="3">
        <v>2.0199999999999999E-2</v>
      </c>
      <c r="D843" s="3">
        <f t="shared" si="13"/>
        <v>0.6</v>
      </c>
      <c r="E843" s="1">
        <v>0.4</v>
      </c>
      <c r="F843" s="2">
        <v>0.43</v>
      </c>
      <c r="G843" s="2">
        <v>0.4</v>
      </c>
      <c r="H843" s="2">
        <v>0.16999999999999998</v>
      </c>
    </row>
    <row r="844" spans="1:8" x14ac:dyDescent="0.25">
      <c r="A844" s="1">
        <v>275</v>
      </c>
      <c r="B844" s="4">
        <v>2386808</v>
      </c>
      <c r="C844" s="3">
        <v>2.0199999999999999E-2</v>
      </c>
      <c r="D844" s="3">
        <f t="shared" si="13"/>
        <v>0.4</v>
      </c>
      <c r="E844" s="1">
        <v>0.6</v>
      </c>
      <c r="F844" s="2">
        <v>0.4</v>
      </c>
      <c r="G844" s="2">
        <v>0.32</v>
      </c>
      <c r="H844" s="2">
        <v>0.27999999999999992</v>
      </c>
    </row>
    <row r="845" spans="1:8" x14ac:dyDescent="0.25">
      <c r="A845" s="1">
        <v>401</v>
      </c>
      <c r="B845" s="4">
        <v>7286983</v>
      </c>
      <c r="C845" s="3">
        <v>2.0199999999999999E-2</v>
      </c>
      <c r="D845" s="3">
        <f t="shared" si="13"/>
        <v>0.7</v>
      </c>
      <c r="E845" s="1">
        <v>0.3</v>
      </c>
      <c r="F845" s="2">
        <v>0.27</v>
      </c>
      <c r="G845" s="2">
        <v>0.38</v>
      </c>
      <c r="H845" s="2">
        <v>0.35</v>
      </c>
    </row>
    <row r="846" spans="1:8" x14ac:dyDescent="0.25">
      <c r="A846" s="1">
        <v>907</v>
      </c>
      <c r="B846" s="4">
        <v>5191544</v>
      </c>
      <c r="C846" s="3">
        <v>2.0099999999999996E-2</v>
      </c>
      <c r="D846" s="3">
        <f t="shared" si="13"/>
        <v>0.6</v>
      </c>
      <c r="E846" s="1">
        <v>0.4</v>
      </c>
      <c r="F846" s="2">
        <v>0.23</v>
      </c>
      <c r="G846" s="2">
        <v>0.32</v>
      </c>
      <c r="H846" s="2">
        <v>0.44999999999999996</v>
      </c>
    </row>
    <row r="847" spans="1:8" x14ac:dyDescent="0.25">
      <c r="A847" s="1">
        <v>304</v>
      </c>
      <c r="B847" s="4">
        <v>1240557</v>
      </c>
      <c r="C847" s="3">
        <v>0.02</v>
      </c>
      <c r="D847" s="3">
        <f t="shared" si="13"/>
        <v>0.4</v>
      </c>
      <c r="E847" s="1">
        <v>0.6</v>
      </c>
      <c r="F847" s="2">
        <v>0.27</v>
      </c>
      <c r="G847" s="2">
        <v>0.39</v>
      </c>
      <c r="H847" s="2">
        <v>0.33999999999999997</v>
      </c>
    </row>
    <row r="848" spans="1:8" x14ac:dyDescent="0.25">
      <c r="A848" s="1">
        <v>579</v>
      </c>
      <c r="B848" s="4">
        <v>7220530</v>
      </c>
      <c r="C848" s="3">
        <v>0.02</v>
      </c>
      <c r="D848" s="3">
        <f t="shared" si="13"/>
        <v>0.7</v>
      </c>
      <c r="E848" s="1">
        <v>0.3</v>
      </c>
      <c r="F848" s="2">
        <v>0.24</v>
      </c>
      <c r="G848" s="2">
        <v>0.27</v>
      </c>
      <c r="H848" s="2">
        <v>0.49</v>
      </c>
    </row>
    <row r="849" spans="1:8" x14ac:dyDescent="0.25">
      <c r="A849" s="1">
        <v>680</v>
      </c>
      <c r="B849" s="4">
        <v>2881550</v>
      </c>
      <c r="C849" s="3">
        <v>0.02</v>
      </c>
      <c r="D849" s="3">
        <f t="shared" si="13"/>
        <v>0.4</v>
      </c>
      <c r="E849" s="1">
        <v>0.6</v>
      </c>
      <c r="F849" s="2">
        <v>0.28999999999999998</v>
      </c>
      <c r="G849" s="2">
        <v>0.35</v>
      </c>
      <c r="H849" s="2">
        <v>0.36000000000000004</v>
      </c>
    </row>
    <row r="850" spans="1:8" x14ac:dyDescent="0.25">
      <c r="A850" s="1">
        <v>984</v>
      </c>
      <c r="B850" s="4">
        <v>2113030</v>
      </c>
      <c r="C850" s="3">
        <v>0.02</v>
      </c>
      <c r="D850" s="3">
        <f t="shared" si="13"/>
        <v>0.4</v>
      </c>
      <c r="E850" s="1">
        <v>0.6</v>
      </c>
      <c r="F850" s="2">
        <v>0.15</v>
      </c>
      <c r="G850" s="2">
        <v>0.21</v>
      </c>
      <c r="H850" s="2">
        <v>0.64</v>
      </c>
    </row>
    <row r="851" spans="1:8" x14ac:dyDescent="0.25">
      <c r="A851" s="1">
        <v>960</v>
      </c>
      <c r="B851" s="4">
        <v>799027</v>
      </c>
      <c r="C851" s="3">
        <v>1.9900000000000001E-2</v>
      </c>
      <c r="D851" s="3">
        <f t="shared" si="13"/>
        <v>0.4</v>
      </c>
      <c r="E851" s="1">
        <v>0.6</v>
      </c>
      <c r="F851" s="2">
        <v>0.35</v>
      </c>
      <c r="G851" s="2">
        <v>0.2</v>
      </c>
      <c r="H851" s="2">
        <v>0.45000000000000007</v>
      </c>
    </row>
    <row r="852" spans="1:8" x14ac:dyDescent="0.25">
      <c r="A852" s="1">
        <v>969</v>
      </c>
      <c r="B852" s="4">
        <v>9245881</v>
      </c>
      <c r="C852" s="3">
        <v>1.9900000000000001E-2</v>
      </c>
      <c r="D852" s="3">
        <f t="shared" si="13"/>
        <v>0.7</v>
      </c>
      <c r="E852" s="1">
        <v>0.3</v>
      </c>
      <c r="F852" s="2">
        <v>0.19</v>
      </c>
      <c r="G852" s="2">
        <v>0.33</v>
      </c>
      <c r="H852" s="2">
        <v>0.47999999999999993</v>
      </c>
    </row>
    <row r="853" spans="1:8" x14ac:dyDescent="0.25">
      <c r="A853" s="1">
        <v>135</v>
      </c>
      <c r="B853" s="4">
        <v>1270588</v>
      </c>
      <c r="C853" s="3">
        <v>1.9799999999999998E-2</v>
      </c>
      <c r="D853" s="3">
        <f t="shared" si="13"/>
        <v>0.4</v>
      </c>
      <c r="E853" s="1">
        <v>0.6</v>
      </c>
      <c r="F853" s="2">
        <v>0.25</v>
      </c>
      <c r="G853" s="2">
        <v>0.2</v>
      </c>
      <c r="H853" s="2">
        <v>0.55000000000000004</v>
      </c>
    </row>
    <row r="854" spans="1:8" x14ac:dyDescent="0.25">
      <c r="A854" s="1">
        <v>315</v>
      </c>
      <c r="B854" s="4">
        <v>9551581</v>
      </c>
      <c r="C854" s="3">
        <v>1.9799999999999998E-2</v>
      </c>
      <c r="D854" s="3">
        <f t="shared" si="13"/>
        <v>0.7</v>
      </c>
      <c r="E854" s="1">
        <v>0.3</v>
      </c>
      <c r="F854" s="2">
        <v>0.1</v>
      </c>
      <c r="G854" s="2">
        <v>0.32</v>
      </c>
      <c r="H854" s="2">
        <v>0.57999999999999996</v>
      </c>
    </row>
    <row r="855" spans="1:8" x14ac:dyDescent="0.25">
      <c r="A855" s="1">
        <v>870</v>
      </c>
      <c r="B855" s="4">
        <v>1980356</v>
      </c>
      <c r="C855" s="3">
        <v>1.9799999999999998E-2</v>
      </c>
      <c r="D855" s="3">
        <f t="shared" si="13"/>
        <v>0.4</v>
      </c>
      <c r="E855" s="1">
        <v>0.6</v>
      </c>
      <c r="F855" s="2">
        <v>0.2</v>
      </c>
      <c r="G855" s="2">
        <v>0.49</v>
      </c>
      <c r="H855" s="2">
        <v>0.31</v>
      </c>
    </row>
    <row r="856" spans="1:8" x14ac:dyDescent="0.25">
      <c r="A856" s="1">
        <v>19</v>
      </c>
      <c r="B856" s="4">
        <v>1515685</v>
      </c>
      <c r="C856" s="3">
        <v>1.9699999999999999E-2</v>
      </c>
      <c r="D856" s="3">
        <f t="shared" si="13"/>
        <v>0.4</v>
      </c>
      <c r="E856" s="1">
        <v>0.6</v>
      </c>
      <c r="F856" s="2">
        <v>0.31</v>
      </c>
      <c r="G856" s="2">
        <v>0.43</v>
      </c>
      <c r="H856" s="2">
        <v>0.26000000000000006</v>
      </c>
    </row>
    <row r="857" spans="1:8" x14ac:dyDescent="0.25">
      <c r="A857" s="1">
        <v>114</v>
      </c>
      <c r="B857" s="4">
        <v>8928560</v>
      </c>
      <c r="C857" s="3">
        <v>1.9699999999999999E-2</v>
      </c>
      <c r="D857" s="3">
        <f t="shared" si="13"/>
        <v>0.7</v>
      </c>
      <c r="E857" s="1">
        <v>0.3</v>
      </c>
      <c r="F857" s="2">
        <v>0.28999999999999998</v>
      </c>
      <c r="G857" s="2">
        <v>0.44</v>
      </c>
      <c r="H857" s="2">
        <v>0.27000000000000007</v>
      </c>
    </row>
    <row r="858" spans="1:8" x14ac:dyDescent="0.25">
      <c r="A858" s="1">
        <v>864</v>
      </c>
      <c r="B858" s="4">
        <v>4399172</v>
      </c>
      <c r="C858" s="3">
        <v>1.9699999999999999E-2</v>
      </c>
      <c r="D858" s="3">
        <f t="shared" si="13"/>
        <v>0.6</v>
      </c>
      <c r="E858" s="1">
        <v>0.4</v>
      </c>
      <c r="F858" s="2">
        <v>0.17</v>
      </c>
      <c r="G858" s="2">
        <v>0.2</v>
      </c>
      <c r="H858" s="2">
        <v>0.63</v>
      </c>
    </row>
    <row r="859" spans="1:8" x14ac:dyDescent="0.25">
      <c r="A859" s="1">
        <v>41</v>
      </c>
      <c r="B859" s="4">
        <v>9204836</v>
      </c>
      <c r="C859" s="3">
        <v>1.9599999999999999E-2</v>
      </c>
      <c r="D859" s="3">
        <f t="shared" si="13"/>
        <v>0.7</v>
      </c>
      <c r="E859" s="1">
        <v>0.3</v>
      </c>
      <c r="F859" s="2">
        <v>0.25</v>
      </c>
      <c r="G859" s="2">
        <v>0.27</v>
      </c>
      <c r="H859" s="2">
        <v>0.48</v>
      </c>
    </row>
    <row r="860" spans="1:8" x14ac:dyDescent="0.25">
      <c r="A860" s="1">
        <v>173</v>
      </c>
      <c r="B860" s="4">
        <v>5227190</v>
      </c>
      <c r="C860" s="3">
        <v>1.9599999999999999E-2</v>
      </c>
      <c r="D860" s="3">
        <f t="shared" si="13"/>
        <v>0.6</v>
      </c>
      <c r="E860" s="1">
        <v>0.4</v>
      </c>
      <c r="F860" s="2">
        <v>0.34</v>
      </c>
      <c r="G860" s="2">
        <v>0.3</v>
      </c>
      <c r="H860" s="2">
        <v>0.35999999999999993</v>
      </c>
    </row>
    <row r="861" spans="1:8" x14ac:dyDescent="0.25">
      <c r="A861" s="1">
        <v>320</v>
      </c>
      <c r="B861" s="4">
        <v>9238638</v>
      </c>
      <c r="C861" s="3">
        <v>1.95E-2</v>
      </c>
      <c r="D861" s="3">
        <f t="shared" si="13"/>
        <v>0.7</v>
      </c>
      <c r="E861" s="1">
        <v>0.3</v>
      </c>
      <c r="F861" s="2">
        <v>0.14000000000000001</v>
      </c>
      <c r="G861" s="2">
        <v>0.44</v>
      </c>
      <c r="H861" s="2">
        <v>0.42000000000000004</v>
      </c>
    </row>
    <row r="862" spans="1:8" x14ac:dyDescent="0.25">
      <c r="A862" s="1">
        <v>649</v>
      </c>
      <c r="B862" s="4">
        <v>3899032</v>
      </c>
      <c r="C862" s="3">
        <v>1.95E-2</v>
      </c>
      <c r="D862" s="3">
        <f t="shared" si="13"/>
        <v>0.6</v>
      </c>
      <c r="E862" s="1">
        <v>0.4</v>
      </c>
      <c r="F862" s="2">
        <v>0.15</v>
      </c>
      <c r="G862" s="2">
        <v>0.35</v>
      </c>
      <c r="H862" s="2">
        <v>0.5</v>
      </c>
    </row>
    <row r="863" spans="1:8" x14ac:dyDescent="0.25">
      <c r="A863" s="1">
        <v>753</v>
      </c>
      <c r="B863" s="4">
        <v>2275632</v>
      </c>
      <c r="C863" s="3">
        <v>1.95E-2</v>
      </c>
      <c r="D863" s="3">
        <f t="shared" si="13"/>
        <v>0.4</v>
      </c>
      <c r="E863" s="1">
        <v>0.6</v>
      </c>
      <c r="F863" s="2">
        <v>0.1</v>
      </c>
      <c r="G863" s="2">
        <v>0.38</v>
      </c>
      <c r="H863" s="2">
        <v>0.52</v>
      </c>
    </row>
    <row r="864" spans="1:8" x14ac:dyDescent="0.25">
      <c r="A864" s="1">
        <v>284</v>
      </c>
      <c r="B864" s="4">
        <v>4903627</v>
      </c>
      <c r="C864" s="3">
        <v>1.9400000000000001E-2</v>
      </c>
      <c r="D864" s="3">
        <f t="shared" si="13"/>
        <v>0.6</v>
      </c>
      <c r="E864" s="1">
        <v>0.4</v>
      </c>
      <c r="F864" s="2">
        <v>0.19</v>
      </c>
      <c r="G864" s="2">
        <v>0.33</v>
      </c>
      <c r="H864" s="2">
        <v>0.47999999999999993</v>
      </c>
    </row>
    <row r="865" spans="1:8" x14ac:dyDescent="0.25">
      <c r="A865" s="1">
        <v>813</v>
      </c>
      <c r="B865" s="4">
        <v>1706214</v>
      </c>
      <c r="C865" s="3">
        <v>1.9400000000000001E-2</v>
      </c>
      <c r="D865" s="3">
        <f t="shared" si="13"/>
        <v>0.4</v>
      </c>
      <c r="E865" s="1">
        <v>0.6</v>
      </c>
      <c r="F865" s="2">
        <v>0.24</v>
      </c>
      <c r="G865" s="2">
        <v>0.2</v>
      </c>
      <c r="H865" s="2">
        <v>0.56000000000000005</v>
      </c>
    </row>
    <row r="866" spans="1:8" x14ac:dyDescent="0.25">
      <c r="A866" s="1">
        <v>712</v>
      </c>
      <c r="B866" s="4">
        <v>7560932</v>
      </c>
      <c r="C866" s="3">
        <v>1.9299999999999998E-2</v>
      </c>
      <c r="D866" s="3">
        <f t="shared" si="13"/>
        <v>0.7</v>
      </c>
      <c r="E866" s="1">
        <v>0.3</v>
      </c>
      <c r="F866" s="2">
        <v>0.31</v>
      </c>
      <c r="G866" s="2">
        <v>0.37</v>
      </c>
      <c r="H866" s="2">
        <v>0.32</v>
      </c>
    </row>
    <row r="867" spans="1:8" x14ac:dyDescent="0.25">
      <c r="A867" s="1">
        <v>906</v>
      </c>
      <c r="B867" s="4">
        <v>7176221</v>
      </c>
      <c r="C867" s="3">
        <v>1.9299999999999998E-2</v>
      </c>
      <c r="D867" s="3">
        <f t="shared" si="13"/>
        <v>0.7</v>
      </c>
      <c r="E867" s="1">
        <v>0.3</v>
      </c>
      <c r="F867" s="2">
        <v>0.28999999999999998</v>
      </c>
      <c r="G867" s="2">
        <v>0.45</v>
      </c>
      <c r="H867" s="2">
        <v>0.26000000000000006</v>
      </c>
    </row>
    <row r="868" spans="1:8" x14ac:dyDescent="0.25">
      <c r="A868" s="1">
        <v>380</v>
      </c>
      <c r="B868" s="4">
        <v>4721670</v>
      </c>
      <c r="C868" s="3">
        <v>1.9099999999999999E-2</v>
      </c>
      <c r="D868" s="3">
        <f t="shared" si="13"/>
        <v>0.6</v>
      </c>
      <c r="E868" s="1">
        <v>0.4</v>
      </c>
      <c r="F868" s="2">
        <v>0.18</v>
      </c>
      <c r="G868" s="2">
        <v>0.24</v>
      </c>
      <c r="H868" s="2">
        <v>0.58000000000000007</v>
      </c>
    </row>
    <row r="869" spans="1:8" x14ac:dyDescent="0.25">
      <c r="A869" s="1">
        <v>55</v>
      </c>
      <c r="B869" s="4">
        <v>3146681</v>
      </c>
      <c r="C869" s="3">
        <v>1.9E-2</v>
      </c>
      <c r="D869" s="3">
        <f t="shared" si="13"/>
        <v>0.6</v>
      </c>
      <c r="E869" s="1">
        <v>0.4</v>
      </c>
      <c r="F869" s="2">
        <v>0.18</v>
      </c>
      <c r="G869" s="2">
        <v>0.26</v>
      </c>
      <c r="H869" s="2">
        <v>0.56000000000000005</v>
      </c>
    </row>
    <row r="870" spans="1:8" x14ac:dyDescent="0.25">
      <c r="A870" s="1">
        <v>281</v>
      </c>
      <c r="B870" s="4">
        <v>8087212</v>
      </c>
      <c r="C870" s="3">
        <v>1.9E-2</v>
      </c>
      <c r="D870" s="3">
        <f t="shared" si="13"/>
        <v>0.7</v>
      </c>
      <c r="E870" s="1">
        <v>0.3</v>
      </c>
      <c r="F870" s="2">
        <v>0.28999999999999998</v>
      </c>
      <c r="G870" s="2">
        <v>0.43</v>
      </c>
      <c r="H870" s="2">
        <v>0.28000000000000008</v>
      </c>
    </row>
    <row r="871" spans="1:8" x14ac:dyDescent="0.25">
      <c r="A871" s="1">
        <v>655</v>
      </c>
      <c r="B871" s="4">
        <v>8536709</v>
      </c>
      <c r="C871" s="3">
        <v>1.9E-2</v>
      </c>
      <c r="D871" s="3">
        <f t="shared" si="13"/>
        <v>0.7</v>
      </c>
      <c r="E871" s="1">
        <v>0.3</v>
      </c>
      <c r="F871" s="2">
        <v>0.35</v>
      </c>
      <c r="G871" s="2">
        <v>0.45</v>
      </c>
      <c r="H871" s="2">
        <v>0.20000000000000007</v>
      </c>
    </row>
    <row r="872" spans="1:8" x14ac:dyDescent="0.25">
      <c r="A872" s="1">
        <v>8</v>
      </c>
      <c r="B872" s="4">
        <v>9195534</v>
      </c>
      <c r="C872" s="3">
        <v>1.89E-2</v>
      </c>
      <c r="D872" s="3">
        <f t="shared" si="13"/>
        <v>0.7</v>
      </c>
      <c r="E872" s="1">
        <v>0.3</v>
      </c>
      <c r="F872" s="2">
        <v>0.32</v>
      </c>
      <c r="G872" s="2">
        <v>0.48</v>
      </c>
      <c r="H872" s="2">
        <v>0.2</v>
      </c>
    </row>
    <row r="873" spans="1:8" x14ac:dyDescent="0.25">
      <c r="A873" s="1">
        <v>228</v>
      </c>
      <c r="B873" s="4">
        <v>1324851</v>
      </c>
      <c r="C873" s="3">
        <v>1.8700000000000001E-2</v>
      </c>
      <c r="D873" s="3">
        <f t="shared" si="13"/>
        <v>0.4</v>
      </c>
      <c r="E873" s="1">
        <v>0.6</v>
      </c>
      <c r="F873" s="2">
        <v>0.45</v>
      </c>
      <c r="G873" s="2">
        <v>0.3</v>
      </c>
      <c r="H873" s="2">
        <v>0.24999999999999994</v>
      </c>
    </row>
    <row r="874" spans="1:8" x14ac:dyDescent="0.25">
      <c r="A874" s="1">
        <v>270</v>
      </c>
      <c r="B874" s="4">
        <v>3899513</v>
      </c>
      <c r="C874" s="3">
        <v>1.8700000000000001E-2</v>
      </c>
      <c r="D874" s="3">
        <f t="shared" si="13"/>
        <v>0.6</v>
      </c>
      <c r="E874" s="1">
        <v>0.4</v>
      </c>
      <c r="F874" s="2">
        <v>0.32</v>
      </c>
      <c r="G874" s="2">
        <v>0.39</v>
      </c>
      <c r="H874" s="2">
        <v>0.28999999999999998</v>
      </c>
    </row>
    <row r="875" spans="1:8" x14ac:dyDescent="0.25">
      <c r="A875" s="1">
        <v>396</v>
      </c>
      <c r="B875" s="4">
        <v>5126046</v>
      </c>
      <c r="C875" s="3">
        <v>1.8700000000000001E-2</v>
      </c>
      <c r="D875" s="3">
        <f t="shared" si="13"/>
        <v>0.6</v>
      </c>
      <c r="E875" s="1">
        <v>0.4</v>
      </c>
      <c r="F875" s="2">
        <v>0.14000000000000001</v>
      </c>
      <c r="G875" s="2">
        <v>0.48</v>
      </c>
      <c r="H875" s="2">
        <v>0.38</v>
      </c>
    </row>
    <row r="876" spans="1:8" x14ac:dyDescent="0.25">
      <c r="A876" s="1">
        <v>225</v>
      </c>
      <c r="B876" s="4">
        <v>4604198</v>
      </c>
      <c r="C876" s="3">
        <v>1.8600000000000002E-2</v>
      </c>
      <c r="D876" s="3">
        <f t="shared" si="13"/>
        <v>0.6</v>
      </c>
      <c r="E876" s="1">
        <v>0.4</v>
      </c>
      <c r="F876" s="2">
        <v>0.38</v>
      </c>
      <c r="G876" s="2">
        <v>0.39</v>
      </c>
      <c r="H876" s="2">
        <v>0.22999999999999998</v>
      </c>
    </row>
    <row r="877" spans="1:8" x14ac:dyDescent="0.25">
      <c r="A877" s="1">
        <v>325</v>
      </c>
      <c r="B877" s="4">
        <v>9876489</v>
      </c>
      <c r="C877" s="3">
        <v>1.8500000000000003E-2</v>
      </c>
      <c r="D877" s="3">
        <f t="shared" si="13"/>
        <v>0.7</v>
      </c>
      <c r="E877" s="1">
        <v>0.3</v>
      </c>
      <c r="F877" s="2">
        <v>0.38</v>
      </c>
      <c r="G877" s="2">
        <v>0.47</v>
      </c>
      <c r="H877" s="2">
        <v>0.15000000000000002</v>
      </c>
    </row>
    <row r="878" spans="1:8" x14ac:dyDescent="0.25">
      <c r="A878" s="1">
        <v>529</v>
      </c>
      <c r="B878" s="4">
        <v>7503990</v>
      </c>
      <c r="C878" s="3">
        <v>1.8500000000000003E-2</v>
      </c>
      <c r="D878" s="3">
        <f t="shared" si="13"/>
        <v>0.7</v>
      </c>
      <c r="E878" s="1">
        <v>0.3</v>
      </c>
      <c r="F878" s="2">
        <v>0.15</v>
      </c>
      <c r="G878" s="2">
        <v>0.24</v>
      </c>
      <c r="H878" s="2">
        <v>0.61</v>
      </c>
    </row>
    <row r="879" spans="1:8" x14ac:dyDescent="0.25">
      <c r="A879" s="1">
        <v>953</v>
      </c>
      <c r="B879" s="4">
        <v>2254146</v>
      </c>
      <c r="C879" s="3">
        <v>1.8500000000000003E-2</v>
      </c>
      <c r="D879" s="3">
        <f t="shared" si="13"/>
        <v>0.4</v>
      </c>
      <c r="E879" s="1">
        <v>0.6</v>
      </c>
      <c r="F879" s="2">
        <v>0.14000000000000001</v>
      </c>
      <c r="G879" s="2">
        <v>0.26</v>
      </c>
      <c r="H879" s="2">
        <v>0.6</v>
      </c>
    </row>
    <row r="880" spans="1:8" x14ac:dyDescent="0.25">
      <c r="A880" s="1">
        <v>1025</v>
      </c>
      <c r="B880" s="4">
        <v>5306024</v>
      </c>
      <c r="C880" s="3">
        <v>1.8500000000000003E-2</v>
      </c>
      <c r="D880" s="3">
        <f t="shared" si="13"/>
        <v>0.6</v>
      </c>
      <c r="E880" s="1">
        <v>0.4</v>
      </c>
      <c r="F880" s="2">
        <v>0.35</v>
      </c>
      <c r="G880" s="2">
        <v>0.36</v>
      </c>
      <c r="H880" s="2">
        <v>0.29000000000000004</v>
      </c>
    </row>
    <row r="881" spans="1:8" x14ac:dyDescent="0.25">
      <c r="A881" s="1">
        <v>804</v>
      </c>
      <c r="B881" s="4">
        <v>3294718</v>
      </c>
      <c r="C881" s="3">
        <v>1.83E-2</v>
      </c>
      <c r="D881" s="3">
        <f t="shared" si="13"/>
        <v>0.6</v>
      </c>
      <c r="E881" s="1">
        <v>0.4</v>
      </c>
      <c r="F881" s="2">
        <v>0.22</v>
      </c>
      <c r="G881" s="2">
        <v>0.25</v>
      </c>
      <c r="H881" s="2">
        <v>0.53</v>
      </c>
    </row>
    <row r="882" spans="1:8" x14ac:dyDescent="0.25">
      <c r="A882" s="1">
        <v>975</v>
      </c>
      <c r="B882" s="4">
        <v>9410339</v>
      </c>
      <c r="C882" s="3">
        <v>1.83E-2</v>
      </c>
      <c r="D882" s="3">
        <f t="shared" si="13"/>
        <v>0.7</v>
      </c>
      <c r="E882" s="1">
        <v>0.3</v>
      </c>
      <c r="F882" s="2">
        <v>0.21</v>
      </c>
      <c r="G882" s="2">
        <v>0.38</v>
      </c>
      <c r="H882" s="2">
        <v>0.41000000000000003</v>
      </c>
    </row>
    <row r="883" spans="1:8" x14ac:dyDescent="0.25">
      <c r="A883" s="1">
        <v>27</v>
      </c>
      <c r="B883" s="4">
        <v>6091154</v>
      </c>
      <c r="C883" s="3">
        <v>1.8200000000000001E-2</v>
      </c>
      <c r="D883" s="3">
        <f t="shared" si="13"/>
        <v>0.6</v>
      </c>
      <c r="E883" s="1">
        <v>0.4</v>
      </c>
      <c r="F883" s="2">
        <v>0.22</v>
      </c>
      <c r="G883" s="2">
        <v>0.2</v>
      </c>
      <c r="H883" s="2">
        <v>0.58000000000000007</v>
      </c>
    </row>
    <row r="884" spans="1:8" x14ac:dyDescent="0.25">
      <c r="A884" s="1">
        <v>119</v>
      </c>
      <c r="B884" s="4">
        <v>1791734</v>
      </c>
      <c r="C884" s="3">
        <v>1.8200000000000001E-2</v>
      </c>
      <c r="D884" s="3">
        <f t="shared" si="13"/>
        <v>0.4</v>
      </c>
      <c r="E884" s="1">
        <v>0.6</v>
      </c>
      <c r="F884" s="2">
        <v>0.42</v>
      </c>
      <c r="G884" s="2">
        <v>0.36</v>
      </c>
      <c r="H884" s="2">
        <v>0.22000000000000003</v>
      </c>
    </row>
    <row r="885" spans="1:8" x14ac:dyDescent="0.25">
      <c r="A885" s="1">
        <v>353</v>
      </c>
      <c r="B885" s="4">
        <v>2080619</v>
      </c>
      <c r="C885" s="3">
        <v>1.8200000000000001E-2</v>
      </c>
      <c r="D885" s="3">
        <f t="shared" si="13"/>
        <v>0.4</v>
      </c>
      <c r="E885" s="1">
        <v>0.6</v>
      </c>
      <c r="F885" s="2">
        <v>0.25</v>
      </c>
      <c r="G885" s="2">
        <v>0.45</v>
      </c>
      <c r="H885" s="2">
        <v>0.30000000000000004</v>
      </c>
    </row>
    <row r="886" spans="1:8" x14ac:dyDescent="0.25">
      <c r="A886" s="1">
        <v>390</v>
      </c>
      <c r="B886" s="4">
        <v>6975491</v>
      </c>
      <c r="C886" s="3">
        <v>1.8100000000000002E-2</v>
      </c>
      <c r="D886" s="3">
        <f t="shared" si="13"/>
        <v>0.6</v>
      </c>
      <c r="E886" s="1">
        <v>0.4</v>
      </c>
      <c r="F886" s="2">
        <v>0.33</v>
      </c>
      <c r="G886" s="2">
        <v>0.31</v>
      </c>
      <c r="H886" s="2">
        <v>0.35999999999999993</v>
      </c>
    </row>
    <row r="887" spans="1:8" x14ac:dyDescent="0.25">
      <c r="A887" s="1">
        <v>488</v>
      </c>
      <c r="B887" s="4">
        <v>4876755</v>
      </c>
      <c r="C887" s="3">
        <v>1.7899999999999999E-2</v>
      </c>
      <c r="D887" s="3">
        <f t="shared" si="13"/>
        <v>0.6</v>
      </c>
      <c r="E887" s="1">
        <v>0.4</v>
      </c>
      <c r="F887" s="2">
        <v>0.43</v>
      </c>
      <c r="G887" s="2">
        <v>0.48</v>
      </c>
      <c r="H887" s="2">
        <v>9.0000000000000024E-2</v>
      </c>
    </row>
    <row r="888" spans="1:8" x14ac:dyDescent="0.25">
      <c r="A888" s="1">
        <v>871</v>
      </c>
      <c r="B888" s="4">
        <v>7374901</v>
      </c>
      <c r="C888" s="3">
        <v>1.7899999999999999E-2</v>
      </c>
      <c r="D888" s="3">
        <f t="shared" si="13"/>
        <v>0.7</v>
      </c>
      <c r="E888" s="1">
        <v>0.3</v>
      </c>
      <c r="F888" s="2">
        <v>0.38</v>
      </c>
      <c r="G888" s="2">
        <v>0.48</v>
      </c>
      <c r="H888" s="2">
        <v>0.14000000000000001</v>
      </c>
    </row>
    <row r="889" spans="1:8" x14ac:dyDescent="0.25">
      <c r="A889" s="1">
        <v>516</v>
      </c>
      <c r="B889" s="4">
        <v>489710</v>
      </c>
      <c r="C889" s="3">
        <v>1.78E-2</v>
      </c>
      <c r="D889" s="3">
        <f t="shared" si="13"/>
        <v>0.4</v>
      </c>
      <c r="E889" s="1">
        <v>0.6</v>
      </c>
      <c r="F889" s="2">
        <v>0.43</v>
      </c>
      <c r="G889" s="2">
        <v>0.33</v>
      </c>
      <c r="H889" s="2">
        <v>0.23999999999999994</v>
      </c>
    </row>
    <row r="890" spans="1:8" x14ac:dyDescent="0.25">
      <c r="A890" s="1">
        <v>218</v>
      </c>
      <c r="B890" s="4">
        <v>5142539</v>
      </c>
      <c r="C890" s="3">
        <v>1.77E-2</v>
      </c>
      <c r="D890" s="3">
        <f t="shared" si="13"/>
        <v>0.6</v>
      </c>
      <c r="E890" s="1">
        <v>0.4</v>
      </c>
      <c r="F890" s="2">
        <v>0.2</v>
      </c>
      <c r="G890" s="2">
        <v>0.46</v>
      </c>
      <c r="H890" s="2">
        <v>0.34</v>
      </c>
    </row>
    <row r="891" spans="1:8" x14ac:dyDescent="0.25">
      <c r="A891" s="1">
        <v>449</v>
      </c>
      <c r="B891" s="4">
        <v>6325347</v>
      </c>
      <c r="C891" s="3">
        <v>1.77E-2</v>
      </c>
      <c r="D891" s="3">
        <f t="shared" si="13"/>
        <v>0.6</v>
      </c>
      <c r="E891" s="1">
        <v>0.4</v>
      </c>
      <c r="F891" s="2">
        <v>0.14000000000000001</v>
      </c>
      <c r="G891" s="2">
        <v>0.26</v>
      </c>
      <c r="H891" s="2">
        <v>0.6</v>
      </c>
    </row>
    <row r="892" spans="1:8" x14ac:dyDescent="0.25">
      <c r="A892" s="1">
        <v>253</v>
      </c>
      <c r="B892" s="4">
        <v>7161242</v>
      </c>
      <c r="C892" s="3">
        <v>1.7600000000000001E-2</v>
      </c>
      <c r="D892" s="3">
        <f t="shared" si="13"/>
        <v>0.7</v>
      </c>
      <c r="E892" s="1">
        <v>0.3</v>
      </c>
      <c r="F892" s="2">
        <v>0.11</v>
      </c>
      <c r="G892" s="2">
        <v>0.34</v>
      </c>
      <c r="H892" s="2">
        <v>0.54999999999999993</v>
      </c>
    </row>
    <row r="893" spans="1:8" x14ac:dyDescent="0.25">
      <c r="A893" s="1">
        <v>536</v>
      </c>
      <c r="B893" s="4">
        <v>8200102</v>
      </c>
      <c r="C893" s="3">
        <v>1.7600000000000001E-2</v>
      </c>
      <c r="D893" s="3">
        <f t="shared" si="13"/>
        <v>0.7</v>
      </c>
      <c r="E893" s="1">
        <v>0.3</v>
      </c>
      <c r="F893" s="2">
        <v>0.4</v>
      </c>
      <c r="G893" s="2">
        <v>0.38</v>
      </c>
      <c r="H893" s="2">
        <v>0.21999999999999997</v>
      </c>
    </row>
    <row r="894" spans="1:8" x14ac:dyDescent="0.25">
      <c r="A894" s="1">
        <v>740</v>
      </c>
      <c r="B894" s="4">
        <v>9142758</v>
      </c>
      <c r="C894" s="3">
        <v>1.7600000000000001E-2</v>
      </c>
      <c r="D894" s="3">
        <f t="shared" si="13"/>
        <v>0.7</v>
      </c>
      <c r="E894" s="1">
        <v>0.3</v>
      </c>
      <c r="F894" s="2">
        <v>0.31</v>
      </c>
      <c r="G894" s="2">
        <v>0.34</v>
      </c>
      <c r="H894" s="2">
        <v>0.34999999999999992</v>
      </c>
    </row>
    <row r="895" spans="1:8" x14ac:dyDescent="0.25">
      <c r="A895" s="1">
        <v>957</v>
      </c>
      <c r="B895" s="4">
        <v>4076241</v>
      </c>
      <c r="C895" s="3">
        <v>1.7600000000000001E-2</v>
      </c>
      <c r="D895" s="3">
        <f t="shared" si="13"/>
        <v>0.6</v>
      </c>
      <c r="E895" s="1">
        <v>0.4</v>
      </c>
      <c r="F895" s="2">
        <v>0.42</v>
      </c>
      <c r="G895" s="2">
        <v>0.22</v>
      </c>
      <c r="H895" s="2">
        <v>0.36000000000000004</v>
      </c>
    </row>
    <row r="896" spans="1:8" x14ac:dyDescent="0.25">
      <c r="A896" s="1">
        <v>990</v>
      </c>
      <c r="B896" s="4">
        <v>8011660</v>
      </c>
      <c r="C896" s="3">
        <v>1.7600000000000001E-2</v>
      </c>
      <c r="D896" s="3">
        <f t="shared" si="13"/>
        <v>0.7</v>
      </c>
      <c r="E896" s="1">
        <v>0.3</v>
      </c>
      <c r="F896" s="2">
        <v>0.41</v>
      </c>
      <c r="G896" s="2">
        <v>0.36</v>
      </c>
      <c r="H896" s="2">
        <v>0.23000000000000004</v>
      </c>
    </row>
    <row r="897" spans="1:8" x14ac:dyDescent="0.25">
      <c r="A897" s="1">
        <v>558</v>
      </c>
      <c r="B897" s="4">
        <v>5638099</v>
      </c>
      <c r="C897" s="3">
        <v>1.7299999999999999E-2</v>
      </c>
      <c r="D897" s="3">
        <f t="shared" si="13"/>
        <v>0.6</v>
      </c>
      <c r="E897" s="1">
        <v>0.4</v>
      </c>
      <c r="F897" s="2">
        <v>0.4</v>
      </c>
      <c r="G897" s="2">
        <v>0.21</v>
      </c>
      <c r="H897" s="2">
        <v>0.39</v>
      </c>
    </row>
    <row r="898" spans="1:8" x14ac:dyDescent="0.25">
      <c r="A898" s="1">
        <v>778</v>
      </c>
      <c r="B898" s="4">
        <v>143261</v>
      </c>
      <c r="C898" s="3">
        <v>1.7299999999999999E-2</v>
      </c>
      <c r="D898" s="3">
        <f t="shared" ref="D898:D961" si="14">1-E898</f>
        <v>0.4</v>
      </c>
      <c r="E898" s="1">
        <v>0.6</v>
      </c>
      <c r="F898" s="2">
        <v>0.43</v>
      </c>
      <c r="G898" s="2">
        <v>0.28999999999999998</v>
      </c>
      <c r="H898" s="2">
        <v>0.27999999999999997</v>
      </c>
    </row>
    <row r="899" spans="1:8" x14ac:dyDescent="0.25">
      <c r="A899" s="1">
        <v>216</v>
      </c>
      <c r="B899" s="4">
        <v>8397210</v>
      </c>
      <c r="C899" s="3">
        <v>1.72E-2</v>
      </c>
      <c r="D899" s="3">
        <f t="shared" si="14"/>
        <v>0.7</v>
      </c>
      <c r="E899" s="1">
        <v>0.3</v>
      </c>
      <c r="F899" s="2">
        <v>0.36</v>
      </c>
      <c r="G899" s="2">
        <v>0.23</v>
      </c>
      <c r="H899" s="2">
        <v>0.41000000000000003</v>
      </c>
    </row>
    <row r="900" spans="1:8" x14ac:dyDescent="0.25">
      <c r="A900" s="1">
        <v>840</v>
      </c>
      <c r="B900" s="4">
        <v>6214653</v>
      </c>
      <c r="C900" s="3">
        <v>1.72E-2</v>
      </c>
      <c r="D900" s="3">
        <f t="shared" si="14"/>
        <v>0.6</v>
      </c>
      <c r="E900" s="1">
        <v>0.4</v>
      </c>
      <c r="F900" s="2">
        <v>0.36</v>
      </c>
      <c r="G900" s="2">
        <v>0.27</v>
      </c>
      <c r="H900" s="2">
        <v>0.37</v>
      </c>
    </row>
    <row r="901" spans="1:8" x14ac:dyDescent="0.25">
      <c r="A901" s="1">
        <v>144</v>
      </c>
      <c r="B901" s="4">
        <v>8390880</v>
      </c>
      <c r="C901" s="3">
        <v>1.7100000000000001E-2</v>
      </c>
      <c r="D901" s="3">
        <f t="shared" si="14"/>
        <v>0.7</v>
      </c>
      <c r="E901" s="1">
        <v>0.3</v>
      </c>
      <c r="F901" s="2">
        <v>0.14000000000000001</v>
      </c>
      <c r="G901" s="2">
        <v>0.25</v>
      </c>
      <c r="H901" s="2">
        <v>0.61</v>
      </c>
    </row>
    <row r="902" spans="1:8" x14ac:dyDescent="0.25">
      <c r="A902" s="1">
        <v>723</v>
      </c>
      <c r="B902" s="4">
        <v>9702542</v>
      </c>
      <c r="C902" s="3">
        <v>1.7100000000000001E-2</v>
      </c>
      <c r="D902" s="3">
        <f t="shared" si="14"/>
        <v>0.7</v>
      </c>
      <c r="E902" s="1">
        <v>0.3</v>
      </c>
      <c r="F902" s="2">
        <v>0.19</v>
      </c>
      <c r="G902" s="2">
        <v>0.27</v>
      </c>
      <c r="H902" s="2">
        <v>0.54</v>
      </c>
    </row>
    <row r="903" spans="1:8" x14ac:dyDescent="0.25">
      <c r="A903" s="1">
        <v>267</v>
      </c>
      <c r="B903" s="4">
        <v>7718354</v>
      </c>
      <c r="C903" s="3">
        <v>1.7000000000000001E-2</v>
      </c>
      <c r="D903" s="3">
        <f t="shared" si="14"/>
        <v>0.7</v>
      </c>
      <c r="E903" s="1">
        <v>0.3</v>
      </c>
      <c r="F903" s="2">
        <v>0.16</v>
      </c>
      <c r="G903" s="2">
        <v>0.2</v>
      </c>
      <c r="H903" s="2">
        <v>0.64</v>
      </c>
    </row>
    <row r="904" spans="1:8" x14ac:dyDescent="0.25">
      <c r="A904" s="1">
        <v>348</v>
      </c>
      <c r="B904" s="4">
        <v>5017993</v>
      </c>
      <c r="C904" s="3">
        <v>1.6899999999999998E-2</v>
      </c>
      <c r="D904" s="3">
        <f t="shared" si="14"/>
        <v>0.6</v>
      </c>
      <c r="E904" s="1">
        <v>0.4</v>
      </c>
      <c r="F904" s="2">
        <v>0.35</v>
      </c>
      <c r="G904" s="2">
        <v>0.36</v>
      </c>
      <c r="H904" s="2">
        <v>0.29000000000000004</v>
      </c>
    </row>
    <row r="905" spans="1:8" x14ac:dyDescent="0.25">
      <c r="A905" s="1">
        <v>623</v>
      </c>
      <c r="B905" s="4">
        <v>6635629</v>
      </c>
      <c r="C905" s="3">
        <v>1.6899999999999998E-2</v>
      </c>
      <c r="D905" s="3">
        <f t="shared" si="14"/>
        <v>0.6</v>
      </c>
      <c r="E905" s="1">
        <v>0.4</v>
      </c>
      <c r="F905" s="2">
        <v>0.45</v>
      </c>
      <c r="G905" s="2">
        <v>0.31</v>
      </c>
      <c r="H905" s="2">
        <v>0.23999999999999994</v>
      </c>
    </row>
    <row r="906" spans="1:8" x14ac:dyDescent="0.25">
      <c r="A906" s="1">
        <v>1034</v>
      </c>
      <c r="B906" s="4">
        <v>5052787</v>
      </c>
      <c r="C906" s="3">
        <v>1.6899999999999998E-2</v>
      </c>
      <c r="D906" s="3">
        <f t="shared" si="14"/>
        <v>0.6</v>
      </c>
      <c r="E906" s="1">
        <v>0.4</v>
      </c>
      <c r="F906" s="2">
        <v>0.38</v>
      </c>
      <c r="G906" s="2">
        <v>0.5</v>
      </c>
      <c r="H906" s="2">
        <v>0.12</v>
      </c>
    </row>
    <row r="907" spans="1:8" x14ac:dyDescent="0.25">
      <c r="A907" s="1">
        <v>165</v>
      </c>
      <c r="B907" s="4">
        <v>4746230</v>
      </c>
      <c r="C907" s="3">
        <v>1.6799999999999999E-2</v>
      </c>
      <c r="D907" s="3">
        <f t="shared" si="14"/>
        <v>0.6</v>
      </c>
      <c r="E907" s="1">
        <v>0.4</v>
      </c>
      <c r="F907" s="2">
        <v>0.24</v>
      </c>
      <c r="G907" s="2">
        <v>0.31</v>
      </c>
      <c r="H907" s="2">
        <v>0.44999999999999996</v>
      </c>
    </row>
    <row r="908" spans="1:8" x14ac:dyDescent="0.25">
      <c r="A908" s="1">
        <v>200</v>
      </c>
      <c r="B908" s="4">
        <v>9501035</v>
      </c>
      <c r="C908" s="3">
        <v>1.6799999999999999E-2</v>
      </c>
      <c r="D908" s="3">
        <f t="shared" si="14"/>
        <v>0.7</v>
      </c>
      <c r="E908" s="1">
        <v>0.3</v>
      </c>
      <c r="F908" s="2">
        <v>0.32</v>
      </c>
      <c r="G908" s="2">
        <v>0.33</v>
      </c>
      <c r="H908" s="2">
        <v>0.34999999999999992</v>
      </c>
    </row>
    <row r="909" spans="1:8" x14ac:dyDescent="0.25">
      <c r="A909" s="1">
        <v>297</v>
      </c>
      <c r="B909" s="4">
        <v>6162562</v>
      </c>
      <c r="C909" s="3">
        <v>1.6799999999999999E-2</v>
      </c>
      <c r="D909" s="3">
        <f t="shared" si="14"/>
        <v>0.6</v>
      </c>
      <c r="E909" s="1">
        <v>0.4</v>
      </c>
      <c r="F909" s="2">
        <v>0.37</v>
      </c>
      <c r="G909" s="2">
        <v>0.2</v>
      </c>
      <c r="H909" s="2">
        <v>0.43000000000000005</v>
      </c>
    </row>
    <row r="910" spans="1:8" x14ac:dyDescent="0.25">
      <c r="A910" s="1">
        <v>298</v>
      </c>
      <c r="B910" s="4">
        <v>506017</v>
      </c>
      <c r="C910" s="3">
        <v>1.67E-2</v>
      </c>
      <c r="D910" s="3">
        <f t="shared" si="14"/>
        <v>0.4</v>
      </c>
      <c r="E910" s="1">
        <v>0.6</v>
      </c>
      <c r="F910" s="2">
        <v>0.13</v>
      </c>
      <c r="G910" s="2">
        <v>0.22</v>
      </c>
      <c r="H910" s="2">
        <v>0.65</v>
      </c>
    </row>
    <row r="911" spans="1:8" x14ac:dyDescent="0.25">
      <c r="A911" s="1">
        <v>653</v>
      </c>
      <c r="B911" s="4">
        <v>1271826</v>
      </c>
      <c r="C911" s="3">
        <v>1.67E-2</v>
      </c>
      <c r="D911" s="3">
        <f t="shared" si="14"/>
        <v>0.4</v>
      </c>
      <c r="E911" s="1">
        <v>0.6</v>
      </c>
      <c r="F911" s="2">
        <v>0.31</v>
      </c>
      <c r="G911" s="2">
        <v>0.42</v>
      </c>
      <c r="H911" s="2">
        <v>0.27000000000000007</v>
      </c>
    </row>
    <row r="912" spans="1:8" x14ac:dyDescent="0.25">
      <c r="A912" s="1">
        <v>714</v>
      </c>
      <c r="B912" s="4">
        <v>369874</v>
      </c>
      <c r="C912" s="3">
        <v>1.67E-2</v>
      </c>
      <c r="D912" s="3">
        <f t="shared" si="14"/>
        <v>0.4</v>
      </c>
      <c r="E912" s="1">
        <v>0.6</v>
      </c>
      <c r="F912" s="2">
        <v>0.45</v>
      </c>
      <c r="G912" s="2">
        <v>0.21</v>
      </c>
      <c r="H912" s="2">
        <v>0.34</v>
      </c>
    </row>
    <row r="913" spans="1:8" x14ac:dyDescent="0.25">
      <c r="A913" s="1">
        <v>694</v>
      </c>
      <c r="B913" s="4">
        <v>1801708</v>
      </c>
      <c r="C913" s="3">
        <v>1.66E-2</v>
      </c>
      <c r="D913" s="3">
        <f t="shared" si="14"/>
        <v>0.4</v>
      </c>
      <c r="E913" s="1">
        <v>0.6</v>
      </c>
      <c r="F913" s="2">
        <v>0.12</v>
      </c>
      <c r="G913" s="2">
        <v>0.49</v>
      </c>
      <c r="H913" s="2">
        <v>0.39</v>
      </c>
    </row>
    <row r="914" spans="1:8" x14ac:dyDescent="0.25">
      <c r="A914" s="1">
        <v>726</v>
      </c>
      <c r="B914" s="4">
        <v>3979581</v>
      </c>
      <c r="C914" s="3">
        <v>1.66E-2</v>
      </c>
      <c r="D914" s="3">
        <f t="shared" si="14"/>
        <v>0.6</v>
      </c>
      <c r="E914" s="1">
        <v>0.4</v>
      </c>
      <c r="F914" s="2">
        <v>0.2</v>
      </c>
      <c r="G914" s="2">
        <v>0.46</v>
      </c>
      <c r="H914" s="2">
        <v>0.34</v>
      </c>
    </row>
    <row r="915" spans="1:8" x14ac:dyDescent="0.25">
      <c r="A915" s="1">
        <v>140</v>
      </c>
      <c r="B915" s="4">
        <v>7196427</v>
      </c>
      <c r="C915" s="3">
        <v>1.6500000000000001E-2</v>
      </c>
      <c r="D915" s="3">
        <f t="shared" si="14"/>
        <v>0.7</v>
      </c>
      <c r="E915" s="1">
        <v>0.3</v>
      </c>
      <c r="F915" s="2">
        <v>0.1</v>
      </c>
      <c r="G915" s="2">
        <v>0.33</v>
      </c>
      <c r="H915" s="2">
        <v>0.56999999999999995</v>
      </c>
    </row>
    <row r="916" spans="1:8" x14ac:dyDescent="0.25">
      <c r="A916" s="1">
        <v>335</v>
      </c>
      <c r="B916" s="4">
        <v>4881256</v>
      </c>
      <c r="C916" s="3">
        <v>1.6500000000000001E-2</v>
      </c>
      <c r="D916" s="3">
        <f t="shared" si="14"/>
        <v>0.6</v>
      </c>
      <c r="E916" s="1">
        <v>0.4</v>
      </c>
      <c r="F916" s="2">
        <v>0.1</v>
      </c>
      <c r="G916" s="2">
        <v>0.35</v>
      </c>
      <c r="H916" s="2">
        <v>0.55000000000000004</v>
      </c>
    </row>
    <row r="917" spans="1:8" x14ac:dyDescent="0.25">
      <c r="A917" s="1">
        <v>484</v>
      </c>
      <c r="B917" s="4">
        <v>7159325</v>
      </c>
      <c r="C917" s="3">
        <v>1.6399999999999998E-2</v>
      </c>
      <c r="D917" s="3">
        <f t="shared" si="14"/>
        <v>0.7</v>
      </c>
      <c r="E917" s="1">
        <v>0.3</v>
      </c>
      <c r="F917" s="2">
        <v>0.41</v>
      </c>
      <c r="G917" s="2">
        <v>0.31</v>
      </c>
      <c r="H917" s="2">
        <v>0.27999999999999997</v>
      </c>
    </row>
    <row r="918" spans="1:8" x14ac:dyDescent="0.25">
      <c r="A918" s="1">
        <v>87</v>
      </c>
      <c r="B918" s="4">
        <v>1221394</v>
      </c>
      <c r="C918" s="3">
        <v>1.6299999999999999E-2</v>
      </c>
      <c r="D918" s="3">
        <f t="shared" si="14"/>
        <v>0.4</v>
      </c>
      <c r="E918" s="1">
        <v>0.6</v>
      </c>
      <c r="F918" s="2">
        <v>0.28000000000000003</v>
      </c>
      <c r="G918" s="2">
        <v>0.32</v>
      </c>
      <c r="H918" s="2">
        <v>0.39999999999999991</v>
      </c>
    </row>
    <row r="919" spans="1:8" x14ac:dyDescent="0.25">
      <c r="A919" s="1">
        <v>826</v>
      </c>
      <c r="B919" s="4">
        <v>2351574</v>
      </c>
      <c r="C919" s="3">
        <v>1.6299999999999999E-2</v>
      </c>
      <c r="D919" s="3">
        <f t="shared" si="14"/>
        <v>0.4</v>
      </c>
      <c r="E919" s="1">
        <v>0.6</v>
      </c>
      <c r="F919" s="2">
        <v>0.17</v>
      </c>
      <c r="G919" s="2">
        <v>0.33</v>
      </c>
      <c r="H919" s="2">
        <v>0.49999999999999989</v>
      </c>
    </row>
    <row r="920" spans="1:8" x14ac:dyDescent="0.25">
      <c r="A920" s="1">
        <v>70</v>
      </c>
      <c r="B920" s="4">
        <v>5422628</v>
      </c>
      <c r="C920" s="3">
        <v>1.6200000000000003E-2</v>
      </c>
      <c r="D920" s="3">
        <f t="shared" si="14"/>
        <v>0.6</v>
      </c>
      <c r="E920" s="1">
        <v>0.4</v>
      </c>
      <c r="F920" s="2">
        <v>0.3</v>
      </c>
      <c r="G920" s="2">
        <v>0.25</v>
      </c>
      <c r="H920" s="2">
        <v>0.45</v>
      </c>
    </row>
    <row r="921" spans="1:8" x14ac:dyDescent="0.25">
      <c r="A921" s="1">
        <v>172</v>
      </c>
      <c r="B921" s="4">
        <v>369514</v>
      </c>
      <c r="C921" s="3">
        <v>1.61E-2</v>
      </c>
      <c r="D921" s="3">
        <f t="shared" si="14"/>
        <v>0.4</v>
      </c>
      <c r="E921" s="1">
        <v>0.6</v>
      </c>
      <c r="F921" s="2">
        <v>0.32</v>
      </c>
      <c r="G921" s="2">
        <v>0.44</v>
      </c>
      <c r="H921" s="2">
        <v>0.24000000000000005</v>
      </c>
    </row>
    <row r="922" spans="1:8" x14ac:dyDescent="0.25">
      <c r="A922" s="1">
        <v>372</v>
      </c>
      <c r="B922" s="4">
        <v>9789278</v>
      </c>
      <c r="C922" s="3">
        <v>1.6E-2</v>
      </c>
      <c r="D922" s="3">
        <f t="shared" si="14"/>
        <v>0.7</v>
      </c>
      <c r="E922" s="1">
        <v>0.3</v>
      </c>
      <c r="F922" s="2">
        <v>0.22</v>
      </c>
      <c r="G922" s="2">
        <v>0.28000000000000003</v>
      </c>
      <c r="H922" s="2">
        <v>0.5</v>
      </c>
    </row>
    <row r="923" spans="1:8" x14ac:dyDescent="0.25">
      <c r="A923" s="1">
        <v>903</v>
      </c>
      <c r="B923" s="4">
        <v>6126552</v>
      </c>
      <c r="C923" s="3">
        <v>1.6E-2</v>
      </c>
      <c r="D923" s="3">
        <f t="shared" si="14"/>
        <v>0.6</v>
      </c>
      <c r="E923" s="1">
        <v>0.4</v>
      </c>
      <c r="F923" s="2">
        <v>0.22</v>
      </c>
      <c r="G923" s="2">
        <v>0.39</v>
      </c>
      <c r="H923" s="2">
        <v>0.39</v>
      </c>
    </row>
    <row r="924" spans="1:8" x14ac:dyDescent="0.25">
      <c r="A924" s="1">
        <v>74</v>
      </c>
      <c r="B924" s="4">
        <v>3191570</v>
      </c>
      <c r="C924" s="3">
        <v>1.5900000000000001E-2</v>
      </c>
      <c r="D924" s="3">
        <f t="shared" si="14"/>
        <v>0.6</v>
      </c>
      <c r="E924" s="1">
        <v>0.4</v>
      </c>
      <c r="F924" s="2">
        <v>0.37</v>
      </c>
      <c r="G924" s="2">
        <v>0.33</v>
      </c>
      <c r="H924" s="2">
        <v>0.29999999999999993</v>
      </c>
    </row>
    <row r="925" spans="1:8" x14ac:dyDescent="0.25">
      <c r="A925" s="1">
        <v>187</v>
      </c>
      <c r="B925" s="4">
        <v>9836017</v>
      </c>
      <c r="C925" s="3">
        <v>1.5900000000000001E-2</v>
      </c>
      <c r="D925" s="3">
        <f t="shared" si="14"/>
        <v>0.7</v>
      </c>
      <c r="E925" s="1">
        <v>0.3</v>
      </c>
      <c r="F925" s="2">
        <v>0.32</v>
      </c>
      <c r="G925" s="2">
        <v>0.22</v>
      </c>
      <c r="H925" s="2">
        <v>0.46</v>
      </c>
    </row>
    <row r="926" spans="1:8" x14ac:dyDescent="0.25">
      <c r="A926" s="1">
        <v>986</v>
      </c>
      <c r="B926" s="4">
        <v>4353782</v>
      </c>
      <c r="C926" s="3">
        <v>1.5900000000000001E-2</v>
      </c>
      <c r="D926" s="3">
        <f t="shared" si="14"/>
        <v>0.6</v>
      </c>
      <c r="E926" s="1">
        <v>0.4</v>
      </c>
      <c r="F926" s="2">
        <v>0.14000000000000001</v>
      </c>
      <c r="G926" s="2">
        <v>0.49</v>
      </c>
      <c r="H926" s="2">
        <v>0.37</v>
      </c>
    </row>
    <row r="927" spans="1:8" x14ac:dyDescent="0.25">
      <c r="A927" s="1">
        <v>547</v>
      </c>
      <c r="B927" s="4">
        <v>4558372</v>
      </c>
      <c r="C927" s="3">
        <v>1.5800000000000002E-2</v>
      </c>
      <c r="D927" s="3">
        <f t="shared" si="14"/>
        <v>0.6</v>
      </c>
      <c r="E927" s="1">
        <v>0.4</v>
      </c>
      <c r="F927" s="2">
        <v>0.35</v>
      </c>
      <c r="G927" s="2">
        <v>0.41</v>
      </c>
      <c r="H927" s="2">
        <v>0.2400000000000001</v>
      </c>
    </row>
    <row r="928" spans="1:8" x14ac:dyDescent="0.25">
      <c r="A928" s="1">
        <v>52</v>
      </c>
      <c r="B928" s="4">
        <v>3637454</v>
      </c>
      <c r="C928" s="3">
        <v>1.5700000000000002E-2</v>
      </c>
      <c r="D928" s="3">
        <f t="shared" si="14"/>
        <v>0.6</v>
      </c>
      <c r="E928" s="1">
        <v>0.4</v>
      </c>
      <c r="F928" s="2">
        <v>0.2</v>
      </c>
      <c r="G928" s="2">
        <v>0.25</v>
      </c>
      <c r="H928" s="2">
        <v>0.55000000000000004</v>
      </c>
    </row>
    <row r="929" spans="1:8" x14ac:dyDescent="0.25">
      <c r="A929" s="1">
        <v>765</v>
      </c>
      <c r="B929" s="4">
        <v>4986515</v>
      </c>
      <c r="C929" s="3">
        <v>1.5700000000000002E-2</v>
      </c>
      <c r="D929" s="3">
        <f t="shared" si="14"/>
        <v>0.6</v>
      </c>
      <c r="E929" s="1">
        <v>0.4</v>
      </c>
      <c r="F929" s="2">
        <v>0.14000000000000001</v>
      </c>
      <c r="G929" s="2">
        <v>0.24</v>
      </c>
      <c r="H929" s="2">
        <v>0.62</v>
      </c>
    </row>
    <row r="930" spans="1:8" x14ac:dyDescent="0.25">
      <c r="A930" s="1">
        <v>1008</v>
      </c>
      <c r="B930" s="4">
        <v>2760114</v>
      </c>
      <c r="C930" s="3">
        <v>1.5700000000000002E-2</v>
      </c>
      <c r="D930" s="3">
        <f t="shared" si="14"/>
        <v>0.4</v>
      </c>
      <c r="E930" s="1">
        <v>0.6</v>
      </c>
      <c r="F930" s="2">
        <v>0.11</v>
      </c>
      <c r="G930" s="2">
        <v>0.45</v>
      </c>
      <c r="H930" s="2">
        <v>0.44000000000000006</v>
      </c>
    </row>
    <row r="931" spans="1:8" x14ac:dyDescent="0.25">
      <c r="A931" s="1">
        <v>420</v>
      </c>
      <c r="B931" s="4">
        <v>479773</v>
      </c>
      <c r="C931" s="3">
        <v>1.5600000000000001E-2</v>
      </c>
      <c r="D931" s="3">
        <f t="shared" si="14"/>
        <v>0.4</v>
      </c>
      <c r="E931" s="1">
        <v>0.6</v>
      </c>
      <c r="F931" s="2">
        <v>0.39</v>
      </c>
      <c r="G931" s="2">
        <v>0.38</v>
      </c>
      <c r="H931" s="2">
        <v>0.22999999999999998</v>
      </c>
    </row>
    <row r="932" spans="1:8" x14ac:dyDescent="0.25">
      <c r="A932" s="1">
        <v>1040</v>
      </c>
      <c r="B932" s="4">
        <v>3843636</v>
      </c>
      <c r="C932" s="3">
        <v>1.5600000000000001E-2</v>
      </c>
      <c r="D932" s="3">
        <f t="shared" si="14"/>
        <v>0.6</v>
      </c>
      <c r="E932" s="1">
        <v>0.4</v>
      </c>
      <c r="F932" s="2">
        <v>0.3</v>
      </c>
      <c r="G932" s="2">
        <v>0.46</v>
      </c>
      <c r="H932" s="2">
        <v>0.24000000000000005</v>
      </c>
    </row>
    <row r="933" spans="1:8" x14ac:dyDescent="0.25">
      <c r="A933" s="1">
        <v>45</v>
      </c>
      <c r="B933" s="4">
        <v>8136081</v>
      </c>
      <c r="C933" s="3">
        <v>1.55E-2</v>
      </c>
      <c r="D933" s="3">
        <f t="shared" si="14"/>
        <v>0.7</v>
      </c>
      <c r="E933" s="1">
        <v>0.3</v>
      </c>
      <c r="F933" s="2">
        <v>0.28999999999999998</v>
      </c>
      <c r="G933" s="2">
        <v>0.38</v>
      </c>
      <c r="H933" s="2">
        <v>0.33</v>
      </c>
    </row>
    <row r="934" spans="1:8" x14ac:dyDescent="0.25">
      <c r="A934" s="1">
        <v>487</v>
      </c>
      <c r="B934" s="4">
        <v>419933</v>
      </c>
      <c r="C934" s="3">
        <v>1.54E-2</v>
      </c>
      <c r="D934" s="3">
        <f t="shared" si="14"/>
        <v>0.4</v>
      </c>
      <c r="E934" s="1">
        <v>0.6</v>
      </c>
      <c r="F934" s="2">
        <v>0.26</v>
      </c>
      <c r="G934" s="2">
        <v>0.49</v>
      </c>
      <c r="H934" s="2">
        <v>0.25</v>
      </c>
    </row>
    <row r="935" spans="1:8" x14ac:dyDescent="0.25">
      <c r="A935" s="1">
        <v>220</v>
      </c>
      <c r="B935" s="4">
        <v>1634615</v>
      </c>
      <c r="C935" s="3">
        <v>1.5300000000000001E-2</v>
      </c>
      <c r="D935" s="3">
        <f t="shared" si="14"/>
        <v>0.4</v>
      </c>
      <c r="E935" s="1">
        <v>0.6</v>
      </c>
      <c r="F935" s="2">
        <v>0.38</v>
      </c>
      <c r="G935" s="2">
        <v>0.24</v>
      </c>
      <c r="H935" s="2">
        <v>0.38</v>
      </c>
    </row>
    <row r="936" spans="1:8" x14ac:dyDescent="0.25">
      <c r="A936" s="1">
        <v>523</v>
      </c>
      <c r="B936" s="4">
        <v>7513406</v>
      </c>
      <c r="C936" s="3">
        <v>1.5300000000000001E-2</v>
      </c>
      <c r="D936" s="3">
        <f t="shared" si="14"/>
        <v>0.7</v>
      </c>
      <c r="E936" s="1">
        <v>0.3</v>
      </c>
      <c r="F936" s="2">
        <v>0.11</v>
      </c>
      <c r="G936" s="2">
        <v>0.45</v>
      </c>
      <c r="H936" s="2">
        <v>0.44000000000000006</v>
      </c>
    </row>
    <row r="937" spans="1:8" x14ac:dyDescent="0.25">
      <c r="A937" s="1">
        <v>717</v>
      </c>
      <c r="B937" s="4">
        <v>9011345</v>
      </c>
      <c r="C937" s="3">
        <v>1.5300000000000001E-2</v>
      </c>
      <c r="D937" s="3">
        <f t="shared" si="14"/>
        <v>0.7</v>
      </c>
      <c r="E937" s="1">
        <v>0.3</v>
      </c>
      <c r="F937" s="2">
        <v>0.31</v>
      </c>
      <c r="G937" s="2">
        <v>0.41</v>
      </c>
      <c r="H937" s="2">
        <v>0.28000000000000008</v>
      </c>
    </row>
    <row r="938" spans="1:8" x14ac:dyDescent="0.25">
      <c r="A938" s="1">
        <v>833</v>
      </c>
      <c r="B938" s="4">
        <v>6125368</v>
      </c>
      <c r="C938" s="3">
        <v>1.5300000000000001E-2</v>
      </c>
      <c r="D938" s="3">
        <f t="shared" si="14"/>
        <v>0.6</v>
      </c>
      <c r="E938" s="1">
        <v>0.4</v>
      </c>
      <c r="F938" s="2">
        <v>0.41</v>
      </c>
      <c r="G938" s="2">
        <v>0.2</v>
      </c>
      <c r="H938" s="2">
        <v>0.39000000000000007</v>
      </c>
    </row>
    <row r="939" spans="1:8" x14ac:dyDescent="0.25">
      <c r="A939" s="1">
        <v>929</v>
      </c>
      <c r="B939" s="4">
        <v>3115373</v>
      </c>
      <c r="C939" s="3">
        <v>1.52E-2</v>
      </c>
      <c r="D939" s="3">
        <f t="shared" si="14"/>
        <v>0.6</v>
      </c>
      <c r="E939" s="1">
        <v>0.4</v>
      </c>
      <c r="F939" s="2">
        <v>0.1</v>
      </c>
      <c r="G939" s="2">
        <v>0.28000000000000003</v>
      </c>
      <c r="H939" s="2">
        <v>0.62</v>
      </c>
    </row>
    <row r="940" spans="1:8" x14ac:dyDescent="0.25">
      <c r="A940" s="1">
        <v>116</v>
      </c>
      <c r="B940" s="4">
        <v>3504969</v>
      </c>
      <c r="C940" s="3">
        <v>1.49E-2</v>
      </c>
      <c r="D940" s="3">
        <f t="shared" si="14"/>
        <v>0.6</v>
      </c>
      <c r="E940" s="1">
        <v>0.4</v>
      </c>
      <c r="F940" s="2">
        <v>0.28999999999999998</v>
      </c>
      <c r="G940" s="2">
        <v>0.26</v>
      </c>
      <c r="H940" s="2">
        <v>0.45</v>
      </c>
    </row>
    <row r="941" spans="1:8" x14ac:dyDescent="0.25">
      <c r="A941" s="1">
        <v>349</v>
      </c>
      <c r="B941" s="4">
        <v>964860</v>
      </c>
      <c r="C941" s="3">
        <v>1.49E-2</v>
      </c>
      <c r="D941" s="3">
        <f t="shared" si="14"/>
        <v>0.4</v>
      </c>
      <c r="E941" s="1">
        <v>0.6</v>
      </c>
      <c r="F941" s="2">
        <v>0.11</v>
      </c>
      <c r="G941" s="2">
        <v>0.5</v>
      </c>
      <c r="H941" s="2">
        <v>0.39</v>
      </c>
    </row>
    <row r="942" spans="1:8" x14ac:dyDescent="0.25">
      <c r="A942" s="1">
        <v>783</v>
      </c>
      <c r="B942" s="4">
        <v>7944438</v>
      </c>
      <c r="C942" s="3">
        <v>1.49E-2</v>
      </c>
      <c r="D942" s="3">
        <f t="shared" si="14"/>
        <v>0.7</v>
      </c>
      <c r="E942" s="1">
        <v>0.3</v>
      </c>
      <c r="F942" s="2">
        <v>0.28999999999999998</v>
      </c>
      <c r="G942" s="2">
        <v>0.27</v>
      </c>
      <c r="H942" s="2">
        <v>0.44</v>
      </c>
    </row>
    <row r="943" spans="1:8" x14ac:dyDescent="0.25">
      <c r="A943" s="1">
        <v>841</v>
      </c>
      <c r="B943" s="4">
        <v>600993</v>
      </c>
      <c r="C943" s="3">
        <v>1.49E-2</v>
      </c>
      <c r="D943" s="3">
        <f t="shared" si="14"/>
        <v>0.4</v>
      </c>
      <c r="E943" s="1">
        <v>0.6</v>
      </c>
      <c r="F943" s="2">
        <v>0.26</v>
      </c>
      <c r="G943" s="2">
        <v>0.24</v>
      </c>
      <c r="H943" s="2">
        <v>0.5</v>
      </c>
    </row>
    <row r="944" spans="1:8" x14ac:dyDescent="0.25">
      <c r="A944" s="1">
        <v>122</v>
      </c>
      <c r="B944" s="4">
        <v>2302621</v>
      </c>
      <c r="C944" s="3">
        <v>1.4800000000000001E-2</v>
      </c>
      <c r="D944" s="3">
        <f t="shared" si="14"/>
        <v>0.4</v>
      </c>
      <c r="E944" s="1">
        <v>0.6</v>
      </c>
      <c r="F944" s="2">
        <v>0.34</v>
      </c>
      <c r="G944" s="2">
        <v>0.39</v>
      </c>
      <c r="H944" s="2">
        <v>0.26999999999999996</v>
      </c>
    </row>
    <row r="945" spans="1:8" x14ac:dyDescent="0.25">
      <c r="A945" s="1">
        <v>695</v>
      </c>
      <c r="B945" s="4">
        <v>2976106</v>
      </c>
      <c r="C945" s="3">
        <v>1.4800000000000001E-2</v>
      </c>
      <c r="D945" s="3">
        <f t="shared" si="14"/>
        <v>0.4</v>
      </c>
      <c r="E945" s="1">
        <v>0.6</v>
      </c>
      <c r="F945" s="2">
        <v>0.44</v>
      </c>
      <c r="G945" s="2">
        <v>0.37</v>
      </c>
      <c r="H945" s="2">
        <v>0.19</v>
      </c>
    </row>
    <row r="946" spans="1:8" x14ac:dyDescent="0.25">
      <c r="A946" s="1">
        <v>998</v>
      </c>
      <c r="B946" s="4">
        <v>8473184</v>
      </c>
      <c r="C946" s="3">
        <v>1.4800000000000001E-2</v>
      </c>
      <c r="D946" s="3">
        <f t="shared" si="14"/>
        <v>0.7</v>
      </c>
      <c r="E946" s="1">
        <v>0.3</v>
      </c>
      <c r="F946" s="2">
        <v>0.23</v>
      </c>
      <c r="G946" s="2">
        <v>0.28999999999999998</v>
      </c>
      <c r="H946" s="2">
        <v>0.48</v>
      </c>
    </row>
    <row r="947" spans="1:8" x14ac:dyDescent="0.25">
      <c r="A947" s="1">
        <v>1013</v>
      </c>
      <c r="B947" s="4">
        <v>1539562</v>
      </c>
      <c r="C947" s="3">
        <v>1.4800000000000001E-2</v>
      </c>
      <c r="D947" s="3">
        <f t="shared" si="14"/>
        <v>0.4</v>
      </c>
      <c r="E947" s="1">
        <v>0.6</v>
      </c>
      <c r="F947" s="2">
        <v>0.4</v>
      </c>
      <c r="G947" s="2">
        <v>0.37</v>
      </c>
      <c r="H947" s="2">
        <v>0.22999999999999998</v>
      </c>
    </row>
    <row r="948" spans="1:8" x14ac:dyDescent="0.25">
      <c r="A948" s="1">
        <v>756</v>
      </c>
      <c r="B948" s="4">
        <v>7391033</v>
      </c>
      <c r="C948" s="3">
        <v>1.47E-2</v>
      </c>
      <c r="D948" s="3">
        <f t="shared" si="14"/>
        <v>0.7</v>
      </c>
      <c r="E948" s="1">
        <v>0.3</v>
      </c>
      <c r="F948" s="2">
        <v>0.28000000000000003</v>
      </c>
      <c r="G948" s="2">
        <v>0.36</v>
      </c>
      <c r="H948" s="2">
        <v>0.36</v>
      </c>
    </row>
    <row r="949" spans="1:8" x14ac:dyDescent="0.25">
      <c r="A949" s="1">
        <v>551</v>
      </c>
      <c r="B949" s="4">
        <v>5815145</v>
      </c>
      <c r="C949" s="3">
        <v>1.4499999999999999E-2</v>
      </c>
      <c r="D949" s="3">
        <f t="shared" si="14"/>
        <v>0.6</v>
      </c>
      <c r="E949" s="1">
        <v>0.4</v>
      </c>
      <c r="F949" s="2">
        <v>0.27</v>
      </c>
      <c r="G949" s="2">
        <v>0.37</v>
      </c>
      <c r="H949" s="2">
        <v>0.36</v>
      </c>
    </row>
    <row r="950" spans="1:8" x14ac:dyDescent="0.25">
      <c r="A950" s="1">
        <v>954</v>
      </c>
      <c r="B950" s="4">
        <v>5635025</v>
      </c>
      <c r="C950" s="3">
        <v>1.4499999999999999E-2</v>
      </c>
      <c r="D950" s="3">
        <f t="shared" si="14"/>
        <v>0.6</v>
      </c>
      <c r="E950" s="1">
        <v>0.4</v>
      </c>
      <c r="F950" s="2">
        <v>0.18</v>
      </c>
      <c r="G950" s="2">
        <v>0.4</v>
      </c>
      <c r="H950" s="2">
        <v>0.42</v>
      </c>
    </row>
    <row r="951" spans="1:8" x14ac:dyDescent="0.25">
      <c r="A951" s="1">
        <v>722</v>
      </c>
      <c r="B951" s="4">
        <v>7549228</v>
      </c>
      <c r="C951" s="3">
        <v>1.44E-2</v>
      </c>
      <c r="D951" s="3">
        <f t="shared" si="14"/>
        <v>0.7</v>
      </c>
      <c r="E951" s="1">
        <v>0.3</v>
      </c>
      <c r="F951" s="2">
        <v>0.17</v>
      </c>
      <c r="G951" s="2">
        <v>0.49</v>
      </c>
      <c r="H951" s="2">
        <v>0.33999999999999997</v>
      </c>
    </row>
    <row r="952" spans="1:8" x14ac:dyDescent="0.25">
      <c r="A952" s="1">
        <v>867</v>
      </c>
      <c r="B952" s="4">
        <v>1070851</v>
      </c>
      <c r="C952" s="3">
        <v>1.44E-2</v>
      </c>
      <c r="D952" s="3">
        <f t="shared" si="14"/>
        <v>0.4</v>
      </c>
      <c r="E952" s="1">
        <v>0.6</v>
      </c>
      <c r="F952" s="2">
        <v>0.21</v>
      </c>
      <c r="G952" s="2">
        <v>0.32</v>
      </c>
      <c r="H952" s="2">
        <v>0.47</v>
      </c>
    </row>
    <row r="953" spans="1:8" x14ac:dyDescent="0.25">
      <c r="A953" s="1">
        <v>294</v>
      </c>
      <c r="B953" s="4">
        <v>1143024</v>
      </c>
      <c r="C953" s="3">
        <v>1.43E-2</v>
      </c>
      <c r="D953" s="3">
        <f t="shared" si="14"/>
        <v>0.4</v>
      </c>
      <c r="E953" s="1">
        <v>0.6</v>
      </c>
      <c r="F953" s="2">
        <v>0.39</v>
      </c>
      <c r="G953" s="2">
        <v>0.35</v>
      </c>
      <c r="H953" s="2">
        <v>0.26</v>
      </c>
    </row>
    <row r="954" spans="1:8" x14ac:dyDescent="0.25">
      <c r="A954" s="1">
        <v>332</v>
      </c>
      <c r="B954" s="4">
        <v>147403</v>
      </c>
      <c r="C954" s="3">
        <v>1.43E-2</v>
      </c>
      <c r="D954" s="3">
        <f t="shared" si="14"/>
        <v>0.4</v>
      </c>
      <c r="E954" s="1">
        <v>0.6</v>
      </c>
      <c r="F954" s="2">
        <v>0.36</v>
      </c>
      <c r="G954" s="2">
        <v>0.41</v>
      </c>
      <c r="H954" s="2">
        <v>0.23000000000000009</v>
      </c>
    </row>
    <row r="955" spans="1:8" x14ac:dyDescent="0.25">
      <c r="A955" s="1">
        <v>663</v>
      </c>
      <c r="B955" s="4">
        <v>1659257</v>
      </c>
      <c r="C955" s="3">
        <v>1.43E-2</v>
      </c>
      <c r="D955" s="3">
        <f t="shared" si="14"/>
        <v>0.4</v>
      </c>
      <c r="E955" s="1">
        <v>0.6</v>
      </c>
      <c r="F955" s="2">
        <v>0.43</v>
      </c>
      <c r="G955" s="2">
        <v>0.44</v>
      </c>
      <c r="H955" s="2">
        <v>0.13000000000000006</v>
      </c>
    </row>
    <row r="956" spans="1:8" x14ac:dyDescent="0.25">
      <c r="A956" s="1">
        <v>909</v>
      </c>
      <c r="B956" s="4">
        <v>5296635</v>
      </c>
      <c r="C956" s="3">
        <v>1.41E-2</v>
      </c>
      <c r="D956" s="3">
        <f t="shared" si="14"/>
        <v>0.6</v>
      </c>
      <c r="E956" s="1">
        <v>0.4</v>
      </c>
      <c r="F956" s="2">
        <v>0.35</v>
      </c>
      <c r="G956" s="2">
        <v>0.32</v>
      </c>
      <c r="H956" s="2">
        <v>0.32999999999999996</v>
      </c>
    </row>
    <row r="957" spans="1:8" x14ac:dyDescent="0.25">
      <c r="A957" s="1">
        <v>1001</v>
      </c>
      <c r="B957" s="4">
        <v>8525477</v>
      </c>
      <c r="C957" s="3">
        <v>1.41E-2</v>
      </c>
      <c r="D957" s="3">
        <f t="shared" si="14"/>
        <v>0.7</v>
      </c>
      <c r="E957" s="1">
        <v>0.3</v>
      </c>
      <c r="F957" s="2">
        <v>0.24</v>
      </c>
      <c r="G957" s="2">
        <v>0.28999999999999998</v>
      </c>
      <c r="H957" s="2">
        <v>0.47</v>
      </c>
    </row>
    <row r="958" spans="1:8" x14ac:dyDescent="0.25">
      <c r="A958" s="1">
        <v>174</v>
      </c>
      <c r="B958" s="4">
        <v>9799723</v>
      </c>
      <c r="C958" s="3">
        <v>1.3999999999999999E-2</v>
      </c>
      <c r="D958" s="3">
        <f t="shared" si="14"/>
        <v>0.7</v>
      </c>
      <c r="E958" s="1">
        <v>0.3</v>
      </c>
      <c r="F958" s="2">
        <v>0.14000000000000001</v>
      </c>
      <c r="G958" s="2">
        <v>0.2</v>
      </c>
      <c r="H958" s="2">
        <v>0.66</v>
      </c>
    </row>
    <row r="959" spans="1:8" x14ac:dyDescent="0.25">
      <c r="A959" s="1">
        <v>318</v>
      </c>
      <c r="B959" s="4">
        <v>551785</v>
      </c>
      <c r="C959" s="3">
        <v>1.3999999999999999E-2</v>
      </c>
      <c r="D959" s="3">
        <f t="shared" si="14"/>
        <v>0.4</v>
      </c>
      <c r="E959" s="1">
        <v>0.6</v>
      </c>
      <c r="F959" s="2">
        <v>0.3</v>
      </c>
      <c r="G959" s="2">
        <v>0.32</v>
      </c>
      <c r="H959" s="2">
        <v>0.37999999999999995</v>
      </c>
    </row>
    <row r="960" spans="1:8" x14ac:dyDescent="0.25">
      <c r="A960" s="1">
        <v>1010</v>
      </c>
      <c r="B960" s="4">
        <v>1377620</v>
      </c>
      <c r="C960" s="3">
        <v>1.3999999999999999E-2</v>
      </c>
      <c r="D960" s="3">
        <f t="shared" si="14"/>
        <v>0.4</v>
      </c>
      <c r="E960" s="1">
        <v>0.6</v>
      </c>
      <c r="F960" s="2">
        <v>0.1</v>
      </c>
      <c r="G960" s="2">
        <v>0.48</v>
      </c>
      <c r="H960" s="2">
        <v>0.42000000000000004</v>
      </c>
    </row>
    <row r="961" spans="1:8" x14ac:dyDescent="0.25">
      <c r="A961" s="1">
        <v>209</v>
      </c>
      <c r="B961" s="4">
        <v>4151061</v>
      </c>
      <c r="C961" s="3">
        <v>1.37E-2</v>
      </c>
      <c r="D961" s="3">
        <f t="shared" si="14"/>
        <v>0.6</v>
      </c>
      <c r="E961" s="1">
        <v>0.4</v>
      </c>
      <c r="F961" s="2">
        <v>0.1</v>
      </c>
      <c r="G961" s="2">
        <v>0.49</v>
      </c>
      <c r="H961" s="2">
        <v>0.41000000000000003</v>
      </c>
    </row>
    <row r="962" spans="1:8" x14ac:dyDescent="0.25">
      <c r="A962" s="1">
        <v>291</v>
      </c>
      <c r="B962" s="4">
        <v>6572560</v>
      </c>
      <c r="C962" s="3">
        <v>1.37E-2</v>
      </c>
      <c r="D962" s="3">
        <f t="shared" ref="D962:D1025" si="15">1-E962</f>
        <v>0.6</v>
      </c>
      <c r="E962" s="1">
        <v>0.4</v>
      </c>
      <c r="F962" s="2">
        <v>0.28000000000000003</v>
      </c>
      <c r="G962" s="2">
        <v>0.31</v>
      </c>
      <c r="H962" s="2">
        <v>0.40999999999999992</v>
      </c>
    </row>
    <row r="963" spans="1:8" x14ac:dyDescent="0.25">
      <c r="A963" s="1">
        <v>354</v>
      </c>
      <c r="B963" s="4">
        <v>9095982</v>
      </c>
      <c r="C963" s="3">
        <v>1.37E-2</v>
      </c>
      <c r="D963" s="3">
        <f t="shared" si="15"/>
        <v>0.7</v>
      </c>
      <c r="E963" s="1">
        <v>0.3</v>
      </c>
      <c r="F963" s="2">
        <v>0.39</v>
      </c>
      <c r="G963" s="2">
        <v>0.4</v>
      </c>
      <c r="H963" s="2">
        <v>0.20999999999999996</v>
      </c>
    </row>
    <row r="964" spans="1:8" x14ac:dyDescent="0.25">
      <c r="A964" s="1">
        <v>461</v>
      </c>
      <c r="B964" s="4">
        <v>4149073</v>
      </c>
      <c r="C964" s="3">
        <v>1.37E-2</v>
      </c>
      <c r="D964" s="3">
        <f t="shared" si="15"/>
        <v>0.6</v>
      </c>
      <c r="E964" s="1">
        <v>0.4</v>
      </c>
      <c r="F964" s="2">
        <v>0.28000000000000003</v>
      </c>
      <c r="G964" s="2">
        <v>0.21</v>
      </c>
      <c r="H964" s="2">
        <v>0.51</v>
      </c>
    </row>
    <row r="965" spans="1:8" x14ac:dyDescent="0.25">
      <c r="A965" s="1">
        <v>498</v>
      </c>
      <c r="B965" s="4">
        <v>3579909</v>
      </c>
      <c r="C965" s="3">
        <v>1.37E-2</v>
      </c>
      <c r="D965" s="3">
        <f t="shared" si="15"/>
        <v>0.6</v>
      </c>
      <c r="E965" s="1">
        <v>0.4</v>
      </c>
      <c r="F965" s="2">
        <v>0.26</v>
      </c>
      <c r="G965" s="2">
        <v>0.22</v>
      </c>
      <c r="H965" s="2">
        <v>0.52</v>
      </c>
    </row>
    <row r="966" spans="1:8" x14ac:dyDescent="0.25">
      <c r="A966" s="1">
        <v>510</v>
      </c>
      <c r="B966" s="4">
        <v>4423191</v>
      </c>
      <c r="C966" s="3">
        <v>1.37E-2</v>
      </c>
      <c r="D966" s="3">
        <f t="shared" si="15"/>
        <v>0.6</v>
      </c>
      <c r="E966" s="1">
        <v>0.4</v>
      </c>
      <c r="F966" s="2">
        <v>0.32</v>
      </c>
      <c r="G966" s="2">
        <v>0.43</v>
      </c>
      <c r="H966" s="2">
        <v>0.25000000000000006</v>
      </c>
    </row>
    <row r="967" spans="1:8" x14ac:dyDescent="0.25">
      <c r="A967" s="1">
        <v>875</v>
      </c>
      <c r="B967" s="4">
        <v>1717996</v>
      </c>
      <c r="C967" s="3">
        <v>1.37E-2</v>
      </c>
      <c r="D967" s="3">
        <f t="shared" si="15"/>
        <v>0.4</v>
      </c>
      <c r="E967" s="1">
        <v>0.6</v>
      </c>
      <c r="F967" s="2">
        <v>0.44</v>
      </c>
      <c r="G967" s="2">
        <v>0.41</v>
      </c>
      <c r="H967" s="2">
        <v>0.15000000000000008</v>
      </c>
    </row>
    <row r="968" spans="1:8" x14ac:dyDescent="0.25">
      <c r="A968" s="1">
        <v>877</v>
      </c>
      <c r="B968" s="4">
        <v>5815079</v>
      </c>
      <c r="C968" s="3">
        <v>1.37E-2</v>
      </c>
      <c r="D968" s="3">
        <f t="shared" si="15"/>
        <v>0.6</v>
      </c>
      <c r="E968" s="1">
        <v>0.4</v>
      </c>
      <c r="F968" s="2">
        <v>0.15</v>
      </c>
      <c r="G968" s="2">
        <v>0.42</v>
      </c>
      <c r="H968" s="2">
        <v>0.43000000000000005</v>
      </c>
    </row>
    <row r="969" spans="1:8" x14ac:dyDescent="0.25">
      <c r="A969" s="1">
        <v>888</v>
      </c>
      <c r="B969" s="4">
        <v>1853055</v>
      </c>
      <c r="C969" s="3">
        <v>1.37E-2</v>
      </c>
      <c r="D969" s="3">
        <f t="shared" si="15"/>
        <v>0.4</v>
      </c>
      <c r="E969" s="1">
        <v>0.6</v>
      </c>
      <c r="F969" s="2">
        <v>0.34</v>
      </c>
      <c r="G969" s="2">
        <v>0.39</v>
      </c>
      <c r="H969" s="2">
        <v>0.26999999999999996</v>
      </c>
    </row>
    <row r="970" spans="1:8" x14ac:dyDescent="0.25">
      <c r="A970" s="1">
        <v>400</v>
      </c>
      <c r="B970" s="4">
        <v>2067968</v>
      </c>
      <c r="C970" s="3">
        <v>1.3600000000000001E-2</v>
      </c>
      <c r="D970" s="3">
        <f t="shared" si="15"/>
        <v>0.4</v>
      </c>
      <c r="E970" s="1">
        <v>0.6</v>
      </c>
      <c r="F970" s="2">
        <v>0.43</v>
      </c>
      <c r="G970" s="2">
        <v>0.38</v>
      </c>
      <c r="H970" s="2">
        <v>0.19</v>
      </c>
    </row>
    <row r="971" spans="1:8" x14ac:dyDescent="0.25">
      <c r="A971" s="1">
        <v>865</v>
      </c>
      <c r="B971" s="4">
        <v>8318711</v>
      </c>
      <c r="C971" s="3">
        <v>1.3600000000000001E-2</v>
      </c>
      <c r="D971" s="3">
        <f t="shared" si="15"/>
        <v>0.7</v>
      </c>
      <c r="E971" s="1">
        <v>0.3</v>
      </c>
      <c r="F971" s="2">
        <v>0.34</v>
      </c>
      <c r="G971" s="2">
        <v>0.41</v>
      </c>
      <c r="H971" s="2">
        <v>0.25000000000000006</v>
      </c>
    </row>
    <row r="972" spans="1:8" x14ac:dyDescent="0.25">
      <c r="A972" s="1">
        <v>155</v>
      </c>
      <c r="B972" s="4">
        <v>1845967</v>
      </c>
      <c r="C972" s="3">
        <v>1.3500000000000002E-2</v>
      </c>
      <c r="D972" s="3">
        <f t="shared" si="15"/>
        <v>0.4</v>
      </c>
      <c r="E972" s="1">
        <v>0.6</v>
      </c>
      <c r="F972" s="2">
        <v>0.34</v>
      </c>
      <c r="G972" s="2">
        <v>0.34</v>
      </c>
      <c r="H972" s="2">
        <v>0.3199999999999999</v>
      </c>
    </row>
    <row r="973" spans="1:8" x14ac:dyDescent="0.25">
      <c r="A973" s="1">
        <v>885</v>
      </c>
      <c r="B973" s="4">
        <v>5537372</v>
      </c>
      <c r="C973" s="3">
        <v>1.3500000000000002E-2</v>
      </c>
      <c r="D973" s="3">
        <f t="shared" si="15"/>
        <v>0.6</v>
      </c>
      <c r="E973" s="1">
        <v>0.4</v>
      </c>
      <c r="F973" s="2">
        <v>0.2</v>
      </c>
      <c r="G973" s="2">
        <v>0.32</v>
      </c>
      <c r="H973" s="2">
        <v>0.47999999999999993</v>
      </c>
    </row>
    <row r="974" spans="1:8" x14ac:dyDescent="0.25">
      <c r="A974" s="1">
        <v>429</v>
      </c>
      <c r="B974" s="4">
        <v>3985028</v>
      </c>
      <c r="C974" s="3">
        <v>1.34E-2</v>
      </c>
      <c r="D974" s="3">
        <f t="shared" si="15"/>
        <v>0.6</v>
      </c>
      <c r="E974" s="1">
        <v>0.4</v>
      </c>
      <c r="F974" s="2">
        <v>0.1</v>
      </c>
      <c r="G974" s="2">
        <v>0.33</v>
      </c>
      <c r="H974" s="2">
        <v>0.56999999999999995</v>
      </c>
    </row>
    <row r="975" spans="1:8" x14ac:dyDescent="0.25">
      <c r="A975" s="1">
        <v>802</v>
      </c>
      <c r="B975" s="4">
        <v>6006446</v>
      </c>
      <c r="C975" s="3">
        <v>1.34E-2</v>
      </c>
      <c r="D975" s="3">
        <f t="shared" si="15"/>
        <v>0.6</v>
      </c>
      <c r="E975" s="1">
        <v>0.4</v>
      </c>
      <c r="F975" s="2">
        <v>0.43</v>
      </c>
      <c r="G975" s="2">
        <v>0.35</v>
      </c>
      <c r="H975" s="2">
        <v>0.22000000000000003</v>
      </c>
    </row>
    <row r="976" spans="1:8" x14ac:dyDescent="0.25">
      <c r="A976" s="1">
        <v>886</v>
      </c>
      <c r="B976" s="4">
        <v>2512874</v>
      </c>
      <c r="C976" s="3">
        <v>1.34E-2</v>
      </c>
      <c r="D976" s="3">
        <f t="shared" si="15"/>
        <v>0.4</v>
      </c>
      <c r="E976" s="1">
        <v>0.6</v>
      </c>
      <c r="F976" s="2">
        <v>0.26</v>
      </c>
      <c r="G976" s="2">
        <v>0.47</v>
      </c>
      <c r="H976" s="2">
        <v>0.27</v>
      </c>
    </row>
    <row r="977" spans="1:8" x14ac:dyDescent="0.25">
      <c r="A977" s="1">
        <v>260</v>
      </c>
      <c r="B977" s="4">
        <v>5376768</v>
      </c>
      <c r="C977" s="3">
        <v>1.3300000000000001E-2</v>
      </c>
      <c r="D977" s="3">
        <f t="shared" si="15"/>
        <v>0.6</v>
      </c>
      <c r="E977" s="1">
        <v>0.4</v>
      </c>
      <c r="F977" s="2">
        <v>0.11</v>
      </c>
      <c r="G977" s="2">
        <v>0.34</v>
      </c>
      <c r="H977" s="2">
        <v>0.54999999999999993</v>
      </c>
    </row>
    <row r="978" spans="1:8" x14ac:dyDescent="0.25">
      <c r="A978" s="1">
        <v>471</v>
      </c>
      <c r="B978" s="4">
        <v>9629026</v>
      </c>
      <c r="C978" s="3">
        <v>1.3300000000000001E-2</v>
      </c>
      <c r="D978" s="3">
        <f t="shared" si="15"/>
        <v>0.7</v>
      </c>
      <c r="E978" s="1">
        <v>0.3</v>
      </c>
      <c r="F978" s="2">
        <v>0.3</v>
      </c>
      <c r="G978" s="2">
        <v>0.33</v>
      </c>
      <c r="H978" s="2">
        <v>0.36999999999999994</v>
      </c>
    </row>
    <row r="979" spans="1:8" x14ac:dyDescent="0.25">
      <c r="A979" s="1">
        <v>763</v>
      </c>
      <c r="B979" s="4">
        <v>7796956</v>
      </c>
      <c r="C979" s="3">
        <v>1.3300000000000001E-2</v>
      </c>
      <c r="D979" s="3">
        <f t="shared" si="15"/>
        <v>0.7</v>
      </c>
      <c r="E979" s="1">
        <v>0.3</v>
      </c>
      <c r="F979" s="2">
        <v>0.2</v>
      </c>
      <c r="G979" s="2">
        <v>0.42</v>
      </c>
      <c r="H979" s="2">
        <v>0.38000000000000006</v>
      </c>
    </row>
    <row r="980" spans="1:8" x14ac:dyDescent="0.25">
      <c r="A980" s="1">
        <v>258</v>
      </c>
      <c r="B980" s="4">
        <v>1031738</v>
      </c>
      <c r="C980" s="3">
        <v>1.32E-2</v>
      </c>
      <c r="D980" s="3">
        <f t="shared" si="15"/>
        <v>0.4</v>
      </c>
      <c r="E980" s="1">
        <v>0.6</v>
      </c>
      <c r="F980" s="2">
        <v>0.35</v>
      </c>
      <c r="G980" s="2">
        <v>0.21</v>
      </c>
      <c r="H980" s="2">
        <v>0.44000000000000006</v>
      </c>
    </row>
    <row r="981" spans="1:8" x14ac:dyDescent="0.25">
      <c r="A981" s="1">
        <v>543</v>
      </c>
      <c r="B981" s="4">
        <v>3707315</v>
      </c>
      <c r="C981" s="3">
        <v>1.3100000000000001E-2</v>
      </c>
      <c r="D981" s="3">
        <f t="shared" si="15"/>
        <v>0.6</v>
      </c>
      <c r="E981" s="1">
        <v>0.4</v>
      </c>
      <c r="F981" s="2">
        <v>0.45</v>
      </c>
      <c r="G981" s="2">
        <v>0.43</v>
      </c>
      <c r="H981" s="2">
        <v>0.12000000000000005</v>
      </c>
    </row>
    <row r="982" spans="1:8" x14ac:dyDescent="0.25">
      <c r="A982" s="1">
        <v>636</v>
      </c>
      <c r="B982" s="4">
        <v>798866</v>
      </c>
      <c r="C982" s="3">
        <v>1.3100000000000001E-2</v>
      </c>
      <c r="D982" s="3">
        <f t="shared" si="15"/>
        <v>0.4</v>
      </c>
      <c r="E982" s="1">
        <v>0.6</v>
      </c>
      <c r="F982" s="2">
        <v>0.33</v>
      </c>
      <c r="G982" s="2">
        <v>0.41</v>
      </c>
      <c r="H982" s="2">
        <v>0.26000000000000006</v>
      </c>
    </row>
    <row r="983" spans="1:8" x14ac:dyDescent="0.25">
      <c r="A983" s="1">
        <v>581</v>
      </c>
      <c r="B983" s="4">
        <v>7848448</v>
      </c>
      <c r="C983" s="3">
        <v>1.3000000000000001E-2</v>
      </c>
      <c r="D983" s="3">
        <f t="shared" si="15"/>
        <v>0.7</v>
      </c>
      <c r="E983" s="1">
        <v>0.3</v>
      </c>
      <c r="F983" s="2">
        <v>0.23</v>
      </c>
      <c r="G983" s="2">
        <v>0.32</v>
      </c>
      <c r="H983" s="2">
        <v>0.44999999999999996</v>
      </c>
    </row>
    <row r="984" spans="1:8" x14ac:dyDescent="0.25">
      <c r="A984" s="1">
        <v>54</v>
      </c>
      <c r="B984" s="4">
        <v>5379650</v>
      </c>
      <c r="C984" s="3">
        <v>1.29E-2</v>
      </c>
      <c r="D984" s="3">
        <f t="shared" si="15"/>
        <v>0.6</v>
      </c>
      <c r="E984" s="1">
        <v>0.4</v>
      </c>
      <c r="F984" s="2">
        <v>0.11</v>
      </c>
      <c r="G984" s="2">
        <v>0.39</v>
      </c>
      <c r="H984" s="2">
        <v>0.5</v>
      </c>
    </row>
    <row r="985" spans="1:8" x14ac:dyDescent="0.25">
      <c r="A985" s="1">
        <v>513</v>
      </c>
      <c r="B985" s="4">
        <v>1712698</v>
      </c>
      <c r="C985" s="3">
        <v>1.29E-2</v>
      </c>
      <c r="D985" s="3">
        <f t="shared" si="15"/>
        <v>0.4</v>
      </c>
      <c r="E985" s="1">
        <v>0.6</v>
      </c>
      <c r="F985" s="2">
        <v>0.13</v>
      </c>
      <c r="G985" s="2">
        <v>0.45</v>
      </c>
      <c r="H985" s="2">
        <v>0.42000000000000004</v>
      </c>
    </row>
    <row r="986" spans="1:8" x14ac:dyDescent="0.25">
      <c r="A986" s="1">
        <v>625</v>
      </c>
      <c r="B986" s="4">
        <v>3372245</v>
      </c>
      <c r="C986" s="3">
        <v>1.29E-2</v>
      </c>
      <c r="D986" s="3">
        <f t="shared" si="15"/>
        <v>0.6</v>
      </c>
      <c r="E986" s="1">
        <v>0.4</v>
      </c>
      <c r="F986" s="2">
        <v>0.12</v>
      </c>
      <c r="G986" s="2">
        <v>0.23</v>
      </c>
      <c r="H986" s="2">
        <v>0.65</v>
      </c>
    </row>
    <row r="987" spans="1:8" x14ac:dyDescent="0.25">
      <c r="A987" s="1">
        <v>605</v>
      </c>
      <c r="B987" s="4">
        <v>240364</v>
      </c>
      <c r="C987" s="3">
        <v>1.2800000000000001E-2</v>
      </c>
      <c r="D987" s="3">
        <f t="shared" si="15"/>
        <v>0.4</v>
      </c>
      <c r="E987" s="1">
        <v>0.6</v>
      </c>
      <c r="F987" s="2">
        <v>0.42</v>
      </c>
      <c r="G987" s="2">
        <v>0.23</v>
      </c>
      <c r="H987" s="2">
        <v>0.35000000000000003</v>
      </c>
    </row>
    <row r="988" spans="1:8" x14ac:dyDescent="0.25">
      <c r="A988" s="1">
        <v>227</v>
      </c>
      <c r="B988" s="4">
        <v>3887528</v>
      </c>
      <c r="C988" s="3">
        <v>1.2699999999999999E-2</v>
      </c>
      <c r="D988" s="3">
        <f t="shared" si="15"/>
        <v>0.6</v>
      </c>
      <c r="E988" s="1">
        <v>0.4</v>
      </c>
      <c r="F988" s="2">
        <v>0.33</v>
      </c>
      <c r="G988" s="2">
        <v>0.25</v>
      </c>
      <c r="H988" s="2">
        <v>0.42</v>
      </c>
    </row>
    <row r="989" spans="1:8" x14ac:dyDescent="0.25">
      <c r="A989" s="1">
        <v>299</v>
      </c>
      <c r="B989" s="4">
        <v>5505525</v>
      </c>
      <c r="C989" s="3">
        <v>1.2699999999999999E-2</v>
      </c>
      <c r="D989" s="3">
        <f t="shared" si="15"/>
        <v>0.6</v>
      </c>
      <c r="E989" s="1">
        <v>0.4</v>
      </c>
      <c r="F989" s="2">
        <v>0.39</v>
      </c>
      <c r="G989" s="2">
        <v>0.21</v>
      </c>
      <c r="H989" s="2">
        <v>0.4</v>
      </c>
    </row>
    <row r="990" spans="1:8" x14ac:dyDescent="0.25">
      <c r="A990" s="1">
        <v>805</v>
      </c>
      <c r="B990" s="4">
        <v>1490673</v>
      </c>
      <c r="C990" s="3">
        <v>1.26E-2</v>
      </c>
      <c r="D990" s="3">
        <f t="shared" si="15"/>
        <v>0.4</v>
      </c>
      <c r="E990" s="1">
        <v>0.6</v>
      </c>
      <c r="F990" s="2">
        <v>0.28999999999999998</v>
      </c>
      <c r="G990" s="2">
        <v>0.47</v>
      </c>
      <c r="H990" s="2">
        <v>0.24000000000000005</v>
      </c>
    </row>
    <row r="991" spans="1:8" x14ac:dyDescent="0.25">
      <c r="A991" s="1">
        <v>887</v>
      </c>
      <c r="B991" s="4">
        <v>319511</v>
      </c>
      <c r="C991" s="3">
        <v>1.26E-2</v>
      </c>
      <c r="D991" s="3">
        <f t="shared" si="15"/>
        <v>0.4</v>
      </c>
      <c r="E991" s="1">
        <v>0.6</v>
      </c>
      <c r="F991" s="2">
        <v>0.3</v>
      </c>
      <c r="G991" s="2">
        <v>0.47</v>
      </c>
      <c r="H991" s="2">
        <v>0.23000000000000004</v>
      </c>
    </row>
    <row r="992" spans="1:8" x14ac:dyDescent="0.25">
      <c r="A992" s="1">
        <v>65</v>
      </c>
      <c r="B992" s="4">
        <v>135747</v>
      </c>
      <c r="C992" s="3">
        <v>1.2500000000000001E-2</v>
      </c>
      <c r="D992" s="3">
        <f t="shared" si="15"/>
        <v>0.4</v>
      </c>
      <c r="E992" s="1">
        <v>0.6</v>
      </c>
      <c r="F992" s="2">
        <v>0.43</v>
      </c>
      <c r="G992" s="2">
        <v>0.35</v>
      </c>
      <c r="H992" s="2">
        <v>0.22000000000000003</v>
      </c>
    </row>
    <row r="993" spans="1:8" x14ac:dyDescent="0.25">
      <c r="A993" s="1">
        <v>991</v>
      </c>
      <c r="B993" s="4">
        <v>2620120</v>
      </c>
      <c r="C993" s="3">
        <v>1.2500000000000001E-2</v>
      </c>
      <c r="D993" s="3">
        <f t="shared" si="15"/>
        <v>0.4</v>
      </c>
      <c r="E993" s="1">
        <v>0.6</v>
      </c>
      <c r="F993" s="2">
        <v>0.21</v>
      </c>
      <c r="G993" s="2">
        <v>0.49</v>
      </c>
      <c r="H993" s="2">
        <v>0.30000000000000004</v>
      </c>
    </row>
    <row r="994" spans="1:8" x14ac:dyDescent="0.25">
      <c r="A994" s="1">
        <v>352</v>
      </c>
      <c r="B994" s="4">
        <v>593016</v>
      </c>
      <c r="C994" s="3">
        <v>1.24E-2</v>
      </c>
      <c r="D994" s="3">
        <f t="shared" si="15"/>
        <v>0.4</v>
      </c>
      <c r="E994" s="1">
        <v>0.6</v>
      </c>
      <c r="F994" s="2">
        <v>0.39</v>
      </c>
      <c r="G994" s="2">
        <v>0.36</v>
      </c>
      <c r="H994" s="2">
        <v>0.25</v>
      </c>
    </row>
    <row r="995" spans="1:8" x14ac:dyDescent="0.25">
      <c r="A995" s="1">
        <v>612</v>
      </c>
      <c r="B995" s="4">
        <v>1849009</v>
      </c>
      <c r="C995" s="3">
        <v>1.24E-2</v>
      </c>
      <c r="D995" s="3">
        <f t="shared" si="15"/>
        <v>0.4</v>
      </c>
      <c r="E995" s="1">
        <v>0.6</v>
      </c>
      <c r="F995" s="2">
        <v>0.38</v>
      </c>
      <c r="G995" s="2">
        <v>0.25</v>
      </c>
      <c r="H995" s="2">
        <v>0.37</v>
      </c>
    </row>
    <row r="996" spans="1:8" x14ac:dyDescent="0.25">
      <c r="A996" s="1">
        <v>809</v>
      </c>
      <c r="B996" s="4">
        <v>7495738</v>
      </c>
      <c r="C996" s="3">
        <v>1.24E-2</v>
      </c>
      <c r="D996" s="3">
        <f t="shared" si="15"/>
        <v>0.7</v>
      </c>
      <c r="E996" s="1">
        <v>0.3</v>
      </c>
      <c r="F996" s="2">
        <v>0.16</v>
      </c>
      <c r="G996" s="2">
        <v>0.48</v>
      </c>
      <c r="H996" s="2">
        <v>0.36</v>
      </c>
    </row>
    <row r="997" spans="1:8" x14ac:dyDescent="0.25">
      <c r="A997" s="1">
        <v>803</v>
      </c>
      <c r="B997" s="4">
        <v>4574063</v>
      </c>
      <c r="C997" s="3">
        <v>1.23E-2</v>
      </c>
      <c r="D997" s="3">
        <f t="shared" si="15"/>
        <v>0.6</v>
      </c>
      <c r="E997" s="1">
        <v>0.4</v>
      </c>
      <c r="F997" s="2">
        <v>0.4</v>
      </c>
      <c r="G997" s="2">
        <v>0.47</v>
      </c>
      <c r="H997" s="2">
        <v>0.13</v>
      </c>
    </row>
    <row r="998" spans="1:8" x14ac:dyDescent="0.25">
      <c r="A998" s="1">
        <v>527</v>
      </c>
      <c r="B998" s="4">
        <v>5868305</v>
      </c>
      <c r="C998" s="3">
        <v>1.2199999999999999E-2</v>
      </c>
      <c r="D998" s="3">
        <f t="shared" si="15"/>
        <v>0.6</v>
      </c>
      <c r="E998" s="1">
        <v>0.4</v>
      </c>
      <c r="F998" s="2">
        <v>0.34</v>
      </c>
      <c r="G998" s="2">
        <v>0.39</v>
      </c>
      <c r="H998" s="2">
        <v>0.26999999999999996</v>
      </c>
    </row>
    <row r="999" spans="1:8" x14ac:dyDescent="0.25">
      <c r="A999" s="1">
        <v>474</v>
      </c>
      <c r="B999" s="4">
        <v>9109366</v>
      </c>
      <c r="C999" s="3">
        <v>1.21E-2</v>
      </c>
      <c r="D999" s="3">
        <f t="shared" si="15"/>
        <v>0.7</v>
      </c>
      <c r="E999" s="1">
        <v>0.3</v>
      </c>
      <c r="F999" s="2">
        <v>0.31</v>
      </c>
      <c r="G999" s="2">
        <v>0.39</v>
      </c>
      <c r="H999" s="2">
        <v>0.3</v>
      </c>
    </row>
    <row r="1000" spans="1:8" x14ac:dyDescent="0.25">
      <c r="A1000" s="1">
        <v>988</v>
      </c>
      <c r="B1000" s="4">
        <v>4302212</v>
      </c>
      <c r="C1000" s="3">
        <v>1.21E-2</v>
      </c>
      <c r="D1000" s="3">
        <f t="shared" si="15"/>
        <v>0.6</v>
      </c>
      <c r="E1000" s="1">
        <v>0.4</v>
      </c>
      <c r="F1000" s="2">
        <v>0.18</v>
      </c>
      <c r="G1000" s="2">
        <v>0.34</v>
      </c>
      <c r="H1000" s="2">
        <v>0.47999999999999993</v>
      </c>
    </row>
    <row r="1001" spans="1:8" x14ac:dyDescent="0.25">
      <c r="A1001" s="1">
        <v>1019</v>
      </c>
      <c r="B1001" s="4">
        <v>8406929</v>
      </c>
      <c r="C1001" s="3">
        <v>1.21E-2</v>
      </c>
      <c r="D1001" s="3">
        <f t="shared" si="15"/>
        <v>0.7</v>
      </c>
      <c r="E1001" s="1">
        <v>0.3</v>
      </c>
      <c r="F1001" s="2">
        <v>0.36</v>
      </c>
      <c r="G1001" s="2">
        <v>0.3</v>
      </c>
      <c r="H1001" s="2">
        <v>0.33999999999999997</v>
      </c>
    </row>
    <row r="1002" spans="1:8" x14ac:dyDescent="0.25">
      <c r="A1002" s="1">
        <v>609</v>
      </c>
      <c r="B1002" s="4">
        <v>9259610</v>
      </c>
      <c r="C1002" s="3">
        <v>1.1899999999999999E-2</v>
      </c>
      <c r="D1002" s="3">
        <f t="shared" si="15"/>
        <v>0.7</v>
      </c>
      <c r="E1002" s="1">
        <v>0.3</v>
      </c>
      <c r="F1002" s="2">
        <v>0.42</v>
      </c>
      <c r="G1002" s="2">
        <v>0.44</v>
      </c>
      <c r="H1002" s="2">
        <v>0.14000000000000007</v>
      </c>
    </row>
    <row r="1003" spans="1:8" x14ac:dyDescent="0.25">
      <c r="A1003" s="1">
        <v>118</v>
      </c>
      <c r="B1003" s="4">
        <v>2011598</v>
      </c>
      <c r="C1003" s="3">
        <v>1.18E-2</v>
      </c>
      <c r="D1003" s="3">
        <f t="shared" si="15"/>
        <v>0.4</v>
      </c>
      <c r="E1003" s="1">
        <v>0.6</v>
      </c>
      <c r="F1003" s="2">
        <v>0.11</v>
      </c>
      <c r="G1003" s="2">
        <v>0.31</v>
      </c>
      <c r="H1003" s="2">
        <v>0.57999999999999996</v>
      </c>
    </row>
    <row r="1004" spans="1:8" x14ac:dyDescent="0.25">
      <c r="A1004" s="1">
        <v>532</v>
      </c>
      <c r="B1004" s="4">
        <v>4873001</v>
      </c>
      <c r="C1004" s="3">
        <v>1.18E-2</v>
      </c>
      <c r="D1004" s="3">
        <f t="shared" si="15"/>
        <v>0.6</v>
      </c>
      <c r="E1004" s="1">
        <v>0.4</v>
      </c>
      <c r="F1004" s="2">
        <v>0.32</v>
      </c>
      <c r="G1004" s="2">
        <v>0.35</v>
      </c>
      <c r="H1004" s="2">
        <v>0.33</v>
      </c>
    </row>
    <row r="1005" spans="1:8" x14ac:dyDescent="0.25">
      <c r="A1005" s="1">
        <v>100</v>
      </c>
      <c r="B1005" s="4">
        <v>2624886</v>
      </c>
      <c r="C1005" s="3">
        <v>1.1699999999999999E-2</v>
      </c>
      <c r="D1005" s="3">
        <f t="shared" si="15"/>
        <v>0.4</v>
      </c>
      <c r="E1005" s="1">
        <v>0.6</v>
      </c>
      <c r="F1005" s="2">
        <v>0.16</v>
      </c>
      <c r="G1005" s="2">
        <v>0.49</v>
      </c>
      <c r="H1005" s="2">
        <v>0.35</v>
      </c>
    </row>
    <row r="1006" spans="1:8" x14ac:dyDescent="0.25">
      <c r="A1006" s="1">
        <v>287</v>
      </c>
      <c r="B1006" s="4">
        <v>9124633</v>
      </c>
      <c r="C1006" s="3">
        <v>1.1699999999999999E-2</v>
      </c>
      <c r="D1006" s="3">
        <f t="shared" si="15"/>
        <v>0.7</v>
      </c>
      <c r="E1006" s="1">
        <v>0.3</v>
      </c>
      <c r="F1006" s="2">
        <v>0.28000000000000003</v>
      </c>
      <c r="G1006" s="2">
        <v>0.31</v>
      </c>
      <c r="H1006" s="2">
        <v>0.40999999999999992</v>
      </c>
    </row>
    <row r="1007" spans="1:8" x14ac:dyDescent="0.25">
      <c r="A1007" s="1">
        <v>448</v>
      </c>
      <c r="B1007" s="4">
        <v>3481770</v>
      </c>
      <c r="C1007" s="3">
        <v>1.1699999999999999E-2</v>
      </c>
      <c r="D1007" s="3">
        <f t="shared" si="15"/>
        <v>0.6</v>
      </c>
      <c r="E1007" s="1">
        <v>0.4</v>
      </c>
      <c r="F1007" s="2">
        <v>0.24</v>
      </c>
      <c r="G1007" s="2">
        <v>0.34</v>
      </c>
      <c r="H1007" s="2">
        <v>0.41999999999999993</v>
      </c>
    </row>
    <row r="1008" spans="1:8" x14ac:dyDescent="0.25">
      <c r="A1008" s="1">
        <v>648</v>
      </c>
      <c r="B1008" s="4">
        <v>3245789</v>
      </c>
      <c r="C1008" s="3">
        <v>1.1599999999999999E-2</v>
      </c>
      <c r="D1008" s="3">
        <f t="shared" si="15"/>
        <v>0.6</v>
      </c>
      <c r="E1008" s="1">
        <v>0.4</v>
      </c>
      <c r="F1008" s="2">
        <v>0.1</v>
      </c>
      <c r="G1008" s="2">
        <v>0.24</v>
      </c>
      <c r="H1008" s="2">
        <v>0.66</v>
      </c>
    </row>
    <row r="1009" spans="1:8" x14ac:dyDescent="0.25">
      <c r="A1009" s="1">
        <v>213</v>
      </c>
      <c r="B1009" s="4">
        <v>8261492</v>
      </c>
      <c r="C1009" s="3">
        <v>1.15E-2</v>
      </c>
      <c r="D1009" s="3">
        <f t="shared" si="15"/>
        <v>0.7</v>
      </c>
      <c r="E1009" s="1">
        <v>0.3</v>
      </c>
      <c r="F1009" s="2">
        <v>0.16</v>
      </c>
      <c r="G1009" s="2">
        <v>0.48</v>
      </c>
      <c r="H1009" s="2">
        <v>0.36</v>
      </c>
    </row>
    <row r="1010" spans="1:8" x14ac:dyDescent="0.25">
      <c r="A1010" s="1">
        <v>388</v>
      </c>
      <c r="B1010" s="4">
        <v>2917807</v>
      </c>
      <c r="C1010" s="3">
        <v>1.15E-2</v>
      </c>
      <c r="D1010" s="3">
        <f t="shared" si="15"/>
        <v>0.4</v>
      </c>
      <c r="E1010" s="1">
        <v>0.6</v>
      </c>
      <c r="F1010" s="2">
        <v>0.2</v>
      </c>
      <c r="G1010" s="2">
        <v>0.27</v>
      </c>
      <c r="H1010" s="2">
        <v>0.53</v>
      </c>
    </row>
    <row r="1011" spans="1:8" x14ac:dyDescent="0.25">
      <c r="A1011" s="1">
        <v>502</v>
      </c>
      <c r="B1011" s="4">
        <v>9169671</v>
      </c>
      <c r="C1011" s="3">
        <v>1.15E-2</v>
      </c>
      <c r="D1011" s="3">
        <f t="shared" si="15"/>
        <v>0.7</v>
      </c>
      <c r="E1011" s="1">
        <v>0.3</v>
      </c>
      <c r="F1011" s="2">
        <v>0.17</v>
      </c>
      <c r="G1011" s="2">
        <v>0.5</v>
      </c>
      <c r="H1011" s="2">
        <v>0.32999999999999996</v>
      </c>
    </row>
    <row r="1012" spans="1:8" x14ac:dyDescent="0.25">
      <c r="A1012" s="1">
        <v>821</v>
      </c>
      <c r="B1012" s="4">
        <v>5635125</v>
      </c>
      <c r="C1012" s="3">
        <v>1.15E-2</v>
      </c>
      <c r="D1012" s="3">
        <f t="shared" si="15"/>
        <v>0.6</v>
      </c>
      <c r="E1012" s="1">
        <v>0.4</v>
      </c>
      <c r="F1012" s="2">
        <v>0.15</v>
      </c>
      <c r="G1012" s="2">
        <v>0.21</v>
      </c>
      <c r="H1012" s="2">
        <v>0.64</v>
      </c>
    </row>
    <row r="1013" spans="1:8" x14ac:dyDescent="0.25">
      <c r="A1013" s="1">
        <v>482</v>
      </c>
      <c r="B1013" s="4">
        <v>6008008</v>
      </c>
      <c r="C1013" s="3">
        <v>1.1399999999999999E-2</v>
      </c>
      <c r="D1013" s="3">
        <f t="shared" si="15"/>
        <v>0.6</v>
      </c>
      <c r="E1013" s="1">
        <v>0.4</v>
      </c>
      <c r="F1013" s="2">
        <v>0.3</v>
      </c>
      <c r="G1013" s="2">
        <v>0.37</v>
      </c>
      <c r="H1013" s="2">
        <v>0.33</v>
      </c>
    </row>
    <row r="1014" spans="1:8" x14ac:dyDescent="0.25">
      <c r="A1014" s="1">
        <v>710</v>
      </c>
      <c r="B1014" s="4">
        <v>6283671</v>
      </c>
      <c r="C1014" s="3">
        <v>1.1399999999999999E-2</v>
      </c>
      <c r="D1014" s="3">
        <f t="shared" si="15"/>
        <v>0.6</v>
      </c>
      <c r="E1014" s="1">
        <v>0.4</v>
      </c>
      <c r="F1014" s="2">
        <v>0.39</v>
      </c>
      <c r="G1014" s="2">
        <v>0.39</v>
      </c>
      <c r="H1014" s="2">
        <v>0.21999999999999997</v>
      </c>
    </row>
    <row r="1015" spans="1:8" x14ac:dyDescent="0.25">
      <c r="A1015" s="1">
        <v>790</v>
      </c>
      <c r="B1015" s="4">
        <v>779392</v>
      </c>
      <c r="C1015" s="3">
        <v>1.1399999999999999E-2</v>
      </c>
      <c r="D1015" s="3">
        <f t="shared" si="15"/>
        <v>0.4</v>
      </c>
      <c r="E1015" s="1">
        <v>0.6</v>
      </c>
      <c r="F1015" s="2">
        <v>0.23</v>
      </c>
      <c r="G1015" s="2">
        <v>0.39</v>
      </c>
      <c r="H1015" s="2">
        <v>0.38</v>
      </c>
    </row>
    <row r="1016" spans="1:8" x14ac:dyDescent="0.25">
      <c r="A1016" s="1">
        <v>995</v>
      </c>
      <c r="B1016" s="4">
        <v>6245565</v>
      </c>
      <c r="C1016" s="3">
        <v>1.1399999999999999E-2</v>
      </c>
      <c r="D1016" s="3">
        <f t="shared" si="15"/>
        <v>0.6</v>
      </c>
      <c r="E1016" s="1">
        <v>0.4</v>
      </c>
      <c r="F1016" s="2">
        <v>0.44</v>
      </c>
      <c r="G1016" s="2">
        <v>0.39</v>
      </c>
      <c r="H1016" s="2">
        <v>0.16999999999999998</v>
      </c>
    </row>
    <row r="1017" spans="1:8" x14ac:dyDescent="0.25">
      <c r="A1017" s="1">
        <v>738</v>
      </c>
      <c r="B1017" s="4">
        <v>8674639</v>
      </c>
      <c r="C1017" s="3">
        <v>1.1299999999999999E-2</v>
      </c>
      <c r="D1017" s="3">
        <f t="shared" si="15"/>
        <v>0.7</v>
      </c>
      <c r="E1017" s="1">
        <v>0.3</v>
      </c>
      <c r="F1017" s="2">
        <v>0.43</v>
      </c>
      <c r="G1017" s="2">
        <v>0.37</v>
      </c>
      <c r="H1017" s="2">
        <v>0.2</v>
      </c>
    </row>
    <row r="1018" spans="1:8" x14ac:dyDescent="0.25">
      <c r="A1018" s="1">
        <v>240</v>
      </c>
      <c r="B1018" s="4">
        <v>3059962</v>
      </c>
      <c r="C1018" s="3">
        <v>1.1200000000000002E-2</v>
      </c>
      <c r="D1018" s="3">
        <f t="shared" si="15"/>
        <v>0.6</v>
      </c>
      <c r="E1018" s="1">
        <v>0.4</v>
      </c>
      <c r="F1018" s="2">
        <v>0.42</v>
      </c>
      <c r="G1018" s="2">
        <v>0.26</v>
      </c>
      <c r="H1018" s="2">
        <v>0.32</v>
      </c>
    </row>
    <row r="1019" spans="1:8" x14ac:dyDescent="0.25">
      <c r="A1019" s="1">
        <v>46</v>
      </c>
      <c r="B1019" s="4">
        <v>6182110</v>
      </c>
      <c r="C1019" s="3">
        <v>1.11E-2</v>
      </c>
      <c r="D1019" s="3">
        <f t="shared" si="15"/>
        <v>0.6</v>
      </c>
      <c r="E1019" s="1">
        <v>0.4</v>
      </c>
      <c r="F1019" s="2">
        <v>0.37</v>
      </c>
      <c r="G1019" s="2">
        <v>0.28999999999999998</v>
      </c>
      <c r="H1019" s="2">
        <v>0.33999999999999997</v>
      </c>
    </row>
    <row r="1020" spans="1:8" x14ac:dyDescent="0.25">
      <c r="A1020" s="1">
        <v>403</v>
      </c>
      <c r="B1020" s="4">
        <v>9189490</v>
      </c>
      <c r="C1020" s="3">
        <v>1.11E-2</v>
      </c>
      <c r="D1020" s="3">
        <f t="shared" si="15"/>
        <v>0.7</v>
      </c>
      <c r="E1020" s="1">
        <v>0.3</v>
      </c>
      <c r="F1020" s="2">
        <v>0.12</v>
      </c>
      <c r="G1020" s="2">
        <v>0.31</v>
      </c>
      <c r="H1020" s="2">
        <v>0.56999999999999995</v>
      </c>
    </row>
    <row r="1021" spans="1:8" x14ac:dyDescent="0.25">
      <c r="A1021" s="1">
        <v>964</v>
      </c>
      <c r="B1021" s="4">
        <v>6461876</v>
      </c>
      <c r="C1021" s="3">
        <v>1.11E-2</v>
      </c>
      <c r="D1021" s="3">
        <f t="shared" si="15"/>
        <v>0.6</v>
      </c>
      <c r="E1021" s="1">
        <v>0.4</v>
      </c>
      <c r="F1021" s="2">
        <v>0.3</v>
      </c>
      <c r="G1021" s="2">
        <v>0.46</v>
      </c>
      <c r="H1021" s="2">
        <v>0.24000000000000005</v>
      </c>
    </row>
    <row r="1022" spans="1:8" x14ac:dyDescent="0.25">
      <c r="A1022" s="1">
        <v>881</v>
      </c>
      <c r="B1022" s="4">
        <v>5696043</v>
      </c>
      <c r="C1022" s="3">
        <v>1.09E-2</v>
      </c>
      <c r="D1022" s="3">
        <f t="shared" si="15"/>
        <v>0.6</v>
      </c>
      <c r="E1022" s="1">
        <v>0.4</v>
      </c>
      <c r="F1022" s="2">
        <v>0.12</v>
      </c>
      <c r="G1022" s="2">
        <v>0.42</v>
      </c>
      <c r="H1022" s="2">
        <v>0.46000000000000008</v>
      </c>
    </row>
    <row r="1023" spans="1:8" x14ac:dyDescent="0.25">
      <c r="A1023" s="1">
        <v>376</v>
      </c>
      <c r="B1023" s="4">
        <v>7849885</v>
      </c>
      <c r="C1023" s="3">
        <v>1.0800000000000001E-2</v>
      </c>
      <c r="D1023" s="3">
        <f t="shared" si="15"/>
        <v>0.7</v>
      </c>
      <c r="E1023" s="1">
        <v>0.3</v>
      </c>
      <c r="F1023" s="2">
        <v>0.3</v>
      </c>
      <c r="G1023" s="2">
        <v>0.38</v>
      </c>
      <c r="H1023" s="2">
        <v>0.32</v>
      </c>
    </row>
    <row r="1024" spans="1:8" x14ac:dyDescent="0.25">
      <c r="A1024" s="1">
        <v>684</v>
      </c>
      <c r="B1024" s="4">
        <v>9641211</v>
      </c>
      <c r="C1024" s="3">
        <v>1.0800000000000001E-2</v>
      </c>
      <c r="D1024" s="3">
        <f t="shared" si="15"/>
        <v>0.7</v>
      </c>
      <c r="E1024" s="1">
        <v>0.3</v>
      </c>
      <c r="F1024" s="2">
        <v>0.14000000000000001</v>
      </c>
      <c r="G1024" s="2">
        <v>0.47</v>
      </c>
      <c r="H1024" s="2">
        <v>0.39</v>
      </c>
    </row>
    <row r="1025" spans="1:8" x14ac:dyDescent="0.25">
      <c r="A1025" s="1">
        <v>571</v>
      </c>
      <c r="B1025" s="4">
        <v>4798396</v>
      </c>
      <c r="C1025" s="3">
        <v>1.0700000000000001E-2</v>
      </c>
      <c r="D1025" s="3">
        <f t="shared" si="15"/>
        <v>0.6</v>
      </c>
      <c r="E1025" s="1">
        <v>0.4</v>
      </c>
      <c r="F1025" s="2">
        <v>0.13</v>
      </c>
      <c r="G1025" s="2">
        <v>0.33</v>
      </c>
      <c r="H1025" s="2">
        <v>0.53999999999999992</v>
      </c>
    </row>
    <row r="1026" spans="1:8" x14ac:dyDescent="0.25">
      <c r="A1026" s="1">
        <v>610</v>
      </c>
      <c r="B1026" s="4">
        <v>4498926</v>
      </c>
      <c r="C1026" s="3">
        <v>1.0700000000000001E-2</v>
      </c>
      <c r="D1026" s="3">
        <f t="shared" ref="D1026:D1089" si="16">1-E1026</f>
        <v>0.6</v>
      </c>
      <c r="E1026" s="1">
        <v>0.4</v>
      </c>
      <c r="F1026" s="2">
        <v>0.28999999999999998</v>
      </c>
      <c r="G1026" s="2">
        <v>0.24</v>
      </c>
      <c r="H1026" s="2">
        <v>0.47000000000000003</v>
      </c>
    </row>
    <row r="1027" spans="1:8" x14ac:dyDescent="0.25">
      <c r="A1027" s="1">
        <v>759</v>
      </c>
      <c r="B1027" s="4">
        <v>5927358</v>
      </c>
      <c r="C1027" s="3">
        <v>1.0700000000000001E-2</v>
      </c>
      <c r="D1027" s="3">
        <f t="shared" si="16"/>
        <v>0.6</v>
      </c>
      <c r="E1027" s="1">
        <v>0.4</v>
      </c>
      <c r="F1027" s="2">
        <v>0.42</v>
      </c>
      <c r="G1027" s="2">
        <v>0.23</v>
      </c>
      <c r="H1027" s="2">
        <v>0.35000000000000003</v>
      </c>
    </row>
    <row r="1028" spans="1:8" x14ac:dyDescent="0.25">
      <c r="A1028" s="1">
        <v>744</v>
      </c>
      <c r="B1028" s="4">
        <v>4609971</v>
      </c>
      <c r="C1028" s="3">
        <v>1.06E-2</v>
      </c>
      <c r="D1028" s="3">
        <f t="shared" si="16"/>
        <v>0.6</v>
      </c>
      <c r="E1028" s="1">
        <v>0.4</v>
      </c>
      <c r="F1028" s="2">
        <v>0.43</v>
      </c>
      <c r="G1028" s="2">
        <v>0.41</v>
      </c>
      <c r="H1028" s="2">
        <v>0.16000000000000009</v>
      </c>
    </row>
    <row r="1029" spans="1:8" x14ac:dyDescent="0.25">
      <c r="A1029" s="1">
        <v>994</v>
      </c>
      <c r="B1029" s="4">
        <v>573342</v>
      </c>
      <c r="C1029" s="3">
        <v>1.06E-2</v>
      </c>
      <c r="D1029" s="3">
        <f t="shared" si="16"/>
        <v>0.4</v>
      </c>
      <c r="E1029" s="1">
        <v>0.6</v>
      </c>
      <c r="F1029" s="2">
        <v>0.17</v>
      </c>
      <c r="G1029" s="2">
        <v>0.28000000000000003</v>
      </c>
      <c r="H1029" s="2">
        <v>0.54999999999999993</v>
      </c>
    </row>
    <row r="1030" spans="1:8" x14ac:dyDescent="0.25">
      <c r="A1030" s="1">
        <v>949</v>
      </c>
      <c r="B1030" s="4">
        <v>4454639</v>
      </c>
      <c r="C1030" s="3">
        <v>1.0500000000000001E-2</v>
      </c>
      <c r="D1030" s="3">
        <f t="shared" si="16"/>
        <v>0.6</v>
      </c>
      <c r="E1030" s="1">
        <v>0.4</v>
      </c>
      <c r="F1030" s="2">
        <v>0.23</v>
      </c>
      <c r="G1030" s="2">
        <v>0.28000000000000003</v>
      </c>
      <c r="H1030" s="2">
        <v>0.49</v>
      </c>
    </row>
    <row r="1031" spans="1:8" x14ac:dyDescent="0.25">
      <c r="A1031" s="1">
        <v>570</v>
      </c>
      <c r="B1031" s="4">
        <v>6729861</v>
      </c>
      <c r="C1031" s="3">
        <v>1.04E-2</v>
      </c>
      <c r="D1031" s="3">
        <f t="shared" si="16"/>
        <v>0.6</v>
      </c>
      <c r="E1031" s="1">
        <v>0.4</v>
      </c>
      <c r="F1031" s="2">
        <v>0.26</v>
      </c>
      <c r="G1031" s="2">
        <v>0.31</v>
      </c>
      <c r="H1031" s="2">
        <v>0.42999999999999994</v>
      </c>
    </row>
    <row r="1032" spans="1:8" x14ac:dyDescent="0.25">
      <c r="A1032" s="1">
        <v>595</v>
      </c>
      <c r="B1032" s="4">
        <v>171984</v>
      </c>
      <c r="C1032" s="3">
        <v>1.04E-2</v>
      </c>
      <c r="D1032" s="3">
        <f t="shared" si="16"/>
        <v>0.4</v>
      </c>
      <c r="E1032" s="1">
        <v>0.6</v>
      </c>
      <c r="F1032" s="2">
        <v>0.44</v>
      </c>
      <c r="G1032" s="2">
        <v>0.22</v>
      </c>
      <c r="H1032" s="2">
        <v>0.34</v>
      </c>
    </row>
    <row r="1033" spans="1:8" x14ac:dyDescent="0.25">
      <c r="A1033" s="1">
        <v>837</v>
      </c>
      <c r="B1033" s="4">
        <v>7404728</v>
      </c>
      <c r="C1033" s="3">
        <v>1.04E-2</v>
      </c>
      <c r="D1033" s="3">
        <f t="shared" si="16"/>
        <v>0.7</v>
      </c>
      <c r="E1033" s="1">
        <v>0.3</v>
      </c>
      <c r="F1033" s="2">
        <v>0.28999999999999998</v>
      </c>
      <c r="G1033" s="2">
        <v>0.24</v>
      </c>
      <c r="H1033" s="2">
        <v>0.47000000000000003</v>
      </c>
    </row>
    <row r="1034" spans="1:8" x14ac:dyDescent="0.25">
      <c r="A1034" s="1">
        <v>593</v>
      </c>
      <c r="B1034" s="4">
        <v>6332299</v>
      </c>
      <c r="C1034" s="3">
        <v>1.03E-2</v>
      </c>
      <c r="D1034" s="3">
        <f t="shared" si="16"/>
        <v>0.6</v>
      </c>
      <c r="E1034" s="1">
        <v>0.4</v>
      </c>
      <c r="F1034" s="2">
        <v>0.11</v>
      </c>
      <c r="G1034" s="2">
        <v>0.32</v>
      </c>
      <c r="H1034" s="2">
        <v>0.56999999999999995</v>
      </c>
    </row>
    <row r="1035" spans="1:8" x14ac:dyDescent="0.25">
      <c r="A1035" s="1">
        <v>939</v>
      </c>
      <c r="B1035" s="4">
        <v>8261911</v>
      </c>
      <c r="C1035" s="3">
        <v>1.03E-2</v>
      </c>
      <c r="D1035" s="3">
        <f t="shared" si="16"/>
        <v>0.7</v>
      </c>
      <c r="E1035" s="1">
        <v>0.3</v>
      </c>
      <c r="F1035" s="2">
        <v>0.34</v>
      </c>
      <c r="G1035" s="2">
        <v>0.36</v>
      </c>
      <c r="H1035" s="2">
        <v>0.3</v>
      </c>
    </row>
    <row r="1036" spans="1:8" x14ac:dyDescent="0.25">
      <c r="A1036" s="1">
        <v>972</v>
      </c>
      <c r="B1036" s="4">
        <v>7884293</v>
      </c>
      <c r="C1036" s="3">
        <v>1.03E-2</v>
      </c>
      <c r="D1036" s="3">
        <f t="shared" si="16"/>
        <v>0.7</v>
      </c>
      <c r="E1036" s="1">
        <v>0.3</v>
      </c>
      <c r="F1036" s="2">
        <v>0.34</v>
      </c>
      <c r="G1036" s="2">
        <v>0.28000000000000003</v>
      </c>
      <c r="H1036" s="2">
        <v>0.37999999999999995</v>
      </c>
    </row>
    <row r="1037" spans="1:8" x14ac:dyDescent="0.25">
      <c r="A1037" s="1">
        <v>771</v>
      </c>
      <c r="B1037" s="4">
        <v>6530408</v>
      </c>
      <c r="C1037" s="3">
        <v>1.0200000000000001E-2</v>
      </c>
      <c r="D1037" s="3">
        <f t="shared" si="16"/>
        <v>0.6</v>
      </c>
      <c r="E1037" s="1">
        <v>0.4</v>
      </c>
      <c r="F1037" s="2">
        <v>0.27</v>
      </c>
      <c r="G1037" s="2">
        <v>0.41</v>
      </c>
      <c r="H1037" s="2">
        <v>0.32000000000000006</v>
      </c>
    </row>
    <row r="1038" spans="1:8" x14ac:dyDescent="0.25">
      <c r="A1038" s="1">
        <v>836</v>
      </c>
      <c r="B1038" s="4">
        <v>8300525</v>
      </c>
      <c r="C1038" s="3">
        <v>1.0200000000000001E-2</v>
      </c>
      <c r="D1038" s="3">
        <f t="shared" si="16"/>
        <v>0.7</v>
      </c>
      <c r="E1038" s="1">
        <v>0.3</v>
      </c>
      <c r="F1038" s="2">
        <v>0.17</v>
      </c>
      <c r="G1038" s="2">
        <v>0.5</v>
      </c>
      <c r="H1038" s="2">
        <v>0.32999999999999996</v>
      </c>
    </row>
    <row r="1039" spans="1:8" x14ac:dyDescent="0.25">
      <c r="A1039" s="1">
        <v>37</v>
      </c>
      <c r="B1039" s="4">
        <v>5642531</v>
      </c>
      <c r="C1039" s="3">
        <v>1.01E-2</v>
      </c>
      <c r="D1039" s="3">
        <f t="shared" si="16"/>
        <v>0.6</v>
      </c>
      <c r="E1039" s="1">
        <v>0.4</v>
      </c>
      <c r="F1039" s="2">
        <v>0.39</v>
      </c>
      <c r="G1039" s="2">
        <v>0.46</v>
      </c>
      <c r="H1039" s="2">
        <v>0.15000000000000002</v>
      </c>
    </row>
    <row r="1040" spans="1:8" x14ac:dyDescent="0.25">
      <c r="A1040" s="1">
        <v>171</v>
      </c>
      <c r="B1040" s="4">
        <v>9833235</v>
      </c>
      <c r="C1040" s="3">
        <v>1.01E-2</v>
      </c>
      <c r="D1040" s="3">
        <f t="shared" si="16"/>
        <v>0.7</v>
      </c>
      <c r="E1040" s="1">
        <v>0.3</v>
      </c>
      <c r="F1040" s="2">
        <v>0.1</v>
      </c>
      <c r="G1040" s="2">
        <v>0.35</v>
      </c>
      <c r="H1040" s="2">
        <v>0.55000000000000004</v>
      </c>
    </row>
    <row r="1041" spans="1:8" x14ac:dyDescent="0.25">
      <c r="A1041" s="1">
        <v>231</v>
      </c>
      <c r="B1041" s="4">
        <v>607212</v>
      </c>
      <c r="C1041" s="3">
        <v>1.01E-2</v>
      </c>
      <c r="D1041" s="3">
        <f t="shared" si="16"/>
        <v>0.4</v>
      </c>
      <c r="E1041" s="1">
        <v>0.6</v>
      </c>
      <c r="F1041" s="2">
        <v>0.36</v>
      </c>
      <c r="G1041" s="2">
        <v>0.3</v>
      </c>
      <c r="H1041" s="2">
        <v>0.33999999999999997</v>
      </c>
    </row>
    <row r="1042" spans="1:8" x14ac:dyDescent="0.25">
      <c r="A1042" s="1">
        <v>524</v>
      </c>
      <c r="B1042" s="4">
        <v>416132</v>
      </c>
      <c r="C1042" s="3">
        <v>1.01E-2</v>
      </c>
      <c r="D1042" s="3">
        <f t="shared" si="16"/>
        <v>0.4</v>
      </c>
      <c r="E1042" s="1">
        <v>0.6</v>
      </c>
      <c r="F1042" s="2">
        <v>0.21</v>
      </c>
      <c r="G1042" s="2">
        <v>0.31</v>
      </c>
      <c r="H1042" s="2">
        <v>0.48</v>
      </c>
    </row>
    <row r="1043" spans="1:8" x14ac:dyDescent="0.25">
      <c r="A1043" s="1">
        <v>970</v>
      </c>
      <c r="B1043" s="4">
        <v>7027453</v>
      </c>
      <c r="C1043" s="3">
        <v>1.01E-2</v>
      </c>
      <c r="D1043" s="3">
        <f t="shared" si="16"/>
        <v>0.7</v>
      </c>
      <c r="E1043" s="1">
        <v>0.3</v>
      </c>
      <c r="F1043" s="2">
        <v>0.24</v>
      </c>
      <c r="G1043" s="2">
        <v>0.24</v>
      </c>
      <c r="H1043" s="2">
        <v>0.52</v>
      </c>
    </row>
  </sheetData>
  <autoFilter ref="A1:H1043" xr:uid="{48D11163-AB35-4837-A00D-9F9AF33AFD75}">
    <sortState xmlns:xlrd2="http://schemas.microsoft.com/office/spreadsheetml/2017/richdata2" ref="A2:H1043">
      <sortCondition descending="1" ref="C1:C104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E54E-D542-4245-B47E-6424D7817A3F}">
  <dimension ref="B2:J76"/>
  <sheetViews>
    <sheetView topLeftCell="A6" zoomScale="91" workbookViewId="0">
      <selection activeCell="G26" sqref="G26"/>
    </sheetView>
  </sheetViews>
  <sheetFormatPr baseColWidth="10" defaultColWidth="11.42578125" defaultRowHeight="15" x14ac:dyDescent="0.25"/>
  <cols>
    <col min="2" max="2" width="13" customWidth="1"/>
    <col min="3" max="3" width="23" bestFit="1" customWidth="1"/>
    <col min="5" max="5" width="15.28515625" customWidth="1"/>
    <col min="6" max="6" width="18.140625" customWidth="1"/>
  </cols>
  <sheetData>
    <row r="2" spans="2:10" x14ac:dyDescent="0.25">
      <c r="B2" t="s">
        <v>14</v>
      </c>
    </row>
    <row r="3" spans="2:10" x14ac:dyDescent="0.25">
      <c r="B3" s="24" t="s">
        <v>15</v>
      </c>
      <c r="C3" s="28">
        <v>118616038.83</v>
      </c>
    </row>
    <row r="4" spans="2:10" x14ac:dyDescent="0.25">
      <c r="B4" s="24" t="s">
        <v>16</v>
      </c>
      <c r="C4" s="28">
        <v>1159378348.5999999</v>
      </c>
    </row>
    <row r="5" spans="2:10" x14ac:dyDescent="0.25">
      <c r="B5" s="24" t="s">
        <v>17</v>
      </c>
      <c r="C5" s="28">
        <v>1455878787.6500001</v>
      </c>
    </row>
    <row r="8" spans="2:10" x14ac:dyDescent="0.25">
      <c r="B8" t="s">
        <v>18</v>
      </c>
    </row>
    <row r="9" spans="2:10" x14ac:dyDescent="0.25">
      <c r="B9" t="s">
        <v>19</v>
      </c>
    </row>
    <row r="10" spans="2:10" x14ac:dyDescent="0.25">
      <c r="B10" s="24" t="s">
        <v>20</v>
      </c>
      <c r="C10" s="28">
        <f>C4-C3</f>
        <v>1040762309.7699999</v>
      </c>
    </row>
    <row r="12" spans="2:10" x14ac:dyDescent="0.25">
      <c r="B12" s="26" t="s">
        <v>21</v>
      </c>
      <c r="C12" s="25"/>
      <c r="D12" s="25"/>
      <c r="E12" s="25"/>
      <c r="F12" s="25"/>
      <c r="G12" s="25"/>
      <c r="H12" s="25"/>
      <c r="I12" s="25"/>
      <c r="J12" s="25"/>
    </row>
    <row r="15" spans="2:10" x14ac:dyDescent="0.25">
      <c r="B15" t="s">
        <v>22</v>
      </c>
    </row>
    <row r="16" spans="2:10" x14ac:dyDescent="0.25">
      <c r="B16" t="s">
        <v>23</v>
      </c>
    </row>
    <row r="17" spans="2:10" x14ac:dyDescent="0.25">
      <c r="B17" s="24" t="s">
        <v>15</v>
      </c>
      <c r="C17" s="28">
        <v>53227605.899999999</v>
      </c>
    </row>
    <row r="18" spans="2:10" x14ac:dyDescent="0.25">
      <c r="B18" s="24" t="s">
        <v>16</v>
      </c>
      <c r="C18" s="28">
        <v>615564810.70000005</v>
      </c>
    </row>
    <row r="19" spans="2:10" x14ac:dyDescent="0.25">
      <c r="B19" s="24" t="s">
        <v>20</v>
      </c>
      <c r="C19" s="28">
        <f>C18-C17</f>
        <v>562337204.80000007</v>
      </c>
    </row>
    <row r="20" spans="2:10" x14ac:dyDescent="0.25">
      <c r="B20" s="6"/>
      <c r="C20" s="10"/>
    </row>
    <row r="21" spans="2:10" x14ac:dyDescent="0.25">
      <c r="B21" s="26" t="s">
        <v>24</v>
      </c>
      <c r="C21" s="27">
        <f>C10-C19</f>
        <v>478425104.96999979</v>
      </c>
      <c r="D21" s="26" t="s">
        <v>25</v>
      </c>
      <c r="E21" s="25"/>
      <c r="F21" s="25"/>
      <c r="G21" s="25"/>
      <c r="H21" s="25"/>
      <c r="I21" s="25"/>
      <c r="J21" s="25"/>
    </row>
    <row r="24" spans="2:10" x14ac:dyDescent="0.25">
      <c r="B24" t="s">
        <v>26</v>
      </c>
    </row>
    <row r="25" spans="2:10" x14ac:dyDescent="0.25">
      <c r="B25" t="s">
        <v>27</v>
      </c>
    </row>
    <row r="26" spans="2:10" x14ac:dyDescent="0.25">
      <c r="B26" s="33" t="s">
        <v>28</v>
      </c>
      <c r="C26" s="34"/>
      <c r="D26" s="34"/>
      <c r="E26" s="34"/>
      <c r="F26" s="35"/>
      <c r="G26" s="29">
        <f>1-'analysis clo'!F569</f>
        <v>8.3000000000069685E-3</v>
      </c>
    </row>
    <row r="27" spans="2:10" x14ac:dyDescent="0.25">
      <c r="B27" s="30" t="s">
        <v>29</v>
      </c>
      <c r="C27" s="31"/>
      <c r="D27" s="31"/>
      <c r="E27" s="31"/>
      <c r="F27" s="32"/>
      <c r="G27" s="29">
        <f>1-'analysis clo'!F570</f>
        <v>8.3000000000069685E-3</v>
      </c>
    </row>
    <row r="30" spans="2:10" x14ac:dyDescent="0.25">
      <c r="B30" t="s">
        <v>30</v>
      </c>
    </row>
    <row r="31" spans="2:10" x14ac:dyDescent="0.25">
      <c r="B31" t="s">
        <v>31</v>
      </c>
    </row>
    <row r="32" spans="2:10" x14ac:dyDescent="0.25">
      <c r="B32" t="s">
        <v>32</v>
      </c>
    </row>
    <row r="33" spans="2:8" x14ac:dyDescent="0.25">
      <c r="B33" t="s">
        <v>33</v>
      </c>
    </row>
    <row r="34" spans="2:8" x14ac:dyDescent="0.25">
      <c r="B34" t="s">
        <v>34</v>
      </c>
    </row>
    <row r="35" spans="2:8" x14ac:dyDescent="0.25">
      <c r="B35" t="s">
        <v>35</v>
      </c>
    </row>
    <row r="36" spans="2:8" x14ac:dyDescent="0.25">
      <c r="B36" t="s">
        <v>36</v>
      </c>
    </row>
    <row r="37" spans="2:8" x14ac:dyDescent="0.25">
      <c r="B37" t="s">
        <v>37</v>
      </c>
    </row>
    <row r="38" spans="2:8" x14ac:dyDescent="0.25">
      <c r="B38" s="24" t="s">
        <v>38</v>
      </c>
      <c r="C38" s="36">
        <v>1.4E-2</v>
      </c>
      <c r="E38" s="24" t="s">
        <v>39</v>
      </c>
      <c r="F38" s="42">
        <v>6.7400000000000002E-2</v>
      </c>
    </row>
    <row r="39" spans="2:8" x14ac:dyDescent="0.25">
      <c r="B39" s="24" t="s">
        <v>40</v>
      </c>
      <c r="C39" s="46">
        <v>1</v>
      </c>
      <c r="E39" s="24" t="s">
        <v>41</v>
      </c>
      <c r="F39" s="41">
        <f>C41</f>
        <v>4.62E-3</v>
      </c>
    </row>
    <row r="40" spans="2:8" x14ac:dyDescent="0.25">
      <c r="B40" s="24" t="s">
        <v>9</v>
      </c>
      <c r="C40" s="36">
        <v>0.33</v>
      </c>
      <c r="E40" s="24" t="s">
        <v>42</v>
      </c>
      <c r="F40" s="41">
        <v>2.1600000000000001E-2</v>
      </c>
    </row>
    <row r="41" spans="2:8" x14ac:dyDescent="0.25">
      <c r="B41" s="45" t="s">
        <v>43</v>
      </c>
      <c r="C41" s="37">
        <f>C38*C39*C40</f>
        <v>4.62E-3</v>
      </c>
      <c r="E41" s="24" t="s">
        <v>44</v>
      </c>
      <c r="F41" s="41">
        <v>7.4999999999999997E-3</v>
      </c>
    </row>
    <row r="42" spans="2:8" x14ac:dyDescent="0.25">
      <c r="B42" s="24" t="s">
        <v>45</v>
      </c>
      <c r="C42" s="38">
        <v>1</v>
      </c>
      <c r="E42" s="24" t="s">
        <v>46</v>
      </c>
      <c r="F42" s="41">
        <v>1.2E-2</v>
      </c>
      <c r="H42" s="17"/>
    </row>
    <row r="43" spans="2:8" x14ac:dyDescent="0.25">
      <c r="B43" s="24" t="s">
        <v>47</v>
      </c>
      <c r="C43" s="39">
        <v>0.12</v>
      </c>
      <c r="E43" s="45" t="s">
        <v>48</v>
      </c>
      <c r="F43" s="44">
        <f>F38+F39+F40+F41+F42</f>
        <v>0.11312000000000001</v>
      </c>
    </row>
    <row r="44" spans="2:8" x14ac:dyDescent="0.25">
      <c r="B44" s="24" t="s">
        <v>49</v>
      </c>
      <c r="C44" s="39">
        <v>0.18</v>
      </c>
    </row>
    <row r="45" spans="2:8" x14ac:dyDescent="0.25">
      <c r="B45" s="45" t="s">
        <v>42</v>
      </c>
      <c r="C45" s="40">
        <f>C42*C43*C44</f>
        <v>2.1599999999999998E-2</v>
      </c>
    </row>
    <row r="47" spans="2:8" x14ac:dyDescent="0.25">
      <c r="B47" t="s">
        <v>50</v>
      </c>
    </row>
    <row r="48" spans="2:8" x14ac:dyDescent="0.25">
      <c r="B48" t="s">
        <v>51</v>
      </c>
    </row>
    <row r="49" spans="2:6" x14ac:dyDescent="0.25">
      <c r="B49" t="s">
        <v>52</v>
      </c>
    </row>
    <row r="50" spans="2:6" x14ac:dyDescent="0.25">
      <c r="B50" t="s">
        <v>53</v>
      </c>
    </row>
    <row r="51" spans="2:6" x14ac:dyDescent="0.25">
      <c r="B51" t="s">
        <v>54</v>
      </c>
    </row>
    <row r="52" spans="2:6" x14ac:dyDescent="0.25">
      <c r="B52" t="s">
        <v>55</v>
      </c>
    </row>
    <row r="53" spans="2:6" x14ac:dyDescent="0.25">
      <c r="B53" t="s">
        <v>56</v>
      </c>
    </row>
    <row r="54" spans="2:6" x14ac:dyDescent="0.25">
      <c r="B54" t="s">
        <v>57</v>
      </c>
    </row>
    <row r="55" spans="2:6" x14ac:dyDescent="0.25">
      <c r="B55" t="s">
        <v>58</v>
      </c>
    </row>
    <row r="56" spans="2:6" x14ac:dyDescent="0.25">
      <c r="B56" t="s">
        <v>59</v>
      </c>
    </row>
    <row r="58" spans="2:6" x14ac:dyDescent="0.25">
      <c r="B58" s="24" t="s">
        <v>38</v>
      </c>
      <c r="C58" s="36">
        <v>2.5000000000000001E-2</v>
      </c>
      <c r="E58" s="24" t="s">
        <v>39</v>
      </c>
      <c r="F58" s="42">
        <v>7.7399999999999997E-2</v>
      </c>
    </row>
    <row r="59" spans="2:6" x14ac:dyDescent="0.25">
      <c r="B59" s="24" t="s">
        <v>40</v>
      </c>
      <c r="C59" s="48">
        <f>4/9</f>
        <v>0.44444444444444442</v>
      </c>
      <c r="E59" s="24" t="s">
        <v>41</v>
      </c>
      <c r="F59" s="41">
        <f>C61</f>
        <v>2.7777777777777779E-3</v>
      </c>
    </row>
    <row r="60" spans="2:6" x14ac:dyDescent="0.25">
      <c r="B60" s="24" t="s">
        <v>9</v>
      </c>
      <c r="C60" s="49">
        <v>0.25</v>
      </c>
      <c r="E60" s="24" t="s">
        <v>42</v>
      </c>
      <c r="F60" s="41">
        <f>C65</f>
        <v>1.1200000000000002E-2</v>
      </c>
    </row>
    <row r="61" spans="2:6" x14ac:dyDescent="0.25">
      <c r="B61" s="45" t="s">
        <v>43</v>
      </c>
      <c r="C61" s="40">
        <f>C58*C59*C60</f>
        <v>2.7777777777777779E-3</v>
      </c>
      <c r="E61" s="24" t="s">
        <v>44</v>
      </c>
      <c r="F61" s="43">
        <v>5.0000000000000001E-3</v>
      </c>
    </row>
    <row r="62" spans="2:6" x14ac:dyDescent="0.25">
      <c r="B62" s="24" t="s">
        <v>45</v>
      </c>
      <c r="C62" s="38">
        <v>0.5</v>
      </c>
      <c r="E62" s="24" t="s">
        <v>46</v>
      </c>
      <c r="F62" s="43">
        <v>0.01</v>
      </c>
    </row>
    <row r="63" spans="2:6" x14ac:dyDescent="0.25">
      <c r="B63" s="24" t="s">
        <v>47</v>
      </c>
      <c r="C63" s="39">
        <v>0.14000000000000001</v>
      </c>
      <c r="E63" s="45" t="s">
        <v>48</v>
      </c>
      <c r="F63" s="47">
        <f>F58+F59+F60+F61+F62</f>
        <v>0.10637777777777778</v>
      </c>
    </row>
    <row r="64" spans="2:6" x14ac:dyDescent="0.25">
      <c r="B64" s="24" t="s">
        <v>49</v>
      </c>
      <c r="C64" s="39">
        <v>0.16</v>
      </c>
    </row>
    <row r="65" spans="2:6" x14ac:dyDescent="0.25">
      <c r="B65" s="45" t="s">
        <v>42</v>
      </c>
      <c r="C65" s="40">
        <f>C62*C63*C64</f>
        <v>1.1200000000000002E-2</v>
      </c>
    </row>
    <row r="67" spans="2:6" x14ac:dyDescent="0.25">
      <c r="B67" s="25" t="s">
        <v>60</v>
      </c>
      <c r="C67" s="25"/>
      <c r="D67" s="25"/>
      <c r="E67" s="50">
        <f>F74-F63</f>
        <v>-2.7400000000000008E-2</v>
      </c>
    </row>
    <row r="69" spans="2:6" x14ac:dyDescent="0.25">
      <c r="B69" s="24" t="s">
        <v>38</v>
      </c>
      <c r="C69" s="36">
        <v>2.5000000000000001E-2</v>
      </c>
      <c r="E69" s="24" t="s">
        <v>39</v>
      </c>
      <c r="F69" s="42">
        <v>0.05</v>
      </c>
    </row>
    <row r="70" spans="2:6" x14ac:dyDescent="0.25">
      <c r="B70" s="24" t="s">
        <v>40</v>
      </c>
      <c r="C70" s="48">
        <f>4/9</f>
        <v>0.44444444444444442</v>
      </c>
      <c r="E70" s="24" t="s">
        <v>41</v>
      </c>
      <c r="F70" s="41">
        <f>C72</f>
        <v>2.7777777777777779E-3</v>
      </c>
    </row>
    <row r="71" spans="2:6" x14ac:dyDescent="0.25">
      <c r="B71" s="24" t="s">
        <v>9</v>
      </c>
      <c r="C71" s="49">
        <v>0.25</v>
      </c>
      <c r="E71" s="24" t="s">
        <v>42</v>
      </c>
      <c r="F71" s="41">
        <f>C76</f>
        <v>1.1200000000000002E-2</v>
      </c>
    </row>
    <row r="72" spans="2:6" x14ac:dyDescent="0.25">
      <c r="B72" s="45" t="s">
        <v>43</v>
      </c>
      <c r="C72" s="40">
        <f>C69*C70*C71</f>
        <v>2.7777777777777779E-3</v>
      </c>
      <c r="E72" s="24" t="s">
        <v>44</v>
      </c>
      <c r="F72" s="43">
        <v>5.0000000000000001E-3</v>
      </c>
    </row>
    <row r="73" spans="2:6" x14ac:dyDescent="0.25">
      <c r="B73" s="24" t="s">
        <v>45</v>
      </c>
      <c r="C73" s="38">
        <v>0.5</v>
      </c>
      <c r="E73" s="24" t="s">
        <v>46</v>
      </c>
      <c r="F73" s="43">
        <v>0.01</v>
      </c>
    </row>
    <row r="74" spans="2:6" x14ac:dyDescent="0.25">
      <c r="B74" s="24" t="s">
        <v>47</v>
      </c>
      <c r="C74" s="39">
        <v>0.14000000000000001</v>
      </c>
      <c r="E74" s="45" t="s">
        <v>48</v>
      </c>
      <c r="F74" s="47">
        <f>F69+F70+F71+F72+F73</f>
        <v>7.8977777777777772E-2</v>
      </c>
    </row>
    <row r="75" spans="2:6" x14ac:dyDescent="0.25">
      <c r="B75" s="24" t="s">
        <v>49</v>
      </c>
      <c r="C75" s="39">
        <v>0.16</v>
      </c>
    </row>
    <row r="76" spans="2:6" x14ac:dyDescent="0.25">
      <c r="B76" s="45" t="s">
        <v>42</v>
      </c>
      <c r="C76" s="40">
        <f>C73*C74*C75</f>
        <v>1.1200000000000002E-2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8684-FD66-4D00-B167-9913C58E9426}">
  <dimension ref="A1:H1043"/>
  <sheetViews>
    <sheetView workbookViewId="0">
      <selection activeCell="J16" sqref="J16"/>
    </sheetView>
  </sheetViews>
  <sheetFormatPr baseColWidth="10" defaultColWidth="11.42578125" defaultRowHeight="15" x14ac:dyDescent="0.25"/>
  <cols>
    <col min="2" max="2" width="14.7109375" customWidth="1"/>
    <col min="3" max="3" width="13.85546875" customWidth="1"/>
    <col min="4" max="4" width="11.7109375" customWidth="1"/>
    <col min="5" max="5" width="20.85546875" customWidth="1"/>
    <col min="6" max="8" width="13.28515625" customWidth="1"/>
  </cols>
  <sheetData>
    <row r="1" spans="1:8" x14ac:dyDescent="0.25">
      <c r="A1" s="5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5" t="s">
        <v>11</v>
      </c>
      <c r="G1" s="5" t="s">
        <v>12</v>
      </c>
      <c r="H1" s="5" t="s">
        <v>13</v>
      </c>
    </row>
    <row r="2" spans="1:8" x14ac:dyDescent="0.25">
      <c r="A2" s="8">
        <v>111</v>
      </c>
      <c r="B2" s="4">
        <v>2994174</v>
      </c>
      <c r="C2" s="3">
        <v>0.06</v>
      </c>
      <c r="D2" s="3">
        <f t="shared" ref="D2:D65" si="0">1-E2</f>
        <v>0.4</v>
      </c>
      <c r="E2" s="1">
        <v>0.6</v>
      </c>
      <c r="F2" s="2">
        <v>0.27</v>
      </c>
      <c r="G2" s="2">
        <v>0.34</v>
      </c>
      <c r="H2" s="2">
        <v>0.3899999999999999</v>
      </c>
    </row>
    <row r="3" spans="1:8" x14ac:dyDescent="0.25">
      <c r="A3" s="8">
        <v>872</v>
      </c>
      <c r="B3" s="4">
        <v>1790147</v>
      </c>
      <c r="C3" s="3">
        <v>0.06</v>
      </c>
      <c r="D3" s="3">
        <f t="shared" si="0"/>
        <v>0.4</v>
      </c>
      <c r="E3" s="1">
        <v>0.6</v>
      </c>
      <c r="F3" s="2">
        <v>0.4</v>
      </c>
      <c r="G3" s="2">
        <v>0.46</v>
      </c>
      <c r="H3" s="2">
        <v>0.14000000000000001</v>
      </c>
    </row>
    <row r="4" spans="1:8" x14ac:dyDescent="0.25">
      <c r="A4" s="8">
        <v>84</v>
      </c>
      <c r="B4" s="4">
        <v>5886251</v>
      </c>
      <c r="C4" s="3">
        <v>5.9900000000000002E-2</v>
      </c>
      <c r="D4" s="3">
        <f t="shared" si="0"/>
        <v>0.6</v>
      </c>
      <c r="E4" s="1">
        <v>0.4</v>
      </c>
      <c r="F4" s="2">
        <v>0.41</v>
      </c>
      <c r="G4" s="2">
        <v>0.24</v>
      </c>
      <c r="H4" s="2">
        <v>0.35000000000000003</v>
      </c>
    </row>
    <row r="5" spans="1:8" x14ac:dyDescent="0.25">
      <c r="A5" s="8">
        <v>263</v>
      </c>
      <c r="B5" s="4">
        <v>4221506</v>
      </c>
      <c r="C5" s="3">
        <v>5.9900000000000002E-2</v>
      </c>
      <c r="D5" s="3">
        <f t="shared" si="0"/>
        <v>0.6</v>
      </c>
      <c r="E5" s="1">
        <v>0.4</v>
      </c>
      <c r="F5" s="2">
        <v>0.27</v>
      </c>
      <c r="G5" s="2">
        <v>0.46</v>
      </c>
      <c r="H5" s="2">
        <v>0.27</v>
      </c>
    </row>
    <row r="6" spans="1:8" x14ac:dyDescent="0.25">
      <c r="A6" s="8">
        <v>324</v>
      </c>
      <c r="B6" s="4">
        <v>2576054</v>
      </c>
      <c r="C6" s="3">
        <v>5.9900000000000002E-2</v>
      </c>
      <c r="D6" s="3">
        <f t="shared" si="0"/>
        <v>0.4</v>
      </c>
      <c r="E6" s="1">
        <v>0.6</v>
      </c>
      <c r="F6" s="2">
        <v>0.16</v>
      </c>
      <c r="G6" s="2">
        <v>0.3</v>
      </c>
      <c r="H6" s="2">
        <v>0.53999999999999992</v>
      </c>
    </row>
    <row r="7" spans="1:8" x14ac:dyDescent="0.25">
      <c r="A7" s="8">
        <v>933</v>
      </c>
      <c r="B7" s="4">
        <v>6851655</v>
      </c>
      <c r="C7" s="3">
        <v>5.9900000000000002E-2</v>
      </c>
      <c r="D7" s="3">
        <f t="shared" si="0"/>
        <v>0.6</v>
      </c>
      <c r="E7" s="1">
        <v>0.4</v>
      </c>
      <c r="F7" s="2">
        <v>0.25</v>
      </c>
      <c r="G7" s="2">
        <v>0.44</v>
      </c>
      <c r="H7" s="2">
        <v>0.31000000000000005</v>
      </c>
    </row>
    <row r="8" spans="1:8" x14ac:dyDescent="0.25">
      <c r="A8" s="8">
        <v>993</v>
      </c>
      <c r="B8" s="4">
        <v>8756975</v>
      </c>
      <c r="C8" s="3">
        <v>5.9900000000000002E-2</v>
      </c>
      <c r="D8" s="3">
        <f t="shared" si="0"/>
        <v>0.7</v>
      </c>
      <c r="E8" s="1">
        <v>0.3</v>
      </c>
      <c r="F8" s="2">
        <v>0.26</v>
      </c>
      <c r="G8" s="2">
        <v>0.33</v>
      </c>
      <c r="H8" s="2">
        <v>0.40999999999999992</v>
      </c>
    </row>
    <row r="9" spans="1:8" x14ac:dyDescent="0.25">
      <c r="A9" s="8">
        <v>10</v>
      </c>
      <c r="B9" s="4">
        <v>9720269</v>
      </c>
      <c r="C9" s="3">
        <v>5.9800000000000006E-2</v>
      </c>
      <c r="D9" s="3">
        <f t="shared" si="0"/>
        <v>0.7</v>
      </c>
      <c r="E9" s="1">
        <v>0.3</v>
      </c>
      <c r="F9" s="2">
        <v>0.28000000000000003</v>
      </c>
      <c r="G9" s="2">
        <v>0.23</v>
      </c>
      <c r="H9" s="2">
        <v>0.49</v>
      </c>
    </row>
    <row r="10" spans="1:8" x14ac:dyDescent="0.25">
      <c r="A10" s="8">
        <v>95</v>
      </c>
      <c r="B10" s="4">
        <v>7922274</v>
      </c>
      <c r="C10" s="3">
        <v>5.9800000000000006E-2</v>
      </c>
      <c r="D10" s="3">
        <f t="shared" si="0"/>
        <v>0.7</v>
      </c>
      <c r="E10" s="1">
        <v>0.3</v>
      </c>
      <c r="F10" s="2">
        <v>0.2</v>
      </c>
      <c r="G10" s="2">
        <v>0.36</v>
      </c>
      <c r="H10" s="2">
        <v>0.44</v>
      </c>
    </row>
    <row r="11" spans="1:8" x14ac:dyDescent="0.25">
      <c r="A11" s="8">
        <v>339</v>
      </c>
      <c r="B11" s="4">
        <v>2533306</v>
      </c>
      <c r="C11" s="3">
        <v>5.9699999999999996E-2</v>
      </c>
      <c r="D11" s="3">
        <f t="shared" si="0"/>
        <v>0.4</v>
      </c>
      <c r="E11" s="1">
        <v>0.6</v>
      </c>
      <c r="F11" s="2">
        <v>0.37</v>
      </c>
      <c r="G11" s="2">
        <v>0.27</v>
      </c>
      <c r="H11" s="2">
        <v>0.36</v>
      </c>
    </row>
    <row r="12" spans="1:8" x14ac:dyDescent="0.25">
      <c r="A12" s="8">
        <v>521</v>
      </c>
      <c r="B12" s="4">
        <v>9478442</v>
      </c>
      <c r="C12" s="3">
        <v>5.9699999999999996E-2</v>
      </c>
      <c r="D12" s="3">
        <f t="shared" si="0"/>
        <v>0.7</v>
      </c>
      <c r="E12" s="1">
        <v>0.3</v>
      </c>
      <c r="F12" s="2">
        <v>0.26</v>
      </c>
      <c r="G12" s="2">
        <v>0.22</v>
      </c>
      <c r="H12" s="2">
        <v>0.52</v>
      </c>
    </row>
    <row r="13" spans="1:8" x14ac:dyDescent="0.25">
      <c r="A13" s="8">
        <v>884</v>
      </c>
      <c r="B13" s="4">
        <v>6311161</v>
      </c>
      <c r="C13" s="3">
        <v>5.9699999999999996E-2</v>
      </c>
      <c r="D13" s="3">
        <f t="shared" si="0"/>
        <v>0.6</v>
      </c>
      <c r="E13" s="1">
        <v>0.4</v>
      </c>
      <c r="F13" s="2">
        <v>0.4</v>
      </c>
      <c r="G13" s="2">
        <v>0.28000000000000003</v>
      </c>
      <c r="H13" s="2">
        <v>0.31999999999999995</v>
      </c>
    </row>
    <row r="14" spans="1:8" x14ac:dyDescent="0.25">
      <c r="A14" s="8">
        <v>76</v>
      </c>
      <c r="B14" s="4">
        <v>955864</v>
      </c>
      <c r="C14" s="3">
        <v>5.9500000000000004E-2</v>
      </c>
      <c r="D14" s="3">
        <f t="shared" si="0"/>
        <v>0.4</v>
      </c>
      <c r="E14" s="1">
        <v>0.6</v>
      </c>
      <c r="F14" s="2">
        <v>0.14000000000000001</v>
      </c>
      <c r="G14" s="2">
        <v>0.35</v>
      </c>
      <c r="H14" s="2">
        <v>0.51</v>
      </c>
    </row>
    <row r="15" spans="1:8" x14ac:dyDescent="0.25">
      <c r="A15" s="8">
        <v>93</v>
      </c>
      <c r="B15" s="4">
        <v>761104</v>
      </c>
      <c r="C15" s="3">
        <v>5.9500000000000004E-2</v>
      </c>
      <c r="D15" s="3">
        <f t="shared" si="0"/>
        <v>0.4</v>
      </c>
      <c r="E15" s="1">
        <v>0.6</v>
      </c>
      <c r="F15" s="2">
        <v>0.14000000000000001</v>
      </c>
      <c r="G15" s="2">
        <v>0.38</v>
      </c>
      <c r="H15" s="2">
        <v>0.48</v>
      </c>
    </row>
    <row r="16" spans="1:8" x14ac:dyDescent="0.25">
      <c r="A16" s="8">
        <v>495</v>
      </c>
      <c r="B16" s="4">
        <v>9854640</v>
      </c>
      <c r="C16" s="3">
        <v>5.9400000000000001E-2</v>
      </c>
      <c r="D16" s="3">
        <f t="shared" si="0"/>
        <v>0.7</v>
      </c>
      <c r="E16" s="1">
        <v>0.3</v>
      </c>
      <c r="F16" s="2">
        <v>0.28000000000000003</v>
      </c>
      <c r="G16" s="2">
        <v>0.44</v>
      </c>
      <c r="H16" s="2">
        <v>0.28000000000000003</v>
      </c>
    </row>
    <row r="17" spans="1:8" x14ac:dyDescent="0.25">
      <c r="A17" s="8">
        <v>945</v>
      </c>
      <c r="B17" s="4">
        <v>961744</v>
      </c>
      <c r="C17" s="3">
        <v>5.9400000000000001E-2</v>
      </c>
      <c r="D17" s="3">
        <f t="shared" si="0"/>
        <v>0.4</v>
      </c>
      <c r="E17" s="1">
        <v>0.6</v>
      </c>
      <c r="F17" s="2">
        <v>0.28000000000000003</v>
      </c>
      <c r="G17" s="2">
        <v>0.43</v>
      </c>
      <c r="H17" s="2">
        <v>0.29000000000000004</v>
      </c>
    </row>
    <row r="18" spans="1:8" x14ac:dyDescent="0.25">
      <c r="A18" s="8">
        <v>540</v>
      </c>
      <c r="B18" s="4">
        <v>8724071</v>
      </c>
      <c r="C18" s="3">
        <v>5.9200000000000003E-2</v>
      </c>
      <c r="D18" s="3">
        <f t="shared" si="0"/>
        <v>0.7</v>
      </c>
      <c r="E18" s="1">
        <v>0.3</v>
      </c>
      <c r="F18" s="2">
        <v>0.28999999999999998</v>
      </c>
      <c r="G18" s="2">
        <v>0.4</v>
      </c>
      <c r="H18" s="2">
        <v>0.31</v>
      </c>
    </row>
    <row r="19" spans="1:8" x14ac:dyDescent="0.25">
      <c r="A19" s="8">
        <v>630</v>
      </c>
      <c r="B19" s="4">
        <v>2288948</v>
      </c>
      <c r="C19" s="3">
        <v>5.9200000000000003E-2</v>
      </c>
      <c r="D19" s="3">
        <f t="shared" si="0"/>
        <v>0.4</v>
      </c>
      <c r="E19" s="1">
        <v>0.6</v>
      </c>
      <c r="F19" s="2">
        <v>0.44</v>
      </c>
      <c r="G19" s="2">
        <v>0.32</v>
      </c>
      <c r="H19" s="2">
        <v>0.23999999999999994</v>
      </c>
    </row>
    <row r="20" spans="1:8" x14ac:dyDescent="0.25">
      <c r="A20" s="8">
        <v>646</v>
      </c>
      <c r="B20" s="4">
        <v>7112900</v>
      </c>
      <c r="C20" s="3">
        <v>5.9200000000000003E-2</v>
      </c>
      <c r="D20" s="3">
        <f t="shared" si="0"/>
        <v>0.7</v>
      </c>
      <c r="E20" s="1">
        <v>0.3</v>
      </c>
      <c r="F20" s="2">
        <v>0.44</v>
      </c>
      <c r="G20" s="2">
        <v>0.25</v>
      </c>
      <c r="H20" s="2">
        <v>0.31</v>
      </c>
    </row>
    <row r="21" spans="1:8" x14ac:dyDescent="0.25">
      <c r="A21" s="8">
        <v>180</v>
      </c>
      <c r="B21" s="4">
        <v>6847188</v>
      </c>
      <c r="C21" s="3">
        <v>5.91E-2</v>
      </c>
      <c r="D21" s="3">
        <f t="shared" si="0"/>
        <v>0.6</v>
      </c>
      <c r="E21" s="1">
        <v>0.4</v>
      </c>
      <c r="F21" s="2">
        <v>0.27</v>
      </c>
      <c r="G21" s="2">
        <v>0.31</v>
      </c>
      <c r="H21" s="2">
        <v>0.41999999999999993</v>
      </c>
    </row>
    <row r="22" spans="1:8" x14ac:dyDescent="0.25">
      <c r="A22" s="8">
        <v>435</v>
      </c>
      <c r="B22" s="4">
        <v>1400786</v>
      </c>
      <c r="C22" s="3">
        <v>5.91E-2</v>
      </c>
      <c r="D22" s="3">
        <f t="shared" si="0"/>
        <v>0.4</v>
      </c>
      <c r="E22" s="1">
        <v>0.6</v>
      </c>
      <c r="F22" s="2">
        <v>0.28999999999999998</v>
      </c>
      <c r="G22" s="2">
        <v>0.5</v>
      </c>
      <c r="H22" s="2">
        <v>0.21000000000000002</v>
      </c>
    </row>
    <row r="23" spans="1:8" x14ac:dyDescent="0.25">
      <c r="A23" s="8">
        <v>748</v>
      </c>
      <c r="B23" s="4">
        <v>7559360</v>
      </c>
      <c r="C23" s="3">
        <v>5.91E-2</v>
      </c>
      <c r="D23" s="3">
        <f t="shared" si="0"/>
        <v>0.7</v>
      </c>
      <c r="E23" s="1">
        <v>0.3</v>
      </c>
      <c r="F23" s="2">
        <v>0.31</v>
      </c>
      <c r="G23" s="2">
        <v>0.28999999999999998</v>
      </c>
      <c r="H23" s="2">
        <v>0.39999999999999997</v>
      </c>
    </row>
    <row r="24" spans="1:8" x14ac:dyDescent="0.25">
      <c r="A24" s="8">
        <v>896</v>
      </c>
      <c r="B24" s="4">
        <v>132862</v>
      </c>
      <c r="C24" s="3">
        <v>5.91E-2</v>
      </c>
      <c r="D24" s="3">
        <f t="shared" si="0"/>
        <v>0.4</v>
      </c>
      <c r="E24" s="1">
        <v>0.6</v>
      </c>
      <c r="F24" s="2">
        <v>0.26</v>
      </c>
      <c r="G24" s="2">
        <v>0.35</v>
      </c>
      <c r="H24" s="2">
        <v>0.39</v>
      </c>
    </row>
    <row r="25" spans="1:8" x14ac:dyDescent="0.25">
      <c r="A25" s="8">
        <v>204</v>
      </c>
      <c r="B25" s="4">
        <v>2151477</v>
      </c>
      <c r="C25" s="3">
        <v>5.9000000000000004E-2</v>
      </c>
      <c r="D25" s="3">
        <f t="shared" si="0"/>
        <v>0.4</v>
      </c>
      <c r="E25" s="1">
        <v>0.6</v>
      </c>
      <c r="F25" s="2">
        <v>0.2</v>
      </c>
      <c r="G25" s="2">
        <v>0.32</v>
      </c>
      <c r="H25" s="2">
        <v>0.47999999999999993</v>
      </c>
    </row>
    <row r="26" spans="1:8" x14ac:dyDescent="0.25">
      <c r="A26" s="8">
        <v>504</v>
      </c>
      <c r="B26" s="4">
        <v>5595187</v>
      </c>
      <c r="C26" s="3">
        <v>5.9000000000000004E-2</v>
      </c>
      <c r="D26" s="3">
        <f t="shared" si="0"/>
        <v>0.6</v>
      </c>
      <c r="E26" s="1">
        <v>0.4</v>
      </c>
      <c r="F26" s="2">
        <v>0.45</v>
      </c>
      <c r="G26" s="2">
        <v>0.47</v>
      </c>
      <c r="H26" s="2">
        <v>8.0000000000000016E-2</v>
      </c>
    </row>
    <row r="27" spans="1:8" x14ac:dyDescent="0.25">
      <c r="A27" s="8">
        <v>764</v>
      </c>
      <c r="B27" s="4">
        <v>5125284</v>
      </c>
      <c r="C27" s="3">
        <v>5.9000000000000004E-2</v>
      </c>
      <c r="D27" s="3">
        <f t="shared" si="0"/>
        <v>0.6</v>
      </c>
      <c r="E27" s="1">
        <v>0.4</v>
      </c>
      <c r="F27" s="2">
        <v>0.28000000000000003</v>
      </c>
      <c r="G27" s="2">
        <v>0.5</v>
      </c>
      <c r="H27" s="2">
        <v>0.21999999999999997</v>
      </c>
    </row>
    <row r="28" spans="1:8" x14ac:dyDescent="0.25">
      <c r="A28" s="8">
        <v>193</v>
      </c>
      <c r="B28" s="4">
        <v>8821398</v>
      </c>
      <c r="C28" s="3">
        <v>5.8899999999999994E-2</v>
      </c>
      <c r="D28" s="3">
        <f t="shared" si="0"/>
        <v>0.7</v>
      </c>
      <c r="E28" s="1">
        <v>0.3</v>
      </c>
      <c r="F28" s="2">
        <v>0.15</v>
      </c>
      <c r="G28" s="2">
        <v>0.36</v>
      </c>
      <c r="H28" s="2">
        <v>0.49</v>
      </c>
    </row>
    <row r="29" spans="1:8" x14ac:dyDescent="0.25">
      <c r="A29" s="8">
        <v>230</v>
      </c>
      <c r="B29" s="4">
        <v>5894397</v>
      </c>
      <c r="C29" s="3">
        <v>5.8899999999999994E-2</v>
      </c>
      <c r="D29" s="3">
        <f t="shared" si="0"/>
        <v>0.6</v>
      </c>
      <c r="E29" s="1">
        <v>0.4</v>
      </c>
      <c r="F29" s="2">
        <v>0.28000000000000003</v>
      </c>
      <c r="G29" s="2">
        <v>0.35</v>
      </c>
      <c r="H29" s="2">
        <v>0.37</v>
      </c>
    </row>
    <row r="30" spans="1:8" x14ac:dyDescent="0.25">
      <c r="A30" s="8">
        <v>105</v>
      </c>
      <c r="B30" s="4">
        <v>6850788</v>
      </c>
      <c r="C30" s="3">
        <v>5.8799999999999998E-2</v>
      </c>
      <c r="D30" s="3">
        <f t="shared" si="0"/>
        <v>0.6</v>
      </c>
      <c r="E30" s="1">
        <v>0.4</v>
      </c>
      <c r="F30" s="2">
        <v>0.28000000000000003</v>
      </c>
      <c r="G30" s="2">
        <v>0.28999999999999998</v>
      </c>
      <c r="H30" s="2">
        <v>0.42999999999999994</v>
      </c>
    </row>
    <row r="31" spans="1:8" x14ac:dyDescent="0.25">
      <c r="A31" s="8">
        <v>528</v>
      </c>
      <c r="B31" s="4">
        <v>2938937</v>
      </c>
      <c r="C31" s="3">
        <v>5.8799999999999998E-2</v>
      </c>
      <c r="D31" s="3">
        <f t="shared" si="0"/>
        <v>0.4</v>
      </c>
      <c r="E31" s="1">
        <v>0.6</v>
      </c>
      <c r="F31" s="2">
        <v>0.45</v>
      </c>
      <c r="G31" s="2">
        <v>0.37</v>
      </c>
      <c r="H31" s="2">
        <v>0.18</v>
      </c>
    </row>
    <row r="32" spans="1:8" x14ac:dyDescent="0.25">
      <c r="A32" s="8">
        <v>534</v>
      </c>
      <c r="B32" s="4">
        <v>121375</v>
      </c>
      <c r="C32" s="3">
        <v>5.8799999999999998E-2</v>
      </c>
      <c r="D32" s="3">
        <f t="shared" si="0"/>
        <v>0.4</v>
      </c>
      <c r="E32" s="1">
        <v>0.6</v>
      </c>
      <c r="F32" s="2">
        <v>0.39</v>
      </c>
      <c r="G32" s="2">
        <v>0.47</v>
      </c>
      <c r="H32" s="2">
        <v>0.14000000000000001</v>
      </c>
    </row>
    <row r="33" spans="1:8" x14ac:dyDescent="0.25">
      <c r="A33" s="8">
        <v>104</v>
      </c>
      <c r="B33" s="4">
        <v>1721862</v>
      </c>
      <c r="C33" s="3">
        <v>5.8700000000000002E-2</v>
      </c>
      <c r="D33" s="3">
        <f t="shared" si="0"/>
        <v>0.4</v>
      </c>
      <c r="E33" s="1">
        <v>0.6</v>
      </c>
      <c r="F33" s="2">
        <v>0.4</v>
      </c>
      <c r="G33" s="2">
        <v>0.4</v>
      </c>
      <c r="H33" s="2">
        <v>0.19999999999999996</v>
      </c>
    </row>
    <row r="34" spans="1:8" x14ac:dyDescent="0.25">
      <c r="A34" s="8">
        <v>217</v>
      </c>
      <c r="B34" s="4">
        <v>8025234</v>
      </c>
      <c r="C34" s="3">
        <v>5.8700000000000002E-2</v>
      </c>
      <c r="D34" s="3">
        <f t="shared" si="0"/>
        <v>0.7</v>
      </c>
      <c r="E34" s="1">
        <v>0.3</v>
      </c>
      <c r="F34" s="2">
        <v>0.22</v>
      </c>
      <c r="G34" s="2">
        <v>0.25</v>
      </c>
      <c r="H34" s="2">
        <v>0.53</v>
      </c>
    </row>
    <row r="35" spans="1:8" x14ac:dyDescent="0.25">
      <c r="A35" s="8">
        <v>632</v>
      </c>
      <c r="B35" s="4">
        <v>3361596</v>
      </c>
      <c r="C35" s="3">
        <v>5.8700000000000002E-2</v>
      </c>
      <c r="D35" s="3">
        <f t="shared" si="0"/>
        <v>0.6</v>
      </c>
      <c r="E35" s="1">
        <v>0.4</v>
      </c>
      <c r="F35" s="2">
        <v>0.28999999999999998</v>
      </c>
      <c r="G35" s="2">
        <v>0.22</v>
      </c>
      <c r="H35" s="2">
        <v>0.49000000000000005</v>
      </c>
    </row>
    <row r="36" spans="1:8" x14ac:dyDescent="0.25">
      <c r="A36" s="8">
        <v>431</v>
      </c>
      <c r="B36" s="4">
        <v>6907613</v>
      </c>
      <c r="C36" s="3">
        <v>5.8600000000000006E-2</v>
      </c>
      <c r="D36" s="3">
        <f t="shared" si="0"/>
        <v>0.6</v>
      </c>
      <c r="E36" s="1">
        <v>0.4</v>
      </c>
      <c r="F36" s="2">
        <v>0.43</v>
      </c>
      <c r="G36" s="2">
        <v>0.2</v>
      </c>
      <c r="H36" s="2">
        <v>0.37000000000000005</v>
      </c>
    </row>
    <row r="37" spans="1:8" x14ac:dyDescent="0.25">
      <c r="A37" s="8">
        <v>460</v>
      </c>
      <c r="B37" s="4">
        <v>2648350</v>
      </c>
      <c r="C37" s="3">
        <v>5.8600000000000006E-2</v>
      </c>
      <c r="D37" s="3">
        <f t="shared" si="0"/>
        <v>0.4</v>
      </c>
      <c r="E37" s="1">
        <v>0.6</v>
      </c>
      <c r="F37" s="2">
        <v>0.25</v>
      </c>
      <c r="G37" s="2">
        <v>0.24</v>
      </c>
      <c r="H37" s="2">
        <v>0.51</v>
      </c>
    </row>
    <row r="38" spans="1:8" x14ac:dyDescent="0.25">
      <c r="A38" s="8">
        <v>1017</v>
      </c>
      <c r="B38" s="4">
        <v>5682334</v>
      </c>
      <c r="C38" s="3">
        <v>5.8600000000000006E-2</v>
      </c>
      <c r="D38" s="3">
        <f t="shared" si="0"/>
        <v>0.6</v>
      </c>
      <c r="E38" s="1">
        <v>0.4</v>
      </c>
      <c r="F38" s="2">
        <v>0.12</v>
      </c>
      <c r="G38" s="2">
        <v>0.28999999999999998</v>
      </c>
      <c r="H38" s="2">
        <v>0.59</v>
      </c>
    </row>
    <row r="39" spans="1:8" x14ac:dyDescent="0.25">
      <c r="A39" s="8">
        <v>96</v>
      </c>
      <c r="B39" s="4">
        <v>6279063</v>
      </c>
      <c r="C39" s="3">
        <v>5.8499999999999996E-2</v>
      </c>
      <c r="D39" s="3">
        <f t="shared" si="0"/>
        <v>0.6</v>
      </c>
      <c r="E39" s="1">
        <v>0.4</v>
      </c>
      <c r="F39" s="2">
        <v>0.37</v>
      </c>
      <c r="G39" s="2">
        <v>0.41</v>
      </c>
      <c r="H39" s="2">
        <v>0.22000000000000008</v>
      </c>
    </row>
    <row r="40" spans="1:8" x14ac:dyDescent="0.25">
      <c r="A40" s="8">
        <v>799</v>
      </c>
      <c r="B40" s="4">
        <v>9983449</v>
      </c>
      <c r="C40" s="3">
        <v>5.8400000000000001E-2</v>
      </c>
      <c r="D40" s="3">
        <f t="shared" si="0"/>
        <v>0.7</v>
      </c>
      <c r="E40" s="1">
        <v>0.3</v>
      </c>
      <c r="F40" s="2">
        <v>0.38</v>
      </c>
      <c r="G40" s="2">
        <v>0.24</v>
      </c>
      <c r="H40" s="2">
        <v>0.38</v>
      </c>
    </row>
    <row r="41" spans="1:8" x14ac:dyDescent="0.25">
      <c r="A41" s="8">
        <v>620</v>
      </c>
      <c r="B41" s="4">
        <v>2433055</v>
      </c>
      <c r="C41" s="3">
        <v>5.8299999999999998E-2</v>
      </c>
      <c r="D41" s="3">
        <f t="shared" si="0"/>
        <v>0.4</v>
      </c>
      <c r="E41" s="1">
        <v>0.6</v>
      </c>
      <c r="F41" s="2">
        <v>0.17</v>
      </c>
      <c r="G41" s="2">
        <v>0.44</v>
      </c>
      <c r="H41" s="2">
        <v>0.39</v>
      </c>
    </row>
    <row r="42" spans="1:8" x14ac:dyDescent="0.25">
      <c r="A42" s="8">
        <v>862</v>
      </c>
      <c r="B42" s="4">
        <v>5197330</v>
      </c>
      <c r="C42" s="3">
        <v>5.8299999999999998E-2</v>
      </c>
      <c r="D42" s="3">
        <f t="shared" si="0"/>
        <v>0.6</v>
      </c>
      <c r="E42" s="1">
        <v>0.4</v>
      </c>
      <c r="F42" s="2">
        <v>0.38</v>
      </c>
      <c r="G42" s="2">
        <v>0.5</v>
      </c>
      <c r="H42" s="2">
        <v>0.12</v>
      </c>
    </row>
    <row r="43" spans="1:8" x14ac:dyDescent="0.25">
      <c r="A43" s="8">
        <v>937</v>
      </c>
      <c r="B43" s="4">
        <v>4012231</v>
      </c>
      <c r="C43" s="3">
        <v>5.8299999999999998E-2</v>
      </c>
      <c r="D43" s="3">
        <f t="shared" si="0"/>
        <v>0.6</v>
      </c>
      <c r="E43" s="1">
        <v>0.4</v>
      </c>
      <c r="F43" s="2">
        <v>0.21</v>
      </c>
      <c r="G43" s="2">
        <v>0.23</v>
      </c>
      <c r="H43" s="2">
        <v>0.56000000000000005</v>
      </c>
    </row>
    <row r="44" spans="1:8" x14ac:dyDescent="0.25">
      <c r="A44" s="8">
        <v>596</v>
      </c>
      <c r="B44" s="4">
        <v>1429611</v>
      </c>
      <c r="C44" s="3">
        <v>5.8200000000000002E-2</v>
      </c>
      <c r="D44" s="3">
        <f t="shared" si="0"/>
        <v>0.4</v>
      </c>
      <c r="E44" s="1">
        <v>0.6</v>
      </c>
      <c r="F44" s="2">
        <v>0.42</v>
      </c>
      <c r="G44" s="2">
        <v>0.28999999999999998</v>
      </c>
      <c r="H44" s="2">
        <v>0.28999999999999998</v>
      </c>
    </row>
    <row r="45" spans="1:8" x14ac:dyDescent="0.25">
      <c r="A45" s="8">
        <v>823</v>
      </c>
      <c r="B45" s="4">
        <v>4501793</v>
      </c>
      <c r="C45" s="3">
        <v>5.8200000000000002E-2</v>
      </c>
      <c r="D45" s="3">
        <f t="shared" si="0"/>
        <v>0.6</v>
      </c>
      <c r="E45" s="1">
        <v>0.4</v>
      </c>
      <c r="F45" s="2">
        <v>0.1</v>
      </c>
      <c r="G45" s="2">
        <v>0.28999999999999998</v>
      </c>
      <c r="H45" s="2">
        <v>0.61</v>
      </c>
    </row>
    <row r="46" spans="1:8" x14ac:dyDescent="0.25">
      <c r="A46" s="8">
        <v>12</v>
      </c>
      <c r="B46" s="4">
        <v>6634913</v>
      </c>
      <c r="C46" s="3">
        <v>5.8099999999999999E-2</v>
      </c>
      <c r="D46" s="3">
        <f t="shared" si="0"/>
        <v>0.6</v>
      </c>
      <c r="E46" s="1">
        <v>0.4</v>
      </c>
      <c r="F46" s="2">
        <v>0.17</v>
      </c>
      <c r="G46" s="2">
        <v>0.39</v>
      </c>
      <c r="H46" s="2">
        <v>0.43999999999999995</v>
      </c>
    </row>
    <row r="47" spans="1:8" x14ac:dyDescent="0.25">
      <c r="A47" s="8">
        <v>588</v>
      </c>
      <c r="B47" s="4">
        <v>5509213</v>
      </c>
      <c r="C47" s="3">
        <v>5.8099999999999999E-2</v>
      </c>
      <c r="D47" s="3">
        <f t="shared" si="0"/>
        <v>0.6</v>
      </c>
      <c r="E47" s="1">
        <v>0.4</v>
      </c>
      <c r="F47" s="2">
        <v>0.16</v>
      </c>
      <c r="G47" s="2">
        <v>0.25</v>
      </c>
      <c r="H47" s="2">
        <v>0.59</v>
      </c>
    </row>
    <row r="48" spans="1:8" x14ac:dyDescent="0.25">
      <c r="A48" s="8">
        <v>211</v>
      </c>
      <c r="B48" s="4">
        <v>8003575</v>
      </c>
      <c r="C48" s="3">
        <v>5.7999999999999996E-2</v>
      </c>
      <c r="D48" s="3">
        <f t="shared" si="0"/>
        <v>0.7</v>
      </c>
      <c r="E48" s="1">
        <v>0.3</v>
      </c>
      <c r="F48" s="2">
        <v>0.18</v>
      </c>
      <c r="G48" s="2">
        <v>0.39</v>
      </c>
      <c r="H48" s="2">
        <v>0.43</v>
      </c>
    </row>
    <row r="49" spans="1:8" x14ac:dyDescent="0.25">
      <c r="A49" s="8">
        <v>677</v>
      </c>
      <c r="B49" s="4">
        <v>6996219</v>
      </c>
      <c r="C49" s="3">
        <v>5.7999999999999996E-2</v>
      </c>
      <c r="D49" s="3">
        <f t="shared" si="0"/>
        <v>0.6</v>
      </c>
      <c r="E49" s="1">
        <v>0.4</v>
      </c>
      <c r="F49" s="2">
        <v>0.17</v>
      </c>
      <c r="G49" s="2">
        <v>0.28000000000000003</v>
      </c>
      <c r="H49" s="2">
        <v>0.54999999999999993</v>
      </c>
    </row>
    <row r="50" spans="1:8" x14ac:dyDescent="0.25">
      <c r="A50" s="8">
        <v>676</v>
      </c>
      <c r="B50" s="4">
        <v>2933752</v>
      </c>
      <c r="C50" s="3">
        <v>5.79E-2</v>
      </c>
      <c r="D50" s="3">
        <f t="shared" si="0"/>
        <v>0.4</v>
      </c>
      <c r="E50" s="1">
        <v>0.6</v>
      </c>
      <c r="F50" s="2">
        <v>0.33</v>
      </c>
      <c r="G50" s="2">
        <v>0.43</v>
      </c>
      <c r="H50" s="2">
        <v>0.24000000000000005</v>
      </c>
    </row>
    <row r="51" spans="1:8" x14ac:dyDescent="0.25">
      <c r="A51" s="8">
        <v>985</v>
      </c>
      <c r="B51" s="4">
        <v>4134405</v>
      </c>
      <c r="C51" s="3">
        <v>5.79E-2</v>
      </c>
      <c r="D51" s="3">
        <f t="shared" si="0"/>
        <v>0.6</v>
      </c>
      <c r="E51" s="1">
        <v>0.4</v>
      </c>
      <c r="F51" s="2">
        <v>0.36</v>
      </c>
      <c r="G51" s="2">
        <v>0.26</v>
      </c>
      <c r="H51" s="2">
        <v>0.38</v>
      </c>
    </row>
    <row r="52" spans="1:8" x14ac:dyDescent="0.25">
      <c r="A52" s="8">
        <v>408</v>
      </c>
      <c r="B52" s="4">
        <v>2527592</v>
      </c>
      <c r="C52" s="3">
        <v>5.7800000000000004E-2</v>
      </c>
      <c r="D52" s="3">
        <f t="shared" si="0"/>
        <v>0.4</v>
      </c>
      <c r="E52" s="1">
        <v>0.6</v>
      </c>
      <c r="F52" s="2">
        <v>0.19</v>
      </c>
      <c r="G52" s="2">
        <v>0.5</v>
      </c>
      <c r="H52" s="2">
        <v>0.31</v>
      </c>
    </row>
    <row r="53" spans="1:8" x14ac:dyDescent="0.25">
      <c r="A53" s="8">
        <v>963</v>
      </c>
      <c r="B53" s="4">
        <v>7909479</v>
      </c>
      <c r="C53" s="3">
        <v>5.7800000000000004E-2</v>
      </c>
      <c r="D53" s="3">
        <f t="shared" si="0"/>
        <v>0.7</v>
      </c>
      <c r="E53" s="1">
        <v>0.3</v>
      </c>
      <c r="F53" s="2">
        <v>0.22</v>
      </c>
      <c r="G53" s="2">
        <v>0.44</v>
      </c>
      <c r="H53" s="2">
        <v>0.34000000000000008</v>
      </c>
    </row>
    <row r="54" spans="1:8" x14ac:dyDescent="0.25">
      <c r="A54" s="8">
        <v>120</v>
      </c>
      <c r="B54" s="4">
        <v>4687106</v>
      </c>
      <c r="C54" s="3">
        <v>5.7699999999999994E-2</v>
      </c>
      <c r="D54" s="3">
        <f t="shared" si="0"/>
        <v>0.6</v>
      </c>
      <c r="E54" s="1">
        <v>0.4</v>
      </c>
      <c r="F54" s="2">
        <v>0.21</v>
      </c>
      <c r="G54" s="2">
        <v>0.32</v>
      </c>
      <c r="H54" s="2">
        <v>0.47</v>
      </c>
    </row>
    <row r="55" spans="1:8" x14ac:dyDescent="0.25">
      <c r="A55" s="8">
        <v>252</v>
      </c>
      <c r="B55" s="4">
        <v>6816708</v>
      </c>
      <c r="C55" s="3">
        <v>5.7699999999999994E-2</v>
      </c>
      <c r="D55" s="3">
        <f t="shared" si="0"/>
        <v>0.6</v>
      </c>
      <c r="E55" s="1">
        <v>0.4</v>
      </c>
      <c r="F55" s="2">
        <v>0.21</v>
      </c>
      <c r="G55" s="2">
        <v>0.43</v>
      </c>
      <c r="H55" s="2">
        <v>0.3600000000000001</v>
      </c>
    </row>
    <row r="56" spans="1:8" x14ac:dyDescent="0.25">
      <c r="A56" s="8">
        <v>467</v>
      </c>
      <c r="B56" s="4">
        <v>3479612</v>
      </c>
      <c r="C56" s="3">
        <v>5.7599999999999998E-2</v>
      </c>
      <c r="D56" s="3">
        <f t="shared" si="0"/>
        <v>0.6</v>
      </c>
      <c r="E56" s="1">
        <v>0.4</v>
      </c>
      <c r="F56" s="2">
        <v>0.24</v>
      </c>
      <c r="G56" s="2">
        <v>0.31</v>
      </c>
      <c r="H56" s="2">
        <v>0.44999999999999996</v>
      </c>
    </row>
    <row r="57" spans="1:8" x14ac:dyDescent="0.25">
      <c r="A57" s="8">
        <v>554</v>
      </c>
      <c r="B57" s="4">
        <v>3805933</v>
      </c>
      <c r="C57" s="3">
        <v>5.7500000000000002E-2</v>
      </c>
      <c r="D57" s="3">
        <f t="shared" si="0"/>
        <v>0.6</v>
      </c>
      <c r="E57" s="1">
        <v>0.4</v>
      </c>
      <c r="F57" s="2">
        <v>0.28000000000000003</v>
      </c>
      <c r="G57" s="2">
        <v>0.27</v>
      </c>
      <c r="H57" s="2">
        <v>0.44999999999999996</v>
      </c>
    </row>
    <row r="58" spans="1:8" x14ac:dyDescent="0.25">
      <c r="A58" s="8">
        <v>592</v>
      </c>
      <c r="B58" s="4">
        <v>6296302</v>
      </c>
      <c r="C58" s="3">
        <v>5.7500000000000002E-2</v>
      </c>
      <c r="D58" s="3">
        <f t="shared" si="0"/>
        <v>0.6</v>
      </c>
      <c r="E58" s="1">
        <v>0.4</v>
      </c>
      <c r="F58" s="2">
        <v>0.21</v>
      </c>
      <c r="G58" s="2">
        <v>0.32</v>
      </c>
      <c r="H58" s="2">
        <v>0.47</v>
      </c>
    </row>
    <row r="59" spans="1:8" x14ac:dyDescent="0.25">
      <c r="A59" s="8">
        <v>347</v>
      </c>
      <c r="B59" s="4">
        <v>8422823</v>
      </c>
      <c r="C59" s="3">
        <v>5.74E-2</v>
      </c>
      <c r="D59" s="3">
        <f t="shared" si="0"/>
        <v>0.7</v>
      </c>
      <c r="E59" s="1">
        <v>0.3</v>
      </c>
      <c r="F59" s="2">
        <v>0.31</v>
      </c>
      <c r="G59" s="2">
        <v>0.31</v>
      </c>
      <c r="H59" s="2">
        <v>0.37999999999999995</v>
      </c>
    </row>
    <row r="60" spans="1:8" x14ac:dyDescent="0.25">
      <c r="A60" s="8">
        <v>440</v>
      </c>
      <c r="B60" s="4">
        <v>6097466</v>
      </c>
      <c r="C60" s="3">
        <v>5.74E-2</v>
      </c>
      <c r="D60" s="3">
        <f t="shared" si="0"/>
        <v>0.6</v>
      </c>
      <c r="E60" s="1">
        <v>0.4</v>
      </c>
      <c r="F60" s="2">
        <v>0.34</v>
      </c>
      <c r="G60" s="2">
        <v>0.22</v>
      </c>
      <c r="H60" s="2">
        <v>0.44</v>
      </c>
    </row>
    <row r="61" spans="1:8" x14ac:dyDescent="0.25">
      <c r="A61" s="8">
        <v>781</v>
      </c>
      <c r="B61" s="4">
        <v>7905861</v>
      </c>
      <c r="C61" s="3">
        <v>5.74E-2</v>
      </c>
      <c r="D61" s="3">
        <f t="shared" si="0"/>
        <v>0.7</v>
      </c>
      <c r="E61" s="1">
        <v>0.3</v>
      </c>
      <c r="F61" s="2">
        <v>0.34</v>
      </c>
      <c r="G61" s="2">
        <v>0.25</v>
      </c>
      <c r="H61" s="2">
        <v>0.41</v>
      </c>
    </row>
    <row r="62" spans="1:8" x14ac:dyDescent="0.25">
      <c r="A62" s="8">
        <v>816</v>
      </c>
      <c r="B62" s="4">
        <v>6363725</v>
      </c>
      <c r="C62" s="3">
        <v>5.7300000000000004E-2</v>
      </c>
      <c r="D62" s="3">
        <f t="shared" si="0"/>
        <v>0.6</v>
      </c>
      <c r="E62" s="1">
        <v>0.4</v>
      </c>
      <c r="F62" s="2">
        <v>0.15</v>
      </c>
      <c r="G62" s="2">
        <v>0.47</v>
      </c>
      <c r="H62" s="2">
        <v>0.38</v>
      </c>
    </row>
    <row r="63" spans="1:8" x14ac:dyDescent="0.25">
      <c r="A63" s="8">
        <v>131</v>
      </c>
      <c r="B63" s="4">
        <v>8675428</v>
      </c>
      <c r="C63" s="3">
        <v>5.7200000000000001E-2</v>
      </c>
      <c r="D63" s="3">
        <f t="shared" si="0"/>
        <v>0.7</v>
      </c>
      <c r="E63" s="1">
        <v>0.3</v>
      </c>
      <c r="F63" s="2">
        <v>0.12</v>
      </c>
      <c r="G63" s="2">
        <v>0.45</v>
      </c>
      <c r="H63" s="2">
        <v>0.43000000000000005</v>
      </c>
    </row>
    <row r="64" spans="1:8" x14ac:dyDescent="0.25">
      <c r="A64" s="8">
        <v>958</v>
      </c>
      <c r="B64" s="4">
        <v>521293</v>
      </c>
      <c r="C64" s="3">
        <v>5.7200000000000001E-2</v>
      </c>
      <c r="D64" s="3">
        <f t="shared" si="0"/>
        <v>0.4</v>
      </c>
      <c r="E64" s="1">
        <v>0.6</v>
      </c>
      <c r="F64" s="2">
        <v>0.12</v>
      </c>
      <c r="G64" s="2">
        <v>0.37</v>
      </c>
      <c r="H64" s="2">
        <v>0.51</v>
      </c>
    </row>
    <row r="65" spans="1:8" x14ac:dyDescent="0.25">
      <c r="A65" s="8">
        <v>979</v>
      </c>
      <c r="B65" s="4">
        <v>938248</v>
      </c>
      <c r="C65" s="3">
        <v>5.7200000000000001E-2</v>
      </c>
      <c r="D65" s="3">
        <f t="shared" si="0"/>
        <v>0.4</v>
      </c>
      <c r="E65" s="1">
        <v>0.6</v>
      </c>
      <c r="F65" s="2">
        <v>0.4</v>
      </c>
      <c r="G65" s="2">
        <v>0.46</v>
      </c>
      <c r="H65" s="2">
        <v>0.14000000000000001</v>
      </c>
    </row>
    <row r="66" spans="1:8" x14ac:dyDescent="0.25">
      <c r="A66" s="8">
        <v>33</v>
      </c>
      <c r="B66" s="4">
        <v>5961998</v>
      </c>
      <c r="C66" s="3">
        <v>5.7099999999999998E-2</v>
      </c>
      <c r="D66" s="3">
        <f t="shared" ref="D66:D129" si="1">1-E66</f>
        <v>0.6</v>
      </c>
      <c r="E66" s="1">
        <v>0.4</v>
      </c>
      <c r="F66" s="2">
        <v>0.42</v>
      </c>
      <c r="G66" s="2">
        <v>0.28000000000000003</v>
      </c>
      <c r="H66" s="2">
        <v>0.3</v>
      </c>
    </row>
    <row r="67" spans="1:8" x14ac:dyDescent="0.25">
      <c r="A67" s="8">
        <v>334</v>
      </c>
      <c r="B67" s="4">
        <v>9402034</v>
      </c>
      <c r="C67" s="3">
        <v>5.7099999999999998E-2</v>
      </c>
      <c r="D67" s="3">
        <f t="shared" si="1"/>
        <v>0.7</v>
      </c>
      <c r="E67" s="1">
        <v>0.3</v>
      </c>
      <c r="F67" s="2">
        <v>0.24</v>
      </c>
      <c r="G67" s="2">
        <v>0.46</v>
      </c>
      <c r="H67" s="2">
        <v>0.30000000000000004</v>
      </c>
    </row>
    <row r="68" spans="1:8" x14ac:dyDescent="0.25">
      <c r="A68" s="8">
        <v>261</v>
      </c>
      <c r="B68" s="4">
        <v>579034</v>
      </c>
      <c r="C68" s="3">
        <v>5.7000000000000002E-2</v>
      </c>
      <c r="D68" s="3">
        <f t="shared" si="1"/>
        <v>0.4</v>
      </c>
      <c r="E68" s="1">
        <v>0.6</v>
      </c>
      <c r="F68" s="2">
        <v>0.3</v>
      </c>
      <c r="G68" s="2">
        <v>0.42</v>
      </c>
      <c r="H68" s="2">
        <v>0.28000000000000008</v>
      </c>
    </row>
    <row r="69" spans="1:8" x14ac:dyDescent="0.25">
      <c r="A69" s="8">
        <v>333</v>
      </c>
      <c r="B69" s="4">
        <v>8320743</v>
      </c>
      <c r="C69" s="3">
        <v>5.7000000000000002E-2</v>
      </c>
      <c r="D69" s="3">
        <f t="shared" si="1"/>
        <v>0.7</v>
      </c>
      <c r="E69" s="1">
        <v>0.3</v>
      </c>
      <c r="F69" s="2">
        <v>0.44</v>
      </c>
      <c r="G69" s="2">
        <v>0.28000000000000003</v>
      </c>
      <c r="H69" s="2">
        <v>0.27999999999999997</v>
      </c>
    </row>
    <row r="70" spans="1:8" x14ac:dyDescent="0.25">
      <c r="A70" s="8">
        <v>67</v>
      </c>
      <c r="B70" s="4">
        <v>8049011</v>
      </c>
      <c r="C70" s="3">
        <v>5.6900000000000006E-2</v>
      </c>
      <c r="D70" s="3">
        <f t="shared" si="1"/>
        <v>0.7</v>
      </c>
      <c r="E70" s="1">
        <v>0.3</v>
      </c>
      <c r="F70" s="2">
        <v>0.14000000000000001</v>
      </c>
      <c r="G70" s="2">
        <v>0.2</v>
      </c>
      <c r="H70" s="2">
        <v>0.66</v>
      </c>
    </row>
    <row r="71" spans="1:8" x14ac:dyDescent="0.25">
      <c r="A71" s="8">
        <v>439</v>
      </c>
      <c r="B71" s="4">
        <v>6225918</v>
      </c>
      <c r="C71" s="3">
        <v>5.6900000000000006E-2</v>
      </c>
      <c r="D71" s="3">
        <f t="shared" si="1"/>
        <v>0.6</v>
      </c>
      <c r="E71" s="1">
        <v>0.4</v>
      </c>
      <c r="F71" s="2">
        <v>0.13</v>
      </c>
      <c r="G71" s="2">
        <v>0.43</v>
      </c>
      <c r="H71" s="2">
        <v>0.44000000000000006</v>
      </c>
    </row>
    <row r="72" spans="1:8" x14ac:dyDescent="0.25">
      <c r="A72" s="8">
        <v>637</v>
      </c>
      <c r="B72" s="4">
        <v>2769690</v>
      </c>
      <c r="C72" s="3">
        <v>5.6799999999999996E-2</v>
      </c>
      <c r="D72" s="3">
        <f t="shared" si="1"/>
        <v>0.4</v>
      </c>
      <c r="E72" s="1">
        <v>0.6</v>
      </c>
      <c r="F72" s="2">
        <v>0.18</v>
      </c>
      <c r="G72" s="2">
        <v>0.26</v>
      </c>
      <c r="H72" s="2">
        <v>0.56000000000000005</v>
      </c>
    </row>
    <row r="73" spans="1:8" x14ac:dyDescent="0.25">
      <c r="A73" s="8">
        <v>424</v>
      </c>
      <c r="B73" s="4">
        <v>722594</v>
      </c>
      <c r="C73" s="3">
        <v>5.6600000000000004E-2</v>
      </c>
      <c r="D73" s="3">
        <f t="shared" si="1"/>
        <v>0.4</v>
      </c>
      <c r="E73" s="1">
        <v>0.6</v>
      </c>
      <c r="F73" s="2">
        <v>0.25</v>
      </c>
      <c r="G73" s="2">
        <v>0.49</v>
      </c>
      <c r="H73" s="2">
        <v>0.26</v>
      </c>
    </row>
    <row r="74" spans="1:8" x14ac:dyDescent="0.25">
      <c r="A74" s="8">
        <v>459</v>
      </c>
      <c r="B74" s="4">
        <v>5410150</v>
      </c>
      <c r="C74" s="3">
        <v>5.6399999999999999E-2</v>
      </c>
      <c r="D74" s="3">
        <f t="shared" si="1"/>
        <v>0.6</v>
      </c>
      <c r="E74" s="1">
        <v>0.4</v>
      </c>
      <c r="F74" s="2">
        <v>0.14000000000000001</v>
      </c>
      <c r="G74" s="2">
        <v>0.47</v>
      </c>
      <c r="H74" s="2">
        <v>0.39</v>
      </c>
    </row>
    <row r="75" spans="1:8" x14ac:dyDescent="0.25">
      <c r="A75" s="8">
        <v>947</v>
      </c>
      <c r="B75" s="4">
        <v>5501895</v>
      </c>
      <c r="C75" s="3">
        <v>5.6299999999999996E-2</v>
      </c>
      <c r="D75" s="3">
        <f t="shared" si="1"/>
        <v>0.6</v>
      </c>
      <c r="E75" s="1">
        <v>0.4</v>
      </c>
      <c r="F75" s="2">
        <v>0.44</v>
      </c>
      <c r="G75" s="2">
        <v>0.21</v>
      </c>
      <c r="H75" s="2">
        <v>0.35000000000000003</v>
      </c>
    </row>
    <row r="76" spans="1:8" x14ac:dyDescent="0.25">
      <c r="A76" s="8">
        <v>977</v>
      </c>
      <c r="B76" s="4">
        <v>1339023</v>
      </c>
      <c r="C76" s="3">
        <v>5.6299999999999996E-2</v>
      </c>
      <c r="D76" s="3">
        <f t="shared" si="1"/>
        <v>0.4</v>
      </c>
      <c r="E76" s="1">
        <v>0.6</v>
      </c>
      <c r="F76" s="2">
        <v>0.28000000000000003</v>
      </c>
      <c r="G76" s="2">
        <v>0.45</v>
      </c>
      <c r="H76" s="2">
        <v>0.27</v>
      </c>
    </row>
    <row r="77" spans="1:8" x14ac:dyDescent="0.25">
      <c r="A77" s="8">
        <v>982</v>
      </c>
      <c r="B77" s="4">
        <v>7542021</v>
      </c>
      <c r="C77" s="3">
        <v>5.6299999999999996E-2</v>
      </c>
      <c r="D77" s="3">
        <f t="shared" si="1"/>
        <v>0.7</v>
      </c>
      <c r="E77" s="1">
        <v>0.3</v>
      </c>
      <c r="F77" s="2">
        <v>0.25</v>
      </c>
      <c r="G77" s="2">
        <v>0.49</v>
      </c>
      <c r="H77" s="2">
        <v>0.26</v>
      </c>
    </row>
    <row r="78" spans="1:8" x14ac:dyDescent="0.25">
      <c r="A78" s="8">
        <v>92</v>
      </c>
      <c r="B78" s="4">
        <v>7824263</v>
      </c>
      <c r="C78" s="3">
        <v>5.62E-2</v>
      </c>
      <c r="D78" s="3">
        <f t="shared" si="1"/>
        <v>0.7</v>
      </c>
      <c r="E78" s="1">
        <v>0.3</v>
      </c>
      <c r="F78" s="2">
        <v>0.38</v>
      </c>
      <c r="G78" s="2">
        <v>0.36</v>
      </c>
      <c r="H78" s="2">
        <v>0.26</v>
      </c>
    </row>
    <row r="79" spans="1:8" x14ac:dyDescent="0.25">
      <c r="A79" s="8">
        <v>530</v>
      </c>
      <c r="B79" s="4">
        <v>8421527</v>
      </c>
      <c r="C79" s="3">
        <v>5.62E-2</v>
      </c>
      <c r="D79" s="3">
        <f t="shared" si="1"/>
        <v>0.7</v>
      </c>
      <c r="E79" s="1">
        <v>0.3</v>
      </c>
      <c r="F79" s="2">
        <v>0.15</v>
      </c>
      <c r="G79" s="2">
        <v>0.3</v>
      </c>
      <c r="H79" s="2">
        <v>0.54999999999999993</v>
      </c>
    </row>
    <row r="80" spans="1:8" x14ac:dyDescent="0.25">
      <c r="A80" s="8">
        <v>628</v>
      </c>
      <c r="B80" s="4">
        <v>6338420</v>
      </c>
      <c r="C80" s="3">
        <v>5.62E-2</v>
      </c>
      <c r="D80" s="3">
        <f t="shared" si="1"/>
        <v>0.6</v>
      </c>
      <c r="E80" s="1">
        <v>0.4</v>
      </c>
      <c r="F80" s="2">
        <v>0.17</v>
      </c>
      <c r="G80" s="2">
        <v>0.46</v>
      </c>
      <c r="H80" s="2">
        <v>0.37</v>
      </c>
    </row>
    <row r="81" spans="1:8" x14ac:dyDescent="0.25">
      <c r="A81" s="8">
        <v>326</v>
      </c>
      <c r="B81" s="4">
        <v>4513497</v>
      </c>
      <c r="C81" s="3">
        <v>5.6100000000000004E-2</v>
      </c>
      <c r="D81" s="3">
        <f t="shared" si="1"/>
        <v>0.6</v>
      </c>
      <c r="E81" s="1">
        <v>0.4</v>
      </c>
      <c r="F81" s="2">
        <v>0.18</v>
      </c>
      <c r="G81" s="2">
        <v>0.31</v>
      </c>
      <c r="H81" s="2">
        <v>0.51</v>
      </c>
    </row>
    <row r="82" spans="1:8" x14ac:dyDescent="0.25">
      <c r="A82" s="8">
        <v>971</v>
      </c>
      <c r="B82" s="4">
        <v>1058596</v>
      </c>
      <c r="C82" s="3">
        <v>5.6100000000000004E-2</v>
      </c>
      <c r="D82" s="3">
        <f t="shared" si="1"/>
        <v>0.4</v>
      </c>
      <c r="E82" s="1">
        <v>0.6</v>
      </c>
      <c r="F82" s="2">
        <v>0.24</v>
      </c>
      <c r="G82" s="2">
        <v>0.48</v>
      </c>
      <c r="H82" s="2">
        <v>0.28000000000000003</v>
      </c>
    </row>
    <row r="83" spans="1:8" x14ac:dyDescent="0.25">
      <c r="A83" s="8">
        <v>322</v>
      </c>
      <c r="B83" s="4">
        <v>1967157</v>
      </c>
      <c r="C83" s="3">
        <v>5.5999999999999994E-2</v>
      </c>
      <c r="D83" s="3">
        <f t="shared" si="1"/>
        <v>0.4</v>
      </c>
      <c r="E83" s="1">
        <v>0.6</v>
      </c>
      <c r="F83" s="2">
        <v>0.12</v>
      </c>
      <c r="G83" s="2">
        <v>0.22</v>
      </c>
      <c r="H83" s="2">
        <v>0.66</v>
      </c>
    </row>
    <row r="84" spans="1:8" x14ac:dyDescent="0.25">
      <c r="A84" s="8">
        <v>611</v>
      </c>
      <c r="B84" s="4">
        <v>4906472</v>
      </c>
      <c r="C84" s="3">
        <v>5.5999999999999994E-2</v>
      </c>
      <c r="D84" s="3">
        <f t="shared" si="1"/>
        <v>0.6</v>
      </c>
      <c r="E84" s="1">
        <v>0.4</v>
      </c>
      <c r="F84" s="2">
        <v>0.44</v>
      </c>
      <c r="G84" s="2">
        <v>0.46</v>
      </c>
      <c r="H84" s="2">
        <v>0.10000000000000003</v>
      </c>
    </row>
    <row r="85" spans="1:8" x14ac:dyDescent="0.25">
      <c r="A85" s="8">
        <v>1030</v>
      </c>
      <c r="B85" s="4">
        <v>8945016</v>
      </c>
      <c r="C85" s="3">
        <v>5.5999999999999994E-2</v>
      </c>
      <c r="D85" s="3">
        <f t="shared" si="1"/>
        <v>0.7</v>
      </c>
      <c r="E85" s="1">
        <v>0.3</v>
      </c>
      <c r="F85" s="2">
        <v>0.45</v>
      </c>
      <c r="G85" s="2">
        <v>0.5</v>
      </c>
      <c r="H85" s="2">
        <v>4.9999999999999989E-2</v>
      </c>
    </row>
    <row r="86" spans="1:8" x14ac:dyDescent="0.25">
      <c r="A86" s="8">
        <v>468</v>
      </c>
      <c r="B86" s="4">
        <v>5860618</v>
      </c>
      <c r="C86" s="3">
        <v>5.5899999999999998E-2</v>
      </c>
      <c r="D86" s="3">
        <f t="shared" si="1"/>
        <v>0.6</v>
      </c>
      <c r="E86" s="1">
        <v>0.4</v>
      </c>
      <c r="F86" s="2">
        <v>0.11</v>
      </c>
      <c r="G86" s="2">
        <v>0.5</v>
      </c>
      <c r="H86" s="2">
        <v>0.39</v>
      </c>
    </row>
    <row r="87" spans="1:8" x14ac:dyDescent="0.25">
      <c r="A87" s="8">
        <v>801</v>
      </c>
      <c r="B87" s="4">
        <v>8354137</v>
      </c>
      <c r="C87" s="3">
        <v>5.57E-2</v>
      </c>
      <c r="D87" s="3">
        <f t="shared" si="1"/>
        <v>0.7</v>
      </c>
      <c r="E87" s="1">
        <v>0.3</v>
      </c>
      <c r="F87" s="2">
        <v>0.4</v>
      </c>
      <c r="G87" s="2">
        <v>0.34</v>
      </c>
      <c r="H87" s="2">
        <v>0.2599999999999999</v>
      </c>
    </row>
    <row r="88" spans="1:8" x14ac:dyDescent="0.25">
      <c r="A88" s="8">
        <v>205</v>
      </c>
      <c r="B88" s="4">
        <v>7191379</v>
      </c>
      <c r="C88" s="3">
        <v>5.5599999999999997E-2</v>
      </c>
      <c r="D88" s="3">
        <f t="shared" si="1"/>
        <v>0.7</v>
      </c>
      <c r="E88" s="1">
        <v>0.3</v>
      </c>
      <c r="F88" s="2">
        <v>0.14000000000000001</v>
      </c>
      <c r="G88" s="2">
        <v>0.23</v>
      </c>
      <c r="H88" s="2">
        <v>0.63</v>
      </c>
    </row>
    <row r="89" spans="1:8" x14ac:dyDescent="0.25">
      <c r="A89" s="8">
        <v>773</v>
      </c>
      <c r="B89" s="4">
        <v>6101259</v>
      </c>
      <c r="C89" s="3">
        <v>5.5599999999999997E-2</v>
      </c>
      <c r="D89" s="3">
        <f t="shared" si="1"/>
        <v>0.6</v>
      </c>
      <c r="E89" s="1">
        <v>0.4</v>
      </c>
      <c r="F89" s="2">
        <v>0.43</v>
      </c>
      <c r="G89" s="2">
        <v>0.28999999999999998</v>
      </c>
      <c r="H89" s="2">
        <v>0.27999999999999997</v>
      </c>
    </row>
    <row r="90" spans="1:8" x14ac:dyDescent="0.25">
      <c r="A90" s="8">
        <v>40</v>
      </c>
      <c r="B90" s="4">
        <v>4873722</v>
      </c>
      <c r="C90" s="3">
        <v>5.5500000000000001E-2</v>
      </c>
      <c r="D90" s="3">
        <f t="shared" si="1"/>
        <v>0.6</v>
      </c>
      <c r="E90" s="1">
        <v>0.4</v>
      </c>
      <c r="F90" s="2">
        <v>0.44</v>
      </c>
      <c r="G90" s="2">
        <v>0.4</v>
      </c>
      <c r="H90" s="2">
        <v>0.15999999999999998</v>
      </c>
    </row>
    <row r="91" spans="1:8" x14ac:dyDescent="0.25">
      <c r="A91" s="8">
        <v>293</v>
      </c>
      <c r="B91" s="4">
        <v>9502294</v>
      </c>
      <c r="C91" s="3">
        <v>5.5500000000000001E-2</v>
      </c>
      <c r="D91" s="3">
        <f t="shared" si="1"/>
        <v>0.7</v>
      </c>
      <c r="E91" s="1">
        <v>0.3</v>
      </c>
      <c r="F91" s="2">
        <v>0.21</v>
      </c>
      <c r="G91" s="2">
        <v>0.41</v>
      </c>
      <c r="H91" s="2">
        <v>0.38000000000000012</v>
      </c>
    </row>
    <row r="92" spans="1:8" x14ac:dyDescent="0.25">
      <c r="A92" s="8">
        <v>675</v>
      </c>
      <c r="B92" s="4">
        <v>2690212</v>
      </c>
      <c r="C92" s="3">
        <v>5.5500000000000001E-2</v>
      </c>
      <c r="D92" s="3">
        <f t="shared" si="1"/>
        <v>0.4</v>
      </c>
      <c r="E92" s="1">
        <v>0.6</v>
      </c>
      <c r="F92" s="2">
        <v>0.32</v>
      </c>
      <c r="G92" s="2">
        <v>0.26</v>
      </c>
      <c r="H92" s="2">
        <v>0.42</v>
      </c>
    </row>
    <row r="93" spans="1:8" x14ac:dyDescent="0.25">
      <c r="A93" s="8">
        <v>860</v>
      </c>
      <c r="B93" s="4">
        <v>2402603</v>
      </c>
      <c r="C93" s="3">
        <v>5.5500000000000001E-2</v>
      </c>
      <c r="D93" s="3">
        <f t="shared" si="1"/>
        <v>0.4</v>
      </c>
      <c r="E93" s="1">
        <v>0.6</v>
      </c>
      <c r="F93" s="2">
        <v>0.24</v>
      </c>
      <c r="G93" s="2">
        <v>0.31</v>
      </c>
      <c r="H93" s="2">
        <v>0.44999999999999996</v>
      </c>
    </row>
    <row r="94" spans="1:8" x14ac:dyDescent="0.25">
      <c r="A94" s="8">
        <v>311</v>
      </c>
      <c r="B94" s="4">
        <v>6500613</v>
      </c>
      <c r="C94" s="3">
        <v>5.5399999999999998E-2</v>
      </c>
      <c r="D94" s="3">
        <f t="shared" si="1"/>
        <v>0.6</v>
      </c>
      <c r="E94" s="1">
        <v>0.4</v>
      </c>
      <c r="F94" s="2">
        <v>0.35</v>
      </c>
      <c r="G94" s="2">
        <v>0.43</v>
      </c>
      <c r="H94" s="2">
        <v>0.22000000000000008</v>
      </c>
    </row>
    <row r="95" spans="1:8" x14ac:dyDescent="0.25">
      <c r="A95" s="8">
        <v>917</v>
      </c>
      <c r="B95" s="4">
        <v>3044759</v>
      </c>
      <c r="C95" s="3">
        <v>5.5399999999999998E-2</v>
      </c>
      <c r="D95" s="3">
        <f t="shared" si="1"/>
        <v>0.6</v>
      </c>
      <c r="E95" s="1">
        <v>0.4</v>
      </c>
      <c r="F95" s="2">
        <v>0.35</v>
      </c>
      <c r="G95" s="2">
        <v>0.41</v>
      </c>
      <c r="H95" s="2">
        <v>0.2400000000000001</v>
      </c>
    </row>
    <row r="96" spans="1:8" x14ac:dyDescent="0.25">
      <c r="A96" s="8">
        <v>137</v>
      </c>
      <c r="B96" s="4">
        <v>7098599</v>
      </c>
      <c r="C96" s="3">
        <v>5.5300000000000002E-2</v>
      </c>
      <c r="D96" s="3">
        <f t="shared" si="1"/>
        <v>0.7</v>
      </c>
      <c r="E96" s="1">
        <v>0.3</v>
      </c>
      <c r="F96" s="2">
        <v>0.36</v>
      </c>
      <c r="G96" s="2">
        <v>0.37</v>
      </c>
      <c r="H96" s="2">
        <v>0.27</v>
      </c>
    </row>
    <row r="97" spans="1:8" x14ac:dyDescent="0.25">
      <c r="A97" s="8">
        <v>394</v>
      </c>
      <c r="B97" s="4">
        <v>2737185</v>
      </c>
      <c r="C97" s="3">
        <v>5.5300000000000002E-2</v>
      </c>
      <c r="D97" s="3">
        <f t="shared" si="1"/>
        <v>0.4</v>
      </c>
      <c r="E97" s="1">
        <v>0.6</v>
      </c>
      <c r="F97" s="2">
        <v>0.38</v>
      </c>
      <c r="G97" s="2">
        <v>0.25</v>
      </c>
      <c r="H97" s="2">
        <v>0.37</v>
      </c>
    </row>
    <row r="98" spans="1:8" x14ac:dyDescent="0.25">
      <c r="A98" s="8">
        <v>849</v>
      </c>
      <c r="B98" s="4">
        <v>2176235</v>
      </c>
      <c r="C98" s="3">
        <v>5.5300000000000002E-2</v>
      </c>
      <c r="D98" s="3">
        <f t="shared" si="1"/>
        <v>0.4</v>
      </c>
      <c r="E98" s="1">
        <v>0.6</v>
      </c>
      <c r="F98" s="2">
        <v>0.35</v>
      </c>
      <c r="G98" s="2">
        <v>0.31</v>
      </c>
      <c r="H98" s="2">
        <v>0.33999999999999997</v>
      </c>
    </row>
    <row r="99" spans="1:8" x14ac:dyDescent="0.25">
      <c r="A99" s="8">
        <v>959</v>
      </c>
      <c r="B99" s="4">
        <v>498114</v>
      </c>
      <c r="C99" s="3">
        <v>5.5199999999999999E-2</v>
      </c>
      <c r="D99" s="3">
        <f t="shared" si="1"/>
        <v>0.4</v>
      </c>
      <c r="E99" s="1">
        <v>0.6</v>
      </c>
      <c r="F99" s="2">
        <v>0.43</v>
      </c>
      <c r="G99" s="2">
        <v>0.3</v>
      </c>
      <c r="H99" s="2">
        <v>0.26999999999999996</v>
      </c>
    </row>
    <row r="100" spans="1:8" x14ac:dyDescent="0.25">
      <c r="A100" s="8">
        <v>161</v>
      </c>
      <c r="B100" s="4">
        <v>155276</v>
      </c>
      <c r="C100" s="3">
        <v>5.5099999999999996E-2</v>
      </c>
      <c r="D100" s="3">
        <f t="shared" si="1"/>
        <v>0.4</v>
      </c>
      <c r="E100" s="1">
        <v>0.6</v>
      </c>
      <c r="F100" s="2">
        <v>0.27</v>
      </c>
      <c r="G100" s="2">
        <v>0.34</v>
      </c>
      <c r="H100" s="2">
        <v>0.3899999999999999</v>
      </c>
    </row>
    <row r="101" spans="1:8" x14ac:dyDescent="0.25">
      <c r="A101" s="8">
        <v>409</v>
      </c>
      <c r="B101" s="4">
        <v>269030</v>
      </c>
      <c r="C101" s="3">
        <v>5.5099999999999996E-2</v>
      </c>
      <c r="D101" s="3">
        <f t="shared" si="1"/>
        <v>0.4</v>
      </c>
      <c r="E101" s="1">
        <v>0.6</v>
      </c>
      <c r="F101" s="2">
        <v>0.17</v>
      </c>
      <c r="G101" s="2">
        <v>0.39</v>
      </c>
      <c r="H101" s="2">
        <v>0.43999999999999995</v>
      </c>
    </row>
    <row r="102" spans="1:8" x14ac:dyDescent="0.25">
      <c r="A102" s="8">
        <v>465</v>
      </c>
      <c r="B102" s="4">
        <v>7172662</v>
      </c>
      <c r="C102" s="3">
        <v>5.5E-2</v>
      </c>
      <c r="D102" s="3">
        <f t="shared" si="1"/>
        <v>0.7</v>
      </c>
      <c r="E102" s="1">
        <v>0.3</v>
      </c>
      <c r="F102" s="2">
        <v>0.41</v>
      </c>
      <c r="G102" s="2">
        <v>0.23</v>
      </c>
      <c r="H102" s="2">
        <v>0.36000000000000004</v>
      </c>
    </row>
    <row r="103" spans="1:8" x14ac:dyDescent="0.25">
      <c r="A103" s="8">
        <v>631</v>
      </c>
      <c r="B103" s="4">
        <v>4873981</v>
      </c>
      <c r="C103" s="3">
        <v>5.5E-2</v>
      </c>
      <c r="D103" s="3">
        <f t="shared" si="1"/>
        <v>0.6</v>
      </c>
      <c r="E103" s="1">
        <v>0.4</v>
      </c>
      <c r="F103" s="2">
        <v>0.34</v>
      </c>
      <c r="G103" s="2">
        <v>0.46</v>
      </c>
      <c r="H103" s="2">
        <v>0.2</v>
      </c>
    </row>
    <row r="104" spans="1:8" x14ac:dyDescent="0.25">
      <c r="A104" s="8">
        <v>642</v>
      </c>
      <c r="B104" s="4">
        <v>9316810</v>
      </c>
      <c r="C104" s="3">
        <v>5.5E-2</v>
      </c>
      <c r="D104" s="3">
        <f t="shared" si="1"/>
        <v>0.7</v>
      </c>
      <c r="E104" s="1">
        <v>0.3</v>
      </c>
      <c r="F104" s="2">
        <v>0.16</v>
      </c>
      <c r="G104" s="2">
        <v>0.33</v>
      </c>
      <c r="H104" s="2">
        <v>0.5099999999999999</v>
      </c>
    </row>
    <row r="105" spans="1:8" x14ac:dyDescent="0.25">
      <c r="A105" s="8">
        <v>20</v>
      </c>
      <c r="B105" s="4">
        <v>9926474</v>
      </c>
      <c r="C105" s="3">
        <v>5.4900000000000004E-2</v>
      </c>
      <c r="D105" s="3">
        <f t="shared" si="1"/>
        <v>0.7</v>
      </c>
      <c r="E105" s="1">
        <v>0.3</v>
      </c>
      <c r="F105" s="2">
        <v>0.15</v>
      </c>
      <c r="G105" s="2">
        <v>0.45</v>
      </c>
      <c r="H105" s="2">
        <v>0.4</v>
      </c>
    </row>
    <row r="106" spans="1:8" x14ac:dyDescent="0.25">
      <c r="A106" s="8">
        <v>365</v>
      </c>
      <c r="B106" s="4">
        <v>817876</v>
      </c>
      <c r="C106" s="3">
        <v>5.4900000000000004E-2</v>
      </c>
      <c r="D106" s="3">
        <f t="shared" si="1"/>
        <v>0.4</v>
      </c>
      <c r="E106" s="1">
        <v>0.6</v>
      </c>
      <c r="F106" s="2">
        <v>0.41</v>
      </c>
      <c r="G106" s="2">
        <v>0.22</v>
      </c>
      <c r="H106" s="2">
        <v>0.37000000000000005</v>
      </c>
    </row>
    <row r="107" spans="1:8" x14ac:dyDescent="0.25">
      <c r="A107" s="8">
        <v>1037</v>
      </c>
      <c r="B107" s="4">
        <v>1144178</v>
      </c>
      <c r="C107" s="3">
        <v>5.4900000000000004E-2</v>
      </c>
      <c r="D107" s="3">
        <f t="shared" si="1"/>
        <v>0.4</v>
      </c>
      <c r="E107" s="1">
        <v>0.6</v>
      </c>
      <c r="F107" s="2">
        <v>0.19</v>
      </c>
      <c r="G107" s="2">
        <v>0.38</v>
      </c>
      <c r="H107" s="2">
        <v>0.43</v>
      </c>
    </row>
    <row r="108" spans="1:8" x14ac:dyDescent="0.25">
      <c r="A108" s="8">
        <v>235</v>
      </c>
      <c r="B108" s="4">
        <v>1326602</v>
      </c>
      <c r="C108" s="3">
        <v>5.4800000000000001E-2</v>
      </c>
      <c r="D108" s="3">
        <f t="shared" si="1"/>
        <v>0.4</v>
      </c>
      <c r="E108" s="1">
        <v>0.6</v>
      </c>
      <c r="F108" s="2">
        <v>0.26</v>
      </c>
      <c r="G108" s="2">
        <v>0.21</v>
      </c>
      <c r="H108" s="2">
        <v>0.53</v>
      </c>
    </row>
    <row r="109" spans="1:8" x14ac:dyDescent="0.25">
      <c r="A109" s="8">
        <v>914</v>
      </c>
      <c r="B109" s="4">
        <v>6517541</v>
      </c>
      <c r="C109" s="3">
        <v>5.4800000000000001E-2</v>
      </c>
      <c r="D109" s="3">
        <f t="shared" si="1"/>
        <v>0.6</v>
      </c>
      <c r="E109" s="1">
        <v>0.4</v>
      </c>
      <c r="F109" s="2">
        <v>0.18</v>
      </c>
      <c r="G109" s="2">
        <v>0.48</v>
      </c>
      <c r="H109" s="2">
        <v>0.34</v>
      </c>
    </row>
    <row r="110" spans="1:8" x14ac:dyDescent="0.25">
      <c r="A110" s="8">
        <v>1031</v>
      </c>
      <c r="B110" s="4">
        <v>396620</v>
      </c>
      <c r="C110" s="3">
        <v>5.4800000000000001E-2</v>
      </c>
      <c r="D110" s="3">
        <f t="shared" si="1"/>
        <v>0.4</v>
      </c>
      <c r="E110" s="1">
        <v>0.6</v>
      </c>
      <c r="F110" s="2">
        <v>0.45</v>
      </c>
      <c r="G110" s="2">
        <v>0.34</v>
      </c>
      <c r="H110" s="2">
        <v>0.20999999999999991</v>
      </c>
    </row>
    <row r="111" spans="1:8" x14ac:dyDescent="0.25">
      <c r="A111" s="8">
        <v>113</v>
      </c>
      <c r="B111" s="4">
        <v>9055534</v>
      </c>
      <c r="C111" s="3">
        <v>5.4699999999999999E-2</v>
      </c>
      <c r="D111" s="3">
        <f t="shared" si="1"/>
        <v>0.7</v>
      </c>
      <c r="E111" s="1">
        <v>0.3</v>
      </c>
      <c r="F111" s="2">
        <v>0.22</v>
      </c>
      <c r="G111" s="2">
        <v>0.21</v>
      </c>
      <c r="H111" s="2">
        <v>0.57000000000000006</v>
      </c>
    </row>
    <row r="112" spans="1:8" x14ac:dyDescent="0.25">
      <c r="A112" s="8">
        <v>309</v>
      </c>
      <c r="B112" s="4">
        <v>7483444</v>
      </c>
      <c r="C112" s="3">
        <v>5.4699999999999999E-2</v>
      </c>
      <c r="D112" s="3">
        <f t="shared" si="1"/>
        <v>0.7</v>
      </c>
      <c r="E112" s="1">
        <v>0.3</v>
      </c>
      <c r="F112" s="2">
        <v>0.36</v>
      </c>
      <c r="G112" s="2">
        <v>0.36</v>
      </c>
      <c r="H112" s="2">
        <v>0.28000000000000003</v>
      </c>
    </row>
    <row r="113" spans="1:8" x14ac:dyDescent="0.25">
      <c r="A113" s="8">
        <v>338</v>
      </c>
      <c r="B113" s="4">
        <v>9473903</v>
      </c>
      <c r="C113" s="3">
        <v>5.4699999999999999E-2</v>
      </c>
      <c r="D113" s="3">
        <f t="shared" si="1"/>
        <v>0.7</v>
      </c>
      <c r="E113" s="1">
        <v>0.3</v>
      </c>
      <c r="F113" s="2">
        <v>0.39</v>
      </c>
      <c r="G113" s="2">
        <v>0.36</v>
      </c>
      <c r="H113" s="2">
        <v>0.25</v>
      </c>
    </row>
    <row r="114" spans="1:8" x14ac:dyDescent="0.25">
      <c r="A114" s="8">
        <v>443</v>
      </c>
      <c r="B114" s="4">
        <v>1865219</v>
      </c>
      <c r="C114" s="3">
        <v>5.4699999999999999E-2</v>
      </c>
      <c r="D114" s="3">
        <f t="shared" si="1"/>
        <v>0.4</v>
      </c>
      <c r="E114" s="1">
        <v>0.6</v>
      </c>
      <c r="F114" s="2">
        <v>0.18</v>
      </c>
      <c r="G114" s="2">
        <v>0.4</v>
      </c>
      <c r="H114" s="2">
        <v>0.42</v>
      </c>
    </row>
    <row r="115" spans="1:8" x14ac:dyDescent="0.25">
      <c r="A115" s="8">
        <v>797</v>
      </c>
      <c r="B115" s="4">
        <v>7912819</v>
      </c>
      <c r="C115" s="3">
        <v>5.4699999999999999E-2</v>
      </c>
      <c r="D115" s="3">
        <f t="shared" si="1"/>
        <v>0.7</v>
      </c>
      <c r="E115" s="1">
        <v>0.3</v>
      </c>
      <c r="F115" s="2">
        <v>0.19</v>
      </c>
      <c r="G115" s="2">
        <v>0.38</v>
      </c>
      <c r="H115" s="2">
        <v>0.43</v>
      </c>
    </row>
    <row r="116" spans="1:8" x14ac:dyDescent="0.25">
      <c r="A116" s="8">
        <v>321</v>
      </c>
      <c r="B116" s="4">
        <v>4914215</v>
      </c>
      <c r="C116" s="3">
        <v>5.4600000000000003E-2</v>
      </c>
      <c r="D116" s="3">
        <f t="shared" si="1"/>
        <v>0.6</v>
      </c>
      <c r="E116" s="1">
        <v>0.4</v>
      </c>
      <c r="F116" s="2">
        <v>0.37</v>
      </c>
      <c r="G116" s="2">
        <v>0.28999999999999998</v>
      </c>
      <c r="H116" s="2">
        <v>0.33999999999999997</v>
      </c>
    </row>
    <row r="117" spans="1:8" x14ac:dyDescent="0.25">
      <c r="A117" s="8">
        <v>583</v>
      </c>
      <c r="B117" s="4">
        <v>9527566</v>
      </c>
      <c r="C117" s="3">
        <v>5.4600000000000003E-2</v>
      </c>
      <c r="D117" s="3">
        <f t="shared" si="1"/>
        <v>0.7</v>
      </c>
      <c r="E117" s="1">
        <v>0.3</v>
      </c>
      <c r="F117" s="2">
        <v>0.14000000000000001</v>
      </c>
      <c r="G117" s="2">
        <v>0.31</v>
      </c>
      <c r="H117" s="2">
        <v>0.54999999999999993</v>
      </c>
    </row>
    <row r="118" spans="1:8" x14ac:dyDescent="0.25">
      <c r="A118" s="8">
        <v>656</v>
      </c>
      <c r="B118" s="4">
        <v>6666455</v>
      </c>
      <c r="C118" s="3">
        <v>5.4600000000000003E-2</v>
      </c>
      <c r="D118" s="3">
        <f t="shared" si="1"/>
        <v>0.6</v>
      </c>
      <c r="E118" s="1">
        <v>0.4</v>
      </c>
      <c r="F118" s="2">
        <v>0.41</v>
      </c>
      <c r="G118" s="2">
        <v>0.2</v>
      </c>
      <c r="H118" s="2">
        <v>0.39000000000000007</v>
      </c>
    </row>
    <row r="119" spans="1:8" x14ac:dyDescent="0.25">
      <c r="A119" s="8">
        <v>15</v>
      </c>
      <c r="B119" s="4">
        <v>1962054</v>
      </c>
      <c r="C119" s="3">
        <v>5.45E-2</v>
      </c>
      <c r="D119" s="3">
        <f t="shared" si="1"/>
        <v>0.4</v>
      </c>
      <c r="E119" s="1">
        <v>0.6</v>
      </c>
      <c r="F119" s="2">
        <v>0.36</v>
      </c>
      <c r="G119" s="2">
        <v>0.32</v>
      </c>
      <c r="H119" s="2">
        <v>0.31999999999999995</v>
      </c>
    </row>
    <row r="120" spans="1:8" x14ac:dyDescent="0.25">
      <c r="A120" s="8">
        <v>48</v>
      </c>
      <c r="B120" s="4">
        <v>250533</v>
      </c>
      <c r="C120" s="3">
        <v>5.45E-2</v>
      </c>
      <c r="D120" s="3">
        <f t="shared" si="1"/>
        <v>0.4</v>
      </c>
      <c r="E120" s="1">
        <v>0.6</v>
      </c>
      <c r="F120" s="2">
        <v>0.31</v>
      </c>
      <c r="G120" s="2">
        <v>0.25</v>
      </c>
      <c r="H120" s="2">
        <v>0.44</v>
      </c>
    </row>
    <row r="121" spans="1:8" x14ac:dyDescent="0.25">
      <c r="A121" s="8">
        <v>416</v>
      </c>
      <c r="B121" s="4">
        <v>5192386</v>
      </c>
      <c r="C121" s="3">
        <v>5.4400000000000004E-2</v>
      </c>
      <c r="D121" s="3">
        <f t="shared" si="1"/>
        <v>0.6</v>
      </c>
      <c r="E121" s="1">
        <v>0.4</v>
      </c>
      <c r="F121" s="2">
        <v>0.18</v>
      </c>
      <c r="G121" s="2">
        <v>0.22</v>
      </c>
      <c r="H121" s="2">
        <v>0.60000000000000009</v>
      </c>
    </row>
    <row r="122" spans="1:8" x14ac:dyDescent="0.25">
      <c r="A122" s="8">
        <v>535</v>
      </c>
      <c r="B122" s="4">
        <v>1576476</v>
      </c>
      <c r="C122" s="3">
        <v>5.4000000000000006E-2</v>
      </c>
      <c r="D122" s="3">
        <f t="shared" si="1"/>
        <v>0.4</v>
      </c>
      <c r="E122" s="1">
        <v>0.6</v>
      </c>
      <c r="F122" s="2">
        <v>0.42</v>
      </c>
      <c r="G122" s="2">
        <v>0.28999999999999998</v>
      </c>
      <c r="H122" s="2">
        <v>0.28999999999999998</v>
      </c>
    </row>
    <row r="123" spans="1:8" x14ac:dyDescent="0.25">
      <c r="A123" s="8">
        <v>184</v>
      </c>
      <c r="B123" s="4">
        <v>9492679</v>
      </c>
      <c r="C123" s="3">
        <v>5.3899999999999997E-2</v>
      </c>
      <c r="D123" s="3">
        <f t="shared" si="1"/>
        <v>0.7</v>
      </c>
      <c r="E123" s="1">
        <v>0.3</v>
      </c>
      <c r="F123" s="2">
        <v>0.17</v>
      </c>
      <c r="G123" s="2">
        <v>0.3</v>
      </c>
      <c r="H123" s="2">
        <v>0.52999999999999992</v>
      </c>
    </row>
    <row r="124" spans="1:8" x14ac:dyDescent="0.25">
      <c r="A124" s="8">
        <v>276</v>
      </c>
      <c r="B124" s="4">
        <v>3015825</v>
      </c>
      <c r="C124" s="3">
        <v>5.3899999999999997E-2</v>
      </c>
      <c r="D124" s="3">
        <f t="shared" si="1"/>
        <v>0.6</v>
      </c>
      <c r="E124" s="1">
        <v>0.4</v>
      </c>
      <c r="F124" s="2">
        <v>0.28999999999999998</v>
      </c>
      <c r="G124" s="2">
        <v>0.27</v>
      </c>
      <c r="H124" s="2">
        <v>0.44</v>
      </c>
    </row>
    <row r="125" spans="1:8" x14ac:dyDescent="0.25">
      <c r="A125" s="8">
        <v>830</v>
      </c>
      <c r="B125" s="4">
        <v>2152316</v>
      </c>
      <c r="C125" s="3">
        <v>5.3899999999999997E-2</v>
      </c>
      <c r="D125" s="3">
        <f t="shared" si="1"/>
        <v>0.4</v>
      </c>
      <c r="E125" s="1">
        <v>0.6</v>
      </c>
      <c r="F125" s="2">
        <v>0.44</v>
      </c>
      <c r="G125" s="2">
        <v>0.24</v>
      </c>
      <c r="H125" s="2">
        <v>0.32</v>
      </c>
    </row>
    <row r="126" spans="1:8" x14ac:dyDescent="0.25">
      <c r="A126" s="8">
        <v>479</v>
      </c>
      <c r="B126" s="4">
        <v>2305968</v>
      </c>
      <c r="C126" s="3">
        <v>5.3800000000000001E-2</v>
      </c>
      <c r="D126" s="3">
        <f t="shared" si="1"/>
        <v>0.4</v>
      </c>
      <c r="E126" s="1">
        <v>0.6</v>
      </c>
      <c r="F126" s="2">
        <v>0.27</v>
      </c>
      <c r="G126" s="2">
        <v>0.32</v>
      </c>
      <c r="H126" s="2">
        <v>0.40999999999999992</v>
      </c>
    </row>
    <row r="127" spans="1:8" x14ac:dyDescent="0.25">
      <c r="A127" s="8">
        <v>243</v>
      </c>
      <c r="B127" s="4">
        <v>9401346</v>
      </c>
      <c r="C127" s="3">
        <v>5.3699999999999998E-2</v>
      </c>
      <c r="D127" s="3">
        <f t="shared" si="1"/>
        <v>0.7</v>
      </c>
      <c r="E127" s="1">
        <v>0.3</v>
      </c>
      <c r="F127" s="2">
        <v>0.32</v>
      </c>
      <c r="G127" s="2">
        <v>0.38</v>
      </c>
      <c r="H127" s="2">
        <v>0.3</v>
      </c>
    </row>
    <row r="128" spans="1:8" x14ac:dyDescent="0.25">
      <c r="A128" s="8">
        <v>374</v>
      </c>
      <c r="B128" s="4">
        <v>394917</v>
      </c>
      <c r="C128" s="3">
        <v>5.3699999999999998E-2</v>
      </c>
      <c r="D128" s="3">
        <f t="shared" si="1"/>
        <v>0.4</v>
      </c>
      <c r="E128" s="1">
        <v>0.6</v>
      </c>
      <c r="F128" s="2">
        <v>0.3</v>
      </c>
      <c r="G128" s="2">
        <v>0.38</v>
      </c>
      <c r="H128" s="2">
        <v>0.32</v>
      </c>
    </row>
    <row r="129" spans="1:8" x14ac:dyDescent="0.25">
      <c r="A129" s="8">
        <v>940</v>
      </c>
      <c r="B129" s="4">
        <v>9853675</v>
      </c>
      <c r="C129" s="3">
        <v>5.3699999999999998E-2</v>
      </c>
      <c r="D129" s="3">
        <f t="shared" si="1"/>
        <v>0.7</v>
      </c>
      <c r="E129" s="1">
        <v>0.3</v>
      </c>
      <c r="F129" s="2">
        <v>0.13</v>
      </c>
      <c r="G129" s="2">
        <v>0.44</v>
      </c>
      <c r="H129" s="2">
        <v>0.43000000000000005</v>
      </c>
    </row>
    <row r="130" spans="1:8" x14ac:dyDescent="0.25">
      <c r="A130" s="8">
        <v>713</v>
      </c>
      <c r="B130" s="4">
        <v>6521195</v>
      </c>
      <c r="C130" s="3">
        <v>5.3600000000000002E-2</v>
      </c>
      <c r="D130" s="3">
        <f t="shared" ref="D130:D193" si="2">1-E130</f>
        <v>0.6</v>
      </c>
      <c r="E130" s="1">
        <v>0.4</v>
      </c>
      <c r="F130" s="2">
        <v>0.27</v>
      </c>
      <c r="G130" s="2">
        <v>0.3</v>
      </c>
      <c r="H130" s="2">
        <v>0.42999999999999994</v>
      </c>
    </row>
    <row r="131" spans="1:8" x14ac:dyDescent="0.25">
      <c r="A131" s="8">
        <v>978</v>
      </c>
      <c r="B131" s="4">
        <v>2169672</v>
      </c>
      <c r="C131" s="3">
        <v>5.3600000000000002E-2</v>
      </c>
      <c r="D131" s="3">
        <f t="shared" si="2"/>
        <v>0.4</v>
      </c>
      <c r="E131" s="1">
        <v>0.6</v>
      </c>
      <c r="F131" s="2">
        <v>0.14000000000000001</v>
      </c>
      <c r="G131" s="2">
        <v>0.41</v>
      </c>
      <c r="H131" s="2">
        <v>0.45000000000000007</v>
      </c>
    </row>
    <row r="132" spans="1:8" x14ac:dyDescent="0.25">
      <c r="A132" s="8">
        <v>2</v>
      </c>
      <c r="B132" s="4">
        <v>2729982</v>
      </c>
      <c r="C132" s="3">
        <v>5.3399999999999996E-2</v>
      </c>
      <c r="D132" s="3">
        <f t="shared" si="2"/>
        <v>0.4</v>
      </c>
      <c r="E132" s="1">
        <v>0.6</v>
      </c>
      <c r="F132" s="2">
        <v>0.37</v>
      </c>
      <c r="G132" s="2">
        <v>0.22</v>
      </c>
      <c r="H132" s="2">
        <v>0.41000000000000003</v>
      </c>
    </row>
    <row r="133" spans="1:8" x14ac:dyDescent="0.25">
      <c r="A133" s="8">
        <v>237</v>
      </c>
      <c r="B133" s="4">
        <v>5022336</v>
      </c>
      <c r="C133" s="3">
        <v>5.3399999999999996E-2</v>
      </c>
      <c r="D133" s="3">
        <f t="shared" si="2"/>
        <v>0.6</v>
      </c>
      <c r="E133" s="1">
        <v>0.4</v>
      </c>
      <c r="F133" s="2">
        <v>0.22</v>
      </c>
      <c r="G133" s="2">
        <v>0.23</v>
      </c>
      <c r="H133" s="2">
        <v>0.55000000000000004</v>
      </c>
    </row>
    <row r="134" spans="1:8" x14ac:dyDescent="0.25">
      <c r="A134" s="8">
        <v>908</v>
      </c>
      <c r="B134" s="4">
        <v>2839111</v>
      </c>
      <c r="C134" s="3">
        <v>5.3399999999999996E-2</v>
      </c>
      <c r="D134" s="3">
        <f t="shared" si="2"/>
        <v>0.4</v>
      </c>
      <c r="E134" s="1">
        <v>0.6</v>
      </c>
      <c r="F134" s="2">
        <v>0.25</v>
      </c>
      <c r="G134" s="2">
        <v>0.43</v>
      </c>
      <c r="H134" s="2">
        <v>0.32000000000000006</v>
      </c>
    </row>
    <row r="135" spans="1:8" x14ac:dyDescent="0.25">
      <c r="A135" s="8">
        <v>14</v>
      </c>
      <c r="B135" s="4">
        <v>1572885</v>
      </c>
      <c r="C135" s="3">
        <v>5.33E-2</v>
      </c>
      <c r="D135" s="3">
        <f t="shared" si="2"/>
        <v>0.4</v>
      </c>
      <c r="E135" s="1">
        <v>0.6</v>
      </c>
      <c r="F135" s="2">
        <v>0.39</v>
      </c>
      <c r="G135" s="2">
        <v>0.46</v>
      </c>
      <c r="H135" s="2">
        <v>0.15000000000000002</v>
      </c>
    </row>
    <row r="136" spans="1:8" x14ac:dyDescent="0.25">
      <c r="A136" s="8">
        <v>34</v>
      </c>
      <c r="B136" s="4">
        <v>3087943</v>
      </c>
      <c r="C136" s="3">
        <v>5.33E-2</v>
      </c>
      <c r="D136" s="3">
        <f t="shared" si="2"/>
        <v>0.6</v>
      </c>
      <c r="E136" s="1">
        <v>0.4</v>
      </c>
      <c r="F136" s="2">
        <v>0.1</v>
      </c>
      <c r="G136" s="2">
        <v>0.48</v>
      </c>
      <c r="H136" s="2">
        <v>0.42000000000000004</v>
      </c>
    </row>
    <row r="137" spans="1:8" x14ac:dyDescent="0.25">
      <c r="A137" s="8">
        <v>25</v>
      </c>
      <c r="B137" s="4">
        <v>2065779</v>
      </c>
      <c r="C137" s="3">
        <v>5.3200000000000004E-2</v>
      </c>
      <c r="D137" s="3">
        <f t="shared" si="2"/>
        <v>0.4</v>
      </c>
      <c r="E137" s="1">
        <v>0.6</v>
      </c>
      <c r="F137" s="2">
        <v>0.21</v>
      </c>
      <c r="G137" s="2">
        <v>0.38</v>
      </c>
      <c r="H137" s="2">
        <v>0.41000000000000003</v>
      </c>
    </row>
    <row r="138" spans="1:8" x14ac:dyDescent="0.25">
      <c r="A138" s="8">
        <v>49</v>
      </c>
      <c r="B138" s="4">
        <v>1493943</v>
      </c>
      <c r="C138" s="3">
        <v>5.3200000000000004E-2</v>
      </c>
      <c r="D138" s="3">
        <f t="shared" si="2"/>
        <v>0.4</v>
      </c>
      <c r="E138" s="1">
        <v>0.6</v>
      </c>
      <c r="F138" s="2">
        <v>0.28000000000000003</v>
      </c>
      <c r="G138" s="2">
        <v>0.48</v>
      </c>
      <c r="H138" s="2">
        <v>0.24</v>
      </c>
    </row>
    <row r="139" spans="1:8" x14ac:dyDescent="0.25">
      <c r="A139" s="8">
        <v>239</v>
      </c>
      <c r="B139" s="4">
        <v>1687083</v>
      </c>
      <c r="C139" s="3">
        <v>5.3200000000000004E-2</v>
      </c>
      <c r="D139" s="3">
        <f t="shared" si="2"/>
        <v>0.4</v>
      </c>
      <c r="E139" s="1">
        <v>0.6</v>
      </c>
      <c r="F139" s="2">
        <v>0.13</v>
      </c>
      <c r="G139" s="2">
        <v>0.5</v>
      </c>
      <c r="H139" s="2">
        <v>0.37</v>
      </c>
    </row>
    <row r="140" spans="1:8" x14ac:dyDescent="0.25">
      <c r="A140" s="8">
        <v>411</v>
      </c>
      <c r="B140" s="4">
        <v>2302612</v>
      </c>
      <c r="C140" s="3">
        <v>5.3200000000000004E-2</v>
      </c>
      <c r="D140" s="3">
        <f t="shared" si="2"/>
        <v>0.4</v>
      </c>
      <c r="E140" s="1">
        <v>0.6</v>
      </c>
      <c r="F140" s="2">
        <v>0.38</v>
      </c>
      <c r="G140" s="2">
        <v>0.44</v>
      </c>
      <c r="H140" s="2">
        <v>0.18000000000000005</v>
      </c>
    </row>
    <row r="141" spans="1:8" x14ac:dyDescent="0.25">
      <c r="A141" s="8">
        <v>426</v>
      </c>
      <c r="B141" s="4">
        <v>1666517</v>
      </c>
      <c r="C141" s="3">
        <v>5.3200000000000004E-2</v>
      </c>
      <c r="D141" s="3">
        <f t="shared" si="2"/>
        <v>0.4</v>
      </c>
      <c r="E141" s="1">
        <v>0.6</v>
      </c>
      <c r="F141" s="2">
        <v>0.12</v>
      </c>
      <c r="G141" s="2">
        <v>0.4</v>
      </c>
      <c r="H141" s="2">
        <v>0.48</v>
      </c>
    </row>
    <row r="142" spans="1:8" x14ac:dyDescent="0.25">
      <c r="A142" s="8">
        <v>814</v>
      </c>
      <c r="B142" s="4">
        <v>5724135</v>
      </c>
      <c r="C142" s="3">
        <v>5.3200000000000004E-2</v>
      </c>
      <c r="D142" s="3">
        <f t="shared" si="2"/>
        <v>0.6</v>
      </c>
      <c r="E142" s="1">
        <v>0.4</v>
      </c>
      <c r="F142" s="2">
        <v>0.22</v>
      </c>
      <c r="G142" s="2">
        <v>0.28000000000000003</v>
      </c>
      <c r="H142" s="2">
        <v>0.5</v>
      </c>
    </row>
    <row r="143" spans="1:8" x14ac:dyDescent="0.25">
      <c r="A143" s="8">
        <v>457</v>
      </c>
      <c r="B143" s="4">
        <v>6870087</v>
      </c>
      <c r="C143" s="3">
        <v>5.3099999999999994E-2</v>
      </c>
      <c r="D143" s="3">
        <f t="shared" si="2"/>
        <v>0.6</v>
      </c>
      <c r="E143" s="1">
        <v>0.4</v>
      </c>
      <c r="F143" s="2">
        <v>0.2</v>
      </c>
      <c r="G143" s="2">
        <v>0.33</v>
      </c>
      <c r="H143" s="2">
        <v>0.46999999999999992</v>
      </c>
    </row>
    <row r="144" spans="1:8" x14ac:dyDescent="0.25">
      <c r="A144" s="8">
        <v>166</v>
      </c>
      <c r="B144" s="4">
        <v>2581067</v>
      </c>
      <c r="C144" s="3">
        <v>5.2900000000000003E-2</v>
      </c>
      <c r="D144" s="3">
        <f t="shared" si="2"/>
        <v>0.4</v>
      </c>
      <c r="E144" s="1">
        <v>0.6</v>
      </c>
      <c r="F144" s="2">
        <v>0.33</v>
      </c>
      <c r="G144" s="2">
        <v>0.2</v>
      </c>
      <c r="H144" s="2">
        <v>0.47000000000000003</v>
      </c>
    </row>
    <row r="145" spans="1:8" x14ac:dyDescent="0.25">
      <c r="A145" s="8">
        <v>584</v>
      </c>
      <c r="B145" s="4">
        <v>700108</v>
      </c>
      <c r="C145" s="3">
        <v>5.2900000000000003E-2</v>
      </c>
      <c r="D145" s="3">
        <f t="shared" si="2"/>
        <v>0.4</v>
      </c>
      <c r="E145" s="1">
        <v>0.6</v>
      </c>
      <c r="F145" s="2">
        <v>0.1</v>
      </c>
      <c r="G145" s="2">
        <v>0.46</v>
      </c>
      <c r="H145" s="2">
        <v>0.44000000000000006</v>
      </c>
    </row>
    <row r="146" spans="1:8" x14ac:dyDescent="0.25">
      <c r="A146" s="8">
        <v>606</v>
      </c>
      <c r="B146" s="4">
        <v>5276736</v>
      </c>
      <c r="C146" s="3">
        <v>5.2900000000000003E-2</v>
      </c>
      <c r="D146" s="3">
        <f t="shared" si="2"/>
        <v>0.6</v>
      </c>
      <c r="E146" s="1">
        <v>0.4</v>
      </c>
      <c r="F146" s="2">
        <v>0.42</v>
      </c>
      <c r="G146" s="2">
        <v>0.42</v>
      </c>
      <c r="H146" s="2">
        <v>0.16000000000000009</v>
      </c>
    </row>
    <row r="147" spans="1:8" x14ac:dyDescent="0.25">
      <c r="A147" s="8">
        <v>745</v>
      </c>
      <c r="B147" s="4">
        <v>2403591</v>
      </c>
      <c r="C147" s="3">
        <v>5.2900000000000003E-2</v>
      </c>
      <c r="D147" s="3">
        <f t="shared" si="2"/>
        <v>0.4</v>
      </c>
      <c r="E147" s="1">
        <v>0.6</v>
      </c>
      <c r="F147" s="2">
        <v>0.2</v>
      </c>
      <c r="G147" s="2">
        <v>0.41</v>
      </c>
      <c r="H147" s="2">
        <v>0.39000000000000007</v>
      </c>
    </row>
    <row r="148" spans="1:8" x14ac:dyDescent="0.25">
      <c r="A148" s="8">
        <v>795</v>
      </c>
      <c r="B148" s="4">
        <v>5743201</v>
      </c>
      <c r="C148" s="3">
        <v>5.2900000000000003E-2</v>
      </c>
      <c r="D148" s="3">
        <f t="shared" si="2"/>
        <v>0.6</v>
      </c>
      <c r="E148" s="1">
        <v>0.4</v>
      </c>
      <c r="F148" s="2">
        <v>0.14000000000000001</v>
      </c>
      <c r="G148" s="2">
        <v>0.32</v>
      </c>
      <c r="H148" s="2">
        <v>0.53999999999999992</v>
      </c>
    </row>
    <row r="149" spans="1:8" x14ac:dyDescent="0.25">
      <c r="A149" s="8">
        <v>868</v>
      </c>
      <c r="B149" s="4">
        <v>8196122</v>
      </c>
      <c r="C149" s="3">
        <v>5.2900000000000003E-2</v>
      </c>
      <c r="D149" s="3">
        <f t="shared" si="2"/>
        <v>0.7</v>
      </c>
      <c r="E149" s="1">
        <v>0.3</v>
      </c>
      <c r="F149" s="2">
        <v>0.3</v>
      </c>
      <c r="G149" s="2">
        <v>0.43</v>
      </c>
      <c r="H149" s="2">
        <v>0.27000000000000007</v>
      </c>
    </row>
    <row r="150" spans="1:8" x14ac:dyDescent="0.25">
      <c r="A150" s="8">
        <v>681</v>
      </c>
      <c r="B150" s="4">
        <v>140042</v>
      </c>
      <c r="C150" s="3">
        <v>5.28E-2</v>
      </c>
      <c r="D150" s="3">
        <f t="shared" si="2"/>
        <v>0.4</v>
      </c>
      <c r="E150" s="1">
        <v>0.6</v>
      </c>
      <c r="F150" s="2">
        <v>0.2</v>
      </c>
      <c r="G150" s="2">
        <v>0.42</v>
      </c>
      <c r="H150" s="2">
        <v>0.38000000000000006</v>
      </c>
    </row>
    <row r="151" spans="1:8" x14ac:dyDescent="0.25">
      <c r="A151" s="8">
        <v>878</v>
      </c>
      <c r="B151" s="4">
        <v>3356562</v>
      </c>
      <c r="C151" s="3">
        <v>5.28E-2</v>
      </c>
      <c r="D151" s="3">
        <f t="shared" si="2"/>
        <v>0.6</v>
      </c>
      <c r="E151" s="1">
        <v>0.4</v>
      </c>
      <c r="F151" s="2">
        <v>0.34</v>
      </c>
      <c r="G151" s="2">
        <v>0.41</v>
      </c>
      <c r="H151" s="2">
        <v>0.25000000000000006</v>
      </c>
    </row>
    <row r="152" spans="1:8" x14ac:dyDescent="0.25">
      <c r="A152" s="8">
        <v>654</v>
      </c>
      <c r="B152" s="4">
        <v>1268490</v>
      </c>
      <c r="C152" s="3">
        <v>5.2699999999999997E-2</v>
      </c>
      <c r="D152" s="3">
        <f t="shared" si="2"/>
        <v>0.4</v>
      </c>
      <c r="E152" s="1">
        <v>0.6</v>
      </c>
      <c r="F152" s="2">
        <v>0.28000000000000003</v>
      </c>
      <c r="G152" s="2">
        <v>0.21</v>
      </c>
      <c r="H152" s="2">
        <v>0.51</v>
      </c>
    </row>
    <row r="153" spans="1:8" x14ac:dyDescent="0.25">
      <c r="A153" s="8">
        <v>890</v>
      </c>
      <c r="B153" s="4">
        <v>9133436</v>
      </c>
      <c r="C153" s="3">
        <v>5.2699999999999997E-2</v>
      </c>
      <c r="D153" s="3">
        <f t="shared" si="2"/>
        <v>0.7</v>
      </c>
      <c r="E153" s="1">
        <v>0.3</v>
      </c>
      <c r="F153" s="2">
        <v>0.32</v>
      </c>
      <c r="G153" s="2">
        <v>0.36</v>
      </c>
      <c r="H153" s="2">
        <v>0.32</v>
      </c>
    </row>
    <row r="154" spans="1:8" x14ac:dyDescent="0.25">
      <c r="A154" s="8">
        <v>955</v>
      </c>
      <c r="B154" s="4">
        <v>124696</v>
      </c>
      <c r="C154" s="3">
        <v>5.2699999999999997E-2</v>
      </c>
      <c r="D154" s="3">
        <f t="shared" si="2"/>
        <v>0.4</v>
      </c>
      <c r="E154" s="1">
        <v>0.6</v>
      </c>
      <c r="F154" s="2">
        <v>0.32</v>
      </c>
      <c r="G154" s="2">
        <v>0.28999999999999998</v>
      </c>
      <c r="H154" s="2">
        <v>0.38999999999999996</v>
      </c>
    </row>
    <row r="155" spans="1:8" x14ac:dyDescent="0.25">
      <c r="A155" s="8">
        <v>91</v>
      </c>
      <c r="B155" s="4">
        <v>5457747</v>
      </c>
      <c r="C155" s="3">
        <v>5.2600000000000001E-2</v>
      </c>
      <c r="D155" s="3">
        <f t="shared" si="2"/>
        <v>0.6</v>
      </c>
      <c r="E155" s="1">
        <v>0.4</v>
      </c>
      <c r="F155" s="2">
        <v>0.26</v>
      </c>
      <c r="G155" s="2">
        <v>0.27</v>
      </c>
      <c r="H155" s="2">
        <v>0.47</v>
      </c>
    </row>
    <row r="156" spans="1:8" x14ac:dyDescent="0.25">
      <c r="A156" s="8">
        <v>202</v>
      </c>
      <c r="B156" s="4">
        <v>1190118</v>
      </c>
      <c r="C156" s="3">
        <v>5.2600000000000001E-2</v>
      </c>
      <c r="D156" s="3">
        <f t="shared" si="2"/>
        <v>0.4</v>
      </c>
      <c r="E156" s="1">
        <v>0.6</v>
      </c>
      <c r="F156" s="2">
        <v>0.41</v>
      </c>
      <c r="G156" s="2">
        <v>0.34</v>
      </c>
      <c r="H156" s="2">
        <v>0.24999999999999994</v>
      </c>
    </row>
    <row r="157" spans="1:8" x14ac:dyDescent="0.25">
      <c r="A157" s="8">
        <v>271</v>
      </c>
      <c r="B157" s="4">
        <v>6593828</v>
      </c>
      <c r="C157" s="3">
        <v>5.2600000000000001E-2</v>
      </c>
      <c r="D157" s="3">
        <f t="shared" si="2"/>
        <v>0.6</v>
      </c>
      <c r="E157" s="1">
        <v>0.4</v>
      </c>
      <c r="F157" s="2">
        <v>0.45</v>
      </c>
      <c r="G157" s="2">
        <v>0.35</v>
      </c>
      <c r="H157" s="2">
        <v>0.2</v>
      </c>
    </row>
    <row r="158" spans="1:8" x14ac:dyDescent="0.25">
      <c r="A158" s="8">
        <v>472</v>
      </c>
      <c r="B158" s="4">
        <v>6808071</v>
      </c>
      <c r="C158" s="3">
        <v>5.2600000000000001E-2</v>
      </c>
      <c r="D158" s="3">
        <f t="shared" si="2"/>
        <v>0.6</v>
      </c>
      <c r="E158" s="1">
        <v>0.4</v>
      </c>
      <c r="F158" s="2">
        <v>0.25</v>
      </c>
      <c r="G158" s="2">
        <v>0.36</v>
      </c>
      <c r="H158" s="2">
        <v>0.39</v>
      </c>
    </row>
    <row r="159" spans="1:8" x14ac:dyDescent="0.25">
      <c r="A159" s="8">
        <v>700</v>
      </c>
      <c r="B159" s="4">
        <v>8021376</v>
      </c>
      <c r="C159" s="3">
        <v>5.2600000000000001E-2</v>
      </c>
      <c r="D159" s="3">
        <f t="shared" si="2"/>
        <v>0.7</v>
      </c>
      <c r="E159" s="1">
        <v>0.3</v>
      </c>
      <c r="F159" s="2">
        <v>0.38</v>
      </c>
      <c r="G159" s="2">
        <v>0.46</v>
      </c>
      <c r="H159" s="2">
        <v>0.16000000000000003</v>
      </c>
    </row>
    <row r="160" spans="1:8" x14ac:dyDescent="0.25">
      <c r="A160" s="8">
        <v>718</v>
      </c>
      <c r="B160" s="4">
        <v>8008731</v>
      </c>
      <c r="C160" s="3">
        <v>5.2600000000000001E-2</v>
      </c>
      <c r="D160" s="3">
        <f t="shared" si="2"/>
        <v>0.7</v>
      </c>
      <c r="E160" s="1">
        <v>0.3</v>
      </c>
      <c r="F160" s="2">
        <v>0.16</v>
      </c>
      <c r="G160" s="2">
        <v>0.22</v>
      </c>
      <c r="H160" s="2">
        <v>0.62</v>
      </c>
    </row>
    <row r="161" spans="1:8" x14ac:dyDescent="0.25">
      <c r="A161" s="8">
        <v>257</v>
      </c>
      <c r="B161" s="4">
        <v>2404628</v>
      </c>
      <c r="C161" s="3">
        <v>5.2499999999999998E-2</v>
      </c>
      <c r="D161" s="3">
        <f t="shared" si="2"/>
        <v>0.4</v>
      </c>
      <c r="E161" s="1">
        <v>0.6</v>
      </c>
      <c r="F161" s="2">
        <v>0.19</v>
      </c>
      <c r="G161" s="2">
        <v>0.26</v>
      </c>
      <c r="H161" s="2">
        <v>0.55000000000000004</v>
      </c>
    </row>
    <row r="162" spans="1:8" x14ac:dyDescent="0.25">
      <c r="A162" s="8">
        <v>182</v>
      </c>
      <c r="B162" s="4">
        <v>6052423</v>
      </c>
      <c r="C162" s="3">
        <v>5.2400000000000002E-2</v>
      </c>
      <c r="D162" s="3">
        <f t="shared" si="2"/>
        <v>0.6</v>
      </c>
      <c r="E162" s="1">
        <v>0.4</v>
      </c>
      <c r="F162" s="2">
        <v>0.28000000000000003</v>
      </c>
      <c r="G162" s="2">
        <v>0.42</v>
      </c>
      <c r="H162" s="2">
        <v>0.30000000000000004</v>
      </c>
    </row>
    <row r="163" spans="1:8" x14ac:dyDescent="0.25">
      <c r="A163" s="8">
        <v>178</v>
      </c>
      <c r="B163" s="4">
        <v>4492756</v>
      </c>
      <c r="C163" s="3">
        <v>5.2199999999999996E-2</v>
      </c>
      <c r="D163" s="3">
        <f t="shared" si="2"/>
        <v>0.6</v>
      </c>
      <c r="E163" s="1">
        <v>0.4</v>
      </c>
      <c r="F163" s="2">
        <v>0.21</v>
      </c>
      <c r="G163" s="2">
        <v>0.28999999999999998</v>
      </c>
      <c r="H163" s="2">
        <v>0.5</v>
      </c>
    </row>
    <row r="164" spans="1:8" x14ac:dyDescent="0.25">
      <c r="A164" s="8">
        <v>924</v>
      </c>
      <c r="B164" s="4">
        <v>1822038</v>
      </c>
      <c r="C164" s="3">
        <v>5.2199999999999996E-2</v>
      </c>
      <c r="D164" s="3">
        <f t="shared" si="2"/>
        <v>0.4</v>
      </c>
      <c r="E164" s="1">
        <v>0.6</v>
      </c>
      <c r="F164" s="2">
        <v>0.31</v>
      </c>
      <c r="G164" s="2">
        <v>0.27</v>
      </c>
      <c r="H164" s="2">
        <v>0.42</v>
      </c>
    </row>
    <row r="165" spans="1:8" x14ac:dyDescent="0.25">
      <c r="A165" s="8">
        <v>169</v>
      </c>
      <c r="B165" s="4">
        <v>9859494</v>
      </c>
      <c r="C165" s="3">
        <v>5.21E-2</v>
      </c>
      <c r="D165" s="3">
        <f t="shared" si="2"/>
        <v>0.7</v>
      </c>
      <c r="E165" s="1">
        <v>0.3</v>
      </c>
      <c r="F165" s="2">
        <v>0.31</v>
      </c>
      <c r="G165" s="2">
        <v>0.37</v>
      </c>
      <c r="H165" s="2">
        <v>0.32</v>
      </c>
    </row>
    <row r="166" spans="1:8" x14ac:dyDescent="0.25">
      <c r="A166" s="8">
        <v>370</v>
      </c>
      <c r="B166" s="4">
        <v>5060846</v>
      </c>
      <c r="C166" s="3">
        <v>5.21E-2</v>
      </c>
      <c r="D166" s="3">
        <f t="shared" si="2"/>
        <v>0.6</v>
      </c>
      <c r="E166" s="1">
        <v>0.4</v>
      </c>
      <c r="F166" s="2">
        <v>0.37</v>
      </c>
      <c r="G166" s="2">
        <v>0.21</v>
      </c>
      <c r="H166" s="2">
        <v>0.42000000000000004</v>
      </c>
    </row>
    <row r="167" spans="1:8" x14ac:dyDescent="0.25">
      <c r="A167" s="8">
        <v>645</v>
      </c>
      <c r="B167" s="4">
        <v>3248181</v>
      </c>
      <c r="C167" s="3">
        <v>5.21E-2</v>
      </c>
      <c r="D167" s="3">
        <f t="shared" si="2"/>
        <v>0.6</v>
      </c>
      <c r="E167" s="1">
        <v>0.4</v>
      </c>
      <c r="F167" s="2">
        <v>0.12</v>
      </c>
      <c r="G167" s="2">
        <v>0.22</v>
      </c>
      <c r="H167" s="2">
        <v>0.66</v>
      </c>
    </row>
    <row r="168" spans="1:8" x14ac:dyDescent="0.25">
      <c r="A168" s="8">
        <v>899</v>
      </c>
      <c r="B168" s="4">
        <v>9294700</v>
      </c>
      <c r="C168" s="3">
        <v>5.21E-2</v>
      </c>
      <c r="D168" s="3">
        <f t="shared" si="2"/>
        <v>0.7</v>
      </c>
      <c r="E168" s="1">
        <v>0.3</v>
      </c>
      <c r="F168" s="2">
        <v>0.31</v>
      </c>
      <c r="G168" s="2">
        <v>0.21</v>
      </c>
      <c r="H168" s="2">
        <v>0.48000000000000004</v>
      </c>
    </row>
    <row r="169" spans="1:8" x14ac:dyDescent="0.25">
      <c r="A169" s="8">
        <v>505</v>
      </c>
      <c r="B169" s="4">
        <v>1563646</v>
      </c>
      <c r="C169" s="3">
        <v>5.2000000000000005E-2</v>
      </c>
      <c r="D169" s="3">
        <f t="shared" si="2"/>
        <v>0.4</v>
      </c>
      <c r="E169" s="1">
        <v>0.6</v>
      </c>
      <c r="F169" s="2">
        <v>0.32</v>
      </c>
      <c r="G169" s="2">
        <v>0.27</v>
      </c>
      <c r="H169" s="2">
        <v>0.41</v>
      </c>
    </row>
    <row r="170" spans="1:8" x14ac:dyDescent="0.25">
      <c r="A170" s="8">
        <v>788</v>
      </c>
      <c r="B170" s="4">
        <v>6054199</v>
      </c>
      <c r="C170" s="3">
        <v>5.2000000000000005E-2</v>
      </c>
      <c r="D170" s="3">
        <f t="shared" si="2"/>
        <v>0.6</v>
      </c>
      <c r="E170" s="1">
        <v>0.4</v>
      </c>
      <c r="F170" s="2">
        <v>0.17</v>
      </c>
      <c r="G170" s="2">
        <v>0.3</v>
      </c>
      <c r="H170" s="2">
        <v>0.52999999999999992</v>
      </c>
    </row>
    <row r="171" spans="1:8" x14ac:dyDescent="0.25">
      <c r="A171" s="8">
        <v>453</v>
      </c>
      <c r="B171" s="4">
        <v>7535609</v>
      </c>
      <c r="C171" s="3">
        <v>5.1900000000000002E-2</v>
      </c>
      <c r="D171" s="3">
        <f t="shared" si="2"/>
        <v>0.7</v>
      </c>
      <c r="E171" s="1">
        <v>0.3</v>
      </c>
      <c r="F171" s="2">
        <v>0.19</v>
      </c>
      <c r="G171" s="2">
        <v>0.28999999999999998</v>
      </c>
      <c r="H171" s="2">
        <v>0.52</v>
      </c>
    </row>
    <row r="172" spans="1:8" x14ac:dyDescent="0.25">
      <c r="A172" s="8">
        <v>507</v>
      </c>
      <c r="B172" s="4">
        <v>6226497</v>
      </c>
      <c r="C172" s="3">
        <v>5.1799999999999999E-2</v>
      </c>
      <c r="D172" s="3">
        <f t="shared" si="2"/>
        <v>0.6</v>
      </c>
      <c r="E172" s="1">
        <v>0.4</v>
      </c>
      <c r="F172" s="2">
        <v>0.17</v>
      </c>
      <c r="G172" s="2">
        <v>0.48</v>
      </c>
      <c r="H172" s="2">
        <v>0.35</v>
      </c>
    </row>
    <row r="173" spans="1:8" x14ac:dyDescent="0.25">
      <c r="A173" s="8">
        <v>828</v>
      </c>
      <c r="B173" s="4">
        <v>9507703</v>
      </c>
      <c r="C173" s="3">
        <v>5.1699999999999996E-2</v>
      </c>
      <c r="D173" s="3">
        <f t="shared" si="2"/>
        <v>0.7</v>
      </c>
      <c r="E173" s="1">
        <v>0.3</v>
      </c>
      <c r="F173" s="2">
        <v>0.4</v>
      </c>
      <c r="G173" s="2">
        <v>0.22</v>
      </c>
      <c r="H173" s="2">
        <v>0.38</v>
      </c>
    </row>
    <row r="174" spans="1:8" x14ac:dyDescent="0.25">
      <c r="A174" s="8">
        <v>992</v>
      </c>
      <c r="B174" s="4">
        <v>5930562</v>
      </c>
      <c r="C174" s="3">
        <v>5.1699999999999996E-2</v>
      </c>
      <c r="D174" s="3">
        <f t="shared" si="2"/>
        <v>0.6</v>
      </c>
      <c r="E174" s="1">
        <v>0.4</v>
      </c>
      <c r="F174" s="2">
        <v>0.15</v>
      </c>
      <c r="G174" s="2">
        <v>0.38</v>
      </c>
      <c r="H174" s="2">
        <v>0.47</v>
      </c>
    </row>
    <row r="175" spans="1:8" x14ac:dyDescent="0.25">
      <c r="A175" s="8">
        <v>149</v>
      </c>
      <c r="B175" s="4">
        <v>6664007</v>
      </c>
      <c r="C175" s="3">
        <v>5.16E-2</v>
      </c>
      <c r="D175" s="3">
        <f t="shared" si="2"/>
        <v>0.6</v>
      </c>
      <c r="E175" s="1">
        <v>0.4</v>
      </c>
      <c r="F175" s="2">
        <v>0.43</v>
      </c>
      <c r="G175" s="2">
        <v>0.36</v>
      </c>
      <c r="H175" s="2">
        <v>0.21000000000000002</v>
      </c>
    </row>
    <row r="176" spans="1:8" x14ac:dyDescent="0.25">
      <c r="A176" s="8">
        <v>346</v>
      </c>
      <c r="B176" s="4">
        <v>2068780</v>
      </c>
      <c r="C176" s="3">
        <v>5.16E-2</v>
      </c>
      <c r="D176" s="3">
        <f t="shared" si="2"/>
        <v>0.4</v>
      </c>
      <c r="E176" s="1">
        <v>0.6</v>
      </c>
      <c r="F176" s="2">
        <v>0.39</v>
      </c>
      <c r="G176" s="2">
        <v>0.22</v>
      </c>
      <c r="H176" s="2">
        <v>0.39</v>
      </c>
    </row>
    <row r="177" spans="1:8" x14ac:dyDescent="0.25">
      <c r="A177" s="8">
        <v>622</v>
      </c>
      <c r="B177" s="4">
        <v>9231649</v>
      </c>
      <c r="C177" s="3">
        <v>5.16E-2</v>
      </c>
      <c r="D177" s="3">
        <f t="shared" si="2"/>
        <v>0.7</v>
      </c>
      <c r="E177" s="1">
        <v>0.3</v>
      </c>
      <c r="F177" s="2">
        <v>0.22</v>
      </c>
      <c r="G177" s="2">
        <v>0.37</v>
      </c>
      <c r="H177" s="2">
        <v>0.41000000000000003</v>
      </c>
    </row>
    <row r="178" spans="1:8" x14ac:dyDescent="0.25">
      <c r="A178" s="8">
        <v>752</v>
      </c>
      <c r="B178" s="4">
        <v>3440913</v>
      </c>
      <c r="C178" s="3">
        <v>5.16E-2</v>
      </c>
      <c r="D178" s="3">
        <f t="shared" si="2"/>
        <v>0.6</v>
      </c>
      <c r="E178" s="1">
        <v>0.4</v>
      </c>
      <c r="F178" s="2">
        <v>0.32</v>
      </c>
      <c r="G178" s="2">
        <v>0.31</v>
      </c>
      <c r="H178" s="2">
        <v>0.36999999999999994</v>
      </c>
    </row>
    <row r="179" spans="1:8" x14ac:dyDescent="0.25">
      <c r="A179" s="8">
        <v>395</v>
      </c>
      <c r="B179" s="4">
        <v>1491428</v>
      </c>
      <c r="C179" s="3">
        <v>5.1500000000000004E-2</v>
      </c>
      <c r="D179" s="3">
        <f t="shared" si="2"/>
        <v>0.4</v>
      </c>
      <c r="E179" s="1">
        <v>0.6</v>
      </c>
      <c r="F179" s="2">
        <v>0.27</v>
      </c>
      <c r="G179" s="2">
        <v>0.43</v>
      </c>
      <c r="H179" s="2">
        <v>0.30000000000000004</v>
      </c>
    </row>
    <row r="180" spans="1:8" x14ac:dyDescent="0.25">
      <c r="A180" s="8">
        <v>793</v>
      </c>
      <c r="B180" s="4">
        <v>3990903</v>
      </c>
      <c r="C180" s="3">
        <v>5.1500000000000004E-2</v>
      </c>
      <c r="D180" s="3">
        <f t="shared" si="2"/>
        <v>0.6</v>
      </c>
      <c r="E180" s="1">
        <v>0.4</v>
      </c>
      <c r="F180" s="2">
        <v>0.45</v>
      </c>
      <c r="G180" s="2">
        <v>0.21</v>
      </c>
      <c r="H180" s="2">
        <v>0.34</v>
      </c>
    </row>
    <row r="181" spans="1:8" x14ac:dyDescent="0.25">
      <c r="A181" s="8">
        <v>812</v>
      </c>
      <c r="B181" s="4">
        <v>2839541</v>
      </c>
      <c r="C181" s="3">
        <v>5.1500000000000004E-2</v>
      </c>
      <c r="D181" s="3">
        <f t="shared" si="2"/>
        <v>0.4</v>
      </c>
      <c r="E181" s="1">
        <v>0.6</v>
      </c>
      <c r="F181" s="2">
        <v>0.23</v>
      </c>
      <c r="G181" s="2">
        <v>0.48</v>
      </c>
      <c r="H181" s="2">
        <v>0.29000000000000004</v>
      </c>
    </row>
    <row r="182" spans="1:8" x14ac:dyDescent="0.25">
      <c r="A182" s="8">
        <v>1036</v>
      </c>
      <c r="B182" s="4">
        <v>4671176</v>
      </c>
      <c r="C182" s="3">
        <v>5.1500000000000004E-2</v>
      </c>
      <c r="D182" s="3">
        <f t="shared" si="2"/>
        <v>0.6</v>
      </c>
      <c r="E182" s="1">
        <v>0.4</v>
      </c>
      <c r="F182" s="2">
        <v>0.3</v>
      </c>
      <c r="G182" s="2">
        <v>0.33</v>
      </c>
      <c r="H182" s="2">
        <v>0.36999999999999994</v>
      </c>
    </row>
    <row r="183" spans="1:8" x14ac:dyDescent="0.25">
      <c r="A183" s="8">
        <v>445</v>
      </c>
      <c r="B183" s="4">
        <v>7863390</v>
      </c>
      <c r="C183" s="3">
        <v>5.1399999999999994E-2</v>
      </c>
      <c r="D183" s="3">
        <f t="shared" si="2"/>
        <v>0.7</v>
      </c>
      <c r="E183" s="1">
        <v>0.3</v>
      </c>
      <c r="F183" s="2">
        <v>0.38</v>
      </c>
      <c r="G183" s="2">
        <v>0.43</v>
      </c>
      <c r="H183" s="2">
        <v>0.19000000000000006</v>
      </c>
    </row>
    <row r="184" spans="1:8" x14ac:dyDescent="0.25">
      <c r="A184" s="8">
        <v>807</v>
      </c>
      <c r="B184" s="4">
        <v>7375522</v>
      </c>
      <c r="C184" s="3">
        <v>5.1399999999999994E-2</v>
      </c>
      <c r="D184" s="3">
        <f t="shared" si="2"/>
        <v>0.7</v>
      </c>
      <c r="E184" s="1">
        <v>0.3</v>
      </c>
      <c r="F184" s="2">
        <v>0.22</v>
      </c>
      <c r="G184" s="2">
        <v>0.3</v>
      </c>
      <c r="H184" s="2">
        <v>0.48</v>
      </c>
    </row>
    <row r="185" spans="1:8" x14ac:dyDescent="0.25">
      <c r="A185" s="8">
        <v>179</v>
      </c>
      <c r="B185" s="4">
        <v>2804053</v>
      </c>
      <c r="C185" s="3">
        <v>5.1299999999999998E-2</v>
      </c>
      <c r="D185" s="3">
        <f t="shared" si="2"/>
        <v>0.4</v>
      </c>
      <c r="E185" s="1">
        <v>0.6</v>
      </c>
      <c r="F185" s="2">
        <v>0.12</v>
      </c>
      <c r="G185" s="2">
        <v>0.34</v>
      </c>
      <c r="H185" s="2">
        <v>0.53999999999999992</v>
      </c>
    </row>
    <row r="186" spans="1:8" x14ac:dyDescent="0.25">
      <c r="A186" s="8">
        <v>691</v>
      </c>
      <c r="B186" s="4">
        <v>7235096</v>
      </c>
      <c r="C186" s="3">
        <v>5.1299999999999998E-2</v>
      </c>
      <c r="D186" s="3">
        <f t="shared" si="2"/>
        <v>0.7</v>
      </c>
      <c r="E186" s="1">
        <v>0.3</v>
      </c>
      <c r="F186" s="2">
        <v>0.32</v>
      </c>
      <c r="G186" s="2">
        <v>0.28000000000000003</v>
      </c>
      <c r="H186" s="2">
        <v>0.39999999999999997</v>
      </c>
    </row>
    <row r="187" spans="1:8" x14ac:dyDescent="0.25">
      <c r="A187" s="8">
        <v>433</v>
      </c>
      <c r="B187" s="4">
        <v>353252</v>
      </c>
      <c r="C187" s="3">
        <v>5.1200000000000002E-2</v>
      </c>
      <c r="D187" s="3">
        <f t="shared" si="2"/>
        <v>0.4</v>
      </c>
      <c r="E187" s="1">
        <v>0.6</v>
      </c>
      <c r="F187" s="2">
        <v>0.37</v>
      </c>
      <c r="G187" s="2">
        <v>0.46</v>
      </c>
      <c r="H187" s="2">
        <v>0.17000000000000004</v>
      </c>
    </row>
    <row r="188" spans="1:8" x14ac:dyDescent="0.25">
      <c r="A188" s="8">
        <v>515</v>
      </c>
      <c r="B188" s="4">
        <v>8060039</v>
      </c>
      <c r="C188" s="3">
        <v>5.1200000000000002E-2</v>
      </c>
      <c r="D188" s="3">
        <f t="shared" si="2"/>
        <v>0.7</v>
      </c>
      <c r="E188" s="1">
        <v>0.3</v>
      </c>
      <c r="F188" s="2">
        <v>0.31</v>
      </c>
      <c r="G188" s="2">
        <v>0.43</v>
      </c>
      <c r="H188" s="2">
        <v>0.26000000000000006</v>
      </c>
    </row>
    <row r="189" spans="1:8" x14ac:dyDescent="0.25">
      <c r="A189" s="8">
        <v>621</v>
      </c>
      <c r="B189" s="4">
        <v>1345392</v>
      </c>
      <c r="C189" s="3">
        <v>5.1200000000000002E-2</v>
      </c>
      <c r="D189" s="3">
        <f t="shared" si="2"/>
        <v>0.4</v>
      </c>
      <c r="E189" s="1">
        <v>0.6</v>
      </c>
      <c r="F189" s="2">
        <v>0.23</v>
      </c>
      <c r="G189" s="2">
        <v>0.48</v>
      </c>
      <c r="H189" s="2">
        <v>0.29000000000000004</v>
      </c>
    </row>
    <row r="190" spans="1:8" x14ac:dyDescent="0.25">
      <c r="A190" s="8">
        <v>198</v>
      </c>
      <c r="B190" s="4">
        <v>8119651</v>
      </c>
      <c r="C190" s="3">
        <v>5.1100000000000007E-2</v>
      </c>
      <c r="D190" s="3">
        <f t="shared" si="2"/>
        <v>0.7</v>
      </c>
      <c r="E190" s="1">
        <v>0.3</v>
      </c>
      <c r="F190" s="2">
        <v>0.12</v>
      </c>
      <c r="G190" s="2">
        <v>0.39</v>
      </c>
      <c r="H190" s="2">
        <v>0.49</v>
      </c>
    </row>
    <row r="191" spans="1:8" x14ac:dyDescent="0.25">
      <c r="A191" s="8">
        <v>295</v>
      </c>
      <c r="B191" s="4">
        <v>8779339</v>
      </c>
      <c r="C191" s="3">
        <v>5.1100000000000007E-2</v>
      </c>
      <c r="D191" s="3">
        <f t="shared" si="2"/>
        <v>0.7</v>
      </c>
      <c r="E191" s="1">
        <v>0.3</v>
      </c>
      <c r="F191" s="2">
        <v>0.31</v>
      </c>
      <c r="G191" s="2">
        <v>0.43</v>
      </c>
      <c r="H191" s="2">
        <v>0.26000000000000006</v>
      </c>
    </row>
    <row r="192" spans="1:8" x14ac:dyDescent="0.25">
      <c r="A192" s="8">
        <v>69</v>
      </c>
      <c r="B192" s="4">
        <v>2469530</v>
      </c>
      <c r="C192" s="3">
        <v>5.0999999999999997E-2</v>
      </c>
      <c r="D192" s="3">
        <f t="shared" si="2"/>
        <v>0.4</v>
      </c>
      <c r="E192" s="1">
        <v>0.6</v>
      </c>
      <c r="F192" s="2">
        <v>0.14000000000000001</v>
      </c>
      <c r="G192" s="2">
        <v>0.49</v>
      </c>
      <c r="H192" s="2">
        <v>0.37</v>
      </c>
    </row>
    <row r="193" spans="1:8" x14ac:dyDescent="0.25">
      <c r="A193" s="8">
        <v>94</v>
      </c>
      <c r="B193" s="4">
        <v>7793779</v>
      </c>
      <c r="C193" s="3">
        <v>5.0999999999999997E-2</v>
      </c>
      <c r="D193" s="3">
        <f t="shared" si="2"/>
        <v>0.7</v>
      </c>
      <c r="E193" s="1">
        <v>0.3</v>
      </c>
      <c r="F193" s="2">
        <v>0.39</v>
      </c>
      <c r="G193" s="2">
        <v>0.26</v>
      </c>
      <c r="H193" s="2">
        <v>0.35</v>
      </c>
    </row>
    <row r="194" spans="1:8" x14ac:dyDescent="0.25">
      <c r="A194" s="8">
        <v>772</v>
      </c>
      <c r="B194" s="4">
        <v>1782688</v>
      </c>
      <c r="C194" s="3">
        <v>5.0999999999999997E-2</v>
      </c>
      <c r="D194" s="3">
        <f t="shared" ref="D194:D257" si="3">1-E194</f>
        <v>0.4</v>
      </c>
      <c r="E194" s="1">
        <v>0.6</v>
      </c>
      <c r="F194" s="2">
        <v>0.32</v>
      </c>
      <c r="G194" s="2">
        <v>0.49</v>
      </c>
      <c r="H194" s="2">
        <v>0.19</v>
      </c>
    </row>
    <row r="195" spans="1:8" x14ac:dyDescent="0.25">
      <c r="A195" s="8">
        <v>1020</v>
      </c>
      <c r="B195" s="4">
        <v>4475045</v>
      </c>
      <c r="C195" s="3">
        <v>5.0999999999999997E-2</v>
      </c>
      <c r="D195" s="3">
        <f t="shared" si="3"/>
        <v>0.6</v>
      </c>
      <c r="E195" s="1">
        <v>0.4</v>
      </c>
      <c r="F195" s="2">
        <v>0.12</v>
      </c>
      <c r="G195" s="2">
        <v>0.44</v>
      </c>
      <c r="H195" s="2">
        <v>0.44000000000000006</v>
      </c>
    </row>
    <row r="196" spans="1:8" x14ac:dyDescent="0.25">
      <c r="A196" s="8">
        <v>185</v>
      </c>
      <c r="B196" s="4">
        <v>4585718</v>
      </c>
      <c r="C196" s="3">
        <v>5.0900000000000001E-2</v>
      </c>
      <c r="D196" s="3">
        <f t="shared" si="3"/>
        <v>0.6</v>
      </c>
      <c r="E196" s="1">
        <v>0.4</v>
      </c>
      <c r="F196" s="2">
        <v>0.28000000000000003</v>
      </c>
      <c r="G196" s="2">
        <v>0.5</v>
      </c>
      <c r="H196" s="2">
        <v>0.21999999999999997</v>
      </c>
    </row>
    <row r="197" spans="1:8" x14ac:dyDescent="0.25">
      <c r="A197" s="8">
        <v>316</v>
      </c>
      <c r="B197" s="4">
        <v>6418287</v>
      </c>
      <c r="C197" s="3">
        <v>5.0900000000000001E-2</v>
      </c>
      <c r="D197" s="3">
        <f t="shared" si="3"/>
        <v>0.6</v>
      </c>
      <c r="E197" s="1">
        <v>0.4</v>
      </c>
      <c r="F197" s="2">
        <v>0.17</v>
      </c>
      <c r="G197" s="2">
        <v>0.34</v>
      </c>
      <c r="H197" s="2">
        <v>0.48999999999999988</v>
      </c>
    </row>
    <row r="198" spans="1:8" x14ac:dyDescent="0.25">
      <c r="A198" s="8">
        <v>66</v>
      </c>
      <c r="B198" s="4">
        <v>4786575</v>
      </c>
      <c r="C198" s="3">
        <v>5.0799999999999998E-2</v>
      </c>
      <c r="D198" s="3">
        <f t="shared" si="3"/>
        <v>0.6</v>
      </c>
      <c r="E198" s="1">
        <v>0.4</v>
      </c>
      <c r="F198" s="2">
        <v>0.23</v>
      </c>
      <c r="G198" s="2">
        <v>0.41</v>
      </c>
      <c r="H198" s="2">
        <v>0.3600000000000001</v>
      </c>
    </row>
    <row r="199" spans="1:8" x14ac:dyDescent="0.25">
      <c r="A199" s="8">
        <v>463</v>
      </c>
      <c r="B199" s="4">
        <v>9068265</v>
      </c>
      <c r="C199" s="3">
        <v>5.0799999999999998E-2</v>
      </c>
      <c r="D199" s="3">
        <f t="shared" si="3"/>
        <v>0.7</v>
      </c>
      <c r="E199" s="1">
        <v>0.3</v>
      </c>
      <c r="F199" s="2">
        <v>0.1</v>
      </c>
      <c r="G199" s="2">
        <v>0.25</v>
      </c>
      <c r="H199" s="2">
        <v>0.65</v>
      </c>
    </row>
    <row r="200" spans="1:8" x14ac:dyDescent="0.25">
      <c r="A200" s="8">
        <v>3</v>
      </c>
      <c r="B200" s="4">
        <v>2604808</v>
      </c>
      <c r="C200" s="3">
        <v>5.0700000000000002E-2</v>
      </c>
      <c r="D200" s="3">
        <f t="shared" si="3"/>
        <v>0.4</v>
      </c>
      <c r="E200" s="1">
        <v>0.6</v>
      </c>
      <c r="F200" s="2">
        <v>0.45</v>
      </c>
      <c r="G200" s="2">
        <v>0.21</v>
      </c>
      <c r="H200" s="2">
        <v>0.34</v>
      </c>
    </row>
    <row r="201" spans="1:8" x14ac:dyDescent="0.25">
      <c r="A201" s="8">
        <v>192</v>
      </c>
      <c r="B201" s="4">
        <v>4122420</v>
      </c>
      <c r="C201" s="3">
        <v>5.0700000000000002E-2</v>
      </c>
      <c r="D201" s="3">
        <f t="shared" si="3"/>
        <v>0.6</v>
      </c>
      <c r="E201" s="1">
        <v>0.4</v>
      </c>
      <c r="F201" s="2">
        <v>0.35</v>
      </c>
      <c r="G201" s="2">
        <v>0.4</v>
      </c>
      <c r="H201" s="2">
        <v>0.25</v>
      </c>
    </row>
    <row r="202" spans="1:8" x14ac:dyDescent="0.25">
      <c r="A202" s="8">
        <v>842</v>
      </c>
      <c r="B202" s="4">
        <v>2003045</v>
      </c>
      <c r="C202" s="3">
        <v>5.0599999999999999E-2</v>
      </c>
      <c r="D202" s="3">
        <f t="shared" si="3"/>
        <v>0.4</v>
      </c>
      <c r="E202" s="1">
        <v>0.6</v>
      </c>
      <c r="F202" s="2">
        <v>0.45</v>
      </c>
      <c r="G202" s="2">
        <v>0.26</v>
      </c>
      <c r="H202" s="2">
        <v>0.28999999999999998</v>
      </c>
    </row>
    <row r="203" spans="1:8" x14ac:dyDescent="0.25">
      <c r="A203" s="8">
        <v>50</v>
      </c>
      <c r="B203" s="4">
        <v>4328088</v>
      </c>
      <c r="C203" s="3">
        <v>5.0499999999999996E-2</v>
      </c>
      <c r="D203" s="3">
        <f t="shared" si="3"/>
        <v>0.6</v>
      </c>
      <c r="E203" s="1">
        <v>0.4</v>
      </c>
      <c r="F203" s="2">
        <v>0.27</v>
      </c>
      <c r="G203" s="2">
        <v>0.34</v>
      </c>
      <c r="H203" s="2">
        <v>0.3899999999999999</v>
      </c>
    </row>
    <row r="204" spans="1:8" x14ac:dyDescent="0.25">
      <c r="A204" s="8">
        <v>241</v>
      </c>
      <c r="B204" s="4">
        <v>6980380</v>
      </c>
      <c r="C204" s="3">
        <v>5.0499999999999996E-2</v>
      </c>
      <c r="D204" s="3">
        <f t="shared" si="3"/>
        <v>0.6</v>
      </c>
      <c r="E204" s="1">
        <v>0.4</v>
      </c>
      <c r="F204" s="2">
        <v>0.18</v>
      </c>
      <c r="G204" s="2">
        <v>0.4</v>
      </c>
      <c r="H204" s="2">
        <v>0.42</v>
      </c>
    </row>
    <row r="205" spans="1:8" x14ac:dyDescent="0.25">
      <c r="A205" s="8">
        <v>344</v>
      </c>
      <c r="B205" s="4">
        <v>4718009</v>
      </c>
      <c r="C205" s="3">
        <v>5.0499999999999996E-2</v>
      </c>
      <c r="D205" s="3">
        <f t="shared" si="3"/>
        <v>0.6</v>
      </c>
      <c r="E205" s="1">
        <v>0.4</v>
      </c>
      <c r="F205" s="2">
        <v>0.37</v>
      </c>
      <c r="G205" s="2">
        <v>0.5</v>
      </c>
      <c r="H205" s="2">
        <v>0.13</v>
      </c>
    </row>
    <row r="206" spans="1:8" x14ac:dyDescent="0.25">
      <c r="A206" s="8">
        <v>672</v>
      </c>
      <c r="B206" s="4">
        <v>813562</v>
      </c>
      <c r="C206" s="3">
        <v>5.0499999999999996E-2</v>
      </c>
      <c r="D206" s="3">
        <f t="shared" si="3"/>
        <v>0.4</v>
      </c>
      <c r="E206" s="1">
        <v>0.6</v>
      </c>
      <c r="F206" s="2">
        <v>0.24</v>
      </c>
      <c r="G206" s="2">
        <v>0.46</v>
      </c>
      <c r="H206" s="2">
        <v>0.30000000000000004</v>
      </c>
    </row>
    <row r="207" spans="1:8" x14ac:dyDescent="0.25">
      <c r="A207" s="8">
        <v>145</v>
      </c>
      <c r="B207" s="4">
        <v>1003886</v>
      </c>
      <c r="C207" s="3">
        <v>5.04E-2</v>
      </c>
      <c r="D207" s="3">
        <f t="shared" si="3"/>
        <v>0.4</v>
      </c>
      <c r="E207" s="1">
        <v>0.6</v>
      </c>
      <c r="F207" s="2">
        <v>0.14000000000000001</v>
      </c>
      <c r="G207" s="2">
        <v>0.49</v>
      </c>
      <c r="H207" s="2">
        <v>0.37</v>
      </c>
    </row>
    <row r="208" spans="1:8" x14ac:dyDescent="0.25">
      <c r="A208" s="8">
        <v>640</v>
      </c>
      <c r="B208" s="4">
        <v>9982638</v>
      </c>
      <c r="C208" s="3">
        <v>5.04E-2</v>
      </c>
      <c r="D208" s="3">
        <f t="shared" si="3"/>
        <v>0.7</v>
      </c>
      <c r="E208" s="1">
        <v>0.3</v>
      </c>
      <c r="F208" s="2">
        <v>0.42</v>
      </c>
      <c r="G208" s="2">
        <v>0.28000000000000003</v>
      </c>
      <c r="H208" s="2">
        <v>0.3</v>
      </c>
    </row>
    <row r="209" spans="1:8" x14ac:dyDescent="0.25">
      <c r="A209" s="8">
        <v>617</v>
      </c>
      <c r="B209" s="4">
        <v>4019026</v>
      </c>
      <c r="C209" s="3">
        <v>5.0300000000000004E-2</v>
      </c>
      <c r="D209" s="3">
        <f t="shared" si="3"/>
        <v>0.6</v>
      </c>
      <c r="E209" s="1">
        <v>0.4</v>
      </c>
      <c r="F209" s="2">
        <v>0.37</v>
      </c>
      <c r="G209" s="2">
        <v>0.26</v>
      </c>
      <c r="H209" s="2">
        <v>0.37</v>
      </c>
    </row>
    <row r="210" spans="1:8" x14ac:dyDescent="0.25">
      <c r="A210" s="8">
        <v>480</v>
      </c>
      <c r="B210" s="4">
        <v>1566230</v>
      </c>
      <c r="C210" s="3">
        <v>5.0199999999999995E-2</v>
      </c>
      <c r="D210" s="3">
        <f t="shared" si="3"/>
        <v>0.4</v>
      </c>
      <c r="E210" s="1">
        <v>0.6</v>
      </c>
      <c r="F210" s="2">
        <v>0.36</v>
      </c>
      <c r="G210" s="2">
        <v>0.36</v>
      </c>
      <c r="H210" s="2">
        <v>0.28000000000000003</v>
      </c>
    </row>
    <row r="211" spans="1:8" x14ac:dyDescent="0.25">
      <c r="A211" s="8">
        <v>30</v>
      </c>
      <c r="B211" s="4">
        <v>5147894</v>
      </c>
      <c r="C211" s="3">
        <v>5.0099999999999999E-2</v>
      </c>
      <c r="D211" s="3">
        <f t="shared" si="3"/>
        <v>0.6</v>
      </c>
      <c r="E211" s="1">
        <v>0.4</v>
      </c>
      <c r="F211" s="2">
        <v>0.4</v>
      </c>
      <c r="G211" s="2">
        <v>0.33</v>
      </c>
      <c r="H211" s="2">
        <v>0.26999999999999991</v>
      </c>
    </row>
    <row r="212" spans="1:8" x14ac:dyDescent="0.25">
      <c r="A212" s="8">
        <v>183</v>
      </c>
      <c r="B212" s="4">
        <v>7380353</v>
      </c>
      <c r="C212" s="3">
        <v>0.05</v>
      </c>
      <c r="D212" s="3">
        <f t="shared" si="3"/>
        <v>0.7</v>
      </c>
      <c r="E212" s="1">
        <v>0.3</v>
      </c>
      <c r="F212" s="2">
        <v>0.24</v>
      </c>
      <c r="G212" s="2">
        <v>0.43</v>
      </c>
      <c r="H212" s="2">
        <v>0.33000000000000007</v>
      </c>
    </row>
    <row r="213" spans="1:8" x14ac:dyDescent="0.25">
      <c r="A213" s="8">
        <v>857</v>
      </c>
      <c r="B213" s="4">
        <v>3254951</v>
      </c>
      <c r="C213" s="3">
        <v>0.05</v>
      </c>
      <c r="D213" s="3">
        <f t="shared" si="3"/>
        <v>0.6</v>
      </c>
      <c r="E213" s="1">
        <v>0.4</v>
      </c>
      <c r="F213" s="2">
        <v>0.17</v>
      </c>
      <c r="G213" s="2">
        <v>0.37</v>
      </c>
      <c r="H213" s="2">
        <v>0.45999999999999996</v>
      </c>
    </row>
    <row r="214" spans="1:8" x14ac:dyDescent="0.25">
      <c r="A214" s="8">
        <v>26</v>
      </c>
      <c r="B214" s="4">
        <v>8274696</v>
      </c>
      <c r="C214" s="3">
        <v>4.99E-2</v>
      </c>
      <c r="D214" s="3">
        <f t="shared" si="3"/>
        <v>0.7</v>
      </c>
      <c r="E214" s="1">
        <v>0.3</v>
      </c>
      <c r="F214" s="2">
        <v>0.23</v>
      </c>
      <c r="G214" s="2">
        <v>0.25</v>
      </c>
      <c r="H214" s="2">
        <v>0.52</v>
      </c>
    </row>
    <row r="215" spans="1:8" x14ac:dyDescent="0.25">
      <c r="A215" s="8">
        <v>81</v>
      </c>
      <c r="B215" s="4">
        <v>5955269</v>
      </c>
      <c r="C215" s="3">
        <v>4.99E-2</v>
      </c>
      <c r="D215" s="3">
        <f t="shared" si="3"/>
        <v>0.6</v>
      </c>
      <c r="E215" s="1">
        <v>0.4</v>
      </c>
      <c r="F215" s="2">
        <v>0.37</v>
      </c>
      <c r="G215" s="2">
        <v>0.34</v>
      </c>
      <c r="H215" s="2">
        <v>0.28999999999999992</v>
      </c>
    </row>
    <row r="216" spans="1:8" x14ac:dyDescent="0.25">
      <c r="A216" s="8">
        <v>201</v>
      </c>
      <c r="B216" s="4">
        <v>5847977</v>
      </c>
      <c r="C216" s="3">
        <v>4.99E-2</v>
      </c>
      <c r="D216" s="3">
        <f t="shared" si="3"/>
        <v>0.6</v>
      </c>
      <c r="E216" s="1">
        <v>0.4</v>
      </c>
      <c r="F216" s="2">
        <v>0.41</v>
      </c>
      <c r="G216" s="2">
        <v>0.36</v>
      </c>
      <c r="H216" s="2">
        <v>0.23000000000000004</v>
      </c>
    </row>
    <row r="217" spans="1:8" x14ac:dyDescent="0.25">
      <c r="A217" s="8">
        <v>981</v>
      </c>
      <c r="B217" s="4">
        <v>9694972</v>
      </c>
      <c r="C217" s="3">
        <v>4.99E-2</v>
      </c>
      <c r="D217" s="3">
        <f t="shared" si="3"/>
        <v>0.7</v>
      </c>
      <c r="E217" s="1">
        <v>0.3</v>
      </c>
      <c r="F217" s="2">
        <v>0.25</v>
      </c>
      <c r="G217" s="2">
        <v>0.28999999999999998</v>
      </c>
      <c r="H217" s="2">
        <v>0.45999999999999996</v>
      </c>
    </row>
    <row r="218" spans="1:8" x14ac:dyDescent="0.25">
      <c r="A218" s="8">
        <v>1041</v>
      </c>
      <c r="B218" s="4">
        <v>300160</v>
      </c>
      <c r="C218" s="3">
        <v>4.99E-2</v>
      </c>
      <c r="D218" s="3">
        <f t="shared" si="3"/>
        <v>0.4</v>
      </c>
      <c r="E218" s="1">
        <v>0.6</v>
      </c>
      <c r="F218" s="2">
        <v>0.28999999999999998</v>
      </c>
      <c r="G218" s="2">
        <v>0.33</v>
      </c>
      <c r="H218" s="2">
        <v>0.37999999999999995</v>
      </c>
    </row>
    <row r="219" spans="1:8" x14ac:dyDescent="0.25">
      <c r="A219" s="8">
        <v>51</v>
      </c>
      <c r="B219" s="4">
        <v>7833809</v>
      </c>
      <c r="C219" s="3">
        <v>4.9800000000000004E-2</v>
      </c>
      <c r="D219" s="3">
        <f t="shared" si="3"/>
        <v>0.7</v>
      </c>
      <c r="E219" s="1">
        <v>0.3</v>
      </c>
      <c r="F219" s="2">
        <v>0.28000000000000003</v>
      </c>
      <c r="G219" s="2">
        <v>0.39</v>
      </c>
      <c r="H219" s="2">
        <v>0.32999999999999996</v>
      </c>
    </row>
    <row r="220" spans="1:8" x14ac:dyDescent="0.25">
      <c r="A220" s="8">
        <v>766</v>
      </c>
      <c r="B220" s="4">
        <v>9927202</v>
      </c>
      <c r="C220" s="3">
        <v>4.9699999999999994E-2</v>
      </c>
      <c r="D220" s="3">
        <f t="shared" si="3"/>
        <v>0.7</v>
      </c>
      <c r="E220" s="1">
        <v>0.3</v>
      </c>
      <c r="F220" s="2">
        <v>0.2</v>
      </c>
      <c r="G220" s="2">
        <v>0.39</v>
      </c>
      <c r="H220" s="2">
        <v>0.41</v>
      </c>
    </row>
    <row r="221" spans="1:8" x14ac:dyDescent="0.25">
      <c r="A221" s="8">
        <v>1004</v>
      </c>
      <c r="B221" s="4">
        <v>8365931</v>
      </c>
      <c r="C221" s="3">
        <v>4.9699999999999994E-2</v>
      </c>
      <c r="D221" s="3">
        <f t="shared" si="3"/>
        <v>0.7</v>
      </c>
      <c r="E221" s="1">
        <v>0.3</v>
      </c>
      <c r="F221" s="2">
        <v>0.45</v>
      </c>
      <c r="G221" s="2">
        <v>0.25</v>
      </c>
      <c r="H221" s="2">
        <v>0.3</v>
      </c>
    </row>
    <row r="222" spans="1:8" x14ac:dyDescent="0.25">
      <c r="A222" s="8">
        <v>786</v>
      </c>
      <c r="B222" s="4">
        <v>2549421</v>
      </c>
      <c r="C222" s="3">
        <v>4.9599999999999998E-2</v>
      </c>
      <c r="D222" s="3">
        <f t="shared" si="3"/>
        <v>0.4</v>
      </c>
      <c r="E222" s="1">
        <v>0.6</v>
      </c>
      <c r="F222" s="2">
        <v>0.25</v>
      </c>
      <c r="G222" s="2">
        <v>0.22</v>
      </c>
      <c r="H222" s="2">
        <v>0.53</v>
      </c>
    </row>
    <row r="223" spans="1:8" x14ac:dyDescent="0.25">
      <c r="A223" s="8">
        <v>191</v>
      </c>
      <c r="B223" s="4">
        <v>2528185</v>
      </c>
      <c r="C223" s="3">
        <v>4.9400000000000006E-2</v>
      </c>
      <c r="D223" s="3">
        <f t="shared" si="3"/>
        <v>0.4</v>
      </c>
      <c r="E223" s="1">
        <v>0.6</v>
      </c>
      <c r="F223" s="2">
        <v>0.39</v>
      </c>
      <c r="G223" s="2">
        <v>0.21</v>
      </c>
      <c r="H223" s="2">
        <v>0.4</v>
      </c>
    </row>
    <row r="224" spans="1:8" x14ac:dyDescent="0.25">
      <c r="A224" s="8">
        <v>542</v>
      </c>
      <c r="B224" s="4">
        <v>7120433</v>
      </c>
      <c r="C224" s="3">
        <v>4.9400000000000006E-2</v>
      </c>
      <c r="D224" s="3">
        <f t="shared" si="3"/>
        <v>0.7</v>
      </c>
      <c r="E224" s="1">
        <v>0.3</v>
      </c>
      <c r="F224" s="2">
        <v>0.31</v>
      </c>
      <c r="G224" s="2">
        <v>0.41</v>
      </c>
      <c r="H224" s="2">
        <v>0.28000000000000008</v>
      </c>
    </row>
    <row r="225" spans="1:8" x14ac:dyDescent="0.25">
      <c r="A225" s="8">
        <v>657</v>
      </c>
      <c r="B225" s="4">
        <v>4327481</v>
      </c>
      <c r="C225" s="3">
        <v>4.9400000000000006E-2</v>
      </c>
      <c r="D225" s="3">
        <f t="shared" si="3"/>
        <v>0.6</v>
      </c>
      <c r="E225" s="1">
        <v>0.4</v>
      </c>
      <c r="F225" s="2">
        <v>0.24</v>
      </c>
      <c r="G225" s="2">
        <v>0.31</v>
      </c>
      <c r="H225" s="2">
        <v>0.44999999999999996</v>
      </c>
    </row>
    <row r="226" spans="1:8" x14ac:dyDescent="0.25">
      <c r="A226" s="8">
        <v>692</v>
      </c>
      <c r="B226" s="4">
        <v>3485530</v>
      </c>
      <c r="C226" s="3">
        <v>4.9299999999999997E-2</v>
      </c>
      <c r="D226" s="3">
        <f t="shared" si="3"/>
        <v>0.6</v>
      </c>
      <c r="E226" s="1">
        <v>0.4</v>
      </c>
      <c r="F226" s="2">
        <v>0.25</v>
      </c>
      <c r="G226" s="2">
        <v>0.22</v>
      </c>
      <c r="H226" s="2">
        <v>0.53</v>
      </c>
    </row>
    <row r="227" spans="1:8" x14ac:dyDescent="0.25">
      <c r="A227" s="8">
        <v>798</v>
      </c>
      <c r="B227" s="4">
        <v>1302508</v>
      </c>
      <c r="C227" s="3">
        <v>4.9299999999999997E-2</v>
      </c>
      <c r="D227" s="3">
        <f t="shared" si="3"/>
        <v>0.4</v>
      </c>
      <c r="E227" s="1">
        <v>0.6</v>
      </c>
      <c r="F227" s="2">
        <v>0.26</v>
      </c>
      <c r="G227" s="2">
        <v>0.37</v>
      </c>
      <c r="H227" s="2">
        <v>0.37</v>
      </c>
    </row>
    <row r="228" spans="1:8" x14ac:dyDescent="0.25">
      <c r="A228" s="8">
        <v>447</v>
      </c>
      <c r="B228" s="4">
        <v>1664428</v>
      </c>
      <c r="C228" s="3">
        <v>4.9200000000000001E-2</v>
      </c>
      <c r="D228" s="3">
        <f t="shared" si="3"/>
        <v>0.4</v>
      </c>
      <c r="E228" s="1">
        <v>0.6</v>
      </c>
      <c r="F228" s="2">
        <v>0.4</v>
      </c>
      <c r="G228" s="2">
        <v>0.44</v>
      </c>
      <c r="H228" s="2">
        <v>0.16000000000000003</v>
      </c>
    </row>
    <row r="229" spans="1:8" x14ac:dyDescent="0.25">
      <c r="A229" s="8">
        <v>613</v>
      </c>
      <c r="B229" s="4">
        <v>7744004</v>
      </c>
      <c r="C229" s="3">
        <v>4.9200000000000001E-2</v>
      </c>
      <c r="D229" s="3">
        <f t="shared" si="3"/>
        <v>0.7</v>
      </c>
      <c r="E229" s="1">
        <v>0.3</v>
      </c>
      <c r="F229" s="2">
        <v>0.44</v>
      </c>
      <c r="G229" s="2">
        <v>0.47</v>
      </c>
      <c r="H229" s="2">
        <v>9.0000000000000024E-2</v>
      </c>
    </row>
    <row r="230" spans="1:8" x14ac:dyDescent="0.25">
      <c r="A230" s="8">
        <v>824</v>
      </c>
      <c r="B230" s="4">
        <v>7950979</v>
      </c>
      <c r="C230" s="3">
        <v>4.9200000000000001E-2</v>
      </c>
      <c r="D230" s="3">
        <f t="shared" si="3"/>
        <v>0.7</v>
      </c>
      <c r="E230" s="1">
        <v>0.3</v>
      </c>
      <c r="F230" s="2">
        <v>0.16</v>
      </c>
      <c r="G230" s="2">
        <v>0.33</v>
      </c>
      <c r="H230" s="2">
        <v>0.5099999999999999</v>
      </c>
    </row>
    <row r="231" spans="1:8" x14ac:dyDescent="0.25">
      <c r="A231" s="8">
        <v>847</v>
      </c>
      <c r="B231" s="4">
        <v>1115412</v>
      </c>
      <c r="C231" s="3">
        <v>4.9200000000000001E-2</v>
      </c>
      <c r="D231" s="3">
        <f t="shared" si="3"/>
        <v>0.4</v>
      </c>
      <c r="E231" s="1">
        <v>0.6</v>
      </c>
      <c r="F231" s="2">
        <v>0.35</v>
      </c>
      <c r="G231" s="2">
        <v>0.22</v>
      </c>
      <c r="H231" s="2">
        <v>0.43000000000000005</v>
      </c>
    </row>
    <row r="232" spans="1:8" x14ac:dyDescent="0.25">
      <c r="A232" s="8">
        <v>323</v>
      </c>
      <c r="B232" s="4">
        <v>7205391</v>
      </c>
      <c r="C232" s="3">
        <v>4.9100000000000005E-2</v>
      </c>
      <c r="D232" s="3">
        <f t="shared" si="3"/>
        <v>0.7</v>
      </c>
      <c r="E232" s="1">
        <v>0.3</v>
      </c>
      <c r="F232" s="2">
        <v>0.13</v>
      </c>
      <c r="G232" s="2">
        <v>0.39</v>
      </c>
      <c r="H232" s="2">
        <v>0.48</v>
      </c>
    </row>
    <row r="233" spans="1:8" x14ac:dyDescent="0.25">
      <c r="A233" s="8">
        <v>1014</v>
      </c>
      <c r="B233" s="4">
        <v>1370046</v>
      </c>
      <c r="C233" s="3">
        <v>4.9000000000000002E-2</v>
      </c>
      <c r="D233" s="3">
        <f t="shared" si="3"/>
        <v>0.4</v>
      </c>
      <c r="E233" s="1">
        <v>0.6</v>
      </c>
      <c r="F233" s="2">
        <v>0.24</v>
      </c>
      <c r="G233" s="2">
        <v>0.28999999999999998</v>
      </c>
      <c r="H233" s="2">
        <v>0.47</v>
      </c>
    </row>
    <row r="234" spans="1:8" x14ac:dyDescent="0.25">
      <c r="A234" s="8">
        <v>418</v>
      </c>
      <c r="B234" s="4">
        <v>6308018</v>
      </c>
      <c r="C234" s="3">
        <v>4.8799999999999996E-2</v>
      </c>
      <c r="D234" s="3">
        <f t="shared" si="3"/>
        <v>0.6</v>
      </c>
      <c r="E234" s="1">
        <v>0.4</v>
      </c>
      <c r="F234" s="2">
        <v>0.23</v>
      </c>
      <c r="G234" s="2">
        <v>0.41</v>
      </c>
      <c r="H234" s="2">
        <v>0.3600000000000001</v>
      </c>
    </row>
    <row r="235" spans="1:8" x14ac:dyDescent="0.25">
      <c r="A235" s="8">
        <v>791</v>
      </c>
      <c r="B235" s="4">
        <v>7276677</v>
      </c>
      <c r="C235" s="3">
        <v>4.8799999999999996E-2</v>
      </c>
      <c r="D235" s="3">
        <f t="shared" si="3"/>
        <v>0.7</v>
      </c>
      <c r="E235" s="1">
        <v>0.3</v>
      </c>
      <c r="F235" s="2">
        <v>0.12</v>
      </c>
      <c r="G235" s="2">
        <v>0.32</v>
      </c>
      <c r="H235" s="2">
        <v>0.55999999999999994</v>
      </c>
    </row>
    <row r="236" spans="1:8" x14ac:dyDescent="0.25">
      <c r="A236" s="8">
        <v>53</v>
      </c>
      <c r="B236" s="4">
        <v>8906748</v>
      </c>
      <c r="C236" s="3">
        <v>4.8600000000000004E-2</v>
      </c>
      <c r="D236" s="3">
        <f t="shared" si="3"/>
        <v>0.7</v>
      </c>
      <c r="E236" s="1">
        <v>0.3</v>
      </c>
      <c r="F236" s="2">
        <v>0.11</v>
      </c>
      <c r="G236" s="2">
        <v>0.3</v>
      </c>
      <c r="H236" s="2">
        <v>0.59</v>
      </c>
    </row>
    <row r="237" spans="1:8" x14ac:dyDescent="0.25">
      <c r="A237" s="8">
        <v>125</v>
      </c>
      <c r="B237" s="4">
        <v>3029190</v>
      </c>
      <c r="C237" s="3">
        <v>4.8600000000000004E-2</v>
      </c>
      <c r="D237" s="3">
        <f t="shared" si="3"/>
        <v>0.6</v>
      </c>
      <c r="E237" s="1">
        <v>0.4</v>
      </c>
      <c r="F237" s="2">
        <v>0.43</v>
      </c>
      <c r="G237" s="2">
        <v>0.26</v>
      </c>
      <c r="H237" s="2">
        <v>0.31</v>
      </c>
    </row>
    <row r="238" spans="1:8" x14ac:dyDescent="0.25">
      <c r="A238" s="8">
        <v>373</v>
      </c>
      <c r="B238" s="4">
        <v>8696605</v>
      </c>
      <c r="C238" s="3">
        <v>4.8499999999999995E-2</v>
      </c>
      <c r="D238" s="3">
        <f t="shared" si="3"/>
        <v>0.7</v>
      </c>
      <c r="E238" s="1">
        <v>0.3</v>
      </c>
      <c r="F238" s="2">
        <v>0.45</v>
      </c>
      <c r="G238" s="2">
        <v>0.45</v>
      </c>
      <c r="H238" s="2">
        <v>0.10000000000000003</v>
      </c>
    </row>
    <row r="239" spans="1:8" x14ac:dyDescent="0.25">
      <c r="A239" s="8">
        <v>399</v>
      </c>
      <c r="B239" s="4">
        <v>2002255</v>
      </c>
      <c r="C239" s="3">
        <v>4.8399999999999999E-2</v>
      </c>
      <c r="D239" s="3">
        <f t="shared" si="3"/>
        <v>0.4</v>
      </c>
      <c r="E239" s="1">
        <v>0.6</v>
      </c>
      <c r="F239" s="2">
        <v>0.4</v>
      </c>
      <c r="G239" s="2">
        <v>0.34</v>
      </c>
      <c r="H239" s="2">
        <v>0.2599999999999999</v>
      </c>
    </row>
    <row r="240" spans="1:8" x14ac:dyDescent="0.25">
      <c r="A240" s="8">
        <v>496</v>
      </c>
      <c r="B240" s="4">
        <v>898089</v>
      </c>
      <c r="C240" s="3">
        <v>4.8399999999999999E-2</v>
      </c>
      <c r="D240" s="3">
        <f t="shared" si="3"/>
        <v>0.4</v>
      </c>
      <c r="E240" s="1">
        <v>0.6</v>
      </c>
      <c r="F240" s="2">
        <v>0.39</v>
      </c>
      <c r="G240" s="2">
        <v>0.4</v>
      </c>
      <c r="H240" s="2">
        <v>0.20999999999999996</v>
      </c>
    </row>
    <row r="241" spans="1:8" x14ac:dyDescent="0.25">
      <c r="A241" s="8">
        <v>537</v>
      </c>
      <c r="B241" s="4">
        <v>1246512</v>
      </c>
      <c r="C241" s="3">
        <v>4.8399999999999999E-2</v>
      </c>
      <c r="D241" s="3">
        <f t="shared" si="3"/>
        <v>0.4</v>
      </c>
      <c r="E241" s="1">
        <v>0.6</v>
      </c>
      <c r="F241" s="2">
        <v>0.36</v>
      </c>
      <c r="G241" s="2">
        <v>0.38</v>
      </c>
      <c r="H241" s="2">
        <v>0.26</v>
      </c>
    </row>
    <row r="242" spans="1:8" x14ac:dyDescent="0.25">
      <c r="A242" s="8">
        <v>818</v>
      </c>
      <c r="B242" s="4">
        <v>4275627</v>
      </c>
      <c r="C242" s="3">
        <v>4.8399999999999999E-2</v>
      </c>
      <c r="D242" s="3">
        <f t="shared" si="3"/>
        <v>0.6</v>
      </c>
      <c r="E242" s="1">
        <v>0.4</v>
      </c>
      <c r="F242" s="2">
        <v>0.43</v>
      </c>
      <c r="G242" s="2">
        <v>0.4</v>
      </c>
      <c r="H242" s="2">
        <v>0.16999999999999998</v>
      </c>
    </row>
    <row r="243" spans="1:8" x14ac:dyDescent="0.25">
      <c r="A243" s="8">
        <v>1016</v>
      </c>
      <c r="B243" s="4">
        <v>111426</v>
      </c>
      <c r="C243" s="3">
        <v>4.8399999999999999E-2</v>
      </c>
      <c r="D243" s="3">
        <f t="shared" si="3"/>
        <v>0.4</v>
      </c>
      <c r="E243" s="1">
        <v>0.6</v>
      </c>
      <c r="F243" s="2">
        <v>0.16</v>
      </c>
      <c r="G243" s="2">
        <v>0.31</v>
      </c>
      <c r="H243" s="2">
        <v>0.52999999999999992</v>
      </c>
    </row>
    <row r="244" spans="1:8" x14ac:dyDescent="0.25">
      <c r="A244" s="8">
        <v>163</v>
      </c>
      <c r="B244" s="4">
        <v>1986909</v>
      </c>
      <c r="C244" s="3">
        <v>4.8300000000000003E-2</v>
      </c>
      <c r="D244" s="3">
        <f t="shared" si="3"/>
        <v>0.4</v>
      </c>
      <c r="E244" s="1">
        <v>0.6</v>
      </c>
      <c r="F244" s="2">
        <v>0.4</v>
      </c>
      <c r="G244" s="2">
        <v>0.25</v>
      </c>
      <c r="H244" s="2">
        <v>0.35</v>
      </c>
    </row>
    <row r="245" spans="1:8" x14ac:dyDescent="0.25">
      <c r="A245" s="8">
        <v>820</v>
      </c>
      <c r="B245" s="4">
        <v>4328153</v>
      </c>
      <c r="C245" s="3">
        <v>4.8300000000000003E-2</v>
      </c>
      <c r="D245" s="3">
        <f t="shared" si="3"/>
        <v>0.6</v>
      </c>
      <c r="E245" s="1">
        <v>0.4</v>
      </c>
      <c r="F245" s="2">
        <v>0.11</v>
      </c>
      <c r="G245" s="2">
        <v>0.25</v>
      </c>
      <c r="H245" s="2">
        <v>0.64</v>
      </c>
    </row>
    <row r="246" spans="1:8" x14ac:dyDescent="0.25">
      <c r="A246" s="8">
        <v>490</v>
      </c>
      <c r="B246" s="4">
        <v>8809941</v>
      </c>
      <c r="C246" s="3">
        <v>4.8099999999999997E-2</v>
      </c>
      <c r="D246" s="3">
        <f t="shared" si="3"/>
        <v>0.7</v>
      </c>
      <c r="E246" s="1">
        <v>0.3</v>
      </c>
      <c r="F246" s="2">
        <v>0.27</v>
      </c>
      <c r="G246" s="2">
        <v>0.31</v>
      </c>
      <c r="H246" s="2">
        <v>0.41999999999999993</v>
      </c>
    </row>
    <row r="247" spans="1:8" x14ac:dyDescent="0.25">
      <c r="A247" s="8">
        <v>732</v>
      </c>
      <c r="B247" s="4">
        <v>9079123</v>
      </c>
      <c r="C247" s="3">
        <v>4.8099999999999997E-2</v>
      </c>
      <c r="D247" s="3">
        <f t="shared" si="3"/>
        <v>0.7</v>
      </c>
      <c r="E247" s="1">
        <v>0.3</v>
      </c>
      <c r="F247" s="2">
        <v>0.28999999999999998</v>
      </c>
      <c r="G247" s="2">
        <v>0.38</v>
      </c>
      <c r="H247" s="2">
        <v>0.33</v>
      </c>
    </row>
    <row r="248" spans="1:8" x14ac:dyDescent="0.25">
      <c r="A248" s="8">
        <v>749</v>
      </c>
      <c r="B248" s="4">
        <v>9894245</v>
      </c>
      <c r="C248" s="3">
        <v>4.8099999999999997E-2</v>
      </c>
      <c r="D248" s="3">
        <f t="shared" si="3"/>
        <v>0.7</v>
      </c>
      <c r="E248" s="1">
        <v>0.3</v>
      </c>
      <c r="F248" s="2">
        <v>0.35</v>
      </c>
      <c r="G248" s="2">
        <v>0.4</v>
      </c>
      <c r="H248" s="2">
        <v>0.25</v>
      </c>
    </row>
    <row r="249" spans="1:8" x14ac:dyDescent="0.25">
      <c r="A249" s="8">
        <v>306</v>
      </c>
      <c r="B249" s="4">
        <v>6615537</v>
      </c>
      <c r="C249" s="3">
        <v>4.7899999999999998E-2</v>
      </c>
      <c r="D249" s="3">
        <f t="shared" si="3"/>
        <v>0.6</v>
      </c>
      <c r="E249" s="1">
        <v>0.4</v>
      </c>
      <c r="F249" s="2">
        <v>0.24</v>
      </c>
      <c r="G249" s="2">
        <v>0.31</v>
      </c>
      <c r="H249" s="2">
        <v>0.44999999999999996</v>
      </c>
    </row>
    <row r="250" spans="1:8" x14ac:dyDescent="0.25">
      <c r="A250" s="8">
        <v>436</v>
      </c>
      <c r="B250" s="4">
        <v>2720779</v>
      </c>
      <c r="C250" s="3">
        <v>4.7899999999999998E-2</v>
      </c>
      <c r="D250" s="3">
        <f t="shared" si="3"/>
        <v>0.4</v>
      </c>
      <c r="E250" s="1">
        <v>0.6</v>
      </c>
      <c r="F250" s="2">
        <v>0.3</v>
      </c>
      <c r="G250" s="2">
        <v>0.26</v>
      </c>
      <c r="H250" s="2">
        <v>0.44</v>
      </c>
    </row>
    <row r="251" spans="1:8" x14ac:dyDescent="0.25">
      <c r="A251" s="8">
        <v>845</v>
      </c>
      <c r="B251" s="4">
        <v>2733480</v>
      </c>
      <c r="C251" s="3">
        <v>4.7899999999999998E-2</v>
      </c>
      <c r="D251" s="3">
        <f t="shared" si="3"/>
        <v>0.4</v>
      </c>
      <c r="E251" s="1">
        <v>0.6</v>
      </c>
      <c r="F251" s="2">
        <v>0.23</v>
      </c>
      <c r="G251" s="2">
        <v>0.2</v>
      </c>
      <c r="H251" s="2">
        <v>0.57000000000000006</v>
      </c>
    </row>
    <row r="252" spans="1:8" x14ac:dyDescent="0.25">
      <c r="A252" s="8">
        <v>157</v>
      </c>
      <c r="B252" s="4">
        <v>4128477</v>
      </c>
      <c r="C252" s="3">
        <v>4.7800000000000002E-2</v>
      </c>
      <c r="D252" s="3">
        <f t="shared" si="3"/>
        <v>0.6</v>
      </c>
      <c r="E252" s="1">
        <v>0.4</v>
      </c>
      <c r="F252" s="2">
        <v>0.11</v>
      </c>
      <c r="G252" s="2">
        <v>0.23</v>
      </c>
      <c r="H252" s="2">
        <v>0.66</v>
      </c>
    </row>
    <row r="253" spans="1:8" x14ac:dyDescent="0.25">
      <c r="A253" s="8">
        <v>210</v>
      </c>
      <c r="B253" s="4">
        <v>9088150</v>
      </c>
      <c r="C253" s="3">
        <v>4.7800000000000002E-2</v>
      </c>
      <c r="D253" s="3">
        <f t="shared" si="3"/>
        <v>0.7</v>
      </c>
      <c r="E253" s="1">
        <v>0.3</v>
      </c>
      <c r="F253" s="2">
        <v>0.35</v>
      </c>
      <c r="G253" s="2">
        <v>0.25</v>
      </c>
      <c r="H253" s="2">
        <v>0.4</v>
      </c>
    </row>
    <row r="254" spans="1:8" x14ac:dyDescent="0.25">
      <c r="A254" s="8">
        <v>272</v>
      </c>
      <c r="B254" s="4">
        <v>4718056</v>
      </c>
      <c r="C254" s="3">
        <v>4.7800000000000002E-2</v>
      </c>
      <c r="D254" s="3">
        <f t="shared" si="3"/>
        <v>0.6</v>
      </c>
      <c r="E254" s="1">
        <v>0.4</v>
      </c>
      <c r="F254" s="2">
        <v>0.44</v>
      </c>
      <c r="G254" s="2">
        <v>0.39</v>
      </c>
      <c r="H254" s="2">
        <v>0.16999999999999998</v>
      </c>
    </row>
    <row r="255" spans="1:8" x14ac:dyDescent="0.25">
      <c r="A255" s="8">
        <v>312</v>
      </c>
      <c r="B255" s="4">
        <v>5890748</v>
      </c>
      <c r="C255" s="3">
        <v>4.7800000000000002E-2</v>
      </c>
      <c r="D255" s="3">
        <f t="shared" si="3"/>
        <v>0.6</v>
      </c>
      <c r="E255" s="1">
        <v>0.4</v>
      </c>
      <c r="F255" s="2">
        <v>0.21</v>
      </c>
      <c r="G255" s="2">
        <v>0.44</v>
      </c>
      <c r="H255" s="2">
        <v>0.35000000000000009</v>
      </c>
    </row>
    <row r="256" spans="1:8" x14ac:dyDescent="0.25">
      <c r="A256" s="8">
        <v>522</v>
      </c>
      <c r="B256" s="4">
        <v>6530414</v>
      </c>
      <c r="C256" s="3">
        <v>4.7800000000000002E-2</v>
      </c>
      <c r="D256" s="3">
        <f t="shared" si="3"/>
        <v>0.6</v>
      </c>
      <c r="E256" s="1">
        <v>0.4</v>
      </c>
      <c r="F256" s="2">
        <v>0.37</v>
      </c>
      <c r="G256" s="2">
        <v>0.25</v>
      </c>
      <c r="H256" s="2">
        <v>0.38</v>
      </c>
    </row>
    <row r="257" spans="1:8" x14ac:dyDescent="0.25">
      <c r="A257" s="8">
        <v>28</v>
      </c>
      <c r="B257" s="4">
        <v>8340456</v>
      </c>
      <c r="C257" s="3">
        <v>4.7699999999999992E-2</v>
      </c>
      <c r="D257" s="3">
        <f t="shared" si="3"/>
        <v>0.7</v>
      </c>
      <c r="E257" s="1">
        <v>0.3</v>
      </c>
      <c r="F257" s="2">
        <v>0.15</v>
      </c>
      <c r="G257" s="2">
        <v>0.2</v>
      </c>
      <c r="H257" s="2">
        <v>0.65</v>
      </c>
    </row>
    <row r="258" spans="1:8" x14ac:dyDescent="0.25">
      <c r="A258" s="8">
        <v>133</v>
      </c>
      <c r="B258" s="4">
        <v>1364025</v>
      </c>
      <c r="C258" s="3">
        <v>4.7699999999999992E-2</v>
      </c>
      <c r="D258" s="3">
        <f t="shared" ref="D258:D321" si="4">1-E258</f>
        <v>0.4</v>
      </c>
      <c r="E258" s="1">
        <v>0.6</v>
      </c>
      <c r="F258" s="2">
        <v>0.39</v>
      </c>
      <c r="G258" s="2">
        <v>0.25</v>
      </c>
      <c r="H258" s="2">
        <v>0.36</v>
      </c>
    </row>
    <row r="259" spans="1:8" x14ac:dyDescent="0.25">
      <c r="A259" s="8">
        <v>919</v>
      </c>
      <c r="B259" s="4">
        <v>1249532</v>
      </c>
      <c r="C259" s="3">
        <v>4.7699999999999992E-2</v>
      </c>
      <c r="D259" s="3">
        <f t="shared" si="4"/>
        <v>0.4</v>
      </c>
      <c r="E259" s="1">
        <v>0.6</v>
      </c>
      <c r="F259" s="2">
        <v>0.41</v>
      </c>
      <c r="G259" s="2">
        <v>0.46</v>
      </c>
      <c r="H259" s="2">
        <v>0.13000000000000006</v>
      </c>
    </row>
    <row r="260" spans="1:8" x14ac:dyDescent="0.25">
      <c r="A260" s="8">
        <v>146</v>
      </c>
      <c r="B260" s="4">
        <v>1860955</v>
      </c>
      <c r="C260" s="3">
        <v>4.7599999999999996E-2</v>
      </c>
      <c r="D260" s="3">
        <f t="shared" si="4"/>
        <v>0.4</v>
      </c>
      <c r="E260" s="1">
        <v>0.6</v>
      </c>
      <c r="F260" s="2">
        <v>0.25</v>
      </c>
      <c r="G260" s="2">
        <v>0.21</v>
      </c>
      <c r="H260" s="2">
        <v>0.54</v>
      </c>
    </row>
    <row r="261" spans="1:8" x14ac:dyDescent="0.25">
      <c r="A261" s="8">
        <v>329</v>
      </c>
      <c r="B261" s="4">
        <v>2260966</v>
      </c>
      <c r="C261" s="3">
        <v>4.7599999999999996E-2</v>
      </c>
      <c r="D261" s="3">
        <f t="shared" si="4"/>
        <v>0.4</v>
      </c>
      <c r="E261" s="1">
        <v>0.6</v>
      </c>
      <c r="F261" s="2">
        <v>0.42</v>
      </c>
      <c r="G261" s="2">
        <v>0.45</v>
      </c>
      <c r="H261" s="2">
        <v>0.13000000000000006</v>
      </c>
    </row>
    <row r="262" spans="1:8" x14ac:dyDescent="0.25">
      <c r="A262" s="8">
        <v>421</v>
      </c>
      <c r="B262" s="4">
        <v>6727825</v>
      </c>
      <c r="C262" s="3">
        <v>4.7599999999999996E-2</v>
      </c>
      <c r="D262" s="3">
        <f t="shared" si="4"/>
        <v>0.6</v>
      </c>
      <c r="E262" s="1">
        <v>0.4</v>
      </c>
      <c r="F262" s="2">
        <v>0.21</v>
      </c>
      <c r="G262" s="2">
        <v>0.33</v>
      </c>
      <c r="H262" s="2">
        <v>0.45999999999999996</v>
      </c>
    </row>
    <row r="263" spans="1:8" x14ac:dyDescent="0.25">
      <c r="A263" s="8">
        <v>446</v>
      </c>
      <c r="B263" s="4">
        <v>4794558</v>
      </c>
      <c r="C263" s="3">
        <v>4.7500000000000001E-2</v>
      </c>
      <c r="D263" s="3">
        <f t="shared" si="4"/>
        <v>0.6</v>
      </c>
      <c r="E263" s="1">
        <v>0.4</v>
      </c>
      <c r="F263" s="2">
        <v>0.31</v>
      </c>
      <c r="G263" s="2">
        <v>0.32</v>
      </c>
      <c r="H263" s="2">
        <v>0.36999999999999994</v>
      </c>
    </row>
    <row r="264" spans="1:8" x14ac:dyDescent="0.25">
      <c r="A264" s="8">
        <v>576</v>
      </c>
      <c r="B264" s="4">
        <v>6437180</v>
      </c>
      <c r="C264" s="3">
        <v>4.7500000000000001E-2</v>
      </c>
      <c r="D264" s="3">
        <f t="shared" si="4"/>
        <v>0.6</v>
      </c>
      <c r="E264" s="1">
        <v>0.4</v>
      </c>
      <c r="F264" s="2">
        <v>0.11</v>
      </c>
      <c r="G264" s="2">
        <v>0.22</v>
      </c>
      <c r="H264" s="2">
        <v>0.67</v>
      </c>
    </row>
    <row r="265" spans="1:8" x14ac:dyDescent="0.25">
      <c r="A265" s="8">
        <v>668</v>
      </c>
      <c r="B265" s="4">
        <v>5795575</v>
      </c>
      <c r="C265" s="3">
        <v>4.7400000000000005E-2</v>
      </c>
      <c r="D265" s="3">
        <f t="shared" si="4"/>
        <v>0.6</v>
      </c>
      <c r="E265" s="1">
        <v>0.4</v>
      </c>
      <c r="F265" s="2">
        <v>0.22</v>
      </c>
      <c r="G265" s="2">
        <v>0.5</v>
      </c>
      <c r="H265" s="2">
        <v>0.28000000000000003</v>
      </c>
    </row>
    <row r="266" spans="1:8" x14ac:dyDescent="0.25">
      <c r="A266" s="8">
        <v>97</v>
      </c>
      <c r="B266" s="4">
        <v>5710219</v>
      </c>
      <c r="C266" s="3">
        <v>4.7199999999999999E-2</v>
      </c>
      <c r="D266" s="3">
        <f t="shared" si="4"/>
        <v>0.6</v>
      </c>
      <c r="E266" s="1">
        <v>0.4</v>
      </c>
      <c r="F266" s="2">
        <v>0.18</v>
      </c>
      <c r="G266" s="2">
        <v>0.35</v>
      </c>
      <c r="H266" s="2">
        <v>0.47000000000000003</v>
      </c>
    </row>
    <row r="267" spans="1:8" x14ac:dyDescent="0.25">
      <c r="A267" s="8">
        <v>109</v>
      </c>
      <c r="B267" s="4">
        <v>1744920</v>
      </c>
      <c r="C267" s="3">
        <v>4.7199999999999999E-2</v>
      </c>
      <c r="D267" s="3">
        <f t="shared" si="4"/>
        <v>0.4</v>
      </c>
      <c r="E267" s="1">
        <v>0.6</v>
      </c>
      <c r="F267" s="2">
        <v>0.39</v>
      </c>
      <c r="G267" s="2">
        <v>0.31</v>
      </c>
      <c r="H267" s="2">
        <v>0.29999999999999993</v>
      </c>
    </row>
    <row r="268" spans="1:8" x14ac:dyDescent="0.25">
      <c r="A268" s="8">
        <v>336</v>
      </c>
      <c r="B268" s="4">
        <v>1899108</v>
      </c>
      <c r="C268" s="3">
        <v>4.7199999999999999E-2</v>
      </c>
      <c r="D268" s="3">
        <f t="shared" si="4"/>
        <v>0.4</v>
      </c>
      <c r="E268" s="1">
        <v>0.6</v>
      </c>
      <c r="F268" s="2">
        <v>0.23</v>
      </c>
      <c r="G268" s="2">
        <v>0.28000000000000003</v>
      </c>
      <c r="H268" s="2">
        <v>0.49</v>
      </c>
    </row>
    <row r="269" spans="1:8" x14ac:dyDescent="0.25">
      <c r="A269" s="8">
        <v>920</v>
      </c>
      <c r="B269" s="4">
        <v>6914478</v>
      </c>
      <c r="C269" s="3">
        <v>4.7199999999999999E-2</v>
      </c>
      <c r="D269" s="3">
        <f t="shared" si="4"/>
        <v>0.6</v>
      </c>
      <c r="E269" s="1">
        <v>0.4</v>
      </c>
      <c r="F269" s="2">
        <v>0.12</v>
      </c>
      <c r="G269" s="2">
        <v>0.34</v>
      </c>
      <c r="H269" s="2">
        <v>0.53999999999999992</v>
      </c>
    </row>
    <row r="270" spans="1:8" x14ac:dyDescent="0.25">
      <c r="A270" s="8">
        <v>68</v>
      </c>
      <c r="B270" s="4">
        <v>6961109</v>
      </c>
      <c r="C270" s="3">
        <v>4.7100000000000003E-2</v>
      </c>
      <c r="D270" s="3">
        <f t="shared" si="4"/>
        <v>0.6</v>
      </c>
      <c r="E270" s="1">
        <v>0.4</v>
      </c>
      <c r="F270" s="2">
        <v>0.41</v>
      </c>
      <c r="G270" s="2">
        <v>0.31</v>
      </c>
      <c r="H270" s="2">
        <v>0.27999999999999997</v>
      </c>
    </row>
    <row r="271" spans="1:8" x14ac:dyDescent="0.25">
      <c r="A271" s="8">
        <v>967</v>
      </c>
      <c r="B271" s="4">
        <v>7111897</v>
      </c>
      <c r="C271" s="3">
        <v>4.7100000000000003E-2</v>
      </c>
      <c r="D271" s="3">
        <f t="shared" si="4"/>
        <v>0.7</v>
      </c>
      <c r="E271" s="1">
        <v>0.3</v>
      </c>
      <c r="F271" s="2">
        <v>0.3</v>
      </c>
      <c r="G271" s="2">
        <v>0.33</v>
      </c>
      <c r="H271" s="2">
        <v>0.36999999999999994</v>
      </c>
    </row>
    <row r="272" spans="1:8" x14ac:dyDescent="0.25">
      <c r="A272" s="8">
        <v>754</v>
      </c>
      <c r="B272" s="4">
        <v>7834925</v>
      </c>
      <c r="C272" s="3">
        <v>4.7E-2</v>
      </c>
      <c r="D272" s="3">
        <f t="shared" si="4"/>
        <v>0.7</v>
      </c>
      <c r="E272" s="1">
        <v>0.3</v>
      </c>
      <c r="F272" s="2">
        <v>0.39</v>
      </c>
      <c r="G272" s="2">
        <v>0.28999999999999998</v>
      </c>
      <c r="H272" s="2">
        <v>0.31999999999999995</v>
      </c>
    </row>
    <row r="273" spans="1:8" x14ac:dyDescent="0.25">
      <c r="A273" s="8">
        <v>366</v>
      </c>
      <c r="B273" s="4">
        <v>9309898</v>
      </c>
      <c r="C273" s="3">
        <v>4.6900000000000004E-2</v>
      </c>
      <c r="D273" s="3">
        <f t="shared" si="4"/>
        <v>0.7</v>
      </c>
      <c r="E273" s="1">
        <v>0.3</v>
      </c>
      <c r="F273" s="2">
        <v>0.42</v>
      </c>
      <c r="G273" s="2">
        <v>0.48</v>
      </c>
      <c r="H273" s="2">
        <v>0.10000000000000003</v>
      </c>
    </row>
    <row r="274" spans="1:8" x14ac:dyDescent="0.25">
      <c r="A274" s="8">
        <v>578</v>
      </c>
      <c r="B274" s="4">
        <v>8595854</v>
      </c>
      <c r="C274" s="3">
        <v>4.6900000000000004E-2</v>
      </c>
      <c r="D274" s="3">
        <f t="shared" si="4"/>
        <v>0.7</v>
      </c>
      <c r="E274" s="1">
        <v>0.3</v>
      </c>
      <c r="F274" s="2">
        <v>0.28000000000000003</v>
      </c>
      <c r="G274" s="2">
        <v>0.37</v>
      </c>
      <c r="H274" s="2">
        <v>0.35</v>
      </c>
    </row>
    <row r="275" spans="1:8" x14ac:dyDescent="0.25">
      <c r="A275" s="8">
        <v>787</v>
      </c>
      <c r="B275" s="4">
        <v>4417336</v>
      </c>
      <c r="C275" s="3">
        <v>4.6900000000000004E-2</v>
      </c>
      <c r="D275" s="3">
        <f t="shared" si="4"/>
        <v>0.6</v>
      </c>
      <c r="E275" s="1">
        <v>0.4</v>
      </c>
      <c r="F275" s="2">
        <v>0.45</v>
      </c>
      <c r="G275" s="2">
        <v>0.5</v>
      </c>
      <c r="H275" s="2">
        <v>4.9999999999999989E-2</v>
      </c>
    </row>
    <row r="276" spans="1:8" x14ac:dyDescent="0.25">
      <c r="A276" s="8">
        <v>861</v>
      </c>
      <c r="B276" s="4">
        <v>6529970</v>
      </c>
      <c r="C276" s="3">
        <v>4.6900000000000004E-2</v>
      </c>
      <c r="D276" s="3">
        <f t="shared" si="4"/>
        <v>0.6</v>
      </c>
      <c r="E276" s="1">
        <v>0.4</v>
      </c>
      <c r="F276" s="2">
        <v>0.37</v>
      </c>
      <c r="G276" s="2">
        <v>0.46</v>
      </c>
      <c r="H276" s="2">
        <v>0.17000000000000004</v>
      </c>
    </row>
    <row r="277" spans="1:8" x14ac:dyDescent="0.25">
      <c r="A277" s="8">
        <v>918</v>
      </c>
      <c r="B277" s="4">
        <v>7015682</v>
      </c>
      <c r="C277" s="3">
        <v>4.6900000000000004E-2</v>
      </c>
      <c r="D277" s="3">
        <f t="shared" si="4"/>
        <v>0.7</v>
      </c>
      <c r="E277" s="1">
        <v>0.3</v>
      </c>
      <c r="F277" s="2">
        <v>0.23</v>
      </c>
      <c r="G277" s="2">
        <v>0.27</v>
      </c>
      <c r="H277" s="2">
        <v>0.5</v>
      </c>
    </row>
    <row r="278" spans="1:8" x14ac:dyDescent="0.25">
      <c r="A278" s="8">
        <v>4</v>
      </c>
      <c r="B278" s="4">
        <v>7359940</v>
      </c>
      <c r="C278" s="3">
        <v>4.6799999999999994E-2</v>
      </c>
      <c r="D278" s="3">
        <f t="shared" si="4"/>
        <v>0.7</v>
      </c>
      <c r="E278" s="1">
        <v>0.3</v>
      </c>
      <c r="F278" s="2">
        <v>0.43</v>
      </c>
      <c r="G278" s="2">
        <v>0.26</v>
      </c>
      <c r="H278" s="2">
        <v>0.31</v>
      </c>
    </row>
    <row r="279" spans="1:8" x14ac:dyDescent="0.25">
      <c r="A279" s="8">
        <v>82</v>
      </c>
      <c r="B279" s="4">
        <v>1956423</v>
      </c>
      <c r="C279" s="3">
        <v>4.6799999999999994E-2</v>
      </c>
      <c r="D279" s="3">
        <f t="shared" si="4"/>
        <v>0.4</v>
      </c>
      <c r="E279" s="1">
        <v>0.6</v>
      </c>
      <c r="F279" s="2">
        <v>0.34</v>
      </c>
      <c r="G279" s="2">
        <v>0.26</v>
      </c>
      <c r="H279" s="2">
        <v>0.39999999999999997</v>
      </c>
    </row>
    <row r="280" spans="1:8" x14ac:dyDescent="0.25">
      <c r="A280" s="8">
        <v>520</v>
      </c>
      <c r="B280" s="4">
        <v>7483673</v>
      </c>
      <c r="C280" s="3">
        <v>4.6799999999999994E-2</v>
      </c>
      <c r="D280" s="3">
        <f t="shared" si="4"/>
        <v>0.7</v>
      </c>
      <c r="E280" s="1">
        <v>0.3</v>
      </c>
      <c r="F280" s="2">
        <v>0.26</v>
      </c>
      <c r="G280" s="2">
        <v>0.47</v>
      </c>
      <c r="H280" s="2">
        <v>0.27</v>
      </c>
    </row>
    <row r="281" spans="1:8" x14ac:dyDescent="0.25">
      <c r="A281" s="8">
        <v>585</v>
      </c>
      <c r="B281" s="4">
        <v>5937613</v>
      </c>
      <c r="C281" s="3">
        <v>4.6799999999999994E-2</v>
      </c>
      <c r="D281" s="3">
        <f t="shared" si="4"/>
        <v>0.6</v>
      </c>
      <c r="E281" s="1">
        <v>0.4</v>
      </c>
      <c r="F281" s="2">
        <v>0.32</v>
      </c>
      <c r="G281" s="2">
        <v>0.27</v>
      </c>
      <c r="H281" s="2">
        <v>0.41</v>
      </c>
    </row>
    <row r="282" spans="1:8" x14ac:dyDescent="0.25">
      <c r="A282" s="8">
        <v>874</v>
      </c>
      <c r="B282" s="4">
        <v>663743</v>
      </c>
      <c r="C282" s="3">
        <v>4.6799999999999994E-2</v>
      </c>
      <c r="D282" s="3">
        <f t="shared" si="4"/>
        <v>0.4</v>
      </c>
      <c r="E282" s="1">
        <v>0.6</v>
      </c>
      <c r="F282" s="2">
        <v>0.26</v>
      </c>
      <c r="G282" s="2">
        <v>0.33</v>
      </c>
      <c r="H282" s="2">
        <v>0.40999999999999992</v>
      </c>
    </row>
    <row r="283" spans="1:8" x14ac:dyDescent="0.25">
      <c r="A283" s="8">
        <v>61</v>
      </c>
      <c r="B283" s="4">
        <v>1978557</v>
      </c>
      <c r="C283" s="3">
        <v>4.6600000000000003E-2</v>
      </c>
      <c r="D283" s="3">
        <f t="shared" si="4"/>
        <v>0.4</v>
      </c>
      <c r="E283" s="1">
        <v>0.6</v>
      </c>
      <c r="F283" s="2">
        <v>0.22</v>
      </c>
      <c r="G283" s="2">
        <v>0.37</v>
      </c>
      <c r="H283" s="2">
        <v>0.41000000000000003</v>
      </c>
    </row>
    <row r="284" spans="1:8" x14ac:dyDescent="0.25">
      <c r="A284" s="8">
        <v>62</v>
      </c>
      <c r="B284" s="4">
        <v>4415133</v>
      </c>
      <c r="C284" s="3">
        <v>4.6600000000000003E-2</v>
      </c>
      <c r="D284" s="3">
        <f t="shared" si="4"/>
        <v>0.6</v>
      </c>
      <c r="E284" s="1">
        <v>0.4</v>
      </c>
      <c r="F284" s="2">
        <v>0.32</v>
      </c>
      <c r="G284" s="2">
        <v>0.33</v>
      </c>
      <c r="H284" s="2">
        <v>0.34999999999999992</v>
      </c>
    </row>
    <row r="285" spans="1:8" x14ac:dyDescent="0.25">
      <c r="A285" s="8">
        <v>199</v>
      </c>
      <c r="B285" s="4">
        <v>4215703</v>
      </c>
      <c r="C285" s="3">
        <v>4.6600000000000003E-2</v>
      </c>
      <c r="D285" s="3">
        <f t="shared" si="4"/>
        <v>0.6</v>
      </c>
      <c r="E285" s="1">
        <v>0.4</v>
      </c>
      <c r="F285" s="2">
        <v>0.2</v>
      </c>
      <c r="G285" s="2">
        <v>0.32</v>
      </c>
      <c r="H285" s="2">
        <v>0.47999999999999993</v>
      </c>
    </row>
    <row r="286" spans="1:8" x14ac:dyDescent="0.25">
      <c r="A286" s="8">
        <v>224</v>
      </c>
      <c r="B286" s="4">
        <v>1390375</v>
      </c>
      <c r="C286" s="3">
        <v>4.6500000000000007E-2</v>
      </c>
      <c r="D286" s="3">
        <f t="shared" si="4"/>
        <v>0.4</v>
      </c>
      <c r="E286" s="1">
        <v>0.6</v>
      </c>
      <c r="F286" s="2">
        <v>0.16</v>
      </c>
      <c r="G286" s="2">
        <v>0.42</v>
      </c>
      <c r="H286" s="2">
        <v>0.42000000000000004</v>
      </c>
    </row>
    <row r="287" spans="1:8" x14ac:dyDescent="0.25">
      <c r="A287" s="8">
        <v>38</v>
      </c>
      <c r="B287" s="4">
        <v>1104411</v>
      </c>
      <c r="C287" s="3">
        <v>4.6300000000000001E-2</v>
      </c>
      <c r="D287" s="3">
        <f t="shared" si="4"/>
        <v>0.4</v>
      </c>
      <c r="E287" s="1">
        <v>0.6</v>
      </c>
      <c r="F287" s="2">
        <v>0.15</v>
      </c>
      <c r="G287" s="2">
        <v>0.46</v>
      </c>
      <c r="H287" s="2">
        <v>0.39</v>
      </c>
    </row>
    <row r="288" spans="1:8" x14ac:dyDescent="0.25">
      <c r="A288" s="8">
        <v>223</v>
      </c>
      <c r="B288" s="4">
        <v>5999454</v>
      </c>
      <c r="C288" s="3">
        <v>4.6199999999999998E-2</v>
      </c>
      <c r="D288" s="3">
        <f t="shared" si="4"/>
        <v>0.6</v>
      </c>
      <c r="E288" s="1">
        <v>0.4</v>
      </c>
      <c r="F288" s="2">
        <v>0.32</v>
      </c>
      <c r="G288" s="2">
        <v>0.48</v>
      </c>
      <c r="H288" s="2">
        <v>0.2</v>
      </c>
    </row>
    <row r="289" spans="1:8" x14ac:dyDescent="0.25">
      <c r="A289" s="8">
        <v>855</v>
      </c>
      <c r="B289" s="4">
        <v>3520326</v>
      </c>
      <c r="C289" s="3">
        <v>4.6199999999999998E-2</v>
      </c>
      <c r="D289" s="3">
        <f t="shared" si="4"/>
        <v>0.6</v>
      </c>
      <c r="E289" s="1">
        <v>0.4</v>
      </c>
      <c r="F289" s="2">
        <v>0.33</v>
      </c>
      <c r="G289" s="2">
        <v>0.49</v>
      </c>
      <c r="H289" s="2">
        <v>0.18</v>
      </c>
    </row>
    <row r="290" spans="1:8" x14ac:dyDescent="0.25">
      <c r="A290" s="8">
        <v>633</v>
      </c>
      <c r="B290" s="4">
        <v>2078854</v>
      </c>
      <c r="C290" s="3">
        <v>4.6100000000000002E-2</v>
      </c>
      <c r="D290" s="3">
        <f t="shared" si="4"/>
        <v>0.4</v>
      </c>
      <c r="E290" s="1">
        <v>0.6</v>
      </c>
      <c r="F290" s="2">
        <v>0.31</v>
      </c>
      <c r="G290" s="2">
        <v>0.24</v>
      </c>
      <c r="H290" s="2">
        <v>0.45</v>
      </c>
    </row>
    <row r="291" spans="1:8" x14ac:dyDescent="0.25">
      <c r="A291" s="8">
        <v>715</v>
      </c>
      <c r="B291" s="4">
        <v>6853262</v>
      </c>
      <c r="C291" s="3">
        <v>4.6100000000000002E-2</v>
      </c>
      <c r="D291" s="3">
        <f t="shared" si="4"/>
        <v>0.6</v>
      </c>
      <c r="E291" s="1">
        <v>0.4</v>
      </c>
      <c r="F291" s="2">
        <v>0.19</v>
      </c>
      <c r="G291" s="2">
        <v>0.41</v>
      </c>
      <c r="H291" s="2">
        <v>0.40000000000000008</v>
      </c>
    </row>
    <row r="292" spans="1:8" x14ac:dyDescent="0.25">
      <c r="A292" s="8">
        <v>956</v>
      </c>
      <c r="B292" s="4">
        <v>755824</v>
      </c>
      <c r="C292" s="3">
        <v>4.5999999999999999E-2</v>
      </c>
      <c r="D292" s="3">
        <f t="shared" si="4"/>
        <v>0.4</v>
      </c>
      <c r="E292" s="1">
        <v>0.6</v>
      </c>
      <c r="F292" s="2">
        <v>0.32</v>
      </c>
      <c r="G292" s="2">
        <v>0.22</v>
      </c>
      <c r="H292" s="2">
        <v>0.46</v>
      </c>
    </row>
    <row r="293" spans="1:8" x14ac:dyDescent="0.25">
      <c r="A293" s="8">
        <v>708</v>
      </c>
      <c r="B293" s="4">
        <v>9467401</v>
      </c>
      <c r="C293" s="3">
        <v>4.5899999999999996E-2</v>
      </c>
      <c r="D293" s="3">
        <f t="shared" si="4"/>
        <v>0.7</v>
      </c>
      <c r="E293" s="1">
        <v>0.3</v>
      </c>
      <c r="F293" s="2">
        <v>0.16</v>
      </c>
      <c r="G293" s="2">
        <v>0.3</v>
      </c>
      <c r="H293" s="2">
        <v>0.53999999999999992</v>
      </c>
    </row>
    <row r="294" spans="1:8" x14ac:dyDescent="0.25">
      <c r="A294" s="8">
        <v>822</v>
      </c>
      <c r="B294" s="4">
        <v>4032971</v>
      </c>
      <c r="C294" s="3">
        <v>4.5899999999999996E-2</v>
      </c>
      <c r="D294" s="3">
        <f t="shared" si="4"/>
        <v>0.6</v>
      </c>
      <c r="E294" s="1">
        <v>0.4</v>
      </c>
      <c r="F294" s="2">
        <v>0.25</v>
      </c>
      <c r="G294" s="2">
        <v>0.21</v>
      </c>
      <c r="H294" s="2">
        <v>0.54</v>
      </c>
    </row>
    <row r="295" spans="1:8" x14ac:dyDescent="0.25">
      <c r="A295" s="8">
        <v>905</v>
      </c>
      <c r="B295" s="4">
        <v>9236848</v>
      </c>
      <c r="C295" s="3">
        <v>4.5899999999999996E-2</v>
      </c>
      <c r="D295" s="3">
        <f t="shared" si="4"/>
        <v>0.7</v>
      </c>
      <c r="E295" s="1">
        <v>0.3</v>
      </c>
      <c r="F295" s="2">
        <v>0.22</v>
      </c>
      <c r="G295" s="2">
        <v>0.28000000000000003</v>
      </c>
      <c r="H295" s="2">
        <v>0.5</v>
      </c>
    </row>
    <row r="296" spans="1:8" x14ac:dyDescent="0.25">
      <c r="A296" s="8">
        <v>926</v>
      </c>
      <c r="B296" s="4">
        <v>8352823</v>
      </c>
      <c r="C296" s="3">
        <v>4.5899999999999996E-2</v>
      </c>
      <c r="D296" s="3">
        <f t="shared" si="4"/>
        <v>0.7</v>
      </c>
      <c r="E296" s="1">
        <v>0.3</v>
      </c>
      <c r="F296" s="2">
        <v>0.24</v>
      </c>
      <c r="G296" s="2">
        <v>0.38</v>
      </c>
      <c r="H296" s="2">
        <v>0.38</v>
      </c>
    </row>
    <row r="297" spans="1:8" x14ac:dyDescent="0.25">
      <c r="A297" s="8">
        <v>414</v>
      </c>
      <c r="B297" s="4">
        <v>5044696</v>
      </c>
      <c r="C297" s="3">
        <v>4.58E-2</v>
      </c>
      <c r="D297" s="3">
        <f t="shared" si="4"/>
        <v>0.6</v>
      </c>
      <c r="E297" s="1">
        <v>0.4</v>
      </c>
      <c r="F297" s="2">
        <v>0.13</v>
      </c>
      <c r="G297" s="2">
        <v>0.36</v>
      </c>
      <c r="H297" s="2">
        <v>0.51</v>
      </c>
    </row>
    <row r="298" spans="1:8" x14ac:dyDescent="0.25">
      <c r="A298" s="8">
        <v>747</v>
      </c>
      <c r="B298" s="4">
        <v>1830231</v>
      </c>
      <c r="C298" s="3">
        <v>4.58E-2</v>
      </c>
      <c r="D298" s="3">
        <f t="shared" si="4"/>
        <v>0.4</v>
      </c>
      <c r="E298" s="1">
        <v>0.6</v>
      </c>
      <c r="F298" s="2">
        <v>0.25</v>
      </c>
      <c r="G298" s="2">
        <v>0.2</v>
      </c>
      <c r="H298" s="2">
        <v>0.55000000000000004</v>
      </c>
    </row>
    <row r="299" spans="1:8" x14ac:dyDescent="0.25">
      <c r="A299" s="8">
        <v>751</v>
      </c>
      <c r="B299" s="4">
        <v>6644768</v>
      </c>
      <c r="C299" s="3">
        <v>4.58E-2</v>
      </c>
      <c r="D299" s="3">
        <f t="shared" si="4"/>
        <v>0.6</v>
      </c>
      <c r="E299" s="1">
        <v>0.4</v>
      </c>
      <c r="F299" s="2">
        <v>0.37</v>
      </c>
      <c r="G299" s="2">
        <v>0.33</v>
      </c>
      <c r="H299" s="2">
        <v>0.29999999999999993</v>
      </c>
    </row>
    <row r="300" spans="1:8" x14ac:dyDescent="0.25">
      <c r="A300" s="8">
        <v>829</v>
      </c>
      <c r="B300" s="4">
        <v>7538329</v>
      </c>
      <c r="C300" s="3">
        <v>4.58E-2</v>
      </c>
      <c r="D300" s="3">
        <f t="shared" si="4"/>
        <v>0.7</v>
      </c>
      <c r="E300" s="1">
        <v>0.3</v>
      </c>
      <c r="F300" s="2">
        <v>0.39</v>
      </c>
      <c r="G300" s="2">
        <v>0.45</v>
      </c>
      <c r="H300" s="2">
        <v>0.16000000000000003</v>
      </c>
    </row>
    <row r="301" spans="1:8" x14ac:dyDescent="0.25">
      <c r="A301" s="8">
        <v>725</v>
      </c>
      <c r="B301" s="4">
        <v>1505125</v>
      </c>
      <c r="C301" s="3">
        <v>4.5700000000000005E-2</v>
      </c>
      <c r="D301" s="3">
        <f t="shared" si="4"/>
        <v>0.4</v>
      </c>
      <c r="E301" s="1">
        <v>0.6</v>
      </c>
      <c r="F301" s="2">
        <v>0.39</v>
      </c>
      <c r="G301" s="2">
        <v>0.5</v>
      </c>
      <c r="H301" s="2">
        <v>0.10999999999999999</v>
      </c>
    </row>
    <row r="302" spans="1:8" x14ac:dyDescent="0.25">
      <c r="A302" s="8">
        <v>151</v>
      </c>
      <c r="B302" s="4">
        <v>8082436</v>
      </c>
      <c r="C302" s="3">
        <v>4.5599999999999995E-2</v>
      </c>
      <c r="D302" s="3">
        <f t="shared" si="4"/>
        <v>0.7</v>
      </c>
      <c r="E302" s="1">
        <v>0.3</v>
      </c>
      <c r="F302" s="2">
        <v>0.34</v>
      </c>
      <c r="G302" s="2">
        <v>0.37</v>
      </c>
      <c r="H302" s="2">
        <v>0.28999999999999998</v>
      </c>
    </row>
    <row r="303" spans="1:8" x14ac:dyDescent="0.25">
      <c r="A303" s="8">
        <v>404</v>
      </c>
      <c r="B303" s="4">
        <v>383051</v>
      </c>
      <c r="C303" s="3">
        <v>4.5599999999999995E-2</v>
      </c>
      <c r="D303" s="3">
        <f t="shared" si="4"/>
        <v>0.4</v>
      </c>
      <c r="E303" s="1">
        <v>0.6</v>
      </c>
      <c r="F303" s="2">
        <v>0.12</v>
      </c>
      <c r="G303" s="2">
        <v>0.32</v>
      </c>
      <c r="H303" s="2">
        <v>0.55999999999999994</v>
      </c>
    </row>
    <row r="304" spans="1:8" x14ac:dyDescent="0.25">
      <c r="A304" s="8">
        <v>473</v>
      </c>
      <c r="B304" s="4">
        <v>4570320</v>
      </c>
      <c r="C304" s="3">
        <v>4.5599999999999995E-2</v>
      </c>
      <c r="D304" s="3">
        <f t="shared" si="4"/>
        <v>0.6</v>
      </c>
      <c r="E304" s="1">
        <v>0.4</v>
      </c>
      <c r="F304" s="2">
        <v>0.15</v>
      </c>
      <c r="G304" s="2">
        <v>0.45</v>
      </c>
      <c r="H304" s="2">
        <v>0.4</v>
      </c>
    </row>
    <row r="305" spans="1:8" x14ac:dyDescent="0.25">
      <c r="A305" s="8">
        <v>737</v>
      </c>
      <c r="B305" s="4">
        <v>3454494</v>
      </c>
      <c r="C305" s="3">
        <v>4.5599999999999995E-2</v>
      </c>
      <c r="D305" s="3">
        <f t="shared" si="4"/>
        <v>0.6</v>
      </c>
      <c r="E305" s="1">
        <v>0.4</v>
      </c>
      <c r="F305" s="2">
        <v>0.28000000000000003</v>
      </c>
      <c r="G305" s="2">
        <v>0.48</v>
      </c>
      <c r="H305" s="2">
        <v>0.24</v>
      </c>
    </row>
    <row r="306" spans="1:8" x14ac:dyDescent="0.25">
      <c r="A306" s="8">
        <v>128</v>
      </c>
      <c r="B306" s="4">
        <v>5316227</v>
      </c>
      <c r="C306" s="3">
        <v>4.5400000000000003E-2</v>
      </c>
      <c r="D306" s="3">
        <f t="shared" si="4"/>
        <v>0.6</v>
      </c>
      <c r="E306" s="1">
        <v>0.4</v>
      </c>
      <c r="F306" s="2">
        <v>0.11</v>
      </c>
      <c r="G306" s="2">
        <v>0.41</v>
      </c>
      <c r="H306" s="2">
        <v>0.48000000000000009</v>
      </c>
    </row>
    <row r="307" spans="1:8" x14ac:dyDescent="0.25">
      <c r="A307" s="8">
        <v>196</v>
      </c>
      <c r="B307" s="4">
        <v>348499</v>
      </c>
      <c r="C307" s="3">
        <v>4.5400000000000003E-2</v>
      </c>
      <c r="D307" s="3">
        <f t="shared" si="4"/>
        <v>0.4</v>
      </c>
      <c r="E307" s="1">
        <v>0.6</v>
      </c>
      <c r="F307" s="2">
        <v>0.35</v>
      </c>
      <c r="G307" s="2">
        <v>0.35</v>
      </c>
      <c r="H307" s="2">
        <v>0.30000000000000004</v>
      </c>
    </row>
    <row r="308" spans="1:8" x14ac:dyDescent="0.25">
      <c r="A308" s="8">
        <v>283</v>
      </c>
      <c r="B308" s="4">
        <v>2009895</v>
      </c>
      <c r="C308" s="3">
        <v>4.5400000000000003E-2</v>
      </c>
      <c r="D308" s="3">
        <f t="shared" si="4"/>
        <v>0.4</v>
      </c>
      <c r="E308" s="1">
        <v>0.6</v>
      </c>
      <c r="F308" s="2">
        <v>0.4</v>
      </c>
      <c r="G308" s="2">
        <v>0.5</v>
      </c>
      <c r="H308" s="2">
        <v>9.9999999999999978E-2</v>
      </c>
    </row>
    <row r="309" spans="1:8" x14ac:dyDescent="0.25">
      <c r="A309" s="8">
        <v>364</v>
      </c>
      <c r="B309" s="4">
        <v>2385693</v>
      </c>
      <c r="C309" s="3">
        <v>4.5400000000000003E-2</v>
      </c>
      <c r="D309" s="3">
        <f t="shared" si="4"/>
        <v>0.4</v>
      </c>
      <c r="E309" s="1">
        <v>0.6</v>
      </c>
      <c r="F309" s="2">
        <v>0.4</v>
      </c>
      <c r="G309" s="2">
        <v>0.43</v>
      </c>
      <c r="H309" s="2">
        <v>0.17000000000000004</v>
      </c>
    </row>
    <row r="310" spans="1:8" x14ac:dyDescent="0.25">
      <c r="A310" s="8">
        <v>854</v>
      </c>
      <c r="B310" s="4">
        <v>8391893</v>
      </c>
      <c r="C310" s="3">
        <v>4.5400000000000003E-2</v>
      </c>
      <c r="D310" s="3">
        <f t="shared" si="4"/>
        <v>0.7</v>
      </c>
      <c r="E310" s="1">
        <v>0.3</v>
      </c>
      <c r="F310" s="2">
        <v>0.3</v>
      </c>
      <c r="G310" s="2">
        <v>0.22</v>
      </c>
      <c r="H310" s="2">
        <v>0.48000000000000004</v>
      </c>
    </row>
    <row r="311" spans="1:8" x14ac:dyDescent="0.25">
      <c r="A311" s="8">
        <v>1027</v>
      </c>
      <c r="B311" s="4">
        <v>404387</v>
      </c>
      <c r="C311" s="3">
        <v>4.5400000000000003E-2</v>
      </c>
      <c r="D311" s="3">
        <f t="shared" si="4"/>
        <v>0.4</v>
      </c>
      <c r="E311" s="1">
        <v>0.6</v>
      </c>
      <c r="F311" s="2">
        <v>0.17</v>
      </c>
      <c r="G311" s="2">
        <v>0.46</v>
      </c>
      <c r="H311" s="2">
        <v>0.37</v>
      </c>
    </row>
    <row r="312" spans="1:8" x14ac:dyDescent="0.25">
      <c r="A312" s="8">
        <v>556</v>
      </c>
      <c r="B312" s="4">
        <v>1764280</v>
      </c>
      <c r="C312" s="3">
        <v>4.53E-2</v>
      </c>
      <c r="D312" s="3">
        <f t="shared" si="4"/>
        <v>0.4</v>
      </c>
      <c r="E312" s="1">
        <v>0.6</v>
      </c>
      <c r="F312" s="2">
        <v>0.38</v>
      </c>
      <c r="G312" s="2">
        <v>0.48</v>
      </c>
      <c r="H312" s="2">
        <v>0.14000000000000001</v>
      </c>
    </row>
    <row r="313" spans="1:8" x14ac:dyDescent="0.25">
      <c r="A313" s="8">
        <v>796</v>
      </c>
      <c r="B313" s="4">
        <v>301321</v>
      </c>
      <c r="C313" s="3">
        <v>4.5199999999999997E-2</v>
      </c>
      <c r="D313" s="3">
        <f t="shared" si="4"/>
        <v>0.4</v>
      </c>
      <c r="E313" s="1">
        <v>0.6</v>
      </c>
      <c r="F313" s="2">
        <v>0.32</v>
      </c>
      <c r="G313" s="2">
        <v>0.28000000000000003</v>
      </c>
      <c r="H313" s="2">
        <v>0.39999999999999997</v>
      </c>
    </row>
    <row r="314" spans="1:8" x14ac:dyDescent="0.25">
      <c r="A314" s="8">
        <v>934</v>
      </c>
      <c r="B314" s="4">
        <v>8850762</v>
      </c>
      <c r="C314" s="3">
        <v>4.4999999999999998E-2</v>
      </c>
      <c r="D314" s="3">
        <f t="shared" si="4"/>
        <v>0.7</v>
      </c>
      <c r="E314" s="1">
        <v>0.3</v>
      </c>
      <c r="F314" s="2">
        <v>0.26</v>
      </c>
      <c r="G314" s="2">
        <v>0.5</v>
      </c>
      <c r="H314" s="2">
        <v>0.24</v>
      </c>
    </row>
    <row r="315" spans="1:8" x14ac:dyDescent="0.25">
      <c r="A315" s="8">
        <v>432</v>
      </c>
      <c r="B315" s="4">
        <v>1789950</v>
      </c>
      <c r="C315" s="3">
        <v>4.4900000000000002E-2</v>
      </c>
      <c r="D315" s="3">
        <f t="shared" si="4"/>
        <v>0.4</v>
      </c>
      <c r="E315" s="1">
        <v>0.6</v>
      </c>
      <c r="F315" s="2">
        <v>0.12</v>
      </c>
      <c r="G315" s="2">
        <v>0.39</v>
      </c>
      <c r="H315" s="2">
        <v>0.49</v>
      </c>
    </row>
    <row r="316" spans="1:8" x14ac:dyDescent="0.25">
      <c r="A316" s="8">
        <v>927</v>
      </c>
      <c r="B316" s="4">
        <v>2738627</v>
      </c>
      <c r="C316" s="3">
        <v>4.4900000000000002E-2</v>
      </c>
      <c r="D316" s="3">
        <f t="shared" si="4"/>
        <v>0.4</v>
      </c>
      <c r="E316" s="1">
        <v>0.6</v>
      </c>
      <c r="F316" s="2">
        <v>0.12</v>
      </c>
      <c r="G316" s="2">
        <v>0.4</v>
      </c>
      <c r="H316" s="2">
        <v>0.48</v>
      </c>
    </row>
    <row r="317" spans="1:8" x14ac:dyDescent="0.25">
      <c r="A317" s="8">
        <v>254</v>
      </c>
      <c r="B317" s="4">
        <v>9993693</v>
      </c>
      <c r="C317" s="3">
        <v>4.4800000000000006E-2</v>
      </c>
      <c r="D317" s="3">
        <f t="shared" si="4"/>
        <v>0.7</v>
      </c>
      <c r="E317" s="1">
        <v>0.3</v>
      </c>
      <c r="F317" s="2">
        <v>0.36</v>
      </c>
      <c r="G317" s="2">
        <v>0.25</v>
      </c>
      <c r="H317" s="2">
        <v>0.39</v>
      </c>
    </row>
    <row r="318" spans="1:8" x14ac:dyDescent="0.25">
      <c r="A318" s="8">
        <v>548</v>
      </c>
      <c r="B318" s="4">
        <v>4731305</v>
      </c>
      <c r="C318" s="3">
        <v>4.4800000000000006E-2</v>
      </c>
      <c r="D318" s="3">
        <f t="shared" si="4"/>
        <v>0.6</v>
      </c>
      <c r="E318" s="1">
        <v>0.4</v>
      </c>
      <c r="F318" s="2">
        <v>0.41</v>
      </c>
      <c r="G318" s="2">
        <v>0.3</v>
      </c>
      <c r="H318" s="2">
        <v>0.28999999999999998</v>
      </c>
    </row>
    <row r="319" spans="1:8" x14ac:dyDescent="0.25">
      <c r="A319" s="8">
        <v>215</v>
      </c>
      <c r="B319" s="4">
        <v>306969</v>
      </c>
      <c r="C319" s="3">
        <v>4.4699999999999997E-2</v>
      </c>
      <c r="D319" s="3">
        <f t="shared" si="4"/>
        <v>0.4</v>
      </c>
      <c r="E319" s="1">
        <v>0.6</v>
      </c>
      <c r="F319" s="2">
        <v>0.13</v>
      </c>
      <c r="G319" s="2">
        <v>0.27</v>
      </c>
      <c r="H319" s="2">
        <v>0.6</v>
      </c>
    </row>
    <row r="320" spans="1:8" x14ac:dyDescent="0.25">
      <c r="A320" s="8">
        <v>16</v>
      </c>
      <c r="B320" s="4">
        <v>7172849</v>
      </c>
      <c r="C320" s="3">
        <v>4.4400000000000002E-2</v>
      </c>
      <c r="D320" s="3">
        <f t="shared" si="4"/>
        <v>0.7</v>
      </c>
      <c r="E320" s="1">
        <v>0.3</v>
      </c>
      <c r="F320" s="2">
        <v>0.3</v>
      </c>
      <c r="G320" s="2">
        <v>0.22</v>
      </c>
      <c r="H320" s="2">
        <v>0.48000000000000004</v>
      </c>
    </row>
    <row r="321" spans="1:8" x14ac:dyDescent="0.25">
      <c r="A321" s="8">
        <v>921</v>
      </c>
      <c r="B321" s="4">
        <v>8544392</v>
      </c>
      <c r="C321" s="3">
        <v>4.4400000000000002E-2</v>
      </c>
      <c r="D321" s="3">
        <f t="shared" si="4"/>
        <v>0.7</v>
      </c>
      <c r="E321" s="1">
        <v>0.3</v>
      </c>
      <c r="F321" s="2">
        <v>0.4</v>
      </c>
      <c r="G321" s="2">
        <v>0.44</v>
      </c>
      <c r="H321" s="2">
        <v>0.16000000000000003</v>
      </c>
    </row>
    <row r="322" spans="1:8" x14ac:dyDescent="0.25">
      <c r="A322" s="8">
        <v>1006</v>
      </c>
      <c r="B322" s="4">
        <v>3543981</v>
      </c>
      <c r="C322" s="3">
        <v>4.4299999999999999E-2</v>
      </c>
      <c r="D322" s="3">
        <f t="shared" ref="D322:D385" si="5">1-E322</f>
        <v>0.6</v>
      </c>
      <c r="E322" s="1">
        <v>0.4</v>
      </c>
      <c r="F322" s="2">
        <v>0.17</v>
      </c>
      <c r="G322" s="2">
        <v>0.26</v>
      </c>
      <c r="H322" s="2">
        <v>0.56999999999999995</v>
      </c>
    </row>
    <row r="323" spans="1:8" x14ac:dyDescent="0.25">
      <c r="A323" s="8">
        <v>85</v>
      </c>
      <c r="B323" s="4">
        <v>9675841</v>
      </c>
      <c r="C323" s="3">
        <v>4.4199999999999996E-2</v>
      </c>
      <c r="D323" s="3">
        <f t="shared" si="5"/>
        <v>0.7</v>
      </c>
      <c r="E323" s="1">
        <v>0.3</v>
      </c>
      <c r="F323" s="2">
        <v>0.38</v>
      </c>
      <c r="G323" s="2">
        <v>0.35</v>
      </c>
      <c r="H323" s="2">
        <v>0.27</v>
      </c>
    </row>
    <row r="324" spans="1:8" x14ac:dyDescent="0.25">
      <c r="A324" s="8">
        <v>248</v>
      </c>
      <c r="B324" s="4">
        <v>366823</v>
      </c>
      <c r="C324" s="3">
        <v>4.4199999999999996E-2</v>
      </c>
      <c r="D324" s="3">
        <f t="shared" si="5"/>
        <v>0.4</v>
      </c>
      <c r="E324" s="1">
        <v>0.6</v>
      </c>
      <c r="F324" s="2">
        <v>0.25</v>
      </c>
      <c r="G324" s="2">
        <v>0.27</v>
      </c>
      <c r="H324" s="2">
        <v>0.48</v>
      </c>
    </row>
    <row r="325" spans="1:8" x14ac:dyDescent="0.25">
      <c r="A325" s="8">
        <v>608</v>
      </c>
      <c r="B325" s="4">
        <v>6043755</v>
      </c>
      <c r="C325" s="3">
        <v>4.41E-2</v>
      </c>
      <c r="D325" s="3">
        <f t="shared" si="5"/>
        <v>0.6</v>
      </c>
      <c r="E325" s="1">
        <v>0.4</v>
      </c>
      <c r="F325" s="2">
        <v>0.12</v>
      </c>
      <c r="G325" s="2">
        <v>0.43</v>
      </c>
      <c r="H325" s="2">
        <v>0.45000000000000007</v>
      </c>
    </row>
    <row r="326" spans="1:8" x14ac:dyDescent="0.25">
      <c r="A326" s="8">
        <v>170</v>
      </c>
      <c r="B326" s="4">
        <v>1954508</v>
      </c>
      <c r="C326" s="3">
        <v>4.4000000000000004E-2</v>
      </c>
      <c r="D326" s="3">
        <f t="shared" si="5"/>
        <v>0.4</v>
      </c>
      <c r="E326" s="1">
        <v>0.6</v>
      </c>
      <c r="F326" s="2">
        <v>0.26</v>
      </c>
      <c r="G326" s="2">
        <v>0.34</v>
      </c>
      <c r="H326" s="2">
        <v>0.39999999999999991</v>
      </c>
    </row>
    <row r="327" spans="1:8" x14ac:dyDescent="0.25">
      <c r="A327" s="8">
        <v>75</v>
      </c>
      <c r="B327" s="4">
        <v>3507736</v>
      </c>
      <c r="C327" s="3">
        <v>4.3899999999999995E-2</v>
      </c>
      <c r="D327" s="3">
        <f t="shared" si="5"/>
        <v>0.6</v>
      </c>
      <c r="E327" s="1">
        <v>0.4</v>
      </c>
      <c r="F327" s="2">
        <v>0.34</v>
      </c>
      <c r="G327" s="2">
        <v>0.28000000000000003</v>
      </c>
      <c r="H327" s="2">
        <v>0.37999999999999995</v>
      </c>
    </row>
    <row r="328" spans="1:8" x14ac:dyDescent="0.25">
      <c r="A328" s="8">
        <v>80</v>
      </c>
      <c r="B328" s="4">
        <v>772670</v>
      </c>
      <c r="C328" s="3">
        <v>4.3899999999999995E-2</v>
      </c>
      <c r="D328" s="3">
        <f t="shared" si="5"/>
        <v>0.4</v>
      </c>
      <c r="E328" s="1">
        <v>0.6</v>
      </c>
      <c r="F328" s="2">
        <v>0.12</v>
      </c>
      <c r="G328" s="2">
        <v>0.4</v>
      </c>
      <c r="H328" s="2">
        <v>0.48</v>
      </c>
    </row>
    <row r="329" spans="1:8" x14ac:dyDescent="0.25">
      <c r="A329" s="8">
        <v>148</v>
      </c>
      <c r="B329" s="4">
        <v>856247</v>
      </c>
      <c r="C329" s="3">
        <v>4.3899999999999995E-2</v>
      </c>
      <c r="D329" s="3">
        <f t="shared" si="5"/>
        <v>0.4</v>
      </c>
      <c r="E329" s="1">
        <v>0.6</v>
      </c>
      <c r="F329" s="2">
        <v>0.45</v>
      </c>
      <c r="G329" s="2">
        <v>0.48</v>
      </c>
      <c r="H329" s="2">
        <v>7.0000000000000007E-2</v>
      </c>
    </row>
    <row r="330" spans="1:8" x14ac:dyDescent="0.25">
      <c r="A330" s="8">
        <v>539</v>
      </c>
      <c r="B330" s="4">
        <v>2086853</v>
      </c>
      <c r="C330" s="3">
        <v>4.3899999999999995E-2</v>
      </c>
      <c r="D330" s="3">
        <f t="shared" si="5"/>
        <v>0.4</v>
      </c>
      <c r="E330" s="1">
        <v>0.6</v>
      </c>
      <c r="F330" s="2">
        <v>0.11</v>
      </c>
      <c r="G330" s="2">
        <v>0.44</v>
      </c>
      <c r="H330" s="2">
        <v>0.45000000000000007</v>
      </c>
    </row>
    <row r="331" spans="1:8" x14ac:dyDescent="0.25">
      <c r="A331" s="8">
        <v>859</v>
      </c>
      <c r="B331" s="4">
        <v>6307776</v>
      </c>
      <c r="C331" s="3">
        <v>4.3899999999999995E-2</v>
      </c>
      <c r="D331" s="3">
        <f t="shared" si="5"/>
        <v>0.6</v>
      </c>
      <c r="E331" s="1">
        <v>0.4</v>
      </c>
      <c r="F331" s="2">
        <v>0.2</v>
      </c>
      <c r="G331" s="2">
        <v>0.22</v>
      </c>
      <c r="H331" s="2">
        <v>0.58000000000000007</v>
      </c>
    </row>
    <row r="332" spans="1:8" x14ac:dyDescent="0.25">
      <c r="A332" s="8">
        <v>181</v>
      </c>
      <c r="B332" s="4">
        <v>9704214</v>
      </c>
      <c r="C332" s="3">
        <v>4.3700000000000003E-2</v>
      </c>
      <c r="D332" s="3">
        <f t="shared" si="5"/>
        <v>0.7</v>
      </c>
      <c r="E332" s="1">
        <v>0.3</v>
      </c>
      <c r="F332" s="2">
        <v>0.28999999999999998</v>
      </c>
      <c r="G332" s="2">
        <v>0.42</v>
      </c>
      <c r="H332" s="2">
        <v>0.29000000000000009</v>
      </c>
    </row>
    <row r="333" spans="1:8" x14ac:dyDescent="0.25">
      <c r="A333" s="8">
        <v>313</v>
      </c>
      <c r="B333" s="4">
        <v>5920620</v>
      </c>
      <c r="C333" s="3">
        <v>4.3700000000000003E-2</v>
      </c>
      <c r="D333" s="3">
        <f t="shared" si="5"/>
        <v>0.6</v>
      </c>
      <c r="E333" s="1">
        <v>0.4</v>
      </c>
      <c r="F333" s="2">
        <v>0.39</v>
      </c>
      <c r="G333" s="2">
        <v>0.21</v>
      </c>
      <c r="H333" s="2">
        <v>0.4</v>
      </c>
    </row>
    <row r="334" spans="1:8" x14ac:dyDescent="0.25">
      <c r="A334" s="8">
        <v>317</v>
      </c>
      <c r="B334" s="4">
        <v>9042739</v>
      </c>
      <c r="C334" s="3">
        <v>4.3700000000000003E-2</v>
      </c>
      <c r="D334" s="3">
        <f t="shared" si="5"/>
        <v>0.7</v>
      </c>
      <c r="E334" s="1">
        <v>0.3</v>
      </c>
      <c r="F334" s="2">
        <v>0.2</v>
      </c>
      <c r="G334" s="2">
        <v>0.33</v>
      </c>
      <c r="H334" s="2">
        <v>0.46999999999999992</v>
      </c>
    </row>
    <row r="335" spans="1:8" x14ac:dyDescent="0.25">
      <c r="A335" s="8">
        <v>368</v>
      </c>
      <c r="B335" s="4">
        <v>6491353</v>
      </c>
      <c r="C335" s="3">
        <v>4.3700000000000003E-2</v>
      </c>
      <c r="D335" s="3">
        <f t="shared" si="5"/>
        <v>0.6</v>
      </c>
      <c r="E335" s="1">
        <v>0.4</v>
      </c>
      <c r="F335" s="2">
        <v>0.35</v>
      </c>
      <c r="G335" s="2">
        <v>0.38</v>
      </c>
      <c r="H335" s="2">
        <v>0.27</v>
      </c>
    </row>
    <row r="336" spans="1:8" x14ac:dyDescent="0.25">
      <c r="A336" s="8">
        <v>286</v>
      </c>
      <c r="B336" s="4">
        <v>1030597</v>
      </c>
      <c r="C336" s="3">
        <v>4.36E-2</v>
      </c>
      <c r="D336" s="3">
        <f t="shared" si="5"/>
        <v>0.4</v>
      </c>
      <c r="E336" s="1">
        <v>0.6</v>
      </c>
      <c r="F336" s="2">
        <v>0.23</v>
      </c>
      <c r="G336" s="2">
        <v>0.41</v>
      </c>
      <c r="H336" s="2">
        <v>0.3600000000000001</v>
      </c>
    </row>
    <row r="337" spans="1:8" x14ac:dyDescent="0.25">
      <c r="A337" s="8">
        <v>296</v>
      </c>
      <c r="B337" s="4">
        <v>6881800</v>
      </c>
      <c r="C337" s="3">
        <v>4.36E-2</v>
      </c>
      <c r="D337" s="3">
        <f t="shared" si="5"/>
        <v>0.6</v>
      </c>
      <c r="E337" s="1">
        <v>0.4</v>
      </c>
      <c r="F337" s="2">
        <v>0.38</v>
      </c>
      <c r="G337" s="2">
        <v>0.23</v>
      </c>
      <c r="H337" s="2">
        <v>0.39</v>
      </c>
    </row>
    <row r="338" spans="1:8" x14ac:dyDescent="0.25">
      <c r="A338" s="8">
        <v>686</v>
      </c>
      <c r="B338" s="4">
        <v>148872</v>
      </c>
      <c r="C338" s="3">
        <v>4.36E-2</v>
      </c>
      <c r="D338" s="3">
        <f t="shared" si="5"/>
        <v>0.4</v>
      </c>
      <c r="E338" s="1">
        <v>0.6</v>
      </c>
      <c r="F338" s="2">
        <v>0.36</v>
      </c>
      <c r="G338" s="2">
        <v>0.33</v>
      </c>
      <c r="H338" s="2">
        <v>0.30999999999999994</v>
      </c>
    </row>
    <row r="339" spans="1:8" x14ac:dyDescent="0.25">
      <c r="A339" s="8">
        <v>176</v>
      </c>
      <c r="B339" s="4">
        <v>1643391</v>
      </c>
      <c r="C339" s="3">
        <v>4.3299999999999998E-2</v>
      </c>
      <c r="D339" s="3">
        <f t="shared" si="5"/>
        <v>0.4</v>
      </c>
      <c r="E339" s="1">
        <v>0.6</v>
      </c>
      <c r="F339" s="2">
        <v>0.16</v>
      </c>
      <c r="G339" s="2">
        <v>0.28000000000000003</v>
      </c>
      <c r="H339" s="2">
        <v>0.55999999999999994</v>
      </c>
    </row>
    <row r="340" spans="1:8" x14ac:dyDescent="0.25">
      <c r="A340" s="8">
        <v>383</v>
      </c>
      <c r="B340" s="4">
        <v>2409332</v>
      </c>
      <c r="C340" s="3">
        <v>4.3299999999999998E-2</v>
      </c>
      <c r="D340" s="3">
        <f t="shared" si="5"/>
        <v>0.4</v>
      </c>
      <c r="E340" s="1">
        <v>0.6</v>
      </c>
      <c r="F340" s="2">
        <v>0.22</v>
      </c>
      <c r="G340" s="2">
        <v>0.46</v>
      </c>
      <c r="H340" s="2">
        <v>0.32000000000000006</v>
      </c>
    </row>
    <row r="341" spans="1:8" x14ac:dyDescent="0.25">
      <c r="A341" s="8">
        <v>876</v>
      </c>
      <c r="B341" s="4">
        <v>8027298</v>
      </c>
      <c r="C341" s="3">
        <v>4.3299999999999998E-2</v>
      </c>
      <c r="D341" s="3">
        <f t="shared" si="5"/>
        <v>0.7</v>
      </c>
      <c r="E341" s="1">
        <v>0.3</v>
      </c>
      <c r="F341" s="2">
        <v>0.23</v>
      </c>
      <c r="G341" s="2">
        <v>0.49</v>
      </c>
      <c r="H341" s="2">
        <v>0.28000000000000003</v>
      </c>
    </row>
    <row r="342" spans="1:8" x14ac:dyDescent="0.25">
      <c r="A342" s="8">
        <v>1012</v>
      </c>
      <c r="B342" s="4">
        <v>9451597</v>
      </c>
      <c r="C342" s="3">
        <v>4.3299999999999998E-2</v>
      </c>
      <c r="D342" s="3">
        <f t="shared" si="5"/>
        <v>0.7</v>
      </c>
      <c r="E342" s="1">
        <v>0.3</v>
      </c>
      <c r="F342" s="2">
        <v>0.1</v>
      </c>
      <c r="G342" s="2">
        <v>0.43</v>
      </c>
      <c r="H342" s="2">
        <v>0.47000000000000008</v>
      </c>
    </row>
    <row r="343" spans="1:8" x14ac:dyDescent="0.25">
      <c r="A343" s="8">
        <v>265</v>
      </c>
      <c r="B343" s="4">
        <v>6488642</v>
      </c>
      <c r="C343" s="3">
        <v>4.3200000000000002E-2</v>
      </c>
      <c r="D343" s="3">
        <f t="shared" si="5"/>
        <v>0.6</v>
      </c>
      <c r="E343" s="1">
        <v>0.4</v>
      </c>
      <c r="F343" s="2">
        <v>0.43</v>
      </c>
      <c r="G343" s="2">
        <v>0.25</v>
      </c>
      <c r="H343" s="2">
        <v>0.32</v>
      </c>
    </row>
    <row r="344" spans="1:8" x14ac:dyDescent="0.25">
      <c r="A344" s="8">
        <v>671</v>
      </c>
      <c r="B344" s="4">
        <v>3614544</v>
      </c>
      <c r="C344" s="3">
        <v>4.3200000000000002E-2</v>
      </c>
      <c r="D344" s="3">
        <f t="shared" si="5"/>
        <v>0.6</v>
      </c>
      <c r="E344" s="1">
        <v>0.4</v>
      </c>
      <c r="F344" s="2">
        <v>0.4</v>
      </c>
      <c r="G344" s="2">
        <v>0.28999999999999998</v>
      </c>
      <c r="H344" s="2">
        <v>0.30999999999999994</v>
      </c>
    </row>
    <row r="345" spans="1:8" x14ac:dyDescent="0.25">
      <c r="A345" s="8">
        <v>808</v>
      </c>
      <c r="B345" s="4">
        <v>6593689</v>
      </c>
      <c r="C345" s="3">
        <v>4.3200000000000002E-2</v>
      </c>
      <c r="D345" s="3">
        <f t="shared" si="5"/>
        <v>0.6</v>
      </c>
      <c r="E345" s="1">
        <v>0.4</v>
      </c>
      <c r="F345" s="2">
        <v>0.23</v>
      </c>
      <c r="G345" s="2">
        <v>0.34</v>
      </c>
      <c r="H345" s="2">
        <v>0.42999999999999994</v>
      </c>
    </row>
    <row r="346" spans="1:8" x14ac:dyDescent="0.25">
      <c r="A346" s="8">
        <v>308</v>
      </c>
      <c r="B346" s="4">
        <v>7445635</v>
      </c>
      <c r="C346" s="3">
        <v>4.3099999999999999E-2</v>
      </c>
      <c r="D346" s="3">
        <f t="shared" si="5"/>
        <v>0.7</v>
      </c>
      <c r="E346" s="1">
        <v>0.3</v>
      </c>
      <c r="F346" s="2">
        <v>0.19</v>
      </c>
      <c r="G346" s="2">
        <v>0.49</v>
      </c>
      <c r="H346" s="2">
        <v>0.32</v>
      </c>
    </row>
    <row r="347" spans="1:8" x14ac:dyDescent="0.25">
      <c r="A347" s="8">
        <v>450</v>
      </c>
      <c r="B347" s="4">
        <v>8541219</v>
      </c>
      <c r="C347" s="3">
        <v>4.2999999999999997E-2</v>
      </c>
      <c r="D347" s="3">
        <f t="shared" si="5"/>
        <v>0.7</v>
      </c>
      <c r="E347" s="1">
        <v>0.3</v>
      </c>
      <c r="F347" s="2">
        <v>0.28000000000000003</v>
      </c>
      <c r="G347" s="2">
        <v>0.21</v>
      </c>
      <c r="H347" s="2">
        <v>0.51</v>
      </c>
    </row>
    <row r="348" spans="1:8" x14ac:dyDescent="0.25">
      <c r="A348" s="8">
        <v>912</v>
      </c>
      <c r="B348" s="4">
        <v>5043157</v>
      </c>
      <c r="C348" s="3">
        <v>4.2999999999999997E-2</v>
      </c>
      <c r="D348" s="3">
        <f t="shared" si="5"/>
        <v>0.6</v>
      </c>
      <c r="E348" s="1">
        <v>0.4</v>
      </c>
      <c r="F348" s="2">
        <v>0.36</v>
      </c>
      <c r="G348" s="2">
        <v>0.28999999999999998</v>
      </c>
      <c r="H348" s="2">
        <v>0.35</v>
      </c>
    </row>
    <row r="349" spans="1:8" x14ac:dyDescent="0.25">
      <c r="A349" s="8">
        <v>251</v>
      </c>
      <c r="B349" s="4">
        <v>7315022</v>
      </c>
      <c r="C349" s="3">
        <v>4.2900000000000001E-2</v>
      </c>
      <c r="D349" s="3">
        <f t="shared" si="5"/>
        <v>0.7</v>
      </c>
      <c r="E349" s="1">
        <v>0.3</v>
      </c>
      <c r="F349" s="2">
        <v>0.17</v>
      </c>
      <c r="G349" s="2">
        <v>0.24</v>
      </c>
      <c r="H349" s="2">
        <v>0.59</v>
      </c>
    </row>
    <row r="350" spans="1:8" x14ac:dyDescent="0.25">
      <c r="A350" s="8">
        <v>568</v>
      </c>
      <c r="B350" s="4">
        <v>4080400</v>
      </c>
      <c r="C350" s="3">
        <v>4.2900000000000001E-2</v>
      </c>
      <c r="D350" s="3">
        <f t="shared" si="5"/>
        <v>0.6</v>
      </c>
      <c r="E350" s="1">
        <v>0.4</v>
      </c>
      <c r="F350" s="2">
        <v>0.3</v>
      </c>
      <c r="G350" s="2">
        <v>0.5</v>
      </c>
      <c r="H350" s="2">
        <v>0.2</v>
      </c>
    </row>
    <row r="351" spans="1:8" x14ac:dyDescent="0.25">
      <c r="A351" s="8">
        <v>638</v>
      </c>
      <c r="B351" s="4">
        <v>6415580</v>
      </c>
      <c r="C351" s="3">
        <v>4.2900000000000001E-2</v>
      </c>
      <c r="D351" s="3">
        <f t="shared" si="5"/>
        <v>0.6</v>
      </c>
      <c r="E351" s="1">
        <v>0.4</v>
      </c>
      <c r="F351" s="2">
        <v>0.33</v>
      </c>
      <c r="G351" s="2">
        <v>0.41</v>
      </c>
      <c r="H351" s="2">
        <v>0.26000000000000006</v>
      </c>
    </row>
    <row r="352" spans="1:8" x14ac:dyDescent="0.25">
      <c r="A352" s="8">
        <v>696</v>
      </c>
      <c r="B352" s="4">
        <v>4426494</v>
      </c>
      <c r="C352" s="3">
        <v>4.2900000000000001E-2</v>
      </c>
      <c r="D352" s="3">
        <f t="shared" si="5"/>
        <v>0.6</v>
      </c>
      <c r="E352" s="1">
        <v>0.4</v>
      </c>
      <c r="F352" s="2">
        <v>0.23</v>
      </c>
      <c r="G352" s="2">
        <v>0.34</v>
      </c>
      <c r="H352" s="2">
        <v>0.42999999999999994</v>
      </c>
    </row>
    <row r="353" spans="1:8" x14ac:dyDescent="0.25">
      <c r="A353" s="8">
        <v>519</v>
      </c>
      <c r="B353" s="4">
        <v>6997960</v>
      </c>
      <c r="C353" s="3">
        <v>4.2800000000000005E-2</v>
      </c>
      <c r="D353" s="3">
        <f t="shared" si="5"/>
        <v>0.6</v>
      </c>
      <c r="E353" s="1">
        <v>0.4</v>
      </c>
      <c r="F353" s="2">
        <v>0.16</v>
      </c>
      <c r="G353" s="2">
        <v>0.45</v>
      </c>
      <c r="H353" s="2">
        <v>0.39</v>
      </c>
    </row>
    <row r="354" spans="1:8" x14ac:dyDescent="0.25">
      <c r="A354" s="8">
        <v>697</v>
      </c>
      <c r="B354" s="4">
        <v>2532757</v>
      </c>
      <c r="C354" s="3">
        <v>4.2800000000000005E-2</v>
      </c>
      <c r="D354" s="3">
        <f t="shared" si="5"/>
        <v>0.4</v>
      </c>
      <c r="E354" s="1">
        <v>0.6</v>
      </c>
      <c r="F354" s="2">
        <v>0.37</v>
      </c>
      <c r="G354" s="2">
        <v>0.3</v>
      </c>
      <c r="H354" s="2">
        <v>0.32999999999999996</v>
      </c>
    </row>
    <row r="355" spans="1:8" x14ac:dyDescent="0.25">
      <c r="A355" s="8">
        <v>943</v>
      </c>
      <c r="B355" s="4">
        <v>9087022</v>
      </c>
      <c r="C355" s="3">
        <v>4.2699999999999995E-2</v>
      </c>
      <c r="D355" s="3">
        <f t="shared" si="5"/>
        <v>0.7</v>
      </c>
      <c r="E355" s="1">
        <v>0.3</v>
      </c>
      <c r="F355" s="2">
        <v>0.43</v>
      </c>
      <c r="G355" s="2">
        <v>0.38</v>
      </c>
      <c r="H355" s="2">
        <v>0.19</v>
      </c>
    </row>
    <row r="356" spans="1:8" x14ac:dyDescent="0.25">
      <c r="A356" s="8">
        <v>503</v>
      </c>
      <c r="B356" s="4">
        <v>9291722</v>
      </c>
      <c r="C356" s="3">
        <v>4.2599999999999999E-2</v>
      </c>
      <c r="D356" s="3">
        <f t="shared" si="5"/>
        <v>0.7</v>
      </c>
      <c r="E356" s="1">
        <v>0.3</v>
      </c>
      <c r="F356" s="2">
        <v>0.36</v>
      </c>
      <c r="G356" s="2">
        <v>0.21</v>
      </c>
      <c r="H356" s="2">
        <v>0.43000000000000005</v>
      </c>
    </row>
    <row r="357" spans="1:8" x14ac:dyDescent="0.25">
      <c r="A357" s="8">
        <v>594</v>
      </c>
      <c r="B357" s="4">
        <v>3776919</v>
      </c>
      <c r="C357" s="3">
        <v>4.2599999999999999E-2</v>
      </c>
      <c r="D357" s="3">
        <f t="shared" si="5"/>
        <v>0.6</v>
      </c>
      <c r="E357" s="1">
        <v>0.4</v>
      </c>
      <c r="F357" s="2">
        <v>0.45</v>
      </c>
      <c r="G357" s="2">
        <v>0.38</v>
      </c>
      <c r="H357" s="2">
        <v>0.16999999999999998</v>
      </c>
    </row>
    <row r="358" spans="1:8" x14ac:dyDescent="0.25">
      <c r="A358" s="8">
        <v>734</v>
      </c>
      <c r="B358" s="4">
        <v>6214466</v>
      </c>
      <c r="C358" s="3">
        <v>4.2599999999999999E-2</v>
      </c>
      <c r="D358" s="3">
        <f t="shared" si="5"/>
        <v>0.6</v>
      </c>
      <c r="E358" s="1">
        <v>0.4</v>
      </c>
      <c r="F358" s="2">
        <v>0.43</v>
      </c>
      <c r="G358" s="2">
        <v>0.27</v>
      </c>
      <c r="H358" s="2">
        <v>0.3</v>
      </c>
    </row>
    <row r="359" spans="1:8" x14ac:dyDescent="0.25">
      <c r="A359" s="8">
        <v>577</v>
      </c>
      <c r="B359" s="4">
        <v>4639042</v>
      </c>
      <c r="C359" s="3">
        <v>4.2500000000000003E-2</v>
      </c>
      <c r="D359" s="3">
        <f t="shared" si="5"/>
        <v>0.6</v>
      </c>
      <c r="E359" s="1">
        <v>0.4</v>
      </c>
      <c r="F359" s="2">
        <v>0.44</v>
      </c>
      <c r="G359" s="2">
        <v>0.27</v>
      </c>
      <c r="H359" s="2">
        <v>0.28999999999999998</v>
      </c>
    </row>
    <row r="360" spans="1:8" x14ac:dyDescent="0.25">
      <c r="A360" s="8">
        <v>660</v>
      </c>
      <c r="B360" s="4">
        <v>2693279</v>
      </c>
      <c r="C360" s="3">
        <v>4.2500000000000003E-2</v>
      </c>
      <c r="D360" s="3">
        <f t="shared" si="5"/>
        <v>0.4</v>
      </c>
      <c r="E360" s="1">
        <v>0.6</v>
      </c>
      <c r="F360" s="2">
        <v>0.22</v>
      </c>
      <c r="G360" s="2">
        <v>0.4</v>
      </c>
      <c r="H360" s="2">
        <v>0.38</v>
      </c>
    </row>
    <row r="361" spans="1:8" x14ac:dyDescent="0.25">
      <c r="A361" s="8">
        <v>58</v>
      </c>
      <c r="B361" s="4">
        <v>9864699</v>
      </c>
      <c r="C361" s="3">
        <v>4.24E-2</v>
      </c>
      <c r="D361" s="3">
        <f t="shared" si="5"/>
        <v>0.7</v>
      </c>
      <c r="E361" s="1">
        <v>0.3</v>
      </c>
      <c r="F361" s="2">
        <v>0.21</v>
      </c>
      <c r="G361" s="2">
        <v>0.21</v>
      </c>
      <c r="H361" s="2">
        <v>0.58000000000000007</v>
      </c>
    </row>
    <row r="362" spans="1:8" x14ac:dyDescent="0.25">
      <c r="A362" s="8">
        <v>88</v>
      </c>
      <c r="B362" s="4">
        <v>9433586</v>
      </c>
      <c r="C362" s="3">
        <v>4.2300000000000004E-2</v>
      </c>
      <c r="D362" s="3">
        <f t="shared" si="5"/>
        <v>0.7</v>
      </c>
      <c r="E362" s="1">
        <v>0.3</v>
      </c>
      <c r="F362" s="2">
        <v>0.39</v>
      </c>
      <c r="G362" s="2">
        <v>0.39</v>
      </c>
      <c r="H362" s="2">
        <v>0.21999999999999997</v>
      </c>
    </row>
    <row r="363" spans="1:8" x14ac:dyDescent="0.25">
      <c r="A363" s="8">
        <v>478</v>
      </c>
      <c r="B363" s="4">
        <v>2334511</v>
      </c>
      <c r="C363" s="3">
        <v>4.2300000000000004E-2</v>
      </c>
      <c r="D363" s="3">
        <f t="shared" si="5"/>
        <v>0.4</v>
      </c>
      <c r="E363" s="1">
        <v>0.6</v>
      </c>
      <c r="F363" s="2">
        <v>0.33</v>
      </c>
      <c r="G363" s="2">
        <v>0.28000000000000003</v>
      </c>
      <c r="H363" s="2">
        <v>0.38999999999999996</v>
      </c>
    </row>
    <row r="364" spans="1:8" x14ac:dyDescent="0.25">
      <c r="A364" s="8">
        <v>1005</v>
      </c>
      <c r="B364" s="4">
        <v>5515767</v>
      </c>
      <c r="C364" s="3">
        <v>4.2199999999999994E-2</v>
      </c>
      <c r="D364" s="3">
        <f t="shared" si="5"/>
        <v>0.6</v>
      </c>
      <c r="E364" s="1">
        <v>0.4</v>
      </c>
      <c r="F364" s="2">
        <v>0.41</v>
      </c>
      <c r="G364" s="2">
        <v>0.25</v>
      </c>
      <c r="H364" s="2">
        <v>0.34</v>
      </c>
    </row>
    <row r="365" spans="1:8" x14ac:dyDescent="0.25">
      <c r="A365" s="8">
        <v>427</v>
      </c>
      <c r="B365" s="4">
        <v>6535963</v>
      </c>
      <c r="C365" s="3">
        <v>4.2099999999999999E-2</v>
      </c>
      <c r="D365" s="3">
        <f t="shared" si="5"/>
        <v>0.6</v>
      </c>
      <c r="E365" s="1">
        <v>0.4</v>
      </c>
      <c r="F365" s="2">
        <v>0.19</v>
      </c>
      <c r="G365" s="2">
        <v>0.34</v>
      </c>
      <c r="H365" s="2">
        <v>0.46999999999999992</v>
      </c>
    </row>
    <row r="366" spans="1:8" x14ac:dyDescent="0.25">
      <c r="A366" s="8">
        <v>650</v>
      </c>
      <c r="B366" s="4">
        <v>6847901</v>
      </c>
      <c r="C366" s="3">
        <v>4.2099999999999999E-2</v>
      </c>
      <c r="D366" s="3">
        <f t="shared" si="5"/>
        <v>0.6</v>
      </c>
      <c r="E366" s="1">
        <v>0.4</v>
      </c>
      <c r="F366" s="2">
        <v>0.35</v>
      </c>
      <c r="G366" s="2">
        <v>0.41</v>
      </c>
      <c r="H366" s="2">
        <v>0.2400000000000001</v>
      </c>
    </row>
    <row r="367" spans="1:8" x14ac:dyDescent="0.25">
      <c r="A367" s="8">
        <v>895</v>
      </c>
      <c r="B367" s="4">
        <v>7925746</v>
      </c>
      <c r="C367" s="3">
        <v>4.2099999999999999E-2</v>
      </c>
      <c r="D367" s="3">
        <f t="shared" si="5"/>
        <v>0.7</v>
      </c>
      <c r="E367" s="1">
        <v>0.3</v>
      </c>
      <c r="F367" s="2">
        <v>0.36</v>
      </c>
      <c r="G367" s="2">
        <v>0.4</v>
      </c>
      <c r="H367" s="2">
        <v>0.24</v>
      </c>
    </row>
    <row r="368" spans="1:8" x14ac:dyDescent="0.25">
      <c r="A368" s="8">
        <v>1035</v>
      </c>
      <c r="B368" s="4">
        <v>7246125</v>
      </c>
      <c r="C368" s="3">
        <v>4.2099999999999999E-2</v>
      </c>
      <c r="D368" s="3">
        <f t="shared" si="5"/>
        <v>0.7</v>
      </c>
      <c r="E368" s="1">
        <v>0.3</v>
      </c>
      <c r="F368" s="2">
        <v>0.37</v>
      </c>
      <c r="G368" s="2">
        <v>0.37</v>
      </c>
      <c r="H368" s="2">
        <v>0.26</v>
      </c>
    </row>
    <row r="369" spans="1:8" x14ac:dyDescent="0.25">
      <c r="A369" s="8">
        <v>99</v>
      </c>
      <c r="B369" s="4">
        <v>4983265</v>
      </c>
      <c r="C369" s="3">
        <v>4.2000000000000003E-2</v>
      </c>
      <c r="D369" s="3">
        <f t="shared" si="5"/>
        <v>0.6</v>
      </c>
      <c r="E369" s="1">
        <v>0.4</v>
      </c>
      <c r="F369" s="2">
        <v>0.37</v>
      </c>
      <c r="G369" s="2">
        <v>0.28000000000000003</v>
      </c>
      <c r="H369" s="2">
        <v>0.35</v>
      </c>
    </row>
    <row r="370" spans="1:8" x14ac:dyDescent="0.25">
      <c r="A370" s="8">
        <v>731</v>
      </c>
      <c r="B370" s="4">
        <v>1208368</v>
      </c>
      <c r="C370" s="3">
        <v>4.2000000000000003E-2</v>
      </c>
      <c r="D370" s="3">
        <f t="shared" si="5"/>
        <v>0.4</v>
      </c>
      <c r="E370" s="1">
        <v>0.6</v>
      </c>
      <c r="F370" s="2">
        <v>0.15</v>
      </c>
      <c r="G370" s="2">
        <v>0.36</v>
      </c>
      <c r="H370" s="2">
        <v>0.49</v>
      </c>
    </row>
    <row r="371" spans="1:8" x14ac:dyDescent="0.25">
      <c r="A371" s="8">
        <v>743</v>
      </c>
      <c r="B371" s="4">
        <v>2151357</v>
      </c>
      <c r="C371" s="3">
        <v>4.2000000000000003E-2</v>
      </c>
      <c r="D371" s="3">
        <f t="shared" si="5"/>
        <v>0.4</v>
      </c>
      <c r="E371" s="1">
        <v>0.6</v>
      </c>
      <c r="F371" s="2">
        <v>0.21</v>
      </c>
      <c r="G371" s="2">
        <v>0.23</v>
      </c>
      <c r="H371" s="2">
        <v>0.56000000000000005</v>
      </c>
    </row>
    <row r="372" spans="1:8" x14ac:dyDescent="0.25">
      <c r="A372" s="8">
        <v>851</v>
      </c>
      <c r="B372" s="4">
        <v>2646480</v>
      </c>
      <c r="C372" s="3">
        <v>4.2000000000000003E-2</v>
      </c>
      <c r="D372" s="3">
        <f t="shared" si="5"/>
        <v>0.4</v>
      </c>
      <c r="E372" s="1">
        <v>0.6</v>
      </c>
      <c r="F372" s="2">
        <v>0.15</v>
      </c>
      <c r="G372" s="2">
        <v>0.34</v>
      </c>
      <c r="H372" s="2">
        <v>0.5099999999999999</v>
      </c>
    </row>
    <row r="373" spans="1:8" x14ac:dyDescent="0.25">
      <c r="A373" s="8">
        <v>437</v>
      </c>
      <c r="B373" s="4">
        <v>4317532</v>
      </c>
      <c r="C373" s="3">
        <v>4.1900000000000007E-2</v>
      </c>
      <c r="D373" s="3">
        <f t="shared" si="5"/>
        <v>0.6</v>
      </c>
      <c r="E373" s="1">
        <v>0.4</v>
      </c>
      <c r="F373" s="2">
        <v>0.43</v>
      </c>
      <c r="G373" s="2">
        <v>0.5</v>
      </c>
      <c r="H373" s="2">
        <v>7.0000000000000007E-2</v>
      </c>
    </row>
    <row r="374" spans="1:8" x14ac:dyDescent="0.25">
      <c r="A374" s="8">
        <v>73</v>
      </c>
      <c r="B374" s="4">
        <v>6314393</v>
      </c>
      <c r="C374" s="3">
        <v>4.1799999999999997E-2</v>
      </c>
      <c r="D374" s="3">
        <f t="shared" si="5"/>
        <v>0.6</v>
      </c>
      <c r="E374" s="1">
        <v>0.4</v>
      </c>
      <c r="F374" s="2">
        <v>0.28000000000000003</v>
      </c>
      <c r="G374" s="2">
        <v>0.36</v>
      </c>
      <c r="H374" s="2">
        <v>0.36</v>
      </c>
    </row>
    <row r="375" spans="1:8" x14ac:dyDescent="0.25">
      <c r="A375" s="8">
        <v>415</v>
      </c>
      <c r="B375" s="4">
        <v>8388281</v>
      </c>
      <c r="C375" s="3">
        <v>4.1799999999999997E-2</v>
      </c>
      <c r="D375" s="3">
        <f t="shared" si="5"/>
        <v>0.7</v>
      </c>
      <c r="E375" s="1">
        <v>0.3</v>
      </c>
      <c r="F375" s="2">
        <v>0.28000000000000003</v>
      </c>
      <c r="G375" s="2">
        <v>0.41</v>
      </c>
      <c r="H375" s="2">
        <v>0.31000000000000005</v>
      </c>
    </row>
    <row r="376" spans="1:8" x14ac:dyDescent="0.25">
      <c r="A376" s="8">
        <v>86</v>
      </c>
      <c r="B376" s="4">
        <v>3364261</v>
      </c>
      <c r="C376" s="3">
        <v>4.1700000000000001E-2</v>
      </c>
      <c r="D376" s="3">
        <f t="shared" si="5"/>
        <v>0.6</v>
      </c>
      <c r="E376" s="1">
        <v>0.4</v>
      </c>
      <c r="F376" s="2">
        <v>0.4</v>
      </c>
      <c r="G376" s="2">
        <v>0.27</v>
      </c>
      <c r="H376" s="2">
        <v>0.32999999999999996</v>
      </c>
    </row>
    <row r="377" spans="1:8" x14ac:dyDescent="0.25">
      <c r="A377" s="8">
        <v>553</v>
      </c>
      <c r="B377" s="4">
        <v>4053728</v>
      </c>
      <c r="C377" s="3">
        <v>4.1700000000000001E-2</v>
      </c>
      <c r="D377" s="3">
        <f t="shared" si="5"/>
        <v>0.6</v>
      </c>
      <c r="E377" s="1">
        <v>0.4</v>
      </c>
      <c r="F377" s="2">
        <v>0.26</v>
      </c>
      <c r="G377" s="2">
        <v>0.23</v>
      </c>
      <c r="H377" s="2">
        <v>0.51</v>
      </c>
    </row>
    <row r="378" spans="1:8" x14ac:dyDescent="0.25">
      <c r="A378" s="8">
        <v>973</v>
      </c>
      <c r="B378" s="4">
        <v>5711105</v>
      </c>
      <c r="C378" s="3">
        <v>4.1700000000000001E-2</v>
      </c>
      <c r="D378" s="3">
        <f t="shared" si="5"/>
        <v>0.6</v>
      </c>
      <c r="E378" s="1">
        <v>0.4</v>
      </c>
      <c r="F378" s="2">
        <v>0.24</v>
      </c>
      <c r="G378" s="2">
        <v>0.37</v>
      </c>
      <c r="H378" s="2">
        <v>0.39</v>
      </c>
    </row>
    <row r="379" spans="1:8" x14ac:dyDescent="0.25">
      <c r="A379" s="8">
        <v>387</v>
      </c>
      <c r="B379" s="4">
        <v>458358</v>
      </c>
      <c r="C379" s="3">
        <v>4.1599999999999998E-2</v>
      </c>
      <c r="D379" s="3">
        <f t="shared" si="5"/>
        <v>0.4</v>
      </c>
      <c r="E379" s="1">
        <v>0.6</v>
      </c>
      <c r="F379" s="2">
        <v>0.34</v>
      </c>
      <c r="G379" s="2">
        <v>0.49</v>
      </c>
      <c r="H379" s="2">
        <v>0.16999999999999998</v>
      </c>
    </row>
    <row r="380" spans="1:8" x14ac:dyDescent="0.25">
      <c r="A380" s="8">
        <v>509</v>
      </c>
      <c r="B380" s="4">
        <v>3393164</v>
      </c>
      <c r="C380" s="3">
        <v>4.1599999999999998E-2</v>
      </c>
      <c r="D380" s="3">
        <f t="shared" si="5"/>
        <v>0.6</v>
      </c>
      <c r="E380" s="1">
        <v>0.4</v>
      </c>
      <c r="F380" s="2">
        <v>0.2</v>
      </c>
      <c r="G380" s="2">
        <v>0.35</v>
      </c>
      <c r="H380" s="2">
        <v>0.45</v>
      </c>
    </row>
    <row r="381" spans="1:8" x14ac:dyDescent="0.25">
      <c r="A381" s="8">
        <v>832</v>
      </c>
      <c r="B381" s="4">
        <v>109236</v>
      </c>
      <c r="C381" s="3">
        <v>4.1500000000000002E-2</v>
      </c>
      <c r="D381" s="3">
        <f t="shared" si="5"/>
        <v>0.4</v>
      </c>
      <c r="E381" s="1">
        <v>0.6</v>
      </c>
      <c r="F381" s="2">
        <v>0.19</v>
      </c>
      <c r="G381" s="2">
        <v>0.27</v>
      </c>
      <c r="H381" s="2">
        <v>0.54</v>
      </c>
    </row>
    <row r="382" spans="1:8" x14ac:dyDescent="0.25">
      <c r="A382" s="8">
        <v>362</v>
      </c>
      <c r="B382" s="4">
        <v>9752783</v>
      </c>
      <c r="C382" s="3">
        <v>4.1399999999999999E-2</v>
      </c>
      <c r="D382" s="3">
        <f t="shared" si="5"/>
        <v>0.7</v>
      </c>
      <c r="E382" s="1">
        <v>0.3</v>
      </c>
      <c r="F382" s="2">
        <v>0.15</v>
      </c>
      <c r="G382" s="2">
        <v>0.37</v>
      </c>
      <c r="H382" s="2">
        <v>0.48</v>
      </c>
    </row>
    <row r="383" spans="1:8" x14ac:dyDescent="0.25">
      <c r="A383" s="8">
        <v>500</v>
      </c>
      <c r="B383" s="4">
        <v>2308965</v>
      </c>
      <c r="C383" s="3">
        <v>4.1399999999999999E-2</v>
      </c>
      <c r="D383" s="3">
        <f t="shared" si="5"/>
        <v>0.4</v>
      </c>
      <c r="E383" s="1">
        <v>0.6</v>
      </c>
      <c r="F383" s="2">
        <v>0.23</v>
      </c>
      <c r="G383" s="2">
        <v>0.31</v>
      </c>
      <c r="H383" s="2">
        <v>0.45999999999999996</v>
      </c>
    </row>
    <row r="384" spans="1:8" x14ac:dyDescent="0.25">
      <c r="A384" s="8">
        <v>72</v>
      </c>
      <c r="B384" s="4">
        <v>5015708</v>
      </c>
      <c r="C384" s="3">
        <v>4.1299999999999996E-2</v>
      </c>
      <c r="D384" s="3">
        <f t="shared" si="5"/>
        <v>0.6</v>
      </c>
      <c r="E384" s="1">
        <v>0.4</v>
      </c>
      <c r="F384" s="2">
        <v>0.2</v>
      </c>
      <c r="G384" s="2">
        <v>0.45</v>
      </c>
      <c r="H384" s="2">
        <v>0.35000000000000003</v>
      </c>
    </row>
    <row r="385" spans="1:8" x14ac:dyDescent="0.25">
      <c r="A385" s="8">
        <v>236</v>
      </c>
      <c r="B385" s="4">
        <v>8589558</v>
      </c>
      <c r="C385" s="3">
        <v>4.1299999999999996E-2</v>
      </c>
      <c r="D385" s="3">
        <f t="shared" si="5"/>
        <v>0.7</v>
      </c>
      <c r="E385" s="1">
        <v>0.3</v>
      </c>
      <c r="F385" s="2">
        <v>0.31</v>
      </c>
      <c r="G385" s="2">
        <v>0.33</v>
      </c>
      <c r="H385" s="2">
        <v>0.35999999999999993</v>
      </c>
    </row>
    <row r="386" spans="1:8" x14ac:dyDescent="0.25">
      <c r="A386" s="8">
        <v>932</v>
      </c>
      <c r="B386" s="4">
        <v>8988582</v>
      </c>
      <c r="C386" s="3">
        <v>4.1299999999999996E-2</v>
      </c>
      <c r="D386" s="3">
        <f t="shared" ref="D386:D449" si="6">1-E386</f>
        <v>0.7</v>
      </c>
      <c r="E386" s="1">
        <v>0.3</v>
      </c>
      <c r="F386" s="2">
        <v>0.15</v>
      </c>
      <c r="G386" s="2">
        <v>0.44</v>
      </c>
      <c r="H386" s="2">
        <v>0.41000000000000003</v>
      </c>
    </row>
    <row r="387" spans="1:8" x14ac:dyDescent="0.25">
      <c r="A387" s="8">
        <v>212</v>
      </c>
      <c r="B387" s="4">
        <v>3357818</v>
      </c>
      <c r="C387" s="3">
        <v>4.1200000000000001E-2</v>
      </c>
      <c r="D387" s="3">
        <f t="shared" si="6"/>
        <v>0.6</v>
      </c>
      <c r="E387" s="1">
        <v>0.4</v>
      </c>
      <c r="F387" s="2">
        <v>0.28000000000000003</v>
      </c>
      <c r="G387" s="2">
        <v>0.41</v>
      </c>
      <c r="H387" s="2">
        <v>0.31000000000000005</v>
      </c>
    </row>
    <row r="388" spans="1:8" x14ac:dyDescent="0.25">
      <c r="A388" s="8">
        <v>462</v>
      </c>
      <c r="B388" s="4">
        <v>5901276</v>
      </c>
      <c r="C388" s="3">
        <v>4.1200000000000001E-2</v>
      </c>
      <c r="D388" s="3">
        <f t="shared" si="6"/>
        <v>0.6</v>
      </c>
      <c r="E388" s="1">
        <v>0.4</v>
      </c>
      <c r="F388" s="2">
        <v>0.38</v>
      </c>
      <c r="G388" s="2">
        <v>0.34</v>
      </c>
      <c r="H388" s="2">
        <v>0.27999999999999992</v>
      </c>
    </row>
    <row r="389" spans="1:8" x14ac:dyDescent="0.25">
      <c r="A389" s="8">
        <v>776</v>
      </c>
      <c r="B389" s="4">
        <v>6899688</v>
      </c>
      <c r="C389" s="3">
        <v>4.1200000000000001E-2</v>
      </c>
      <c r="D389" s="3">
        <f t="shared" si="6"/>
        <v>0.6</v>
      </c>
      <c r="E389" s="1">
        <v>0.4</v>
      </c>
      <c r="F389" s="2">
        <v>0.44</v>
      </c>
      <c r="G389" s="2">
        <v>0.43</v>
      </c>
      <c r="H389" s="2">
        <v>0.13000000000000006</v>
      </c>
    </row>
    <row r="390" spans="1:8" x14ac:dyDescent="0.25">
      <c r="A390" s="8">
        <v>71</v>
      </c>
      <c r="B390" s="4">
        <v>5239156</v>
      </c>
      <c r="C390" s="3">
        <v>4.1100000000000005E-2</v>
      </c>
      <c r="D390" s="3">
        <f t="shared" si="6"/>
        <v>0.6</v>
      </c>
      <c r="E390" s="1">
        <v>0.4</v>
      </c>
      <c r="F390" s="2">
        <v>0.11</v>
      </c>
      <c r="G390" s="2">
        <v>0.5</v>
      </c>
      <c r="H390" s="2">
        <v>0.39</v>
      </c>
    </row>
    <row r="391" spans="1:8" x14ac:dyDescent="0.25">
      <c r="A391" s="8">
        <v>314</v>
      </c>
      <c r="B391" s="4">
        <v>8926821</v>
      </c>
      <c r="C391" s="3">
        <v>4.1100000000000005E-2</v>
      </c>
      <c r="D391" s="3">
        <f t="shared" si="6"/>
        <v>0.7</v>
      </c>
      <c r="E391" s="1">
        <v>0.3</v>
      </c>
      <c r="F391" s="2">
        <v>0.14000000000000001</v>
      </c>
      <c r="G391" s="2">
        <v>0.27</v>
      </c>
      <c r="H391" s="2">
        <v>0.59</v>
      </c>
    </row>
    <row r="392" spans="1:8" x14ac:dyDescent="0.25">
      <c r="A392" s="8">
        <v>485</v>
      </c>
      <c r="B392" s="4">
        <v>3525965</v>
      </c>
      <c r="C392" s="3">
        <v>4.1100000000000005E-2</v>
      </c>
      <c r="D392" s="3">
        <f t="shared" si="6"/>
        <v>0.6</v>
      </c>
      <c r="E392" s="1">
        <v>0.4</v>
      </c>
      <c r="F392" s="2">
        <v>0.24</v>
      </c>
      <c r="G392" s="2">
        <v>0.44</v>
      </c>
      <c r="H392" s="2">
        <v>0.32000000000000006</v>
      </c>
    </row>
    <row r="393" spans="1:8" x14ac:dyDescent="0.25">
      <c r="A393" s="8">
        <v>22</v>
      </c>
      <c r="B393" s="4">
        <v>2585299</v>
      </c>
      <c r="C393" s="3">
        <v>4.0999999999999995E-2</v>
      </c>
      <c r="D393" s="3">
        <f t="shared" si="6"/>
        <v>0.4</v>
      </c>
      <c r="E393" s="1">
        <v>0.6</v>
      </c>
      <c r="F393" s="2">
        <v>0.15</v>
      </c>
      <c r="G393" s="2">
        <v>0.31</v>
      </c>
      <c r="H393" s="2">
        <v>0.53999999999999992</v>
      </c>
    </row>
    <row r="394" spans="1:8" x14ac:dyDescent="0.25">
      <c r="A394" s="8">
        <v>310</v>
      </c>
      <c r="B394" s="4">
        <v>7993677</v>
      </c>
      <c r="C394" s="3">
        <v>4.0999999999999995E-2</v>
      </c>
      <c r="D394" s="3">
        <f t="shared" si="6"/>
        <v>0.7</v>
      </c>
      <c r="E394" s="1">
        <v>0.3</v>
      </c>
      <c r="F394" s="2">
        <v>0.1</v>
      </c>
      <c r="G394" s="2">
        <v>0.23</v>
      </c>
      <c r="H394" s="2">
        <v>0.67</v>
      </c>
    </row>
    <row r="395" spans="1:8" x14ac:dyDescent="0.25">
      <c r="A395" s="8">
        <v>716</v>
      </c>
      <c r="B395" s="4">
        <v>3828259</v>
      </c>
      <c r="C395" s="3">
        <v>4.0999999999999995E-2</v>
      </c>
      <c r="D395" s="3">
        <f t="shared" si="6"/>
        <v>0.6</v>
      </c>
      <c r="E395" s="1">
        <v>0.4</v>
      </c>
      <c r="F395" s="2">
        <v>0.21</v>
      </c>
      <c r="G395" s="2">
        <v>0.37</v>
      </c>
      <c r="H395" s="2">
        <v>0.42000000000000004</v>
      </c>
    </row>
    <row r="396" spans="1:8" x14ac:dyDescent="0.25">
      <c r="A396" s="8">
        <v>1018</v>
      </c>
      <c r="B396" s="4">
        <v>6813272</v>
      </c>
      <c r="C396" s="3">
        <v>4.0899999999999999E-2</v>
      </c>
      <c r="D396" s="3">
        <f t="shared" si="6"/>
        <v>0.6</v>
      </c>
      <c r="E396" s="1">
        <v>0.4</v>
      </c>
      <c r="F396" s="2">
        <v>0.26</v>
      </c>
      <c r="G396" s="2">
        <v>0.31</v>
      </c>
      <c r="H396" s="2">
        <v>0.42999999999999994</v>
      </c>
    </row>
    <row r="397" spans="1:8" x14ac:dyDescent="0.25">
      <c r="A397" s="8">
        <v>168</v>
      </c>
      <c r="B397" s="4">
        <v>9333159</v>
      </c>
      <c r="C397" s="3">
        <v>4.07E-2</v>
      </c>
      <c r="D397" s="3">
        <f t="shared" si="6"/>
        <v>0.7</v>
      </c>
      <c r="E397" s="1">
        <v>0.3</v>
      </c>
      <c r="F397" s="2">
        <v>0.15</v>
      </c>
      <c r="G397" s="2">
        <v>0.28000000000000003</v>
      </c>
      <c r="H397" s="2">
        <v>0.56999999999999995</v>
      </c>
    </row>
    <row r="398" spans="1:8" x14ac:dyDescent="0.25">
      <c r="A398" s="8">
        <v>560</v>
      </c>
      <c r="B398" s="4">
        <v>1280178</v>
      </c>
      <c r="C398" s="3">
        <v>4.07E-2</v>
      </c>
      <c r="D398" s="3">
        <f t="shared" si="6"/>
        <v>0.4</v>
      </c>
      <c r="E398" s="1">
        <v>0.6</v>
      </c>
      <c r="F398" s="2">
        <v>0.3</v>
      </c>
      <c r="G398" s="2">
        <v>0.46</v>
      </c>
      <c r="H398" s="2">
        <v>0.24000000000000005</v>
      </c>
    </row>
    <row r="399" spans="1:8" x14ac:dyDescent="0.25">
      <c r="A399" s="8">
        <v>941</v>
      </c>
      <c r="B399" s="4">
        <v>2854310</v>
      </c>
      <c r="C399" s="3">
        <v>4.07E-2</v>
      </c>
      <c r="D399" s="3">
        <f t="shared" si="6"/>
        <v>0.4</v>
      </c>
      <c r="E399" s="1">
        <v>0.6</v>
      </c>
      <c r="F399" s="2">
        <v>0.24</v>
      </c>
      <c r="G399" s="2">
        <v>0.39</v>
      </c>
      <c r="H399" s="2">
        <v>0.37</v>
      </c>
    </row>
    <row r="400" spans="1:8" x14ac:dyDescent="0.25">
      <c r="A400" s="8">
        <v>164</v>
      </c>
      <c r="B400" s="4">
        <v>284177</v>
      </c>
      <c r="C400" s="3">
        <v>4.0500000000000001E-2</v>
      </c>
      <c r="D400" s="3">
        <f t="shared" si="6"/>
        <v>0.4</v>
      </c>
      <c r="E400" s="1">
        <v>0.6</v>
      </c>
      <c r="F400" s="2">
        <v>0.32</v>
      </c>
      <c r="G400" s="2">
        <v>0.3</v>
      </c>
      <c r="H400" s="2">
        <v>0.37999999999999995</v>
      </c>
    </row>
    <row r="401" spans="1:8" x14ac:dyDescent="0.25">
      <c r="A401" s="8">
        <v>303</v>
      </c>
      <c r="B401" s="4">
        <v>637809</v>
      </c>
      <c r="C401" s="3">
        <v>4.0500000000000001E-2</v>
      </c>
      <c r="D401" s="3">
        <f t="shared" si="6"/>
        <v>0.4</v>
      </c>
      <c r="E401" s="1">
        <v>0.6</v>
      </c>
      <c r="F401" s="2">
        <v>0.21</v>
      </c>
      <c r="G401" s="2">
        <v>0.28000000000000003</v>
      </c>
      <c r="H401" s="2">
        <v>0.51</v>
      </c>
    </row>
    <row r="402" spans="1:8" x14ac:dyDescent="0.25">
      <c r="A402" s="8">
        <v>904</v>
      </c>
      <c r="B402" s="4">
        <v>5264984</v>
      </c>
      <c r="C402" s="3">
        <v>4.0500000000000001E-2</v>
      </c>
      <c r="D402" s="3">
        <f t="shared" si="6"/>
        <v>0.6</v>
      </c>
      <c r="E402" s="1">
        <v>0.4</v>
      </c>
      <c r="F402" s="2">
        <v>0.23</v>
      </c>
      <c r="G402" s="2">
        <v>0.38</v>
      </c>
      <c r="H402" s="2">
        <v>0.39</v>
      </c>
    </row>
    <row r="403" spans="1:8" x14ac:dyDescent="0.25">
      <c r="A403" s="8">
        <v>968</v>
      </c>
      <c r="B403" s="4">
        <v>5012196</v>
      </c>
      <c r="C403" s="3">
        <v>4.0500000000000001E-2</v>
      </c>
      <c r="D403" s="3">
        <f t="shared" si="6"/>
        <v>0.6</v>
      </c>
      <c r="E403" s="1">
        <v>0.4</v>
      </c>
      <c r="F403" s="2">
        <v>0.2</v>
      </c>
      <c r="G403" s="2">
        <v>0.39</v>
      </c>
      <c r="H403" s="2">
        <v>0.41</v>
      </c>
    </row>
    <row r="404" spans="1:8" x14ac:dyDescent="0.25">
      <c r="A404" s="8">
        <v>158</v>
      </c>
      <c r="B404" s="4">
        <v>7524091</v>
      </c>
      <c r="C404" s="3">
        <v>4.0399999999999998E-2</v>
      </c>
      <c r="D404" s="3">
        <f t="shared" si="6"/>
        <v>0.7</v>
      </c>
      <c r="E404" s="1">
        <v>0.3</v>
      </c>
      <c r="F404" s="2">
        <v>0.12</v>
      </c>
      <c r="G404" s="2">
        <v>0.22</v>
      </c>
      <c r="H404" s="2">
        <v>0.66</v>
      </c>
    </row>
    <row r="405" spans="1:8" x14ac:dyDescent="0.25">
      <c r="A405" s="8">
        <v>143</v>
      </c>
      <c r="B405" s="4">
        <v>2439557</v>
      </c>
      <c r="C405" s="3">
        <v>4.0300000000000002E-2</v>
      </c>
      <c r="D405" s="3">
        <f t="shared" si="6"/>
        <v>0.4</v>
      </c>
      <c r="E405" s="1">
        <v>0.6</v>
      </c>
      <c r="F405" s="2">
        <v>0.25</v>
      </c>
      <c r="G405" s="2">
        <v>0.28999999999999998</v>
      </c>
      <c r="H405" s="2">
        <v>0.45999999999999996</v>
      </c>
    </row>
    <row r="406" spans="1:8" x14ac:dyDescent="0.25">
      <c r="A406" s="8">
        <v>428</v>
      </c>
      <c r="B406" s="4">
        <v>8518477</v>
      </c>
      <c r="C406" s="3">
        <v>4.0300000000000002E-2</v>
      </c>
      <c r="D406" s="3">
        <f t="shared" si="6"/>
        <v>0.7</v>
      </c>
      <c r="E406" s="1">
        <v>0.3</v>
      </c>
      <c r="F406" s="2">
        <v>0.28999999999999998</v>
      </c>
      <c r="G406" s="2">
        <v>0.43</v>
      </c>
      <c r="H406" s="2">
        <v>0.28000000000000008</v>
      </c>
    </row>
    <row r="407" spans="1:8" x14ac:dyDescent="0.25">
      <c r="A407" s="8">
        <v>597</v>
      </c>
      <c r="B407" s="4">
        <v>5848840</v>
      </c>
      <c r="C407" s="3">
        <v>4.0300000000000002E-2</v>
      </c>
      <c r="D407" s="3">
        <f t="shared" si="6"/>
        <v>0.6</v>
      </c>
      <c r="E407" s="1">
        <v>0.4</v>
      </c>
      <c r="F407" s="2">
        <v>0.1</v>
      </c>
      <c r="G407" s="2">
        <v>0.33</v>
      </c>
      <c r="H407" s="2">
        <v>0.56999999999999995</v>
      </c>
    </row>
    <row r="408" spans="1:8" x14ac:dyDescent="0.25">
      <c r="A408" s="8">
        <v>238</v>
      </c>
      <c r="B408" s="4">
        <v>2336465</v>
      </c>
      <c r="C408" s="3">
        <v>4.0199999999999993E-2</v>
      </c>
      <c r="D408" s="3">
        <f t="shared" si="6"/>
        <v>0.4</v>
      </c>
      <c r="E408" s="1">
        <v>0.6</v>
      </c>
      <c r="F408" s="2">
        <v>0.36</v>
      </c>
      <c r="G408" s="2">
        <v>0.34</v>
      </c>
      <c r="H408" s="2">
        <v>0.29999999999999993</v>
      </c>
    </row>
    <row r="409" spans="1:8" x14ac:dyDescent="0.25">
      <c r="A409" s="8">
        <v>549</v>
      </c>
      <c r="B409" s="4">
        <v>5427316</v>
      </c>
      <c r="C409" s="3">
        <v>4.0199999999999993E-2</v>
      </c>
      <c r="D409" s="3">
        <f t="shared" si="6"/>
        <v>0.6</v>
      </c>
      <c r="E409" s="1">
        <v>0.4</v>
      </c>
      <c r="F409" s="2">
        <v>0.31</v>
      </c>
      <c r="G409" s="2">
        <v>0.31</v>
      </c>
      <c r="H409" s="2">
        <v>0.37999999999999995</v>
      </c>
    </row>
    <row r="410" spans="1:8" x14ac:dyDescent="0.25">
      <c r="A410" s="8">
        <v>101</v>
      </c>
      <c r="B410" s="4">
        <v>2853907</v>
      </c>
      <c r="C410" s="3">
        <v>4.0099999999999997E-2</v>
      </c>
      <c r="D410" s="3">
        <f t="shared" si="6"/>
        <v>0.4</v>
      </c>
      <c r="E410" s="1">
        <v>0.6</v>
      </c>
      <c r="F410" s="2">
        <v>0.45</v>
      </c>
      <c r="G410" s="2">
        <v>0.25</v>
      </c>
      <c r="H410" s="2">
        <v>0.3</v>
      </c>
    </row>
    <row r="411" spans="1:8" x14ac:dyDescent="0.25">
      <c r="A411" s="8">
        <v>493</v>
      </c>
      <c r="B411" s="4">
        <v>221875</v>
      </c>
      <c r="C411" s="9">
        <v>0.04</v>
      </c>
      <c r="D411" s="3">
        <f t="shared" si="6"/>
        <v>0.4</v>
      </c>
      <c r="E411" s="1">
        <v>0.6</v>
      </c>
      <c r="F411" s="2">
        <v>0.37</v>
      </c>
      <c r="G411" s="2">
        <v>0.21</v>
      </c>
      <c r="H411" s="2">
        <v>0.42000000000000004</v>
      </c>
    </row>
    <row r="412" spans="1:8" x14ac:dyDescent="0.25">
      <c r="A412" s="1">
        <v>277</v>
      </c>
      <c r="B412" s="4">
        <v>7759055</v>
      </c>
      <c r="C412" s="3">
        <v>3.9800000000000002E-2</v>
      </c>
      <c r="D412" s="3">
        <f t="shared" si="6"/>
        <v>0.7</v>
      </c>
      <c r="E412" s="1">
        <v>0.3</v>
      </c>
      <c r="F412" s="2">
        <v>0.39</v>
      </c>
      <c r="G412" s="2">
        <v>0.35</v>
      </c>
      <c r="H412" s="2">
        <v>0.26</v>
      </c>
    </row>
    <row r="413" spans="1:8" x14ac:dyDescent="0.25">
      <c r="A413" s="1">
        <v>266</v>
      </c>
      <c r="B413" s="4">
        <v>8091614</v>
      </c>
      <c r="C413" s="3">
        <v>3.9699999999999999E-2</v>
      </c>
      <c r="D413" s="3">
        <f t="shared" si="6"/>
        <v>0.7</v>
      </c>
      <c r="E413" s="1">
        <v>0.3</v>
      </c>
      <c r="F413" s="2">
        <v>0.39</v>
      </c>
      <c r="G413" s="2">
        <v>0.41</v>
      </c>
      <c r="H413" s="2">
        <v>0.20000000000000007</v>
      </c>
    </row>
    <row r="414" spans="1:8" x14ac:dyDescent="0.25">
      <c r="A414" s="1">
        <v>544</v>
      </c>
      <c r="B414" s="4">
        <v>934468</v>
      </c>
      <c r="C414" s="3">
        <v>3.9699999999999999E-2</v>
      </c>
      <c r="D414" s="3">
        <f t="shared" si="6"/>
        <v>0.4</v>
      </c>
      <c r="E414" s="1">
        <v>0.6</v>
      </c>
      <c r="F414" s="2">
        <v>0.28999999999999998</v>
      </c>
      <c r="G414" s="2">
        <v>0.32</v>
      </c>
      <c r="H414" s="2">
        <v>0.38999999999999996</v>
      </c>
    </row>
    <row r="415" spans="1:8" x14ac:dyDescent="0.25">
      <c r="A415" s="1">
        <v>604</v>
      </c>
      <c r="B415" s="4">
        <v>7957105</v>
      </c>
      <c r="C415" s="3">
        <v>3.9699999999999999E-2</v>
      </c>
      <c r="D415" s="3">
        <f t="shared" si="6"/>
        <v>0.7</v>
      </c>
      <c r="E415" s="1">
        <v>0.3</v>
      </c>
      <c r="F415" s="2">
        <v>0.24</v>
      </c>
      <c r="G415" s="2">
        <v>0.33</v>
      </c>
      <c r="H415" s="2">
        <v>0.42999999999999994</v>
      </c>
    </row>
    <row r="416" spans="1:8" x14ac:dyDescent="0.25">
      <c r="A416" s="1">
        <v>806</v>
      </c>
      <c r="B416" s="4">
        <v>6995264</v>
      </c>
      <c r="C416" s="3">
        <v>3.9699999999999999E-2</v>
      </c>
      <c r="D416" s="3">
        <f t="shared" si="6"/>
        <v>0.6</v>
      </c>
      <c r="E416" s="1">
        <v>0.4</v>
      </c>
      <c r="F416" s="2">
        <v>0.2</v>
      </c>
      <c r="G416" s="2">
        <v>0.44</v>
      </c>
      <c r="H416" s="2">
        <v>0.36000000000000004</v>
      </c>
    </row>
    <row r="417" spans="1:8" x14ac:dyDescent="0.25">
      <c r="A417" s="1">
        <v>863</v>
      </c>
      <c r="B417" s="4">
        <v>7895075</v>
      </c>
      <c r="C417" s="3">
        <v>3.9699999999999999E-2</v>
      </c>
      <c r="D417" s="3">
        <f t="shared" si="6"/>
        <v>0.7</v>
      </c>
      <c r="E417" s="1">
        <v>0.3</v>
      </c>
      <c r="F417" s="2">
        <v>0.16</v>
      </c>
      <c r="G417" s="2">
        <v>0.44</v>
      </c>
      <c r="H417" s="2">
        <v>0.4</v>
      </c>
    </row>
    <row r="418" spans="1:8" x14ac:dyDescent="0.25">
      <c r="A418" s="1">
        <v>644</v>
      </c>
      <c r="B418" s="4">
        <v>3076822</v>
      </c>
      <c r="C418" s="3">
        <v>3.9599999999999996E-2</v>
      </c>
      <c r="D418" s="3">
        <f t="shared" si="6"/>
        <v>0.6</v>
      </c>
      <c r="E418" s="1">
        <v>0.4</v>
      </c>
      <c r="F418" s="2">
        <v>0.34</v>
      </c>
      <c r="G418" s="2">
        <v>0.4</v>
      </c>
      <c r="H418" s="2">
        <v>0.25999999999999995</v>
      </c>
    </row>
    <row r="419" spans="1:8" x14ac:dyDescent="0.25">
      <c r="A419" s="1">
        <v>384</v>
      </c>
      <c r="B419" s="4">
        <v>9444314</v>
      </c>
      <c r="C419" s="3">
        <v>3.95E-2</v>
      </c>
      <c r="D419" s="3">
        <f t="shared" si="6"/>
        <v>0.7</v>
      </c>
      <c r="E419" s="1">
        <v>0.3</v>
      </c>
      <c r="F419" s="2">
        <v>0.39</v>
      </c>
      <c r="G419" s="2">
        <v>0.25</v>
      </c>
      <c r="H419" s="2">
        <v>0.36</v>
      </c>
    </row>
    <row r="420" spans="1:8" x14ac:dyDescent="0.25">
      <c r="A420" s="1">
        <v>699</v>
      </c>
      <c r="B420" s="4">
        <v>5812048</v>
      </c>
      <c r="C420" s="3">
        <v>3.95E-2</v>
      </c>
      <c r="D420" s="3">
        <f t="shared" si="6"/>
        <v>0.6</v>
      </c>
      <c r="E420" s="1">
        <v>0.4</v>
      </c>
      <c r="F420" s="2">
        <v>0.37</v>
      </c>
      <c r="G420" s="2">
        <v>0.3</v>
      </c>
      <c r="H420" s="2">
        <v>0.32999999999999996</v>
      </c>
    </row>
    <row r="421" spans="1:8" x14ac:dyDescent="0.25">
      <c r="A421" s="1">
        <v>13</v>
      </c>
      <c r="B421" s="4">
        <v>5492636</v>
      </c>
      <c r="C421" s="3">
        <v>3.9399999999999998E-2</v>
      </c>
      <c r="D421" s="3">
        <f t="shared" si="6"/>
        <v>0.6</v>
      </c>
      <c r="E421" s="1">
        <v>0.4</v>
      </c>
      <c r="F421" s="2">
        <v>0.19</v>
      </c>
      <c r="G421" s="2">
        <v>0.23</v>
      </c>
      <c r="H421" s="2">
        <v>0.58000000000000007</v>
      </c>
    </row>
    <row r="422" spans="1:8" x14ac:dyDescent="0.25">
      <c r="A422" s="1">
        <v>36</v>
      </c>
      <c r="B422" s="4">
        <v>1775943</v>
      </c>
      <c r="C422" s="3">
        <v>3.9300000000000002E-2</v>
      </c>
      <c r="D422" s="3">
        <f t="shared" si="6"/>
        <v>0.4</v>
      </c>
      <c r="E422" s="1">
        <v>0.6</v>
      </c>
      <c r="F422" s="2">
        <v>0.28000000000000003</v>
      </c>
      <c r="G422" s="2">
        <v>0.21</v>
      </c>
      <c r="H422" s="2">
        <v>0.51</v>
      </c>
    </row>
    <row r="423" spans="1:8" x14ac:dyDescent="0.25">
      <c r="A423" s="1">
        <v>134</v>
      </c>
      <c r="B423" s="4">
        <v>3533359</v>
      </c>
      <c r="C423" s="3">
        <v>3.9300000000000002E-2</v>
      </c>
      <c r="D423" s="3">
        <f t="shared" si="6"/>
        <v>0.6</v>
      </c>
      <c r="E423" s="1">
        <v>0.4</v>
      </c>
      <c r="F423" s="2">
        <v>0.27</v>
      </c>
      <c r="G423" s="2">
        <v>0.32</v>
      </c>
      <c r="H423" s="2">
        <v>0.40999999999999992</v>
      </c>
    </row>
    <row r="424" spans="1:8" x14ac:dyDescent="0.25">
      <c r="A424" s="1">
        <v>342</v>
      </c>
      <c r="B424" s="4">
        <v>4811568</v>
      </c>
      <c r="C424" s="3">
        <v>3.9300000000000002E-2</v>
      </c>
      <c r="D424" s="3">
        <f t="shared" si="6"/>
        <v>0.6</v>
      </c>
      <c r="E424" s="1">
        <v>0.4</v>
      </c>
      <c r="F424" s="2">
        <v>0.3</v>
      </c>
      <c r="G424" s="2">
        <v>0.47</v>
      </c>
      <c r="H424" s="2">
        <v>0.23000000000000004</v>
      </c>
    </row>
    <row r="425" spans="1:8" x14ac:dyDescent="0.25">
      <c r="A425" s="1">
        <v>661</v>
      </c>
      <c r="B425" s="4">
        <v>8406105</v>
      </c>
      <c r="C425" s="3">
        <v>3.9300000000000002E-2</v>
      </c>
      <c r="D425" s="3">
        <f t="shared" si="6"/>
        <v>0.7</v>
      </c>
      <c r="E425" s="1">
        <v>0.3</v>
      </c>
      <c r="F425" s="2">
        <v>0.19</v>
      </c>
      <c r="G425" s="2">
        <v>0.27</v>
      </c>
      <c r="H425" s="2">
        <v>0.54</v>
      </c>
    </row>
    <row r="426" spans="1:8" x14ac:dyDescent="0.25">
      <c r="A426" s="1">
        <v>850</v>
      </c>
      <c r="B426" s="4">
        <v>1772827</v>
      </c>
      <c r="C426" s="3">
        <v>3.9300000000000002E-2</v>
      </c>
      <c r="D426" s="3">
        <f t="shared" si="6"/>
        <v>0.4</v>
      </c>
      <c r="E426" s="1">
        <v>0.6</v>
      </c>
      <c r="F426" s="2">
        <v>0.4</v>
      </c>
      <c r="G426" s="2">
        <v>0.21</v>
      </c>
      <c r="H426" s="2">
        <v>0.39</v>
      </c>
    </row>
    <row r="427" spans="1:8" x14ac:dyDescent="0.25">
      <c r="A427" s="1">
        <v>274</v>
      </c>
      <c r="B427" s="4">
        <v>2177419</v>
      </c>
      <c r="C427" s="3">
        <v>3.9199999999999999E-2</v>
      </c>
      <c r="D427" s="3">
        <f t="shared" si="6"/>
        <v>0.4</v>
      </c>
      <c r="E427" s="1">
        <v>0.6</v>
      </c>
      <c r="F427" s="2">
        <v>0.43</v>
      </c>
      <c r="G427" s="2">
        <v>0.48</v>
      </c>
      <c r="H427" s="2">
        <v>9.0000000000000024E-2</v>
      </c>
    </row>
    <row r="428" spans="1:8" x14ac:dyDescent="0.25">
      <c r="A428" s="1">
        <v>946</v>
      </c>
      <c r="B428" s="4">
        <v>7199031</v>
      </c>
      <c r="C428" s="3">
        <v>3.9199999999999999E-2</v>
      </c>
      <c r="D428" s="3">
        <f t="shared" si="6"/>
        <v>0.7</v>
      </c>
      <c r="E428" s="1">
        <v>0.3</v>
      </c>
      <c r="F428" s="2">
        <v>0.36</v>
      </c>
      <c r="G428" s="2">
        <v>0.32</v>
      </c>
      <c r="H428" s="2">
        <v>0.31999999999999995</v>
      </c>
    </row>
    <row r="429" spans="1:8" x14ac:dyDescent="0.25">
      <c r="A429" s="1">
        <v>491</v>
      </c>
      <c r="B429" s="4">
        <v>1077859</v>
      </c>
      <c r="C429" s="3">
        <v>3.9100000000000003E-2</v>
      </c>
      <c r="D429" s="3">
        <f t="shared" si="6"/>
        <v>0.4</v>
      </c>
      <c r="E429" s="1">
        <v>0.6</v>
      </c>
      <c r="F429" s="2">
        <v>0.13</v>
      </c>
      <c r="G429" s="2">
        <v>0.3</v>
      </c>
      <c r="H429" s="2">
        <v>0.56999999999999995</v>
      </c>
    </row>
    <row r="430" spans="1:8" x14ac:dyDescent="0.25">
      <c r="A430" s="1">
        <v>810</v>
      </c>
      <c r="B430" s="4">
        <v>6051975</v>
      </c>
      <c r="C430" s="3">
        <v>3.9E-2</v>
      </c>
      <c r="D430" s="3">
        <f t="shared" si="6"/>
        <v>0.6</v>
      </c>
      <c r="E430" s="1">
        <v>0.4</v>
      </c>
      <c r="F430" s="2">
        <v>0.17</v>
      </c>
      <c r="G430" s="2">
        <v>0.24</v>
      </c>
      <c r="H430" s="2">
        <v>0.59</v>
      </c>
    </row>
    <row r="431" spans="1:8" x14ac:dyDescent="0.25">
      <c r="A431" s="1">
        <v>901</v>
      </c>
      <c r="B431" s="4">
        <v>2399118</v>
      </c>
      <c r="C431" s="3">
        <v>3.9E-2</v>
      </c>
      <c r="D431" s="3">
        <f t="shared" si="6"/>
        <v>0.4</v>
      </c>
      <c r="E431" s="1">
        <v>0.6</v>
      </c>
      <c r="F431" s="2">
        <v>0.13</v>
      </c>
      <c r="G431" s="2">
        <v>0.41</v>
      </c>
      <c r="H431" s="2">
        <v>0.46000000000000008</v>
      </c>
    </row>
    <row r="432" spans="1:8" x14ac:dyDescent="0.25">
      <c r="A432" s="1">
        <v>1021</v>
      </c>
      <c r="B432" s="4">
        <v>6663568</v>
      </c>
      <c r="C432" s="3">
        <v>3.9E-2</v>
      </c>
      <c r="D432" s="3">
        <f t="shared" si="6"/>
        <v>0.6</v>
      </c>
      <c r="E432" s="1">
        <v>0.4</v>
      </c>
      <c r="F432" s="2">
        <v>0.17</v>
      </c>
      <c r="G432" s="2">
        <v>0.49</v>
      </c>
      <c r="H432" s="2">
        <v>0.33999999999999997</v>
      </c>
    </row>
    <row r="433" spans="1:8" x14ac:dyDescent="0.25">
      <c r="A433" s="1">
        <v>255</v>
      </c>
      <c r="B433" s="4">
        <v>5497017</v>
      </c>
      <c r="C433" s="3">
        <v>3.8900000000000004E-2</v>
      </c>
      <c r="D433" s="3">
        <f t="shared" si="6"/>
        <v>0.6</v>
      </c>
      <c r="E433" s="1">
        <v>0.4</v>
      </c>
      <c r="F433" s="2">
        <v>0.24</v>
      </c>
      <c r="G433" s="2">
        <v>0.36</v>
      </c>
      <c r="H433" s="2">
        <v>0.4</v>
      </c>
    </row>
    <row r="434" spans="1:8" x14ac:dyDescent="0.25">
      <c r="A434" s="1">
        <v>627</v>
      </c>
      <c r="B434" s="4">
        <v>1205179</v>
      </c>
      <c r="C434" s="3">
        <v>3.8900000000000004E-2</v>
      </c>
      <c r="D434" s="3">
        <f t="shared" si="6"/>
        <v>0.4</v>
      </c>
      <c r="E434" s="1">
        <v>0.6</v>
      </c>
      <c r="F434" s="2">
        <v>0.32</v>
      </c>
      <c r="G434" s="2">
        <v>0.43</v>
      </c>
      <c r="H434" s="2">
        <v>0.25000000000000006</v>
      </c>
    </row>
    <row r="435" spans="1:8" x14ac:dyDescent="0.25">
      <c r="A435" s="1">
        <v>735</v>
      </c>
      <c r="B435" s="4">
        <v>4962947</v>
      </c>
      <c r="C435" s="3">
        <v>3.8900000000000004E-2</v>
      </c>
      <c r="D435" s="3">
        <f t="shared" si="6"/>
        <v>0.6</v>
      </c>
      <c r="E435" s="1">
        <v>0.4</v>
      </c>
      <c r="F435" s="2">
        <v>0.15</v>
      </c>
      <c r="G435" s="2">
        <v>0.37</v>
      </c>
      <c r="H435" s="2">
        <v>0.48</v>
      </c>
    </row>
    <row r="436" spans="1:8" x14ac:dyDescent="0.25">
      <c r="A436" s="1">
        <v>835</v>
      </c>
      <c r="B436" s="4">
        <v>9162732</v>
      </c>
      <c r="C436" s="3">
        <v>3.8900000000000004E-2</v>
      </c>
      <c r="D436" s="3">
        <f t="shared" si="6"/>
        <v>0.7</v>
      </c>
      <c r="E436" s="1">
        <v>0.3</v>
      </c>
      <c r="F436" s="2">
        <v>0.35</v>
      </c>
      <c r="G436" s="2">
        <v>0.46</v>
      </c>
      <c r="H436" s="2">
        <v>0.19000000000000006</v>
      </c>
    </row>
    <row r="437" spans="1:8" x14ac:dyDescent="0.25">
      <c r="A437" s="1">
        <v>641</v>
      </c>
      <c r="B437" s="4">
        <v>1424323</v>
      </c>
      <c r="C437" s="3">
        <v>3.8800000000000001E-2</v>
      </c>
      <c r="D437" s="3">
        <f t="shared" si="6"/>
        <v>0.4</v>
      </c>
      <c r="E437" s="1">
        <v>0.6</v>
      </c>
      <c r="F437" s="2">
        <v>0.16</v>
      </c>
      <c r="G437" s="2">
        <v>0.36</v>
      </c>
      <c r="H437" s="2">
        <v>0.48</v>
      </c>
    </row>
    <row r="438" spans="1:8" x14ac:dyDescent="0.25">
      <c r="A438" s="1">
        <v>214</v>
      </c>
      <c r="B438" s="4">
        <v>6037922</v>
      </c>
      <c r="C438" s="3">
        <v>3.8699999999999998E-2</v>
      </c>
      <c r="D438" s="3">
        <f t="shared" si="6"/>
        <v>0.6</v>
      </c>
      <c r="E438" s="1">
        <v>0.4</v>
      </c>
      <c r="F438" s="2">
        <v>0.36</v>
      </c>
      <c r="G438" s="2">
        <v>0.47</v>
      </c>
      <c r="H438" s="2">
        <v>0.17000000000000004</v>
      </c>
    </row>
    <row r="439" spans="1:8" x14ac:dyDescent="0.25">
      <c r="A439" s="1">
        <v>819</v>
      </c>
      <c r="B439" s="4">
        <v>4808842</v>
      </c>
      <c r="C439" s="3">
        <v>3.8599999999999995E-2</v>
      </c>
      <c r="D439" s="3">
        <f t="shared" si="6"/>
        <v>0.6</v>
      </c>
      <c r="E439" s="1">
        <v>0.4</v>
      </c>
      <c r="F439" s="2">
        <v>0.26</v>
      </c>
      <c r="G439" s="2">
        <v>0.28999999999999998</v>
      </c>
      <c r="H439" s="2">
        <v>0.44999999999999996</v>
      </c>
    </row>
    <row r="440" spans="1:8" x14ac:dyDescent="0.25">
      <c r="A440" s="1">
        <v>337</v>
      </c>
      <c r="B440" s="4">
        <v>6819699</v>
      </c>
      <c r="C440" s="3">
        <v>3.8399999999999997E-2</v>
      </c>
      <c r="D440" s="3">
        <f t="shared" si="6"/>
        <v>0.6</v>
      </c>
      <c r="E440" s="1">
        <v>0.4</v>
      </c>
      <c r="F440" s="2">
        <v>0.25</v>
      </c>
      <c r="G440" s="2">
        <v>0.44</v>
      </c>
      <c r="H440" s="2">
        <v>0.31000000000000005</v>
      </c>
    </row>
    <row r="441" spans="1:8" x14ac:dyDescent="0.25">
      <c r="A441" s="1">
        <v>188</v>
      </c>
      <c r="B441" s="4">
        <v>5027438</v>
      </c>
      <c r="C441" s="3">
        <v>3.8300000000000001E-2</v>
      </c>
      <c r="D441" s="3">
        <f t="shared" si="6"/>
        <v>0.6</v>
      </c>
      <c r="E441" s="1">
        <v>0.4</v>
      </c>
      <c r="F441" s="2">
        <v>0.45</v>
      </c>
      <c r="G441" s="2">
        <v>0.48</v>
      </c>
      <c r="H441" s="2">
        <v>7.0000000000000007E-2</v>
      </c>
    </row>
    <row r="442" spans="1:8" x14ac:dyDescent="0.25">
      <c r="A442" s="1">
        <v>268</v>
      </c>
      <c r="B442" s="4">
        <v>1352553</v>
      </c>
      <c r="C442" s="3">
        <v>3.8300000000000001E-2</v>
      </c>
      <c r="D442" s="3">
        <f t="shared" si="6"/>
        <v>0.4</v>
      </c>
      <c r="E442" s="1">
        <v>0.6</v>
      </c>
      <c r="F442" s="2">
        <v>0.39</v>
      </c>
      <c r="G442" s="2">
        <v>0.27</v>
      </c>
      <c r="H442" s="2">
        <v>0.33999999999999997</v>
      </c>
    </row>
    <row r="443" spans="1:8" x14ac:dyDescent="0.25">
      <c r="A443" s="1">
        <v>730</v>
      </c>
      <c r="B443" s="4">
        <v>5998083</v>
      </c>
      <c r="C443" s="3">
        <v>3.8300000000000001E-2</v>
      </c>
      <c r="D443" s="3">
        <f t="shared" si="6"/>
        <v>0.6</v>
      </c>
      <c r="E443" s="1">
        <v>0.4</v>
      </c>
      <c r="F443" s="2">
        <v>0.28000000000000003</v>
      </c>
      <c r="G443" s="2">
        <v>0.5</v>
      </c>
      <c r="H443" s="2">
        <v>0.21999999999999997</v>
      </c>
    </row>
    <row r="444" spans="1:8" x14ac:dyDescent="0.25">
      <c r="A444" s="1">
        <v>792</v>
      </c>
      <c r="B444" s="4">
        <v>2736064</v>
      </c>
      <c r="C444" s="3">
        <v>3.8300000000000001E-2</v>
      </c>
      <c r="D444" s="3">
        <f t="shared" si="6"/>
        <v>0.4</v>
      </c>
      <c r="E444" s="1">
        <v>0.6</v>
      </c>
      <c r="F444" s="2">
        <v>0.21</v>
      </c>
      <c r="G444" s="2">
        <v>0.42</v>
      </c>
      <c r="H444" s="2">
        <v>0.37000000000000011</v>
      </c>
    </row>
    <row r="445" spans="1:8" x14ac:dyDescent="0.25">
      <c r="A445" s="1">
        <v>79</v>
      </c>
      <c r="B445" s="4">
        <v>4603743</v>
      </c>
      <c r="C445" s="3">
        <v>3.8199999999999998E-2</v>
      </c>
      <c r="D445" s="3">
        <f t="shared" si="6"/>
        <v>0.6</v>
      </c>
      <c r="E445" s="1">
        <v>0.4</v>
      </c>
      <c r="F445" s="2">
        <v>0.14000000000000001</v>
      </c>
      <c r="G445" s="2">
        <v>0.43</v>
      </c>
      <c r="H445" s="2">
        <v>0.43000000000000005</v>
      </c>
    </row>
    <row r="446" spans="1:8" x14ac:dyDescent="0.25">
      <c r="A446" s="1">
        <v>153</v>
      </c>
      <c r="B446" s="4">
        <v>6551535</v>
      </c>
      <c r="C446" s="3">
        <v>3.8199999999999998E-2</v>
      </c>
      <c r="D446" s="3">
        <f t="shared" si="6"/>
        <v>0.6</v>
      </c>
      <c r="E446" s="1">
        <v>0.4</v>
      </c>
      <c r="F446" s="2">
        <v>0.17</v>
      </c>
      <c r="G446" s="2">
        <v>0.36</v>
      </c>
      <c r="H446" s="2">
        <v>0.47</v>
      </c>
    </row>
    <row r="447" spans="1:8" x14ac:dyDescent="0.25">
      <c r="A447" s="1">
        <v>704</v>
      </c>
      <c r="B447" s="4">
        <v>9128984</v>
      </c>
      <c r="C447" s="3">
        <v>3.8199999999999998E-2</v>
      </c>
      <c r="D447" s="3">
        <f t="shared" si="6"/>
        <v>0.7</v>
      </c>
      <c r="E447" s="1">
        <v>0.3</v>
      </c>
      <c r="F447" s="2">
        <v>0.36</v>
      </c>
      <c r="G447" s="2">
        <v>0.31</v>
      </c>
      <c r="H447" s="2">
        <v>0.32999999999999996</v>
      </c>
    </row>
    <row r="448" spans="1:8" x14ac:dyDescent="0.25">
      <c r="A448" s="1">
        <v>518</v>
      </c>
      <c r="B448" s="4">
        <v>1940442</v>
      </c>
      <c r="C448" s="3">
        <v>3.8100000000000002E-2</v>
      </c>
      <c r="D448" s="3">
        <f t="shared" si="6"/>
        <v>0.4</v>
      </c>
      <c r="E448" s="1">
        <v>0.6</v>
      </c>
      <c r="F448" s="2">
        <v>0.43</v>
      </c>
      <c r="G448" s="2">
        <v>0.37</v>
      </c>
      <c r="H448" s="2">
        <v>0.2</v>
      </c>
    </row>
    <row r="449" spans="1:8" x14ac:dyDescent="0.25">
      <c r="A449" s="1">
        <v>629</v>
      </c>
      <c r="B449" s="4">
        <v>8768000</v>
      </c>
      <c r="C449" s="3">
        <v>3.8100000000000002E-2</v>
      </c>
      <c r="D449" s="3">
        <f t="shared" si="6"/>
        <v>0.7</v>
      </c>
      <c r="E449" s="1">
        <v>0.3</v>
      </c>
      <c r="F449" s="2">
        <v>0.21</v>
      </c>
      <c r="G449" s="2">
        <v>0.44</v>
      </c>
      <c r="H449" s="2">
        <v>0.35000000000000009</v>
      </c>
    </row>
    <row r="450" spans="1:8" x14ac:dyDescent="0.25">
      <c r="A450" s="1">
        <v>774</v>
      </c>
      <c r="B450" s="4">
        <v>5058541</v>
      </c>
      <c r="C450" s="3">
        <v>3.8100000000000002E-2</v>
      </c>
      <c r="D450" s="3">
        <f t="shared" ref="D450:D513" si="7">1-E450</f>
        <v>0.6</v>
      </c>
      <c r="E450" s="1">
        <v>0.4</v>
      </c>
      <c r="F450" s="2">
        <v>0.22</v>
      </c>
      <c r="G450" s="2">
        <v>0.5</v>
      </c>
      <c r="H450" s="2">
        <v>0.28000000000000003</v>
      </c>
    </row>
    <row r="451" spans="1:8" x14ac:dyDescent="0.25">
      <c r="A451" s="1">
        <v>382</v>
      </c>
      <c r="B451" s="4">
        <v>9398753</v>
      </c>
      <c r="C451" s="3">
        <v>3.7999999999999999E-2</v>
      </c>
      <c r="D451" s="3">
        <f t="shared" si="7"/>
        <v>0.7</v>
      </c>
      <c r="E451" s="1">
        <v>0.3</v>
      </c>
      <c r="F451" s="2">
        <v>0.31</v>
      </c>
      <c r="G451" s="2">
        <v>0.49</v>
      </c>
      <c r="H451" s="2">
        <v>0.2</v>
      </c>
    </row>
    <row r="452" spans="1:8" x14ac:dyDescent="0.25">
      <c r="A452" s="1">
        <v>385</v>
      </c>
      <c r="B452" s="4">
        <v>9490130</v>
      </c>
      <c r="C452" s="3">
        <v>3.7999999999999999E-2</v>
      </c>
      <c r="D452" s="3">
        <f t="shared" si="7"/>
        <v>0.7</v>
      </c>
      <c r="E452" s="1">
        <v>0.3</v>
      </c>
      <c r="F452" s="2">
        <v>0.1</v>
      </c>
      <c r="G452" s="2">
        <v>0.4</v>
      </c>
      <c r="H452" s="2">
        <v>0.5</v>
      </c>
    </row>
    <row r="453" spans="1:8" x14ac:dyDescent="0.25">
      <c r="A453" s="1">
        <v>931</v>
      </c>
      <c r="B453" s="4">
        <v>845513</v>
      </c>
      <c r="C453" s="3">
        <v>3.7999999999999999E-2</v>
      </c>
      <c r="D453" s="3">
        <f t="shared" si="7"/>
        <v>0.4</v>
      </c>
      <c r="E453" s="1">
        <v>0.6</v>
      </c>
      <c r="F453" s="2">
        <v>0.39</v>
      </c>
      <c r="G453" s="2">
        <v>0.33</v>
      </c>
      <c r="H453" s="2">
        <v>0.27999999999999992</v>
      </c>
    </row>
    <row r="454" spans="1:8" x14ac:dyDescent="0.25">
      <c r="A454" s="1">
        <v>952</v>
      </c>
      <c r="B454" s="4">
        <v>296798</v>
      </c>
      <c r="C454" s="3">
        <v>3.7999999999999999E-2</v>
      </c>
      <c r="D454" s="3">
        <f t="shared" si="7"/>
        <v>0.4</v>
      </c>
      <c r="E454" s="1">
        <v>0.6</v>
      </c>
      <c r="F454" s="2">
        <v>0.2</v>
      </c>
      <c r="G454" s="2">
        <v>0.23</v>
      </c>
      <c r="H454" s="2">
        <v>0.57000000000000006</v>
      </c>
    </row>
    <row r="455" spans="1:8" x14ac:dyDescent="0.25">
      <c r="A455" s="1">
        <v>441</v>
      </c>
      <c r="B455" s="4">
        <v>5862118</v>
      </c>
      <c r="C455" s="3">
        <v>3.7900000000000003E-2</v>
      </c>
      <c r="D455" s="3">
        <f t="shared" si="7"/>
        <v>0.6</v>
      </c>
      <c r="E455" s="1">
        <v>0.4</v>
      </c>
      <c r="F455" s="2">
        <v>0.2</v>
      </c>
      <c r="G455" s="2">
        <v>0.34</v>
      </c>
      <c r="H455" s="2">
        <v>0.45999999999999991</v>
      </c>
    </row>
    <row r="456" spans="1:8" x14ac:dyDescent="0.25">
      <c r="A456" s="1">
        <v>562</v>
      </c>
      <c r="B456" s="4">
        <v>1261119</v>
      </c>
      <c r="C456" s="3">
        <v>3.7900000000000003E-2</v>
      </c>
      <c r="D456" s="3">
        <f t="shared" si="7"/>
        <v>0.4</v>
      </c>
      <c r="E456" s="1">
        <v>0.6</v>
      </c>
      <c r="F456" s="2">
        <v>0.34</v>
      </c>
      <c r="G456" s="2">
        <v>0.37</v>
      </c>
      <c r="H456" s="2">
        <v>0.28999999999999998</v>
      </c>
    </row>
    <row r="457" spans="1:8" x14ac:dyDescent="0.25">
      <c r="A457" s="1">
        <v>817</v>
      </c>
      <c r="B457" s="4">
        <v>5431253</v>
      </c>
      <c r="C457" s="3">
        <v>3.7900000000000003E-2</v>
      </c>
      <c r="D457" s="3">
        <f t="shared" si="7"/>
        <v>0.6</v>
      </c>
      <c r="E457" s="1">
        <v>0.4</v>
      </c>
      <c r="F457" s="2">
        <v>0.17</v>
      </c>
      <c r="G457" s="2">
        <v>0.4</v>
      </c>
      <c r="H457" s="2">
        <v>0.42999999999999994</v>
      </c>
    </row>
    <row r="458" spans="1:8" x14ac:dyDescent="0.25">
      <c r="A458" s="1">
        <v>843</v>
      </c>
      <c r="B458" s="4">
        <v>929817</v>
      </c>
      <c r="C458" s="3">
        <v>3.7900000000000003E-2</v>
      </c>
      <c r="D458" s="3">
        <f t="shared" si="7"/>
        <v>0.4</v>
      </c>
      <c r="E458" s="1">
        <v>0.6</v>
      </c>
      <c r="F458" s="2">
        <v>0.38</v>
      </c>
      <c r="G458" s="2">
        <v>0.44</v>
      </c>
      <c r="H458" s="2">
        <v>0.18000000000000005</v>
      </c>
    </row>
    <row r="459" spans="1:8" x14ac:dyDescent="0.25">
      <c r="A459" s="1">
        <v>246</v>
      </c>
      <c r="B459" s="4">
        <v>9050313</v>
      </c>
      <c r="C459" s="3">
        <v>3.78E-2</v>
      </c>
      <c r="D459" s="3">
        <f t="shared" si="7"/>
        <v>0.7</v>
      </c>
      <c r="E459" s="1">
        <v>0.3</v>
      </c>
      <c r="F459" s="2">
        <v>0.35</v>
      </c>
      <c r="G459" s="2">
        <v>0.33</v>
      </c>
      <c r="H459" s="2">
        <v>0.31999999999999995</v>
      </c>
    </row>
    <row r="460" spans="1:8" x14ac:dyDescent="0.25">
      <c r="A460" s="1">
        <v>340</v>
      </c>
      <c r="B460" s="4">
        <v>695416</v>
      </c>
      <c r="C460" s="3">
        <v>3.78E-2</v>
      </c>
      <c r="D460" s="3">
        <f t="shared" si="7"/>
        <v>0.4</v>
      </c>
      <c r="E460" s="1">
        <v>0.6</v>
      </c>
      <c r="F460" s="2">
        <v>0.25</v>
      </c>
      <c r="G460" s="2">
        <v>0.48</v>
      </c>
      <c r="H460" s="2">
        <v>0.27</v>
      </c>
    </row>
    <row r="461" spans="1:8" x14ac:dyDescent="0.25">
      <c r="A461" s="1">
        <v>682</v>
      </c>
      <c r="B461" s="4">
        <v>5584188</v>
      </c>
      <c r="C461" s="3">
        <v>3.78E-2</v>
      </c>
      <c r="D461" s="3">
        <f t="shared" si="7"/>
        <v>0.6</v>
      </c>
      <c r="E461" s="1">
        <v>0.4</v>
      </c>
      <c r="F461" s="2">
        <v>0.34</v>
      </c>
      <c r="G461" s="2">
        <v>0.21</v>
      </c>
      <c r="H461" s="2">
        <v>0.45</v>
      </c>
    </row>
    <row r="462" spans="1:8" x14ac:dyDescent="0.25">
      <c r="A462" s="1">
        <v>557</v>
      </c>
      <c r="B462" s="4">
        <v>9787371</v>
      </c>
      <c r="C462" s="3">
        <v>3.7699999999999997E-2</v>
      </c>
      <c r="D462" s="3">
        <f t="shared" si="7"/>
        <v>0.7</v>
      </c>
      <c r="E462" s="1">
        <v>0.3</v>
      </c>
      <c r="F462" s="2">
        <v>0.39</v>
      </c>
      <c r="G462" s="2">
        <v>0.49</v>
      </c>
      <c r="H462" s="2">
        <v>0.12</v>
      </c>
    </row>
    <row r="463" spans="1:8" x14ac:dyDescent="0.25">
      <c r="A463" s="1">
        <v>175</v>
      </c>
      <c r="B463" s="4">
        <v>7977811</v>
      </c>
      <c r="C463" s="3">
        <v>3.7599999999999995E-2</v>
      </c>
      <c r="D463" s="3">
        <f t="shared" si="7"/>
        <v>0.7</v>
      </c>
      <c r="E463" s="1">
        <v>0.3</v>
      </c>
      <c r="F463" s="2">
        <v>0.37</v>
      </c>
      <c r="G463" s="2">
        <v>0.2</v>
      </c>
      <c r="H463" s="2">
        <v>0.43000000000000005</v>
      </c>
    </row>
    <row r="464" spans="1:8" x14ac:dyDescent="0.25">
      <c r="A464" s="1">
        <v>869</v>
      </c>
      <c r="B464" s="4">
        <v>1311271</v>
      </c>
      <c r="C464" s="3">
        <v>3.7599999999999995E-2</v>
      </c>
      <c r="D464" s="3">
        <f t="shared" si="7"/>
        <v>0.4</v>
      </c>
      <c r="E464" s="1">
        <v>0.6</v>
      </c>
      <c r="F464" s="2">
        <v>0.31</v>
      </c>
      <c r="G464" s="2">
        <v>0.27</v>
      </c>
      <c r="H464" s="2">
        <v>0.42</v>
      </c>
    </row>
    <row r="465" spans="1:8" x14ac:dyDescent="0.25">
      <c r="A465" s="1">
        <v>195</v>
      </c>
      <c r="B465" s="4">
        <v>5532166</v>
      </c>
      <c r="C465" s="3">
        <v>3.7499999999999999E-2</v>
      </c>
      <c r="D465" s="3">
        <f t="shared" si="7"/>
        <v>0.6</v>
      </c>
      <c r="E465" s="1">
        <v>0.4</v>
      </c>
      <c r="F465" s="2">
        <v>0.44</v>
      </c>
      <c r="G465" s="2">
        <v>0.48</v>
      </c>
      <c r="H465" s="2">
        <v>8.0000000000000016E-2</v>
      </c>
    </row>
    <row r="466" spans="1:8" x14ac:dyDescent="0.25">
      <c r="A466" s="1">
        <v>249</v>
      </c>
      <c r="B466" s="4">
        <v>7736390</v>
      </c>
      <c r="C466" s="3">
        <v>3.7499999999999999E-2</v>
      </c>
      <c r="D466" s="3">
        <f t="shared" si="7"/>
        <v>0.7</v>
      </c>
      <c r="E466" s="1">
        <v>0.3</v>
      </c>
      <c r="F466" s="2">
        <v>0.1</v>
      </c>
      <c r="G466" s="2">
        <v>0.2</v>
      </c>
      <c r="H466" s="2">
        <v>0.70000000000000007</v>
      </c>
    </row>
    <row r="467" spans="1:8" x14ac:dyDescent="0.25">
      <c r="A467" s="1">
        <v>413</v>
      </c>
      <c r="B467" s="4">
        <v>6201993</v>
      </c>
      <c r="C467" s="3">
        <v>3.7499999999999999E-2</v>
      </c>
      <c r="D467" s="3">
        <f t="shared" si="7"/>
        <v>0.6</v>
      </c>
      <c r="E467" s="1">
        <v>0.4</v>
      </c>
      <c r="F467" s="2">
        <v>0.13</v>
      </c>
      <c r="G467" s="2">
        <v>0.3</v>
      </c>
      <c r="H467" s="2">
        <v>0.56999999999999995</v>
      </c>
    </row>
    <row r="468" spans="1:8" x14ac:dyDescent="0.25">
      <c r="A468" s="1">
        <v>913</v>
      </c>
      <c r="B468" s="4">
        <v>2124353</v>
      </c>
      <c r="C468" s="3">
        <v>3.7499999999999999E-2</v>
      </c>
      <c r="D468" s="3">
        <f t="shared" si="7"/>
        <v>0.4</v>
      </c>
      <c r="E468" s="1">
        <v>0.6</v>
      </c>
      <c r="F468" s="2">
        <v>0.34</v>
      </c>
      <c r="G468" s="2">
        <v>0.41</v>
      </c>
      <c r="H468" s="2">
        <v>0.25000000000000006</v>
      </c>
    </row>
    <row r="469" spans="1:8" x14ac:dyDescent="0.25">
      <c r="A469" s="1">
        <v>29</v>
      </c>
      <c r="B469" s="4">
        <v>2756984</v>
      </c>
      <c r="C469" s="3">
        <v>3.7400000000000003E-2</v>
      </c>
      <c r="D469" s="3">
        <f t="shared" si="7"/>
        <v>0.4</v>
      </c>
      <c r="E469" s="1">
        <v>0.6</v>
      </c>
      <c r="F469" s="2">
        <v>0.27</v>
      </c>
      <c r="G469" s="2">
        <v>0.35</v>
      </c>
      <c r="H469" s="2">
        <v>0.38</v>
      </c>
    </row>
    <row r="470" spans="1:8" x14ac:dyDescent="0.25">
      <c r="A470" s="1">
        <v>226</v>
      </c>
      <c r="B470" s="4">
        <v>7167936</v>
      </c>
      <c r="C470" s="3">
        <v>3.7400000000000003E-2</v>
      </c>
      <c r="D470" s="3">
        <f t="shared" si="7"/>
        <v>0.7</v>
      </c>
      <c r="E470" s="1">
        <v>0.3</v>
      </c>
      <c r="F470" s="2">
        <v>0.2</v>
      </c>
      <c r="G470" s="2">
        <v>0.33</v>
      </c>
      <c r="H470" s="2">
        <v>0.46999999999999992</v>
      </c>
    </row>
    <row r="471" spans="1:8" x14ac:dyDescent="0.25">
      <c r="A471" s="1">
        <v>494</v>
      </c>
      <c r="B471" s="4">
        <v>8426324</v>
      </c>
      <c r="C471" s="3">
        <v>3.7400000000000003E-2</v>
      </c>
      <c r="D471" s="3">
        <f t="shared" si="7"/>
        <v>0.7</v>
      </c>
      <c r="E471" s="1">
        <v>0.3</v>
      </c>
      <c r="F471" s="2">
        <v>0.19</v>
      </c>
      <c r="G471" s="2">
        <v>0.2</v>
      </c>
      <c r="H471" s="2">
        <v>0.6100000000000001</v>
      </c>
    </row>
    <row r="472" spans="1:8" x14ac:dyDescent="0.25">
      <c r="A472" s="1">
        <v>1002</v>
      </c>
      <c r="B472" s="4">
        <v>6417708</v>
      </c>
      <c r="C472" s="3">
        <v>3.7400000000000003E-2</v>
      </c>
      <c r="D472" s="3">
        <f t="shared" si="7"/>
        <v>0.6</v>
      </c>
      <c r="E472" s="1">
        <v>0.4</v>
      </c>
      <c r="F472" s="2">
        <v>0.38</v>
      </c>
      <c r="G472" s="2">
        <v>0.3</v>
      </c>
      <c r="H472" s="2">
        <v>0.31999999999999995</v>
      </c>
    </row>
    <row r="473" spans="1:8" x14ac:dyDescent="0.25">
      <c r="A473" s="1">
        <v>129</v>
      </c>
      <c r="B473" s="4">
        <v>9170364</v>
      </c>
      <c r="C473" s="3">
        <v>3.73E-2</v>
      </c>
      <c r="D473" s="3">
        <f t="shared" si="7"/>
        <v>0.7</v>
      </c>
      <c r="E473" s="1">
        <v>0.3</v>
      </c>
      <c r="F473" s="2">
        <v>0.13</v>
      </c>
      <c r="G473" s="2">
        <v>0.32</v>
      </c>
      <c r="H473" s="2">
        <v>0.54999999999999993</v>
      </c>
    </row>
    <row r="474" spans="1:8" x14ac:dyDescent="0.25">
      <c r="A474" s="1">
        <v>355</v>
      </c>
      <c r="B474" s="4">
        <v>4152504</v>
      </c>
      <c r="C474" s="3">
        <v>3.73E-2</v>
      </c>
      <c r="D474" s="3">
        <f t="shared" si="7"/>
        <v>0.6</v>
      </c>
      <c r="E474" s="1">
        <v>0.4</v>
      </c>
      <c r="F474" s="2">
        <v>0.24</v>
      </c>
      <c r="G474" s="2">
        <v>0.46</v>
      </c>
      <c r="H474" s="2">
        <v>0.30000000000000004</v>
      </c>
    </row>
    <row r="475" spans="1:8" x14ac:dyDescent="0.25">
      <c r="A475" s="1">
        <v>825</v>
      </c>
      <c r="B475" s="4">
        <v>5142115</v>
      </c>
      <c r="C475" s="3">
        <v>3.73E-2</v>
      </c>
      <c r="D475" s="3">
        <f t="shared" si="7"/>
        <v>0.6</v>
      </c>
      <c r="E475" s="1">
        <v>0.4</v>
      </c>
      <c r="F475" s="2">
        <v>0.1</v>
      </c>
      <c r="G475" s="2">
        <v>0.28999999999999998</v>
      </c>
      <c r="H475" s="2">
        <v>0.61</v>
      </c>
    </row>
    <row r="476" spans="1:8" x14ac:dyDescent="0.25">
      <c r="A476" s="1">
        <v>703</v>
      </c>
      <c r="B476" s="4">
        <v>4432498</v>
      </c>
      <c r="C476" s="3">
        <v>3.7200000000000004E-2</v>
      </c>
      <c r="D476" s="3">
        <f t="shared" si="7"/>
        <v>0.6</v>
      </c>
      <c r="E476" s="1">
        <v>0.4</v>
      </c>
      <c r="F476" s="2">
        <v>0.39</v>
      </c>
      <c r="G476" s="2">
        <v>0.28999999999999998</v>
      </c>
      <c r="H476" s="2">
        <v>0.31999999999999995</v>
      </c>
    </row>
    <row r="477" spans="1:8" x14ac:dyDescent="0.25">
      <c r="A477" s="1">
        <v>891</v>
      </c>
      <c r="B477" s="4">
        <v>1205838</v>
      </c>
      <c r="C477" s="3">
        <v>3.7200000000000004E-2</v>
      </c>
      <c r="D477" s="3">
        <f t="shared" si="7"/>
        <v>0.4</v>
      </c>
      <c r="E477" s="1">
        <v>0.6</v>
      </c>
      <c r="F477" s="2">
        <v>0.18</v>
      </c>
      <c r="G477" s="2">
        <v>0.3</v>
      </c>
      <c r="H477" s="2">
        <v>0.52</v>
      </c>
    </row>
    <row r="478" spans="1:8" x14ac:dyDescent="0.25">
      <c r="A478" s="1">
        <v>456</v>
      </c>
      <c r="B478" s="4">
        <v>921859</v>
      </c>
      <c r="C478" s="3">
        <v>3.7100000000000001E-2</v>
      </c>
      <c r="D478" s="3">
        <f t="shared" si="7"/>
        <v>0.4</v>
      </c>
      <c r="E478" s="1">
        <v>0.6</v>
      </c>
      <c r="F478" s="2">
        <v>0.39</v>
      </c>
      <c r="G478" s="2">
        <v>0.26</v>
      </c>
      <c r="H478" s="2">
        <v>0.35</v>
      </c>
    </row>
    <row r="479" spans="1:8" x14ac:dyDescent="0.25">
      <c r="A479" s="1">
        <v>475</v>
      </c>
      <c r="B479" s="4">
        <v>6853839</v>
      </c>
      <c r="C479" s="3">
        <v>3.7100000000000001E-2</v>
      </c>
      <c r="D479" s="3">
        <f t="shared" si="7"/>
        <v>0.6</v>
      </c>
      <c r="E479" s="1">
        <v>0.4</v>
      </c>
      <c r="F479" s="2">
        <v>0.1</v>
      </c>
      <c r="G479" s="2">
        <v>0.45</v>
      </c>
      <c r="H479" s="2">
        <v>0.45000000000000007</v>
      </c>
    </row>
    <row r="480" spans="1:8" x14ac:dyDescent="0.25">
      <c r="A480" s="1">
        <v>733</v>
      </c>
      <c r="B480" s="4">
        <v>3179558</v>
      </c>
      <c r="C480" s="3">
        <v>3.7100000000000001E-2</v>
      </c>
      <c r="D480" s="3">
        <f t="shared" si="7"/>
        <v>0.6</v>
      </c>
      <c r="E480" s="1">
        <v>0.4</v>
      </c>
      <c r="F480" s="2">
        <v>0.34</v>
      </c>
      <c r="G480" s="2">
        <v>0.45</v>
      </c>
      <c r="H480" s="2">
        <v>0.21000000000000002</v>
      </c>
    </row>
    <row r="481" spans="1:8" x14ac:dyDescent="0.25">
      <c r="A481" s="1">
        <v>21</v>
      </c>
      <c r="B481" s="4">
        <v>5024211</v>
      </c>
      <c r="C481" s="3">
        <v>3.7000000000000005E-2</v>
      </c>
      <c r="D481" s="3">
        <f t="shared" si="7"/>
        <v>0.6</v>
      </c>
      <c r="E481" s="1">
        <v>0.4</v>
      </c>
      <c r="F481" s="2">
        <v>0.17</v>
      </c>
      <c r="G481" s="2">
        <v>0.31</v>
      </c>
      <c r="H481" s="2">
        <v>0.51999999999999991</v>
      </c>
    </row>
    <row r="482" spans="1:8" x14ac:dyDescent="0.25">
      <c r="A482" s="1">
        <v>405</v>
      </c>
      <c r="B482" s="4">
        <v>2496562</v>
      </c>
      <c r="C482" s="3">
        <v>3.7000000000000005E-2</v>
      </c>
      <c r="D482" s="3">
        <f t="shared" si="7"/>
        <v>0.4</v>
      </c>
      <c r="E482" s="1">
        <v>0.6</v>
      </c>
      <c r="F482" s="2">
        <v>0.45</v>
      </c>
      <c r="G482" s="2">
        <v>0.48</v>
      </c>
      <c r="H482" s="2">
        <v>7.0000000000000007E-2</v>
      </c>
    </row>
    <row r="483" spans="1:8" x14ac:dyDescent="0.25">
      <c r="A483" s="1">
        <v>425</v>
      </c>
      <c r="B483" s="4">
        <v>1404714</v>
      </c>
      <c r="C483" s="3">
        <v>3.7000000000000005E-2</v>
      </c>
      <c r="D483" s="3">
        <f t="shared" si="7"/>
        <v>0.4</v>
      </c>
      <c r="E483" s="1">
        <v>0.6</v>
      </c>
      <c r="F483" s="2">
        <v>0.14000000000000001</v>
      </c>
      <c r="G483" s="2">
        <v>0.31</v>
      </c>
      <c r="H483" s="2">
        <v>0.54999999999999993</v>
      </c>
    </row>
    <row r="484" spans="1:8" x14ac:dyDescent="0.25">
      <c r="A484" s="1">
        <v>177</v>
      </c>
      <c r="B484" s="4">
        <v>7716493</v>
      </c>
      <c r="C484" s="3">
        <v>3.6799999999999999E-2</v>
      </c>
      <c r="D484" s="3">
        <f t="shared" si="7"/>
        <v>0.7</v>
      </c>
      <c r="E484" s="1">
        <v>0.3</v>
      </c>
      <c r="F484" s="2">
        <v>0.36</v>
      </c>
      <c r="G484" s="2">
        <v>0.36</v>
      </c>
      <c r="H484" s="2">
        <v>0.28000000000000003</v>
      </c>
    </row>
    <row r="485" spans="1:8" x14ac:dyDescent="0.25">
      <c r="A485" s="1">
        <v>208</v>
      </c>
      <c r="B485" s="4">
        <v>3934007</v>
      </c>
      <c r="C485" s="3">
        <v>3.6799999999999999E-2</v>
      </c>
      <c r="D485" s="3">
        <f t="shared" si="7"/>
        <v>0.6</v>
      </c>
      <c r="E485" s="1">
        <v>0.4</v>
      </c>
      <c r="F485" s="2">
        <v>0.33</v>
      </c>
      <c r="G485" s="2">
        <v>0.4</v>
      </c>
      <c r="H485" s="2">
        <v>0.26999999999999996</v>
      </c>
    </row>
    <row r="486" spans="1:8" x14ac:dyDescent="0.25">
      <c r="A486" s="1">
        <v>319</v>
      </c>
      <c r="B486" s="4">
        <v>2918604</v>
      </c>
      <c r="C486" s="3">
        <v>3.6699999999999997E-2</v>
      </c>
      <c r="D486" s="3">
        <f t="shared" si="7"/>
        <v>0.4</v>
      </c>
      <c r="E486" s="1">
        <v>0.6</v>
      </c>
      <c r="F486" s="2">
        <v>0.13</v>
      </c>
      <c r="G486" s="2">
        <v>0.28000000000000003</v>
      </c>
      <c r="H486" s="2">
        <v>0.59</v>
      </c>
    </row>
    <row r="487" spans="1:8" x14ac:dyDescent="0.25">
      <c r="A487" s="1">
        <v>167</v>
      </c>
      <c r="B487" s="4">
        <v>1239149</v>
      </c>
      <c r="C487" s="3">
        <v>3.6600000000000001E-2</v>
      </c>
      <c r="D487" s="3">
        <f t="shared" si="7"/>
        <v>0.4</v>
      </c>
      <c r="E487" s="1">
        <v>0.6</v>
      </c>
      <c r="F487" s="2">
        <v>0.32</v>
      </c>
      <c r="G487" s="2">
        <v>0.2</v>
      </c>
      <c r="H487" s="2">
        <v>0.48000000000000004</v>
      </c>
    </row>
    <row r="488" spans="1:8" x14ac:dyDescent="0.25">
      <c r="A488" s="1">
        <v>378</v>
      </c>
      <c r="B488" s="4">
        <v>5980908</v>
      </c>
      <c r="C488" s="3">
        <v>3.6499999999999998E-2</v>
      </c>
      <c r="D488" s="3">
        <f t="shared" si="7"/>
        <v>0.6</v>
      </c>
      <c r="E488" s="1">
        <v>0.4</v>
      </c>
      <c r="F488" s="2">
        <v>0.25</v>
      </c>
      <c r="G488" s="2">
        <v>0.24</v>
      </c>
      <c r="H488" s="2">
        <v>0.51</v>
      </c>
    </row>
    <row r="489" spans="1:8" x14ac:dyDescent="0.25">
      <c r="A489" s="1">
        <v>916</v>
      </c>
      <c r="B489" s="4">
        <v>220701</v>
      </c>
      <c r="C489" s="3">
        <v>3.6400000000000002E-2</v>
      </c>
      <c r="D489" s="3">
        <f t="shared" si="7"/>
        <v>0.4</v>
      </c>
      <c r="E489" s="1">
        <v>0.6</v>
      </c>
      <c r="F489" s="2">
        <v>0.15</v>
      </c>
      <c r="G489" s="2">
        <v>0.2</v>
      </c>
      <c r="H489" s="2">
        <v>0.65</v>
      </c>
    </row>
    <row r="490" spans="1:8" x14ac:dyDescent="0.25">
      <c r="A490" s="1">
        <v>152</v>
      </c>
      <c r="B490" s="4">
        <v>8720840</v>
      </c>
      <c r="C490" s="3">
        <v>3.6299999999999999E-2</v>
      </c>
      <c r="D490" s="3">
        <f t="shared" si="7"/>
        <v>0.7</v>
      </c>
      <c r="E490" s="1">
        <v>0.3</v>
      </c>
      <c r="F490" s="2">
        <v>0.22</v>
      </c>
      <c r="G490" s="2">
        <v>0.42</v>
      </c>
      <c r="H490" s="2">
        <v>0.3600000000000001</v>
      </c>
    </row>
    <row r="491" spans="1:8" x14ac:dyDescent="0.25">
      <c r="A491" s="1">
        <v>455</v>
      </c>
      <c r="B491" s="4">
        <v>1698134</v>
      </c>
      <c r="C491" s="3">
        <v>3.6299999999999999E-2</v>
      </c>
      <c r="D491" s="3">
        <f t="shared" si="7"/>
        <v>0.4</v>
      </c>
      <c r="E491" s="1">
        <v>0.6</v>
      </c>
      <c r="F491" s="2">
        <v>0.37</v>
      </c>
      <c r="G491" s="2">
        <v>0.27</v>
      </c>
      <c r="H491" s="2">
        <v>0.36</v>
      </c>
    </row>
    <row r="492" spans="1:8" x14ac:dyDescent="0.25">
      <c r="A492" s="1">
        <v>569</v>
      </c>
      <c r="B492" s="4">
        <v>7465131</v>
      </c>
      <c r="C492" s="3">
        <v>3.6299999999999999E-2</v>
      </c>
      <c r="D492" s="3">
        <f t="shared" si="7"/>
        <v>0.7</v>
      </c>
      <c r="E492" s="1">
        <v>0.3</v>
      </c>
      <c r="F492" s="2">
        <v>0.1</v>
      </c>
      <c r="G492" s="2">
        <v>0.2</v>
      </c>
      <c r="H492" s="2">
        <v>0.70000000000000007</v>
      </c>
    </row>
    <row r="493" spans="1:8" x14ac:dyDescent="0.25">
      <c r="A493" s="1">
        <v>651</v>
      </c>
      <c r="B493" s="4">
        <v>797468</v>
      </c>
      <c r="C493" s="3">
        <v>3.6299999999999999E-2</v>
      </c>
      <c r="D493" s="3">
        <f t="shared" si="7"/>
        <v>0.4</v>
      </c>
      <c r="E493" s="1">
        <v>0.6</v>
      </c>
      <c r="F493" s="2">
        <v>0.37</v>
      </c>
      <c r="G493" s="2">
        <v>0.39</v>
      </c>
      <c r="H493" s="2">
        <v>0.24</v>
      </c>
    </row>
    <row r="494" spans="1:8" x14ac:dyDescent="0.25">
      <c r="A494" s="1">
        <v>961</v>
      </c>
      <c r="B494" s="4">
        <v>5521263</v>
      </c>
      <c r="C494" s="3">
        <v>3.6299999999999999E-2</v>
      </c>
      <c r="D494" s="3">
        <f t="shared" si="7"/>
        <v>0.6</v>
      </c>
      <c r="E494" s="1">
        <v>0.4</v>
      </c>
      <c r="F494" s="2">
        <v>0.34</v>
      </c>
      <c r="G494" s="2">
        <v>0.3</v>
      </c>
      <c r="H494" s="2">
        <v>0.35999999999999993</v>
      </c>
    </row>
    <row r="495" spans="1:8" x14ac:dyDescent="0.25">
      <c r="A495" s="1">
        <v>552</v>
      </c>
      <c r="B495" s="4">
        <v>4423844</v>
      </c>
      <c r="C495" s="3">
        <v>3.6200000000000003E-2</v>
      </c>
      <c r="D495" s="3">
        <f t="shared" si="7"/>
        <v>0.6</v>
      </c>
      <c r="E495" s="1">
        <v>0.4</v>
      </c>
      <c r="F495" s="2">
        <v>0.16</v>
      </c>
      <c r="G495" s="2">
        <v>0.4</v>
      </c>
      <c r="H495" s="2">
        <v>0.43999999999999995</v>
      </c>
    </row>
    <row r="496" spans="1:8" x14ac:dyDescent="0.25">
      <c r="A496" s="1">
        <v>665</v>
      </c>
      <c r="B496" s="4">
        <v>9564781</v>
      </c>
      <c r="C496" s="3">
        <v>3.6200000000000003E-2</v>
      </c>
      <c r="D496" s="3">
        <f t="shared" si="7"/>
        <v>0.7</v>
      </c>
      <c r="E496" s="1">
        <v>0.3</v>
      </c>
      <c r="F496" s="2">
        <v>0.17</v>
      </c>
      <c r="G496" s="2">
        <v>0.32</v>
      </c>
      <c r="H496" s="2">
        <v>0.5099999999999999</v>
      </c>
    </row>
    <row r="497" spans="1:8" x14ac:dyDescent="0.25">
      <c r="A497" s="1">
        <v>693</v>
      </c>
      <c r="B497" s="4">
        <v>5671415</v>
      </c>
      <c r="C497" s="3">
        <v>3.6200000000000003E-2</v>
      </c>
      <c r="D497" s="3">
        <f t="shared" si="7"/>
        <v>0.6</v>
      </c>
      <c r="E497" s="1">
        <v>0.4</v>
      </c>
      <c r="F497" s="2">
        <v>0.45</v>
      </c>
      <c r="G497" s="2">
        <v>0.25</v>
      </c>
      <c r="H497" s="2">
        <v>0.3</v>
      </c>
    </row>
    <row r="498" spans="1:8" x14ac:dyDescent="0.25">
      <c r="A498" s="1">
        <v>598</v>
      </c>
      <c r="B498" s="4">
        <v>7218117</v>
      </c>
      <c r="C498" s="3">
        <v>3.61E-2</v>
      </c>
      <c r="D498" s="3">
        <f t="shared" si="7"/>
        <v>0.7</v>
      </c>
      <c r="E498" s="1">
        <v>0.3</v>
      </c>
      <c r="F498" s="2">
        <v>0.44</v>
      </c>
      <c r="G498" s="2">
        <v>0.45</v>
      </c>
      <c r="H498" s="2">
        <v>0.11000000000000004</v>
      </c>
    </row>
    <row r="499" spans="1:8" x14ac:dyDescent="0.25">
      <c r="A499" s="1">
        <v>721</v>
      </c>
      <c r="B499" s="4">
        <v>7207327</v>
      </c>
      <c r="C499" s="3">
        <v>3.61E-2</v>
      </c>
      <c r="D499" s="3">
        <f t="shared" si="7"/>
        <v>0.7</v>
      </c>
      <c r="E499" s="1">
        <v>0.3</v>
      </c>
      <c r="F499" s="2">
        <v>0.26</v>
      </c>
      <c r="G499" s="2">
        <v>0.24</v>
      </c>
      <c r="H499" s="2">
        <v>0.5</v>
      </c>
    </row>
    <row r="500" spans="1:8" x14ac:dyDescent="0.25">
      <c r="A500" s="1">
        <v>1024</v>
      </c>
      <c r="B500" s="4">
        <v>3005698</v>
      </c>
      <c r="C500" s="3">
        <v>3.61E-2</v>
      </c>
      <c r="D500" s="3">
        <f t="shared" si="7"/>
        <v>0.6</v>
      </c>
      <c r="E500" s="1">
        <v>0.4</v>
      </c>
      <c r="F500" s="2">
        <v>0.43</v>
      </c>
      <c r="G500" s="2">
        <v>0.37</v>
      </c>
      <c r="H500" s="2">
        <v>0.2</v>
      </c>
    </row>
    <row r="501" spans="1:8" x14ac:dyDescent="0.25">
      <c r="A501" s="1">
        <v>615</v>
      </c>
      <c r="B501" s="4">
        <v>1949768</v>
      </c>
      <c r="C501" s="3">
        <v>3.6000000000000004E-2</v>
      </c>
      <c r="D501" s="3">
        <f t="shared" si="7"/>
        <v>0.4</v>
      </c>
      <c r="E501" s="1">
        <v>0.6</v>
      </c>
      <c r="F501" s="2">
        <v>0.21</v>
      </c>
      <c r="G501" s="2">
        <v>0.34</v>
      </c>
      <c r="H501" s="2">
        <v>0.44999999999999996</v>
      </c>
    </row>
    <row r="502" spans="1:8" x14ac:dyDescent="0.25">
      <c r="A502" s="1">
        <v>739</v>
      </c>
      <c r="B502" s="4">
        <v>7869266</v>
      </c>
      <c r="C502" s="3">
        <v>3.6000000000000004E-2</v>
      </c>
      <c r="D502" s="3">
        <f t="shared" si="7"/>
        <v>0.7</v>
      </c>
      <c r="E502" s="1">
        <v>0.3</v>
      </c>
      <c r="F502" s="2">
        <v>0.43</v>
      </c>
      <c r="G502" s="2">
        <v>0.38</v>
      </c>
      <c r="H502" s="2">
        <v>0.19</v>
      </c>
    </row>
    <row r="503" spans="1:8" x14ac:dyDescent="0.25">
      <c r="A503" s="1">
        <v>150</v>
      </c>
      <c r="B503" s="4">
        <v>3855506</v>
      </c>
      <c r="C503" s="3">
        <v>3.5900000000000001E-2</v>
      </c>
      <c r="D503" s="3">
        <f t="shared" si="7"/>
        <v>0.6</v>
      </c>
      <c r="E503" s="1">
        <v>0.4</v>
      </c>
      <c r="F503" s="2">
        <v>0.22</v>
      </c>
      <c r="G503" s="2">
        <v>0.23</v>
      </c>
      <c r="H503" s="2">
        <v>0.55000000000000004</v>
      </c>
    </row>
    <row r="504" spans="1:8" x14ac:dyDescent="0.25">
      <c r="A504" s="1">
        <v>541</v>
      </c>
      <c r="B504" s="4">
        <v>1485817</v>
      </c>
      <c r="C504" s="3">
        <v>3.5900000000000001E-2</v>
      </c>
      <c r="D504" s="3">
        <f t="shared" si="7"/>
        <v>0.4</v>
      </c>
      <c r="E504" s="1">
        <v>0.6</v>
      </c>
      <c r="F504" s="2">
        <v>0.11</v>
      </c>
      <c r="G504" s="2">
        <v>0.3</v>
      </c>
      <c r="H504" s="2">
        <v>0.59</v>
      </c>
    </row>
    <row r="505" spans="1:8" x14ac:dyDescent="0.25">
      <c r="A505" s="1">
        <v>758</v>
      </c>
      <c r="B505" s="4">
        <v>7741733</v>
      </c>
      <c r="C505" s="3">
        <v>3.5900000000000001E-2</v>
      </c>
      <c r="D505" s="3">
        <f t="shared" si="7"/>
        <v>0.7</v>
      </c>
      <c r="E505" s="1">
        <v>0.3</v>
      </c>
      <c r="F505" s="2">
        <v>0.35</v>
      </c>
      <c r="G505" s="2">
        <v>0.28999999999999998</v>
      </c>
      <c r="H505" s="2">
        <v>0.36</v>
      </c>
    </row>
    <row r="506" spans="1:8" x14ac:dyDescent="0.25">
      <c r="A506" s="1">
        <v>234</v>
      </c>
      <c r="B506" s="4">
        <v>8496614</v>
      </c>
      <c r="C506" s="3">
        <v>3.5799999999999998E-2</v>
      </c>
      <c r="D506" s="3">
        <f t="shared" si="7"/>
        <v>0.7</v>
      </c>
      <c r="E506" s="1">
        <v>0.3</v>
      </c>
      <c r="F506" s="2">
        <v>0.19</v>
      </c>
      <c r="G506" s="2">
        <v>0.47</v>
      </c>
      <c r="H506" s="2">
        <v>0.34</v>
      </c>
    </row>
    <row r="507" spans="1:8" x14ac:dyDescent="0.25">
      <c r="A507" s="1">
        <v>434</v>
      </c>
      <c r="B507" s="4">
        <v>8800999</v>
      </c>
      <c r="C507" s="3">
        <v>3.5799999999999998E-2</v>
      </c>
      <c r="D507" s="3">
        <f t="shared" si="7"/>
        <v>0.7</v>
      </c>
      <c r="E507" s="1">
        <v>0.3</v>
      </c>
      <c r="F507" s="2">
        <v>0.45</v>
      </c>
      <c r="G507" s="2">
        <v>0.37</v>
      </c>
      <c r="H507" s="2">
        <v>0.18</v>
      </c>
    </row>
    <row r="508" spans="1:8" x14ac:dyDescent="0.25">
      <c r="A508" s="1">
        <v>117</v>
      </c>
      <c r="B508" s="4">
        <v>2876196</v>
      </c>
      <c r="C508" s="3">
        <v>3.5699999999999996E-2</v>
      </c>
      <c r="D508" s="3">
        <f t="shared" si="7"/>
        <v>0.4</v>
      </c>
      <c r="E508" s="1">
        <v>0.6</v>
      </c>
      <c r="F508" s="2">
        <v>0.38</v>
      </c>
      <c r="G508" s="2">
        <v>0.21</v>
      </c>
      <c r="H508" s="2">
        <v>0.41000000000000003</v>
      </c>
    </row>
    <row r="509" spans="1:8" x14ac:dyDescent="0.25">
      <c r="A509" s="1">
        <v>147</v>
      </c>
      <c r="B509" s="4">
        <v>5361816</v>
      </c>
      <c r="C509" s="3">
        <v>3.56E-2</v>
      </c>
      <c r="D509" s="3">
        <f t="shared" si="7"/>
        <v>0.6</v>
      </c>
      <c r="E509" s="1">
        <v>0.4</v>
      </c>
      <c r="F509" s="2">
        <v>0.26</v>
      </c>
      <c r="G509" s="2">
        <v>0.2</v>
      </c>
      <c r="H509" s="2">
        <v>0.54</v>
      </c>
    </row>
    <row r="510" spans="1:8" x14ac:dyDescent="0.25">
      <c r="A510" s="1">
        <v>345</v>
      </c>
      <c r="B510" s="4">
        <v>4886120</v>
      </c>
      <c r="C510" s="3">
        <v>3.56E-2</v>
      </c>
      <c r="D510" s="3">
        <f t="shared" si="7"/>
        <v>0.6</v>
      </c>
      <c r="E510" s="1">
        <v>0.4</v>
      </c>
      <c r="F510" s="2">
        <v>0.31</v>
      </c>
      <c r="G510" s="2">
        <v>0.42</v>
      </c>
      <c r="H510" s="2">
        <v>0.27000000000000007</v>
      </c>
    </row>
    <row r="511" spans="1:8" x14ac:dyDescent="0.25">
      <c r="A511" s="1">
        <v>375</v>
      </c>
      <c r="B511" s="4">
        <v>4139231</v>
      </c>
      <c r="C511" s="3">
        <v>3.56E-2</v>
      </c>
      <c r="D511" s="3">
        <f t="shared" si="7"/>
        <v>0.6</v>
      </c>
      <c r="E511" s="1">
        <v>0.4</v>
      </c>
      <c r="F511" s="2">
        <v>0.27</v>
      </c>
      <c r="G511" s="2">
        <v>0.44</v>
      </c>
      <c r="H511" s="2">
        <v>0.29000000000000004</v>
      </c>
    </row>
    <row r="512" spans="1:8" x14ac:dyDescent="0.25">
      <c r="A512" s="1">
        <v>848</v>
      </c>
      <c r="B512" s="4">
        <v>7165717</v>
      </c>
      <c r="C512" s="3">
        <v>3.56E-2</v>
      </c>
      <c r="D512" s="3">
        <f t="shared" si="7"/>
        <v>0.7</v>
      </c>
      <c r="E512" s="1">
        <v>0.3</v>
      </c>
      <c r="F512" s="2">
        <v>0.18</v>
      </c>
      <c r="G512" s="2">
        <v>0.43</v>
      </c>
      <c r="H512" s="2">
        <v>0.39000000000000007</v>
      </c>
    </row>
    <row r="513" spans="1:8" x14ac:dyDescent="0.25">
      <c r="A513" s="1">
        <v>925</v>
      </c>
      <c r="B513" s="4">
        <v>9599038</v>
      </c>
      <c r="C513" s="3">
        <v>3.56E-2</v>
      </c>
      <c r="D513" s="3">
        <f t="shared" si="7"/>
        <v>0.7</v>
      </c>
      <c r="E513" s="1">
        <v>0.3</v>
      </c>
      <c r="F513" s="2">
        <v>0.22</v>
      </c>
      <c r="G513" s="2">
        <v>0.27</v>
      </c>
      <c r="H513" s="2">
        <v>0.51</v>
      </c>
    </row>
    <row r="514" spans="1:8" x14ac:dyDescent="0.25">
      <c r="A514" s="1">
        <v>853</v>
      </c>
      <c r="B514" s="4">
        <v>4725910</v>
      </c>
      <c r="C514" s="3">
        <v>3.5499999999999997E-2</v>
      </c>
      <c r="D514" s="3">
        <f t="shared" ref="D514:D577" si="8">1-E514</f>
        <v>0.6</v>
      </c>
      <c r="E514" s="1">
        <v>0.4</v>
      </c>
      <c r="F514" s="2">
        <v>0.38</v>
      </c>
      <c r="G514" s="2">
        <v>0.48</v>
      </c>
      <c r="H514" s="2">
        <v>0.14000000000000001</v>
      </c>
    </row>
    <row r="515" spans="1:8" x14ac:dyDescent="0.25">
      <c r="A515" s="1">
        <v>356</v>
      </c>
      <c r="B515" s="4">
        <v>4323775</v>
      </c>
      <c r="C515" s="3">
        <v>3.5400000000000001E-2</v>
      </c>
      <c r="D515" s="3">
        <f t="shared" si="8"/>
        <v>0.6</v>
      </c>
      <c r="E515" s="1">
        <v>0.4</v>
      </c>
      <c r="F515" s="2">
        <v>0.45</v>
      </c>
      <c r="G515" s="2">
        <v>0.31</v>
      </c>
      <c r="H515" s="2">
        <v>0.23999999999999994</v>
      </c>
    </row>
    <row r="516" spans="1:8" x14ac:dyDescent="0.25">
      <c r="A516" s="1">
        <v>477</v>
      </c>
      <c r="B516" s="4">
        <v>5260113</v>
      </c>
      <c r="C516" s="3">
        <v>3.5400000000000001E-2</v>
      </c>
      <c r="D516" s="3">
        <f t="shared" si="8"/>
        <v>0.6</v>
      </c>
      <c r="E516" s="1">
        <v>0.4</v>
      </c>
      <c r="F516" s="2">
        <v>0.34</v>
      </c>
      <c r="G516" s="2">
        <v>0.48</v>
      </c>
      <c r="H516" s="2">
        <v>0.18</v>
      </c>
    </row>
    <row r="517" spans="1:8" x14ac:dyDescent="0.25">
      <c r="A517" s="1">
        <v>769</v>
      </c>
      <c r="B517" s="4">
        <v>6746394</v>
      </c>
      <c r="C517" s="3">
        <v>3.5400000000000001E-2</v>
      </c>
      <c r="D517" s="3">
        <f t="shared" si="8"/>
        <v>0.6</v>
      </c>
      <c r="E517" s="1">
        <v>0.4</v>
      </c>
      <c r="F517" s="2">
        <v>0.4</v>
      </c>
      <c r="G517" s="2">
        <v>0.47</v>
      </c>
      <c r="H517" s="2">
        <v>0.13</v>
      </c>
    </row>
    <row r="518" spans="1:8" x14ac:dyDescent="0.25">
      <c r="A518" s="1">
        <v>944</v>
      </c>
      <c r="B518" s="4">
        <v>3254495</v>
      </c>
      <c r="C518" s="3">
        <v>3.5400000000000001E-2</v>
      </c>
      <c r="D518" s="3">
        <f t="shared" si="8"/>
        <v>0.6</v>
      </c>
      <c r="E518" s="1">
        <v>0.4</v>
      </c>
      <c r="F518" s="2">
        <v>0.28999999999999998</v>
      </c>
      <c r="G518" s="2">
        <v>0.42</v>
      </c>
      <c r="H518" s="2">
        <v>0.29000000000000009</v>
      </c>
    </row>
    <row r="519" spans="1:8" x14ac:dyDescent="0.25">
      <c r="A519" s="1">
        <v>35</v>
      </c>
      <c r="B519" s="4">
        <v>6757370</v>
      </c>
      <c r="C519" s="3">
        <v>3.5299999999999998E-2</v>
      </c>
      <c r="D519" s="3">
        <f t="shared" si="8"/>
        <v>0.6</v>
      </c>
      <c r="E519" s="1">
        <v>0.4</v>
      </c>
      <c r="F519" s="2">
        <v>0.24</v>
      </c>
      <c r="G519" s="2">
        <v>0.33</v>
      </c>
      <c r="H519" s="2">
        <v>0.42999999999999994</v>
      </c>
    </row>
    <row r="520" spans="1:8" x14ac:dyDescent="0.25">
      <c r="A520" s="1">
        <v>83</v>
      </c>
      <c r="B520" s="4">
        <v>7529645</v>
      </c>
      <c r="C520" s="3">
        <v>3.5200000000000002E-2</v>
      </c>
      <c r="D520" s="3">
        <f t="shared" si="8"/>
        <v>0.7</v>
      </c>
      <c r="E520" s="1">
        <v>0.3</v>
      </c>
      <c r="F520" s="2">
        <v>0.26</v>
      </c>
      <c r="G520" s="2">
        <v>0.45</v>
      </c>
      <c r="H520" s="2">
        <v>0.29000000000000004</v>
      </c>
    </row>
    <row r="521" spans="1:8" x14ac:dyDescent="0.25">
      <c r="A521" s="1">
        <v>666</v>
      </c>
      <c r="B521" s="4">
        <v>4940971</v>
      </c>
      <c r="C521" s="3">
        <v>3.5200000000000002E-2</v>
      </c>
      <c r="D521" s="3">
        <f t="shared" si="8"/>
        <v>0.6</v>
      </c>
      <c r="E521" s="1">
        <v>0.4</v>
      </c>
      <c r="F521" s="2">
        <v>0.13</v>
      </c>
      <c r="G521" s="2">
        <v>0.26</v>
      </c>
      <c r="H521" s="2">
        <v>0.61</v>
      </c>
    </row>
    <row r="522" spans="1:8" x14ac:dyDescent="0.25">
      <c r="A522" s="1">
        <v>880</v>
      </c>
      <c r="B522" s="4">
        <v>4495144</v>
      </c>
      <c r="C522" s="3">
        <v>3.5200000000000002E-2</v>
      </c>
      <c r="D522" s="3">
        <f t="shared" si="8"/>
        <v>0.6</v>
      </c>
      <c r="E522" s="1">
        <v>0.4</v>
      </c>
      <c r="F522" s="2">
        <v>0.12</v>
      </c>
      <c r="G522" s="2">
        <v>0.32</v>
      </c>
      <c r="H522" s="2">
        <v>0.55999999999999994</v>
      </c>
    </row>
    <row r="523" spans="1:8" x14ac:dyDescent="0.25">
      <c r="A523" s="1">
        <v>6</v>
      </c>
      <c r="B523" s="4">
        <v>4292093</v>
      </c>
      <c r="C523" s="3">
        <v>3.5099999999999999E-2</v>
      </c>
      <c r="D523" s="3">
        <f t="shared" si="8"/>
        <v>0.6</v>
      </c>
      <c r="E523" s="1">
        <v>0.4</v>
      </c>
      <c r="F523" s="2">
        <v>0.1</v>
      </c>
      <c r="G523" s="2">
        <v>0.23</v>
      </c>
      <c r="H523" s="2">
        <v>0.67</v>
      </c>
    </row>
    <row r="524" spans="1:8" x14ac:dyDescent="0.25">
      <c r="A524" s="1">
        <v>203</v>
      </c>
      <c r="B524" s="4">
        <v>796885</v>
      </c>
      <c r="C524" s="3">
        <v>3.5099999999999999E-2</v>
      </c>
      <c r="D524" s="3">
        <f t="shared" si="8"/>
        <v>0.4</v>
      </c>
      <c r="E524" s="1">
        <v>0.6</v>
      </c>
      <c r="F524" s="2">
        <v>0.31</v>
      </c>
      <c r="G524" s="2">
        <v>0.43</v>
      </c>
      <c r="H524" s="2">
        <v>0.26000000000000006</v>
      </c>
    </row>
    <row r="525" spans="1:8" x14ac:dyDescent="0.25">
      <c r="A525" s="1">
        <v>351</v>
      </c>
      <c r="B525" s="4">
        <v>885770</v>
      </c>
      <c r="C525" s="3">
        <v>3.5099999999999999E-2</v>
      </c>
      <c r="D525" s="3">
        <f t="shared" si="8"/>
        <v>0.4</v>
      </c>
      <c r="E525" s="1">
        <v>0.6</v>
      </c>
      <c r="F525" s="2">
        <v>0.11</v>
      </c>
      <c r="G525" s="2">
        <v>0.34</v>
      </c>
      <c r="H525" s="2">
        <v>0.54999999999999993</v>
      </c>
    </row>
    <row r="526" spans="1:8" x14ac:dyDescent="0.25">
      <c r="A526" s="1">
        <v>132</v>
      </c>
      <c r="B526" s="4">
        <v>6782627</v>
      </c>
      <c r="C526" s="3">
        <v>3.5000000000000003E-2</v>
      </c>
      <c r="D526" s="3">
        <f t="shared" si="8"/>
        <v>0.6</v>
      </c>
      <c r="E526" s="1">
        <v>0.4</v>
      </c>
      <c r="F526" s="2">
        <v>0.17</v>
      </c>
      <c r="G526" s="2">
        <v>0.3</v>
      </c>
      <c r="H526" s="2">
        <v>0.52999999999999992</v>
      </c>
    </row>
    <row r="527" spans="1:8" x14ac:dyDescent="0.25">
      <c r="A527" s="1">
        <v>280</v>
      </c>
      <c r="B527" s="4">
        <v>8199859</v>
      </c>
      <c r="C527" s="3">
        <v>3.5000000000000003E-2</v>
      </c>
      <c r="D527" s="3">
        <f t="shared" si="8"/>
        <v>0.7</v>
      </c>
      <c r="E527" s="1">
        <v>0.3</v>
      </c>
      <c r="F527" s="2">
        <v>0.28000000000000003</v>
      </c>
      <c r="G527" s="2">
        <v>0.37</v>
      </c>
      <c r="H527" s="2">
        <v>0.35</v>
      </c>
    </row>
    <row r="528" spans="1:8" x14ac:dyDescent="0.25">
      <c r="A528" s="1">
        <v>618</v>
      </c>
      <c r="B528" s="4">
        <v>6833211</v>
      </c>
      <c r="C528" s="3">
        <v>3.5000000000000003E-2</v>
      </c>
      <c r="D528" s="3">
        <f t="shared" si="8"/>
        <v>0.6</v>
      </c>
      <c r="E528" s="1">
        <v>0.4</v>
      </c>
      <c r="F528" s="2">
        <v>0.31</v>
      </c>
      <c r="G528" s="2">
        <v>0.33</v>
      </c>
      <c r="H528" s="2">
        <v>0.35999999999999993</v>
      </c>
    </row>
    <row r="529" spans="1:8" x14ac:dyDescent="0.25">
      <c r="A529" s="1">
        <v>626</v>
      </c>
      <c r="B529" s="4">
        <v>3337624</v>
      </c>
      <c r="C529" s="3">
        <v>3.5000000000000003E-2</v>
      </c>
      <c r="D529" s="3">
        <f t="shared" si="8"/>
        <v>0.6</v>
      </c>
      <c r="E529" s="1">
        <v>0.4</v>
      </c>
      <c r="F529" s="2">
        <v>0.28999999999999998</v>
      </c>
      <c r="G529" s="2">
        <v>0.27</v>
      </c>
      <c r="H529" s="2">
        <v>0.44</v>
      </c>
    </row>
    <row r="530" spans="1:8" x14ac:dyDescent="0.25">
      <c r="A530" s="1">
        <v>987</v>
      </c>
      <c r="B530" s="4">
        <v>6198710</v>
      </c>
      <c r="C530" s="3">
        <v>3.49E-2</v>
      </c>
      <c r="D530" s="3">
        <f t="shared" si="8"/>
        <v>0.6</v>
      </c>
      <c r="E530" s="1">
        <v>0.4</v>
      </c>
      <c r="F530" s="2">
        <v>0.41</v>
      </c>
      <c r="G530" s="2">
        <v>0.26</v>
      </c>
      <c r="H530" s="2">
        <v>0.33</v>
      </c>
    </row>
    <row r="531" spans="1:8" x14ac:dyDescent="0.25">
      <c r="A531" s="1">
        <v>11</v>
      </c>
      <c r="B531" s="4">
        <v>6758899</v>
      </c>
      <c r="C531" s="3">
        <v>3.4799999999999998E-2</v>
      </c>
      <c r="D531" s="3">
        <f t="shared" si="8"/>
        <v>0.6</v>
      </c>
      <c r="E531" s="1">
        <v>0.4</v>
      </c>
      <c r="F531" s="2">
        <v>0.25</v>
      </c>
      <c r="G531" s="2">
        <v>0.23</v>
      </c>
      <c r="H531" s="2">
        <v>0.52</v>
      </c>
    </row>
    <row r="532" spans="1:8" x14ac:dyDescent="0.25">
      <c r="A532" s="1">
        <v>77</v>
      </c>
      <c r="B532" s="4">
        <v>2317779</v>
      </c>
      <c r="C532" s="3">
        <v>3.4799999999999998E-2</v>
      </c>
      <c r="D532" s="3">
        <f t="shared" si="8"/>
        <v>0.4</v>
      </c>
      <c r="E532" s="1">
        <v>0.6</v>
      </c>
      <c r="F532" s="2">
        <v>0.18</v>
      </c>
      <c r="G532" s="2">
        <v>0.47</v>
      </c>
      <c r="H532" s="2">
        <v>0.35000000000000003</v>
      </c>
    </row>
    <row r="533" spans="1:8" x14ac:dyDescent="0.25">
      <c r="A533" s="1">
        <v>245</v>
      </c>
      <c r="B533" s="4">
        <v>9547174</v>
      </c>
      <c r="C533" s="3">
        <v>3.4700000000000002E-2</v>
      </c>
      <c r="D533" s="3">
        <f t="shared" si="8"/>
        <v>0.7</v>
      </c>
      <c r="E533" s="1">
        <v>0.3</v>
      </c>
      <c r="F533" s="2">
        <v>0.19</v>
      </c>
      <c r="G533" s="2">
        <v>0.47</v>
      </c>
      <c r="H533" s="2">
        <v>0.34</v>
      </c>
    </row>
    <row r="534" spans="1:8" x14ac:dyDescent="0.25">
      <c r="A534" s="1">
        <v>389</v>
      </c>
      <c r="B534" s="4">
        <v>9008408</v>
      </c>
      <c r="C534" s="3">
        <v>3.4700000000000002E-2</v>
      </c>
      <c r="D534" s="3">
        <f t="shared" si="8"/>
        <v>0.7</v>
      </c>
      <c r="E534" s="1">
        <v>0.3</v>
      </c>
      <c r="F534" s="2">
        <v>0.24</v>
      </c>
      <c r="G534" s="2">
        <v>0.31</v>
      </c>
      <c r="H534" s="2">
        <v>0.44999999999999996</v>
      </c>
    </row>
    <row r="535" spans="1:8" x14ac:dyDescent="0.25">
      <c r="A535" s="1">
        <v>705</v>
      </c>
      <c r="B535" s="4">
        <v>4426344</v>
      </c>
      <c r="C535" s="3">
        <v>3.4700000000000002E-2</v>
      </c>
      <c r="D535" s="3">
        <f t="shared" si="8"/>
        <v>0.6</v>
      </c>
      <c r="E535" s="1">
        <v>0.4</v>
      </c>
      <c r="F535" s="2">
        <v>0.12</v>
      </c>
      <c r="G535" s="2">
        <v>0.35</v>
      </c>
      <c r="H535" s="2">
        <v>0.53</v>
      </c>
    </row>
    <row r="536" spans="1:8" x14ac:dyDescent="0.25">
      <c r="A536" s="1">
        <v>894</v>
      </c>
      <c r="B536" s="4">
        <v>7028397</v>
      </c>
      <c r="C536" s="3">
        <v>3.4700000000000002E-2</v>
      </c>
      <c r="D536" s="3">
        <f t="shared" si="8"/>
        <v>0.7</v>
      </c>
      <c r="E536" s="1">
        <v>0.3</v>
      </c>
      <c r="F536" s="2">
        <v>0.11</v>
      </c>
      <c r="G536" s="2">
        <v>0.36</v>
      </c>
      <c r="H536" s="2">
        <v>0.53</v>
      </c>
    </row>
    <row r="537" spans="1:8" x14ac:dyDescent="0.25">
      <c r="A537" s="1">
        <v>18</v>
      </c>
      <c r="B537" s="4">
        <v>2206063</v>
      </c>
      <c r="C537" s="3">
        <v>3.4599999999999999E-2</v>
      </c>
      <c r="D537" s="3">
        <f t="shared" si="8"/>
        <v>0.4</v>
      </c>
      <c r="E537" s="1">
        <v>0.6</v>
      </c>
      <c r="F537" s="2">
        <v>0.35</v>
      </c>
      <c r="G537" s="2">
        <v>0.48</v>
      </c>
      <c r="H537" s="2">
        <v>0.17000000000000004</v>
      </c>
    </row>
    <row r="538" spans="1:8" x14ac:dyDescent="0.25">
      <c r="A538" s="1">
        <v>110</v>
      </c>
      <c r="B538" s="4">
        <v>5822207</v>
      </c>
      <c r="C538" s="3">
        <v>3.4599999999999999E-2</v>
      </c>
      <c r="D538" s="3">
        <f t="shared" si="8"/>
        <v>0.6</v>
      </c>
      <c r="E538" s="1">
        <v>0.4</v>
      </c>
      <c r="F538" s="2">
        <v>0.11</v>
      </c>
      <c r="G538" s="2">
        <v>0.25</v>
      </c>
      <c r="H538" s="2">
        <v>0.64</v>
      </c>
    </row>
    <row r="539" spans="1:8" x14ac:dyDescent="0.25">
      <c r="A539" s="1">
        <v>910</v>
      </c>
      <c r="B539" s="4">
        <v>884019</v>
      </c>
      <c r="C539" s="3">
        <v>3.4599999999999999E-2</v>
      </c>
      <c r="D539" s="3">
        <f t="shared" si="8"/>
        <v>0.4</v>
      </c>
      <c r="E539" s="1">
        <v>0.6</v>
      </c>
      <c r="F539" s="2">
        <v>0.16</v>
      </c>
      <c r="G539" s="2">
        <v>0.34</v>
      </c>
      <c r="H539" s="2">
        <v>0.49999999999999989</v>
      </c>
    </row>
    <row r="540" spans="1:8" x14ac:dyDescent="0.25">
      <c r="A540" s="1">
        <v>410</v>
      </c>
      <c r="B540" s="4">
        <v>8560842</v>
      </c>
      <c r="C540" s="3">
        <v>3.4500000000000003E-2</v>
      </c>
      <c r="D540" s="3">
        <f t="shared" si="8"/>
        <v>0.7</v>
      </c>
      <c r="E540" s="1">
        <v>0.3</v>
      </c>
      <c r="F540" s="2">
        <v>0.23</v>
      </c>
      <c r="G540" s="2">
        <v>0.24</v>
      </c>
      <c r="H540" s="2">
        <v>0.53</v>
      </c>
    </row>
    <row r="541" spans="1:8" x14ac:dyDescent="0.25">
      <c r="A541" s="1">
        <v>499</v>
      </c>
      <c r="B541" s="4">
        <v>8104287</v>
      </c>
      <c r="C541" s="3">
        <v>3.4500000000000003E-2</v>
      </c>
      <c r="D541" s="3">
        <f t="shared" si="8"/>
        <v>0.7</v>
      </c>
      <c r="E541" s="1">
        <v>0.3</v>
      </c>
      <c r="F541" s="2">
        <v>0.34</v>
      </c>
      <c r="G541" s="2">
        <v>0.48</v>
      </c>
      <c r="H541" s="2">
        <v>0.18</v>
      </c>
    </row>
    <row r="542" spans="1:8" x14ac:dyDescent="0.25">
      <c r="A542" s="1">
        <v>580</v>
      </c>
      <c r="B542" s="4">
        <v>8299057</v>
      </c>
      <c r="C542" s="3">
        <v>3.4500000000000003E-2</v>
      </c>
      <c r="D542" s="3">
        <f t="shared" si="8"/>
        <v>0.7</v>
      </c>
      <c r="E542" s="1">
        <v>0.3</v>
      </c>
      <c r="F542" s="2">
        <v>0.33</v>
      </c>
      <c r="G542" s="2">
        <v>0.28000000000000003</v>
      </c>
      <c r="H542" s="2">
        <v>0.38999999999999996</v>
      </c>
    </row>
    <row r="543" spans="1:8" x14ac:dyDescent="0.25">
      <c r="A543" s="1">
        <v>639</v>
      </c>
      <c r="B543" s="4">
        <v>2373004</v>
      </c>
      <c r="C543" s="3">
        <v>3.44E-2</v>
      </c>
      <c r="D543" s="3">
        <f t="shared" si="8"/>
        <v>0.4</v>
      </c>
      <c r="E543" s="1">
        <v>0.6</v>
      </c>
      <c r="F543" s="2">
        <v>0.36</v>
      </c>
      <c r="G543" s="2">
        <v>0.31</v>
      </c>
      <c r="H543" s="2">
        <v>0.32999999999999996</v>
      </c>
    </row>
    <row r="544" spans="1:8" x14ac:dyDescent="0.25">
      <c r="A544" s="1">
        <v>652</v>
      </c>
      <c r="B544" s="4">
        <v>5548244</v>
      </c>
      <c r="C544" s="3">
        <v>3.44E-2</v>
      </c>
      <c r="D544" s="3">
        <f t="shared" si="8"/>
        <v>0.6</v>
      </c>
      <c r="E544" s="1">
        <v>0.4</v>
      </c>
      <c r="F544" s="2">
        <v>0.39</v>
      </c>
      <c r="G544" s="2">
        <v>0.42</v>
      </c>
      <c r="H544" s="2">
        <v>0.19000000000000006</v>
      </c>
    </row>
    <row r="545" spans="1:8" x14ac:dyDescent="0.25">
      <c r="A545" s="1">
        <v>750</v>
      </c>
      <c r="B545" s="4">
        <v>9130706</v>
      </c>
      <c r="C545" s="3">
        <v>3.44E-2</v>
      </c>
      <c r="D545" s="3">
        <f t="shared" si="8"/>
        <v>0.7</v>
      </c>
      <c r="E545" s="1">
        <v>0.3</v>
      </c>
      <c r="F545" s="2">
        <v>0.24</v>
      </c>
      <c r="G545" s="2">
        <v>0.28999999999999998</v>
      </c>
      <c r="H545" s="2">
        <v>0.47</v>
      </c>
    </row>
    <row r="546" spans="1:8" x14ac:dyDescent="0.25">
      <c r="A546" s="1">
        <v>928</v>
      </c>
      <c r="B546" s="4">
        <v>8301823</v>
      </c>
      <c r="C546" s="3">
        <v>3.44E-2</v>
      </c>
      <c r="D546" s="3">
        <f t="shared" si="8"/>
        <v>0.7</v>
      </c>
      <c r="E546" s="1">
        <v>0.3</v>
      </c>
      <c r="F546" s="2">
        <v>0.36</v>
      </c>
      <c r="G546" s="2">
        <v>0.36</v>
      </c>
      <c r="H546" s="2">
        <v>0.28000000000000003</v>
      </c>
    </row>
    <row r="547" spans="1:8" x14ac:dyDescent="0.25">
      <c r="A547" s="1">
        <v>989</v>
      </c>
      <c r="B547" s="4">
        <v>4008710</v>
      </c>
      <c r="C547" s="3">
        <v>3.44E-2</v>
      </c>
      <c r="D547" s="3">
        <f t="shared" si="8"/>
        <v>0.6</v>
      </c>
      <c r="E547" s="1">
        <v>0.4</v>
      </c>
      <c r="F547" s="2">
        <v>0.2</v>
      </c>
      <c r="G547" s="2">
        <v>0.36</v>
      </c>
      <c r="H547" s="2">
        <v>0.44</v>
      </c>
    </row>
    <row r="548" spans="1:8" x14ac:dyDescent="0.25">
      <c r="A548" s="1">
        <v>359</v>
      </c>
      <c r="B548" s="4">
        <v>2458173</v>
      </c>
      <c r="C548" s="3">
        <v>3.4300000000000004E-2</v>
      </c>
      <c r="D548" s="3">
        <f t="shared" si="8"/>
        <v>0.4</v>
      </c>
      <c r="E548" s="1">
        <v>0.6</v>
      </c>
      <c r="F548" s="2">
        <v>0.39</v>
      </c>
      <c r="G548" s="2">
        <v>0.45</v>
      </c>
      <c r="H548" s="2">
        <v>0.16000000000000003</v>
      </c>
    </row>
    <row r="549" spans="1:8" x14ac:dyDescent="0.25">
      <c r="A549" s="1">
        <v>746</v>
      </c>
      <c r="B549" s="4">
        <v>1471281</v>
      </c>
      <c r="C549" s="3">
        <v>3.4200000000000001E-2</v>
      </c>
      <c r="D549" s="3">
        <f t="shared" si="8"/>
        <v>0.4</v>
      </c>
      <c r="E549" s="1">
        <v>0.6</v>
      </c>
      <c r="F549" s="2">
        <v>0.3</v>
      </c>
      <c r="G549" s="2">
        <v>0.37</v>
      </c>
      <c r="H549" s="2">
        <v>0.33</v>
      </c>
    </row>
    <row r="550" spans="1:8" x14ac:dyDescent="0.25">
      <c r="A550" s="1">
        <v>5</v>
      </c>
      <c r="B550" s="4">
        <v>7357799</v>
      </c>
      <c r="C550" s="3">
        <v>3.4099999999999998E-2</v>
      </c>
      <c r="D550" s="3">
        <f t="shared" si="8"/>
        <v>0.7</v>
      </c>
      <c r="E550" s="1">
        <v>0.3</v>
      </c>
      <c r="F550" s="2">
        <v>0.35</v>
      </c>
      <c r="G550" s="2">
        <v>0.44</v>
      </c>
      <c r="H550" s="2">
        <v>0.21000000000000008</v>
      </c>
    </row>
    <row r="551" spans="1:8" x14ac:dyDescent="0.25">
      <c r="A551" s="1">
        <v>305</v>
      </c>
      <c r="B551" s="4">
        <v>4488730</v>
      </c>
      <c r="C551" s="3">
        <v>3.4099999999999998E-2</v>
      </c>
      <c r="D551" s="3">
        <f t="shared" si="8"/>
        <v>0.6</v>
      </c>
      <c r="E551" s="1">
        <v>0.4</v>
      </c>
      <c r="F551" s="2">
        <v>0.42</v>
      </c>
      <c r="G551" s="2">
        <v>0.46</v>
      </c>
      <c r="H551" s="2">
        <v>0.12000000000000005</v>
      </c>
    </row>
    <row r="552" spans="1:8" x14ac:dyDescent="0.25">
      <c r="A552" s="1">
        <v>794</v>
      </c>
      <c r="B552" s="4">
        <v>7302617</v>
      </c>
      <c r="C552" s="3">
        <v>3.4099999999999998E-2</v>
      </c>
      <c r="D552" s="3">
        <f t="shared" si="8"/>
        <v>0.7</v>
      </c>
      <c r="E552" s="1">
        <v>0.3</v>
      </c>
      <c r="F552" s="2">
        <v>0.15</v>
      </c>
      <c r="G552" s="2">
        <v>0.42</v>
      </c>
      <c r="H552" s="2">
        <v>0.43000000000000005</v>
      </c>
    </row>
    <row r="553" spans="1:8" x14ac:dyDescent="0.25">
      <c r="A553" s="1">
        <v>190</v>
      </c>
      <c r="B553" s="4">
        <v>5861766</v>
      </c>
      <c r="C553" s="3">
        <v>3.4000000000000002E-2</v>
      </c>
      <c r="D553" s="3">
        <f t="shared" si="8"/>
        <v>0.6</v>
      </c>
      <c r="E553" s="1">
        <v>0.4</v>
      </c>
      <c r="F553" s="2">
        <v>0.2</v>
      </c>
      <c r="G553" s="2">
        <v>0.4</v>
      </c>
      <c r="H553" s="2">
        <v>0.39999999999999997</v>
      </c>
    </row>
    <row r="554" spans="1:8" x14ac:dyDescent="0.25">
      <c r="A554" s="1">
        <v>1032</v>
      </c>
      <c r="B554" s="4">
        <v>555065</v>
      </c>
      <c r="C554" s="3">
        <v>3.3799999999999997E-2</v>
      </c>
      <c r="D554" s="3">
        <f t="shared" si="8"/>
        <v>0.4</v>
      </c>
      <c r="E554" s="1">
        <v>0.6</v>
      </c>
      <c r="F554" s="2">
        <v>0.39</v>
      </c>
      <c r="G554" s="2">
        <v>0.38</v>
      </c>
      <c r="H554" s="2">
        <v>0.22999999999999998</v>
      </c>
    </row>
    <row r="555" spans="1:8" x14ac:dyDescent="0.25">
      <c r="A555" s="1">
        <v>391</v>
      </c>
      <c r="B555" s="4">
        <v>2213527</v>
      </c>
      <c r="C555" s="3">
        <v>3.3700000000000001E-2</v>
      </c>
      <c r="D555" s="3">
        <f t="shared" si="8"/>
        <v>0.4</v>
      </c>
      <c r="E555" s="1">
        <v>0.6</v>
      </c>
      <c r="F555" s="2">
        <v>0.36</v>
      </c>
      <c r="G555" s="2">
        <v>0.48</v>
      </c>
      <c r="H555" s="2">
        <v>0.16000000000000003</v>
      </c>
    </row>
    <row r="556" spans="1:8" x14ac:dyDescent="0.25">
      <c r="A556" s="1">
        <v>858</v>
      </c>
      <c r="B556" s="4">
        <v>6916445</v>
      </c>
      <c r="C556" s="3">
        <v>3.3700000000000001E-2</v>
      </c>
      <c r="D556" s="3">
        <f t="shared" si="8"/>
        <v>0.6</v>
      </c>
      <c r="E556" s="1">
        <v>0.4</v>
      </c>
      <c r="F556" s="2">
        <v>0.28000000000000003</v>
      </c>
      <c r="G556" s="2">
        <v>0.37</v>
      </c>
      <c r="H556" s="2">
        <v>0.35</v>
      </c>
    </row>
    <row r="557" spans="1:8" x14ac:dyDescent="0.25">
      <c r="A557" s="1">
        <v>301</v>
      </c>
      <c r="B557" s="4">
        <v>9704573</v>
      </c>
      <c r="C557" s="3">
        <v>3.3599999999999998E-2</v>
      </c>
      <c r="D557" s="3">
        <f t="shared" si="8"/>
        <v>0.7</v>
      </c>
      <c r="E557" s="1">
        <v>0.3</v>
      </c>
      <c r="F557" s="2">
        <v>0.17</v>
      </c>
      <c r="G557" s="2">
        <v>0.28000000000000003</v>
      </c>
      <c r="H557" s="2">
        <v>0.54999999999999993</v>
      </c>
    </row>
    <row r="558" spans="1:8" x14ac:dyDescent="0.25">
      <c r="A558" s="1">
        <v>381</v>
      </c>
      <c r="B558" s="4">
        <v>6887467</v>
      </c>
      <c r="C558" s="3">
        <v>3.3599999999999998E-2</v>
      </c>
      <c r="D558" s="3">
        <f t="shared" si="8"/>
        <v>0.6</v>
      </c>
      <c r="E558" s="1">
        <v>0.4</v>
      </c>
      <c r="F558" s="2">
        <v>0.3</v>
      </c>
      <c r="G558" s="2">
        <v>0.33</v>
      </c>
      <c r="H558" s="2">
        <v>0.36999999999999994</v>
      </c>
    </row>
    <row r="559" spans="1:8" x14ac:dyDescent="0.25">
      <c r="A559" s="1">
        <v>589</v>
      </c>
      <c r="B559" s="4">
        <v>9899379</v>
      </c>
      <c r="C559" s="3">
        <v>3.3599999999999998E-2</v>
      </c>
      <c r="D559" s="3">
        <f t="shared" si="8"/>
        <v>0.7</v>
      </c>
      <c r="E559" s="1">
        <v>0.3</v>
      </c>
      <c r="F559" s="2">
        <v>0.34</v>
      </c>
      <c r="G559" s="2">
        <v>0.43</v>
      </c>
      <c r="H559" s="2">
        <v>0.23000000000000004</v>
      </c>
    </row>
    <row r="560" spans="1:8" x14ac:dyDescent="0.25">
      <c r="A560" s="1">
        <v>674</v>
      </c>
      <c r="B560" s="4">
        <v>1789500</v>
      </c>
      <c r="C560" s="3">
        <v>3.3500000000000002E-2</v>
      </c>
      <c r="D560" s="3">
        <f t="shared" si="8"/>
        <v>0.4</v>
      </c>
      <c r="E560" s="1">
        <v>0.6</v>
      </c>
      <c r="F560" s="2">
        <v>0.3</v>
      </c>
      <c r="G560" s="2">
        <v>0.24</v>
      </c>
      <c r="H560" s="2">
        <v>0.46</v>
      </c>
    </row>
    <row r="561" spans="1:8" x14ac:dyDescent="0.25">
      <c r="A561" s="1">
        <v>9</v>
      </c>
      <c r="B561" s="4">
        <v>7294311</v>
      </c>
      <c r="C561" s="3">
        <v>3.3399999999999999E-2</v>
      </c>
      <c r="D561" s="3">
        <f t="shared" si="8"/>
        <v>0.7</v>
      </c>
      <c r="E561" s="1">
        <v>0.3</v>
      </c>
      <c r="F561" s="2">
        <v>0.37</v>
      </c>
      <c r="G561" s="2">
        <v>0.28000000000000003</v>
      </c>
      <c r="H561" s="2">
        <v>0.35</v>
      </c>
    </row>
    <row r="562" spans="1:8" x14ac:dyDescent="0.25">
      <c r="A562" s="1">
        <v>139</v>
      </c>
      <c r="B562" s="4">
        <v>9778060</v>
      </c>
      <c r="C562" s="3">
        <v>3.3300000000000003E-2</v>
      </c>
      <c r="D562" s="3">
        <f t="shared" si="8"/>
        <v>0.7</v>
      </c>
      <c r="E562" s="1">
        <v>0.3</v>
      </c>
      <c r="F562" s="2">
        <v>0.11</v>
      </c>
      <c r="G562" s="2">
        <v>0.3</v>
      </c>
      <c r="H562" s="2">
        <v>0.59</v>
      </c>
    </row>
    <row r="563" spans="1:8" x14ac:dyDescent="0.25">
      <c r="A563" s="1">
        <v>206</v>
      </c>
      <c r="B563" s="4">
        <v>1997430</v>
      </c>
      <c r="C563" s="3">
        <v>3.3300000000000003E-2</v>
      </c>
      <c r="D563" s="3">
        <f t="shared" si="8"/>
        <v>0.4</v>
      </c>
      <c r="E563" s="1">
        <v>0.6</v>
      </c>
      <c r="F563" s="2">
        <v>0.42</v>
      </c>
      <c r="G563" s="2">
        <v>0.4</v>
      </c>
      <c r="H563" s="2">
        <v>0.18</v>
      </c>
    </row>
    <row r="564" spans="1:8" x14ac:dyDescent="0.25">
      <c r="A564" s="1">
        <v>566</v>
      </c>
      <c r="B564" s="4">
        <v>1423177</v>
      </c>
      <c r="C564" s="3">
        <v>3.3300000000000003E-2</v>
      </c>
      <c r="D564" s="3">
        <f t="shared" si="8"/>
        <v>0.4</v>
      </c>
      <c r="E564" s="1">
        <v>0.6</v>
      </c>
      <c r="F564" s="2">
        <v>0.22</v>
      </c>
      <c r="G564" s="2">
        <v>0.26</v>
      </c>
      <c r="H564" s="2">
        <v>0.52</v>
      </c>
    </row>
    <row r="565" spans="1:8" x14ac:dyDescent="0.25">
      <c r="A565" s="1">
        <v>574</v>
      </c>
      <c r="B565" s="4">
        <v>5494980</v>
      </c>
      <c r="C565" s="3">
        <v>3.3300000000000003E-2</v>
      </c>
      <c r="D565" s="3">
        <f t="shared" si="8"/>
        <v>0.6</v>
      </c>
      <c r="E565" s="1">
        <v>0.4</v>
      </c>
      <c r="F565" s="2">
        <v>0.2</v>
      </c>
      <c r="G565" s="2">
        <v>0.35</v>
      </c>
      <c r="H565" s="2">
        <v>0.45</v>
      </c>
    </row>
    <row r="566" spans="1:8" x14ac:dyDescent="0.25">
      <c r="A566" s="1">
        <v>983</v>
      </c>
      <c r="B566" s="4">
        <v>7843441</v>
      </c>
      <c r="C566" s="3">
        <v>3.3300000000000003E-2</v>
      </c>
      <c r="D566" s="3">
        <f t="shared" si="8"/>
        <v>0.7</v>
      </c>
      <c r="E566" s="1">
        <v>0.3</v>
      </c>
      <c r="F566" s="2">
        <v>0.22</v>
      </c>
      <c r="G566" s="2">
        <v>0.44</v>
      </c>
      <c r="H566" s="2">
        <v>0.34000000000000008</v>
      </c>
    </row>
    <row r="567" spans="1:8" x14ac:dyDescent="0.25">
      <c r="A567" s="1">
        <v>1007</v>
      </c>
      <c r="B567" s="4">
        <v>459033</v>
      </c>
      <c r="C567" s="3">
        <v>3.32E-2</v>
      </c>
      <c r="D567" s="3">
        <f t="shared" si="8"/>
        <v>0.4</v>
      </c>
      <c r="E567" s="1">
        <v>0.6</v>
      </c>
      <c r="F567" s="2">
        <v>0.43</v>
      </c>
      <c r="G567" s="2">
        <v>0.48</v>
      </c>
      <c r="H567" s="2">
        <v>9.0000000000000024E-2</v>
      </c>
    </row>
    <row r="568" spans="1:8" x14ac:dyDescent="0.25">
      <c r="A568" s="1">
        <v>256</v>
      </c>
      <c r="B568" s="4">
        <v>6798754</v>
      </c>
      <c r="C568" s="3">
        <v>3.3000000000000002E-2</v>
      </c>
      <c r="D568" s="3">
        <f t="shared" si="8"/>
        <v>0.6</v>
      </c>
      <c r="E568" s="1">
        <v>0.4</v>
      </c>
      <c r="F568" s="2">
        <v>0.45</v>
      </c>
      <c r="G568" s="2">
        <v>0.41</v>
      </c>
      <c r="H568" s="2">
        <v>0.14000000000000007</v>
      </c>
    </row>
    <row r="569" spans="1:8" x14ac:dyDescent="0.25">
      <c r="A569" s="1">
        <v>417</v>
      </c>
      <c r="B569" s="4">
        <v>1954850</v>
      </c>
      <c r="C569" s="3">
        <v>3.3000000000000002E-2</v>
      </c>
      <c r="D569" s="3">
        <f t="shared" si="8"/>
        <v>0.4</v>
      </c>
      <c r="E569" s="1">
        <v>0.6</v>
      </c>
      <c r="F569" s="2">
        <v>0.43</v>
      </c>
      <c r="G569" s="2">
        <v>0.36</v>
      </c>
      <c r="H569" s="2">
        <v>0.21000000000000002</v>
      </c>
    </row>
    <row r="570" spans="1:8" x14ac:dyDescent="0.25">
      <c r="A570" s="1">
        <v>658</v>
      </c>
      <c r="B570" s="4">
        <v>4190748</v>
      </c>
      <c r="C570" s="3">
        <v>3.3000000000000002E-2</v>
      </c>
      <c r="D570" s="3">
        <f t="shared" si="8"/>
        <v>0.6</v>
      </c>
      <c r="E570" s="1">
        <v>0.4</v>
      </c>
      <c r="F570" s="2">
        <v>0.43</v>
      </c>
      <c r="G570" s="2">
        <v>0.45</v>
      </c>
      <c r="H570" s="2">
        <v>0.12000000000000005</v>
      </c>
    </row>
    <row r="571" spans="1:8" x14ac:dyDescent="0.25">
      <c r="A571" s="1">
        <v>950</v>
      </c>
      <c r="B571" s="4">
        <v>7268547</v>
      </c>
      <c r="C571" s="3">
        <v>3.2899999999999999E-2</v>
      </c>
      <c r="D571" s="3">
        <f t="shared" si="8"/>
        <v>0.7</v>
      </c>
      <c r="E571" s="1">
        <v>0.3</v>
      </c>
      <c r="F571" s="2">
        <v>0.23</v>
      </c>
      <c r="G571" s="2">
        <v>0.2</v>
      </c>
      <c r="H571" s="2">
        <v>0.57000000000000006</v>
      </c>
    </row>
    <row r="572" spans="1:8" x14ac:dyDescent="0.25">
      <c r="A572" s="1">
        <v>481</v>
      </c>
      <c r="B572" s="4">
        <v>5199223</v>
      </c>
      <c r="C572" s="3">
        <v>3.2799999999999996E-2</v>
      </c>
      <c r="D572" s="3">
        <f t="shared" si="8"/>
        <v>0.6</v>
      </c>
      <c r="E572" s="1">
        <v>0.4</v>
      </c>
      <c r="F572" s="2">
        <v>0.15</v>
      </c>
      <c r="G572" s="2">
        <v>0.24</v>
      </c>
      <c r="H572" s="2">
        <v>0.61</v>
      </c>
    </row>
    <row r="573" spans="1:8" x14ac:dyDescent="0.25">
      <c r="A573" s="1">
        <v>761</v>
      </c>
      <c r="B573" s="4">
        <v>1251593</v>
      </c>
      <c r="C573" s="3">
        <v>3.2799999999999996E-2</v>
      </c>
      <c r="D573" s="3">
        <f t="shared" si="8"/>
        <v>0.4</v>
      </c>
      <c r="E573" s="1">
        <v>0.6</v>
      </c>
      <c r="F573" s="2">
        <v>0.44</v>
      </c>
      <c r="G573" s="2">
        <v>0.44</v>
      </c>
      <c r="H573" s="2">
        <v>0.12000000000000005</v>
      </c>
    </row>
    <row r="574" spans="1:8" x14ac:dyDescent="0.25">
      <c r="A574" s="1">
        <v>1026</v>
      </c>
      <c r="B574" s="4">
        <v>6543300</v>
      </c>
      <c r="C574" s="3">
        <v>3.2799999999999996E-2</v>
      </c>
      <c r="D574" s="3">
        <f t="shared" si="8"/>
        <v>0.6</v>
      </c>
      <c r="E574" s="1">
        <v>0.4</v>
      </c>
      <c r="F574" s="2">
        <v>0.1</v>
      </c>
      <c r="G574" s="2">
        <v>0.28999999999999998</v>
      </c>
      <c r="H574" s="2">
        <v>0.61</v>
      </c>
    </row>
    <row r="575" spans="1:8" x14ac:dyDescent="0.25">
      <c r="A575" s="1">
        <v>207</v>
      </c>
      <c r="B575" s="4">
        <v>9688026</v>
      </c>
      <c r="C575" s="3">
        <v>3.27E-2</v>
      </c>
      <c r="D575" s="3">
        <f t="shared" si="8"/>
        <v>0.7</v>
      </c>
      <c r="E575" s="1">
        <v>0.3</v>
      </c>
      <c r="F575" s="2">
        <v>0.1</v>
      </c>
      <c r="G575" s="2">
        <v>0.33</v>
      </c>
      <c r="H575" s="2">
        <v>0.56999999999999995</v>
      </c>
    </row>
    <row r="576" spans="1:8" x14ac:dyDescent="0.25">
      <c r="A576" s="1">
        <v>31</v>
      </c>
      <c r="B576" s="4">
        <v>5970023</v>
      </c>
      <c r="C576" s="3">
        <v>3.2599999999999997E-2</v>
      </c>
      <c r="D576" s="3">
        <f t="shared" si="8"/>
        <v>0.6</v>
      </c>
      <c r="E576" s="1">
        <v>0.4</v>
      </c>
      <c r="F576" s="2">
        <v>0.13</v>
      </c>
      <c r="G576" s="2">
        <v>0.34</v>
      </c>
      <c r="H576" s="2">
        <v>0.52999999999999992</v>
      </c>
    </row>
    <row r="577" spans="1:8" x14ac:dyDescent="0.25">
      <c r="A577" s="1">
        <v>59</v>
      </c>
      <c r="B577" s="4">
        <v>2789626</v>
      </c>
      <c r="C577" s="3">
        <v>3.2599999999999997E-2</v>
      </c>
      <c r="D577" s="3">
        <f t="shared" si="8"/>
        <v>0.4</v>
      </c>
      <c r="E577" s="1">
        <v>0.6</v>
      </c>
      <c r="F577" s="2">
        <v>0.39</v>
      </c>
      <c r="G577" s="2">
        <v>0.43</v>
      </c>
      <c r="H577" s="2">
        <v>0.18000000000000005</v>
      </c>
    </row>
    <row r="578" spans="1:8" x14ac:dyDescent="0.25">
      <c r="A578" s="1">
        <v>517</v>
      </c>
      <c r="B578" s="4">
        <v>9277219</v>
      </c>
      <c r="C578" s="3">
        <v>3.2599999999999997E-2</v>
      </c>
      <c r="D578" s="3">
        <f t="shared" ref="D578:D641" si="9">1-E578</f>
        <v>0.7</v>
      </c>
      <c r="E578" s="1">
        <v>0.3</v>
      </c>
      <c r="F578" s="2">
        <v>0.41</v>
      </c>
      <c r="G578" s="2">
        <v>0.48</v>
      </c>
      <c r="H578" s="2">
        <v>0.11000000000000004</v>
      </c>
    </row>
    <row r="579" spans="1:8" x14ac:dyDescent="0.25">
      <c r="A579" s="1">
        <v>289</v>
      </c>
      <c r="B579" s="4">
        <v>9292068</v>
      </c>
      <c r="C579" s="3">
        <v>3.2400000000000005E-2</v>
      </c>
      <c r="D579" s="3">
        <f t="shared" si="9"/>
        <v>0.7</v>
      </c>
      <c r="E579" s="1">
        <v>0.3</v>
      </c>
      <c r="F579" s="2">
        <v>0.11</v>
      </c>
      <c r="G579" s="2">
        <v>0.23</v>
      </c>
      <c r="H579" s="2">
        <v>0.66</v>
      </c>
    </row>
    <row r="580" spans="1:8" x14ac:dyDescent="0.25">
      <c r="A580" s="1">
        <v>1011</v>
      </c>
      <c r="B580" s="4">
        <v>9635890</v>
      </c>
      <c r="C580" s="3">
        <v>3.2400000000000005E-2</v>
      </c>
      <c r="D580" s="3">
        <f t="shared" si="9"/>
        <v>0.7</v>
      </c>
      <c r="E580" s="1">
        <v>0.3</v>
      </c>
      <c r="F580" s="2">
        <v>0.12</v>
      </c>
      <c r="G580" s="2">
        <v>0.25</v>
      </c>
      <c r="H580" s="2">
        <v>0.63</v>
      </c>
    </row>
    <row r="581" spans="1:8" x14ac:dyDescent="0.25">
      <c r="A581" s="1">
        <v>741</v>
      </c>
      <c r="B581" s="4">
        <v>5394495</v>
      </c>
      <c r="C581" s="3">
        <v>3.2300000000000002E-2</v>
      </c>
      <c r="D581" s="3">
        <f t="shared" si="9"/>
        <v>0.6</v>
      </c>
      <c r="E581" s="1">
        <v>0.4</v>
      </c>
      <c r="F581" s="2">
        <v>0.25</v>
      </c>
      <c r="G581" s="2">
        <v>0.2</v>
      </c>
      <c r="H581" s="2">
        <v>0.55000000000000004</v>
      </c>
    </row>
    <row r="582" spans="1:8" x14ac:dyDescent="0.25">
      <c r="A582" s="1">
        <v>89</v>
      </c>
      <c r="B582" s="4">
        <v>4862634</v>
      </c>
      <c r="C582" s="3">
        <v>3.2199999999999999E-2</v>
      </c>
      <c r="D582" s="3">
        <f t="shared" si="9"/>
        <v>0.6</v>
      </c>
      <c r="E582" s="1">
        <v>0.4</v>
      </c>
      <c r="F582" s="2">
        <v>0.14000000000000001</v>
      </c>
      <c r="G582" s="2">
        <v>0.2</v>
      </c>
      <c r="H582" s="2">
        <v>0.66</v>
      </c>
    </row>
    <row r="583" spans="1:8" x14ac:dyDescent="0.25">
      <c r="A583" s="1">
        <v>976</v>
      </c>
      <c r="B583" s="4">
        <v>8254777</v>
      </c>
      <c r="C583" s="3">
        <v>3.2199999999999999E-2</v>
      </c>
      <c r="D583" s="3">
        <f t="shared" si="9"/>
        <v>0.7</v>
      </c>
      <c r="E583" s="1">
        <v>0.3</v>
      </c>
      <c r="F583" s="2">
        <v>0.38</v>
      </c>
      <c r="G583" s="2">
        <v>0.33</v>
      </c>
      <c r="H583" s="2">
        <v>0.28999999999999992</v>
      </c>
    </row>
    <row r="584" spans="1:8" x14ac:dyDescent="0.25">
      <c r="A584" s="1">
        <v>330</v>
      </c>
      <c r="B584" s="4">
        <v>6814366</v>
      </c>
      <c r="C584" s="3">
        <v>3.2099999999999997E-2</v>
      </c>
      <c r="D584" s="3">
        <f t="shared" si="9"/>
        <v>0.6</v>
      </c>
      <c r="E584" s="1">
        <v>0.4</v>
      </c>
      <c r="F584" s="2">
        <v>0.16</v>
      </c>
      <c r="G584" s="2">
        <v>0.43</v>
      </c>
      <c r="H584" s="2">
        <v>0.41000000000000003</v>
      </c>
    </row>
    <row r="585" spans="1:8" x14ac:dyDescent="0.25">
      <c r="A585" s="1">
        <v>678</v>
      </c>
      <c r="B585" s="4">
        <v>8519726</v>
      </c>
      <c r="C585" s="3">
        <v>3.2099999999999997E-2</v>
      </c>
      <c r="D585" s="3">
        <f t="shared" si="9"/>
        <v>0.7</v>
      </c>
      <c r="E585" s="1">
        <v>0.3</v>
      </c>
      <c r="F585" s="2">
        <v>0.4</v>
      </c>
      <c r="G585" s="2">
        <v>0.37</v>
      </c>
      <c r="H585" s="2">
        <v>0.22999999999999998</v>
      </c>
    </row>
    <row r="586" spans="1:8" x14ac:dyDescent="0.25">
      <c r="A586" s="1">
        <v>57</v>
      </c>
      <c r="B586" s="4">
        <v>2038599</v>
      </c>
      <c r="C586" s="3">
        <v>3.1899999999999998E-2</v>
      </c>
      <c r="D586" s="3">
        <f t="shared" si="9"/>
        <v>0.4</v>
      </c>
      <c r="E586" s="1">
        <v>0.6</v>
      </c>
      <c r="F586" s="2">
        <v>0.39</v>
      </c>
      <c r="G586" s="2">
        <v>0.3</v>
      </c>
      <c r="H586" s="2">
        <v>0.30999999999999994</v>
      </c>
    </row>
    <row r="587" spans="1:8" x14ac:dyDescent="0.25">
      <c r="A587" s="1">
        <v>679</v>
      </c>
      <c r="B587" s="4">
        <v>9792262</v>
      </c>
      <c r="C587" s="3">
        <v>3.1899999999999998E-2</v>
      </c>
      <c r="D587" s="3">
        <f t="shared" si="9"/>
        <v>0.7</v>
      </c>
      <c r="E587" s="1">
        <v>0.3</v>
      </c>
      <c r="F587" s="2">
        <v>0.28000000000000003</v>
      </c>
      <c r="G587" s="2">
        <v>0.41</v>
      </c>
      <c r="H587" s="2">
        <v>0.31000000000000005</v>
      </c>
    </row>
    <row r="588" spans="1:8" x14ac:dyDescent="0.25">
      <c r="A588" s="1">
        <v>689</v>
      </c>
      <c r="B588" s="4">
        <v>5278748</v>
      </c>
      <c r="C588" s="3">
        <v>3.1899999999999998E-2</v>
      </c>
      <c r="D588" s="3">
        <f t="shared" si="9"/>
        <v>0.6</v>
      </c>
      <c r="E588" s="1">
        <v>0.4</v>
      </c>
      <c r="F588" s="2">
        <v>0.25</v>
      </c>
      <c r="G588" s="2">
        <v>0.3</v>
      </c>
      <c r="H588" s="2">
        <v>0.44999999999999996</v>
      </c>
    </row>
    <row r="589" spans="1:8" x14ac:dyDescent="0.25">
      <c r="A589" s="1">
        <v>711</v>
      </c>
      <c r="B589" s="4">
        <v>6403468</v>
      </c>
      <c r="C589" s="3">
        <v>3.1899999999999998E-2</v>
      </c>
      <c r="D589" s="3">
        <f t="shared" si="9"/>
        <v>0.6</v>
      </c>
      <c r="E589" s="1">
        <v>0.4</v>
      </c>
      <c r="F589" s="2">
        <v>0.44</v>
      </c>
      <c r="G589" s="2">
        <v>0.5</v>
      </c>
      <c r="H589" s="2">
        <v>0.06</v>
      </c>
    </row>
    <row r="590" spans="1:8" x14ac:dyDescent="0.25">
      <c r="A590" s="1">
        <v>1039</v>
      </c>
      <c r="B590" s="4">
        <v>9645057</v>
      </c>
      <c r="C590" s="3">
        <v>3.1899999999999998E-2</v>
      </c>
      <c r="D590" s="3">
        <f t="shared" si="9"/>
        <v>0.7</v>
      </c>
      <c r="E590" s="1">
        <v>0.3</v>
      </c>
      <c r="F590" s="2">
        <v>0.28999999999999998</v>
      </c>
      <c r="G590" s="2">
        <v>0.45</v>
      </c>
      <c r="H590" s="2">
        <v>0.26000000000000006</v>
      </c>
    </row>
    <row r="591" spans="1:8" x14ac:dyDescent="0.25">
      <c r="A591" s="1">
        <v>232</v>
      </c>
      <c r="B591" s="4">
        <v>2307353</v>
      </c>
      <c r="C591" s="3">
        <v>3.1800000000000002E-2</v>
      </c>
      <c r="D591" s="3">
        <f t="shared" si="9"/>
        <v>0.4</v>
      </c>
      <c r="E591" s="1">
        <v>0.6</v>
      </c>
      <c r="F591" s="2">
        <v>0.18</v>
      </c>
      <c r="G591" s="2">
        <v>0.44</v>
      </c>
      <c r="H591" s="2">
        <v>0.38000000000000006</v>
      </c>
    </row>
    <row r="592" spans="1:8" x14ac:dyDescent="0.25">
      <c r="A592" s="1">
        <v>247</v>
      </c>
      <c r="B592" s="4">
        <v>5270364</v>
      </c>
      <c r="C592" s="3">
        <v>3.1800000000000002E-2</v>
      </c>
      <c r="D592" s="3">
        <f t="shared" si="9"/>
        <v>0.6</v>
      </c>
      <c r="E592" s="1">
        <v>0.4</v>
      </c>
      <c r="F592" s="2">
        <v>0.12</v>
      </c>
      <c r="G592" s="2">
        <v>0.43</v>
      </c>
      <c r="H592" s="2">
        <v>0.45000000000000007</v>
      </c>
    </row>
    <row r="593" spans="1:8" x14ac:dyDescent="0.25">
      <c r="A593" s="1">
        <v>162</v>
      </c>
      <c r="B593" s="4">
        <v>3439322</v>
      </c>
      <c r="C593" s="3">
        <v>3.1600000000000003E-2</v>
      </c>
      <c r="D593" s="3">
        <f t="shared" si="9"/>
        <v>0.6</v>
      </c>
      <c r="E593" s="1">
        <v>0.4</v>
      </c>
      <c r="F593" s="2">
        <v>0.18</v>
      </c>
      <c r="G593" s="2">
        <v>0.35</v>
      </c>
      <c r="H593" s="2">
        <v>0.47000000000000003</v>
      </c>
    </row>
    <row r="594" spans="1:8" x14ac:dyDescent="0.25">
      <c r="A594" s="1">
        <v>564</v>
      </c>
      <c r="B594" s="4">
        <v>8057137</v>
      </c>
      <c r="C594" s="3">
        <v>3.1600000000000003E-2</v>
      </c>
      <c r="D594" s="3">
        <f t="shared" si="9"/>
        <v>0.7</v>
      </c>
      <c r="E594" s="1">
        <v>0.3</v>
      </c>
      <c r="F594" s="2">
        <v>0.2</v>
      </c>
      <c r="G594" s="2">
        <v>0.41</v>
      </c>
      <c r="H594" s="2">
        <v>0.39000000000000007</v>
      </c>
    </row>
    <row r="595" spans="1:8" x14ac:dyDescent="0.25">
      <c r="A595" s="1">
        <v>775</v>
      </c>
      <c r="B595" s="4">
        <v>2422815</v>
      </c>
      <c r="C595" s="3">
        <v>3.1600000000000003E-2</v>
      </c>
      <c r="D595" s="3">
        <f t="shared" si="9"/>
        <v>0.4</v>
      </c>
      <c r="E595" s="1">
        <v>0.6</v>
      </c>
      <c r="F595" s="2">
        <v>0.41</v>
      </c>
      <c r="G595" s="2">
        <v>0.38</v>
      </c>
      <c r="H595" s="2">
        <v>0.21000000000000002</v>
      </c>
    </row>
    <row r="596" spans="1:8" x14ac:dyDescent="0.25">
      <c r="A596" s="1">
        <v>965</v>
      </c>
      <c r="B596" s="4">
        <v>516946</v>
      </c>
      <c r="C596" s="3">
        <v>3.1600000000000003E-2</v>
      </c>
      <c r="D596" s="3">
        <f t="shared" si="9"/>
        <v>0.4</v>
      </c>
      <c r="E596" s="1">
        <v>0.6</v>
      </c>
      <c r="F596" s="2">
        <v>0.39</v>
      </c>
      <c r="G596" s="2">
        <v>0.46</v>
      </c>
      <c r="H596" s="2">
        <v>0.15000000000000002</v>
      </c>
    </row>
    <row r="597" spans="1:8" x14ac:dyDescent="0.25">
      <c r="A597" s="1">
        <v>197</v>
      </c>
      <c r="B597" s="4">
        <v>5405607</v>
      </c>
      <c r="C597" s="3">
        <v>3.1400000000000004E-2</v>
      </c>
      <c r="D597" s="3">
        <f t="shared" si="9"/>
        <v>0.6</v>
      </c>
      <c r="E597" s="1">
        <v>0.4</v>
      </c>
      <c r="F597" s="2">
        <v>0.38</v>
      </c>
      <c r="G597" s="2">
        <v>0.5</v>
      </c>
      <c r="H597" s="2">
        <v>0.12</v>
      </c>
    </row>
    <row r="598" spans="1:8" x14ac:dyDescent="0.25">
      <c r="A598" s="1">
        <v>635</v>
      </c>
      <c r="B598" s="4">
        <v>3823401</v>
      </c>
      <c r="C598" s="3">
        <v>3.1400000000000004E-2</v>
      </c>
      <c r="D598" s="3">
        <f t="shared" si="9"/>
        <v>0.6</v>
      </c>
      <c r="E598" s="1">
        <v>0.4</v>
      </c>
      <c r="F598" s="2">
        <v>0.36</v>
      </c>
      <c r="G598" s="2">
        <v>0.3</v>
      </c>
      <c r="H598" s="2">
        <v>0.33999999999999997</v>
      </c>
    </row>
    <row r="599" spans="1:8" x14ac:dyDescent="0.25">
      <c r="A599" s="1">
        <v>962</v>
      </c>
      <c r="B599" s="4">
        <v>8786394</v>
      </c>
      <c r="C599" s="3">
        <v>3.1400000000000004E-2</v>
      </c>
      <c r="D599" s="3">
        <f t="shared" si="9"/>
        <v>0.7</v>
      </c>
      <c r="E599" s="1">
        <v>0.3</v>
      </c>
      <c r="F599" s="2">
        <v>0.14000000000000001</v>
      </c>
      <c r="G599" s="2">
        <v>0.2</v>
      </c>
      <c r="H599" s="2">
        <v>0.66</v>
      </c>
    </row>
    <row r="600" spans="1:8" x14ac:dyDescent="0.25">
      <c r="A600" s="1">
        <v>902</v>
      </c>
      <c r="B600" s="4">
        <v>5458345</v>
      </c>
      <c r="C600" s="3">
        <v>3.1300000000000001E-2</v>
      </c>
      <c r="D600" s="3">
        <f t="shared" si="9"/>
        <v>0.6</v>
      </c>
      <c r="E600" s="1">
        <v>0.4</v>
      </c>
      <c r="F600" s="2">
        <v>0.33</v>
      </c>
      <c r="G600" s="2">
        <v>0.22</v>
      </c>
      <c r="H600" s="2">
        <v>0.45</v>
      </c>
    </row>
    <row r="601" spans="1:8" x14ac:dyDescent="0.25">
      <c r="A601" s="1">
        <v>561</v>
      </c>
      <c r="B601" s="4">
        <v>7893345</v>
      </c>
      <c r="C601" s="3">
        <v>3.1200000000000002E-2</v>
      </c>
      <c r="D601" s="3">
        <f t="shared" si="9"/>
        <v>0.7</v>
      </c>
      <c r="E601" s="1">
        <v>0.3</v>
      </c>
      <c r="F601" s="2">
        <v>0.45</v>
      </c>
      <c r="G601" s="2">
        <v>0.24</v>
      </c>
      <c r="H601" s="2">
        <v>0.31</v>
      </c>
    </row>
    <row r="602" spans="1:8" x14ac:dyDescent="0.25">
      <c r="A602" s="1">
        <v>844</v>
      </c>
      <c r="B602" s="4">
        <v>9744594</v>
      </c>
      <c r="C602" s="3">
        <v>3.1200000000000002E-2</v>
      </c>
      <c r="D602" s="3">
        <f t="shared" si="9"/>
        <v>0.7</v>
      </c>
      <c r="E602" s="1">
        <v>0.3</v>
      </c>
      <c r="F602" s="2">
        <v>0.35</v>
      </c>
      <c r="G602" s="2">
        <v>0.28999999999999998</v>
      </c>
      <c r="H602" s="2">
        <v>0.36</v>
      </c>
    </row>
    <row r="603" spans="1:8" x14ac:dyDescent="0.25">
      <c r="A603" s="1">
        <v>43</v>
      </c>
      <c r="B603" s="4">
        <v>2613577</v>
      </c>
      <c r="C603" s="3">
        <v>3.1099999999999999E-2</v>
      </c>
      <c r="D603" s="3">
        <f t="shared" si="9"/>
        <v>0.4</v>
      </c>
      <c r="E603" s="1">
        <v>0.6</v>
      </c>
      <c r="F603" s="2">
        <v>0.17</v>
      </c>
      <c r="G603" s="2">
        <v>0.4</v>
      </c>
      <c r="H603" s="2">
        <v>0.42999999999999994</v>
      </c>
    </row>
    <row r="604" spans="1:8" x14ac:dyDescent="0.25">
      <c r="A604" s="1">
        <v>938</v>
      </c>
      <c r="B604" s="4">
        <v>4595411</v>
      </c>
      <c r="C604" s="3">
        <v>3.1099999999999999E-2</v>
      </c>
      <c r="D604" s="3">
        <f t="shared" si="9"/>
        <v>0.6</v>
      </c>
      <c r="E604" s="1">
        <v>0.4</v>
      </c>
      <c r="F604" s="2">
        <v>0.42</v>
      </c>
      <c r="G604" s="2">
        <v>0.2</v>
      </c>
      <c r="H604" s="2">
        <v>0.38000000000000006</v>
      </c>
    </row>
    <row r="605" spans="1:8" x14ac:dyDescent="0.25">
      <c r="A605" s="1">
        <v>154</v>
      </c>
      <c r="B605" s="4">
        <v>7690548</v>
      </c>
      <c r="C605" s="3">
        <v>3.1E-2</v>
      </c>
      <c r="D605" s="3">
        <f t="shared" si="9"/>
        <v>0.7</v>
      </c>
      <c r="E605" s="1">
        <v>0.3</v>
      </c>
      <c r="F605" s="2">
        <v>0.19</v>
      </c>
      <c r="G605" s="2">
        <v>0.49</v>
      </c>
      <c r="H605" s="2">
        <v>0.32</v>
      </c>
    </row>
    <row r="606" spans="1:8" x14ac:dyDescent="0.25">
      <c r="A606" s="1">
        <v>489</v>
      </c>
      <c r="B606" s="4">
        <v>6922723</v>
      </c>
      <c r="C606" s="3">
        <v>3.0899999999999997E-2</v>
      </c>
      <c r="D606" s="3">
        <f t="shared" si="9"/>
        <v>0.6</v>
      </c>
      <c r="E606" s="1">
        <v>0.4</v>
      </c>
      <c r="F606" s="2">
        <v>0.45</v>
      </c>
      <c r="G606" s="2">
        <v>0.32</v>
      </c>
      <c r="H606" s="2">
        <v>0.22999999999999993</v>
      </c>
    </row>
    <row r="607" spans="1:8" x14ac:dyDescent="0.25">
      <c r="A607" s="1">
        <v>727</v>
      </c>
      <c r="B607" s="4">
        <v>2245532</v>
      </c>
      <c r="C607" s="3">
        <v>3.0899999999999997E-2</v>
      </c>
      <c r="D607" s="3">
        <f t="shared" si="9"/>
        <v>0.4</v>
      </c>
      <c r="E607" s="1">
        <v>0.6</v>
      </c>
      <c r="F607" s="2">
        <v>0.25</v>
      </c>
      <c r="G607" s="2">
        <v>0.25</v>
      </c>
      <c r="H607" s="2">
        <v>0.5</v>
      </c>
    </row>
    <row r="608" spans="1:8" x14ac:dyDescent="0.25">
      <c r="A608" s="1">
        <v>873</v>
      </c>
      <c r="B608" s="4">
        <v>2973696</v>
      </c>
      <c r="C608" s="3">
        <v>3.0899999999999997E-2</v>
      </c>
      <c r="D608" s="3">
        <f t="shared" si="9"/>
        <v>0.4</v>
      </c>
      <c r="E608" s="1">
        <v>0.6</v>
      </c>
      <c r="F608" s="2">
        <v>0.32</v>
      </c>
      <c r="G608" s="2">
        <v>0.37</v>
      </c>
      <c r="H608" s="2">
        <v>0.31</v>
      </c>
    </row>
    <row r="609" spans="1:8" x14ac:dyDescent="0.25">
      <c r="A609" s="1">
        <v>469</v>
      </c>
      <c r="B609" s="4">
        <v>2332022</v>
      </c>
      <c r="C609" s="3">
        <v>3.0800000000000001E-2</v>
      </c>
      <c r="D609" s="3">
        <f t="shared" si="9"/>
        <v>0.4</v>
      </c>
      <c r="E609" s="1">
        <v>0.6</v>
      </c>
      <c r="F609" s="2">
        <v>0.44</v>
      </c>
      <c r="G609" s="2">
        <v>0.3</v>
      </c>
      <c r="H609" s="2">
        <v>0.25999999999999995</v>
      </c>
    </row>
    <row r="610" spans="1:8" x14ac:dyDescent="0.25">
      <c r="A610" s="1">
        <v>565</v>
      </c>
      <c r="B610" s="4">
        <v>9293668</v>
      </c>
      <c r="C610" s="3">
        <v>3.0800000000000001E-2</v>
      </c>
      <c r="D610" s="3">
        <f t="shared" si="9"/>
        <v>0.7</v>
      </c>
      <c r="E610" s="1">
        <v>0.3</v>
      </c>
      <c r="F610" s="2">
        <v>0.21</v>
      </c>
      <c r="G610" s="2">
        <v>0.36</v>
      </c>
      <c r="H610" s="2">
        <v>0.43000000000000005</v>
      </c>
    </row>
    <row r="611" spans="1:8" x14ac:dyDescent="0.25">
      <c r="A611" s="1">
        <v>601</v>
      </c>
      <c r="B611" s="4">
        <v>3644549</v>
      </c>
      <c r="C611" s="3">
        <v>3.0800000000000001E-2</v>
      </c>
      <c r="D611" s="3">
        <f t="shared" si="9"/>
        <v>0.6</v>
      </c>
      <c r="E611" s="1">
        <v>0.4</v>
      </c>
      <c r="F611" s="2">
        <v>0.31</v>
      </c>
      <c r="G611" s="2">
        <v>0.5</v>
      </c>
      <c r="H611" s="2">
        <v>0.19</v>
      </c>
    </row>
    <row r="612" spans="1:8" x14ac:dyDescent="0.25">
      <c r="A612" s="1">
        <v>724</v>
      </c>
      <c r="B612" s="4">
        <v>5720508</v>
      </c>
      <c r="C612" s="3">
        <v>3.0800000000000001E-2</v>
      </c>
      <c r="D612" s="3">
        <f t="shared" si="9"/>
        <v>0.6</v>
      </c>
      <c r="E612" s="1">
        <v>0.4</v>
      </c>
      <c r="F612" s="2">
        <v>0.26</v>
      </c>
      <c r="G612" s="2">
        <v>0.39</v>
      </c>
      <c r="H612" s="2">
        <v>0.35</v>
      </c>
    </row>
    <row r="613" spans="1:8" x14ac:dyDescent="0.25">
      <c r="A613" s="1">
        <v>951</v>
      </c>
      <c r="B613" s="4">
        <v>4258471</v>
      </c>
      <c r="C613" s="3">
        <v>3.0800000000000001E-2</v>
      </c>
      <c r="D613" s="3">
        <f t="shared" si="9"/>
        <v>0.6</v>
      </c>
      <c r="E613" s="1">
        <v>0.4</v>
      </c>
      <c r="F613" s="2">
        <v>0.1</v>
      </c>
      <c r="G613" s="2">
        <v>0.2</v>
      </c>
      <c r="H613" s="2">
        <v>0.70000000000000007</v>
      </c>
    </row>
    <row r="614" spans="1:8" x14ac:dyDescent="0.25">
      <c r="A614" s="1">
        <v>966</v>
      </c>
      <c r="B614" s="4">
        <v>7737028</v>
      </c>
      <c r="C614" s="3">
        <v>3.0800000000000001E-2</v>
      </c>
      <c r="D614" s="3">
        <f t="shared" si="9"/>
        <v>0.7</v>
      </c>
      <c r="E614" s="1">
        <v>0.3</v>
      </c>
      <c r="F614" s="2">
        <v>0.37</v>
      </c>
      <c r="G614" s="2">
        <v>0.45</v>
      </c>
      <c r="H614" s="2">
        <v>0.18000000000000005</v>
      </c>
    </row>
    <row r="615" spans="1:8" x14ac:dyDescent="0.25">
      <c r="A615" s="1">
        <v>555</v>
      </c>
      <c r="B615" s="4">
        <v>1067120</v>
      </c>
      <c r="C615" s="3">
        <v>3.0699999999999998E-2</v>
      </c>
      <c r="D615" s="3">
        <f t="shared" si="9"/>
        <v>0.4</v>
      </c>
      <c r="E615" s="1">
        <v>0.6</v>
      </c>
      <c r="F615" s="2">
        <v>0.45</v>
      </c>
      <c r="G615" s="2">
        <v>0.3</v>
      </c>
      <c r="H615" s="2">
        <v>0.24999999999999994</v>
      </c>
    </row>
    <row r="616" spans="1:8" x14ac:dyDescent="0.25">
      <c r="A616" s="1">
        <v>1022</v>
      </c>
      <c r="B616" s="4">
        <v>9202322</v>
      </c>
      <c r="C616" s="3">
        <v>3.0699999999999998E-2</v>
      </c>
      <c r="D616" s="3">
        <f t="shared" si="9"/>
        <v>0.7</v>
      </c>
      <c r="E616" s="1">
        <v>0.3</v>
      </c>
      <c r="F616" s="2">
        <v>0.24</v>
      </c>
      <c r="G616" s="2">
        <v>0.34</v>
      </c>
      <c r="H616" s="2">
        <v>0.41999999999999993</v>
      </c>
    </row>
    <row r="617" spans="1:8" x14ac:dyDescent="0.25">
      <c r="A617" s="1">
        <v>102</v>
      </c>
      <c r="B617" s="4">
        <v>4564532</v>
      </c>
      <c r="C617" s="3">
        <v>3.0600000000000002E-2</v>
      </c>
      <c r="D617" s="3">
        <f t="shared" si="9"/>
        <v>0.6</v>
      </c>
      <c r="E617" s="1">
        <v>0.4</v>
      </c>
      <c r="F617" s="2">
        <v>0.45</v>
      </c>
      <c r="G617" s="2">
        <v>0.44</v>
      </c>
      <c r="H617" s="2">
        <v>0.11000000000000004</v>
      </c>
    </row>
    <row r="618" spans="1:8" x14ac:dyDescent="0.25">
      <c r="A618" s="1">
        <v>935</v>
      </c>
      <c r="B618" s="4">
        <v>279655</v>
      </c>
      <c r="C618" s="3">
        <v>3.0600000000000002E-2</v>
      </c>
      <c r="D618" s="3">
        <f t="shared" si="9"/>
        <v>0.4</v>
      </c>
      <c r="E618" s="1">
        <v>0.6</v>
      </c>
      <c r="F618" s="2">
        <v>0.43</v>
      </c>
      <c r="G618" s="2">
        <v>0.36</v>
      </c>
      <c r="H618" s="2">
        <v>0.21000000000000002</v>
      </c>
    </row>
    <row r="619" spans="1:8" x14ac:dyDescent="0.25">
      <c r="A619" s="1">
        <v>24</v>
      </c>
      <c r="B619" s="4">
        <v>1160525</v>
      </c>
      <c r="C619" s="3">
        <v>3.0499999999999999E-2</v>
      </c>
      <c r="D619" s="3">
        <f t="shared" si="9"/>
        <v>0.4</v>
      </c>
      <c r="E619" s="1">
        <v>0.6</v>
      </c>
      <c r="F619" s="2">
        <v>0.26</v>
      </c>
      <c r="G619" s="2">
        <v>0.44</v>
      </c>
      <c r="H619" s="2">
        <v>0.30000000000000004</v>
      </c>
    </row>
    <row r="620" spans="1:8" x14ac:dyDescent="0.25">
      <c r="A620" s="1">
        <v>156</v>
      </c>
      <c r="B620" s="4">
        <v>8227575</v>
      </c>
      <c r="C620" s="3">
        <v>3.0499999999999999E-2</v>
      </c>
      <c r="D620" s="3">
        <f t="shared" si="9"/>
        <v>0.7</v>
      </c>
      <c r="E620" s="1">
        <v>0.3</v>
      </c>
      <c r="F620" s="2">
        <v>0.13</v>
      </c>
      <c r="G620" s="2">
        <v>0.43</v>
      </c>
      <c r="H620" s="2">
        <v>0.44000000000000006</v>
      </c>
    </row>
    <row r="621" spans="1:8" x14ac:dyDescent="0.25">
      <c r="A621" s="1">
        <v>412</v>
      </c>
      <c r="B621" s="4">
        <v>6966968</v>
      </c>
      <c r="C621" s="3">
        <v>3.0499999999999999E-2</v>
      </c>
      <c r="D621" s="3">
        <f t="shared" si="9"/>
        <v>0.6</v>
      </c>
      <c r="E621" s="1">
        <v>0.4</v>
      </c>
      <c r="F621" s="2">
        <v>0.22</v>
      </c>
      <c r="G621" s="2">
        <v>0.48</v>
      </c>
      <c r="H621" s="2">
        <v>0.30000000000000004</v>
      </c>
    </row>
    <row r="622" spans="1:8" x14ac:dyDescent="0.25">
      <c r="A622" s="1">
        <v>974</v>
      </c>
      <c r="B622" s="4">
        <v>4896256</v>
      </c>
      <c r="C622" s="3">
        <v>3.0499999999999999E-2</v>
      </c>
      <c r="D622" s="3">
        <f t="shared" si="9"/>
        <v>0.6</v>
      </c>
      <c r="E622" s="1">
        <v>0.4</v>
      </c>
      <c r="F622" s="2">
        <v>0.15</v>
      </c>
      <c r="G622" s="2">
        <v>0.24</v>
      </c>
      <c r="H622" s="2">
        <v>0.61</v>
      </c>
    </row>
    <row r="623" spans="1:8" x14ac:dyDescent="0.25">
      <c r="A623" s="1">
        <v>980</v>
      </c>
      <c r="B623" s="4">
        <v>376163</v>
      </c>
      <c r="C623" s="3">
        <v>3.0499999999999999E-2</v>
      </c>
      <c r="D623" s="3">
        <f t="shared" si="9"/>
        <v>0.4</v>
      </c>
      <c r="E623" s="1">
        <v>0.6</v>
      </c>
      <c r="F623" s="2">
        <v>0.45</v>
      </c>
      <c r="G623" s="2">
        <v>0.3</v>
      </c>
      <c r="H623" s="2">
        <v>0.24999999999999994</v>
      </c>
    </row>
    <row r="624" spans="1:8" x14ac:dyDescent="0.25">
      <c r="A624" s="1">
        <v>779</v>
      </c>
      <c r="B624" s="4">
        <v>3951186</v>
      </c>
      <c r="C624" s="3">
        <v>3.04E-2</v>
      </c>
      <c r="D624" s="3">
        <f t="shared" si="9"/>
        <v>0.6</v>
      </c>
      <c r="E624" s="1">
        <v>0.4</v>
      </c>
      <c r="F624" s="2">
        <v>0.36</v>
      </c>
      <c r="G624" s="2">
        <v>0.3</v>
      </c>
      <c r="H624" s="2">
        <v>0.33999999999999997</v>
      </c>
    </row>
    <row r="625" spans="1:8" x14ac:dyDescent="0.25">
      <c r="A625" s="1">
        <v>1023</v>
      </c>
      <c r="B625" s="4">
        <v>537402</v>
      </c>
      <c r="C625" s="3">
        <v>3.0299999999999997E-2</v>
      </c>
      <c r="D625" s="3">
        <f t="shared" si="9"/>
        <v>0.4</v>
      </c>
      <c r="E625" s="1">
        <v>0.6</v>
      </c>
      <c r="F625" s="2">
        <v>0.3</v>
      </c>
      <c r="G625" s="2">
        <v>0.44</v>
      </c>
      <c r="H625" s="2">
        <v>0.26000000000000006</v>
      </c>
    </row>
    <row r="626" spans="1:8" x14ac:dyDescent="0.25">
      <c r="A626" s="1">
        <v>307</v>
      </c>
      <c r="B626" s="4">
        <v>4946137</v>
      </c>
      <c r="C626" s="3">
        <v>3.0200000000000001E-2</v>
      </c>
      <c r="D626" s="3">
        <f t="shared" si="9"/>
        <v>0.6</v>
      </c>
      <c r="E626" s="1">
        <v>0.4</v>
      </c>
      <c r="F626" s="2">
        <v>0.15</v>
      </c>
      <c r="G626" s="2">
        <v>0.43</v>
      </c>
      <c r="H626" s="2">
        <v>0.42000000000000004</v>
      </c>
    </row>
    <row r="627" spans="1:8" x14ac:dyDescent="0.25">
      <c r="A627" s="1">
        <v>531</v>
      </c>
      <c r="B627" s="4">
        <v>7599989</v>
      </c>
      <c r="C627" s="3">
        <v>3.0200000000000001E-2</v>
      </c>
      <c r="D627" s="3">
        <f t="shared" si="9"/>
        <v>0.7</v>
      </c>
      <c r="E627" s="1">
        <v>0.3</v>
      </c>
      <c r="F627" s="2">
        <v>0.35</v>
      </c>
      <c r="G627" s="2">
        <v>0.38</v>
      </c>
      <c r="H627" s="2">
        <v>0.27</v>
      </c>
    </row>
    <row r="628" spans="1:8" x14ac:dyDescent="0.25">
      <c r="A628" s="1">
        <v>222</v>
      </c>
      <c r="B628" s="4">
        <v>5369979</v>
      </c>
      <c r="C628" s="3">
        <v>3.0099999999999998E-2</v>
      </c>
      <c r="D628" s="3">
        <f t="shared" si="9"/>
        <v>0.6</v>
      </c>
      <c r="E628" s="1">
        <v>0.4</v>
      </c>
      <c r="F628" s="2">
        <v>0.2</v>
      </c>
      <c r="G628" s="2">
        <v>0.44</v>
      </c>
      <c r="H628" s="2">
        <v>0.36000000000000004</v>
      </c>
    </row>
    <row r="629" spans="1:8" x14ac:dyDescent="0.25">
      <c r="A629" s="1">
        <v>683</v>
      </c>
      <c r="B629" s="4">
        <v>7703679</v>
      </c>
      <c r="C629" s="3">
        <v>3.0099999999999998E-2</v>
      </c>
      <c r="D629" s="3">
        <f t="shared" si="9"/>
        <v>0.7</v>
      </c>
      <c r="E629" s="1">
        <v>0.3</v>
      </c>
      <c r="F629" s="2">
        <v>0.39</v>
      </c>
      <c r="G629" s="2">
        <v>0.23</v>
      </c>
      <c r="H629" s="2">
        <v>0.38</v>
      </c>
    </row>
    <row r="630" spans="1:8" x14ac:dyDescent="0.25">
      <c r="A630" s="1">
        <v>698</v>
      </c>
      <c r="B630" s="4">
        <v>5217476</v>
      </c>
      <c r="C630" s="3">
        <v>3.0099999999999998E-2</v>
      </c>
      <c r="D630" s="3">
        <f t="shared" si="9"/>
        <v>0.6</v>
      </c>
      <c r="E630" s="1">
        <v>0.4</v>
      </c>
      <c r="F630" s="2">
        <v>0.22</v>
      </c>
      <c r="G630" s="2">
        <v>0.26</v>
      </c>
      <c r="H630" s="2">
        <v>0.52</v>
      </c>
    </row>
    <row r="631" spans="1:8" x14ac:dyDescent="0.25">
      <c r="A631" s="1">
        <v>936</v>
      </c>
      <c r="B631" s="4">
        <v>134331</v>
      </c>
      <c r="C631" s="3">
        <v>3.0099999999999998E-2</v>
      </c>
      <c r="D631" s="3">
        <f t="shared" si="9"/>
        <v>0.4</v>
      </c>
      <c r="E631" s="1">
        <v>0.6</v>
      </c>
      <c r="F631" s="2">
        <v>0.32</v>
      </c>
      <c r="G631" s="2">
        <v>0.41</v>
      </c>
      <c r="H631" s="2">
        <v>0.27000000000000007</v>
      </c>
    </row>
    <row r="632" spans="1:8" x14ac:dyDescent="0.25">
      <c r="A632" s="1">
        <v>1029</v>
      </c>
      <c r="B632" s="4">
        <v>1200373</v>
      </c>
      <c r="C632" s="3">
        <v>3.0099999999999998E-2</v>
      </c>
      <c r="D632" s="3">
        <f t="shared" si="9"/>
        <v>0.4</v>
      </c>
      <c r="E632" s="1">
        <v>0.6</v>
      </c>
      <c r="F632" s="2">
        <v>0.2</v>
      </c>
      <c r="G632" s="2">
        <v>0.22</v>
      </c>
      <c r="H632" s="2">
        <v>0.58000000000000007</v>
      </c>
    </row>
    <row r="633" spans="1:8" x14ac:dyDescent="0.25">
      <c r="A633" s="1">
        <v>377</v>
      </c>
      <c r="B633" s="4">
        <v>7821175</v>
      </c>
      <c r="C633" s="3">
        <v>0.03</v>
      </c>
      <c r="D633" s="3">
        <f t="shared" si="9"/>
        <v>0.7</v>
      </c>
      <c r="E633" s="1">
        <v>0.3</v>
      </c>
      <c r="F633" s="2">
        <v>0.16</v>
      </c>
      <c r="G633" s="2">
        <v>0.48</v>
      </c>
      <c r="H633" s="2">
        <v>0.36</v>
      </c>
    </row>
    <row r="634" spans="1:8" x14ac:dyDescent="0.25">
      <c r="A634" s="1">
        <v>728</v>
      </c>
      <c r="B634" s="4">
        <v>8449053</v>
      </c>
      <c r="C634" s="3">
        <v>0.03</v>
      </c>
      <c r="D634" s="3">
        <f t="shared" si="9"/>
        <v>0.7</v>
      </c>
      <c r="E634" s="1">
        <v>0.3</v>
      </c>
      <c r="F634" s="2">
        <v>0.42</v>
      </c>
      <c r="G634" s="2">
        <v>0.5</v>
      </c>
      <c r="H634" s="2">
        <v>8.0000000000000016E-2</v>
      </c>
    </row>
    <row r="635" spans="1:8" x14ac:dyDescent="0.25">
      <c r="A635" s="1">
        <v>893</v>
      </c>
      <c r="B635" s="4">
        <v>4666544</v>
      </c>
      <c r="C635" s="3">
        <v>0.03</v>
      </c>
      <c r="D635" s="3">
        <f t="shared" si="9"/>
        <v>0.6</v>
      </c>
      <c r="E635" s="1">
        <v>0.4</v>
      </c>
      <c r="F635" s="2">
        <v>0.14000000000000001</v>
      </c>
      <c r="G635" s="2">
        <v>0.48</v>
      </c>
      <c r="H635" s="2">
        <v>0.38</v>
      </c>
    </row>
    <row r="636" spans="1:8" x14ac:dyDescent="0.25">
      <c r="A636" s="1">
        <v>930</v>
      </c>
      <c r="B636" s="4">
        <v>9700534</v>
      </c>
      <c r="C636" s="3">
        <v>0.03</v>
      </c>
      <c r="D636" s="3">
        <f t="shared" si="9"/>
        <v>0.7</v>
      </c>
      <c r="E636" s="1">
        <v>0.3</v>
      </c>
      <c r="F636" s="2">
        <v>0.37</v>
      </c>
      <c r="G636" s="2">
        <v>0.49</v>
      </c>
      <c r="H636" s="2">
        <v>0.14000000000000001</v>
      </c>
    </row>
    <row r="637" spans="1:8" x14ac:dyDescent="0.25">
      <c r="A637" s="1">
        <v>127</v>
      </c>
      <c r="B637" s="4">
        <v>8608488</v>
      </c>
      <c r="C637" s="3">
        <v>2.9900000000000003E-2</v>
      </c>
      <c r="D637" s="3">
        <f t="shared" si="9"/>
        <v>0.7</v>
      </c>
      <c r="E637" s="1">
        <v>0.3</v>
      </c>
      <c r="F637" s="2">
        <v>0.35</v>
      </c>
      <c r="G637" s="2">
        <v>0.49</v>
      </c>
      <c r="H637" s="2">
        <v>0.16000000000000003</v>
      </c>
    </row>
    <row r="638" spans="1:8" x14ac:dyDescent="0.25">
      <c r="A638" s="1">
        <v>278</v>
      </c>
      <c r="B638" s="4">
        <v>7833636</v>
      </c>
      <c r="C638" s="3">
        <v>2.9900000000000003E-2</v>
      </c>
      <c r="D638" s="3">
        <f t="shared" si="9"/>
        <v>0.7</v>
      </c>
      <c r="E638" s="1">
        <v>0.3</v>
      </c>
      <c r="F638" s="2">
        <v>0.45</v>
      </c>
      <c r="G638" s="2">
        <v>0.36</v>
      </c>
      <c r="H638" s="2">
        <v>0.19</v>
      </c>
    </row>
    <row r="639" spans="1:8" x14ac:dyDescent="0.25">
      <c r="A639" s="1">
        <v>839</v>
      </c>
      <c r="B639" s="4">
        <v>1352965</v>
      </c>
      <c r="C639" s="3">
        <v>2.9900000000000003E-2</v>
      </c>
      <c r="D639" s="3">
        <f t="shared" si="9"/>
        <v>0.4</v>
      </c>
      <c r="E639" s="1">
        <v>0.6</v>
      </c>
      <c r="F639" s="2">
        <v>0.39</v>
      </c>
      <c r="G639" s="2">
        <v>0.33</v>
      </c>
      <c r="H639" s="2">
        <v>0.27999999999999992</v>
      </c>
    </row>
    <row r="640" spans="1:8" x14ac:dyDescent="0.25">
      <c r="A640" s="1">
        <v>897</v>
      </c>
      <c r="B640" s="4">
        <v>7569428</v>
      </c>
      <c r="C640" s="3">
        <v>2.9900000000000003E-2</v>
      </c>
      <c r="D640" s="3">
        <f t="shared" si="9"/>
        <v>0.7</v>
      </c>
      <c r="E640" s="1">
        <v>0.3</v>
      </c>
      <c r="F640" s="2">
        <v>0.1</v>
      </c>
      <c r="G640" s="2">
        <v>0.44</v>
      </c>
      <c r="H640" s="2">
        <v>0.46000000000000008</v>
      </c>
    </row>
    <row r="641" spans="1:8" x14ac:dyDescent="0.25">
      <c r="A641" s="1">
        <v>1003</v>
      </c>
      <c r="B641" s="4">
        <v>7773614</v>
      </c>
      <c r="C641" s="3">
        <v>2.9900000000000003E-2</v>
      </c>
      <c r="D641" s="3">
        <f t="shared" si="9"/>
        <v>0.7</v>
      </c>
      <c r="E641" s="1">
        <v>0.3</v>
      </c>
      <c r="F641" s="2">
        <v>0.18</v>
      </c>
      <c r="G641" s="2">
        <v>0.25</v>
      </c>
      <c r="H641" s="2">
        <v>0.57000000000000006</v>
      </c>
    </row>
    <row r="642" spans="1:8" x14ac:dyDescent="0.25">
      <c r="A642" s="1">
        <v>269</v>
      </c>
      <c r="B642" s="4">
        <v>8816799</v>
      </c>
      <c r="C642" s="3">
        <v>2.98E-2</v>
      </c>
      <c r="D642" s="3">
        <f t="shared" ref="D642:D705" si="10">1-E642</f>
        <v>0.7</v>
      </c>
      <c r="E642" s="1">
        <v>0.3</v>
      </c>
      <c r="F642" s="2">
        <v>0.33</v>
      </c>
      <c r="G642" s="2">
        <v>0.4</v>
      </c>
      <c r="H642" s="2">
        <v>0.26999999999999996</v>
      </c>
    </row>
    <row r="643" spans="1:8" x14ac:dyDescent="0.25">
      <c r="A643" s="1">
        <v>419</v>
      </c>
      <c r="B643" s="4">
        <v>1549436</v>
      </c>
      <c r="C643" s="3">
        <v>2.98E-2</v>
      </c>
      <c r="D643" s="3">
        <f t="shared" si="10"/>
        <v>0.4</v>
      </c>
      <c r="E643" s="1">
        <v>0.6</v>
      </c>
      <c r="F643" s="2">
        <v>0.21</v>
      </c>
      <c r="G643" s="2">
        <v>0.48</v>
      </c>
      <c r="H643" s="2">
        <v>0.31000000000000005</v>
      </c>
    </row>
    <row r="644" spans="1:8" x14ac:dyDescent="0.25">
      <c r="A644" s="1">
        <v>911</v>
      </c>
      <c r="B644" s="4">
        <v>6157309</v>
      </c>
      <c r="C644" s="3">
        <v>2.9700000000000001E-2</v>
      </c>
      <c r="D644" s="3">
        <f t="shared" si="10"/>
        <v>0.6</v>
      </c>
      <c r="E644" s="1">
        <v>0.4</v>
      </c>
      <c r="F644" s="2">
        <v>0.45</v>
      </c>
      <c r="G644" s="2">
        <v>0.2</v>
      </c>
      <c r="H644" s="2">
        <v>0.35000000000000003</v>
      </c>
    </row>
    <row r="645" spans="1:8" x14ac:dyDescent="0.25">
      <c r="A645" s="1">
        <v>264</v>
      </c>
      <c r="B645" s="4">
        <v>5606935</v>
      </c>
      <c r="C645" s="3">
        <v>2.9500000000000002E-2</v>
      </c>
      <c r="D645" s="3">
        <f t="shared" si="10"/>
        <v>0.6</v>
      </c>
      <c r="E645" s="1">
        <v>0.4</v>
      </c>
      <c r="F645" s="2">
        <v>0.42</v>
      </c>
      <c r="G645" s="2">
        <v>0.31</v>
      </c>
      <c r="H645" s="2">
        <v>0.26999999999999996</v>
      </c>
    </row>
    <row r="646" spans="1:8" x14ac:dyDescent="0.25">
      <c r="A646" s="1">
        <v>616</v>
      </c>
      <c r="B646" s="4">
        <v>9114078</v>
      </c>
      <c r="C646" s="3">
        <v>2.9500000000000002E-2</v>
      </c>
      <c r="D646" s="3">
        <f t="shared" si="10"/>
        <v>0.7</v>
      </c>
      <c r="E646" s="1">
        <v>0.3</v>
      </c>
      <c r="F646" s="2">
        <v>0.32</v>
      </c>
      <c r="G646" s="2">
        <v>0.26</v>
      </c>
      <c r="H646" s="2">
        <v>0.42</v>
      </c>
    </row>
    <row r="647" spans="1:8" x14ac:dyDescent="0.25">
      <c r="A647" s="1">
        <v>706</v>
      </c>
      <c r="B647" s="4">
        <v>2415601</v>
      </c>
      <c r="C647" s="3">
        <v>2.9500000000000002E-2</v>
      </c>
      <c r="D647" s="3">
        <f t="shared" si="10"/>
        <v>0.4</v>
      </c>
      <c r="E647" s="1">
        <v>0.6</v>
      </c>
      <c r="F647" s="2">
        <v>0.4</v>
      </c>
      <c r="G647" s="2">
        <v>0.5</v>
      </c>
      <c r="H647" s="2">
        <v>9.9999999999999978E-2</v>
      </c>
    </row>
    <row r="648" spans="1:8" x14ac:dyDescent="0.25">
      <c r="A648" s="1">
        <v>454</v>
      </c>
      <c r="B648" s="4">
        <v>4412868</v>
      </c>
      <c r="C648" s="3">
        <v>2.9399999999999999E-2</v>
      </c>
      <c r="D648" s="3">
        <f t="shared" si="10"/>
        <v>0.6</v>
      </c>
      <c r="E648" s="1">
        <v>0.4</v>
      </c>
      <c r="F648" s="2">
        <v>0.42</v>
      </c>
      <c r="G648" s="2">
        <v>0.35</v>
      </c>
      <c r="H648" s="2">
        <v>0.23000000000000004</v>
      </c>
    </row>
    <row r="649" spans="1:8" x14ac:dyDescent="0.25">
      <c r="A649" s="1">
        <v>442</v>
      </c>
      <c r="B649" s="4">
        <v>8585374</v>
      </c>
      <c r="C649" s="3">
        <v>2.9300000000000003E-2</v>
      </c>
      <c r="D649" s="3">
        <f t="shared" si="10"/>
        <v>0.7</v>
      </c>
      <c r="E649" s="1">
        <v>0.3</v>
      </c>
      <c r="F649" s="2">
        <v>0.28999999999999998</v>
      </c>
      <c r="G649" s="2">
        <v>0.39</v>
      </c>
      <c r="H649" s="2">
        <v>0.32</v>
      </c>
    </row>
    <row r="650" spans="1:8" x14ac:dyDescent="0.25">
      <c r="A650" s="1">
        <v>331</v>
      </c>
      <c r="B650" s="4">
        <v>6620441</v>
      </c>
      <c r="C650" s="3">
        <v>2.92E-2</v>
      </c>
      <c r="D650" s="3">
        <f t="shared" si="10"/>
        <v>0.6</v>
      </c>
      <c r="E650" s="1">
        <v>0.4</v>
      </c>
      <c r="F650" s="2">
        <v>0.38</v>
      </c>
      <c r="G650" s="2">
        <v>0.25</v>
      </c>
      <c r="H650" s="2">
        <v>0.37</v>
      </c>
    </row>
    <row r="651" spans="1:8" x14ac:dyDescent="0.25">
      <c r="A651" s="1">
        <v>379</v>
      </c>
      <c r="B651" s="4">
        <v>4237216</v>
      </c>
      <c r="C651" s="3">
        <v>2.92E-2</v>
      </c>
      <c r="D651" s="3">
        <f t="shared" si="10"/>
        <v>0.6</v>
      </c>
      <c r="E651" s="1">
        <v>0.4</v>
      </c>
      <c r="F651" s="2">
        <v>0.38</v>
      </c>
      <c r="G651" s="2">
        <v>0.26</v>
      </c>
      <c r="H651" s="2">
        <v>0.36</v>
      </c>
    </row>
    <row r="652" spans="1:8" x14ac:dyDescent="0.25">
      <c r="A652" s="1">
        <v>619</v>
      </c>
      <c r="B652" s="4">
        <v>1244572</v>
      </c>
      <c r="C652" s="3">
        <v>2.92E-2</v>
      </c>
      <c r="D652" s="3">
        <f t="shared" si="10"/>
        <v>0.4</v>
      </c>
      <c r="E652" s="1">
        <v>0.6</v>
      </c>
      <c r="F652" s="2">
        <v>0.31</v>
      </c>
      <c r="G652" s="2">
        <v>0.42</v>
      </c>
      <c r="H652" s="2">
        <v>0.27000000000000007</v>
      </c>
    </row>
    <row r="653" spans="1:8" x14ac:dyDescent="0.25">
      <c r="A653" s="1">
        <v>811</v>
      </c>
      <c r="B653" s="4">
        <v>636628</v>
      </c>
      <c r="C653" s="3">
        <v>2.92E-2</v>
      </c>
      <c r="D653" s="3">
        <f t="shared" si="10"/>
        <v>0.4</v>
      </c>
      <c r="E653" s="1">
        <v>0.6</v>
      </c>
      <c r="F653" s="2">
        <v>0.16</v>
      </c>
      <c r="G653" s="2">
        <v>0.21</v>
      </c>
      <c r="H653" s="2">
        <v>0.63</v>
      </c>
    </row>
    <row r="654" spans="1:8" x14ac:dyDescent="0.25">
      <c r="A654" s="1">
        <v>838</v>
      </c>
      <c r="B654" s="4">
        <v>9866919</v>
      </c>
      <c r="C654" s="3">
        <v>2.92E-2</v>
      </c>
      <c r="D654" s="3">
        <f t="shared" si="10"/>
        <v>0.7</v>
      </c>
      <c r="E654" s="1">
        <v>0.3</v>
      </c>
      <c r="F654" s="2">
        <v>0.11</v>
      </c>
      <c r="G654" s="2">
        <v>0.46</v>
      </c>
      <c r="H654" s="2">
        <v>0.43000000000000005</v>
      </c>
    </row>
    <row r="655" spans="1:8" x14ac:dyDescent="0.25">
      <c r="A655" s="1">
        <v>603</v>
      </c>
      <c r="B655" s="4">
        <v>4255659</v>
      </c>
      <c r="C655" s="3">
        <v>2.9100000000000001E-2</v>
      </c>
      <c r="D655" s="3">
        <f t="shared" si="10"/>
        <v>0.6</v>
      </c>
      <c r="E655" s="1">
        <v>0.4</v>
      </c>
      <c r="F655" s="2">
        <v>0.42</v>
      </c>
      <c r="G655" s="2">
        <v>0.22</v>
      </c>
      <c r="H655" s="2">
        <v>0.36000000000000004</v>
      </c>
    </row>
    <row r="656" spans="1:8" x14ac:dyDescent="0.25">
      <c r="A656" s="1">
        <v>667</v>
      </c>
      <c r="B656" s="4">
        <v>6034505</v>
      </c>
      <c r="C656" s="3">
        <v>2.9100000000000001E-2</v>
      </c>
      <c r="D656" s="3">
        <f t="shared" si="10"/>
        <v>0.6</v>
      </c>
      <c r="E656" s="1">
        <v>0.4</v>
      </c>
      <c r="F656" s="2">
        <v>0.2</v>
      </c>
      <c r="G656" s="2">
        <v>0.5</v>
      </c>
      <c r="H656" s="2">
        <v>0.3</v>
      </c>
    </row>
    <row r="657" spans="1:8" x14ac:dyDescent="0.25">
      <c r="A657" s="1">
        <v>707</v>
      </c>
      <c r="B657" s="4">
        <v>2662142</v>
      </c>
      <c r="C657" s="3">
        <v>2.9100000000000001E-2</v>
      </c>
      <c r="D657" s="3">
        <f t="shared" si="10"/>
        <v>0.4</v>
      </c>
      <c r="E657" s="1">
        <v>0.6</v>
      </c>
      <c r="F657" s="2">
        <v>0.19</v>
      </c>
      <c r="G657" s="2">
        <v>0.48</v>
      </c>
      <c r="H657" s="2">
        <v>0.33</v>
      </c>
    </row>
    <row r="658" spans="1:8" x14ac:dyDescent="0.25">
      <c r="A658" s="1">
        <v>815</v>
      </c>
      <c r="B658" s="4">
        <v>6023739</v>
      </c>
      <c r="C658" s="3">
        <v>2.9100000000000001E-2</v>
      </c>
      <c r="D658" s="3">
        <f t="shared" si="10"/>
        <v>0.6</v>
      </c>
      <c r="E658" s="1">
        <v>0.4</v>
      </c>
      <c r="F658" s="2">
        <v>0.28000000000000003</v>
      </c>
      <c r="G658" s="2">
        <v>0.36</v>
      </c>
      <c r="H658" s="2">
        <v>0.36</v>
      </c>
    </row>
    <row r="659" spans="1:8" x14ac:dyDescent="0.25">
      <c r="A659" s="1">
        <v>292</v>
      </c>
      <c r="B659" s="4">
        <v>8110475</v>
      </c>
      <c r="C659" s="3">
        <v>2.8999999999999998E-2</v>
      </c>
      <c r="D659" s="3">
        <f t="shared" si="10"/>
        <v>0.7</v>
      </c>
      <c r="E659" s="1">
        <v>0.3</v>
      </c>
      <c r="F659" s="2">
        <v>0.43</v>
      </c>
      <c r="G659" s="2">
        <v>0.32</v>
      </c>
      <c r="H659" s="2">
        <v>0.24999999999999994</v>
      </c>
    </row>
    <row r="660" spans="1:8" x14ac:dyDescent="0.25">
      <c r="A660" s="1">
        <v>550</v>
      </c>
      <c r="B660" s="4">
        <v>7325334</v>
      </c>
      <c r="C660" s="3">
        <v>2.8999999999999998E-2</v>
      </c>
      <c r="D660" s="3">
        <f t="shared" si="10"/>
        <v>0.7</v>
      </c>
      <c r="E660" s="1">
        <v>0.3</v>
      </c>
      <c r="F660" s="2">
        <v>0.2</v>
      </c>
      <c r="G660" s="2">
        <v>0.39</v>
      </c>
      <c r="H660" s="2">
        <v>0.41</v>
      </c>
    </row>
    <row r="661" spans="1:8" x14ac:dyDescent="0.25">
      <c r="A661" s="1">
        <v>514</v>
      </c>
      <c r="B661" s="4">
        <v>4286106</v>
      </c>
      <c r="C661" s="3">
        <v>2.8799999999999999E-2</v>
      </c>
      <c r="D661" s="3">
        <f t="shared" si="10"/>
        <v>0.6</v>
      </c>
      <c r="E661" s="1">
        <v>0.4</v>
      </c>
      <c r="F661" s="2">
        <v>0.23</v>
      </c>
      <c r="G661" s="2">
        <v>0.39</v>
      </c>
      <c r="H661" s="2">
        <v>0.38</v>
      </c>
    </row>
    <row r="662" spans="1:8" x14ac:dyDescent="0.25">
      <c r="A662" s="1">
        <v>591</v>
      </c>
      <c r="B662" s="4">
        <v>8113096</v>
      </c>
      <c r="C662" s="3">
        <v>2.8799999999999999E-2</v>
      </c>
      <c r="D662" s="3">
        <f t="shared" si="10"/>
        <v>0.7</v>
      </c>
      <c r="E662" s="1">
        <v>0.3</v>
      </c>
      <c r="F662" s="2">
        <v>0.41</v>
      </c>
      <c r="G662" s="2">
        <v>0.26</v>
      </c>
      <c r="H662" s="2">
        <v>0.33</v>
      </c>
    </row>
    <row r="663" spans="1:8" x14ac:dyDescent="0.25">
      <c r="A663" s="1">
        <v>662</v>
      </c>
      <c r="B663" s="4">
        <v>4466591</v>
      </c>
      <c r="C663" s="3">
        <v>2.8799999999999999E-2</v>
      </c>
      <c r="D663" s="3">
        <f t="shared" si="10"/>
        <v>0.6</v>
      </c>
      <c r="E663" s="1">
        <v>0.4</v>
      </c>
      <c r="F663" s="2">
        <v>0.2</v>
      </c>
      <c r="G663" s="2">
        <v>0.42</v>
      </c>
      <c r="H663" s="2">
        <v>0.38000000000000006</v>
      </c>
    </row>
    <row r="664" spans="1:8" x14ac:dyDescent="0.25">
      <c r="A664" s="1">
        <v>831</v>
      </c>
      <c r="B664" s="4">
        <v>4767104</v>
      </c>
      <c r="C664" s="3">
        <v>2.8799999999999999E-2</v>
      </c>
      <c r="D664" s="3">
        <f t="shared" si="10"/>
        <v>0.6</v>
      </c>
      <c r="E664" s="1">
        <v>0.4</v>
      </c>
      <c r="F664" s="2">
        <v>0.22</v>
      </c>
      <c r="G664" s="2">
        <v>0.48</v>
      </c>
      <c r="H664" s="2">
        <v>0.30000000000000004</v>
      </c>
    </row>
    <row r="665" spans="1:8" x14ac:dyDescent="0.25">
      <c r="A665" s="1">
        <v>262</v>
      </c>
      <c r="B665" s="4">
        <v>9540910</v>
      </c>
      <c r="C665" s="3">
        <v>2.87E-2</v>
      </c>
      <c r="D665" s="3">
        <f t="shared" si="10"/>
        <v>0.7</v>
      </c>
      <c r="E665" s="1">
        <v>0.3</v>
      </c>
      <c r="F665" s="2">
        <v>0.3</v>
      </c>
      <c r="G665" s="2">
        <v>0.21</v>
      </c>
      <c r="H665" s="2">
        <v>0.49000000000000005</v>
      </c>
    </row>
    <row r="666" spans="1:8" x14ac:dyDescent="0.25">
      <c r="A666" s="1">
        <v>762</v>
      </c>
      <c r="B666" s="4">
        <v>6348233</v>
      </c>
      <c r="C666" s="3">
        <v>2.87E-2</v>
      </c>
      <c r="D666" s="3">
        <f t="shared" si="10"/>
        <v>0.6</v>
      </c>
      <c r="E666" s="1">
        <v>0.4</v>
      </c>
      <c r="F666" s="2">
        <v>0.33</v>
      </c>
      <c r="G666" s="2">
        <v>0.46</v>
      </c>
      <c r="H666" s="2">
        <v>0.21000000000000002</v>
      </c>
    </row>
    <row r="667" spans="1:8" x14ac:dyDescent="0.25">
      <c r="A667" s="1">
        <v>767</v>
      </c>
      <c r="B667" s="4">
        <v>392720</v>
      </c>
      <c r="C667" s="3">
        <v>2.87E-2</v>
      </c>
      <c r="D667" s="3">
        <f t="shared" si="10"/>
        <v>0.4</v>
      </c>
      <c r="E667" s="1">
        <v>0.6</v>
      </c>
      <c r="F667" s="2">
        <v>0.22</v>
      </c>
      <c r="G667" s="2">
        <v>0.36</v>
      </c>
      <c r="H667" s="2">
        <v>0.42000000000000004</v>
      </c>
    </row>
    <row r="668" spans="1:8" x14ac:dyDescent="0.25">
      <c r="A668" s="1">
        <v>866</v>
      </c>
      <c r="B668" s="4">
        <v>9153556</v>
      </c>
      <c r="C668" s="3">
        <v>2.87E-2</v>
      </c>
      <c r="D668" s="3">
        <f t="shared" si="10"/>
        <v>0.7</v>
      </c>
      <c r="E668" s="1">
        <v>0.3</v>
      </c>
      <c r="F668" s="2">
        <v>0.18</v>
      </c>
      <c r="G668" s="2">
        <v>0.21</v>
      </c>
      <c r="H668" s="2">
        <v>0.6100000000000001</v>
      </c>
    </row>
    <row r="669" spans="1:8" x14ac:dyDescent="0.25">
      <c r="A669" s="1">
        <v>242</v>
      </c>
      <c r="B669" s="4">
        <v>9187441</v>
      </c>
      <c r="C669" s="3">
        <v>2.8500000000000001E-2</v>
      </c>
      <c r="D669" s="3">
        <f t="shared" si="10"/>
        <v>0.7</v>
      </c>
      <c r="E669" s="1">
        <v>0.3</v>
      </c>
      <c r="F669" s="2">
        <v>0.25</v>
      </c>
      <c r="G669" s="2">
        <v>0.27</v>
      </c>
      <c r="H669" s="2">
        <v>0.48</v>
      </c>
    </row>
    <row r="670" spans="1:8" x14ac:dyDescent="0.25">
      <c r="A670" s="1">
        <v>1038</v>
      </c>
      <c r="B670" s="4">
        <v>7144436</v>
      </c>
      <c r="C670" s="3">
        <v>2.8500000000000001E-2</v>
      </c>
      <c r="D670" s="3">
        <f t="shared" si="10"/>
        <v>0.7</v>
      </c>
      <c r="E670" s="1">
        <v>0.3</v>
      </c>
      <c r="F670" s="2">
        <v>0.19</v>
      </c>
      <c r="G670" s="2">
        <v>0.43</v>
      </c>
      <c r="H670" s="2">
        <v>0.38000000000000006</v>
      </c>
    </row>
    <row r="671" spans="1:8" x14ac:dyDescent="0.25">
      <c r="A671" s="1">
        <v>369</v>
      </c>
      <c r="B671" s="4">
        <v>7928836</v>
      </c>
      <c r="C671" s="3">
        <v>2.8399999999999998E-2</v>
      </c>
      <c r="D671" s="3">
        <f t="shared" si="10"/>
        <v>0.7</v>
      </c>
      <c r="E671" s="1">
        <v>0.3</v>
      </c>
      <c r="F671" s="2">
        <v>0.42</v>
      </c>
      <c r="G671" s="2">
        <v>0.35</v>
      </c>
      <c r="H671" s="2">
        <v>0.23000000000000004</v>
      </c>
    </row>
    <row r="672" spans="1:8" x14ac:dyDescent="0.25">
      <c r="A672" s="1">
        <v>23</v>
      </c>
      <c r="B672" s="4">
        <v>3525089</v>
      </c>
      <c r="C672" s="3">
        <v>2.8300000000000002E-2</v>
      </c>
      <c r="D672" s="3">
        <f t="shared" si="10"/>
        <v>0.6</v>
      </c>
      <c r="E672" s="1">
        <v>0.4</v>
      </c>
      <c r="F672" s="2">
        <v>0.4</v>
      </c>
      <c r="G672" s="2">
        <v>0.39</v>
      </c>
      <c r="H672" s="2">
        <v>0.20999999999999996</v>
      </c>
    </row>
    <row r="673" spans="1:8" x14ac:dyDescent="0.25">
      <c r="A673" s="1">
        <v>357</v>
      </c>
      <c r="B673" s="4">
        <v>1600402</v>
      </c>
      <c r="C673" s="3">
        <v>2.8199999999999999E-2</v>
      </c>
      <c r="D673" s="3">
        <f t="shared" si="10"/>
        <v>0.4</v>
      </c>
      <c r="E673" s="1">
        <v>0.6</v>
      </c>
      <c r="F673" s="2">
        <v>0.11</v>
      </c>
      <c r="G673" s="2">
        <v>0.28000000000000003</v>
      </c>
      <c r="H673" s="2">
        <v>0.61</v>
      </c>
    </row>
    <row r="674" spans="1:8" x14ac:dyDescent="0.25">
      <c r="A674" s="1">
        <v>47</v>
      </c>
      <c r="B674" s="4">
        <v>1095478</v>
      </c>
      <c r="C674" s="3">
        <v>2.81E-2</v>
      </c>
      <c r="D674" s="3">
        <f t="shared" si="10"/>
        <v>0.4</v>
      </c>
      <c r="E674" s="1">
        <v>0.6</v>
      </c>
      <c r="F674" s="2">
        <v>0.45</v>
      </c>
      <c r="G674" s="2">
        <v>0.42</v>
      </c>
      <c r="H674" s="2">
        <v>0.13000000000000006</v>
      </c>
    </row>
    <row r="675" spans="1:8" x14ac:dyDescent="0.25">
      <c r="A675" s="1">
        <v>371</v>
      </c>
      <c r="B675" s="4">
        <v>4087079</v>
      </c>
      <c r="C675" s="3">
        <v>2.7999999999999997E-2</v>
      </c>
      <c r="D675" s="3">
        <f t="shared" si="10"/>
        <v>0.6</v>
      </c>
      <c r="E675" s="1">
        <v>0.4</v>
      </c>
      <c r="F675" s="2">
        <v>0.25</v>
      </c>
      <c r="G675" s="2">
        <v>0.22</v>
      </c>
      <c r="H675" s="2">
        <v>0.53</v>
      </c>
    </row>
    <row r="676" spans="1:8" x14ac:dyDescent="0.25">
      <c r="A676" s="1">
        <v>898</v>
      </c>
      <c r="B676" s="4">
        <v>8231036</v>
      </c>
      <c r="C676" s="3">
        <v>2.7999999999999997E-2</v>
      </c>
      <c r="D676" s="3">
        <f t="shared" si="10"/>
        <v>0.7</v>
      </c>
      <c r="E676" s="1">
        <v>0.3</v>
      </c>
      <c r="F676" s="2">
        <v>0.4</v>
      </c>
      <c r="G676" s="2">
        <v>0.44</v>
      </c>
      <c r="H676" s="2">
        <v>0.16000000000000003</v>
      </c>
    </row>
    <row r="677" spans="1:8" x14ac:dyDescent="0.25">
      <c r="A677" s="1">
        <v>669</v>
      </c>
      <c r="B677" s="4">
        <v>6268033</v>
      </c>
      <c r="C677" s="3">
        <v>2.7900000000000001E-2</v>
      </c>
      <c r="D677" s="3">
        <f t="shared" si="10"/>
        <v>0.6</v>
      </c>
      <c r="E677" s="1">
        <v>0.4</v>
      </c>
      <c r="F677" s="2">
        <v>0.22</v>
      </c>
      <c r="G677" s="2">
        <v>0.35</v>
      </c>
      <c r="H677" s="2">
        <v>0.43000000000000005</v>
      </c>
    </row>
    <row r="678" spans="1:8" x14ac:dyDescent="0.25">
      <c r="A678" s="1">
        <v>572</v>
      </c>
      <c r="B678" s="4">
        <v>8408788</v>
      </c>
      <c r="C678" s="3">
        <v>2.7799999999999998E-2</v>
      </c>
      <c r="D678" s="3">
        <f t="shared" si="10"/>
        <v>0.7</v>
      </c>
      <c r="E678" s="1">
        <v>0.3</v>
      </c>
      <c r="F678" s="2">
        <v>0.26</v>
      </c>
      <c r="G678" s="2">
        <v>0.27</v>
      </c>
      <c r="H678" s="2">
        <v>0.47</v>
      </c>
    </row>
    <row r="679" spans="1:8" x14ac:dyDescent="0.25">
      <c r="A679" s="1">
        <v>659</v>
      </c>
      <c r="B679" s="4">
        <v>5189792</v>
      </c>
      <c r="C679" s="3">
        <v>2.7799999999999998E-2</v>
      </c>
      <c r="D679" s="3">
        <f t="shared" si="10"/>
        <v>0.6</v>
      </c>
      <c r="E679" s="1">
        <v>0.4</v>
      </c>
      <c r="F679" s="2">
        <v>0.39</v>
      </c>
      <c r="G679" s="2">
        <v>0.23</v>
      </c>
      <c r="H679" s="2">
        <v>0.38</v>
      </c>
    </row>
    <row r="680" spans="1:8" x14ac:dyDescent="0.25">
      <c r="A680" s="1">
        <v>784</v>
      </c>
      <c r="B680" s="4">
        <v>744156</v>
      </c>
      <c r="C680" s="3">
        <v>2.7799999999999998E-2</v>
      </c>
      <c r="D680" s="3">
        <f t="shared" si="10"/>
        <v>0.4</v>
      </c>
      <c r="E680" s="1">
        <v>0.6</v>
      </c>
      <c r="F680" s="2">
        <v>0.31</v>
      </c>
      <c r="G680" s="2">
        <v>0.41</v>
      </c>
      <c r="H680" s="2">
        <v>0.28000000000000008</v>
      </c>
    </row>
    <row r="681" spans="1:8" x14ac:dyDescent="0.25">
      <c r="A681" s="1">
        <v>546</v>
      </c>
      <c r="B681" s="4">
        <v>9190762</v>
      </c>
      <c r="C681" s="3">
        <v>2.7699999999999999E-2</v>
      </c>
      <c r="D681" s="3">
        <f t="shared" si="10"/>
        <v>0.7</v>
      </c>
      <c r="E681" s="1">
        <v>0.3</v>
      </c>
      <c r="F681" s="2">
        <v>0.32</v>
      </c>
      <c r="G681" s="2">
        <v>0.33</v>
      </c>
      <c r="H681" s="2">
        <v>0.34999999999999992</v>
      </c>
    </row>
    <row r="682" spans="1:8" x14ac:dyDescent="0.25">
      <c r="A682" s="1">
        <v>64</v>
      </c>
      <c r="B682" s="4">
        <v>3509025</v>
      </c>
      <c r="C682" s="3">
        <v>2.76E-2</v>
      </c>
      <c r="D682" s="3">
        <f t="shared" si="10"/>
        <v>0.6</v>
      </c>
      <c r="E682" s="1">
        <v>0.4</v>
      </c>
      <c r="F682" s="2">
        <v>0.27</v>
      </c>
      <c r="G682" s="2">
        <v>0.47</v>
      </c>
      <c r="H682" s="2">
        <v>0.26</v>
      </c>
    </row>
    <row r="683" spans="1:8" x14ac:dyDescent="0.25">
      <c r="A683" s="1">
        <v>273</v>
      </c>
      <c r="B683" s="4">
        <v>6938631</v>
      </c>
      <c r="C683" s="3">
        <v>2.76E-2</v>
      </c>
      <c r="D683" s="3">
        <f t="shared" si="10"/>
        <v>0.6</v>
      </c>
      <c r="E683" s="1">
        <v>0.4</v>
      </c>
      <c r="F683" s="2">
        <v>0.38</v>
      </c>
      <c r="G683" s="2">
        <v>0.44</v>
      </c>
      <c r="H683" s="2">
        <v>0.18000000000000005</v>
      </c>
    </row>
    <row r="684" spans="1:8" x14ac:dyDescent="0.25">
      <c r="A684" s="1">
        <v>497</v>
      </c>
      <c r="B684" s="4">
        <v>1325111</v>
      </c>
      <c r="C684" s="3">
        <v>2.76E-2</v>
      </c>
      <c r="D684" s="3">
        <f t="shared" si="10"/>
        <v>0.4</v>
      </c>
      <c r="E684" s="1">
        <v>0.6</v>
      </c>
      <c r="F684" s="2">
        <v>0.17</v>
      </c>
      <c r="G684" s="2">
        <v>0.28000000000000003</v>
      </c>
      <c r="H684" s="2">
        <v>0.54999999999999993</v>
      </c>
    </row>
    <row r="685" spans="1:8" x14ac:dyDescent="0.25">
      <c r="A685" s="1">
        <v>834</v>
      </c>
      <c r="B685" s="4">
        <v>5946101</v>
      </c>
      <c r="C685" s="3">
        <v>2.76E-2</v>
      </c>
      <c r="D685" s="3">
        <f t="shared" si="10"/>
        <v>0.6</v>
      </c>
      <c r="E685" s="1">
        <v>0.4</v>
      </c>
      <c r="F685" s="2">
        <v>0.12</v>
      </c>
      <c r="G685" s="2">
        <v>0.48</v>
      </c>
      <c r="H685" s="2">
        <v>0.4</v>
      </c>
    </row>
    <row r="686" spans="1:8" x14ac:dyDescent="0.25">
      <c r="A686" s="1">
        <v>136</v>
      </c>
      <c r="B686" s="4">
        <v>612959</v>
      </c>
      <c r="C686" s="3">
        <v>2.75E-2</v>
      </c>
      <c r="D686" s="3">
        <f t="shared" si="10"/>
        <v>0.4</v>
      </c>
      <c r="E686" s="1">
        <v>0.6</v>
      </c>
      <c r="F686" s="2">
        <v>0.41</v>
      </c>
      <c r="G686" s="2">
        <v>0.43</v>
      </c>
      <c r="H686" s="2">
        <v>0.16000000000000009</v>
      </c>
    </row>
    <row r="687" spans="1:8" x14ac:dyDescent="0.25">
      <c r="A687" s="1">
        <v>98</v>
      </c>
      <c r="B687" s="4">
        <v>8558431</v>
      </c>
      <c r="C687" s="3">
        <v>2.7400000000000001E-2</v>
      </c>
      <c r="D687" s="3">
        <f t="shared" si="10"/>
        <v>0.7</v>
      </c>
      <c r="E687" s="1">
        <v>0.3</v>
      </c>
      <c r="F687" s="2">
        <v>0.36</v>
      </c>
      <c r="G687" s="2">
        <v>0.23</v>
      </c>
      <c r="H687" s="2">
        <v>0.41000000000000003</v>
      </c>
    </row>
    <row r="688" spans="1:8" x14ac:dyDescent="0.25">
      <c r="A688" s="1">
        <v>719</v>
      </c>
      <c r="B688" s="4">
        <v>7233485</v>
      </c>
      <c r="C688" s="3">
        <v>2.7400000000000001E-2</v>
      </c>
      <c r="D688" s="3">
        <f t="shared" si="10"/>
        <v>0.7</v>
      </c>
      <c r="E688" s="1">
        <v>0.3</v>
      </c>
      <c r="F688" s="2">
        <v>0.28999999999999998</v>
      </c>
      <c r="G688" s="2">
        <v>0.46</v>
      </c>
      <c r="H688" s="2">
        <v>0.25000000000000006</v>
      </c>
    </row>
    <row r="689" spans="1:8" x14ac:dyDescent="0.25">
      <c r="A689" s="1">
        <v>889</v>
      </c>
      <c r="B689" s="4">
        <v>8707056</v>
      </c>
      <c r="C689" s="3">
        <v>2.7400000000000001E-2</v>
      </c>
      <c r="D689" s="3">
        <f t="shared" si="10"/>
        <v>0.7</v>
      </c>
      <c r="E689" s="1">
        <v>0.3</v>
      </c>
      <c r="F689" s="2">
        <v>0.37</v>
      </c>
      <c r="G689" s="2">
        <v>0.42</v>
      </c>
      <c r="H689" s="2">
        <v>0.21000000000000008</v>
      </c>
    </row>
    <row r="690" spans="1:8" x14ac:dyDescent="0.25">
      <c r="A690" s="1">
        <v>285</v>
      </c>
      <c r="B690" s="4">
        <v>251950</v>
      </c>
      <c r="C690" s="3">
        <v>2.7300000000000001E-2</v>
      </c>
      <c r="D690" s="3">
        <f t="shared" si="10"/>
        <v>0.4</v>
      </c>
      <c r="E690" s="1">
        <v>0.6</v>
      </c>
      <c r="F690" s="2">
        <v>0.19</v>
      </c>
      <c r="G690" s="2">
        <v>0.28999999999999998</v>
      </c>
      <c r="H690" s="2">
        <v>0.52</v>
      </c>
    </row>
    <row r="691" spans="1:8" x14ac:dyDescent="0.25">
      <c r="A691" s="1">
        <v>406</v>
      </c>
      <c r="B691" s="4">
        <v>8682850</v>
      </c>
      <c r="C691" s="3">
        <v>2.7300000000000001E-2</v>
      </c>
      <c r="D691" s="3">
        <f t="shared" si="10"/>
        <v>0.7</v>
      </c>
      <c r="E691" s="1">
        <v>0.3</v>
      </c>
      <c r="F691" s="2">
        <v>0.26</v>
      </c>
      <c r="G691" s="2">
        <v>0.34</v>
      </c>
      <c r="H691" s="2">
        <v>0.39999999999999991</v>
      </c>
    </row>
    <row r="692" spans="1:8" x14ac:dyDescent="0.25">
      <c r="A692" s="1">
        <v>470</v>
      </c>
      <c r="B692" s="4">
        <v>5658220</v>
      </c>
      <c r="C692" s="3">
        <v>2.7300000000000001E-2</v>
      </c>
      <c r="D692" s="3">
        <f t="shared" si="10"/>
        <v>0.6</v>
      </c>
      <c r="E692" s="1">
        <v>0.4</v>
      </c>
      <c r="F692" s="2">
        <v>0.4</v>
      </c>
      <c r="G692" s="2">
        <v>0.34</v>
      </c>
      <c r="H692" s="2">
        <v>0.2599999999999999</v>
      </c>
    </row>
    <row r="693" spans="1:8" x14ac:dyDescent="0.25">
      <c r="A693" s="1">
        <v>501</v>
      </c>
      <c r="B693" s="4">
        <v>2390880</v>
      </c>
      <c r="C693" s="3">
        <v>2.7200000000000002E-2</v>
      </c>
      <c r="D693" s="3">
        <f t="shared" si="10"/>
        <v>0.4</v>
      </c>
      <c r="E693" s="1">
        <v>0.6</v>
      </c>
      <c r="F693" s="2">
        <v>0.21</v>
      </c>
      <c r="G693" s="2">
        <v>0.2</v>
      </c>
      <c r="H693" s="2">
        <v>0.59000000000000008</v>
      </c>
    </row>
    <row r="694" spans="1:8" x14ac:dyDescent="0.25">
      <c r="A694" s="1">
        <v>599</v>
      </c>
      <c r="B694" s="4">
        <v>3307996</v>
      </c>
      <c r="C694" s="3">
        <v>2.7200000000000002E-2</v>
      </c>
      <c r="D694" s="3">
        <f t="shared" si="10"/>
        <v>0.6</v>
      </c>
      <c r="E694" s="1">
        <v>0.4</v>
      </c>
      <c r="F694" s="2">
        <v>0.28999999999999998</v>
      </c>
      <c r="G694" s="2">
        <v>0.38</v>
      </c>
      <c r="H694" s="2">
        <v>0.33</v>
      </c>
    </row>
    <row r="695" spans="1:8" x14ac:dyDescent="0.25">
      <c r="A695" s="1">
        <v>221</v>
      </c>
      <c r="B695" s="4">
        <v>2680440</v>
      </c>
      <c r="C695" s="3">
        <v>2.7000000000000003E-2</v>
      </c>
      <c r="D695" s="3">
        <f t="shared" si="10"/>
        <v>0.4</v>
      </c>
      <c r="E695" s="1">
        <v>0.6</v>
      </c>
      <c r="F695" s="2">
        <v>0.44</v>
      </c>
      <c r="G695" s="2">
        <v>0.39</v>
      </c>
      <c r="H695" s="2">
        <v>0.16999999999999998</v>
      </c>
    </row>
    <row r="696" spans="1:8" x14ac:dyDescent="0.25">
      <c r="A696" s="1">
        <v>852</v>
      </c>
      <c r="B696" s="4">
        <v>3808352</v>
      </c>
      <c r="C696" s="3">
        <v>2.7000000000000003E-2</v>
      </c>
      <c r="D696" s="3">
        <f t="shared" si="10"/>
        <v>0.6</v>
      </c>
      <c r="E696" s="1">
        <v>0.4</v>
      </c>
      <c r="F696" s="2">
        <v>0.34</v>
      </c>
      <c r="G696" s="2">
        <v>0.48</v>
      </c>
      <c r="H696" s="2">
        <v>0.18</v>
      </c>
    </row>
    <row r="697" spans="1:8" x14ac:dyDescent="0.25">
      <c r="A697" s="1">
        <v>142</v>
      </c>
      <c r="B697" s="4">
        <v>5540427</v>
      </c>
      <c r="C697" s="3">
        <v>2.69E-2</v>
      </c>
      <c r="D697" s="3">
        <f t="shared" si="10"/>
        <v>0.6</v>
      </c>
      <c r="E697" s="1">
        <v>0.4</v>
      </c>
      <c r="F697" s="2">
        <v>0.28999999999999998</v>
      </c>
      <c r="G697" s="2">
        <v>0.27</v>
      </c>
      <c r="H697" s="2">
        <v>0.44</v>
      </c>
    </row>
    <row r="698" spans="1:8" x14ac:dyDescent="0.25">
      <c r="A698" s="1">
        <v>701</v>
      </c>
      <c r="B698" s="4">
        <v>9904733</v>
      </c>
      <c r="C698" s="3">
        <v>2.69E-2</v>
      </c>
      <c r="D698" s="3">
        <f t="shared" si="10"/>
        <v>0.7</v>
      </c>
      <c r="E698" s="1">
        <v>0.3</v>
      </c>
      <c r="F698" s="2">
        <v>0.37</v>
      </c>
      <c r="G698" s="2">
        <v>0.4</v>
      </c>
      <c r="H698" s="2">
        <v>0.22999999999999998</v>
      </c>
    </row>
    <row r="699" spans="1:8" x14ac:dyDescent="0.25">
      <c r="A699" s="1">
        <v>1042</v>
      </c>
      <c r="B699" s="4">
        <v>5264870</v>
      </c>
      <c r="C699" s="3">
        <v>2.6800000000000001E-2</v>
      </c>
      <c r="D699" s="3">
        <f t="shared" si="10"/>
        <v>0.6</v>
      </c>
      <c r="E699" s="1">
        <v>0.4</v>
      </c>
      <c r="F699" s="2">
        <v>0.42</v>
      </c>
      <c r="G699" s="2">
        <v>0.28999999999999998</v>
      </c>
      <c r="H699" s="2">
        <v>0.28999999999999998</v>
      </c>
    </row>
    <row r="700" spans="1:8" x14ac:dyDescent="0.25">
      <c r="A700" s="1">
        <v>42</v>
      </c>
      <c r="B700" s="4">
        <v>5048486</v>
      </c>
      <c r="C700" s="3">
        <v>2.6699999999999998E-2</v>
      </c>
      <c r="D700" s="3">
        <f t="shared" si="10"/>
        <v>0.6</v>
      </c>
      <c r="E700" s="1">
        <v>0.4</v>
      </c>
      <c r="F700" s="2">
        <v>0.2</v>
      </c>
      <c r="G700" s="2">
        <v>0.46</v>
      </c>
      <c r="H700" s="2">
        <v>0.34</v>
      </c>
    </row>
    <row r="701" spans="1:8" x14ac:dyDescent="0.25">
      <c r="A701" s="1">
        <v>106</v>
      </c>
      <c r="B701" s="4">
        <v>5932467</v>
      </c>
      <c r="C701" s="3">
        <v>2.6699999999999998E-2</v>
      </c>
      <c r="D701" s="3">
        <f t="shared" si="10"/>
        <v>0.6</v>
      </c>
      <c r="E701" s="1">
        <v>0.4</v>
      </c>
      <c r="F701" s="2">
        <v>0.36</v>
      </c>
      <c r="G701" s="2">
        <v>0.28000000000000003</v>
      </c>
      <c r="H701" s="2">
        <v>0.36</v>
      </c>
    </row>
    <row r="702" spans="1:8" x14ac:dyDescent="0.25">
      <c r="A702" s="1">
        <v>7</v>
      </c>
      <c r="B702" s="4">
        <v>7805733</v>
      </c>
      <c r="C702" s="3">
        <v>2.6600000000000002E-2</v>
      </c>
      <c r="D702" s="3">
        <f t="shared" si="10"/>
        <v>0.7</v>
      </c>
      <c r="E702" s="1">
        <v>0.3</v>
      </c>
      <c r="F702" s="2">
        <v>0.28999999999999998</v>
      </c>
      <c r="G702" s="2">
        <v>0.23</v>
      </c>
      <c r="H702" s="2">
        <v>0.48000000000000004</v>
      </c>
    </row>
    <row r="703" spans="1:8" x14ac:dyDescent="0.25">
      <c r="A703" s="1">
        <v>398</v>
      </c>
      <c r="B703" s="4">
        <v>8325284</v>
      </c>
      <c r="C703" s="3">
        <v>2.6600000000000002E-2</v>
      </c>
      <c r="D703" s="3">
        <f t="shared" si="10"/>
        <v>0.7</v>
      </c>
      <c r="E703" s="1">
        <v>0.3</v>
      </c>
      <c r="F703" s="2">
        <v>0.17</v>
      </c>
      <c r="G703" s="2">
        <v>0.26</v>
      </c>
      <c r="H703" s="2">
        <v>0.56999999999999995</v>
      </c>
    </row>
    <row r="704" spans="1:8" x14ac:dyDescent="0.25">
      <c r="A704" s="1">
        <v>670</v>
      </c>
      <c r="B704" s="4">
        <v>8642491</v>
      </c>
      <c r="C704" s="3">
        <v>2.6499999999999999E-2</v>
      </c>
      <c r="D704" s="3">
        <f t="shared" si="10"/>
        <v>0.7</v>
      </c>
      <c r="E704" s="1">
        <v>0.3</v>
      </c>
      <c r="F704" s="2">
        <v>0.16</v>
      </c>
      <c r="G704" s="2">
        <v>0.28000000000000003</v>
      </c>
      <c r="H704" s="2">
        <v>0.55999999999999994</v>
      </c>
    </row>
    <row r="705" spans="1:8" x14ac:dyDescent="0.25">
      <c r="A705" s="1">
        <v>892</v>
      </c>
      <c r="B705" s="4">
        <v>5231992</v>
      </c>
      <c r="C705" s="3">
        <v>2.6499999999999999E-2</v>
      </c>
      <c r="D705" s="3">
        <f t="shared" si="10"/>
        <v>0.6</v>
      </c>
      <c r="E705" s="1">
        <v>0.4</v>
      </c>
      <c r="F705" s="2">
        <v>0.11</v>
      </c>
      <c r="G705" s="2">
        <v>0.3</v>
      </c>
      <c r="H705" s="2">
        <v>0.59</v>
      </c>
    </row>
    <row r="706" spans="1:8" x14ac:dyDescent="0.25">
      <c r="A706" s="1">
        <v>44</v>
      </c>
      <c r="B706" s="4">
        <v>5340463</v>
      </c>
      <c r="C706" s="3">
        <v>2.64E-2</v>
      </c>
      <c r="D706" s="3">
        <f t="shared" ref="D706:D769" si="11">1-E706</f>
        <v>0.6</v>
      </c>
      <c r="E706" s="1">
        <v>0.4</v>
      </c>
      <c r="F706" s="2">
        <v>0.28000000000000003</v>
      </c>
      <c r="G706" s="2">
        <v>0.33</v>
      </c>
      <c r="H706" s="2">
        <v>0.3899999999999999</v>
      </c>
    </row>
    <row r="707" spans="1:8" x14ac:dyDescent="0.25">
      <c r="A707" s="1">
        <v>587</v>
      </c>
      <c r="B707" s="4">
        <v>6257581</v>
      </c>
      <c r="C707" s="3">
        <v>2.64E-2</v>
      </c>
      <c r="D707" s="3">
        <f t="shared" si="11"/>
        <v>0.6</v>
      </c>
      <c r="E707" s="1">
        <v>0.4</v>
      </c>
      <c r="F707" s="2">
        <v>0.22</v>
      </c>
      <c r="G707" s="2">
        <v>0.27</v>
      </c>
      <c r="H707" s="2">
        <v>0.51</v>
      </c>
    </row>
    <row r="708" spans="1:8" x14ac:dyDescent="0.25">
      <c r="A708" s="1">
        <v>702</v>
      </c>
      <c r="B708" s="4">
        <v>4680810</v>
      </c>
      <c r="C708" s="3">
        <v>2.64E-2</v>
      </c>
      <c r="D708" s="3">
        <f t="shared" si="11"/>
        <v>0.6</v>
      </c>
      <c r="E708" s="1">
        <v>0.4</v>
      </c>
      <c r="F708" s="2">
        <v>0.19</v>
      </c>
      <c r="G708" s="2">
        <v>0.2</v>
      </c>
      <c r="H708" s="2">
        <v>0.6100000000000001</v>
      </c>
    </row>
    <row r="709" spans="1:8" x14ac:dyDescent="0.25">
      <c r="A709" s="1">
        <v>800</v>
      </c>
      <c r="B709" s="4">
        <v>9293435</v>
      </c>
      <c r="C709" s="3">
        <v>2.64E-2</v>
      </c>
      <c r="D709" s="3">
        <f t="shared" si="11"/>
        <v>0.7</v>
      </c>
      <c r="E709" s="1">
        <v>0.3</v>
      </c>
      <c r="F709" s="2">
        <v>0.3</v>
      </c>
      <c r="G709" s="2">
        <v>0.42</v>
      </c>
      <c r="H709" s="2">
        <v>0.28000000000000008</v>
      </c>
    </row>
    <row r="710" spans="1:8" x14ac:dyDescent="0.25">
      <c r="A710" s="1">
        <v>32</v>
      </c>
      <c r="B710" s="4">
        <v>9356583</v>
      </c>
      <c r="C710" s="3">
        <v>2.63E-2</v>
      </c>
      <c r="D710" s="3">
        <f t="shared" si="11"/>
        <v>0.7</v>
      </c>
      <c r="E710" s="1">
        <v>0.3</v>
      </c>
      <c r="F710" s="2">
        <v>0.1</v>
      </c>
      <c r="G710" s="2">
        <v>0.23</v>
      </c>
      <c r="H710" s="2">
        <v>0.67</v>
      </c>
    </row>
    <row r="711" spans="1:8" x14ac:dyDescent="0.25">
      <c r="A711" s="1">
        <v>186</v>
      </c>
      <c r="B711" s="4">
        <v>8516869</v>
      </c>
      <c r="C711" s="3">
        <v>2.63E-2</v>
      </c>
      <c r="D711" s="3">
        <f t="shared" si="11"/>
        <v>0.7</v>
      </c>
      <c r="E711" s="1">
        <v>0.3</v>
      </c>
      <c r="F711" s="2">
        <v>0.12</v>
      </c>
      <c r="G711" s="2">
        <v>0.23</v>
      </c>
      <c r="H711" s="2">
        <v>0.65</v>
      </c>
    </row>
    <row r="712" spans="1:8" x14ac:dyDescent="0.25">
      <c r="A712" s="1">
        <v>444</v>
      </c>
      <c r="B712" s="4">
        <v>6123992</v>
      </c>
      <c r="C712" s="3">
        <v>2.63E-2</v>
      </c>
      <c r="D712" s="3">
        <f t="shared" si="11"/>
        <v>0.6</v>
      </c>
      <c r="E712" s="1">
        <v>0.4</v>
      </c>
      <c r="F712" s="2">
        <v>0.4</v>
      </c>
      <c r="G712" s="2">
        <v>0.4</v>
      </c>
      <c r="H712" s="2">
        <v>0.19999999999999996</v>
      </c>
    </row>
    <row r="713" spans="1:8" x14ac:dyDescent="0.25">
      <c r="A713" s="1">
        <v>511</v>
      </c>
      <c r="B713" s="4">
        <v>924656</v>
      </c>
      <c r="C713" s="3">
        <v>2.63E-2</v>
      </c>
      <c r="D713" s="3">
        <f t="shared" si="11"/>
        <v>0.4</v>
      </c>
      <c r="E713" s="1">
        <v>0.6</v>
      </c>
      <c r="F713" s="2">
        <v>0.41</v>
      </c>
      <c r="G713" s="2">
        <v>0.31</v>
      </c>
      <c r="H713" s="2">
        <v>0.27999999999999997</v>
      </c>
    </row>
    <row r="714" spans="1:8" x14ac:dyDescent="0.25">
      <c r="A714" s="1">
        <v>948</v>
      </c>
      <c r="B714" s="4">
        <v>1629171</v>
      </c>
      <c r="C714" s="3">
        <v>2.6200000000000001E-2</v>
      </c>
      <c r="D714" s="3">
        <f t="shared" si="11"/>
        <v>0.4</v>
      </c>
      <c r="E714" s="1">
        <v>0.6</v>
      </c>
      <c r="F714" s="2">
        <v>0.32</v>
      </c>
      <c r="G714" s="2">
        <v>0.4</v>
      </c>
      <c r="H714" s="2">
        <v>0.27999999999999997</v>
      </c>
    </row>
    <row r="715" spans="1:8" x14ac:dyDescent="0.25">
      <c r="A715" s="1">
        <v>755</v>
      </c>
      <c r="B715" s="4">
        <v>5701978</v>
      </c>
      <c r="C715" s="3">
        <v>2.6099999999999998E-2</v>
      </c>
      <c r="D715" s="3">
        <f t="shared" si="11"/>
        <v>0.6</v>
      </c>
      <c r="E715" s="1">
        <v>0.4</v>
      </c>
      <c r="F715" s="2">
        <v>0.28999999999999998</v>
      </c>
      <c r="G715" s="2">
        <v>0.22</v>
      </c>
      <c r="H715" s="2">
        <v>0.49000000000000005</v>
      </c>
    </row>
    <row r="716" spans="1:8" x14ac:dyDescent="0.25">
      <c r="A716" s="1">
        <v>1</v>
      </c>
      <c r="B716" s="4">
        <v>6626334</v>
      </c>
      <c r="C716" s="3">
        <v>2.6000000000000002E-2</v>
      </c>
      <c r="D716" s="3">
        <f t="shared" si="11"/>
        <v>0.6</v>
      </c>
      <c r="E716" s="1">
        <v>0.4</v>
      </c>
      <c r="F716" s="2">
        <v>0.35</v>
      </c>
      <c r="G716" s="2">
        <v>0.35</v>
      </c>
      <c r="H716" s="2">
        <v>0.30000000000000004</v>
      </c>
    </row>
    <row r="717" spans="1:8" x14ac:dyDescent="0.25">
      <c r="A717" s="1">
        <v>525</v>
      </c>
      <c r="B717" s="4">
        <v>1526847</v>
      </c>
      <c r="C717" s="3">
        <v>2.6000000000000002E-2</v>
      </c>
      <c r="D717" s="3">
        <f t="shared" si="11"/>
        <v>0.4</v>
      </c>
      <c r="E717" s="1">
        <v>0.6</v>
      </c>
      <c r="F717" s="2">
        <v>0.1</v>
      </c>
      <c r="G717" s="2">
        <v>0.49</v>
      </c>
      <c r="H717" s="2">
        <v>0.41000000000000003</v>
      </c>
    </row>
    <row r="718" spans="1:8" x14ac:dyDescent="0.25">
      <c r="A718" s="1">
        <v>343</v>
      </c>
      <c r="B718" s="4">
        <v>5189328</v>
      </c>
      <c r="C718" s="3">
        <v>2.5899999999999999E-2</v>
      </c>
      <c r="D718" s="3">
        <f t="shared" si="11"/>
        <v>0.6</v>
      </c>
      <c r="E718" s="1">
        <v>0.4</v>
      </c>
      <c r="F718" s="2">
        <v>0.3</v>
      </c>
      <c r="G718" s="2">
        <v>0.36</v>
      </c>
      <c r="H718" s="2">
        <v>0.34</v>
      </c>
    </row>
    <row r="719" spans="1:8" x14ac:dyDescent="0.25">
      <c r="A719" s="1">
        <v>229</v>
      </c>
      <c r="B719" s="4">
        <v>8705447</v>
      </c>
      <c r="C719" s="3">
        <v>2.58E-2</v>
      </c>
      <c r="D719" s="3">
        <f t="shared" si="11"/>
        <v>0.7</v>
      </c>
      <c r="E719" s="1">
        <v>0.3</v>
      </c>
      <c r="F719" s="2">
        <v>0.2</v>
      </c>
      <c r="G719" s="2">
        <v>0.39</v>
      </c>
      <c r="H719" s="2">
        <v>0.41</v>
      </c>
    </row>
    <row r="720" spans="1:8" x14ac:dyDescent="0.25">
      <c r="A720" s="1">
        <v>367</v>
      </c>
      <c r="B720" s="4">
        <v>194891</v>
      </c>
      <c r="C720" s="3">
        <v>2.58E-2</v>
      </c>
      <c r="D720" s="3">
        <f t="shared" si="11"/>
        <v>0.4</v>
      </c>
      <c r="E720" s="1">
        <v>0.6</v>
      </c>
      <c r="F720" s="2">
        <v>0.36</v>
      </c>
      <c r="G720" s="2">
        <v>0.42</v>
      </c>
      <c r="H720" s="2">
        <v>0.22000000000000008</v>
      </c>
    </row>
    <row r="721" spans="1:8" x14ac:dyDescent="0.25">
      <c r="A721" s="1">
        <v>423</v>
      </c>
      <c r="B721" s="4">
        <v>3264493</v>
      </c>
      <c r="C721" s="3">
        <v>2.58E-2</v>
      </c>
      <c r="D721" s="3">
        <f t="shared" si="11"/>
        <v>0.6</v>
      </c>
      <c r="E721" s="1">
        <v>0.4</v>
      </c>
      <c r="F721" s="2">
        <v>0.39</v>
      </c>
      <c r="G721" s="2">
        <v>0.44</v>
      </c>
      <c r="H721" s="2">
        <v>0.17000000000000004</v>
      </c>
    </row>
    <row r="722" spans="1:8" x14ac:dyDescent="0.25">
      <c r="A722" s="1">
        <v>687</v>
      </c>
      <c r="B722" s="4">
        <v>2127490</v>
      </c>
      <c r="C722" s="3">
        <v>2.58E-2</v>
      </c>
      <c r="D722" s="3">
        <f t="shared" si="11"/>
        <v>0.4</v>
      </c>
      <c r="E722" s="1">
        <v>0.6</v>
      </c>
      <c r="F722" s="2">
        <v>0.19</v>
      </c>
      <c r="G722" s="2">
        <v>0.35</v>
      </c>
      <c r="H722" s="2">
        <v>0.46</v>
      </c>
    </row>
    <row r="723" spans="1:8" x14ac:dyDescent="0.25">
      <c r="A723" s="1">
        <v>141</v>
      </c>
      <c r="B723" s="4">
        <v>4766131</v>
      </c>
      <c r="C723" s="3">
        <v>2.5699999999999997E-2</v>
      </c>
      <c r="D723" s="3">
        <f t="shared" si="11"/>
        <v>0.6</v>
      </c>
      <c r="E723" s="1">
        <v>0.4</v>
      </c>
      <c r="F723" s="2">
        <v>0.31</v>
      </c>
      <c r="G723" s="2">
        <v>0.44</v>
      </c>
      <c r="H723" s="2">
        <v>0.25000000000000006</v>
      </c>
    </row>
    <row r="724" spans="1:8" x14ac:dyDescent="0.25">
      <c r="A724" s="1">
        <v>159</v>
      </c>
      <c r="B724" s="4">
        <v>1986473</v>
      </c>
      <c r="C724" s="3">
        <v>2.5699999999999997E-2</v>
      </c>
      <c r="D724" s="3">
        <f t="shared" si="11"/>
        <v>0.4</v>
      </c>
      <c r="E724" s="1">
        <v>0.6</v>
      </c>
      <c r="F724" s="2">
        <v>0.21</v>
      </c>
      <c r="G724" s="2">
        <v>0.26</v>
      </c>
      <c r="H724" s="2">
        <v>0.53</v>
      </c>
    </row>
    <row r="725" spans="1:8" x14ac:dyDescent="0.25">
      <c r="A725" s="1">
        <v>244</v>
      </c>
      <c r="B725" s="4">
        <v>7230456</v>
      </c>
      <c r="C725" s="3">
        <v>2.5699999999999997E-2</v>
      </c>
      <c r="D725" s="3">
        <f t="shared" si="11"/>
        <v>0.7</v>
      </c>
      <c r="E725" s="1">
        <v>0.3</v>
      </c>
      <c r="F725" s="2">
        <v>0.28000000000000003</v>
      </c>
      <c r="G725" s="2">
        <v>0.46</v>
      </c>
      <c r="H725" s="2">
        <v>0.26</v>
      </c>
    </row>
    <row r="726" spans="1:8" x14ac:dyDescent="0.25">
      <c r="A726" s="1">
        <v>392</v>
      </c>
      <c r="B726" s="4">
        <v>5030905</v>
      </c>
      <c r="C726" s="3">
        <v>2.5699999999999997E-2</v>
      </c>
      <c r="D726" s="3">
        <f t="shared" si="11"/>
        <v>0.6</v>
      </c>
      <c r="E726" s="1">
        <v>0.4</v>
      </c>
      <c r="F726" s="2">
        <v>0.28999999999999998</v>
      </c>
      <c r="G726" s="2">
        <v>0.2</v>
      </c>
      <c r="H726" s="2">
        <v>0.51</v>
      </c>
    </row>
    <row r="727" spans="1:8" x14ac:dyDescent="0.25">
      <c r="A727" s="1">
        <v>575</v>
      </c>
      <c r="B727" s="4">
        <v>7190644</v>
      </c>
      <c r="C727" s="3">
        <v>2.5600000000000001E-2</v>
      </c>
      <c r="D727" s="3">
        <f t="shared" si="11"/>
        <v>0.7</v>
      </c>
      <c r="E727" s="1">
        <v>0.3</v>
      </c>
      <c r="F727" s="2">
        <v>0.18</v>
      </c>
      <c r="G727" s="2">
        <v>0.45</v>
      </c>
      <c r="H727" s="2">
        <v>0.37000000000000005</v>
      </c>
    </row>
    <row r="728" spans="1:8" x14ac:dyDescent="0.25">
      <c r="A728" s="1">
        <v>685</v>
      </c>
      <c r="B728" s="4">
        <v>9327802</v>
      </c>
      <c r="C728" s="3">
        <v>2.5499999999999998E-2</v>
      </c>
      <c r="D728" s="3">
        <f t="shared" si="11"/>
        <v>0.7</v>
      </c>
      <c r="E728" s="1">
        <v>0.3</v>
      </c>
      <c r="F728" s="2">
        <v>0.37</v>
      </c>
      <c r="G728" s="2">
        <v>0.31</v>
      </c>
      <c r="H728" s="2">
        <v>0.31999999999999995</v>
      </c>
    </row>
    <row r="729" spans="1:8" x14ac:dyDescent="0.25">
      <c r="A729" s="1">
        <v>882</v>
      </c>
      <c r="B729" s="4">
        <v>8148133</v>
      </c>
      <c r="C729" s="3">
        <v>2.5499999999999998E-2</v>
      </c>
      <c r="D729" s="3">
        <f t="shared" si="11"/>
        <v>0.7</v>
      </c>
      <c r="E729" s="1">
        <v>0.3</v>
      </c>
      <c r="F729" s="2">
        <v>0.35</v>
      </c>
      <c r="G729" s="2">
        <v>0.34</v>
      </c>
      <c r="H729" s="2">
        <v>0.30999999999999994</v>
      </c>
    </row>
    <row r="730" spans="1:8" x14ac:dyDescent="0.25">
      <c r="A730" s="1">
        <v>664</v>
      </c>
      <c r="B730" s="4">
        <v>732694</v>
      </c>
      <c r="C730" s="3">
        <v>2.5399999999999999E-2</v>
      </c>
      <c r="D730" s="3">
        <f t="shared" si="11"/>
        <v>0.4</v>
      </c>
      <c r="E730" s="1">
        <v>0.6</v>
      </c>
      <c r="F730" s="2">
        <v>0.36</v>
      </c>
      <c r="G730" s="2">
        <v>0.41</v>
      </c>
      <c r="H730" s="2">
        <v>0.23000000000000009</v>
      </c>
    </row>
    <row r="731" spans="1:8" x14ac:dyDescent="0.25">
      <c r="A731" s="1">
        <v>538</v>
      </c>
      <c r="B731" s="4">
        <v>8605877</v>
      </c>
      <c r="C731" s="3">
        <v>2.53E-2</v>
      </c>
      <c r="D731" s="3">
        <f t="shared" si="11"/>
        <v>0.7</v>
      </c>
      <c r="E731" s="1">
        <v>0.3</v>
      </c>
      <c r="F731" s="2">
        <v>0.28999999999999998</v>
      </c>
      <c r="G731" s="2">
        <v>0.24</v>
      </c>
      <c r="H731" s="2">
        <v>0.47000000000000003</v>
      </c>
    </row>
    <row r="732" spans="1:8" x14ac:dyDescent="0.25">
      <c r="A732" s="1">
        <v>108</v>
      </c>
      <c r="B732" s="4">
        <v>9422068</v>
      </c>
      <c r="C732" s="3">
        <v>2.52E-2</v>
      </c>
      <c r="D732" s="3">
        <f t="shared" si="11"/>
        <v>0.7</v>
      </c>
      <c r="E732" s="1">
        <v>0.3</v>
      </c>
      <c r="F732" s="2">
        <v>0.32</v>
      </c>
      <c r="G732" s="2">
        <v>0.31</v>
      </c>
      <c r="H732" s="2">
        <v>0.36999999999999994</v>
      </c>
    </row>
    <row r="733" spans="1:8" x14ac:dyDescent="0.25">
      <c r="A733" s="1">
        <v>915</v>
      </c>
      <c r="B733" s="4">
        <v>1280910</v>
      </c>
      <c r="C733" s="3">
        <v>2.52E-2</v>
      </c>
      <c r="D733" s="3">
        <f t="shared" si="11"/>
        <v>0.4</v>
      </c>
      <c r="E733" s="1">
        <v>0.6</v>
      </c>
      <c r="F733" s="2">
        <v>0.1</v>
      </c>
      <c r="G733" s="2">
        <v>0.2</v>
      </c>
      <c r="H733" s="2">
        <v>0.70000000000000007</v>
      </c>
    </row>
    <row r="734" spans="1:8" x14ac:dyDescent="0.25">
      <c r="A734" s="1">
        <v>777</v>
      </c>
      <c r="B734" s="4">
        <v>8664450</v>
      </c>
      <c r="C734" s="3">
        <v>2.5099999999999997E-2</v>
      </c>
      <c r="D734" s="3">
        <f t="shared" si="11"/>
        <v>0.7</v>
      </c>
      <c r="E734" s="1">
        <v>0.3</v>
      </c>
      <c r="F734" s="2">
        <v>0.13</v>
      </c>
      <c r="G734" s="2">
        <v>0.39</v>
      </c>
      <c r="H734" s="2">
        <v>0.48</v>
      </c>
    </row>
    <row r="735" spans="1:8" x14ac:dyDescent="0.25">
      <c r="A735" s="1">
        <v>112</v>
      </c>
      <c r="B735" s="4">
        <v>5336648</v>
      </c>
      <c r="C735" s="3">
        <v>2.5000000000000001E-2</v>
      </c>
      <c r="D735" s="3">
        <f t="shared" si="11"/>
        <v>0.6</v>
      </c>
      <c r="E735" s="1">
        <v>0.4</v>
      </c>
      <c r="F735" s="2">
        <v>0.44</v>
      </c>
      <c r="G735" s="2">
        <v>0.5</v>
      </c>
      <c r="H735" s="2">
        <v>0.06</v>
      </c>
    </row>
    <row r="736" spans="1:8" x14ac:dyDescent="0.25">
      <c r="A736" s="1">
        <v>363</v>
      </c>
      <c r="B736" s="4">
        <v>8258393</v>
      </c>
      <c r="C736" s="3">
        <v>2.5000000000000001E-2</v>
      </c>
      <c r="D736" s="3">
        <f t="shared" si="11"/>
        <v>0.7</v>
      </c>
      <c r="E736" s="1">
        <v>0.3</v>
      </c>
      <c r="F736" s="2">
        <v>0.31</v>
      </c>
      <c r="G736" s="2">
        <v>0.36</v>
      </c>
      <c r="H736" s="2">
        <v>0.33</v>
      </c>
    </row>
    <row r="737" spans="1:8" x14ac:dyDescent="0.25">
      <c r="A737" s="1">
        <v>720</v>
      </c>
      <c r="B737" s="4">
        <v>4763465</v>
      </c>
      <c r="C737" s="3">
        <v>2.5000000000000001E-2</v>
      </c>
      <c r="D737" s="3">
        <f t="shared" si="11"/>
        <v>0.6</v>
      </c>
      <c r="E737" s="1">
        <v>0.4</v>
      </c>
      <c r="F737" s="2">
        <v>0.12</v>
      </c>
      <c r="G737" s="2">
        <v>0.32</v>
      </c>
      <c r="H737" s="2">
        <v>0.55999999999999994</v>
      </c>
    </row>
    <row r="738" spans="1:8" x14ac:dyDescent="0.25">
      <c r="A738" s="1">
        <v>742</v>
      </c>
      <c r="B738" s="4">
        <v>7010606</v>
      </c>
      <c r="C738" s="3">
        <v>2.4900000000000002E-2</v>
      </c>
      <c r="D738" s="3">
        <f t="shared" si="11"/>
        <v>0.7</v>
      </c>
      <c r="E738" s="1">
        <v>0.3</v>
      </c>
      <c r="F738" s="2">
        <v>0.11</v>
      </c>
      <c r="G738" s="2">
        <v>0.2</v>
      </c>
      <c r="H738" s="2">
        <v>0.69000000000000006</v>
      </c>
    </row>
    <row r="739" spans="1:8" x14ac:dyDescent="0.25">
      <c r="A739" s="1">
        <v>1015</v>
      </c>
      <c r="B739" s="4">
        <v>8458495</v>
      </c>
      <c r="C739" s="3">
        <v>2.4900000000000002E-2</v>
      </c>
      <c r="D739" s="3">
        <f t="shared" si="11"/>
        <v>0.7</v>
      </c>
      <c r="E739" s="1">
        <v>0.3</v>
      </c>
      <c r="F739" s="2">
        <v>0.33</v>
      </c>
      <c r="G739" s="2">
        <v>0.39</v>
      </c>
      <c r="H739" s="2">
        <v>0.27999999999999997</v>
      </c>
    </row>
    <row r="740" spans="1:8" x14ac:dyDescent="0.25">
      <c r="A740" s="1">
        <v>219</v>
      </c>
      <c r="B740" s="4">
        <v>6169658</v>
      </c>
      <c r="C740" s="3">
        <v>2.4799999999999999E-2</v>
      </c>
      <c r="D740" s="3">
        <f t="shared" si="11"/>
        <v>0.6</v>
      </c>
      <c r="E740" s="1">
        <v>0.4</v>
      </c>
      <c r="F740" s="2">
        <v>0.35</v>
      </c>
      <c r="G740" s="2">
        <v>0.24</v>
      </c>
      <c r="H740" s="2">
        <v>0.41000000000000003</v>
      </c>
    </row>
    <row r="741" spans="1:8" x14ac:dyDescent="0.25">
      <c r="A741" s="1">
        <v>288</v>
      </c>
      <c r="B741" s="4">
        <v>6913269</v>
      </c>
      <c r="C741" s="3">
        <v>2.4799999999999999E-2</v>
      </c>
      <c r="D741" s="3">
        <f t="shared" si="11"/>
        <v>0.6</v>
      </c>
      <c r="E741" s="1">
        <v>0.4</v>
      </c>
      <c r="F741" s="2">
        <v>0.43</v>
      </c>
      <c r="G741" s="2">
        <v>0.26</v>
      </c>
      <c r="H741" s="2">
        <v>0.31</v>
      </c>
    </row>
    <row r="742" spans="1:8" x14ac:dyDescent="0.25">
      <c r="A742" s="1">
        <v>757</v>
      </c>
      <c r="B742" s="4">
        <v>2870683</v>
      </c>
      <c r="C742" s="3">
        <v>2.4799999999999999E-2</v>
      </c>
      <c r="D742" s="3">
        <f t="shared" si="11"/>
        <v>0.4</v>
      </c>
      <c r="E742" s="1">
        <v>0.6</v>
      </c>
      <c r="F742" s="2">
        <v>0.14000000000000001</v>
      </c>
      <c r="G742" s="2">
        <v>0.33</v>
      </c>
      <c r="H742" s="2">
        <v>0.52999999999999992</v>
      </c>
    </row>
    <row r="743" spans="1:8" x14ac:dyDescent="0.25">
      <c r="A743" s="1">
        <v>770</v>
      </c>
      <c r="B743" s="4">
        <v>198079</v>
      </c>
      <c r="C743" s="3">
        <v>2.4700000000000003E-2</v>
      </c>
      <c r="D743" s="3">
        <f t="shared" si="11"/>
        <v>0.4</v>
      </c>
      <c r="E743" s="1">
        <v>0.6</v>
      </c>
      <c r="F743" s="2">
        <v>0.17</v>
      </c>
      <c r="G743" s="2">
        <v>0.4</v>
      </c>
      <c r="H743" s="2">
        <v>0.42999999999999994</v>
      </c>
    </row>
    <row r="744" spans="1:8" x14ac:dyDescent="0.25">
      <c r="A744" s="1">
        <v>422</v>
      </c>
      <c r="B744" s="4">
        <v>2239654</v>
      </c>
      <c r="C744" s="3">
        <v>2.4500000000000001E-2</v>
      </c>
      <c r="D744" s="3">
        <f t="shared" si="11"/>
        <v>0.4</v>
      </c>
      <c r="E744" s="1">
        <v>0.6</v>
      </c>
      <c r="F744" s="2">
        <v>0.31</v>
      </c>
      <c r="G744" s="2">
        <v>0.47</v>
      </c>
      <c r="H744" s="2">
        <v>0.22000000000000003</v>
      </c>
    </row>
    <row r="745" spans="1:8" x14ac:dyDescent="0.25">
      <c r="A745" s="1">
        <v>624</v>
      </c>
      <c r="B745" s="4">
        <v>6992020</v>
      </c>
      <c r="C745" s="3">
        <v>2.4500000000000001E-2</v>
      </c>
      <c r="D745" s="3">
        <f t="shared" si="11"/>
        <v>0.6</v>
      </c>
      <c r="E745" s="1">
        <v>0.4</v>
      </c>
      <c r="F745" s="2">
        <v>0.3</v>
      </c>
      <c r="G745" s="2">
        <v>0.48</v>
      </c>
      <c r="H745" s="2">
        <v>0.22000000000000003</v>
      </c>
    </row>
    <row r="746" spans="1:8" x14ac:dyDescent="0.25">
      <c r="A746" s="1">
        <v>233</v>
      </c>
      <c r="B746" s="4">
        <v>6559631</v>
      </c>
      <c r="C746" s="3">
        <v>2.4399999999999998E-2</v>
      </c>
      <c r="D746" s="3">
        <f t="shared" si="11"/>
        <v>0.6</v>
      </c>
      <c r="E746" s="1">
        <v>0.4</v>
      </c>
      <c r="F746" s="2">
        <v>0.16</v>
      </c>
      <c r="G746" s="2">
        <v>0.38</v>
      </c>
      <c r="H746" s="2">
        <v>0.45999999999999996</v>
      </c>
    </row>
    <row r="747" spans="1:8" x14ac:dyDescent="0.25">
      <c r="A747" s="1">
        <v>386</v>
      </c>
      <c r="B747" s="4">
        <v>5643947</v>
      </c>
      <c r="C747" s="3">
        <v>2.4399999999999998E-2</v>
      </c>
      <c r="D747" s="3">
        <f t="shared" si="11"/>
        <v>0.6</v>
      </c>
      <c r="E747" s="1">
        <v>0.4</v>
      </c>
      <c r="F747" s="2">
        <v>0.21</v>
      </c>
      <c r="G747" s="2">
        <v>0.47</v>
      </c>
      <c r="H747" s="2">
        <v>0.32000000000000006</v>
      </c>
    </row>
    <row r="748" spans="1:8" x14ac:dyDescent="0.25">
      <c r="A748" s="1">
        <v>736</v>
      </c>
      <c r="B748" s="4">
        <v>4199871</v>
      </c>
      <c r="C748" s="3">
        <v>2.4399999999999998E-2</v>
      </c>
      <c r="D748" s="3">
        <f t="shared" si="11"/>
        <v>0.6</v>
      </c>
      <c r="E748" s="1">
        <v>0.4</v>
      </c>
      <c r="F748" s="2">
        <v>0.25</v>
      </c>
      <c r="G748" s="2">
        <v>0.33</v>
      </c>
      <c r="H748" s="2">
        <v>0.41999999999999993</v>
      </c>
    </row>
    <row r="749" spans="1:8" x14ac:dyDescent="0.25">
      <c r="A749" s="1">
        <v>438</v>
      </c>
      <c r="B749" s="4">
        <v>5219639</v>
      </c>
      <c r="C749" s="3">
        <v>2.4300000000000002E-2</v>
      </c>
      <c r="D749" s="3">
        <f t="shared" si="11"/>
        <v>0.6</v>
      </c>
      <c r="E749" s="1">
        <v>0.4</v>
      </c>
      <c r="F749" s="2">
        <v>0.43</v>
      </c>
      <c r="G749" s="2">
        <v>0.46</v>
      </c>
      <c r="H749" s="2">
        <v>0.11000000000000004</v>
      </c>
    </row>
    <row r="750" spans="1:8" x14ac:dyDescent="0.25">
      <c r="A750" s="1">
        <v>559</v>
      </c>
      <c r="B750" s="4">
        <v>1892652</v>
      </c>
      <c r="C750" s="3">
        <v>2.4300000000000002E-2</v>
      </c>
      <c r="D750" s="3">
        <f t="shared" si="11"/>
        <v>0.4</v>
      </c>
      <c r="E750" s="1">
        <v>0.6</v>
      </c>
      <c r="F750" s="2">
        <v>0.38</v>
      </c>
      <c r="G750" s="2">
        <v>0.26</v>
      </c>
      <c r="H750" s="2">
        <v>0.36</v>
      </c>
    </row>
    <row r="751" spans="1:8" x14ac:dyDescent="0.25">
      <c r="A751" s="1">
        <v>768</v>
      </c>
      <c r="B751" s="4">
        <v>4769825</v>
      </c>
      <c r="C751" s="3">
        <v>2.4199999999999999E-2</v>
      </c>
      <c r="D751" s="3">
        <f t="shared" si="11"/>
        <v>0.6</v>
      </c>
      <c r="E751" s="1">
        <v>0.4</v>
      </c>
      <c r="F751" s="2">
        <v>0.3</v>
      </c>
      <c r="G751" s="2">
        <v>0.33</v>
      </c>
      <c r="H751" s="2">
        <v>0.36999999999999994</v>
      </c>
    </row>
    <row r="752" spans="1:8" x14ac:dyDescent="0.25">
      <c r="A752" s="1">
        <v>900</v>
      </c>
      <c r="B752" s="4">
        <v>3558211</v>
      </c>
      <c r="C752" s="3">
        <v>2.4199999999999999E-2</v>
      </c>
      <c r="D752" s="3">
        <f t="shared" si="11"/>
        <v>0.6</v>
      </c>
      <c r="E752" s="1">
        <v>0.4</v>
      </c>
      <c r="F752" s="2">
        <v>0.35</v>
      </c>
      <c r="G752" s="2">
        <v>0.37</v>
      </c>
      <c r="H752" s="2">
        <v>0.28000000000000003</v>
      </c>
    </row>
    <row r="753" spans="1:8" x14ac:dyDescent="0.25">
      <c r="A753" s="1">
        <v>397</v>
      </c>
      <c r="B753" s="4">
        <v>4957262</v>
      </c>
      <c r="C753" s="3">
        <v>2.41E-2</v>
      </c>
      <c r="D753" s="3">
        <f t="shared" si="11"/>
        <v>0.6</v>
      </c>
      <c r="E753" s="1">
        <v>0.4</v>
      </c>
      <c r="F753" s="2">
        <v>0.28000000000000003</v>
      </c>
      <c r="G753" s="2">
        <v>0.36</v>
      </c>
      <c r="H753" s="2">
        <v>0.36</v>
      </c>
    </row>
    <row r="754" spans="1:8" x14ac:dyDescent="0.25">
      <c r="A754" s="1">
        <v>430</v>
      </c>
      <c r="B754" s="4">
        <v>3058570</v>
      </c>
      <c r="C754" s="3">
        <v>2.41E-2</v>
      </c>
      <c r="D754" s="3">
        <f t="shared" si="11"/>
        <v>0.6</v>
      </c>
      <c r="E754" s="1">
        <v>0.4</v>
      </c>
      <c r="F754" s="2">
        <v>0.13</v>
      </c>
      <c r="G754" s="2">
        <v>0.3</v>
      </c>
      <c r="H754" s="2">
        <v>0.56999999999999995</v>
      </c>
    </row>
    <row r="755" spans="1:8" x14ac:dyDescent="0.25">
      <c r="A755" s="1">
        <v>590</v>
      </c>
      <c r="B755" s="4">
        <v>5299827</v>
      </c>
      <c r="C755" s="3">
        <v>2.41E-2</v>
      </c>
      <c r="D755" s="3">
        <f t="shared" si="11"/>
        <v>0.6</v>
      </c>
      <c r="E755" s="1">
        <v>0.4</v>
      </c>
      <c r="F755" s="2">
        <v>0.34</v>
      </c>
      <c r="G755" s="2">
        <v>0.41</v>
      </c>
      <c r="H755" s="2">
        <v>0.25000000000000006</v>
      </c>
    </row>
    <row r="756" spans="1:8" x14ac:dyDescent="0.25">
      <c r="A756" s="1">
        <v>942</v>
      </c>
      <c r="B756" s="4">
        <v>7423949</v>
      </c>
      <c r="C756" s="3">
        <v>2.41E-2</v>
      </c>
      <c r="D756" s="3">
        <f t="shared" si="11"/>
        <v>0.7</v>
      </c>
      <c r="E756" s="1">
        <v>0.3</v>
      </c>
      <c r="F756" s="2">
        <v>0.28000000000000003</v>
      </c>
      <c r="G756" s="2">
        <v>0.38</v>
      </c>
      <c r="H756" s="2">
        <v>0.33999999999999997</v>
      </c>
    </row>
    <row r="757" spans="1:8" x14ac:dyDescent="0.25">
      <c r="A757" s="1">
        <v>464</v>
      </c>
      <c r="B757" s="4">
        <v>3410763</v>
      </c>
      <c r="C757" s="3">
        <v>2.4E-2</v>
      </c>
      <c r="D757" s="3">
        <f t="shared" si="11"/>
        <v>0.6</v>
      </c>
      <c r="E757" s="1">
        <v>0.4</v>
      </c>
      <c r="F757" s="2">
        <v>0.42</v>
      </c>
      <c r="G757" s="2">
        <v>0.2</v>
      </c>
      <c r="H757" s="2">
        <v>0.38000000000000006</v>
      </c>
    </row>
    <row r="758" spans="1:8" x14ac:dyDescent="0.25">
      <c r="A758" s="1">
        <v>789</v>
      </c>
      <c r="B758" s="4">
        <v>3597996</v>
      </c>
      <c r="C758" s="3">
        <v>2.4E-2</v>
      </c>
      <c r="D758" s="3">
        <f t="shared" si="11"/>
        <v>0.6</v>
      </c>
      <c r="E758" s="1">
        <v>0.4</v>
      </c>
      <c r="F758" s="2">
        <v>0.27</v>
      </c>
      <c r="G758" s="2">
        <v>0.36</v>
      </c>
      <c r="H758" s="2">
        <v>0.37</v>
      </c>
    </row>
    <row r="759" spans="1:8" x14ac:dyDescent="0.25">
      <c r="A759" s="1">
        <v>107</v>
      </c>
      <c r="B759" s="4">
        <v>6923015</v>
      </c>
      <c r="C759" s="3">
        <v>2.3900000000000001E-2</v>
      </c>
      <c r="D759" s="3">
        <f t="shared" si="11"/>
        <v>0.6</v>
      </c>
      <c r="E759" s="1">
        <v>0.4</v>
      </c>
      <c r="F759" s="2">
        <v>0.11</v>
      </c>
      <c r="G759" s="2">
        <v>0.27</v>
      </c>
      <c r="H759" s="2">
        <v>0.62</v>
      </c>
    </row>
    <row r="760" spans="1:8" x14ac:dyDescent="0.25">
      <c r="A760" s="1">
        <v>300</v>
      </c>
      <c r="B760" s="4">
        <v>3864269</v>
      </c>
      <c r="C760" s="3">
        <v>2.3900000000000001E-2</v>
      </c>
      <c r="D760" s="3">
        <f t="shared" si="11"/>
        <v>0.6</v>
      </c>
      <c r="E760" s="1">
        <v>0.4</v>
      </c>
      <c r="F760" s="2">
        <v>0.41</v>
      </c>
      <c r="G760" s="2">
        <v>0.2</v>
      </c>
      <c r="H760" s="2">
        <v>0.39000000000000007</v>
      </c>
    </row>
    <row r="761" spans="1:8" x14ac:dyDescent="0.25">
      <c r="A761" s="1">
        <v>358</v>
      </c>
      <c r="B761" s="4">
        <v>180380</v>
      </c>
      <c r="C761" s="3">
        <v>2.3900000000000001E-2</v>
      </c>
      <c r="D761" s="3">
        <f t="shared" si="11"/>
        <v>0.4</v>
      </c>
      <c r="E761" s="1">
        <v>0.6</v>
      </c>
      <c r="F761" s="2">
        <v>0.25</v>
      </c>
      <c r="G761" s="2">
        <v>0.45</v>
      </c>
      <c r="H761" s="2">
        <v>0.30000000000000004</v>
      </c>
    </row>
    <row r="762" spans="1:8" x14ac:dyDescent="0.25">
      <c r="A762" s="1">
        <v>402</v>
      </c>
      <c r="B762" s="4">
        <v>578962</v>
      </c>
      <c r="C762" s="3">
        <v>2.3900000000000001E-2</v>
      </c>
      <c r="D762" s="3">
        <f t="shared" si="11"/>
        <v>0.4</v>
      </c>
      <c r="E762" s="1">
        <v>0.6</v>
      </c>
      <c r="F762" s="2">
        <v>0.27</v>
      </c>
      <c r="G762" s="2">
        <v>0.3</v>
      </c>
      <c r="H762" s="2">
        <v>0.42999999999999994</v>
      </c>
    </row>
    <row r="763" spans="1:8" x14ac:dyDescent="0.25">
      <c r="A763" s="1">
        <v>673</v>
      </c>
      <c r="B763" s="4">
        <v>6269669</v>
      </c>
      <c r="C763" s="3">
        <v>2.3900000000000001E-2</v>
      </c>
      <c r="D763" s="3">
        <f t="shared" si="11"/>
        <v>0.6</v>
      </c>
      <c r="E763" s="1">
        <v>0.4</v>
      </c>
      <c r="F763" s="2">
        <v>0.12</v>
      </c>
      <c r="G763" s="2">
        <v>0.48</v>
      </c>
      <c r="H763" s="2">
        <v>0.4</v>
      </c>
    </row>
    <row r="764" spans="1:8" x14ac:dyDescent="0.25">
      <c r="A764" s="1">
        <v>466</v>
      </c>
      <c r="B764" s="4">
        <v>8322499</v>
      </c>
      <c r="C764" s="3">
        <v>2.3799999999999998E-2</v>
      </c>
      <c r="D764" s="3">
        <f t="shared" si="11"/>
        <v>0.7</v>
      </c>
      <c r="E764" s="1">
        <v>0.3</v>
      </c>
      <c r="F764" s="2">
        <v>0.14000000000000001</v>
      </c>
      <c r="G764" s="2">
        <v>0.31</v>
      </c>
      <c r="H764" s="2">
        <v>0.54999999999999993</v>
      </c>
    </row>
    <row r="765" spans="1:8" x14ac:dyDescent="0.25">
      <c r="A765" s="1">
        <v>483</v>
      </c>
      <c r="B765" s="4">
        <v>3414818</v>
      </c>
      <c r="C765" s="3">
        <v>2.3799999999999998E-2</v>
      </c>
      <c r="D765" s="3">
        <f t="shared" si="11"/>
        <v>0.6</v>
      </c>
      <c r="E765" s="1">
        <v>0.4</v>
      </c>
      <c r="F765" s="2">
        <v>0.1</v>
      </c>
      <c r="G765" s="2">
        <v>0.37</v>
      </c>
      <c r="H765" s="2">
        <v>0.53</v>
      </c>
    </row>
    <row r="766" spans="1:8" x14ac:dyDescent="0.25">
      <c r="A766" s="1">
        <v>327</v>
      </c>
      <c r="B766" s="4">
        <v>8839321</v>
      </c>
      <c r="C766" s="3">
        <v>2.3700000000000002E-2</v>
      </c>
      <c r="D766" s="3">
        <f t="shared" si="11"/>
        <v>0.7</v>
      </c>
      <c r="E766" s="1">
        <v>0.3</v>
      </c>
      <c r="F766" s="2">
        <v>0.19</v>
      </c>
      <c r="G766" s="2">
        <v>0.28999999999999998</v>
      </c>
      <c r="H766" s="2">
        <v>0.52</v>
      </c>
    </row>
    <row r="767" spans="1:8" x14ac:dyDescent="0.25">
      <c r="A767" s="1">
        <v>1000</v>
      </c>
      <c r="B767" s="4">
        <v>7315559</v>
      </c>
      <c r="C767" s="3">
        <v>2.3599999999999999E-2</v>
      </c>
      <c r="D767" s="3">
        <f t="shared" si="11"/>
        <v>0.7</v>
      </c>
      <c r="E767" s="1">
        <v>0.3</v>
      </c>
      <c r="F767" s="2">
        <v>0.38</v>
      </c>
      <c r="G767" s="2">
        <v>0.33</v>
      </c>
      <c r="H767" s="2">
        <v>0.28999999999999992</v>
      </c>
    </row>
    <row r="768" spans="1:8" x14ac:dyDescent="0.25">
      <c r="A768" s="1">
        <v>1028</v>
      </c>
      <c r="B768" s="4">
        <v>372241</v>
      </c>
      <c r="C768" s="3">
        <v>2.3599999999999999E-2</v>
      </c>
      <c r="D768" s="3">
        <f t="shared" si="11"/>
        <v>0.4</v>
      </c>
      <c r="E768" s="1">
        <v>0.6</v>
      </c>
      <c r="F768" s="2">
        <v>0.21</v>
      </c>
      <c r="G768" s="2">
        <v>0.21</v>
      </c>
      <c r="H768" s="2">
        <v>0.58000000000000007</v>
      </c>
    </row>
    <row r="769" spans="1:8" x14ac:dyDescent="0.25">
      <c r="A769" s="1">
        <v>138</v>
      </c>
      <c r="B769" s="4">
        <v>4622352</v>
      </c>
      <c r="C769" s="3">
        <v>2.35E-2</v>
      </c>
      <c r="D769" s="3">
        <f t="shared" si="11"/>
        <v>0.6</v>
      </c>
      <c r="E769" s="1">
        <v>0.4</v>
      </c>
      <c r="F769" s="2">
        <v>0.16</v>
      </c>
      <c r="G769" s="2">
        <v>0.2</v>
      </c>
      <c r="H769" s="2">
        <v>0.64</v>
      </c>
    </row>
    <row r="770" spans="1:8" x14ac:dyDescent="0.25">
      <c r="A770" s="1">
        <v>586</v>
      </c>
      <c r="B770" s="4">
        <v>5486548</v>
      </c>
      <c r="C770" s="3">
        <v>2.35E-2</v>
      </c>
      <c r="D770" s="3">
        <f t="shared" ref="D770:D833" si="12">1-E770</f>
        <v>0.6</v>
      </c>
      <c r="E770" s="1">
        <v>0.4</v>
      </c>
      <c r="F770" s="2">
        <v>0.14000000000000001</v>
      </c>
      <c r="G770" s="2">
        <v>0.31</v>
      </c>
      <c r="H770" s="2">
        <v>0.54999999999999993</v>
      </c>
    </row>
    <row r="771" spans="1:8" x14ac:dyDescent="0.25">
      <c r="A771" s="1">
        <v>643</v>
      </c>
      <c r="B771" s="4">
        <v>3602428</v>
      </c>
      <c r="C771" s="3">
        <v>2.35E-2</v>
      </c>
      <c r="D771" s="3">
        <f t="shared" si="12"/>
        <v>0.6</v>
      </c>
      <c r="E771" s="1">
        <v>0.4</v>
      </c>
      <c r="F771" s="2">
        <v>0.32</v>
      </c>
      <c r="G771" s="2">
        <v>0.33</v>
      </c>
      <c r="H771" s="2">
        <v>0.34999999999999992</v>
      </c>
    </row>
    <row r="772" spans="1:8" x14ac:dyDescent="0.25">
      <c r="A772" s="1">
        <v>827</v>
      </c>
      <c r="B772" s="4">
        <v>617233</v>
      </c>
      <c r="C772" s="3">
        <v>2.35E-2</v>
      </c>
      <c r="D772" s="3">
        <f t="shared" si="12"/>
        <v>0.4</v>
      </c>
      <c r="E772" s="1">
        <v>0.6</v>
      </c>
      <c r="F772" s="2">
        <v>0.11</v>
      </c>
      <c r="G772" s="2">
        <v>0.25</v>
      </c>
      <c r="H772" s="2">
        <v>0.64</v>
      </c>
    </row>
    <row r="773" spans="1:8" x14ac:dyDescent="0.25">
      <c r="A773" s="1">
        <v>452</v>
      </c>
      <c r="B773" s="4">
        <v>7260840</v>
      </c>
      <c r="C773" s="3">
        <v>2.3399999999999997E-2</v>
      </c>
      <c r="D773" s="3">
        <f t="shared" si="12"/>
        <v>0.7</v>
      </c>
      <c r="E773" s="1">
        <v>0.3</v>
      </c>
      <c r="F773" s="2">
        <v>0.42</v>
      </c>
      <c r="G773" s="2">
        <v>0.32</v>
      </c>
      <c r="H773" s="2">
        <v>0.25999999999999995</v>
      </c>
    </row>
    <row r="774" spans="1:8" x14ac:dyDescent="0.25">
      <c r="A774" s="1">
        <v>39</v>
      </c>
      <c r="B774" s="4">
        <v>6549178</v>
      </c>
      <c r="C774" s="3">
        <v>2.3300000000000001E-2</v>
      </c>
      <c r="D774" s="3">
        <f t="shared" si="12"/>
        <v>0.6</v>
      </c>
      <c r="E774" s="1">
        <v>0.4</v>
      </c>
      <c r="F774" s="2">
        <v>0.19</v>
      </c>
      <c r="G774" s="2">
        <v>0.49</v>
      </c>
      <c r="H774" s="2">
        <v>0.32</v>
      </c>
    </row>
    <row r="775" spans="1:8" x14ac:dyDescent="0.25">
      <c r="A775" s="1">
        <v>328</v>
      </c>
      <c r="B775" s="4">
        <v>2923966</v>
      </c>
      <c r="C775" s="3">
        <v>2.3199999999999998E-2</v>
      </c>
      <c r="D775" s="3">
        <f t="shared" si="12"/>
        <v>0.4</v>
      </c>
      <c r="E775" s="1">
        <v>0.6</v>
      </c>
      <c r="F775" s="2">
        <v>0.19</v>
      </c>
      <c r="G775" s="2">
        <v>0.31</v>
      </c>
      <c r="H775" s="2">
        <v>0.49999999999999994</v>
      </c>
    </row>
    <row r="776" spans="1:8" x14ac:dyDescent="0.25">
      <c r="A776" s="1">
        <v>846</v>
      </c>
      <c r="B776" s="4">
        <v>147470</v>
      </c>
      <c r="C776" s="3">
        <v>2.3099999999999999E-2</v>
      </c>
      <c r="D776" s="3">
        <f t="shared" si="12"/>
        <v>0.4</v>
      </c>
      <c r="E776" s="1">
        <v>0.6</v>
      </c>
      <c r="F776" s="2">
        <v>0.17</v>
      </c>
      <c r="G776" s="2">
        <v>0.25</v>
      </c>
      <c r="H776" s="2">
        <v>0.57999999999999996</v>
      </c>
    </row>
    <row r="777" spans="1:8" x14ac:dyDescent="0.25">
      <c r="A777" s="1">
        <v>115</v>
      </c>
      <c r="B777" s="4">
        <v>4849533</v>
      </c>
      <c r="C777" s="3">
        <v>2.3E-2</v>
      </c>
      <c r="D777" s="3">
        <f t="shared" si="12"/>
        <v>0.6</v>
      </c>
      <c r="E777" s="1">
        <v>0.4</v>
      </c>
      <c r="F777" s="2">
        <v>0.26</v>
      </c>
      <c r="G777" s="2">
        <v>0.36</v>
      </c>
      <c r="H777" s="2">
        <v>0.38</v>
      </c>
    </row>
    <row r="778" spans="1:8" x14ac:dyDescent="0.25">
      <c r="A778" s="1">
        <v>361</v>
      </c>
      <c r="B778" s="4">
        <v>6908143</v>
      </c>
      <c r="C778" s="3">
        <v>2.3E-2</v>
      </c>
      <c r="D778" s="3">
        <f t="shared" si="12"/>
        <v>0.6</v>
      </c>
      <c r="E778" s="1">
        <v>0.4</v>
      </c>
      <c r="F778" s="2">
        <v>0.27</v>
      </c>
      <c r="G778" s="2">
        <v>0.36</v>
      </c>
      <c r="H778" s="2">
        <v>0.37</v>
      </c>
    </row>
    <row r="779" spans="1:8" x14ac:dyDescent="0.25">
      <c r="A779" s="1">
        <v>563</v>
      </c>
      <c r="B779" s="4">
        <v>5712718</v>
      </c>
      <c r="C779" s="3">
        <v>2.3E-2</v>
      </c>
      <c r="D779" s="3">
        <f t="shared" si="12"/>
        <v>0.6</v>
      </c>
      <c r="E779" s="1">
        <v>0.4</v>
      </c>
      <c r="F779" s="2">
        <v>0.39</v>
      </c>
      <c r="G779" s="2">
        <v>0.5</v>
      </c>
      <c r="H779" s="2">
        <v>0.10999999999999999</v>
      </c>
    </row>
    <row r="780" spans="1:8" x14ac:dyDescent="0.25">
      <c r="A780" s="1">
        <v>582</v>
      </c>
      <c r="B780" s="4">
        <v>6183985</v>
      </c>
      <c r="C780" s="3">
        <v>2.3E-2</v>
      </c>
      <c r="D780" s="3">
        <f t="shared" si="12"/>
        <v>0.6</v>
      </c>
      <c r="E780" s="1">
        <v>0.4</v>
      </c>
      <c r="F780" s="2">
        <v>0.1</v>
      </c>
      <c r="G780" s="2">
        <v>0.24</v>
      </c>
      <c r="H780" s="2">
        <v>0.66</v>
      </c>
    </row>
    <row r="781" spans="1:8" x14ac:dyDescent="0.25">
      <c r="A781" s="1">
        <v>492</v>
      </c>
      <c r="B781" s="4">
        <v>7519558</v>
      </c>
      <c r="C781" s="3">
        <v>2.29E-2</v>
      </c>
      <c r="D781" s="3">
        <f t="shared" si="12"/>
        <v>0.7</v>
      </c>
      <c r="E781" s="1">
        <v>0.3</v>
      </c>
      <c r="F781" s="2">
        <v>0.37</v>
      </c>
      <c r="G781" s="2">
        <v>0.26</v>
      </c>
      <c r="H781" s="2">
        <v>0.37</v>
      </c>
    </row>
    <row r="782" spans="1:8" x14ac:dyDescent="0.25">
      <c r="A782" s="1">
        <v>56</v>
      </c>
      <c r="B782" s="4">
        <v>8103274</v>
      </c>
      <c r="C782" s="3">
        <v>2.2799999999999997E-2</v>
      </c>
      <c r="D782" s="3">
        <f t="shared" si="12"/>
        <v>0.7</v>
      </c>
      <c r="E782" s="1">
        <v>0.3</v>
      </c>
      <c r="F782" s="2">
        <v>0.2</v>
      </c>
      <c r="G782" s="2">
        <v>0.36</v>
      </c>
      <c r="H782" s="2">
        <v>0.44</v>
      </c>
    </row>
    <row r="783" spans="1:8" x14ac:dyDescent="0.25">
      <c r="A783" s="1">
        <v>451</v>
      </c>
      <c r="B783" s="4">
        <v>1531367</v>
      </c>
      <c r="C783" s="3">
        <v>2.2700000000000001E-2</v>
      </c>
      <c r="D783" s="3">
        <f t="shared" si="12"/>
        <v>0.4</v>
      </c>
      <c r="E783" s="1">
        <v>0.6</v>
      </c>
      <c r="F783" s="2">
        <v>0.38</v>
      </c>
      <c r="G783" s="2">
        <v>0.5</v>
      </c>
      <c r="H783" s="2">
        <v>0.12</v>
      </c>
    </row>
    <row r="784" spans="1:8" x14ac:dyDescent="0.25">
      <c r="A784" s="1">
        <v>506</v>
      </c>
      <c r="B784" s="4">
        <v>1066442</v>
      </c>
      <c r="C784" s="3">
        <v>2.2700000000000001E-2</v>
      </c>
      <c r="D784" s="3">
        <f t="shared" si="12"/>
        <v>0.4</v>
      </c>
      <c r="E784" s="1">
        <v>0.6</v>
      </c>
      <c r="F784" s="2">
        <v>0.14000000000000001</v>
      </c>
      <c r="G784" s="2">
        <v>0.35</v>
      </c>
      <c r="H784" s="2">
        <v>0.51</v>
      </c>
    </row>
    <row r="785" spans="1:8" x14ac:dyDescent="0.25">
      <c r="A785" s="1">
        <v>614</v>
      </c>
      <c r="B785" s="4">
        <v>5545871</v>
      </c>
      <c r="C785" s="3">
        <v>2.2599999999999999E-2</v>
      </c>
      <c r="D785" s="3">
        <f t="shared" si="12"/>
        <v>0.6</v>
      </c>
      <c r="E785" s="1">
        <v>0.4</v>
      </c>
      <c r="F785" s="2">
        <v>0.14000000000000001</v>
      </c>
      <c r="G785" s="2">
        <v>0.28000000000000003</v>
      </c>
      <c r="H785" s="2">
        <v>0.57999999999999996</v>
      </c>
    </row>
    <row r="786" spans="1:8" x14ac:dyDescent="0.25">
      <c r="A786" s="1">
        <v>996</v>
      </c>
      <c r="B786" s="4">
        <v>4848753</v>
      </c>
      <c r="C786" s="3">
        <v>2.2599999999999999E-2</v>
      </c>
      <c r="D786" s="3">
        <f t="shared" si="12"/>
        <v>0.6</v>
      </c>
      <c r="E786" s="1">
        <v>0.4</v>
      </c>
      <c r="F786" s="2">
        <v>0.45</v>
      </c>
      <c r="G786" s="2">
        <v>0.38</v>
      </c>
      <c r="H786" s="2">
        <v>0.16999999999999998</v>
      </c>
    </row>
    <row r="787" spans="1:8" x14ac:dyDescent="0.25">
      <c r="A787" s="1">
        <v>999</v>
      </c>
      <c r="B787" s="4">
        <v>2847544</v>
      </c>
      <c r="C787" s="3">
        <v>2.2599999999999999E-2</v>
      </c>
      <c r="D787" s="3">
        <f t="shared" si="12"/>
        <v>0.4</v>
      </c>
      <c r="E787" s="1">
        <v>0.6</v>
      </c>
      <c r="F787" s="2">
        <v>0.31</v>
      </c>
      <c r="G787" s="2">
        <v>0.21</v>
      </c>
      <c r="H787" s="2">
        <v>0.48000000000000004</v>
      </c>
    </row>
    <row r="788" spans="1:8" x14ac:dyDescent="0.25">
      <c r="A788" s="1">
        <v>360</v>
      </c>
      <c r="B788" s="4">
        <v>7057182</v>
      </c>
      <c r="C788" s="3">
        <v>2.2499999999999999E-2</v>
      </c>
      <c r="D788" s="3">
        <f t="shared" si="12"/>
        <v>0.7</v>
      </c>
      <c r="E788" s="1">
        <v>0.3</v>
      </c>
      <c r="F788" s="2">
        <v>0.27</v>
      </c>
      <c r="G788" s="2">
        <v>0.38</v>
      </c>
      <c r="H788" s="2">
        <v>0.35</v>
      </c>
    </row>
    <row r="789" spans="1:8" x14ac:dyDescent="0.25">
      <c r="A789" s="1">
        <v>782</v>
      </c>
      <c r="B789" s="4">
        <v>8745243</v>
      </c>
      <c r="C789" s="3">
        <v>2.2499999999999999E-2</v>
      </c>
      <c r="D789" s="3">
        <f t="shared" si="12"/>
        <v>0.7</v>
      </c>
      <c r="E789" s="1">
        <v>0.3</v>
      </c>
      <c r="F789" s="2">
        <v>0.42</v>
      </c>
      <c r="G789" s="2">
        <v>0.48</v>
      </c>
      <c r="H789" s="2">
        <v>0.10000000000000003</v>
      </c>
    </row>
    <row r="790" spans="1:8" x14ac:dyDescent="0.25">
      <c r="A790" s="1">
        <v>160</v>
      </c>
      <c r="B790" s="4">
        <v>3521638</v>
      </c>
      <c r="C790" s="3">
        <v>2.2400000000000003E-2</v>
      </c>
      <c r="D790" s="3">
        <f t="shared" si="12"/>
        <v>0.6</v>
      </c>
      <c r="E790" s="1">
        <v>0.4</v>
      </c>
      <c r="F790" s="2">
        <v>0.23</v>
      </c>
      <c r="G790" s="2">
        <v>0.43</v>
      </c>
      <c r="H790" s="2">
        <v>0.34000000000000008</v>
      </c>
    </row>
    <row r="791" spans="1:8" x14ac:dyDescent="0.25">
      <c r="A791" s="1">
        <v>533</v>
      </c>
      <c r="B791" s="4">
        <v>9161118</v>
      </c>
      <c r="C791" s="3">
        <v>2.2400000000000003E-2</v>
      </c>
      <c r="D791" s="3">
        <f t="shared" si="12"/>
        <v>0.7</v>
      </c>
      <c r="E791" s="1">
        <v>0.3</v>
      </c>
      <c r="F791" s="2">
        <v>0.41</v>
      </c>
      <c r="G791" s="2">
        <v>0.33</v>
      </c>
      <c r="H791" s="2">
        <v>0.25999999999999995</v>
      </c>
    </row>
    <row r="792" spans="1:8" x14ac:dyDescent="0.25">
      <c r="A792" s="1">
        <v>508</v>
      </c>
      <c r="B792" s="4">
        <v>6139383</v>
      </c>
      <c r="C792" s="3">
        <v>2.23E-2</v>
      </c>
      <c r="D792" s="3">
        <f t="shared" si="12"/>
        <v>0.6</v>
      </c>
      <c r="E792" s="1">
        <v>0.4</v>
      </c>
      <c r="F792" s="2">
        <v>0.42</v>
      </c>
      <c r="G792" s="2">
        <v>0.43</v>
      </c>
      <c r="H792" s="2">
        <v>0.15000000000000008</v>
      </c>
    </row>
    <row r="793" spans="1:8" x14ac:dyDescent="0.25">
      <c r="A793" s="1">
        <v>688</v>
      </c>
      <c r="B793" s="4">
        <v>8529929</v>
      </c>
      <c r="C793" s="3">
        <v>2.2200000000000001E-2</v>
      </c>
      <c r="D793" s="3">
        <f t="shared" si="12"/>
        <v>0.7</v>
      </c>
      <c r="E793" s="1">
        <v>0.3</v>
      </c>
      <c r="F793" s="2">
        <v>0.33</v>
      </c>
      <c r="G793" s="2">
        <v>0.46</v>
      </c>
      <c r="H793" s="2">
        <v>0.21000000000000002</v>
      </c>
    </row>
    <row r="794" spans="1:8" x14ac:dyDescent="0.25">
      <c r="A794" s="1">
        <v>785</v>
      </c>
      <c r="B794" s="4">
        <v>5621419</v>
      </c>
      <c r="C794" s="3">
        <v>2.2200000000000001E-2</v>
      </c>
      <c r="D794" s="3">
        <f t="shared" si="12"/>
        <v>0.6</v>
      </c>
      <c r="E794" s="1">
        <v>0.4</v>
      </c>
      <c r="F794" s="2">
        <v>0.18</v>
      </c>
      <c r="G794" s="2">
        <v>0.32</v>
      </c>
      <c r="H794" s="2">
        <v>0.49999999999999994</v>
      </c>
    </row>
    <row r="795" spans="1:8" x14ac:dyDescent="0.25">
      <c r="A795" s="1">
        <v>17</v>
      </c>
      <c r="B795" s="4">
        <v>6633834</v>
      </c>
      <c r="C795" s="3">
        <v>2.2099999999999998E-2</v>
      </c>
      <c r="D795" s="3">
        <f t="shared" si="12"/>
        <v>0.6</v>
      </c>
      <c r="E795" s="1">
        <v>0.4</v>
      </c>
      <c r="F795" s="2">
        <v>0.38</v>
      </c>
      <c r="G795" s="2">
        <v>0.31</v>
      </c>
      <c r="H795" s="2">
        <v>0.30999999999999994</v>
      </c>
    </row>
    <row r="796" spans="1:8" x14ac:dyDescent="0.25">
      <c r="A796" s="1">
        <v>341</v>
      </c>
      <c r="B796" s="4">
        <v>4908900</v>
      </c>
      <c r="C796" s="3">
        <v>2.2099999999999998E-2</v>
      </c>
      <c r="D796" s="3">
        <f t="shared" si="12"/>
        <v>0.6</v>
      </c>
      <c r="E796" s="1">
        <v>0.4</v>
      </c>
      <c r="F796" s="2">
        <v>0.44</v>
      </c>
      <c r="G796" s="2">
        <v>0.28999999999999998</v>
      </c>
      <c r="H796" s="2">
        <v>0.26999999999999996</v>
      </c>
    </row>
    <row r="797" spans="1:8" x14ac:dyDescent="0.25">
      <c r="A797" s="1">
        <v>1033</v>
      </c>
      <c r="B797" s="4">
        <v>4532874</v>
      </c>
      <c r="C797" s="3">
        <v>2.2099999999999998E-2</v>
      </c>
      <c r="D797" s="3">
        <f t="shared" si="12"/>
        <v>0.6</v>
      </c>
      <c r="E797" s="1">
        <v>0.4</v>
      </c>
      <c r="F797" s="2">
        <v>0.41</v>
      </c>
      <c r="G797" s="2">
        <v>0.36</v>
      </c>
      <c r="H797" s="2">
        <v>0.23000000000000004</v>
      </c>
    </row>
    <row r="798" spans="1:8" x14ac:dyDescent="0.25">
      <c r="A798" s="1">
        <v>63</v>
      </c>
      <c r="B798" s="4">
        <v>4722077</v>
      </c>
      <c r="C798" s="3">
        <v>2.2000000000000002E-2</v>
      </c>
      <c r="D798" s="3">
        <f t="shared" si="12"/>
        <v>0.6</v>
      </c>
      <c r="E798" s="1">
        <v>0.4</v>
      </c>
      <c r="F798" s="2">
        <v>0.28000000000000003</v>
      </c>
      <c r="G798" s="2">
        <v>0.31</v>
      </c>
      <c r="H798" s="2">
        <v>0.40999999999999992</v>
      </c>
    </row>
    <row r="799" spans="1:8" x14ac:dyDescent="0.25">
      <c r="A799" s="1">
        <v>130</v>
      </c>
      <c r="B799" s="4">
        <v>9308487</v>
      </c>
      <c r="C799" s="3">
        <v>2.2000000000000002E-2</v>
      </c>
      <c r="D799" s="3">
        <f t="shared" si="12"/>
        <v>0.7</v>
      </c>
      <c r="E799" s="1">
        <v>0.3</v>
      </c>
      <c r="F799" s="2">
        <v>0.18</v>
      </c>
      <c r="G799" s="2">
        <v>0.26</v>
      </c>
      <c r="H799" s="2">
        <v>0.56000000000000005</v>
      </c>
    </row>
    <row r="800" spans="1:8" x14ac:dyDescent="0.25">
      <c r="A800" s="1">
        <v>259</v>
      </c>
      <c r="B800" s="4">
        <v>2308789</v>
      </c>
      <c r="C800" s="3">
        <v>2.2000000000000002E-2</v>
      </c>
      <c r="D800" s="3">
        <f t="shared" si="12"/>
        <v>0.4</v>
      </c>
      <c r="E800" s="1">
        <v>0.6</v>
      </c>
      <c r="F800" s="2">
        <v>0.25</v>
      </c>
      <c r="G800" s="2">
        <v>0.35</v>
      </c>
      <c r="H800" s="2">
        <v>0.4</v>
      </c>
    </row>
    <row r="801" spans="1:8" x14ac:dyDescent="0.25">
      <c r="A801" s="1">
        <v>567</v>
      </c>
      <c r="B801" s="4">
        <v>2021353</v>
      </c>
      <c r="C801" s="3">
        <v>2.2000000000000002E-2</v>
      </c>
      <c r="D801" s="3">
        <f t="shared" si="12"/>
        <v>0.4</v>
      </c>
      <c r="E801" s="1">
        <v>0.6</v>
      </c>
      <c r="F801" s="2">
        <v>0.31</v>
      </c>
      <c r="G801" s="2">
        <v>0.2</v>
      </c>
      <c r="H801" s="2">
        <v>0.49000000000000005</v>
      </c>
    </row>
    <row r="802" spans="1:8" x14ac:dyDescent="0.25">
      <c r="A802" s="1">
        <v>923</v>
      </c>
      <c r="B802" s="4">
        <v>7781999</v>
      </c>
      <c r="C802" s="3">
        <v>2.1899999999999999E-2</v>
      </c>
      <c r="D802" s="3">
        <f t="shared" si="12"/>
        <v>0.7</v>
      </c>
      <c r="E802" s="1">
        <v>0.3</v>
      </c>
      <c r="F802" s="2">
        <v>0.37</v>
      </c>
      <c r="G802" s="2">
        <v>0.3</v>
      </c>
      <c r="H802" s="2">
        <v>0.32999999999999996</v>
      </c>
    </row>
    <row r="803" spans="1:8" x14ac:dyDescent="0.25">
      <c r="A803" s="1">
        <v>121</v>
      </c>
      <c r="B803" s="4">
        <v>148791</v>
      </c>
      <c r="C803" s="3">
        <v>2.18E-2</v>
      </c>
      <c r="D803" s="3">
        <f t="shared" si="12"/>
        <v>0.4</v>
      </c>
      <c r="E803" s="1">
        <v>0.6</v>
      </c>
      <c r="F803" s="2">
        <v>0.32</v>
      </c>
      <c r="G803" s="2">
        <v>0.41</v>
      </c>
      <c r="H803" s="2">
        <v>0.27000000000000007</v>
      </c>
    </row>
    <row r="804" spans="1:8" x14ac:dyDescent="0.25">
      <c r="A804" s="1">
        <v>545</v>
      </c>
      <c r="B804" s="4">
        <v>3702867</v>
      </c>
      <c r="C804" s="3">
        <v>2.18E-2</v>
      </c>
      <c r="D804" s="3">
        <f t="shared" si="12"/>
        <v>0.6</v>
      </c>
      <c r="E804" s="1">
        <v>0.4</v>
      </c>
      <c r="F804" s="2">
        <v>0.23</v>
      </c>
      <c r="G804" s="2">
        <v>0.44</v>
      </c>
      <c r="H804" s="2">
        <v>0.33000000000000007</v>
      </c>
    </row>
    <row r="805" spans="1:8" x14ac:dyDescent="0.25">
      <c r="A805" s="1">
        <v>607</v>
      </c>
      <c r="B805" s="4">
        <v>9142524</v>
      </c>
      <c r="C805" s="3">
        <v>2.18E-2</v>
      </c>
      <c r="D805" s="3">
        <f t="shared" si="12"/>
        <v>0.7</v>
      </c>
      <c r="E805" s="1">
        <v>0.3</v>
      </c>
      <c r="F805" s="2">
        <v>0.31</v>
      </c>
      <c r="G805" s="2">
        <v>0.43</v>
      </c>
      <c r="H805" s="2">
        <v>0.26000000000000006</v>
      </c>
    </row>
    <row r="806" spans="1:8" x14ac:dyDescent="0.25">
      <c r="A806" s="1">
        <v>690</v>
      </c>
      <c r="B806" s="4">
        <v>2304742</v>
      </c>
      <c r="C806" s="3">
        <v>2.18E-2</v>
      </c>
      <c r="D806" s="3">
        <f t="shared" si="12"/>
        <v>0.4</v>
      </c>
      <c r="E806" s="1">
        <v>0.6</v>
      </c>
      <c r="F806" s="2">
        <v>0.23</v>
      </c>
      <c r="G806" s="2">
        <v>0.33</v>
      </c>
      <c r="H806" s="2">
        <v>0.43999999999999995</v>
      </c>
    </row>
    <row r="807" spans="1:8" x14ac:dyDescent="0.25">
      <c r="A807" s="1">
        <v>123</v>
      </c>
      <c r="B807" s="4">
        <v>8522768</v>
      </c>
      <c r="C807" s="3">
        <v>2.1700000000000001E-2</v>
      </c>
      <c r="D807" s="3">
        <f t="shared" si="12"/>
        <v>0.7</v>
      </c>
      <c r="E807" s="1">
        <v>0.3</v>
      </c>
      <c r="F807" s="2">
        <v>0.26</v>
      </c>
      <c r="G807" s="2">
        <v>0.32</v>
      </c>
      <c r="H807" s="2">
        <v>0.41999999999999993</v>
      </c>
    </row>
    <row r="808" spans="1:8" x14ac:dyDescent="0.25">
      <c r="A808" s="1">
        <v>458</v>
      </c>
      <c r="B808" s="4">
        <v>7756084</v>
      </c>
      <c r="C808" s="3">
        <v>2.1700000000000001E-2</v>
      </c>
      <c r="D808" s="3">
        <f t="shared" si="12"/>
        <v>0.7</v>
      </c>
      <c r="E808" s="1">
        <v>0.3</v>
      </c>
      <c r="F808" s="2">
        <v>0.27</v>
      </c>
      <c r="G808" s="2">
        <v>0.47</v>
      </c>
      <c r="H808" s="2">
        <v>0.26</v>
      </c>
    </row>
    <row r="809" spans="1:8" x14ac:dyDescent="0.25">
      <c r="A809" s="1">
        <v>486</v>
      </c>
      <c r="B809" s="4">
        <v>2315355</v>
      </c>
      <c r="C809" s="3">
        <v>2.1600000000000001E-2</v>
      </c>
      <c r="D809" s="3">
        <f t="shared" si="12"/>
        <v>0.4</v>
      </c>
      <c r="E809" s="1">
        <v>0.6</v>
      </c>
      <c r="F809" s="2">
        <v>0.11</v>
      </c>
      <c r="G809" s="2">
        <v>0.38</v>
      </c>
      <c r="H809" s="2">
        <v>0.51</v>
      </c>
    </row>
    <row r="810" spans="1:8" x14ac:dyDescent="0.25">
      <c r="A810" s="1">
        <v>600</v>
      </c>
      <c r="B810" s="4">
        <v>8528698</v>
      </c>
      <c r="C810" s="3">
        <v>2.1600000000000001E-2</v>
      </c>
      <c r="D810" s="3">
        <f t="shared" si="12"/>
        <v>0.7</v>
      </c>
      <c r="E810" s="1">
        <v>0.3</v>
      </c>
      <c r="F810" s="2">
        <v>0.25</v>
      </c>
      <c r="G810" s="2">
        <v>0.21</v>
      </c>
      <c r="H810" s="2">
        <v>0.54</v>
      </c>
    </row>
    <row r="811" spans="1:8" x14ac:dyDescent="0.25">
      <c r="A811" s="1">
        <v>856</v>
      </c>
      <c r="B811" s="4">
        <v>1338003</v>
      </c>
      <c r="C811" s="3">
        <v>2.1600000000000001E-2</v>
      </c>
      <c r="D811" s="3">
        <f t="shared" si="12"/>
        <v>0.4</v>
      </c>
      <c r="E811" s="1">
        <v>0.6</v>
      </c>
      <c r="F811" s="2">
        <v>0.19</v>
      </c>
      <c r="G811" s="2">
        <v>0.28000000000000003</v>
      </c>
      <c r="H811" s="2">
        <v>0.53</v>
      </c>
    </row>
    <row r="812" spans="1:8" x14ac:dyDescent="0.25">
      <c r="A812" s="1">
        <v>997</v>
      </c>
      <c r="B812" s="4">
        <v>3782825</v>
      </c>
      <c r="C812" s="3">
        <v>2.1600000000000001E-2</v>
      </c>
      <c r="D812" s="3">
        <f t="shared" si="12"/>
        <v>0.6</v>
      </c>
      <c r="E812" s="1">
        <v>0.4</v>
      </c>
      <c r="F812" s="2">
        <v>0.16</v>
      </c>
      <c r="G812" s="2">
        <v>0.33</v>
      </c>
      <c r="H812" s="2">
        <v>0.5099999999999999</v>
      </c>
    </row>
    <row r="813" spans="1:8" x14ac:dyDescent="0.25">
      <c r="A813" s="1">
        <v>647</v>
      </c>
      <c r="B813" s="4">
        <v>5260243</v>
      </c>
      <c r="C813" s="3">
        <v>2.1499999999999998E-2</v>
      </c>
      <c r="D813" s="3">
        <f t="shared" si="12"/>
        <v>0.6</v>
      </c>
      <c r="E813" s="1">
        <v>0.4</v>
      </c>
      <c r="F813" s="2">
        <v>0.26</v>
      </c>
      <c r="G813" s="2">
        <v>0.25</v>
      </c>
      <c r="H813" s="2">
        <v>0.49</v>
      </c>
    </row>
    <row r="814" spans="1:8" x14ac:dyDescent="0.25">
      <c r="A814" s="1">
        <v>709</v>
      </c>
      <c r="B814" s="4">
        <v>2002637</v>
      </c>
      <c r="C814" s="3">
        <v>2.1499999999999998E-2</v>
      </c>
      <c r="D814" s="3">
        <f t="shared" si="12"/>
        <v>0.4</v>
      </c>
      <c r="E814" s="1">
        <v>0.6</v>
      </c>
      <c r="F814" s="2">
        <v>0.32</v>
      </c>
      <c r="G814" s="2">
        <v>0.23</v>
      </c>
      <c r="H814" s="2">
        <v>0.45</v>
      </c>
    </row>
    <row r="815" spans="1:8" x14ac:dyDescent="0.25">
      <c r="A815" s="1">
        <v>189</v>
      </c>
      <c r="B815" s="4">
        <v>9635865</v>
      </c>
      <c r="C815" s="3">
        <v>2.12E-2</v>
      </c>
      <c r="D815" s="3">
        <f t="shared" si="12"/>
        <v>0.7</v>
      </c>
      <c r="E815" s="1">
        <v>0.3</v>
      </c>
      <c r="F815" s="2">
        <v>0.17</v>
      </c>
      <c r="G815" s="2">
        <v>0.27</v>
      </c>
      <c r="H815" s="2">
        <v>0.55999999999999994</v>
      </c>
    </row>
    <row r="816" spans="1:8" x14ac:dyDescent="0.25">
      <c r="A816" s="1">
        <v>476</v>
      </c>
      <c r="B816" s="4">
        <v>3550730</v>
      </c>
      <c r="C816" s="3">
        <v>2.12E-2</v>
      </c>
      <c r="D816" s="3">
        <f t="shared" si="12"/>
        <v>0.6</v>
      </c>
      <c r="E816" s="1">
        <v>0.4</v>
      </c>
      <c r="F816" s="2">
        <v>0.24</v>
      </c>
      <c r="G816" s="2">
        <v>0.24</v>
      </c>
      <c r="H816" s="2">
        <v>0.52</v>
      </c>
    </row>
    <row r="817" spans="1:8" x14ac:dyDescent="0.25">
      <c r="A817" s="1">
        <v>879</v>
      </c>
      <c r="B817" s="4">
        <v>6156270</v>
      </c>
      <c r="C817" s="3">
        <v>2.12E-2</v>
      </c>
      <c r="D817" s="3">
        <f t="shared" si="12"/>
        <v>0.6</v>
      </c>
      <c r="E817" s="1">
        <v>0.4</v>
      </c>
      <c r="F817" s="2">
        <v>0.14000000000000001</v>
      </c>
      <c r="G817" s="2">
        <v>0.4</v>
      </c>
      <c r="H817" s="2">
        <v>0.45999999999999996</v>
      </c>
    </row>
    <row r="818" spans="1:8" x14ac:dyDescent="0.25">
      <c r="A818" s="1">
        <v>90</v>
      </c>
      <c r="B818" s="4">
        <v>8397454</v>
      </c>
      <c r="C818" s="3">
        <v>2.1099999999999997E-2</v>
      </c>
      <c r="D818" s="3">
        <f t="shared" si="12"/>
        <v>0.7</v>
      </c>
      <c r="E818" s="1">
        <v>0.3</v>
      </c>
      <c r="F818" s="2">
        <v>0.12</v>
      </c>
      <c r="G818" s="2">
        <v>0.23</v>
      </c>
      <c r="H818" s="2">
        <v>0.65</v>
      </c>
    </row>
    <row r="819" spans="1:8" x14ac:dyDescent="0.25">
      <c r="A819" s="1">
        <v>760</v>
      </c>
      <c r="B819" s="4">
        <v>9318901</v>
      </c>
      <c r="C819" s="3">
        <v>2.1099999999999997E-2</v>
      </c>
      <c r="D819" s="3">
        <f t="shared" si="12"/>
        <v>0.7</v>
      </c>
      <c r="E819" s="1">
        <v>0.3</v>
      </c>
      <c r="F819" s="2">
        <v>0.27</v>
      </c>
      <c r="G819" s="2">
        <v>0.38</v>
      </c>
      <c r="H819" s="2">
        <v>0.35</v>
      </c>
    </row>
    <row r="820" spans="1:8" x14ac:dyDescent="0.25">
      <c r="A820" s="1">
        <v>393</v>
      </c>
      <c r="B820" s="4">
        <v>6786962</v>
      </c>
      <c r="C820" s="3">
        <v>2.1000000000000001E-2</v>
      </c>
      <c r="D820" s="3">
        <f t="shared" si="12"/>
        <v>0.6</v>
      </c>
      <c r="E820" s="1">
        <v>0.4</v>
      </c>
      <c r="F820" s="2">
        <v>0.24</v>
      </c>
      <c r="G820" s="2">
        <v>0.34</v>
      </c>
      <c r="H820" s="2">
        <v>0.41999999999999993</v>
      </c>
    </row>
    <row r="821" spans="1:8" x14ac:dyDescent="0.25">
      <c r="A821" s="1">
        <v>407</v>
      </c>
      <c r="B821" s="4">
        <v>6812284</v>
      </c>
      <c r="C821" s="3">
        <v>2.0899999999999998E-2</v>
      </c>
      <c r="D821" s="3">
        <f t="shared" si="12"/>
        <v>0.6</v>
      </c>
      <c r="E821" s="1">
        <v>0.4</v>
      </c>
      <c r="F821" s="2">
        <v>0.23</v>
      </c>
      <c r="G821" s="2">
        <v>0.28999999999999998</v>
      </c>
      <c r="H821" s="2">
        <v>0.48</v>
      </c>
    </row>
    <row r="822" spans="1:8" x14ac:dyDescent="0.25">
      <c r="A822" s="1">
        <v>512</v>
      </c>
      <c r="B822" s="4">
        <v>8597410</v>
      </c>
      <c r="C822" s="3">
        <v>2.0799999999999999E-2</v>
      </c>
      <c r="D822" s="3">
        <f t="shared" si="12"/>
        <v>0.7</v>
      </c>
      <c r="E822" s="1">
        <v>0.3</v>
      </c>
      <c r="F822" s="2">
        <v>0.43</v>
      </c>
      <c r="G822" s="2">
        <v>0.32</v>
      </c>
      <c r="H822" s="2">
        <v>0.24999999999999994</v>
      </c>
    </row>
    <row r="823" spans="1:8" x14ac:dyDescent="0.25">
      <c r="A823" s="1">
        <v>883</v>
      </c>
      <c r="B823" s="4">
        <v>7453278</v>
      </c>
      <c r="C823" s="3">
        <v>2.0799999999999999E-2</v>
      </c>
      <c r="D823" s="3">
        <f t="shared" si="12"/>
        <v>0.7</v>
      </c>
      <c r="E823" s="1">
        <v>0.3</v>
      </c>
      <c r="F823" s="2">
        <v>0.11</v>
      </c>
      <c r="G823" s="2">
        <v>0.24</v>
      </c>
      <c r="H823" s="2">
        <v>0.65</v>
      </c>
    </row>
    <row r="824" spans="1:8" x14ac:dyDescent="0.25">
      <c r="A824" s="1">
        <v>103</v>
      </c>
      <c r="B824" s="4">
        <v>5040048</v>
      </c>
      <c r="C824" s="3">
        <v>2.07E-2</v>
      </c>
      <c r="D824" s="3">
        <f t="shared" si="12"/>
        <v>0.6</v>
      </c>
      <c r="E824" s="1">
        <v>0.4</v>
      </c>
      <c r="F824" s="2">
        <v>0.41</v>
      </c>
      <c r="G824" s="2">
        <v>0.45</v>
      </c>
      <c r="H824" s="2">
        <v>0.14000000000000007</v>
      </c>
    </row>
    <row r="825" spans="1:8" x14ac:dyDescent="0.25">
      <c r="A825" s="1">
        <v>194</v>
      </c>
      <c r="B825" s="4">
        <v>3633141</v>
      </c>
      <c r="C825" s="3">
        <v>2.07E-2</v>
      </c>
      <c r="D825" s="3">
        <f t="shared" si="12"/>
        <v>0.6</v>
      </c>
      <c r="E825" s="1">
        <v>0.4</v>
      </c>
      <c r="F825" s="2">
        <v>0.14000000000000001</v>
      </c>
      <c r="G825" s="2">
        <v>0.32</v>
      </c>
      <c r="H825" s="2">
        <v>0.53999999999999992</v>
      </c>
    </row>
    <row r="826" spans="1:8" x14ac:dyDescent="0.25">
      <c r="A826" s="1">
        <v>282</v>
      </c>
      <c r="B826" s="4">
        <v>4570045</v>
      </c>
      <c r="C826" s="3">
        <v>2.07E-2</v>
      </c>
      <c r="D826" s="3">
        <f t="shared" si="12"/>
        <v>0.6</v>
      </c>
      <c r="E826" s="1">
        <v>0.4</v>
      </c>
      <c r="F826" s="2">
        <v>0.28999999999999998</v>
      </c>
      <c r="G826" s="2">
        <v>0.48</v>
      </c>
      <c r="H826" s="2">
        <v>0.23000000000000004</v>
      </c>
    </row>
    <row r="827" spans="1:8" x14ac:dyDescent="0.25">
      <c r="A827" s="1">
        <v>526</v>
      </c>
      <c r="B827" s="4">
        <v>9284902</v>
      </c>
      <c r="C827" s="3">
        <v>2.07E-2</v>
      </c>
      <c r="D827" s="3">
        <f t="shared" si="12"/>
        <v>0.7</v>
      </c>
      <c r="E827" s="1">
        <v>0.3</v>
      </c>
      <c r="F827" s="2">
        <v>0.44</v>
      </c>
      <c r="G827" s="2">
        <v>0.46</v>
      </c>
      <c r="H827" s="2">
        <v>0.10000000000000003</v>
      </c>
    </row>
    <row r="828" spans="1:8" x14ac:dyDescent="0.25">
      <c r="A828" s="1">
        <v>634</v>
      </c>
      <c r="B828" s="4">
        <v>350963</v>
      </c>
      <c r="C828" s="3">
        <v>2.07E-2</v>
      </c>
      <c r="D828" s="3">
        <f t="shared" si="12"/>
        <v>0.4</v>
      </c>
      <c r="E828" s="1">
        <v>0.6</v>
      </c>
      <c r="F828" s="2">
        <v>0.31</v>
      </c>
      <c r="G828" s="2">
        <v>0.32</v>
      </c>
      <c r="H828" s="2">
        <v>0.36999999999999994</v>
      </c>
    </row>
    <row r="829" spans="1:8" x14ac:dyDescent="0.25">
      <c r="A829" s="1">
        <v>250</v>
      </c>
      <c r="B829" s="4">
        <v>471488</v>
      </c>
      <c r="C829" s="3">
        <v>2.06E-2</v>
      </c>
      <c r="D829" s="3">
        <f t="shared" si="12"/>
        <v>0.4</v>
      </c>
      <c r="E829" s="1">
        <v>0.6</v>
      </c>
      <c r="F829" s="2">
        <v>0.31</v>
      </c>
      <c r="G829" s="2">
        <v>0.22</v>
      </c>
      <c r="H829" s="2">
        <v>0.47000000000000003</v>
      </c>
    </row>
    <row r="830" spans="1:8" x14ac:dyDescent="0.25">
      <c r="A830" s="1">
        <v>279</v>
      </c>
      <c r="B830" s="4">
        <v>9536221</v>
      </c>
      <c r="C830" s="3">
        <v>2.06E-2</v>
      </c>
      <c r="D830" s="3">
        <f t="shared" si="12"/>
        <v>0.7</v>
      </c>
      <c r="E830" s="1">
        <v>0.3</v>
      </c>
      <c r="F830" s="2">
        <v>0.45</v>
      </c>
      <c r="G830" s="2">
        <v>0.48</v>
      </c>
      <c r="H830" s="2">
        <v>7.0000000000000007E-2</v>
      </c>
    </row>
    <row r="831" spans="1:8" x14ac:dyDescent="0.25">
      <c r="A831" s="1">
        <v>290</v>
      </c>
      <c r="B831" s="4">
        <v>8030304</v>
      </c>
      <c r="C831" s="3">
        <v>2.06E-2</v>
      </c>
      <c r="D831" s="3">
        <f t="shared" si="12"/>
        <v>0.7</v>
      </c>
      <c r="E831" s="1">
        <v>0.3</v>
      </c>
      <c r="F831" s="2">
        <v>0.38</v>
      </c>
      <c r="G831" s="2">
        <v>0.22</v>
      </c>
      <c r="H831" s="2">
        <v>0.4</v>
      </c>
    </row>
    <row r="832" spans="1:8" x14ac:dyDescent="0.25">
      <c r="A832" s="1">
        <v>922</v>
      </c>
      <c r="B832" s="4">
        <v>1355429</v>
      </c>
      <c r="C832" s="3">
        <v>2.06E-2</v>
      </c>
      <c r="D832" s="3">
        <f t="shared" si="12"/>
        <v>0.4</v>
      </c>
      <c r="E832" s="1">
        <v>0.6</v>
      </c>
      <c r="F832" s="2">
        <v>0.18</v>
      </c>
      <c r="G832" s="2">
        <v>0.37</v>
      </c>
      <c r="H832" s="2">
        <v>0.45</v>
      </c>
    </row>
    <row r="833" spans="1:8" x14ac:dyDescent="0.25">
      <c r="A833" s="1">
        <v>1009</v>
      </c>
      <c r="B833" s="4">
        <v>4790621</v>
      </c>
      <c r="C833" s="3">
        <v>2.06E-2</v>
      </c>
      <c r="D833" s="3">
        <f t="shared" si="12"/>
        <v>0.6</v>
      </c>
      <c r="E833" s="1">
        <v>0.4</v>
      </c>
      <c r="F833" s="2">
        <v>0.21</v>
      </c>
      <c r="G833" s="2">
        <v>0.22</v>
      </c>
      <c r="H833" s="2">
        <v>0.57000000000000006</v>
      </c>
    </row>
    <row r="834" spans="1:8" x14ac:dyDescent="0.25">
      <c r="A834" s="1">
        <v>78</v>
      </c>
      <c r="B834" s="4">
        <v>6774981</v>
      </c>
      <c r="C834" s="3">
        <v>2.0499999999999997E-2</v>
      </c>
      <c r="D834" s="3">
        <f t="shared" ref="D834:D897" si="13">1-E834</f>
        <v>0.6</v>
      </c>
      <c r="E834" s="1">
        <v>0.4</v>
      </c>
      <c r="F834" s="2">
        <v>0.32</v>
      </c>
      <c r="G834" s="2">
        <v>0.46</v>
      </c>
      <c r="H834" s="2">
        <v>0.22000000000000003</v>
      </c>
    </row>
    <row r="835" spans="1:8" x14ac:dyDescent="0.25">
      <c r="A835" s="1">
        <v>350</v>
      </c>
      <c r="B835" s="4">
        <v>147286</v>
      </c>
      <c r="C835" s="3">
        <v>2.0499999999999997E-2</v>
      </c>
      <c r="D835" s="3">
        <f t="shared" si="13"/>
        <v>0.4</v>
      </c>
      <c r="E835" s="1">
        <v>0.6</v>
      </c>
      <c r="F835" s="2">
        <v>0.28999999999999998</v>
      </c>
      <c r="G835" s="2">
        <v>0.23</v>
      </c>
      <c r="H835" s="2">
        <v>0.48000000000000004</v>
      </c>
    </row>
    <row r="836" spans="1:8" x14ac:dyDescent="0.25">
      <c r="A836" s="1">
        <v>602</v>
      </c>
      <c r="B836" s="4">
        <v>7819767</v>
      </c>
      <c r="C836" s="3">
        <v>2.0499999999999997E-2</v>
      </c>
      <c r="D836" s="3">
        <f t="shared" si="13"/>
        <v>0.7</v>
      </c>
      <c r="E836" s="1">
        <v>0.3</v>
      </c>
      <c r="F836" s="2">
        <v>0.26</v>
      </c>
      <c r="G836" s="2">
        <v>0.31</v>
      </c>
      <c r="H836" s="2">
        <v>0.42999999999999994</v>
      </c>
    </row>
    <row r="837" spans="1:8" x14ac:dyDescent="0.25">
      <c r="A837" s="1">
        <v>124</v>
      </c>
      <c r="B837" s="4">
        <v>1421456</v>
      </c>
      <c r="C837" s="3">
        <v>2.0400000000000001E-2</v>
      </c>
      <c r="D837" s="3">
        <f t="shared" si="13"/>
        <v>0.4</v>
      </c>
      <c r="E837" s="1">
        <v>0.6</v>
      </c>
      <c r="F837" s="2">
        <v>0.42</v>
      </c>
      <c r="G837" s="2">
        <v>0.38</v>
      </c>
      <c r="H837" s="2">
        <v>0.2</v>
      </c>
    </row>
    <row r="838" spans="1:8" x14ac:dyDescent="0.25">
      <c r="A838" s="1">
        <v>573</v>
      </c>
      <c r="B838" s="4">
        <v>5570063</v>
      </c>
      <c r="C838" s="3">
        <v>2.0400000000000001E-2</v>
      </c>
      <c r="D838" s="3">
        <f t="shared" si="13"/>
        <v>0.6</v>
      </c>
      <c r="E838" s="1">
        <v>0.4</v>
      </c>
      <c r="F838" s="2">
        <v>0.11</v>
      </c>
      <c r="G838" s="2">
        <v>0.36</v>
      </c>
      <c r="H838" s="2">
        <v>0.53</v>
      </c>
    </row>
    <row r="839" spans="1:8" x14ac:dyDescent="0.25">
      <c r="A839" s="1">
        <v>729</v>
      </c>
      <c r="B839" s="4">
        <v>7059398</v>
      </c>
      <c r="C839" s="3">
        <v>2.0400000000000001E-2</v>
      </c>
      <c r="D839" s="3">
        <f t="shared" si="13"/>
        <v>0.7</v>
      </c>
      <c r="E839" s="1">
        <v>0.3</v>
      </c>
      <c r="F839" s="2">
        <v>0.23</v>
      </c>
      <c r="G839" s="2">
        <v>0.46</v>
      </c>
      <c r="H839" s="2">
        <v>0.31000000000000005</v>
      </c>
    </row>
    <row r="840" spans="1:8" x14ac:dyDescent="0.25">
      <c r="A840" s="1">
        <v>60</v>
      </c>
      <c r="B840" s="4">
        <v>2221084</v>
      </c>
      <c r="C840" s="3">
        <v>2.0299999999999999E-2</v>
      </c>
      <c r="D840" s="3">
        <f t="shared" si="13"/>
        <v>0.4</v>
      </c>
      <c r="E840" s="1">
        <v>0.6</v>
      </c>
      <c r="F840" s="2">
        <v>0.36</v>
      </c>
      <c r="G840" s="2">
        <v>0.47</v>
      </c>
      <c r="H840" s="2">
        <v>0.17000000000000004</v>
      </c>
    </row>
    <row r="841" spans="1:8" x14ac:dyDescent="0.25">
      <c r="A841" s="1">
        <v>302</v>
      </c>
      <c r="B841" s="4">
        <v>7625688</v>
      </c>
      <c r="C841" s="3">
        <v>2.0299999999999999E-2</v>
      </c>
      <c r="D841" s="3">
        <f t="shared" si="13"/>
        <v>0.7</v>
      </c>
      <c r="E841" s="1">
        <v>0.3</v>
      </c>
      <c r="F841" s="2">
        <v>0.43</v>
      </c>
      <c r="G841" s="2">
        <v>0.34</v>
      </c>
      <c r="H841" s="2">
        <v>0.22999999999999993</v>
      </c>
    </row>
    <row r="842" spans="1:8" x14ac:dyDescent="0.25">
      <c r="A842" s="1">
        <v>780</v>
      </c>
      <c r="B842" s="4">
        <v>7003574</v>
      </c>
      <c r="C842" s="3">
        <v>2.0299999999999999E-2</v>
      </c>
      <c r="D842" s="3">
        <f t="shared" si="13"/>
        <v>0.7</v>
      </c>
      <c r="E842" s="1">
        <v>0.3</v>
      </c>
      <c r="F842" s="2">
        <v>0.11</v>
      </c>
      <c r="G842" s="2">
        <v>0.3</v>
      </c>
      <c r="H842" s="2">
        <v>0.59</v>
      </c>
    </row>
    <row r="843" spans="1:8" x14ac:dyDescent="0.25">
      <c r="A843" s="1">
        <v>126</v>
      </c>
      <c r="B843" s="4">
        <v>6219051</v>
      </c>
      <c r="C843" s="3">
        <v>2.0199999999999999E-2</v>
      </c>
      <c r="D843" s="3">
        <f t="shared" si="13"/>
        <v>0.6</v>
      </c>
      <c r="E843" s="1">
        <v>0.4</v>
      </c>
      <c r="F843" s="2">
        <v>0.43</v>
      </c>
      <c r="G843" s="2">
        <v>0.4</v>
      </c>
      <c r="H843" s="2">
        <v>0.16999999999999998</v>
      </c>
    </row>
    <row r="844" spans="1:8" x14ac:dyDescent="0.25">
      <c r="A844" s="1">
        <v>275</v>
      </c>
      <c r="B844" s="4">
        <v>2386808</v>
      </c>
      <c r="C844" s="3">
        <v>2.0199999999999999E-2</v>
      </c>
      <c r="D844" s="3">
        <f t="shared" si="13"/>
        <v>0.4</v>
      </c>
      <c r="E844" s="1">
        <v>0.6</v>
      </c>
      <c r="F844" s="2">
        <v>0.4</v>
      </c>
      <c r="G844" s="2">
        <v>0.32</v>
      </c>
      <c r="H844" s="2">
        <v>0.27999999999999992</v>
      </c>
    </row>
    <row r="845" spans="1:8" x14ac:dyDescent="0.25">
      <c r="A845" s="1">
        <v>401</v>
      </c>
      <c r="B845" s="4">
        <v>7286983</v>
      </c>
      <c r="C845" s="3">
        <v>2.0199999999999999E-2</v>
      </c>
      <c r="D845" s="3">
        <f t="shared" si="13"/>
        <v>0.7</v>
      </c>
      <c r="E845" s="1">
        <v>0.3</v>
      </c>
      <c r="F845" s="2">
        <v>0.27</v>
      </c>
      <c r="G845" s="2">
        <v>0.38</v>
      </c>
      <c r="H845" s="2">
        <v>0.35</v>
      </c>
    </row>
    <row r="846" spans="1:8" x14ac:dyDescent="0.25">
      <c r="A846" s="1">
        <v>907</v>
      </c>
      <c r="B846" s="4">
        <v>5191544</v>
      </c>
      <c r="C846" s="3">
        <v>2.0099999999999996E-2</v>
      </c>
      <c r="D846" s="3">
        <f t="shared" si="13"/>
        <v>0.6</v>
      </c>
      <c r="E846" s="1">
        <v>0.4</v>
      </c>
      <c r="F846" s="2">
        <v>0.23</v>
      </c>
      <c r="G846" s="2">
        <v>0.32</v>
      </c>
      <c r="H846" s="2">
        <v>0.44999999999999996</v>
      </c>
    </row>
    <row r="847" spans="1:8" x14ac:dyDescent="0.25">
      <c r="A847" s="1">
        <v>304</v>
      </c>
      <c r="B847" s="4">
        <v>1240557</v>
      </c>
      <c r="C847" s="3">
        <v>0.02</v>
      </c>
      <c r="D847" s="3">
        <f t="shared" si="13"/>
        <v>0.4</v>
      </c>
      <c r="E847" s="1">
        <v>0.6</v>
      </c>
      <c r="F847" s="2">
        <v>0.27</v>
      </c>
      <c r="G847" s="2">
        <v>0.39</v>
      </c>
      <c r="H847" s="2">
        <v>0.33999999999999997</v>
      </c>
    </row>
    <row r="848" spans="1:8" x14ac:dyDescent="0.25">
      <c r="A848" s="1">
        <v>579</v>
      </c>
      <c r="B848" s="4">
        <v>7220530</v>
      </c>
      <c r="C848" s="3">
        <v>0.02</v>
      </c>
      <c r="D848" s="3">
        <f t="shared" si="13"/>
        <v>0.7</v>
      </c>
      <c r="E848" s="1">
        <v>0.3</v>
      </c>
      <c r="F848" s="2">
        <v>0.24</v>
      </c>
      <c r="G848" s="2">
        <v>0.27</v>
      </c>
      <c r="H848" s="2">
        <v>0.49</v>
      </c>
    </row>
    <row r="849" spans="1:8" x14ac:dyDescent="0.25">
      <c r="A849" s="1">
        <v>680</v>
      </c>
      <c r="B849" s="4">
        <v>2881550</v>
      </c>
      <c r="C849" s="3">
        <v>0.02</v>
      </c>
      <c r="D849" s="3">
        <f t="shared" si="13"/>
        <v>0.4</v>
      </c>
      <c r="E849" s="1">
        <v>0.6</v>
      </c>
      <c r="F849" s="2">
        <v>0.28999999999999998</v>
      </c>
      <c r="G849" s="2">
        <v>0.35</v>
      </c>
      <c r="H849" s="2">
        <v>0.36000000000000004</v>
      </c>
    </row>
    <row r="850" spans="1:8" x14ac:dyDescent="0.25">
      <c r="A850" s="1">
        <v>984</v>
      </c>
      <c r="B850" s="4">
        <v>2113030</v>
      </c>
      <c r="C850" s="3">
        <v>0.02</v>
      </c>
      <c r="D850" s="3">
        <f t="shared" si="13"/>
        <v>0.4</v>
      </c>
      <c r="E850" s="1">
        <v>0.6</v>
      </c>
      <c r="F850" s="2">
        <v>0.15</v>
      </c>
      <c r="G850" s="2">
        <v>0.21</v>
      </c>
      <c r="H850" s="2">
        <v>0.64</v>
      </c>
    </row>
    <row r="851" spans="1:8" x14ac:dyDescent="0.25">
      <c r="A851" s="1">
        <v>960</v>
      </c>
      <c r="B851" s="4">
        <v>799027</v>
      </c>
      <c r="C851" s="3">
        <v>1.9900000000000001E-2</v>
      </c>
      <c r="D851" s="3">
        <f t="shared" si="13"/>
        <v>0.4</v>
      </c>
      <c r="E851" s="1">
        <v>0.6</v>
      </c>
      <c r="F851" s="2">
        <v>0.35</v>
      </c>
      <c r="G851" s="2">
        <v>0.2</v>
      </c>
      <c r="H851" s="2">
        <v>0.45000000000000007</v>
      </c>
    </row>
    <row r="852" spans="1:8" x14ac:dyDescent="0.25">
      <c r="A852" s="1">
        <v>969</v>
      </c>
      <c r="B852" s="4">
        <v>9245881</v>
      </c>
      <c r="C852" s="3">
        <v>1.9900000000000001E-2</v>
      </c>
      <c r="D852" s="3">
        <f t="shared" si="13"/>
        <v>0.7</v>
      </c>
      <c r="E852" s="1">
        <v>0.3</v>
      </c>
      <c r="F852" s="2">
        <v>0.19</v>
      </c>
      <c r="G852" s="2">
        <v>0.33</v>
      </c>
      <c r="H852" s="2">
        <v>0.47999999999999993</v>
      </c>
    </row>
    <row r="853" spans="1:8" x14ac:dyDescent="0.25">
      <c r="A853" s="1">
        <v>135</v>
      </c>
      <c r="B853" s="4">
        <v>1270588</v>
      </c>
      <c r="C853" s="3">
        <v>1.9799999999999998E-2</v>
      </c>
      <c r="D853" s="3">
        <f t="shared" si="13"/>
        <v>0.4</v>
      </c>
      <c r="E853" s="1">
        <v>0.6</v>
      </c>
      <c r="F853" s="2">
        <v>0.25</v>
      </c>
      <c r="G853" s="2">
        <v>0.2</v>
      </c>
      <c r="H853" s="2">
        <v>0.55000000000000004</v>
      </c>
    </row>
    <row r="854" spans="1:8" x14ac:dyDescent="0.25">
      <c r="A854" s="1">
        <v>315</v>
      </c>
      <c r="B854" s="4">
        <v>9551581</v>
      </c>
      <c r="C854" s="3">
        <v>1.9799999999999998E-2</v>
      </c>
      <c r="D854" s="3">
        <f t="shared" si="13"/>
        <v>0.7</v>
      </c>
      <c r="E854" s="1">
        <v>0.3</v>
      </c>
      <c r="F854" s="2">
        <v>0.1</v>
      </c>
      <c r="G854" s="2">
        <v>0.32</v>
      </c>
      <c r="H854" s="2">
        <v>0.57999999999999996</v>
      </c>
    </row>
    <row r="855" spans="1:8" x14ac:dyDescent="0.25">
      <c r="A855" s="1">
        <v>870</v>
      </c>
      <c r="B855" s="4">
        <v>1980356</v>
      </c>
      <c r="C855" s="3">
        <v>1.9799999999999998E-2</v>
      </c>
      <c r="D855" s="3">
        <f t="shared" si="13"/>
        <v>0.4</v>
      </c>
      <c r="E855" s="1">
        <v>0.6</v>
      </c>
      <c r="F855" s="2">
        <v>0.2</v>
      </c>
      <c r="G855" s="2">
        <v>0.49</v>
      </c>
      <c r="H855" s="2">
        <v>0.31</v>
      </c>
    </row>
    <row r="856" spans="1:8" x14ac:dyDescent="0.25">
      <c r="A856" s="1">
        <v>19</v>
      </c>
      <c r="B856" s="4">
        <v>1515685</v>
      </c>
      <c r="C856" s="3">
        <v>1.9699999999999999E-2</v>
      </c>
      <c r="D856" s="3">
        <f t="shared" si="13"/>
        <v>0.4</v>
      </c>
      <c r="E856" s="1">
        <v>0.6</v>
      </c>
      <c r="F856" s="2">
        <v>0.31</v>
      </c>
      <c r="G856" s="2">
        <v>0.43</v>
      </c>
      <c r="H856" s="2">
        <v>0.26000000000000006</v>
      </c>
    </row>
    <row r="857" spans="1:8" x14ac:dyDescent="0.25">
      <c r="A857" s="1">
        <v>114</v>
      </c>
      <c r="B857" s="4">
        <v>8928560</v>
      </c>
      <c r="C857" s="3">
        <v>1.9699999999999999E-2</v>
      </c>
      <c r="D857" s="3">
        <f t="shared" si="13"/>
        <v>0.7</v>
      </c>
      <c r="E857" s="1">
        <v>0.3</v>
      </c>
      <c r="F857" s="2">
        <v>0.28999999999999998</v>
      </c>
      <c r="G857" s="2">
        <v>0.44</v>
      </c>
      <c r="H857" s="2">
        <v>0.27000000000000007</v>
      </c>
    </row>
    <row r="858" spans="1:8" x14ac:dyDescent="0.25">
      <c r="A858" s="1">
        <v>864</v>
      </c>
      <c r="B858" s="4">
        <v>4399172</v>
      </c>
      <c r="C858" s="3">
        <v>1.9699999999999999E-2</v>
      </c>
      <c r="D858" s="3">
        <f t="shared" si="13"/>
        <v>0.6</v>
      </c>
      <c r="E858" s="1">
        <v>0.4</v>
      </c>
      <c r="F858" s="2">
        <v>0.17</v>
      </c>
      <c r="G858" s="2">
        <v>0.2</v>
      </c>
      <c r="H858" s="2">
        <v>0.63</v>
      </c>
    </row>
    <row r="859" spans="1:8" x14ac:dyDescent="0.25">
      <c r="A859" s="1">
        <v>41</v>
      </c>
      <c r="B859" s="4">
        <v>9204836</v>
      </c>
      <c r="C859" s="3">
        <v>1.9599999999999999E-2</v>
      </c>
      <c r="D859" s="3">
        <f t="shared" si="13"/>
        <v>0.7</v>
      </c>
      <c r="E859" s="1">
        <v>0.3</v>
      </c>
      <c r="F859" s="2">
        <v>0.25</v>
      </c>
      <c r="G859" s="2">
        <v>0.27</v>
      </c>
      <c r="H859" s="2">
        <v>0.48</v>
      </c>
    </row>
    <row r="860" spans="1:8" x14ac:dyDescent="0.25">
      <c r="A860" s="1">
        <v>173</v>
      </c>
      <c r="B860" s="4">
        <v>5227190</v>
      </c>
      <c r="C860" s="3">
        <v>1.9599999999999999E-2</v>
      </c>
      <c r="D860" s="3">
        <f t="shared" si="13"/>
        <v>0.6</v>
      </c>
      <c r="E860" s="1">
        <v>0.4</v>
      </c>
      <c r="F860" s="2">
        <v>0.34</v>
      </c>
      <c r="G860" s="2">
        <v>0.3</v>
      </c>
      <c r="H860" s="2">
        <v>0.35999999999999993</v>
      </c>
    </row>
    <row r="861" spans="1:8" x14ac:dyDescent="0.25">
      <c r="A861" s="1">
        <v>320</v>
      </c>
      <c r="B861" s="4">
        <v>9238638</v>
      </c>
      <c r="C861" s="3">
        <v>1.95E-2</v>
      </c>
      <c r="D861" s="3">
        <f t="shared" si="13"/>
        <v>0.7</v>
      </c>
      <c r="E861" s="1">
        <v>0.3</v>
      </c>
      <c r="F861" s="2">
        <v>0.14000000000000001</v>
      </c>
      <c r="G861" s="2">
        <v>0.44</v>
      </c>
      <c r="H861" s="2">
        <v>0.42000000000000004</v>
      </c>
    </row>
    <row r="862" spans="1:8" x14ac:dyDescent="0.25">
      <c r="A862" s="1">
        <v>649</v>
      </c>
      <c r="B862" s="4">
        <v>3899032</v>
      </c>
      <c r="C862" s="3">
        <v>1.95E-2</v>
      </c>
      <c r="D862" s="3">
        <f t="shared" si="13"/>
        <v>0.6</v>
      </c>
      <c r="E862" s="1">
        <v>0.4</v>
      </c>
      <c r="F862" s="2">
        <v>0.15</v>
      </c>
      <c r="G862" s="2">
        <v>0.35</v>
      </c>
      <c r="H862" s="2">
        <v>0.5</v>
      </c>
    </row>
    <row r="863" spans="1:8" x14ac:dyDescent="0.25">
      <c r="A863" s="1">
        <v>753</v>
      </c>
      <c r="B863" s="4">
        <v>2275632</v>
      </c>
      <c r="C863" s="3">
        <v>1.95E-2</v>
      </c>
      <c r="D863" s="3">
        <f t="shared" si="13"/>
        <v>0.4</v>
      </c>
      <c r="E863" s="1">
        <v>0.6</v>
      </c>
      <c r="F863" s="2">
        <v>0.1</v>
      </c>
      <c r="G863" s="2">
        <v>0.38</v>
      </c>
      <c r="H863" s="2">
        <v>0.52</v>
      </c>
    </row>
    <row r="864" spans="1:8" x14ac:dyDescent="0.25">
      <c r="A864" s="1">
        <v>284</v>
      </c>
      <c r="B864" s="4">
        <v>4903627</v>
      </c>
      <c r="C864" s="3">
        <v>1.9400000000000001E-2</v>
      </c>
      <c r="D864" s="3">
        <f t="shared" si="13"/>
        <v>0.6</v>
      </c>
      <c r="E864" s="1">
        <v>0.4</v>
      </c>
      <c r="F864" s="2">
        <v>0.19</v>
      </c>
      <c r="G864" s="2">
        <v>0.33</v>
      </c>
      <c r="H864" s="2">
        <v>0.47999999999999993</v>
      </c>
    </row>
    <row r="865" spans="1:8" x14ac:dyDescent="0.25">
      <c r="A865" s="1">
        <v>813</v>
      </c>
      <c r="B865" s="4">
        <v>1706214</v>
      </c>
      <c r="C865" s="3">
        <v>1.9400000000000001E-2</v>
      </c>
      <c r="D865" s="3">
        <f t="shared" si="13"/>
        <v>0.4</v>
      </c>
      <c r="E865" s="1">
        <v>0.6</v>
      </c>
      <c r="F865" s="2">
        <v>0.24</v>
      </c>
      <c r="G865" s="2">
        <v>0.2</v>
      </c>
      <c r="H865" s="2">
        <v>0.56000000000000005</v>
      </c>
    </row>
    <row r="866" spans="1:8" x14ac:dyDescent="0.25">
      <c r="A866" s="1">
        <v>712</v>
      </c>
      <c r="B866" s="4">
        <v>7560932</v>
      </c>
      <c r="C866" s="3">
        <v>1.9299999999999998E-2</v>
      </c>
      <c r="D866" s="3">
        <f t="shared" si="13"/>
        <v>0.7</v>
      </c>
      <c r="E866" s="1">
        <v>0.3</v>
      </c>
      <c r="F866" s="2">
        <v>0.31</v>
      </c>
      <c r="G866" s="2">
        <v>0.37</v>
      </c>
      <c r="H866" s="2">
        <v>0.32</v>
      </c>
    </row>
    <row r="867" spans="1:8" x14ac:dyDescent="0.25">
      <c r="A867" s="1">
        <v>906</v>
      </c>
      <c r="B867" s="4">
        <v>7176221</v>
      </c>
      <c r="C867" s="3">
        <v>1.9299999999999998E-2</v>
      </c>
      <c r="D867" s="3">
        <f t="shared" si="13"/>
        <v>0.7</v>
      </c>
      <c r="E867" s="1">
        <v>0.3</v>
      </c>
      <c r="F867" s="2">
        <v>0.28999999999999998</v>
      </c>
      <c r="G867" s="2">
        <v>0.45</v>
      </c>
      <c r="H867" s="2">
        <v>0.26000000000000006</v>
      </c>
    </row>
    <row r="868" spans="1:8" x14ac:dyDescent="0.25">
      <c r="A868" s="1">
        <v>380</v>
      </c>
      <c r="B868" s="4">
        <v>4721670</v>
      </c>
      <c r="C868" s="3">
        <v>1.9099999999999999E-2</v>
      </c>
      <c r="D868" s="3">
        <f t="shared" si="13"/>
        <v>0.6</v>
      </c>
      <c r="E868" s="1">
        <v>0.4</v>
      </c>
      <c r="F868" s="2">
        <v>0.18</v>
      </c>
      <c r="G868" s="2">
        <v>0.24</v>
      </c>
      <c r="H868" s="2">
        <v>0.58000000000000007</v>
      </c>
    </row>
    <row r="869" spans="1:8" x14ac:dyDescent="0.25">
      <c r="A869" s="1">
        <v>55</v>
      </c>
      <c r="B869" s="4">
        <v>3146681</v>
      </c>
      <c r="C869" s="3">
        <v>1.9E-2</v>
      </c>
      <c r="D869" s="3">
        <f t="shared" si="13"/>
        <v>0.6</v>
      </c>
      <c r="E869" s="1">
        <v>0.4</v>
      </c>
      <c r="F869" s="2">
        <v>0.18</v>
      </c>
      <c r="G869" s="2">
        <v>0.26</v>
      </c>
      <c r="H869" s="2">
        <v>0.56000000000000005</v>
      </c>
    </row>
    <row r="870" spans="1:8" x14ac:dyDescent="0.25">
      <c r="A870" s="1">
        <v>281</v>
      </c>
      <c r="B870" s="4">
        <v>8087212</v>
      </c>
      <c r="C870" s="3">
        <v>1.9E-2</v>
      </c>
      <c r="D870" s="3">
        <f t="shared" si="13"/>
        <v>0.7</v>
      </c>
      <c r="E870" s="1">
        <v>0.3</v>
      </c>
      <c r="F870" s="2">
        <v>0.28999999999999998</v>
      </c>
      <c r="G870" s="2">
        <v>0.43</v>
      </c>
      <c r="H870" s="2">
        <v>0.28000000000000008</v>
      </c>
    </row>
    <row r="871" spans="1:8" x14ac:dyDescent="0.25">
      <c r="A871" s="1">
        <v>655</v>
      </c>
      <c r="B871" s="4">
        <v>8536709</v>
      </c>
      <c r="C871" s="3">
        <v>1.9E-2</v>
      </c>
      <c r="D871" s="3">
        <f t="shared" si="13"/>
        <v>0.7</v>
      </c>
      <c r="E871" s="1">
        <v>0.3</v>
      </c>
      <c r="F871" s="2">
        <v>0.35</v>
      </c>
      <c r="G871" s="2">
        <v>0.45</v>
      </c>
      <c r="H871" s="2">
        <v>0.20000000000000007</v>
      </c>
    </row>
    <row r="872" spans="1:8" x14ac:dyDescent="0.25">
      <c r="A872" s="1">
        <v>8</v>
      </c>
      <c r="B872" s="4">
        <v>9195534</v>
      </c>
      <c r="C872" s="3">
        <v>1.89E-2</v>
      </c>
      <c r="D872" s="3">
        <f t="shared" si="13"/>
        <v>0.7</v>
      </c>
      <c r="E872" s="1">
        <v>0.3</v>
      </c>
      <c r="F872" s="2">
        <v>0.32</v>
      </c>
      <c r="G872" s="2">
        <v>0.48</v>
      </c>
      <c r="H872" s="2">
        <v>0.2</v>
      </c>
    </row>
    <row r="873" spans="1:8" x14ac:dyDescent="0.25">
      <c r="A873" s="1">
        <v>228</v>
      </c>
      <c r="B873" s="4">
        <v>1324851</v>
      </c>
      <c r="C873" s="3">
        <v>1.8700000000000001E-2</v>
      </c>
      <c r="D873" s="3">
        <f t="shared" si="13"/>
        <v>0.4</v>
      </c>
      <c r="E873" s="1">
        <v>0.6</v>
      </c>
      <c r="F873" s="2">
        <v>0.45</v>
      </c>
      <c r="G873" s="2">
        <v>0.3</v>
      </c>
      <c r="H873" s="2">
        <v>0.24999999999999994</v>
      </c>
    </row>
    <row r="874" spans="1:8" x14ac:dyDescent="0.25">
      <c r="A874" s="1">
        <v>270</v>
      </c>
      <c r="B874" s="4">
        <v>3899513</v>
      </c>
      <c r="C874" s="3">
        <v>1.8700000000000001E-2</v>
      </c>
      <c r="D874" s="3">
        <f t="shared" si="13"/>
        <v>0.6</v>
      </c>
      <c r="E874" s="1">
        <v>0.4</v>
      </c>
      <c r="F874" s="2">
        <v>0.32</v>
      </c>
      <c r="G874" s="2">
        <v>0.39</v>
      </c>
      <c r="H874" s="2">
        <v>0.28999999999999998</v>
      </c>
    </row>
    <row r="875" spans="1:8" x14ac:dyDescent="0.25">
      <c r="A875" s="1">
        <v>396</v>
      </c>
      <c r="B875" s="4">
        <v>5126046</v>
      </c>
      <c r="C875" s="3">
        <v>1.8700000000000001E-2</v>
      </c>
      <c r="D875" s="3">
        <f t="shared" si="13"/>
        <v>0.6</v>
      </c>
      <c r="E875" s="1">
        <v>0.4</v>
      </c>
      <c r="F875" s="2">
        <v>0.14000000000000001</v>
      </c>
      <c r="G875" s="2">
        <v>0.48</v>
      </c>
      <c r="H875" s="2">
        <v>0.38</v>
      </c>
    </row>
    <row r="876" spans="1:8" x14ac:dyDescent="0.25">
      <c r="A876" s="1">
        <v>225</v>
      </c>
      <c r="B876" s="4">
        <v>4604198</v>
      </c>
      <c r="C876" s="3">
        <v>1.8600000000000002E-2</v>
      </c>
      <c r="D876" s="3">
        <f t="shared" si="13"/>
        <v>0.6</v>
      </c>
      <c r="E876" s="1">
        <v>0.4</v>
      </c>
      <c r="F876" s="2">
        <v>0.38</v>
      </c>
      <c r="G876" s="2">
        <v>0.39</v>
      </c>
      <c r="H876" s="2">
        <v>0.22999999999999998</v>
      </c>
    </row>
    <row r="877" spans="1:8" x14ac:dyDescent="0.25">
      <c r="A877" s="1">
        <v>325</v>
      </c>
      <c r="B877" s="4">
        <v>9876489</v>
      </c>
      <c r="C877" s="3">
        <v>1.8500000000000003E-2</v>
      </c>
      <c r="D877" s="3">
        <f t="shared" si="13"/>
        <v>0.7</v>
      </c>
      <c r="E877" s="1">
        <v>0.3</v>
      </c>
      <c r="F877" s="2">
        <v>0.38</v>
      </c>
      <c r="G877" s="2">
        <v>0.47</v>
      </c>
      <c r="H877" s="2">
        <v>0.15000000000000002</v>
      </c>
    </row>
    <row r="878" spans="1:8" x14ac:dyDescent="0.25">
      <c r="A878" s="1">
        <v>529</v>
      </c>
      <c r="B878" s="4">
        <v>7503990</v>
      </c>
      <c r="C878" s="3">
        <v>1.8500000000000003E-2</v>
      </c>
      <c r="D878" s="3">
        <f t="shared" si="13"/>
        <v>0.7</v>
      </c>
      <c r="E878" s="1">
        <v>0.3</v>
      </c>
      <c r="F878" s="2">
        <v>0.15</v>
      </c>
      <c r="G878" s="2">
        <v>0.24</v>
      </c>
      <c r="H878" s="2">
        <v>0.61</v>
      </c>
    </row>
    <row r="879" spans="1:8" x14ac:dyDescent="0.25">
      <c r="A879" s="1">
        <v>953</v>
      </c>
      <c r="B879" s="4">
        <v>2254146</v>
      </c>
      <c r="C879" s="3">
        <v>1.8500000000000003E-2</v>
      </c>
      <c r="D879" s="3">
        <f t="shared" si="13"/>
        <v>0.4</v>
      </c>
      <c r="E879" s="1">
        <v>0.6</v>
      </c>
      <c r="F879" s="2">
        <v>0.14000000000000001</v>
      </c>
      <c r="G879" s="2">
        <v>0.26</v>
      </c>
      <c r="H879" s="2">
        <v>0.6</v>
      </c>
    </row>
    <row r="880" spans="1:8" x14ac:dyDescent="0.25">
      <c r="A880" s="1">
        <v>1025</v>
      </c>
      <c r="B880" s="4">
        <v>5306024</v>
      </c>
      <c r="C880" s="3">
        <v>1.8500000000000003E-2</v>
      </c>
      <c r="D880" s="3">
        <f t="shared" si="13"/>
        <v>0.6</v>
      </c>
      <c r="E880" s="1">
        <v>0.4</v>
      </c>
      <c r="F880" s="2">
        <v>0.35</v>
      </c>
      <c r="G880" s="2">
        <v>0.36</v>
      </c>
      <c r="H880" s="2">
        <v>0.29000000000000004</v>
      </c>
    </row>
    <row r="881" spans="1:8" x14ac:dyDescent="0.25">
      <c r="A881" s="1">
        <v>804</v>
      </c>
      <c r="B881" s="4">
        <v>3294718</v>
      </c>
      <c r="C881" s="3">
        <v>1.83E-2</v>
      </c>
      <c r="D881" s="3">
        <f t="shared" si="13"/>
        <v>0.6</v>
      </c>
      <c r="E881" s="1">
        <v>0.4</v>
      </c>
      <c r="F881" s="2">
        <v>0.22</v>
      </c>
      <c r="G881" s="2">
        <v>0.25</v>
      </c>
      <c r="H881" s="2">
        <v>0.53</v>
      </c>
    </row>
    <row r="882" spans="1:8" x14ac:dyDescent="0.25">
      <c r="A882" s="1">
        <v>975</v>
      </c>
      <c r="B882" s="4">
        <v>9410339</v>
      </c>
      <c r="C882" s="3">
        <v>1.83E-2</v>
      </c>
      <c r="D882" s="3">
        <f t="shared" si="13"/>
        <v>0.7</v>
      </c>
      <c r="E882" s="1">
        <v>0.3</v>
      </c>
      <c r="F882" s="2">
        <v>0.21</v>
      </c>
      <c r="G882" s="2">
        <v>0.38</v>
      </c>
      <c r="H882" s="2">
        <v>0.41000000000000003</v>
      </c>
    </row>
    <row r="883" spans="1:8" x14ac:dyDescent="0.25">
      <c r="A883" s="1">
        <v>27</v>
      </c>
      <c r="B883" s="4">
        <v>6091154</v>
      </c>
      <c r="C883" s="3">
        <v>1.8200000000000001E-2</v>
      </c>
      <c r="D883" s="3">
        <f t="shared" si="13"/>
        <v>0.6</v>
      </c>
      <c r="E883" s="1">
        <v>0.4</v>
      </c>
      <c r="F883" s="2">
        <v>0.22</v>
      </c>
      <c r="G883" s="2">
        <v>0.2</v>
      </c>
      <c r="H883" s="2">
        <v>0.58000000000000007</v>
      </c>
    </row>
    <row r="884" spans="1:8" x14ac:dyDescent="0.25">
      <c r="A884" s="1">
        <v>119</v>
      </c>
      <c r="B884" s="4">
        <v>1791734</v>
      </c>
      <c r="C884" s="3">
        <v>1.8200000000000001E-2</v>
      </c>
      <c r="D884" s="3">
        <f t="shared" si="13"/>
        <v>0.4</v>
      </c>
      <c r="E884" s="1">
        <v>0.6</v>
      </c>
      <c r="F884" s="2">
        <v>0.42</v>
      </c>
      <c r="G884" s="2">
        <v>0.36</v>
      </c>
      <c r="H884" s="2">
        <v>0.22000000000000003</v>
      </c>
    </row>
    <row r="885" spans="1:8" x14ac:dyDescent="0.25">
      <c r="A885" s="1">
        <v>353</v>
      </c>
      <c r="B885" s="4">
        <v>2080619</v>
      </c>
      <c r="C885" s="3">
        <v>1.8200000000000001E-2</v>
      </c>
      <c r="D885" s="3">
        <f t="shared" si="13"/>
        <v>0.4</v>
      </c>
      <c r="E885" s="1">
        <v>0.6</v>
      </c>
      <c r="F885" s="2">
        <v>0.25</v>
      </c>
      <c r="G885" s="2">
        <v>0.45</v>
      </c>
      <c r="H885" s="2">
        <v>0.30000000000000004</v>
      </c>
    </row>
    <row r="886" spans="1:8" x14ac:dyDescent="0.25">
      <c r="A886" s="1">
        <v>390</v>
      </c>
      <c r="B886" s="4">
        <v>6975491</v>
      </c>
      <c r="C886" s="3">
        <v>1.8100000000000002E-2</v>
      </c>
      <c r="D886" s="3">
        <f t="shared" si="13"/>
        <v>0.6</v>
      </c>
      <c r="E886" s="1">
        <v>0.4</v>
      </c>
      <c r="F886" s="2">
        <v>0.33</v>
      </c>
      <c r="G886" s="2">
        <v>0.31</v>
      </c>
      <c r="H886" s="2">
        <v>0.35999999999999993</v>
      </c>
    </row>
    <row r="887" spans="1:8" x14ac:dyDescent="0.25">
      <c r="A887" s="1">
        <v>488</v>
      </c>
      <c r="B887" s="4">
        <v>4876755</v>
      </c>
      <c r="C887" s="3">
        <v>1.7899999999999999E-2</v>
      </c>
      <c r="D887" s="3">
        <f t="shared" si="13"/>
        <v>0.6</v>
      </c>
      <c r="E887" s="1">
        <v>0.4</v>
      </c>
      <c r="F887" s="2">
        <v>0.43</v>
      </c>
      <c r="G887" s="2">
        <v>0.48</v>
      </c>
      <c r="H887" s="2">
        <v>9.0000000000000024E-2</v>
      </c>
    </row>
    <row r="888" spans="1:8" x14ac:dyDescent="0.25">
      <c r="A888" s="1">
        <v>871</v>
      </c>
      <c r="B888" s="4">
        <v>7374901</v>
      </c>
      <c r="C888" s="3">
        <v>1.7899999999999999E-2</v>
      </c>
      <c r="D888" s="3">
        <f t="shared" si="13"/>
        <v>0.7</v>
      </c>
      <c r="E888" s="1">
        <v>0.3</v>
      </c>
      <c r="F888" s="2">
        <v>0.38</v>
      </c>
      <c r="G888" s="2">
        <v>0.48</v>
      </c>
      <c r="H888" s="2">
        <v>0.14000000000000001</v>
      </c>
    </row>
    <row r="889" spans="1:8" x14ac:dyDescent="0.25">
      <c r="A889" s="1">
        <v>516</v>
      </c>
      <c r="B889" s="4">
        <v>489710</v>
      </c>
      <c r="C889" s="3">
        <v>1.78E-2</v>
      </c>
      <c r="D889" s="3">
        <f t="shared" si="13"/>
        <v>0.4</v>
      </c>
      <c r="E889" s="1">
        <v>0.6</v>
      </c>
      <c r="F889" s="2">
        <v>0.43</v>
      </c>
      <c r="G889" s="2">
        <v>0.33</v>
      </c>
      <c r="H889" s="2">
        <v>0.23999999999999994</v>
      </c>
    </row>
    <row r="890" spans="1:8" x14ac:dyDescent="0.25">
      <c r="A890" s="1">
        <v>218</v>
      </c>
      <c r="B890" s="4">
        <v>5142539</v>
      </c>
      <c r="C890" s="3">
        <v>1.77E-2</v>
      </c>
      <c r="D890" s="3">
        <f t="shared" si="13"/>
        <v>0.6</v>
      </c>
      <c r="E890" s="1">
        <v>0.4</v>
      </c>
      <c r="F890" s="2">
        <v>0.2</v>
      </c>
      <c r="G890" s="2">
        <v>0.46</v>
      </c>
      <c r="H890" s="2">
        <v>0.34</v>
      </c>
    </row>
    <row r="891" spans="1:8" x14ac:dyDescent="0.25">
      <c r="A891" s="1">
        <v>449</v>
      </c>
      <c r="B891" s="4">
        <v>6325347</v>
      </c>
      <c r="C891" s="3">
        <v>1.77E-2</v>
      </c>
      <c r="D891" s="3">
        <f t="shared" si="13"/>
        <v>0.6</v>
      </c>
      <c r="E891" s="1">
        <v>0.4</v>
      </c>
      <c r="F891" s="2">
        <v>0.14000000000000001</v>
      </c>
      <c r="G891" s="2">
        <v>0.26</v>
      </c>
      <c r="H891" s="2">
        <v>0.6</v>
      </c>
    </row>
    <row r="892" spans="1:8" x14ac:dyDescent="0.25">
      <c r="A892" s="1">
        <v>253</v>
      </c>
      <c r="B892" s="4">
        <v>7161242</v>
      </c>
      <c r="C892" s="3">
        <v>1.7600000000000001E-2</v>
      </c>
      <c r="D892" s="3">
        <f t="shared" si="13"/>
        <v>0.7</v>
      </c>
      <c r="E892" s="1">
        <v>0.3</v>
      </c>
      <c r="F892" s="2">
        <v>0.11</v>
      </c>
      <c r="G892" s="2">
        <v>0.34</v>
      </c>
      <c r="H892" s="2">
        <v>0.54999999999999993</v>
      </c>
    </row>
    <row r="893" spans="1:8" x14ac:dyDescent="0.25">
      <c r="A893" s="1">
        <v>536</v>
      </c>
      <c r="B893" s="4">
        <v>8200102</v>
      </c>
      <c r="C893" s="3">
        <v>1.7600000000000001E-2</v>
      </c>
      <c r="D893" s="3">
        <f t="shared" si="13"/>
        <v>0.7</v>
      </c>
      <c r="E893" s="1">
        <v>0.3</v>
      </c>
      <c r="F893" s="2">
        <v>0.4</v>
      </c>
      <c r="G893" s="2">
        <v>0.38</v>
      </c>
      <c r="H893" s="2">
        <v>0.21999999999999997</v>
      </c>
    </row>
    <row r="894" spans="1:8" x14ac:dyDescent="0.25">
      <c r="A894" s="1">
        <v>740</v>
      </c>
      <c r="B894" s="4">
        <v>9142758</v>
      </c>
      <c r="C894" s="3">
        <v>1.7600000000000001E-2</v>
      </c>
      <c r="D894" s="3">
        <f t="shared" si="13"/>
        <v>0.7</v>
      </c>
      <c r="E894" s="1">
        <v>0.3</v>
      </c>
      <c r="F894" s="2">
        <v>0.31</v>
      </c>
      <c r="G894" s="2">
        <v>0.34</v>
      </c>
      <c r="H894" s="2">
        <v>0.34999999999999992</v>
      </c>
    </row>
    <row r="895" spans="1:8" x14ac:dyDescent="0.25">
      <c r="A895" s="1">
        <v>957</v>
      </c>
      <c r="B895" s="4">
        <v>4076241</v>
      </c>
      <c r="C895" s="3">
        <v>1.7600000000000001E-2</v>
      </c>
      <c r="D895" s="3">
        <f t="shared" si="13"/>
        <v>0.6</v>
      </c>
      <c r="E895" s="1">
        <v>0.4</v>
      </c>
      <c r="F895" s="2">
        <v>0.42</v>
      </c>
      <c r="G895" s="2">
        <v>0.22</v>
      </c>
      <c r="H895" s="2">
        <v>0.36000000000000004</v>
      </c>
    </row>
    <row r="896" spans="1:8" x14ac:dyDescent="0.25">
      <c r="A896" s="1">
        <v>990</v>
      </c>
      <c r="B896" s="4">
        <v>8011660</v>
      </c>
      <c r="C896" s="3">
        <v>1.7600000000000001E-2</v>
      </c>
      <c r="D896" s="3">
        <f t="shared" si="13"/>
        <v>0.7</v>
      </c>
      <c r="E896" s="1">
        <v>0.3</v>
      </c>
      <c r="F896" s="2">
        <v>0.41</v>
      </c>
      <c r="G896" s="2">
        <v>0.36</v>
      </c>
      <c r="H896" s="2">
        <v>0.23000000000000004</v>
      </c>
    </row>
    <row r="897" spans="1:8" x14ac:dyDescent="0.25">
      <c r="A897" s="1">
        <v>558</v>
      </c>
      <c r="B897" s="4">
        <v>5638099</v>
      </c>
      <c r="C897" s="3">
        <v>1.7299999999999999E-2</v>
      </c>
      <c r="D897" s="3">
        <f t="shared" si="13"/>
        <v>0.6</v>
      </c>
      <c r="E897" s="1">
        <v>0.4</v>
      </c>
      <c r="F897" s="2">
        <v>0.4</v>
      </c>
      <c r="G897" s="2">
        <v>0.21</v>
      </c>
      <c r="H897" s="2">
        <v>0.39</v>
      </c>
    </row>
    <row r="898" spans="1:8" x14ac:dyDescent="0.25">
      <c r="A898" s="1">
        <v>778</v>
      </c>
      <c r="B898" s="4">
        <v>143261</v>
      </c>
      <c r="C898" s="3">
        <v>1.7299999999999999E-2</v>
      </c>
      <c r="D898" s="3">
        <f t="shared" ref="D898:D961" si="14">1-E898</f>
        <v>0.4</v>
      </c>
      <c r="E898" s="1">
        <v>0.6</v>
      </c>
      <c r="F898" s="2">
        <v>0.43</v>
      </c>
      <c r="G898" s="2">
        <v>0.28999999999999998</v>
      </c>
      <c r="H898" s="2">
        <v>0.27999999999999997</v>
      </c>
    </row>
    <row r="899" spans="1:8" x14ac:dyDescent="0.25">
      <c r="A899" s="1">
        <v>216</v>
      </c>
      <c r="B899" s="4">
        <v>8397210</v>
      </c>
      <c r="C899" s="3">
        <v>1.72E-2</v>
      </c>
      <c r="D899" s="3">
        <f t="shared" si="14"/>
        <v>0.7</v>
      </c>
      <c r="E899" s="1">
        <v>0.3</v>
      </c>
      <c r="F899" s="2">
        <v>0.36</v>
      </c>
      <c r="G899" s="2">
        <v>0.23</v>
      </c>
      <c r="H899" s="2">
        <v>0.41000000000000003</v>
      </c>
    </row>
    <row r="900" spans="1:8" x14ac:dyDescent="0.25">
      <c r="A900" s="1">
        <v>840</v>
      </c>
      <c r="B900" s="4">
        <v>6214653</v>
      </c>
      <c r="C900" s="3">
        <v>1.72E-2</v>
      </c>
      <c r="D900" s="3">
        <f t="shared" si="14"/>
        <v>0.6</v>
      </c>
      <c r="E900" s="1">
        <v>0.4</v>
      </c>
      <c r="F900" s="2">
        <v>0.36</v>
      </c>
      <c r="G900" s="2">
        <v>0.27</v>
      </c>
      <c r="H900" s="2">
        <v>0.37</v>
      </c>
    </row>
    <row r="901" spans="1:8" x14ac:dyDescent="0.25">
      <c r="A901" s="1">
        <v>144</v>
      </c>
      <c r="B901" s="4">
        <v>8390880</v>
      </c>
      <c r="C901" s="3">
        <v>1.7100000000000001E-2</v>
      </c>
      <c r="D901" s="3">
        <f t="shared" si="14"/>
        <v>0.7</v>
      </c>
      <c r="E901" s="1">
        <v>0.3</v>
      </c>
      <c r="F901" s="2">
        <v>0.14000000000000001</v>
      </c>
      <c r="G901" s="2">
        <v>0.25</v>
      </c>
      <c r="H901" s="2">
        <v>0.61</v>
      </c>
    </row>
    <row r="902" spans="1:8" x14ac:dyDescent="0.25">
      <c r="A902" s="1">
        <v>723</v>
      </c>
      <c r="B902" s="4">
        <v>9702542</v>
      </c>
      <c r="C902" s="3">
        <v>1.7100000000000001E-2</v>
      </c>
      <c r="D902" s="3">
        <f t="shared" si="14"/>
        <v>0.7</v>
      </c>
      <c r="E902" s="1">
        <v>0.3</v>
      </c>
      <c r="F902" s="2">
        <v>0.19</v>
      </c>
      <c r="G902" s="2">
        <v>0.27</v>
      </c>
      <c r="H902" s="2">
        <v>0.54</v>
      </c>
    </row>
    <row r="903" spans="1:8" x14ac:dyDescent="0.25">
      <c r="A903" s="1">
        <v>267</v>
      </c>
      <c r="B903" s="4">
        <v>7718354</v>
      </c>
      <c r="C903" s="3">
        <v>1.7000000000000001E-2</v>
      </c>
      <c r="D903" s="3">
        <f t="shared" si="14"/>
        <v>0.7</v>
      </c>
      <c r="E903" s="1">
        <v>0.3</v>
      </c>
      <c r="F903" s="2">
        <v>0.16</v>
      </c>
      <c r="G903" s="2">
        <v>0.2</v>
      </c>
      <c r="H903" s="2">
        <v>0.64</v>
      </c>
    </row>
    <row r="904" spans="1:8" x14ac:dyDescent="0.25">
      <c r="A904" s="1">
        <v>348</v>
      </c>
      <c r="B904" s="4">
        <v>5017993</v>
      </c>
      <c r="C904" s="3">
        <v>1.6899999999999998E-2</v>
      </c>
      <c r="D904" s="3">
        <f t="shared" si="14"/>
        <v>0.6</v>
      </c>
      <c r="E904" s="1">
        <v>0.4</v>
      </c>
      <c r="F904" s="2">
        <v>0.35</v>
      </c>
      <c r="G904" s="2">
        <v>0.36</v>
      </c>
      <c r="H904" s="2">
        <v>0.29000000000000004</v>
      </c>
    </row>
    <row r="905" spans="1:8" x14ac:dyDescent="0.25">
      <c r="A905" s="1">
        <v>623</v>
      </c>
      <c r="B905" s="4">
        <v>6635629</v>
      </c>
      <c r="C905" s="3">
        <v>1.6899999999999998E-2</v>
      </c>
      <c r="D905" s="3">
        <f t="shared" si="14"/>
        <v>0.6</v>
      </c>
      <c r="E905" s="1">
        <v>0.4</v>
      </c>
      <c r="F905" s="2">
        <v>0.45</v>
      </c>
      <c r="G905" s="2">
        <v>0.31</v>
      </c>
      <c r="H905" s="2">
        <v>0.23999999999999994</v>
      </c>
    </row>
    <row r="906" spans="1:8" x14ac:dyDescent="0.25">
      <c r="A906" s="1">
        <v>1034</v>
      </c>
      <c r="B906" s="4">
        <v>5052787</v>
      </c>
      <c r="C906" s="3">
        <v>1.6899999999999998E-2</v>
      </c>
      <c r="D906" s="3">
        <f t="shared" si="14"/>
        <v>0.6</v>
      </c>
      <c r="E906" s="1">
        <v>0.4</v>
      </c>
      <c r="F906" s="2">
        <v>0.38</v>
      </c>
      <c r="G906" s="2">
        <v>0.5</v>
      </c>
      <c r="H906" s="2">
        <v>0.12</v>
      </c>
    </row>
    <row r="907" spans="1:8" x14ac:dyDescent="0.25">
      <c r="A907" s="1">
        <v>165</v>
      </c>
      <c r="B907" s="4">
        <v>4746230</v>
      </c>
      <c r="C907" s="3">
        <v>1.6799999999999999E-2</v>
      </c>
      <c r="D907" s="3">
        <f t="shared" si="14"/>
        <v>0.6</v>
      </c>
      <c r="E907" s="1">
        <v>0.4</v>
      </c>
      <c r="F907" s="2">
        <v>0.24</v>
      </c>
      <c r="G907" s="2">
        <v>0.31</v>
      </c>
      <c r="H907" s="2">
        <v>0.44999999999999996</v>
      </c>
    </row>
    <row r="908" spans="1:8" x14ac:dyDescent="0.25">
      <c r="A908" s="1">
        <v>200</v>
      </c>
      <c r="B908" s="4">
        <v>9501035</v>
      </c>
      <c r="C908" s="3">
        <v>1.6799999999999999E-2</v>
      </c>
      <c r="D908" s="3">
        <f t="shared" si="14"/>
        <v>0.7</v>
      </c>
      <c r="E908" s="1">
        <v>0.3</v>
      </c>
      <c r="F908" s="2">
        <v>0.32</v>
      </c>
      <c r="G908" s="2">
        <v>0.33</v>
      </c>
      <c r="H908" s="2">
        <v>0.34999999999999992</v>
      </c>
    </row>
    <row r="909" spans="1:8" x14ac:dyDescent="0.25">
      <c r="A909" s="1">
        <v>297</v>
      </c>
      <c r="B909" s="4">
        <v>6162562</v>
      </c>
      <c r="C909" s="3">
        <v>1.6799999999999999E-2</v>
      </c>
      <c r="D909" s="3">
        <f t="shared" si="14"/>
        <v>0.6</v>
      </c>
      <c r="E909" s="1">
        <v>0.4</v>
      </c>
      <c r="F909" s="2">
        <v>0.37</v>
      </c>
      <c r="G909" s="2">
        <v>0.2</v>
      </c>
      <c r="H909" s="2">
        <v>0.43000000000000005</v>
      </c>
    </row>
    <row r="910" spans="1:8" x14ac:dyDescent="0.25">
      <c r="A910" s="1">
        <v>298</v>
      </c>
      <c r="B910" s="4">
        <v>506017</v>
      </c>
      <c r="C910" s="3">
        <v>1.67E-2</v>
      </c>
      <c r="D910" s="3">
        <f t="shared" si="14"/>
        <v>0.4</v>
      </c>
      <c r="E910" s="1">
        <v>0.6</v>
      </c>
      <c r="F910" s="2">
        <v>0.13</v>
      </c>
      <c r="G910" s="2">
        <v>0.22</v>
      </c>
      <c r="H910" s="2">
        <v>0.65</v>
      </c>
    </row>
    <row r="911" spans="1:8" x14ac:dyDescent="0.25">
      <c r="A911" s="1">
        <v>653</v>
      </c>
      <c r="B911" s="4">
        <v>1271826</v>
      </c>
      <c r="C911" s="3">
        <v>1.67E-2</v>
      </c>
      <c r="D911" s="3">
        <f t="shared" si="14"/>
        <v>0.4</v>
      </c>
      <c r="E911" s="1">
        <v>0.6</v>
      </c>
      <c r="F911" s="2">
        <v>0.31</v>
      </c>
      <c r="G911" s="2">
        <v>0.42</v>
      </c>
      <c r="H911" s="2">
        <v>0.27000000000000007</v>
      </c>
    </row>
    <row r="912" spans="1:8" x14ac:dyDescent="0.25">
      <c r="A912" s="1">
        <v>714</v>
      </c>
      <c r="B912" s="4">
        <v>369874</v>
      </c>
      <c r="C912" s="3">
        <v>1.67E-2</v>
      </c>
      <c r="D912" s="3">
        <f t="shared" si="14"/>
        <v>0.4</v>
      </c>
      <c r="E912" s="1">
        <v>0.6</v>
      </c>
      <c r="F912" s="2">
        <v>0.45</v>
      </c>
      <c r="G912" s="2">
        <v>0.21</v>
      </c>
      <c r="H912" s="2">
        <v>0.34</v>
      </c>
    </row>
    <row r="913" spans="1:8" x14ac:dyDescent="0.25">
      <c r="A913" s="1">
        <v>694</v>
      </c>
      <c r="B913" s="4">
        <v>1801708</v>
      </c>
      <c r="C913" s="3">
        <v>1.66E-2</v>
      </c>
      <c r="D913" s="3">
        <f t="shared" si="14"/>
        <v>0.4</v>
      </c>
      <c r="E913" s="1">
        <v>0.6</v>
      </c>
      <c r="F913" s="2">
        <v>0.12</v>
      </c>
      <c r="G913" s="2">
        <v>0.49</v>
      </c>
      <c r="H913" s="2">
        <v>0.39</v>
      </c>
    </row>
    <row r="914" spans="1:8" x14ac:dyDescent="0.25">
      <c r="A914" s="1">
        <v>726</v>
      </c>
      <c r="B914" s="4">
        <v>3979581</v>
      </c>
      <c r="C914" s="3">
        <v>1.66E-2</v>
      </c>
      <c r="D914" s="3">
        <f t="shared" si="14"/>
        <v>0.6</v>
      </c>
      <c r="E914" s="1">
        <v>0.4</v>
      </c>
      <c r="F914" s="2">
        <v>0.2</v>
      </c>
      <c r="G914" s="2">
        <v>0.46</v>
      </c>
      <c r="H914" s="2">
        <v>0.34</v>
      </c>
    </row>
    <row r="915" spans="1:8" x14ac:dyDescent="0.25">
      <c r="A915" s="1">
        <v>140</v>
      </c>
      <c r="B915" s="4">
        <v>7196427</v>
      </c>
      <c r="C915" s="3">
        <v>1.6500000000000001E-2</v>
      </c>
      <c r="D915" s="3">
        <f t="shared" si="14"/>
        <v>0.7</v>
      </c>
      <c r="E915" s="1">
        <v>0.3</v>
      </c>
      <c r="F915" s="2">
        <v>0.1</v>
      </c>
      <c r="G915" s="2">
        <v>0.33</v>
      </c>
      <c r="H915" s="2">
        <v>0.56999999999999995</v>
      </c>
    </row>
    <row r="916" spans="1:8" x14ac:dyDescent="0.25">
      <c r="A916" s="1">
        <v>335</v>
      </c>
      <c r="B916" s="4">
        <v>4881256</v>
      </c>
      <c r="C916" s="3">
        <v>1.6500000000000001E-2</v>
      </c>
      <c r="D916" s="3">
        <f t="shared" si="14"/>
        <v>0.6</v>
      </c>
      <c r="E916" s="1">
        <v>0.4</v>
      </c>
      <c r="F916" s="2">
        <v>0.1</v>
      </c>
      <c r="G916" s="2">
        <v>0.35</v>
      </c>
      <c r="H916" s="2">
        <v>0.55000000000000004</v>
      </c>
    </row>
    <row r="917" spans="1:8" x14ac:dyDescent="0.25">
      <c r="A917" s="1">
        <v>484</v>
      </c>
      <c r="B917" s="4">
        <v>7159325</v>
      </c>
      <c r="C917" s="3">
        <v>1.6399999999999998E-2</v>
      </c>
      <c r="D917" s="3">
        <f t="shared" si="14"/>
        <v>0.7</v>
      </c>
      <c r="E917" s="1">
        <v>0.3</v>
      </c>
      <c r="F917" s="2">
        <v>0.41</v>
      </c>
      <c r="G917" s="2">
        <v>0.31</v>
      </c>
      <c r="H917" s="2">
        <v>0.27999999999999997</v>
      </c>
    </row>
    <row r="918" spans="1:8" x14ac:dyDescent="0.25">
      <c r="A918" s="1">
        <v>87</v>
      </c>
      <c r="B918" s="4">
        <v>1221394</v>
      </c>
      <c r="C918" s="3">
        <v>1.6299999999999999E-2</v>
      </c>
      <c r="D918" s="3">
        <f t="shared" si="14"/>
        <v>0.4</v>
      </c>
      <c r="E918" s="1">
        <v>0.6</v>
      </c>
      <c r="F918" s="2">
        <v>0.28000000000000003</v>
      </c>
      <c r="G918" s="2">
        <v>0.32</v>
      </c>
      <c r="H918" s="2">
        <v>0.39999999999999991</v>
      </c>
    </row>
    <row r="919" spans="1:8" x14ac:dyDescent="0.25">
      <c r="A919" s="1">
        <v>826</v>
      </c>
      <c r="B919" s="4">
        <v>2351574</v>
      </c>
      <c r="C919" s="3">
        <v>1.6299999999999999E-2</v>
      </c>
      <c r="D919" s="3">
        <f t="shared" si="14"/>
        <v>0.4</v>
      </c>
      <c r="E919" s="1">
        <v>0.6</v>
      </c>
      <c r="F919" s="2">
        <v>0.17</v>
      </c>
      <c r="G919" s="2">
        <v>0.33</v>
      </c>
      <c r="H919" s="2">
        <v>0.49999999999999989</v>
      </c>
    </row>
    <row r="920" spans="1:8" x14ac:dyDescent="0.25">
      <c r="A920" s="1">
        <v>70</v>
      </c>
      <c r="B920" s="4">
        <v>5422628</v>
      </c>
      <c r="C920" s="3">
        <v>1.6200000000000003E-2</v>
      </c>
      <c r="D920" s="3">
        <f t="shared" si="14"/>
        <v>0.6</v>
      </c>
      <c r="E920" s="1">
        <v>0.4</v>
      </c>
      <c r="F920" s="2">
        <v>0.3</v>
      </c>
      <c r="G920" s="2">
        <v>0.25</v>
      </c>
      <c r="H920" s="2">
        <v>0.45</v>
      </c>
    </row>
    <row r="921" spans="1:8" x14ac:dyDescent="0.25">
      <c r="A921" s="1">
        <v>172</v>
      </c>
      <c r="B921" s="4">
        <v>369514</v>
      </c>
      <c r="C921" s="3">
        <v>1.61E-2</v>
      </c>
      <c r="D921" s="3">
        <f t="shared" si="14"/>
        <v>0.4</v>
      </c>
      <c r="E921" s="1">
        <v>0.6</v>
      </c>
      <c r="F921" s="2">
        <v>0.32</v>
      </c>
      <c r="G921" s="2">
        <v>0.44</v>
      </c>
      <c r="H921" s="2">
        <v>0.24000000000000005</v>
      </c>
    </row>
    <row r="922" spans="1:8" x14ac:dyDescent="0.25">
      <c r="A922" s="1">
        <v>372</v>
      </c>
      <c r="B922" s="4">
        <v>9789278</v>
      </c>
      <c r="C922" s="3">
        <v>1.6E-2</v>
      </c>
      <c r="D922" s="3">
        <f t="shared" si="14"/>
        <v>0.7</v>
      </c>
      <c r="E922" s="1">
        <v>0.3</v>
      </c>
      <c r="F922" s="2">
        <v>0.22</v>
      </c>
      <c r="G922" s="2">
        <v>0.28000000000000003</v>
      </c>
      <c r="H922" s="2">
        <v>0.5</v>
      </c>
    </row>
    <row r="923" spans="1:8" x14ac:dyDescent="0.25">
      <c r="A923" s="1">
        <v>903</v>
      </c>
      <c r="B923" s="4">
        <v>6126552</v>
      </c>
      <c r="C923" s="3">
        <v>1.6E-2</v>
      </c>
      <c r="D923" s="3">
        <f t="shared" si="14"/>
        <v>0.6</v>
      </c>
      <c r="E923" s="1">
        <v>0.4</v>
      </c>
      <c r="F923" s="2">
        <v>0.22</v>
      </c>
      <c r="G923" s="2">
        <v>0.39</v>
      </c>
      <c r="H923" s="2">
        <v>0.39</v>
      </c>
    </row>
    <row r="924" spans="1:8" x14ac:dyDescent="0.25">
      <c r="A924" s="1">
        <v>74</v>
      </c>
      <c r="B924" s="4">
        <v>3191570</v>
      </c>
      <c r="C924" s="3">
        <v>1.5900000000000001E-2</v>
      </c>
      <c r="D924" s="3">
        <f t="shared" si="14"/>
        <v>0.6</v>
      </c>
      <c r="E924" s="1">
        <v>0.4</v>
      </c>
      <c r="F924" s="2">
        <v>0.37</v>
      </c>
      <c r="G924" s="2">
        <v>0.33</v>
      </c>
      <c r="H924" s="2">
        <v>0.29999999999999993</v>
      </c>
    </row>
    <row r="925" spans="1:8" x14ac:dyDescent="0.25">
      <c r="A925" s="1">
        <v>187</v>
      </c>
      <c r="B925" s="4">
        <v>9836017</v>
      </c>
      <c r="C925" s="3">
        <v>1.5900000000000001E-2</v>
      </c>
      <c r="D925" s="3">
        <f t="shared" si="14"/>
        <v>0.7</v>
      </c>
      <c r="E925" s="1">
        <v>0.3</v>
      </c>
      <c r="F925" s="2">
        <v>0.32</v>
      </c>
      <c r="G925" s="2">
        <v>0.22</v>
      </c>
      <c r="H925" s="2">
        <v>0.46</v>
      </c>
    </row>
    <row r="926" spans="1:8" x14ac:dyDescent="0.25">
      <c r="A926" s="1">
        <v>986</v>
      </c>
      <c r="B926" s="4">
        <v>4353782</v>
      </c>
      <c r="C926" s="3">
        <v>1.5900000000000001E-2</v>
      </c>
      <c r="D926" s="3">
        <f t="shared" si="14"/>
        <v>0.6</v>
      </c>
      <c r="E926" s="1">
        <v>0.4</v>
      </c>
      <c r="F926" s="2">
        <v>0.14000000000000001</v>
      </c>
      <c r="G926" s="2">
        <v>0.49</v>
      </c>
      <c r="H926" s="2">
        <v>0.37</v>
      </c>
    </row>
    <row r="927" spans="1:8" x14ac:dyDescent="0.25">
      <c r="A927" s="1">
        <v>547</v>
      </c>
      <c r="B927" s="4">
        <v>4558372</v>
      </c>
      <c r="C927" s="3">
        <v>1.5800000000000002E-2</v>
      </c>
      <c r="D927" s="3">
        <f t="shared" si="14"/>
        <v>0.6</v>
      </c>
      <c r="E927" s="1">
        <v>0.4</v>
      </c>
      <c r="F927" s="2">
        <v>0.35</v>
      </c>
      <c r="G927" s="2">
        <v>0.41</v>
      </c>
      <c r="H927" s="2">
        <v>0.2400000000000001</v>
      </c>
    </row>
    <row r="928" spans="1:8" x14ac:dyDescent="0.25">
      <c r="A928" s="1">
        <v>52</v>
      </c>
      <c r="B928" s="4">
        <v>3637454</v>
      </c>
      <c r="C928" s="3">
        <v>1.5700000000000002E-2</v>
      </c>
      <c r="D928" s="3">
        <f t="shared" si="14"/>
        <v>0.6</v>
      </c>
      <c r="E928" s="1">
        <v>0.4</v>
      </c>
      <c r="F928" s="2">
        <v>0.2</v>
      </c>
      <c r="G928" s="2">
        <v>0.25</v>
      </c>
      <c r="H928" s="2">
        <v>0.55000000000000004</v>
      </c>
    </row>
    <row r="929" spans="1:8" x14ac:dyDescent="0.25">
      <c r="A929" s="1">
        <v>765</v>
      </c>
      <c r="B929" s="4">
        <v>4986515</v>
      </c>
      <c r="C929" s="3">
        <v>1.5700000000000002E-2</v>
      </c>
      <c r="D929" s="3">
        <f t="shared" si="14"/>
        <v>0.6</v>
      </c>
      <c r="E929" s="1">
        <v>0.4</v>
      </c>
      <c r="F929" s="2">
        <v>0.14000000000000001</v>
      </c>
      <c r="G929" s="2">
        <v>0.24</v>
      </c>
      <c r="H929" s="2">
        <v>0.62</v>
      </c>
    </row>
    <row r="930" spans="1:8" x14ac:dyDescent="0.25">
      <c r="A930" s="1">
        <v>1008</v>
      </c>
      <c r="B930" s="4">
        <v>2760114</v>
      </c>
      <c r="C930" s="3">
        <v>1.5700000000000002E-2</v>
      </c>
      <c r="D930" s="3">
        <f t="shared" si="14"/>
        <v>0.4</v>
      </c>
      <c r="E930" s="1">
        <v>0.6</v>
      </c>
      <c r="F930" s="2">
        <v>0.11</v>
      </c>
      <c r="G930" s="2">
        <v>0.45</v>
      </c>
      <c r="H930" s="2">
        <v>0.44000000000000006</v>
      </c>
    </row>
    <row r="931" spans="1:8" x14ac:dyDescent="0.25">
      <c r="A931" s="1">
        <v>420</v>
      </c>
      <c r="B931" s="4">
        <v>479773</v>
      </c>
      <c r="C931" s="3">
        <v>1.5600000000000001E-2</v>
      </c>
      <c r="D931" s="3">
        <f t="shared" si="14"/>
        <v>0.4</v>
      </c>
      <c r="E931" s="1">
        <v>0.6</v>
      </c>
      <c r="F931" s="2">
        <v>0.39</v>
      </c>
      <c r="G931" s="2">
        <v>0.38</v>
      </c>
      <c r="H931" s="2">
        <v>0.22999999999999998</v>
      </c>
    </row>
    <row r="932" spans="1:8" x14ac:dyDescent="0.25">
      <c r="A932" s="1">
        <v>1040</v>
      </c>
      <c r="B932" s="4">
        <v>3843636</v>
      </c>
      <c r="C932" s="3">
        <v>1.5600000000000001E-2</v>
      </c>
      <c r="D932" s="3">
        <f t="shared" si="14"/>
        <v>0.6</v>
      </c>
      <c r="E932" s="1">
        <v>0.4</v>
      </c>
      <c r="F932" s="2">
        <v>0.3</v>
      </c>
      <c r="G932" s="2">
        <v>0.46</v>
      </c>
      <c r="H932" s="2">
        <v>0.24000000000000005</v>
      </c>
    </row>
    <row r="933" spans="1:8" x14ac:dyDescent="0.25">
      <c r="A933" s="1">
        <v>45</v>
      </c>
      <c r="B933" s="4">
        <v>8136081</v>
      </c>
      <c r="C933" s="3">
        <v>1.55E-2</v>
      </c>
      <c r="D933" s="3">
        <f t="shared" si="14"/>
        <v>0.7</v>
      </c>
      <c r="E933" s="1">
        <v>0.3</v>
      </c>
      <c r="F933" s="2">
        <v>0.28999999999999998</v>
      </c>
      <c r="G933" s="2">
        <v>0.38</v>
      </c>
      <c r="H933" s="2">
        <v>0.33</v>
      </c>
    </row>
    <row r="934" spans="1:8" x14ac:dyDescent="0.25">
      <c r="A934" s="1">
        <v>487</v>
      </c>
      <c r="B934" s="4">
        <v>419933</v>
      </c>
      <c r="C934" s="3">
        <v>1.54E-2</v>
      </c>
      <c r="D934" s="3">
        <f t="shared" si="14"/>
        <v>0.4</v>
      </c>
      <c r="E934" s="1">
        <v>0.6</v>
      </c>
      <c r="F934" s="2">
        <v>0.26</v>
      </c>
      <c r="G934" s="2">
        <v>0.49</v>
      </c>
      <c r="H934" s="2">
        <v>0.25</v>
      </c>
    </row>
    <row r="935" spans="1:8" x14ac:dyDescent="0.25">
      <c r="A935" s="1">
        <v>220</v>
      </c>
      <c r="B935" s="4">
        <v>1634615</v>
      </c>
      <c r="C935" s="3">
        <v>1.5300000000000001E-2</v>
      </c>
      <c r="D935" s="3">
        <f t="shared" si="14"/>
        <v>0.4</v>
      </c>
      <c r="E935" s="1">
        <v>0.6</v>
      </c>
      <c r="F935" s="2">
        <v>0.38</v>
      </c>
      <c r="G935" s="2">
        <v>0.24</v>
      </c>
      <c r="H935" s="2">
        <v>0.38</v>
      </c>
    </row>
    <row r="936" spans="1:8" x14ac:dyDescent="0.25">
      <c r="A936" s="1">
        <v>523</v>
      </c>
      <c r="B936" s="4">
        <v>7513406</v>
      </c>
      <c r="C936" s="3">
        <v>1.5300000000000001E-2</v>
      </c>
      <c r="D936" s="3">
        <f t="shared" si="14"/>
        <v>0.7</v>
      </c>
      <c r="E936" s="1">
        <v>0.3</v>
      </c>
      <c r="F936" s="2">
        <v>0.11</v>
      </c>
      <c r="G936" s="2">
        <v>0.45</v>
      </c>
      <c r="H936" s="2">
        <v>0.44000000000000006</v>
      </c>
    </row>
    <row r="937" spans="1:8" x14ac:dyDescent="0.25">
      <c r="A937" s="1">
        <v>717</v>
      </c>
      <c r="B937" s="4">
        <v>9011345</v>
      </c>
      <c r="C937" s="3">
        <v>1.5300000000000001E-2</v>
      </c>
      <c r="D937" s="3">
        <f t="shared" si="14"/>
        <v>0.7</v>
      </c>
      <c r="E937" s="1">
        <v>0.3</v>
      </c>
      <c r="F937" s="2">
        <v>0.31</v>
      </c>
      <c r="G937" s="2">
        <v>0.41</v>
      </c>
      <c r="H937" s="2">
        <v>0.28000000000000008</v>
      </c>
    </row>
    <row r="938" spans="1:8" x14ac:dyDescent="0.25">
      <c r="A938" s="1">
        <v>833</v>
      </c>
      <c r="B938" s="4">
        <v>6125368</v>
      </c>
      <c r="C938" s="3">
        <v>1.5300000000000001E-2</v>
      </c>
      <c r="D938" s="3">
        <f t="shared" si="14"/>
        <v>0.6</v>
      </c>
      <c r="E938" s="1">
        <v>0.4</v>
      </c>
      <c r="F938" s="2">
        <v>0.41</v>
      </c>
      <c r="G938" s="2">
        <v>0.2</v>
      </c>
      <c r="H938" s="2">
        <v>0.39000000000000007</v>
      </c>
    </row>
    <row r="939" spans="1:8" x14ac:dyDescent="0.25">
      <c r="A939" s="1">
        <v>929</v>
      </c>
      <c r="B939" s="4">
        <v>3115373</v>
      </c>
      <c r="C939" s="3">
        <v>1.52E-2</v>
      </c>
      <c r="D939" s="3">
        <f t="shared" si="14"/>
        <v>0.6</v>
      </c>
      <c r="E939" s="1">
        <v>0.4</v>
      </c>
      <c r="F939" s="2">
        <v>0.1</v>
      </c>
      <c r="G939" s="2">
        <v>0.28000000000000003</v>
      </c>
      <c r="H939" s="2">
        <v>0.62</v>
      </c>
    </row>
    <row r="940" spans="1:8" x14ac:dyDescent="0.25">
      <c r="A940" s="1">
        <v>116</v>
      </c>
      <c r="B940" s="4">
        <v>3504969</v>
      </c>
      <c r="C940" s="3">
        <v>1.49E-2</v>
      </c>
      <c r="D940" s="3">
        <f t="shared" si="14"/>
        <v>0.6</v>
      </c>
      <c r="E940" s="1">
        <v>0.4</v>
      </c>
      <c r="F940" s="2">
        <v>0.28999999999999998</v>
      </c>
      <c r="G940" s="2">
        <v>0.26</v>
      </c>
      <c r="H940" s="2">
        <v>0.45</v>
      </c>
    </row>
    <row r="941" spans="1:8" x14ac:dyDescent="0.25">
      <c r="A941" s="1">
        <v>349</v>
      </c>
      <c r="B941" s="4">
        <v>964860</v>
      </c>
      <c r="C941" s="3">
        <v>1.49E-2</v>
      </c>
      <c r="D941" s="3">
        <f t="shared" si="14"/>
        <v>0.4</v>
      </c>
      <c r="E941" s="1">
        <v>0.6</v>
      </c>
      <c r="F941" s="2">
        <v>0.11</v>
      </c>
      <c r="G941" s="2">
        <v>0.5</v>
      </c>
      <c r="H941" s="2">
        <v>0.39</v>
      </c>
    </row>
    <row r="942" spans="1:8" x14ac:dyDescent="0.25">
      <c r="A942" s="1">
        <v>783</v>
      </c>
      <c r="B942" s="4">
        <v>7944438</v>
      </c>
      <c r="C942" s="3">
        <v>1.49E-2</v>
      </c>
      <c r="D942" s="3">
        <f t="shared" si="14"/>
        <v>0.7</v>
      </c>
      <c r="E942" s="1">
        <v>0.3</v>
      </c>
      <c r="F942" s="2">
        <v>0.28999999999999998</v>
      </c>
      <c r="G942" s="2">
        <v>0.27</v>
      </c>
      <c r="H942" s="2">
        <v>0.44</v>
      </c>
    </row>
    <row r="943" spans="1:8" x14ac:dyDescent="0.25">
      <c r="A943" s="1">
        <v>841</v>
      </c>
      <c r="B943" s="4">
        <v>600993</v>
      </c>
      <c r="C943" s="3">
        <v>1.49E-2</v>
      </c>
      <c r="D943" s="3">
        <f t="shared" si="14"/>
        <v>0.4</v>
      </c>
      <c r="E943" s="1">
        <v>0.6</v>
      </c>
      <c r="F943" s="2">
        <v>0.26</v>
      </c>
      <c r="G943" s="2">
        <v>0.24</v>
      </c>
      <c r="H943" s="2">
        <v>0.5</v>
      </c>
    </row>
    <row r="944" spans="1:8" x14ac:dyDescent="0.25">
      <c r="A944" s="1">
        <v>122</v>
      </c>
      <c r="B944" s="4">
        <v>2302621</v>
      </c>
      <c r="C944" s="3">
        <v>1.4800000000000001E-2</v>
      </c>
      <c r="D944" s="3">
        <f t="shared" si="14"/>
        <v>0.4</v>
      </c>
      <c r="E944" s="1">
        <v>0.6</v>
      </c>
      <c r="F944" s="2">
        <v>0.34</v>
      </c>
      <c r="G944" s="2">
        <v>0.39</v>
      </c>
      <c r="H944" s="2">
        <v>0.26999999999999996</v>
      </c>
    </row>
    <row r="945" spans="1:8" x14ac:dyDescent="0.25">
      <c r="A945" s="1">
        <v>695</v>
      </c>
      <c r="B945" s="4">
        <v>2976106</v>
      </c>
      <c r="C945" s="3">
        <v>1.4800000000000001E-2</v>
      </c>
      <c r="D945" s="3">
        <f t="shared" si="14"/>
        <v>0.4</v>
      </c>
      <c r="E945" s="1">
        <v>0.6</v>
      </c>
      <c r="F945" s="2">
        <v>0.44</v>
      </c>
      <c r="G945" s="2">
        <v>0.37</v>
      </c>
      <c r="H945" s="2">
        <v>0.19</v>
      </c>
    </row>
    <row r="946" spans="1:8" x14ac:dyDescent="0.25">
      <c r="A946" s="1">
        <v>998</v>
      </c>
      <c r="B946" s="4">
        <v>8473184</v>
      </c>
      <c r="C946" s="3">
        <v>1.4800000000000001E-2</v>
      </c>
      <c r="D946" s="3">
        <f t="shared" si="14"/>
        <v>0.7</v>
      </c>
      <c r="E946" s="1">
        <v>0.3</v>
      </c>
      <c r="F946" s="2">
        <v>0.23</v>
      </c>
      <c r="G946" s="2">
        <v>0.28999999999999998</v>
      </c>
      <c r="H946" s="2">
        <v>0.48</v>
      </c>
    </row>
    <row r="947" spans="1:8" x14ac:dyDescent="0.25">
      <c r="A947" s="1">
        <v>1013</v>
      </c>
      <c r="B947" s="4">
        <v>1539562</v>
      </c>
      <c r="C947" s="3">
        <v>1.4800000000000001E-2</v>
      </c>
      <c r="D947" s="3">
        <f t="shared" si="14"/>
        <v>0.4</v>
      </c>
      <c r="E947" s="1">
        <v>0.6</v>
      </c>
      <c r="F947" s="2">
        <v>0.4</v>
      </c>
      <c r="G947" s="2">
        <v>0.37</v>
      </c>
      <c r="H947" s="2">
        <v>0.22999999999999998</v>
      </c>
    </row>
    <row r="948" spans="1:8" x14ac:dyDescent="0.25">
      <c r="A948" s="1">
        <v>756</v>
      </c>
      <c r="B948" s="4">
        <v>7391033</v>
      </c>
      <c r="C948" s="3">
        <v>1.47E-2</v>
      </c>
      <c r="D948" s="3">
        <f t="shared" si="14"/>
        <v>0.7</v>
      </c>
      <c r="E948" s="1">
        <v>0.3</v>
      </c>
      <c r="F948" s="2">
        <v>0.28000000000000003</v>
      </c>
      <c r="G948" s="2">
        <v>0.36</v>
      </c>
      <c r="H948" s="2">
        <v>0.36</v>
      </c>
    </row>
    <row r="949" spans="1:8" x14ac:dyDescent="0.25">
      <c r="A949" s="1">
        <v>551</v>
      </c>
      <c r="B949" s="4">
        <v>5815145</v>
      </c>
      <c r="C949" s="3">
        <v>1.4499999999999999E-2</v>
      </c>
      <c r="D949" s="3">
        <f t="shared" si="14"/>
        <v>0.6</v>
      </c>
      <c r="E949" s="1">
        <v>0.4</v>
      </c>
      <c r="F949" s="2">
        <v>0.27</v>
      </c>
      <c r="G949" s="2">
        <v>0.37</v>
      </c>
      <c r="H949" s="2">
        <v>0.36</v>
      </c>
    </row>
    <row r="950" spans="1:8" x14ac:dyDescent="0.25">
      <c r="A950" s="1">
        <v>954</v>
      </c>
      <c r="B950" s="4">
        <v>5635025</v>
      </c>
      <c r="C950" s="3">
        <v>1.4499999999999999E-2</v>
      </c>
      <c r="D950" s="3">
        <f t="shared" si="14"/>
        <v>0.6</v>
      </c>
      <c r="E950" s="1">
        <v>0.4</v>
      </c>
      <c r="F950" s="2">
        <v>0.18</v>
      </c>
      <c r="G950" s="2">
        <v>0.4</v>
      </c>
      <c r="H950" s="2">
        <v>0.42</v>
      </c>
    </row>
    <row r="951" spans="1:8" x14ac:dyDescent="0.25">
      <c r="A951" s="1">
        <v>722</v>
      </c>
      <c r="B951" s="4">
        <v>7549228</v>
      </c>
      <c r="C951" s="3">
        <v>1.44E-2</v>
      </c>
      <c r="D951" s="3">
        <f t="shared" si="14"/>
        <v>0.7</v>
      </c>
      <c r="E951" s="1">
        <v>0.3</v>
      </c>
      <c r="F951" s="2">
        <v>0.17</v>
      </c>
      <c r="G951" s="2">
        <v>0.49</v>
      </c>
      <c r="H951" s="2">
        <v>0.33999999999999997</v>
      </c>
    </row>
    <row r="952" spans="1:8" x14ac:dyDescent="0.25">
      <c r="A952" s="1">
        <v>867</v>
      </c>
      <c r="B952" s="4">
        <v>1070851</v>
      </c>
      <c r="C952" s="3">
        <v>1.44E-2</v>
      </c>
      <c r="D952" s="3">
        <f t="shared" si="14"/>
        <v>0.4</v>
      </c>
      <c r="E952" s="1">
        <v>0.6</v>
      </c>
      <c r="F952" s="2">
        <v>0.21</v>
      </c>
      <c r="G952" s="2">
        <v>0.32</v>
      </c>
      <c r="H952" s="2">
        <v>0.47</v>
      </c>
    </row>
    <row r="953" spans="1:8" x14ac:dyDescent="0.25">
      <c r="A953" s="1">
        <v>294</v>
      </c>
      <c r="B953" s="4">
        <v>1143024</v>
      </c>
      <c r="C953" s="3">
        <v>1.43E-2</v>
      </c>
      <c r="D953" s="3">
        <f t="shared" si="14"/>
        <v>0.4</v>
      </c>
      <c r="E953" s="1">
        <v>0.6</v>
      </c>
      <c r="F953" s="2">
        <v>0.39</v>
      </c>
      <c r="G953" s="2">
        <v>0.35</v>
      </c>
      <c r="H953" s="2">
        <v>0.26</v>
      </c>
    </row>
    <row r="954" spans="1:8" x14ac:dyDescent="0.25">
      <c r="A954" s="1">
        <v>332</v>
      </c>
      <c r="B954" s="4">
        <v>147403</v>
      </c>
      <c r="C954" s="3">
        <v>1.43E-2</v>
      </c>
      <c r="D954" s="3">
        <f t="shared" si="14"/>
        <v>0.4</v>
      </c>
      <c r="E954" s="1">
        <v>0.6</v>
      </c>
      <c r="F954" s="2">
        <v>0.36</v>
      </c>
      <c r="G954" s="2">
        <v>0.41</v>
      </c>
      <c r="H954" s="2">
        <v>0.23000000000000009</v>
      </c>
    </row>
    <row r="955" spans="1:8" x14ac:dyDescent="0.25">
      <c r="A955" s="1">
        <v>663</v>
      </c>
      <c r="B955" s="4">
        <v>1659257</v>
      </c>
      <c r="C955" s="3">
        <v>1.43E-2</v>
      </c>
      <c r="D955" s="3">
        <f t="shared" si="14"/>
        <v>0.4</v>
      </c>
      <c r="E955" s="1">
        <v>0.6</v>
      </c>
      <c r="F955" s="2">
        <v>0.43</v>
      </c>
      <c r="G955" s="2">
        <v>0.44</v>
      </c>
      <c r="H955" s="2">
        <v>0.13000000000000006</v>
      </c>
    </row>
    <row r="956" spans="1:8" x14ac:dyDescent="0.25">
      <c r="A956" s="1">
        <v>909</v>
      </c>
      <c r="B956" s="4">
        <v>5296635</v>
      </c>
      <c r="C956" s="3">
        <v>1.41E-2</v>
      </c>
      <c r="D956" s="3">
        <f t="shared" si="14"/>
        <v>0.6</v>
      </c>
      <c r="E956" s="1">
        <v>0.4</v>
      </c>
      <c r="F956" s="2">
        <v>0.35</v>
      </c>
      <c r="G956" s="2">
        <v>0.32</v>
      </c>
      <c r="H956" s="2">
        <v>0.32999999999999996</v>
      </c>
    </row>
    <row r="957" spans="1:8" x14ac:dyDescent="0.25">
      <c r="A957" s="1">
        <v>1001</v>
      </c>
      <c r="B957" s="4">
        <v>8525477</v>
      </c>
      <c r="C957" s="3">
        <v>1.41E-2</v>
      </c>
      <c r="D957" s="3">
        <f t="shared" si="14"/>
        <v>0.7</v>
      </c>
      <c r="E957" s="1">
        <v>0.3</v>
      </c>
      <c r="F957" s="2">
        <v>0.24</v>
      </c>
      <c r="G957" s="2">
        <v>0.28999999999999998</v>
      </c>
      <c r="H957" s="2">
        <v>0.47</v>
      </c>
    </row>
    <row r="958" spans="1:8" x14ac:dyDescent="0.25">
      <c r="A958" s="1">
        <v>174</v>
      </c>
      <c r="B958" s="4">
        <v>9799723</v>
      </c>
      <c r="C958" s="3">
        <v>1.3999999999999999E-2</v>
      </c>
      <c r="D958" s="3">
        <f t="shared" si="14"/>
        <v>0.7</v>
      </c>
      <c r="E958" s="1">
        <v>0.3</v>
      </c>
      <c r="F958" s="2">
        <v>0.14000000000000001</v>
      </c>
      <c r="G958" s="2">
        <v>0.2</v>
      </c>
      <c r="H958" s="2">
        <v>0.66</v>
      </c>
    </row>
    <row r="959" spans="1:8" x14ac:dyDescent="0.25">
      <c r="A959" s="1">
        <v>318</v>
      </c>
      <c r="B959" s="4">
        <v>551785</v>
      </c>
      <c r="C959" s="3">
        <v>1.3999999999999999E-2</v>
      </c>
      <c r="D959" s="3">
        <f t="shared" si="14"/>
        <v>0.4</v>
      </c>
      <c r="E959" s="1">
        <v>0.6</v>
      </c>
      <c r="F959" s="2">
        <v>0.3</v>
      </c>
      <c r="G959" s="2">
        <v>0.32</v>
      </c>
      <c r="H959" s="2">
        <v>0.37999999999999995</v>
      </c>
    </row>
    <row r="960" spans="1:8" x14ac:dyDescent="0.25">
      <c r="A960" s="1">
        <v>1010</v>
      </c>
      <c r="B960" s="4">
        <v>1377620</v>
      </c>
      <c r="C960" s="3">
        <v>1.3999999999999999E-2</v>
      </c>
      <c r="D960" s="3">
        <f t="shared" si="14"/>
        <v>0.4</v>
      </c>
      <c r="E960" s="1">
        <v>0.6</v>
      </c>
      <c r="F960" s="2">
        <v>0.1</v>
      </c>
      <c r="G960" s="2">
        <v>0.48</v>
      </c>
      <c r="H960" s="2">
        <v>0.42000000000000004</v>
      </c>
    </row>
    <row r="961" spans="1:8" x14ac:dyDescent="0.25">
      <c r="A961" s="1">
        <v>209</v>
      </c>
      <c r="B961" s="4">
        <v>4151061</v>
      </c>
      <c r="C961" s="3">
        <v>1.37E-2</v>
      </c>
      <c r="D961" s="3">
        <f t="shared" si="14"/>
        <v>0.6</v>
      </c>
      <c r="E961" s="1">
        <v>0.4</v>
      </c>
      <c r="F961" s="2">
        <v>0.1</v>
      </c>
      <c r="G961" s="2">
        <v>0.49</v>
      </c>
      <c r="H961" s="2">
        <v>0.41000000000000003</v>
      </c>
    </row>
    <row r="962" spans="1:8" x14ac:dyDescent="0.25">
      <c r="A962" s="1">
        <v>291</v>
      </c>
      <c r="B962" s="4">
        <v>6572560</v>
      </c>
      <c r="C962" s="3">
        <v>1.37E-2</v>
      </c>
      <c r="D962" s="3">
        <f t="shared" ref="D962:D1025" si="15">1-E962</f>
        <v>0.6</v>
      </c>
      <c r="E962" s="1">
        <v>0.4</v>
      </c>
      <c r="F962" s="2">
        <v>0.28000000000000003</v>
      </c>
      <c r="G962" s="2">
        <v>0.31</v>
      </c>
      <c r="H962" s="2">
        <v>0.40999999999999992</v>
      </c>
    </row>
    <row r="963" spans="1:8" x14ac:dyDescent="0.25">
      <c r="A963" s="1">
        <v>354</v>
      </c>
      <c r="B963" s="4">
        <v>9095982</v>
      </c>
      <c r="C963" s="3">
        <v>1.37E-2</v>
      </c>
      <c r="D963" s="3">
        <f t="shared" si="15"/>
        <v>0.7</v>
      </c>
      <c r="E963" s="1">
        <v>0.3</v>
      </c>
      <c r="F963" s="2">
        <v>0.39</v>
      </c>
      <c r="G963" s="2">
        <v>0.4</v>
      </c>
      <c r="H963" s="2">
        <v>0.20999999999999996</v>
      </c>
    </row>
    <row r="964" spans="1:8" x14ac:dyDescent="0.25">
      <c r="A964" s="1">
        <v>461</v>
      </c>
      <c r="B964" s="4">
        <v>4149073</v>
      </c>
      <c r="C964" s="3">
        <v>1.37E-2</v>
      </c>
      <c r="D964" s="3">
        <f t="shared" si="15"/>
        <v>0.6</v>
      </c>
      <c r="E964" s="1">
        <v>0.4</v>
      </c>
      <c r="F964" s="2">
        <v>0.28000000000000003</v>
      </c>
      <c r="G964" s="2">
        <v>0.21</v>
      </c>
      <c r="H964" s="2">
        <v>0.51</v>
      </c>
    </row>
    <row r="965" spans="1:8" x14ac:dyDescent="0.25">
      <c r="A965" s="1">
        <v>498</v>
      </c>
      <c r="B965" s="4">
        <v>3579909</v>
      </c>
      <c r="C965" s="3">
        <v>1.37E-2</v>
      </c>
      <c r="D965" s="3">
        <f t="shared" si="15"/>
        <v>0.6</v>
      </c>
      <c r="E965" s="1">
        <v>0.4</v>
      </c>
      <c r="F965" s="2">
        <v>0.26</v>
      </c>
      <c r="G965" s="2">
        <v>0.22</v>
      </c>
      <c r="H965" s="2">
        <v>0.52</v>
      </c>
    </row>
    <row r="966" spans="1:8" x14ac:dyDescent="0.25">
      <c r="A966" s="1">
        <v>510</v>
      </c>
      <c r="B966" s="4">
        <v>4423191</v>
      </c>
      <c r="C966" s="3">
        <v>1.37E-2</v>
      </c>
      <c r="D966" s="3">
        <f t="shared" si="15"/>
        <v>0.6</v>
      </c>
      <c r="E966" s="1">
        <v>0.4</v>
      </c>
      <c r="F966" s="2">
        <v>0.32</v>
      </c>
      <c r="G966" s="2">
        <v>0.43</v>
      </c>
      <c r="H966" s="2">
        <v>0.25000000000000006</v>
      </c>
    </row>
    <row r="967" spans="1:8" x14ac:dyDescent="0.25">
      <c r="A967" s="1">
        <v>875</v>
      </c>
      <c r="B967" s="4">
        <v>1717996</v>
      </c>
      <c r="C967" s="3">
        <v>1.37E-2</v>
      </c>
      <c r="D967" s="3">
        <f t="shared" si="15"/>
        <v>0.4</v>
      </c>
      <c r="E967" s="1">
        <v>0.6</v>
      </c>
      <c r="F967" s="2">
        <v>0.44</v>
      </c>
      <c r="G967" s="2">
        <v>0.41</v>
      </c>
      <c r="H967" s="2">
        <v>0.15000000000000008</v>
      </c>
    </row>
    <row r="968" spans="1:8" x14ac:dyDescent="0.25">
      <c r="A968" s="1">
        <v>877</v>
      </c>
      <c r="B968" s="4">
        <v>5815079</v>
      </c>
      <c r="C968" s="3">
        <v>1.37E-2</v>
      </c>
      <c r="D968" s="3">
        <f t="shared" si="15"/>
        <v>0.6</v>
      </c>
      <c r="E968" s="1">
        <v>0.4</v>
      </c>
      <c r="F968" s="2">
        <v>0.15</v>
      </c>
      <c r="G968" s="2">
        <v>0.42</v>
      </c>
      <c r="H968" s="2">
        <v>0.43000000000000005</v>
      </c>
    </row>
    <row r="969" spans="1:8" x14ac:dyDescent="0.25">
      <c r="A969" s="1">
        <v>888</v>
      </c>
      <c r="B969" s="4">
        <v>1853055</v>
      </c>
      <c r="C969" s="3">
        <v>1.37E-2</v>
      </c>
      <c r="D969" s="3">
        <f t="shared" si="15"/>
        <v>0.4</v>
      </c>
      <c r="E969" s="1">
        <v>0.6</v>
      </c>
      <c r="F969" s="2">
        <v>0.34</v>
      </c>
      <c r="G969" s="2">
        <v>0.39</v>
      </c>
      <c r="H969" s="2">
        <v>0.26999999999999996</v>
      </c>
    </row>
    <row r="970" spans="1:8" x14ac:dyDescent="0.25">
      <c r="A970" s="1">
        <v>400</v>
      </c>
      <c r="B970" s="4">
        <v>2067968</v>
      </c>
      <c r="C970" s="3">
        <v>1.3600000000000001E-2</v>
      </c>
      <c r="D970" s="3">
        <f t="shared" si="15"/>
        <v>0.4</v>
      </c>
      <c r="E970" s="1">
        <v>0.6</v>
      </c>
      <c r="F970" s="2">
        <v>0.43</v>
      </c>
      <c r="G970" s="2">
        <v>0.38</v>
      </c>
      <c r="H970" s="2">
        <v>0.19</v>
      </c>
    </row>
    <row r="971" spans="1:8" x14ac:dyDescent="0.25">
      <c r="A971" s="1">
        <v>865</v>
      </c>
      <c r="B971" s="4">
        <v>8318711</v>
      </c>
      <c r="C971" s="3">
        <v>1.3600000000000001E-2</v>
      </c>
      <c r="D971" s="3">
        <f t="shared" si="15"/>
        <v>0.7</v>
      </c>
      <c r="E971" s="1">
        <v>0.3</v>
      </c>
      <c r="F971" s="2">
        <v>0.34</v>
      </c>
      <c r="G971" s="2">
        <v>0.41</v>
      </c>
      <c r="H971" s="2">
        <v>0.25000000000000006</v>
      </c>
    </row>
    <row r="972" spans="1:8" x14ac:dyDescent="0.25">
      <c r="A972" s="1">
        <v>155</v>
      </c>
      <c r="B972" s="4">
        <v>1845967</v>
      </c>
      <c r="C972" s="3">
        <v>1.3500000000000002E-2</v>
      </c>
      <c r="D972" s="3">
        <f t="shared" si="15"/>
        <v>0.4</v>
      </c>
      <c r="E972" s="1">
        <v>0.6</v>
      </c>
      <c r="F972" s="2">
        <v>0.34</v>
      </c>
      <c r="G972" s="2">
        <v>0.34</v>
      </c>
      <c r="H972" s="2">
        <v>0.3199999999999999</v>
      </c>
    </row>
    <row r="973" spans="1:8" x14ac:dyDescent="0.25">
      <c r="A973" s="1">
        <v>885</v>
      </c>
      <c r="B973" s="4">
        <v>5537372</v>
      </c>
      <c r="C973" s="3">
        <v>1.3500000000000002E-2</v>
      </c>
      <c r="D973" s="3">
        <f t="shared" si="15"/>
        <v>0.6</v>
      </c>
      <c r="E973" s="1">
        <v>0.4</v>
      </c>
      <c r="F973" s="2">
        <v>0.2</v>
      </c>
      <c r="G973" s="2">
        <v>0.32</v>
      </c>
      <c r="H973" s="2">
        <v>0.47999999999999993</v>
      </c>
    </row>
    <row r="974" spans="1:8" x14ac:dyDescent="0.25">
      <c r="A974" s="1">
        <v>429</v>
      </c>
      <c r="B974" s="4">
        <v>3985028</v>
      </c>
      <c r="C974" s="3">
        <v>1.34E-2</v>
      </c>
      <c r="D974" s="3">
        <f t="shared" si="15"/>
        <v>0.6</v>
      </c>
      <c r="E974" s="1">
        <v>0.4</v>
      </c>
      <c r="F974" s="2">
        <v>0.1</v>
      </c>
      <c r="G974" s="2">
        <v>0.33</v>
      </c>
      <c r="H974" s="2">
        <v>0.56999999999999995</v>
      </c>
    </row>
    <row r="975" spans="1:8" x14ac:dyDescent="0.25">
      <c r="A975" s="1">
        <v>802</v>
      </c>
      <c r="B975" s="4">
        <v>6006446</v>
      </c>
      <c r="C975" s="3">
        <v>1.34E-2</v>
      </c>
      <c r="D975" s="3">
        <f t="shared" si="15"/>
        <v>0.6</v>
      </c>
      <c r="E975" s="1">
        <v>0.4</v>
      </c>
      <c r="F975" s="2">
        <v>0.43</v>
      </c>
      <c r="G975" s="2">
        <v>0.35</v>
      </c>
      <c r="H975" s="2">
        <v>0.22000000000000003</v>
      </c>
    </row>
    <row r="976" spans="1:8" x14ac:dyDescent="0.25">
      <c r="A976" s="1">
        <v>886</v>
      </c>
      <c r="B976" s="4">
        <v>2512874</v>
      </c>
      <c r="C976" s="3">
        <v>1.34E-2</v>
      </c>
      <c r="D976" s="3">
        <f t="shared" si="15"/>
        <v>0.4</v>
      </c>
      <c r="E976" s="1">
        <v>0.6</v>
      </c>
      <c r="F976" s="2">
        <v>0.26</v>
      </c>
      <c r="G976" s="2">
        <v>0.47</v>
      </c>
      <c r="H976" s="2">
        <v>0.27</v>
      </c>
    </row>
    <row r="977" spans="1:8" x14ac:dyDescent="0.25">
      <c r="A977" s="1">
        <v>260</v>
      </c>
      <c r="B977" s="4">
        <v>5376768</v>
      </c>
      <c r="C977" s="3">
        <v>1.3300000000000001E-2</v>
      </c>
      <c r="D977" s="3">
        <f t="shared" si="15"/>
        <v>0.6</v>
      </c>
      <c r="E977" s="1">
        <v>0.4</v>
      </c>
      <c r="F977" s="2">
        <v>0.11</v>
      </c>
      <c r="G977" s="2">
        <v>0.34</v>
      </c>
      <c r="H977" s="2">
        <v>0.54999999999999993</v>
      </c>
    </row>
    <row r="978" spans="1:8" x14ac:dyDescent="0.25">
      <c r="A978" s="1">
        <v>471</v>
      </c>
      <c r="B978" s="4">
        <v>9629026</v>
      </c>
      <c r="C978" s="3">
        <v>1.3300000000000001E-2</v>
      </c>
      <c r="D978" s="3">
        <f t="shared" si="15"/>
        <v>0.7</v>
      </c>
      <c r="E978" s="1">
        <v>0.3</v>
      </c>
      <c r="F978" s="2">
        <v>0.3</v>
      </c>
      <c r="G978" s="2">
        <v>0.33</v>
      </c>
      <c r="H978" s="2">
        <v>0.36999999999999994</v>
      </c>
    </row>
    <row r="979" spans="1:8" x14ac:dyDescent="0.25">
      <c r="A979" s="1">
        <v>763</v>
      </c>
      <c r="B979" s="4">
        <v>7796956</v>
      </c>
      <c r="C979" s="3">
        <v>1.3300000000000001E-2</v>
      </c>
      <c r="D979" s="3">
        <f t="shared" si="15"/>
        <v>0.7</v>
      </c>
      <c r="E979" s="1">
        <v>0.3</v>
      </c>
      <c r="F979" s="2">
        <v>0.2</v>
      </c>
      <c r="G979" s="2">
        <v>0.42</v>
      </c>
      <c r="H979" s="2">
        <v>0.38000000000000006</v>
      </c>
    </row>
    <row r="980" spans="1:8" x14ac:dyDescent="0.25">
      <c r="A980" s="1">
        <v>258</v>
      </c>
      <c r="B980" s="4">
        <v>1031738</v>
      </c>
      <c r="C980" s="3">
        <v>1.32E-2</v>
      </c>
      <c r="D980" s="3">
        <f t="shared" si="15"/>
        <v>0.4</v>
      </c>
      <c r="E980" s="1">
        <v>0.6</v>
      </c>
      <c r="F980" s="2">
        <v>0.35</v>
      </c>
      <c r="G980" s="2">
        <v>0.21</v>
      </c>
      <c r="H980" s="2">
        <v>0.44000000000000006</v>
      </c>
    </row>
    <row r="981" spans="1:8" x14ac:dyDescent="0.25">
      <c r="A981" s="1">
        <v>543</v>
      </c>
      <c r="B981" s="4">
        <v>3707315</v>
      </c>
      <c r="C981" s="3">
        <v>1.3100000000000001E-2</v>
      </c>
      <c r="D981" s="3">
        <f t="shared" si="15"/>
        <v>0.6</v>
      </c>
      <c r="E981" s="1">
        <v>0.4</v>
      </c>
      <c r="F981" s="2">
        <v>0.45</v>
      </c>
      <c r="G981" s="2">
        <v>0.43</v>
      </c>
      <c r="H981" s="2">
        <v>0.12000000000000005</v>
      </c>
    </row>
    <row r="982" spans="1:8" x14ac:dyDescent="0.25">
      <c r="A982" s="1">
        <v>636</v>
      </c>
      <c r="B982" s="4">
        <v>798866</v>
      </c>
      <c r="C982" s="3">
        <v>1.3100000000000001E-2</v>
      </c>
      <c r="D982" s="3">
        <f t="shared" si="15"/>
        <v>0.4</v>
      </c>
      <c r="E982" s="1">
        <v>0.6</v>
      </c>
      <c r="F982" s="2">
        <v>0.33</v>
      </c>
      <c r="G982" s="2">
        <v>0.41</v>
      </c>
      <c r="H982" s="2">
        <v>0.26000000000000006</v>
      </c>
    </row>
    <row r="983" spans="1:8" x14ac:dyDescent="0.25">
      <c r="A983" s="1">
        <v>581</v>
      </c>
      <c r="B983" s="4">
        <v>7848448</v>
      </c>
      <c r="C983" s="3">
        <v>1.3000000000000001E-2</v>
      </c>
      <c r="D983" s="3">
        <f t="shared" si="15"/>
        <v>0.7</v>
      </c>
      <c r="E983" s="1">
        <v>0.3</v>
      </c>
      <c r="F983" s="2">
        <v>0.23</v>
      </c>
      <c r="G983" s="2">
        <v>0.32</v>
      </c>
      <c r="H983" s="2">
        <v>0.44999999999999996</v>
      </c>
    </row>
    <row r="984" spans="1:8" x14ac:dyDescent="0.25">
      <c r="A984" s="1">
        <v>54</v>
      </c>
      <c r="B984" s="4">
        <v>5379650</v>
      </c>
      <c r="C984" s="3">
        <v>1.29E-2</v>
      </c>
      <c r="D984" s="3">
        <f t="shared" si="15"/>
        <v>0.6</v>
      </c>
      <c r="E984" s="1">
        <v>0.4</v>
      </c>
      <c r="F984" s="2">
        <v>0.11</v>
      </c>
      <c r="G984" s="2">
        <v>0.39</v>
      </c>
      <c r="H984" s="2">
        <v>0.5</v>
      </c>
    </row>
    <row r="985" spans="1:8" x14ac:dyDescent="0.25">
      <c r="A985" s="1">
        <v>513</v>
      </c>
      <c r="B985" s="4">
        <v>1712698</v>
      </c>
      <c r="C985" s="3">
        <v>1.29E-2</v>
      </c>
      <c r="D985" s="3">
        <f t="shared" si="15"/>
        <v>0.4</v>
      </c>
      <c r="E985" s="1">
        <v>0.6</v>
      </c>
      <c r="F985" s="2">
        <v>0.13</v>
      </c>
      <c r="G985" s="2">
        <v>0.45</v>
      </c>
      <c r="H985" s="2">
        <v>0.42000000000000004</v>
      </c>
    </row>
    <row r="986" spans="1:8" x14ac:dyDescent="0.25">
      <c r="A986" s="1">
        <v>625</v>
      </c>
      <c r="B986" s="4">
        <v>3372245</v>
      </c>
      <c r="C986" s="3">
        <v>1.29E-2</v>
      </c>
      <c r="D986" s="3">
        <f t="shared" si="15"/>
        <v>0.6</v>
      </c>
      <c r="E986" s="1">
        <v>0.4</v>
      </c>
      <c r="F986" s="2">
        <v>0.12</v>
      </c>
      <c r="G986" s="2">
        <v>0.23</v>
      </c>
      <c r="H986" s="2">
        <v>0.65</v>
      </c>
    </row>
    <row r="987" spans="1:8" x14ac:dyDescent="0.25">
      <c r="A987" s="1">
        <v>605</v>
      </c>
      <c r="B987" s="4">
        <v>240364</v>
      </c>
      <c r="C987" s="3">
        <v>1.2800000000000001E-2</v>
      </c>
      <c r="D987" s="3">
        <f t="shared" si="15"/>
        <v>0.4</v>
      </c>
      <c r="E987" s="1">
        <v>0.6</v>
      </c>
      <c r="F987" s="2">
        <v>0.42</v>
      </c>
      <c r="G987" s="2">
        <v>0.23</v>
      </c>
      <c r="H987" s="2">
        <v>0.35000000000000003</v>
      </c>
    </row>
    <row r="988" spans="1:8" x14ac:dyDescent="0.25">
      <c r="A988" s="1">
        <v>227</v>
      </c>
      <c r="B988" s="4">
        <v>3887528</v>
      </c>
      <c r="C988" s="3">
        <v>1.2699999999999999E-2</v>
      </c>
      <c r="D988" s="3">
        <f t="shared" si="15"/>
        <v>0.6</v>
      </c>
      <c r="E988" s="1">
        <v>0.4</v>
      </c>
      <c r="F988" s="2">
        <v>0.33</v>
      </c>
      <c r="G988" s="2">
        <v>0.25</v>
      </c>
      <c r="H988" s="2">
        <v>0.42</v>
      </c>
    </row>
    <row r="989" spans="1:8" x14ac:dyDescent="0.25">
      <c r="A989" s="1">
        <v>299</v>
      </c>
      <c r="B989" s="4">
        <v>5505525</v>
      </c>
      <c r="C989" s="3">
        <v>1.2699999999999999E-2</v>
      </c>
      <c r="D989" s="3">
        <f t="shared" si="15"/>
        <v>0.6</v>
      </c>
      <c r="E989" s="1">
        <v>0.4</v>
      </c>
      <c r="F989" s="2">
        <v>0.39</v>
      </c>
      <c r="G989" s="2">
        <v>0.21</v>
      </c>
      <c r="H989" s="2">
        <v>0.4</v>
      </c>
    </row>
    <row r="990" spans="1:8" x14ac:dyDescent="0.25">
      <c r="A990" s="1">
        <v>805</v>
      </c>
      <c r="B990" s="4">
        <v>1490673</v>
      </c>
      <c r="C990" s="3">
        <v>1.26E-2</v>
      </c>
      <c r="D990" s="3">
        <f t="shared" si="15"/>
        <v>0.4</v>
      </c>
      <c r="E990" s="1">
        <v>0.6</v>
      </c>
      <c r="F990" s="2">
        <v>0.28999999999999998</v>
      </c>
      <c r="G990" s="2">
        <v>0.47</v>
      </c>
      <c r="H990" s="2">
        <v>0.24000000000000005</v>
      </c>
    </row>
    <row r="991" spans="1:8" x14ac:dyDescent="0.25">
      <c r="A991" s="1">
        <v>887</v>
      </c>
      <c r="B991" s="4">
        <v>319511</v>
      </c>
      <c r="C991" s="3">
        <v>1.26E-2</v>
      </c>
      <c r="D991" s="3">
        <f t="shared" si="15"/>
        <v>0.4</v>
      </c>
      <c r="E991" s="1">
        <v>0.6</v>
      </c>
      <c r="F991" s="2">
        <v>0.3</v>
      </c>
      <c r="G991" s="2">
        <v>0.47</v>
      </c>
      <c r="H991" s="2">
        <v>0.23000000000000004</v>
      </c>
    </row>
    <row r="992" spans="1:8" x14ac:dyDescent="0.25">
      <c r="A992" s="1">
        <v>65</v>
      </c>
      <c r="B992" s="4">
        <v>135747</v>
      </c>
      <c r="C992" s="3">
        <v>1.2500000000000001E-2</v>
      </c>
      <c r="D992" s="3">
        <f t="shared" si="15"/>
        <v>0.4</v>
      </c>
      <c r="E992" s="1">
        <v>0.6</v>
      </c>
      <c r="F992" s="2">
        <v>0.43</v>
      </c>
      <c r="G992" s="2">
        <v>0.35</v>
      </c>
      <c r="H992" s="2">
        <v>0.22000000000000003</v>
      </c>
    </row>
    <row r="993" spans="1:8" x14ac:dyDescent="0.25">
      <c r="A993" s="1">
        <v>991</v>
      </c>
      <c r="B993" s="4">
        <v>2620120</v>
      </c>
      <c r="C993" s="3">
        <v>1.2500000000000001E-2</v>
      </c>
      <c r="D993" s="3">
        <f t="shared" si="15"/>
        <v>0.4</v>
      </c>
      <c r="E993" s="1">
        <v>0.6</v>
      </c>
      <c r="F993" s="2">
        <v>0.21</v>
      </c>
      <c r="G993" s="2">
        <v>0.49</v>
      </c>
      <c r="H993" s="2">
        <v>0.30000000000000004</v>
      </c>
    </row>
    <row r="994" spans="1:8" x14ac:dyDescent="0.25">
      <c r="A994" s="1">
        <v>352</v>
      </c>
      <c r="B994" s="4">
        <v>593016</v>
      </c>
      <c r="C994" s="3">
        <v>1.24E-2</v>
      </c>
      <c r="D994" s="3">
        <f t="shared" si="15"/>
        <v>0.4</v>
      </c>
      <c r="E994" s="1">
        <v>0.6</v>
      </c>
      <c r="F994" s="2">
        <v>0.39</v>
      </c>
      <c r="G994" s="2">
        <v>0.36</v>
      </c>
      <c r="H994" s="2">
        <v>0.25</v>
      </c>
    </row>
    <row r="995" spans="1:8" x14ac:dyDescent="0.25">
      <c r="A995" s="1">
        <v>612</v>
      </c>
      <c r="B995" s="4">
        <v>1849009</v>
      </c>
      <c r="C995" s="3">
        <v>1.24E-2</v>
      </c>
      <c r="D995" s="3">
        <f t="shared" si="15"/>
        <v>0.4</v>
      </c>
      <c r="E995" s="1">
        <v>0.6</v>
      </c>
      <c r="F995" s="2">
        <v>0.38</v>
      </c>
      <c r="G995" s="2">
        <v>0.25</v>
      </c>
      <c r="H995" s="2">
        <v>0.37</v>
      </c>
    </row>
    <row r="996" spans="1:8" x14ac:dyDescent="0.25">
      <c r="A996" s="1">
        <v>809</v>
      </c>
      <c r="B996" s="4">
        <v>7495738</v>
      </c>
      <c r="C996" s="3">
        <v>1.24E-2</v>
      </c>
      <c r="D996" s="3">
        <f t="shared" si="15"/>
        <v>0.7</v>
      </c>
      <c r="E996" s="1">
        <v>0.3</v>
      </c>
      <c r="F996" s="2">
        <v>0.16</v>
      </c>
      <c r="G996" s="2">
        <v>0.48</v>
      </c>
      <c r="H996" s="2">
        <v>0.36</v>
      </c>
    </row>
    <row r="997" spans="1:8" x14ac:dyDescent="0.25">
      <c r="A997" s="1">
        <v>803</v>
      </c>
      <c r="B997" s="4">
        <v>4574063</v>
      </c>
      <c r="C997" s="3">
        <v>1.23E-2</v>
      </c>
      <c r="D997" s="3">
        <f t="shared" si="15"/>
        <v>0.6</v>
      </c>
      <c r="E997" s="1">
        <v>0.4</v>
      </c>
      <c r="F997" s="2">
        <v>0.4</v>
      </c>
      <c r="G997" s="2">
        <v>0.47</v>
      </c>
      <c r="H997" s="2">
        <v>0.13</v>
      </c>
    </row>
    <row r="998" spans="1:8" x14ac:dyDescent="0.25">
      <c r="A998" s="1">
        <v>527</v>
      </c>
      <c r="B998" s="4">
        <v>5868305</v>
      </c>
      <c r="C998" s="3">
        <v>1.2199999999999999E-2</v>
      </c>
      <c r="D998" s="3">
        <f t="shared" si="15"/>
        <v>0.6</v>
      </c>
      <c r="E998" s="1">
        <v>0.4</v>
      </c>
      <c r="F998" s="2">
        <v>0.34</v>
      </c>
      <c r="G998" s="2">
        <v>0.39</v>
      </c>
      <c r="H998" s="2">
        <v>0.26999999999999996</v>
      </c>
    </row>
    <row r="999" spans="1:8" x14ac:dyDescent="0.25">
      <c r="A999" s="1">
        <v>474</v>
      </c>
      <c r="B999" s="4">
        <v>9109366</v>
      </c>
      <c r="C999" s="3">
        <v>1.21E-2</v>
      </c>
      <c r="D999" s="3">
        <f t="shared" si="15"/>
        <v>0.7</v>
      </c>
      <c r="E999" s="1">
        <v>0.3</v>
      </c>
      <c r="F999" s="2">
        <v>0.31</v>
      </c>
      <c r="G999" s="2">
        <v>0.39</v>
      </c>
      <c r="H999" s="2">
        <v>0.3</v>
      </c>
    </row>
    <row r="1000" spans="1:8" x14ac:dyDescent="0.25">
      <c r="A1000" s="1">
        <v>988</v>
      </c>
      <c r="B1000" s="4">
        <v>4302212</v>
      </c>
      <c r="C1000" s="3">
        <v>1.21E-2</v>
      </c>
      <c r="D1000" s="3">
        <f t="shared" si="15"/>
        <v>0.6</v>
      </c>
      <c r="E1000" s="1">
        <v>0.4</v>
      </c>
      <c r="F1000" s="2">
        <v>0.18</v>
      </c>
      <c r="G1000" s="2">
        <v>0.34</v>
      </c>
      <c r="H1000" s="2">
        <v>0.47999999999999993</v>
      </c>
    </row>
    <row r="1001" spans="1:8" x14ac:dyDescent="0.25">
      <c r="A1001" s="1">
        <v>1019</v>
      </c>
      <c r="B1001" s="4">
        <v>8406929</v>
      </c>
      <c r="C1001" s="3">
        <v>1.21E-2</v>
      </c>
      <c r="D1001" s="3">
        <f t="shared" si="15"/>
        <v>0.7</v>
      </c>
      <c r="E1001" s="1">
        <v>0.3</v>
      </c>
      <c r="F1001" s="2">
        <v>0.36</v>
      </c>
      <c r="G1001" s="2">
        <v>0.3</v>
      </c>
      <c r="H1001" s="2">
        <v>0.33999999999999997</v>
      </c>
    </row>
    <row r="1002" spans="1:8" x14ac:dyDescent="0.25">
      <c r="A1002" s="1">
        <v>609</v>
      </c>
      <c r="B1002" s="4">
        <v>9259610</v>
      </c>
      <c r="C1002" s="3">
        <v>1.1899999999999999E-2</v>
      </c>
      <c r="D1002" s="3">
        <f t="shared" si="15"/>
        <v>0.7</v>
      </c>
      <c r="E1002" s="1">
        <v>0.3</v>
      </c>
      <c r="F1002" s="2">
        <v>0.42</v>
      </c>
      <c r="G1002" s="2">
        <v>0.44</v>
      </c>
      <c r="H1002" s="2">
        <v>0.14000000000000007</v>
      </c>
    </row>
    <row r="1003" spans="1:8" x14ac:dyDescent="0.25">
      <c r="A1003" s="1">
        <v>118</v>
      </c>
      <c r="B1003" s="4">
        <v>2011598</v>
      </c>
      <c r="C1003" s="3">
        <v>1.18E-2</v>
      </c>
      <c r="D1003" s="3">
        <f t="shared" si="15"/>
        <v>0.4</v>
      </c>
      <c r="E1003" s="1">
        <v>0.6</v>
      </c>
      <c r="F1003" s="2">
        <v>0.11</v>
      </c>
      <c r="G1003" s="2">
        <v>0.31</v>
      </c>
      <c r="H1003" s="2">
        <v>0.57999999999999996</v>
      </c>
    </row>
    <row r="1004" spans="1:8" x14ac:dyDescent="0.25">
      <c r="A1004" s="1">
        <v>532</v>
      </c>
      <c r="B1004" s="4">
        <v>4873001</v>
      </c>
      <c r="C1004" s="3">
        <v>1.18E-2</v>
      </c>
      <c r="D1004" s="3">
        <f t="shared" si="15"/>
        <v>0.6</v>
      </c>
      <c r="E1004" s="1">
        <v>0.4</v>
      </c>
      <c r="F1004" s="2">
        <v>0.32</v>
      </c>
      <c r="G1004" s="2">
        <v>0.35</v>
      </c>
      <c r="H1004" s="2">
        <v>0.33</v>
      </c>
    </row>
    <row r="1005" spans="1:8" x14ac:dyDescent="0.25">
      <c r="A1005" s="1">
        <v>100</v>
      </c>
      <c r="B1005" s="4">
        <v>2624886</v>
      </c>
      <c r="C1005" s="3">
        <v>1.1699999999999999E-2</v>
      </c>
      <c r="D1005" s="3">
        <f t="shared" si="15"/>
        <v>0.4</v>
      </c>
      <c r="E1005" s="1">
        <v>0.6</v>
      </c>
      <c r="F1005" s="2">
        <v>0.16</v>
      </c>
      <c r="G1005" s="2">
        <v>0.49</v>
      </c>
      <c r="H1005" s="2">
        <v>0.35</v>
      </c>
    </row>
    <row r="1006" spans="1:8" x14ac:dyDescent="0.25">
      <c r="A1006" s="1">
        <v>287</v>
      </c>
      <c r="B1006" s="4">
        <v>9124633</v>
      </c>
      <c r="C1006" s="3">
        <v>1.1699999999999999E-2</v>
      </c>
      <c r="D1006" s="3">
        <f t="shared" si="15"/>
        <v>0.7</v>
      </c>
      <c r="E1006" s="1">
        <v>0.3</v>
      </c>
      <c r="F1006" s="2">
        <v>0.28000000000000003</v>
      </c>
      <c r="G1006" s="2">
        <v>0.31</v>
      </c>
      <c r="H1006" s="2">
        <v>0.40999999999999992</v>
      </c>
    </row>
    <row r="1007" spans="1:8" x14ac:dyDescent="0.25">
      <c r="A1007" s="1">
        <v>448</v>
      </c>
      <c r="B1007" s="4">
        <v>3481770</v>
      </c>
      <c r="C1007" s="3">
        <v>1.1699999999999999E-2</v>
      </c>
      <c r="D1007" s="3">
        <f t="shared" si="15"/>
        <v>0.6</v>
      </c>
      <c r="E1007" s="1">
        <v>0.4</v>
      </c>
      <c r="F1007" s="2">
        <v>0.24</v>
      </c>
      <c r="G1007" s="2">
        <v>0.34</v>
      </c>
      <c r="H1007" s="2">
        <v>0.41999999999999993</v>
      </c>
    </row>
    <row r="1008" spans="1:8" x14ac:dyDescent="0.25">
      <c r="A1008" s="1">
        <v>648</v>
      </c>
      <c r="B1008" s="4">
        <v>3245789</v>
      </c>
      <c r="C1008" s="3">
        <v>1.1599999999999999E-2</v>
      </c>
      <c r="D1008" s="3">
        <f t="shared" si="15"/>
        <v>0.6</v>
      </c>
      <c r="E1008" s="1">
        <v>0.4</v>
      </c>
      <c r="F1008" s="2">
        <v>0.1</v>
      </c>
      <c r="G1008" s="2">
        <v>0.24</v>
      </c>
      <c r="H1008" s="2">
        <v>0.66</v>
      </c>
    </row>
    <row r="1009" spans="1:8" x14ac:dyDescent="0.25">
      <c r="A1009" s="1">
        <v>213</v>
      </c>
      <c r="B1009" s="4">
        <v>8261492</v>
      </c>
      <c r="C1009" s="3">
        <v>1.15E-2</v>
      </c>
      <c r="D1009" s="3">
        <f t="shared" si="15"/>
        <v>0.7</v>
      </c>
      <c r="E1009" s="1">
        <v>0.3</v>
      </c>
      <c r="F1009" s="2">
        <v>0.16</v>
      </c>
      <c r="G1009" s="2">
        <v>0.48</v>
      </c>
      <c r="H1009" s="2">
        <v>0.36</v>
      </c>
    </row>
    <row r="1010" spans="1:8" x14ac:dyDescent="0.25">
      <c r="A1010" s="1">
        <v>388</v>
      </c>
      <c r="B1010" s="4">
        <v>2917807</v>
      </c>
      <c r="C1010" s="3">
        <v>1.15E-2</v>
      </c>
      <c r="D1010" s="3">
        <f t="shared" si="15"/>
        <v>0.4</v>
      </c>
      <c r="E1010" s="1">
        <v>0.6</v>
      </c>
      <c r="F1010" s="2">
        <v>0.2</v>
      </c>
      <c r="G1010" s="2">
        <v>0.27</v>
      </c>
      <c r="H1010" s="2">
        <v>0.53</v>
      </c>
    </row>
    <row r="1011" spans="1:8" x14ac:dyDescent="0.25">
      <c r="A1011" s="1">
        <v>502</v>
      </c>
      <c r="B1011" s="4">
        <v>9169671</v>
      </c>
      <c r="C1011" s="3">
        <v>1.15E-2</v>
      </c>
      <c r="D1011" s="3">
        <f t="shared" si="15"/>
        <v>0.7</v>
      </c>
      <c r="E1011" s="1">
        <v>0.3</v>
      </c>
      <c r="F1011" s="2">
        <v>0.17</v>
      </c>
      <c r="G1011" s="2">
        <v>0.5</v>
      </c>
      <c r="H1011" s="2">
        <v>0.32999999999999996</v>
      </c>
    </row>
    <row r="1012" spans="1:8" x14ac:dyDescent="0.25">
      <c r="A1012" s="1">
        <v>821</v>
      </c>
      <c r="B1012" s="4">
        <v>5635125</v>
      </c>
      <c r="C1012" s="3">
        <v>1.15E-2</v>
      </c>
      <c r="D1012" s="3">
        <f t="shared" si="15"/>
        <v>0.6</v>
      </c>
      <c r="E1012" s="1">
        <v>0.4</v>
      </c>
      <c r="F1012" s="2">
        <v>0.15</v>
      </c>
      <c r="G1012" s="2">
        <v>0.21</v>
      </c>
      <c r="H1012" s="2">
        <v>0.64</v>
      </c>
    </row>
    <row r="1013" spans="1:8" x14ac:dyDescent="0.25">
      <c r="A1013" s="1">
        <v>482</v>
      </c>
      <c r="B1013" s="4">
        <v>6008008</v>
      </c>
      <c r="C1013" s="3">
        <v>1.1399999999999999E-2</v>
      </c>
      <c r="D1013" s="3">
        <f t="shared" si="15"/>
        <v>0.6</v>
      </c>
      <c r="E1013" s="1">
        <v>0.4</v>
      </c>
      <c r="F1013" s="2">
        <v>0.3</v>
      </c>
      <c r="G1013" s="2">
        <v>0.37</v>
      </c>
      <c r="H1013" s="2">
        <v>0.33</v>
      </c>
    </row>
    <row r="1014" spans="1:8" x14ac:dyDescent="0.25">
      <c r="A1014" s="1">
        <v>710</v>
      </c>
      <c r="B1014" s="4">
        <v>6283671</v>
      </c>
      <c r="C1014" s="3">
        <v>1.1399999999999999E-2</v>
      </c>
      <c r="D1014" s="3">
        <f t="shared" si="15"/>
        <v>0.6</v>
      </c>
      <c r="E1014" s="1">
        <v>0.4</v>
      </c>
      <c r="F1014" s="2">
        <v>0.39</v>
      </c>
      <c r="G1014" s="2">
        <v>0.39</v>
      </c>
      <c r="H1014" s="2">
        <v>0.21999999999999997</v>
      </c>
    </row>
    <row r="1015" spans="1:8" x14ac:dyDescent="0.25">
      <c r="A1015" s="1">
        <v>790</v>
      </c>
      <c r="B1015" s="4">
        <v>779392</v>
      </c>
      <c r="C1015" s="3">
        <v>1.1399999999999999E-2</v>
      </c>
      <c r="D1015" s="3">
        <f t="shared" si="15"/>
        <v>0.4</v>
      </c>
      <c r="E1015" s="1">
        <v>0.6</v>
      </c>
      <c r="F1015" s="2">
        <v>0.23</v>
      </c>
      <c r="G1015" s="2">
        <v>0.39</v>
      </c>
      <c r="H1015" s="2">
        <v>0.38</v>
      </c>
    </row>
    <row r="1016" spans="1:8" x14ac:dyDescent="0.25">
      <c r="A1016" s="1">
        <v>995</v>
      </c>
      <c r="B1016" s="4">
        <v>6245565</v>
      </c>
      <c r="C1016" s="3">
        <v>1.1399999999999999E-2</v>
      </c>
      <c r="D1016" s="3">
        <f t="shared" si="15"/>
        <v>0.6</v>
      </c>
      <c r="E1016" s="1">
        <v>0.4</v>
      </c>
      <c r="F1016" s="2">
        <v>0.44</v>
      </c>
      <c r="G1016" s="2">
        <v>0.39</v>
      </c>
      <c r="H1016" s="2">
        <v>0.16999999999999998</v>
      </c>
    </row>
    <row r="1017" spans="1:8" x14ac:dyDescent="0.25">
      <c r="A1017" s="1">
        <v>738</v>
      </c>
      <c r="B1017" s="4">
        <v>8674639</v>
      </c>
      <c r="C1017" s="3">
        <v>1.1299999999999999E-2</v>
      </c>
      <c r="D1017" s="3">
        <f t="shared" si="15"/>
        <v>0.7</v>
      </c>
      <c r="E1017" s="1">
        <v>0.3</v>
      </c>
      <c r="F1017" s="2">
        <v>0.43</v>
      </c>
      <c r="G1017" s="2">
        <v>0.37</v>
      </c>
      <c r="H1017" s="2">
        <v>0.2</v>
      </c>
    </row>
    <row r="1018" spans="1:8" x14ac:dyDescent="0.25">
      <c r="A1018" s="1">
        <v>240</v>
      </c>
      <c r="B1018" s="4">
        <v>3059962</v>
      </c>
      <c r="C1018" s="3">
        <v>1.1200000000000002E-2</v>
      </c>
      <c r="D1018" s="3">
        <f t="shared" si="15"/>
        <v>0.6</v>
      </c>
      <c r="E1018" s="1">
        <v>0.4</v>
      </c>
      <c r="F1018" s="2">
        <v>0.42</v>
      </c>
      <c r="G1018" s="2">
        <v>0.26</v>
      </c>
      <c r="H1018" s="2">
        <v>0.32</v>
      </c>
    </row>
    <row r="1019" spans="1:8" x14ac:dyDescent="0.25">
      <c r="A1019" s="1">
        <v>46</v>
      </c>
      <c r="B1019" s="4">
        <v>6182110</v>
      </c>
      <c r="C1019" s="3">
        <v>1.11E-2</v>
      </c>
      <c r="D1019" s="3">
        <f t="shared" si="15"/>
        <v>0.6</v>
      </c>
      <c r="E1019" s="1">
        <v>0.4</v>
      </c>
      <c r="F1019" s="2">
        <v>0.37</v>
      </c>
      <c r="G1019" s="2">
        <v>0.28999999999999998</v>
      </c>
      <c r="H1019" s="2">
        <v>0.33999999999999997</v>
      </c>
    </row>
    <row r="1020" spans="1:8" x14ac:dyDescent="0.25">
      <c r="A1020" s="1">
        <v>403</v>
      </c>
      <c r="B1020" s="4">
        <v>9189490</v>
      </c>
      <c r="C1020" s="3">
        <v>1.11E-2</v>
      </c>
      <c r="D1020" s="3">
        <f t="shared" si="15"/>
        <v>0.7</v>
      </c>
      <c r="E1020" s="1">
        <v>0.3</v>
      </c>
      <c r="F1020" s="2">
        <v>0.12</v>
      </c>
      <c r="G1020" s="2">
        <v>0.31</v>
      </c>
      <c r="H1020" s="2">
        <v>0.56999999999999995</v>
      </c>
    </row>
    <row r="1021" spans="1:8" x14ac:dyDescent="0.25">
      <c r="A1021" s="1">
        <v>964</v>
      </c>
      <c r="B1021" s="4">
        <v>6461876</v>
      </c>
      <c r="C1021" s="3">
        <v>1.11E-2</v>
      </c>
      <c r="D1021" s="3">
        <f t="shared" si="15"/>
        <v>0.6</v>
      </c>
      <c r="E1021" s="1">
        <v>0.4</v>
      </c>
      <c r="F1021" s="2">
        <v>0.3</v>
      </c>
      <c r="G1021" s="2">
        <v>0.46</v>
      </c>
      <c r="H1021" s="2">
        <v>0.24000000000000005</v>
      </c>
    </row>
    <row r="1022" spans="1:8" x14ac:dyDescent="0.25">
      <c r="A1022" s="1">
        <v>881</v>
      </c>
      <c r="B1022" s="4">
        <v>5696043</v>
      </c>
      <c r="C1022" s="3">
        <v>1.09E-2</v>
      </c>
      <c r="D1022" s="3">
        <f t="shared" si="15"/>
        <v>0.6</v>
      </c>
      <c r="E1022" s="1">
        <v>0.4</v>
      </c>
      <c r="F1022" s="2">
        <v>0.12</v>
      </c>
      <c r="G1022" s="2">
        <v>0.42</v>
      </c>
      <c r="H1022" s="2">
        <v>0.46000000000000008</v>
      </c>
    </row>
    <row r="1023" spans="1:8" x14ac:dyDescent="0.25">
      <c r="A1023" s="1">
        <v>376</v>
      </c>
      <c r="B1023" s="4">
        <v>7849885</v>
      </c>
      <c r="C1023" s="3">
        <v>1.0800000000000001E-2</v>
      </c>
      <c r="D1023" s="3">
        <f t="shared" si="15"/>
        <v>0.7</v>
      </c>
      <c r="E1023" s="1">
        <v>0.3</v>
      </c>
      <c r="F1023" s="2">
        <v>0.3</v>
      </c>
      <c r="G1023" s="2">
        <v>0.38</v>
      </c>
      <c r="H1023" s="2">
        <v>0.32</v>
      </c>
    </row>
    <row r="1024" spans="1:8" x14ac:dyDescent="0.25">
      <c r="A1024" s="1">
        <v>684</v>
      </c>
      <c r="B1024" s="4">
        <v>9641211</v>
      </c>
      <c r="C1024" s="3">
        <v>1.0800000000000001E-2</v>
      </c>
      <c r="D1024" s="3">
        <f t="shared" si="15"/>
        <v>0.7</v>
      </c>
      <c r="E1024" s="1">
        <v>0.3</v>
      </c>
      <c r="F1024" s="2">
        <v>0.14000000000000001</v>
      </c>
      <c r="G1024" s="2">
        <v>0.47</v>
      </c>
      <c r="H1024" s="2">
        <v>0.39</v>
      </c>
    </row>
    <row r="1025" spans="1:8" x14ac:dyDescent="0.25">
      <c r="A1025" s="1">
        <v>571</v>
      </c>
      <c r="B1025" s="4">
        <v>4798396</v>
      </c>
      <c r="C1025" s="3">
        <v>1.0700000000000001E-2</v>
      </c>
      <c r="D1025" s="3">
        <f t="shared" si="15"/>
        <v>0.6</v>
      </c>
      <c r="E1025" s="1">
        <v>0.4</v>
      </c>
      <c r="F1025" s="2">
        <v>0.13</v>
      </c>
      <c r="G1025" s="2">
        <v>0.33</v>
      </c>
      <c r="H1025" s="2">
        <v>0.53999999999999992</v>
      </c>
    </row>
    <row r="1026" spans="1:8" x14ac:dyDescent="0.25">
      <c r="A1026" s="1">
        <v>610</v>
      </c>
      <c r="B1026" s="4">
        <v>4498926</v>
      </c>
      <c r="C1026" s="3">
        <v>1.0700000000000001E-2</v>
      </c>
      <c r="D1026" s="3">
        <f t="shared" ref="D1026:D1043" si="16">1-E1026</f>
        <v>0.6</v>
      </c>
      <c r="E1026" s="1">
        <v>0.4</v>
      </c>
      <c r="F1026" s="2">
        <v>0.28999999999999998</v>
      </c>
      <c r="G1026" s="2">
        <v>0.24</v>
      </c>
      <c r="H1026" s="2">
        <v>0.47000000000000003</v>
      </c>
    </row>
    <row r="1027" spans="1:8" x14ac:dyDescent="0.25">
      <c r="A1027" s="1">
        <v>759</v>
      </c>
      <c r="B1027" s="4">
        <v>5927358</v>
      </c>
      <c r="C1027" s="3">
        <v>1.0700000000000001E-2</v>
      </c>
      <c r="D1027" s="3">
        <f t="shared" si="16"/>
        <v>0.6</v>
      </c>
      <c r="E1027" s="1">
        <v>0.4</v>
      </c>
      <c r="F1027" s="2">
        <v>0.42</v>
      </c>
      <c r="G1027" s="2">
        <v>0.23</v>
      </c>
      <c r="H1027" s="2">
        <v>0.35000000000000003</v>
      </c>
    </row>
    <row r="1028" spans="1:8" x14ac:dyDescent="0.25">
      <c r="A1028" s="1">
        <v>744</v>
      </c>
      <c r="B1028" s="4">
        <v>4609971</v>
      </c>
      <c r="C1028" s="3">
        <v>1.06E-2</v>
      </c>
      <c r="D1028" s="3">
        <f t="shared" si="16"/>
        <v>0.6</v>
      </c>
      <c r="E1028" s="1">
        <v>0.4</v>
      </c>
      <c r="F1028" s="2">
        <v>0.43</v>
      </c>
      <c r="G1028" s="2">
        <v>0.41</v>
      </c>
      <c r="H1028" s="2">
        <v>0.16000000000000009</v>
      </c>
    </row>
    <row r="1029" spans="1:8" x14ac:dyDescent="0.25">
      <c r="A1029" s="1">
        <v>994</v>
      </c>
      <c r="B1029" s="4">
        <v>573342</v>
      </c>
      <c r="C1029" s="3">
        <v>1.06E-2</v>
      </c>
      <c r="D1029" s="3">
        <f t="shared" si="16"/>
        <v>0.4</v>
      </c>
      <c r="E1029" s="1">
        <v>0.6</v>
      </c>
      <c r="F1029" s="2">
        <v>0.17</v>
      </c>
      <c r="G1029" s="2">
        <v>0.28000000000000003</v>
      </c>
      <c r="H1029" s="2">
        <v>0.54999999999999993</v>
      </c>
    </row>
    <row r="1030" spans="1:8" x14ac:dyDescent="0.25">
      <c r="A1030" s="1">
        <v>949</v>
      </c>
      <c r="B1030" s="4">
        <v>4454639</v>
      </c>
      <c r="C1030" s="3">
        <v>1.0500000000000001E-2</v>
      </c>
      <c r="D1030" s="3">
        <f t="shared" si="16"/>
        <v>0.6</v>
      </c>
      <c r="E1030" s="1">
        <v>0.4</v>
      </c>
      <c r="F1030" s="2">
        <v>0.23</v>
      </c>
      <c r="G1030" s="2">
        <v>0.28000000000000003</v>
      </c>
      <c r="H1030" s="2">
        <v>0.49</v>
      </c>
    </row>
    <row r="1031" spans="1:8" x14ac:dyDescent="0.25">
      <c r="A1031" s="1">
        <v>570</v>
      </c>
      <c r="B1031" s="4">
        <v>6729861</v>
      </c>
      <c r="C1031" s="3">
        <v>1.04E-2</v>
      </c>
      <c r="D1031" s="3">
        <f t="shared" si="16"/>
        <v>0.6</v>
      </c>
      <c r="E1031" s="1">
        <v>0.4</v>
      </c>
      <c r="F1031" s="2">
        <v>0.26</v>
      </c>
      <c r="G1031" s="2">
        <v>0.31</v>
      </c>
      <c r="H1031" s="2">
        <v>0.42999999999999994</v>
      </c>
    </row>
    <row r="1032" spans="1:8" x14ac:dyDescent="0.25">
      <c r="A1032" s="1">
        <v>595</v>
      </c>
      <c r="B1032" s="4">
        <v>171984</v>
      </c>
      <c r="C1032" s="3">
        <v>1.04E-2</v>
      </c>
      <c r="D1032" s="3">
        <f t="shared" si="16"/>
        <v>0.4</v>
      </c>
      <c r="E1032" s="1">
        <v>0.6</v>
      </c>
      <c r="F1032" s="2">
        <v>0.44</v>
      </c>
      <c r="G1032" s="2">
        <v>0.22</v>
      </c>
      <c r="H1032" s="2">
        <v>0.34</v>
      </c>
    </row>
    <row r="1033" spans="1:8" x14ac:dyDescent="0.25">
      <c r="A1033" s="1">
        <v>837</v>
      </c>
      <c r="B1033" s="4">
        <v>7404728</v>
      </c>
      <c r="C1033" s="3">
        <v>1.04E-2</v>
      </c>
      <c r="D1033" s="3">
        <f t="shared" si="16"/>
        <v>0.7</v>
      </c>
      <c r="E1033" s="1">
        <v>0.3</v>
      </c>
      <c r="F1033" s="2">
        <v>0.28999999999999998</v>
      </c>
      <c r="G1033" s="2">
        <v>0.24</v>
      </c>
      <c r="H1033" s="2">
        <v>0.47000000000000003</v>
      </c>
    </row>
    <row r="1034" spans="1:8" x14ac:dyDescent="0.25">
      <c r="A1034" s="1">
        <v>593</v>
      </c>
      <c r="B1034" s="4">
        <v>6332299</v>
      </c>
      <c r="C1034" s="3">
        <v>1.03E-2</v>
      </c>
      <c r="D1034" s="3">
        <f t="shared" si="16"/>
        <v>0.6</v>
      </c>
      <c r="E1034" s="1">
        <v>0.4</v>
      </c>
      <c r="F1034" s="2">
        <v>0.11</v>
      </c>
      <c r="G1034" s="2">
        <v>0.32</v>
      </c>
      <c r="H1034" s="2">
        <v>0.56999999999999995</v>
      </c>
    </row>
    <row r="1035" spans="1:8" x14ac:dyDescent="0.25">
      <c r="A1035" s="1">
        <v>939</v>
      </c>
      <c r="B1035" s="4">
        <v>8261911</v>
      </c>
      <c r="C1035" s="3">
        <v>1.03E-2</v>
      </c>
      <c r="D1035" s="3">
        <f t="shared" si="16"/>
        <v>0.7</v>
      </c>
      <c r="E1035" s="1">
        <v>0.3</v>
      </c>
      <c r="F1035" s="2">
        <v>0.34</v>
      </c>
      <c r="G1035" s="2">
        <v>0.36</v>
      </c>
      <c r="H1035" s="2">
        <v>0.3</v>
      </c>
    </row>
    <row r="1036" spans="1:8" x14ac:dyDescent="0.25">
      <c r="A1036" s="1">
        <v>972</v>
      </c>
      <c r="B1036" s="4">
        <v>7884293</v>
      </c>
      <c r="C1036" s="3">
        <v>1.03E-2</v>
      </c>
      <c r="D1036" s="3">
        <f t="shared" si="16"/>
        <v>0.7</v>
      </c>
      <c r="E1036" s="1">
        <v>0.3</v>
      </c>
      <c r="F1036" s="2">
        <v>0.34</v>
      </c>
      <c r="G1036" s="2">
        <v>0.28000000000000003</v>
      </c>
      <c r="H1036" s="2">
        <v>0.37999999999999995</v>
      </c>
    </row>
    <row r="1037" spans="1:8" x14ac:dyDescent="0.25">
      <c r="A1037" s="1">
        <v>771</v>
      </c>
      <c r="B1037" s="4">
        <v>6530408</v>
      </c>
      <c r="C1037" s="3">
        <v>1.0200000000000001E-2</v>
      </c>
      <c r="D1037" s="3">
        <f t="shared" si="16"/>
        <v>0.6</v>
      </c>
      <c r="E1037" s="1">
        <v>0.4</v>
      </c>
      <c r="F1037" s="2">
        <v>0.27</v>
      </c>
      <c r="G1037" s="2">
        <v>0.41</v>
      </c>
      <c r="H1037" s="2">
        <v>0.32000000000000006</v>
      </c>
    </row>
    <row r="1038" spans="1:8" x14ac:dyDescent="0.25">
      <c r="A1038" s="1">
        <v>836</v>
      </c>
      <c r="B1038" s="4">
        <v>8300525</v>
      </c>
      <c r="C1038" s="3">
        <v>1.0200000000000001E-2</v>
      </c>
      <c r="D1038" s="3">
        <f t="shared" si="16"/>
        <v>0.7</v>
      </c>
      <c r="E1038" s="1">
        <v>0.3</v>
      </c>
      <c r="F1038" s="2">
        <v>0.17</v>
      </c>
      <c r="G1038" s="2">
        <v>0.5</v>
      </c>
      <c r="H1038" s="2">
        <v>0.32999999999999996</v>
      </c>
    </row>
    <row r="1039" spans="1:8" x14ac:dyDescent="0.25">
      <c r="A1039" s="1">
        <v>37</v>
      </c>
      <c r="B1039" s="4">
        <v>5642531</v>
      </c>
      <c r="C1039" s="3">
        <v>1.01E-2</v>
      </c>
      <c r="D1039" s="3">
        <f t="shared" si="16"/>
        <v>0.6</v>
      </c>
      <c r="E1039" s="1">
        <v>0.4</v>
      </c>
      <c r="F1039" s="2">
        <v>0.39</v>
      </c>
      <c r="G1039" s="2">
        <v>0.46</v>
      </c>
      <c r="H1039" s="2">
        <v>0.15000000000000002</v>
      </c>
    </row>
    <row r="1040" spans="1:8" x14ac:dyDescent="0.25">
      <c r="A1040" s="1">
        <v>171</v>
      </c>
      <c r="B1040" s="4">
        <v>9833235</v>
      </c>
      <c r="C1040" s="3">
        <v>1.01E-2</v>
      </c>
      <c r="D1040" s="3">
        <f t="shared" si="16"/>
        <v>0.7</v>
      </c>
      <c r="E1040" s="1">
        <v>0.3</v>
      </c>
      <c r="F1040" s="2">
        <v>0.1</v>
      </c>
      <c r="G1040" s="2">
        <v>0.35</v>
      </c>
      <c r="H1040" s="2">
        <v>0.55000000000000004</v>
      </c>
    </row>
    <row r="1041" spans="1:8" x14ac:dyDescent="0.25">
      <c r="A1041" s="1">
        <v>231</v>
      </c>
      <c r="B1041" s="4">
        <v>607212</v>
      </c>
      <c r="C1041" s="3">
        <v>1.01E-2</v>
      </c>
      <c r="D1041" s="3">
        <f t="shared" si="16"/>
        <v>0.4</v>
      </c>
      <c r="E1041" s="1">
        <v>0.6</v>
      </c>
      <c r="F1041" s="2">
        <v>0.36</v>
      </c>
      <c r="G1041" s="2">
        <v>0.3</v>
      </c>
      <c r="H1041" s="2">
        <v>0.33999999999999997</v>
      </c>
    </row>
    <row r="1042" spans="1:8" x14ac:dyDescent="0.25">
      <c r="A1042" s="1">
        <v>524</v>
      </c>
      <c r="B1042" s="4">
        <v>416132</v>
      </c>
      <c r="C1042" s="3">
        <v>1.01E-2</v>
      </c>
      <c r="D1042" s="3">
        <f t="shared" si="16"/>
        <v>0.4</v>
      </c>
      <c r="E1042" s="1">
        <v>0.6</v>
      </c>
      <c r="F1042" s="2">
        <v>0.21</v>
      </c>
      <c r="G1042" s="2">
        <v>0.31</v>
      </c>
      <c r="H1042" s="2">
        <v>0.48</v>
      </c>
    </row>
    <row r="1043" spans="1:8" x14ac:dyDescent="0.25">
      <c r="A1043" s="1">
        <v>970</v>
      </c>
      <c r="B1043" s="4">
        <v>7027453</v>
      </c>
      <c r="C1043" s="3">
        <v>1.01E-2</v>
      </c>
      <c r="D1043" s="3">
        <f t="shared" si="16"/>
        <v>0.7</v>
      </c>
      <c r="E1043" s="1">
        <v>0.3</v>
      </c>
      <c r="F1043" s="2">
        <v>0.24</v>
      </c>
      <c r="G1043" s="2">
        <v>0.24</v>
      </c>
      <c r="H1043" s="2">
        <v>0.52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07A8-0190-4DD8-9472-4A3A4822AAC3}">
  <dimension ref="A1:G10000"/>
  <sheetViews>
    <sheetView topLeftCell="A548" workbookViewId="0">
      <selection activeCell="F569" sqref="F569"/>
    </sheetView>
  </sheetViews>
  <sheetFormatPr baseColWidth="10" defaultColWidth="9.140625" defaultRowHeight="15" x14ac:dyDescent="0.25"/>
  <cols>
    <col min="1" max="1" width="18" customWidth="1"/>
    <col min="2" max="2" width="9.85546875" bestFit="1" customWidth="1"/>
    <col min="3" max="3" width="16.28515625" bestFit="1" customWidth="1"/>
    <col min="4" max="4" width="16.28515625" style="11" bestFit="1" customWidth="1"/>
    <col min="5" max="5" width="9.85546875" bestFit="1" customWidth="1"/>
    <col min="6" max="6" width="12.5703125" bestFit="1" customWidth="1"/>
    <col min="7" max="7" width="20.28515625" bestFit="1" customWidth="1"/>
    <col min="8" max="8" width="9.85546875" bestFit="1" customWidth="1"/>
    <col min="9" max="9" width="12.5703125" bestFit="1" customWidth="1"/>
    <col min="10" max="10" width="9.85546875" bestFit="1" customWidth="1"/>
    <col min="11" max="12" width="12.5703125" bestFit="1" customWidth="1"/>
    <col min="13" max="13" width="10.85546875" bestFit="1" customWidth="1"/>
    <col min="14" max="16" width="9.85546875" bestFit="1" customWidth="1"/>
    <col min="17" max="17" width="12.5703125" bestFit="1" customWidth="1"/>
    <col min="19" max="19" width="12.5703125" bestFit="1" customWidth="1"/>
    <col min="20" max="21" width="9.85546875" bestFit="1" customWidth="1"/>
    <col min="22" max="22" width="9.28515625" bestFit="1" customWidth="1"/>
    <col min="23" max="24" width="9.85546875" bestFit="1" customWidth="1"/>
    <col min="25" max="25" width="12.5703125" bestFit="1" customWidth="1"/>
    <col min="26" max="26" width="9.85546875" bestFit="1" customWidth="1"/>
    <col min="27" max="27" width="9.28515625" bestFit="1" customWidth="1"/>
    <col min="28" max="28" width="9.85546875" bestFit="1" customWidth="1"/>
    <col min="30" max="30" width="9.85546875" bestFit="1" customWidth="1"/>
    <col min="31" max="31" width="9.28515625" bestFit="1" customWidth="1"/>
    <col min="32" max="33" width="12.5703125" bestFit="1" customWidth="1"/>
    <col min="34" max="34" width="9.85546875" bestFit="1" customWidth="1"/>
    <col min="35" max="35" width="9.28515625" bestFit="1" customWidth="1"/>
    <col min="36" max="36" width="12.5703125" bestFit="1" customWidth="1"/>
    <col min="37" max="37" width="9.85546875" bestFit="1" customWidth="1"/>
    <col min="38" max="38" width="12.5703125" bestFit="1" customWidth="1"/>
    <col min="39" max="39" width="9.85546875" bestFit="1" customWidth="1"/>
    <col min="40" max="40" width="9.28515625" bestFit="1" customWidth="1"/>
    <col min="41" max="41" width="10.85546875" bestFit="1" customWidth="1"/>
    <col min="43" max="44" width="9.85546875" bestFit="1" customWidth="1"/>
    <col min="45" max="46" width="12.5703125" bestFit="1" customWidth="1"/>
    <col min="47" max="47" width="9.85546875" bestFit="1" customWidth="1"/>
    <col min="48" max="48" width="9.28515625" bestFit="1" customWidth="1"/>
    <col min="50" max="51" width="9.85546875" bestFit="1" customWidth="1"/>
    <col min="53" max="53" width="9.85546875" bestFit="1" customWidth="1"/>
    <col min="55" max="55" width="9.85546875" bestFit="1" customWidth="1"/>
    <col min="56" max="56" width="10.85546875" bestFit="1" customWidth="1"/>
    <col min="57" max="57" width="12.5703125" bestFit="1" customWidth="1"/>
    <col min="58" max="61" width="9.85546875" bestFit="1" customWidth="1"/>
    <col min="62" max="62" width="12.5703125" bestFit="1" customWidth="1"/>
    <col min="63" max="63" width="9.85546875" bestFit="1" customWidth="1"/>
    <col min="64" max="64" width="12.5703125" bestFit="1" customWidth="1"/>
    <col min="65" max="66" width="9.85546875" bestFit="1" customWidth="1"/>
    <col min="67" max="69" width="12.5703125" bestFit="1" customWidth="1"/>
    <col min="72" max="72" width="10.85546875" bestFit="1" customWidth="1"/>
    <col min="74" max="74" width="9.85546875" bestFit="1" customWidth="1"/>
    <col min="75" max="75" width="12.5703125" bestFit="1" customWidth="1"/>
    <col min="76" max="76" width="9.85546875" bestFit="1" customWidth="1"/>
    <col min="78" max="78" width="9.28515625" bestFit="1" customWidth="1"/>
    <col min="79" max="82" width="9.85546875" bestFit="1" customWidth="1"/>
    <col min="83" max="83" width="12.5703125" bestFit="1" customWidth="1"/>
    <col min="84" max="84" width="9.28515625" bestFit="1" customWidth="1"/>
    <col min="85" max="85" width="12.5703125" bestFit="1" customWidth="1"/>
    <col min="86" max="88" width="9.85546875" bestFit="1" customWidth="1"/>
    <col min="89" max="89" width="9.28515625" bestFit="1" customWidth="1"/>
    <col min="90" max="90" width="12.5703125" bestFit="1" customWidth="1"/>
    <col min="91" max="91" width="9.85546875" bestFit="1" customWidth="1"/>
    <col min="93" max="97" width="9.85546875" bestFit="1" customWidth="1"/>
    <col min="98" max="99" width="12.5703125" bestFit="1" customWidth="1"/>
    <col min="100" max="100" width="9.28515625" bestFit="1" customWidth="1"/>
    <col min="101" max="102" width="9.85546875" bestFit="1" customWidth="1"/>
    <col min="103" max="103" width="12.5703125" bestFit="1" customWidth="1"/>
    <col min="105" max="105" width="9.85546875" bestFit="1" customWidth="1"/>
    <col min="106" max="106" width="12.5703125" bestFit="1" customWidth="1"/>
    <col min="107" max="109" width="9.85546875" bestFit="1" customWidth="1"/>
    <col min="112" max="112" width="9.85546875" bestFit="1" customWidth="1"/>
    <col min="113" max="113" width="10.85546875" bestFit="1" customWidth="1"/>
    <col min="114" max="114" width="12.5703125" bestFit="1" customWidth="1"/>
    <col min="115" max="115" width="9.85546875" bestFit="1" customWidth="1"/>
    <col min="117" max="117" width="9.28515625" bestFit="1" customWidth="1"/>
    <col min="118" max="118" width="9.85546875" bestFit="1" customWidth="1"/>
    <col min="119" max="119" width="9.28515625" bestFit="1" customWidth="1"/>
    <col min="120" max="123" width="9.85546875" bestFit="1" customWidth="1"/>
    <col min="124" max="125" width="9.28515625" bestFit="1" customWidth="1"/>
    <col min="127" max="127" width="9.28515625" bestFit="1" customWidth="1"/>
    <col min="128" max="130" width="9.85546875" bestFit="1" customWidth="1"/>
    <col min="132" max="133" width="9.28515625" bestFit="1" customWidth="1"/>
    <col min="134" max="136" width="9.85546875" bestFit="1" customWidth="1"/>
    <col min="137" max="137" width="9.28515625" bestFit="1" customWidth="1"/>
    <col min="138" max="138" width="9.85546875" bestFit="1" customWidth="1"/>
    <col min="139" max="139" width="9.28515625" bestFit="1" customWidth="1"/>
    <col min="140" max="144" width="9.85546875" bestFit="1" customWidth="1"/>
    <col min="145" max="145" width="12.5703125" bestFit="1" customWidth="1"/>
    <col min="146" max="146" width="9.85546875" bestFit="1" customWidth="1"/>
    <col min="147" max="147" width="9.28515625" bestFit="1" customWidth="1"/>
    <col min="149" max="156" width="9.85546875" bestFit="1" customWidth="1"/>
    <col min="157" max="157" width="9.28515625" bestFit="1" customWidth="1"/>
    <col min="158" max="158" width="9.85546875" bestFit="1" customWidth="1"/>
    <col min="159" max="159" width="12.5703125" bestFit="1" customWidth="1"/>
    <col min="160" max="160" width="9.28515625" bestFit="1" customWidth="1"/>
    <col min="161" max="161" width="10.85546875" bestFit="1" customWidth="1"/>
    <col min="162" max="166" width="9.85546875" bestFit="1" customWidth="1"/>
    <col min="167" max="167" width="12.5703125" bestFit="1" customWidth="1"/>
    <col min="168" max="169" width="9.85546875" bestFit="1" customWidth="1"/>
    <col min="170" max="170" width="9.28515625" bestFit="1" customWidth="1"/>
    <col min="171" max="171" width="9.85546875" bestFit="1" customWidth="1"/>
    <col min="173" max="173" width="9.28515625" bestFit="1" customWidth="1"/>
    <col min="174" max="175" width="9.85546875" bestFit="1" customWidth="1"/>
    <col min="177" max="177" width="10.85546875" bestFit="1" customWidth="1"/>
    <col min="178" max="179" width="9.85546875" bestFit="1" customWidth="1"/>
    <col min="180" max="180" width="10.85546875" bestFit="1" customWidth="1"/>
    <col min="181" max="181" width="12.5703125" bestFit="1" customWidth="1"/>
    <col min="182" max="182" width="9.28515625" bestFit="1" customWidth="1"/>
    <col min="183" max="184" width="12.5703125" bestFit="1" customWidth="1"/>
    <col min="185" max="186" width="9.28515625" bestFit="1" customWidth="1"/>
    <col min="187" max="188" width="9.85546875" bestFit="1" customWidth="1"/>
    <col min="189" max="189" width="9.28515625" bestFit="1" customWidth="1"/>
    <col min="190" max="195" width="9.85546875" bestFit="1" customWidth="1"/>
    <col min="196" max="196" width="9.28515625" bestFit="1" customWidth="1"/>
    <col min="197" max="197" width="9.85546875" bestFit="1" customWidth="1"/>
    <col min="198" max="198" width="12.5703125" bestFit="1" customWidth="1"/>
    <col min="200" max="200" width="9.85546875" bestFit="1" customWidth="1"/>
    <col min="201" max="201" width="9.28515625" bestFit="1" customWidth="1"/>
    <col min="202" max="202" width="12.5703125" bestFit="1" customWidth="1"/>
    <col min="203" max="203" width="9.85546875" bestFit="1" customWidth="1"/>
    <col min="204" max="204" width="9.28515625" bestFit="1" customWidth="1"/>
    <col min="205" max="205" width="9.85546875" bestFit="1" customWidth="1"/>
    <col min="206" max="206" width="12.5703125" bestFit="1" customWidth="1"/>
    <col min="207" max="209" width="9.85546875" bestFit="1" customWidth="1"/>
    <col min="210" max="210" width="9.28515625" bestFit="1" customWidth="1"/>
    <col min="211" max="212" width="9.85546875" bestFit="1" customWidth="1"/>
    <col min="214" max="218" width="9.85546875" bestFit="1" customWidth="1"/>
    <col min="219" max="219" width="9.28515625" bestFit="1" customWidth="1"/>
    <col min="220" max="220" width="9.85546875" bestFit="1" customWidth="1"/>
    <col min="221" max="221" width="9.28515625" bestFit="1" customWidth="1"/>
    <col min="222" max="222" width="9.85546875" bestFit="1" customWidth="1"/>
    <col min="223" max="223" width="9.28515625" bestFit="1" customWidth="1"/>
    <col min="224" max="224" width="9.85546875" bestFit="1" customWidth="1"/>
    <col min="227" max="227" width="12.5703125" bestFit="1" customWidth="1"/>
    <col min="228" max="228" width="9.85546875" bestFit="1" customWidth="1"/>
    <col min="229" max="229" width="12.5703125" bestFit="1" customWidth="1"/>
    <col min="230" max="230" width="9.85546875" bestFit="1" customWidth="1"/>
    <col min="232" max="232" width="9.85546875" bestFit="1" customWidth="1"/>
    <col min="233" max="233" width="12.5703125" bestFit="1" customWidth="1"/>
    <col min="234" max="235" width="9.85546875" bestFit="1" customWidth="1"/>
    <col min="237" max="238" width="9.28515625" bestFit="1" customWidth="1"/>
    <col min="239" max="240" width="9.85546875" bestFit="1" customWidth="1"/>
    <col min="241" max="241" width="9.28515625" bestFit="1" customWidth="1"/>
    <col min="242" max="243" width="12.5703125" bestFit="1" customWidth="1"/>
    <col min="244" max="244" width="9.85546875" bestFit="1" customWidth="1"/>
    <col min="247" max="249" width="9.85546875" bestFit="1" customWidth="1"/>
    <col min="250" max="250" width="9.28515625" bestFit="1" customWidth="1"/>
    <col min="251" max="255" width="9.85546875" bestFit="1" customWidth="1"/>
    <col min="256" max="256" width="9.28515625" bestFit="1" customWidth="1"/>
    <col min="258" max="258" width="9.85546875" bestFit="1" customWidth="1"/>
    <col min="259" max="259" width="9.28515625" bestFit="1" customWidth="1"/>
    <col min="261" max="261" width="12.5703125" bestFit="1" customWidth="1"/>
    <col min="262" max="263" width="9.85546875" bestFit="1" customWidth="1"/>
    <col min="264" max="264" width="9.28515625" bestFit="1" customWidth="1"/>
    <col min="265" max="265" width="9.85546875" bestFit="1" customWidth="1"/>
    <col min="266" max="267" width="9.28515625" bestFit="1" customWidth="1"/>
    <col min="268" max="269" width="9.85546875" bestFit="1" customWidth="1"/>
    <col min="270" max="272" width="9.28515625" bestFit="1" customWidth="1"/>
    <col min="273" max="273" width="9.85546875" bestFit="1" customWidth="1"/>
    <col min="275" max="278" width="9.85546875" bestFit="1" customWidth="1"/>
    <col min="279" max="279" width="12.5703125" bestFit="1" customWidth="1"/>
    <col min="280" max="280" width="10.85546875" bestFit="1" customWidth="1"/>
    <col min="281" max="283" width="9.85546875" bestFit="1" customWidth="1"/>
    <col min="285" max="285" width="10.85546875" bestFit="1" customWidth="1"/>
    <col min="286" max="286" width="9.85546875" bestFit="1" customWidth="1"/>
    <col min="287" max="290" width="9.28515625" bestFit="1" customWidth="1"/>
    <col min="291" max="291" width="9.85546875" bestFit="1" customWidth="1"/>
    <col min="292" max="292" width="12.5703125" bestFit="1" customWidth="1"/>
    <col min="293" max="294" width="9.85546875" bestFit="1" customWidth="1"/>
    <col min="296" max="298" width="9.85546875" bestFit="1" customWidth="1"/>
    <col min="300" max="300" width="12.5703125" bestFit="1" customWidth="1"/>
    <col min="301" max="302" width="9.85546875" bestFit="1" customWidth="1"/>
    <col min="303" max="303" width="12.5703125" bestFit="1" customWidth="1"/>
    <col min="304" max="304" width="9.28515625" bestFit="1" customWidth="1"/>
    <col min="305" max="305" width="12.5703125" bestFit="1" customWidth="1"/>
    <col min="306" max="306" width="9.85546875" bestFit="1" customWidth="1"/>
    <col min="307" max="307" width="12.5703125" bestFit="1" customWidth="1"/>
    <col min="309" max="311" width="9.85546875" bestFit="1" customWidth="1"/>
    <col min="312" max="312" width="12.5703125" bestFit="1" customWidth="1"/>
    <col min="313" max="313" width="9.85546875" bestFit="1" customWidth="1"/>
    <col min="315" max="315" width="9.28515625" bestFit="1" customWidth="1"/>
    <col min="316" max="317" width="9.85546875" bestFit="1" customWidth="1"/>
    <col min="318" max="318" width="10.85546875" bestFit="1" customWidth="1"/>
    <col min="319" max="319" width="9.85546875" bestFit="1" customWidth="1"/>
    <col min="320" max="322" width="9.28515625" bestFit="1" customWidth="1"/>
    <col min="323" max="323" width="9.85546875" bestFit="1" customWidth="1"/>
    <col min="325" max="325" width="9.85546875" bestFit="1" customWidth="1"/>
    <col min="326" max="326" width="12.5703125" bestFit="1" customWidth="1"/>
    <col min="327" max="327" width="9.85546875" bestFit="1" customWidth="1"/>
    <col min="329" max="329" width="9.28515625" bestFit="1" customWidth="1"/>
    <col min="330" max="331" width="9.85546875" bestFit="1" customWidth="1"/>
    <col min="332" max="332" width="9.28515625" bestFit="1" customWidth="1"/>
    <col min="333" max="334" width="9.85546875" bestFit="1" customWidth="1"/>
    <col min="335" max="336" width="12.5703125" bestFit="1" customWidth="1"/>
    <col min="337" max="337" width="9.85546875" bestFit="1" customWidth="1"/>
    <col min="338" max="338" width="9.28515625" bestFit="1" customWidth="1"/>
    <col min="339" max="342" width="9.85546875" bestFit="1" customWidth="1"/>
    <col min="343" max="344" width="12.5703125" bestFit="1" customWidth="1"/>
    <col min="345" max="345" width="9.28515625" bestFit="1" customWidth="1"/>
    <col min="346" max="346" width="12.5703125" bestFit="1" customWidth="1"/>
    <col min="347" max="347" width="9.85546875" bestFit="1" customWidth="1"/>
    <col min="348" max="348" width="12.5703125" bestFit="1" customWidth="1"/>
    <col min="350" max="354" width="9.85546875" bestFit="1" customWidth="1"/>
    <col min="356" max="356" width="9.85546875" bestFit="1" customWidth="1"/>
    <col min="357" max="357" width="12.5703125" bestFit="1" customWidth="1"/>
    <col min="359" max="361" width="9.85546875" bestFit="1" customWidth="1"/>
    <col min="363" max="367" width="9.85546875" bestFit="1" customWidth="1"/>
    <col min="368" max="368" width="9.28515625" bestFit="1" customWidth="1"/>
    <col min="370" max="370" width="10.85546875" bestFit="1" customWidth="1"/>
    <col min="371" max="371" width="9.85546875" bestFit="1" customWidth="1"/>
    <col min="372" max="372" width="9.28515625" bestFit="1" customWidth="1"/>
    <col min="373" max="373" width="9.85546875" bestFit="1" customWidth="1"/>
    <col min="374" max="375" width="12.5703125" bestFit="1" customWidth="1"/>
    <col min="376" max="376" width="9.85546875" bestFit="1" customWidth="1"/>
    <col min="377" max="377" width="12.5703125" bestFit="1" customWidth="1"/>
    <col min="378" max="378" width="9.28515625" bestFit="1" customWidth="1"/>
    <col min="379" max="381" width="9.85546875" bestFit="1" customWidth="1"/>
    <col min="382" max="382" width="9.28515625" bestFit="1" customWidth="1"/>
    <col min="383" max="385" width="9.85546875" bestFit="1" customWidth="1"/>
    <col min="387" max="387" width="9.28515625" bestFit="1" customWidth="1"/>
    <col min="388" max="388" width="9.85546875" bestFit="1" customWidth="1"/>
    <col min="389" max="392" width="12.5703125" bestFit="1" customWidth="1"/>
    <col min="393" max="394" width="9.85546875" bestFit="1" customWidth="1"/>
    <col min="395" max="395" width="12.5703125" bestFit="1" customWidth="1"/>
    <col min="396" max="397" width="9.85546875" bestFit="1" customWidth="1"/>
    <col min="399" max="399" width="9.85546875" bestFit="1" customWidth="1"/>
    <col min="401" max="401" width="9.85546875" bestFit="1" customWidth="1"/>
    <col min="402" max="402" width="12.5703125" bestFit="1" customWidth="1"/>
    <col min="403" max="403" width="9.85546875" bestFit="1" customWidth="1"/>
    <col min="404" max="404" width="9.28515625" bestFit="1" customWidth="1"/>
    <col min="405" max="405" width="9.85546875" bestFit="1" customWidth="1"/>
    <col min="406" max="407" width="12.5703125" bestFit="1" customWidth="1"/>
    <col min="408" max="408" width="9.85546875" bestFit="1" customWidth="1"/>
    <col min="409" max="409" width="12.5703125" bestFit="1" customWidth="1"/>
    <col min="410" max="410" width="9.28515625" bestFit="1" customWidth="1"/>
    <col min="411" max="414" width="9.85546875" bestFit="1" customWidth="1"/>
    <col min="416" max="419" width="9.85546875" bestFit="1" customWidth="1"/>
    <col min="420" max="420" width="12.5703125" bestFit="1" customWidth="1"/>
    <col min="421" max="421" width="9.85546875" bestFit="1" customWidth="1"/>
    <col min="422" max="422" width="12.5703125" bestFit="1" customWidth="1"/>
    <col min="423" max="423" width="9.85546875" bestFit="1" customWidth="1"/>
    <col min="424" max="424" width="9.28515625" bestFit="1" customWidth="1"/>
    <col min="425" max="425" width="9.85546875" bestFit="1" customWidth="1"/>
    <col min="427" max="427" width="9.28515625" bestFit="1" customWidth="1"/>
    <col min="429" max="429" width="12.5703125" bestFit="1" customWidth="1"/>
    <col min="430" max="431" width="9.85546875" bestFit="1" customWidth="1"/>
    <col min="432" max="432" width="12.5703125" bestFit="1" customWidth="1"/>
    <col min="433" max="436" width="9.85546875" bestFit="1" customWidth="1"/>
    <col min="438" max="438" width="9.85546875" bestFit="1" customWidth="1"/>
    <col min="440" max="441" width="9.85546875" bestFit="1" customWidth="1"/>
    <col min="443" max="443" width="12.5703125" bestFit="1" customWidth="1"/>
    <col min="444" max="445" width="9.85546875" bestFit="1" customWidth="1"/>
    <col min="447" max="447" width="12.5703125" bestFit="1" customWidth="1"/>
    <col min="448" max="450" width="9.85546875" bestFit="1" customWidth="1"/>
    <col min="451" max="451" width="12.5703125" bestFit="1" customWidth="1"/>
    <col min="452" max="454" width="9.85546875" bestFit="1" customWidth="1"/>
    <col min="455" max="455" width="12.5703125" bestFit="1" customWidth="1"/>
    <col min="456" max="456" width="10.85546875" bestFit="1" customWidth="1"/>
    <col min="457" max="457" width="9.28515625" bestFit="1" customWidth="1"/>
    <col min="458" max="458" width="9.85546875" bestFit="1" customWidth="1"/>
    <col min="459" max="459" width="9.28515625" bestFit="1" customWidth="1"/>
    <col min="460" max="462" width="9.85546875" bestFit="1" customWidth="1"/>
    <col min="464" max="464" width="9.28515625" bestFit="1" customWidth="1"/>
    <col min="465" max="466" width="9.85546875" bestFit="1" customWidth="1"/>
    <col min="467" max="468" width="12.5703125" bestFit="1" customWidth="1"/>
    <col min="469" max="469" width="9.85546875" bestFit="1" customWidth="1"/>
    <col min="472" max="472" width="9.85546875" bestFit="1" customWidth="1"/>
    <col min="473" max="473" width="12.5703125" bestFit="1" customWidth="1"/>
    <col min="474" max="476" width="9.85546875" bestFit="1" customWidth="1"/>
    <col min="477" max="477" width="12.5703125" bestFit="1" customWidth="1"/>
    <col min="478" max="478" width="9.28515625" bestFit="1" customWidth="1"/>
    <col min="480" max="480" width="12.5703125" bestFit="1" customWidth="1"/>
    <col min="481" max="483" width="9.85546875" bestFit="1" customWidth="1"/>
    <col min="484" max="484" width="9.28515625" bestFit="1" customWidth="1"/>
    <col min="485" max="486" width="9.85546875" bestFit="1" customWidth="1"/>
    <col min="487" max="487" width="9.28515625" bestFit="1" customWidth="1"/>
    <col min="488" max="488" width="9.85546875" bestFit="1" customWidth="1"/>
    <col min="491" max="491" width="9.85546875" bestFit="1" customWidth="1"/>
    <col min="492" max="492" width="12.5703125" bestFit="1" customWidth="1"/>
    <col min="494" max="494" width="9.85546875" bestFit="1" customWidth="1"/>
    <col min="495" max="495" width="9.28515625" bestFit="1" customWidth="1"/>
    <col min="496" max="496" width="9.85546875" bestFit="1" customWidth="1"/>
    <col min="497" max="498" width="12.5703125" bestFit="1" customWidth="1"/>
    <col min="499" max="499" width="10.85546875" bestFit="1" customWidth="1"/>
    <col min="500" max="500" width="9.28515625" bestFit="1" customWidth="1"/>
    <col min="501" max="505" width="9.85546875" bestFit="1" customWidth="1"/>
    <col min="508" max="509" width="9.85546875" bestFit="1" customWidth="1"/>
    <col min="510" max="510" width="10.85546875" bestFit="1" customWidth="1"/>
    <col min="511" max="511" width="12.5703125" bestFit="1" customWidth="1"/>
    <col min="512" max="512" width="9.85546875" bestFit="1" customWidth="1"/>
    <col min="513" max="513" width="9.28515625" bestFit="1" customWidth="1"/>
    <col min="514" max="516" width="9.85546875" bestFit="1" customWidth="1"/>
    <col min="517" max="517" width="12.5703125" bestFit="1" customWidth="1"/>
    <col min="518" max="519" width="9.85546875" bestFit="1" customWidth="1"/>
    <col min="520" max="520" width="12.5703125" bestFit="1" customWidth="1"/>
    <col min="522" max="522" width="9.28515625" bestFit="1" customWidth="1"/>
    <col min="523" max="523" width="9.85546875" bestFit="1" customWidth="1"/>
    <col min="524" max="524" width="9.28515625" bestFit="1" customWidth="1"/>
    <col min="526" max="527" width="9.85546875" bestFit="1" customWidth="1"/>
    <col min="529" max="529" width="9.85546875" bestFit="1" customWidth="1"/>
    <col min="530" max="530" width="12.5703125" bestFit="1" customWidth="1"/>
    <col min="531" max="531" width="9.85546875" bestFit="1" customWidth="1"/>
    <col min="532" max="532" width="9.28515625" bestFit="1" customWidth="1"/>
    <col min="533" max="533" width="12.5703125" bestFit="1" customWidth="1"/>
    <col min="534" max="535" width="9.85546875" bestFit="1" customWidth="1"/>
    <col min="537" max="540" width="9.85546875" bestFit="1" customWidth="1"/>
    <col min="541" max="541" width="12.5703125" bestFit="1" customWidth="1"/>
    <col min="544" max="546" width="9.85546875" bestFit="1" customWidth="1"/>
    <col min="547" max="547" width="12.5703125" bestFit="1" customWidth="1"/>
    <col min="549" max="549" width="9.85546875" bestFit="1" customWidth="1"/>
    <col min="550" max="550" width="9.28515625" bestFit="1" customWidth="1"/>
    <col min="551" max="551" width="9.85546875" bestFit="1" customWidth="1"/>
    <col min="552" max="553" width="12.5703125" bestFit="1" customWidth="1"/>
    <col min="554" max="554" width="9.85546875" bestFit="1" customWidth="1"/>
    <col min="556" max="556" width="12.5703125" bestFit="1" customWidth="1"/>
    <col min="557" max="558" width="9.85546875" bestFit="1" customWidth="1"/>
    <col min="561" max="561" width="9.85546875" bestFit="1" customWidth="1"/>
    <col min="562" max="562" width="9.28515625" bestFit="1" customWidth="1"/>
    <col min="563" max="563" width="9.85546875" bestFit="1" customWidth="1"/>
    <col min="565" max="565" width="9.85546875" bestFit="1" customWidth="1"/>
    <col min="566" max="566" width="12.5703125" bestFit="1" customWidth="1"/>
    <col min="569" max="570" width="9.85546875" bestFit="1" customWidth="1"/>
    <col min="571" max="571" width="9.28515625" bestFit="1" customWidth="1"/>
    <col min="572" max="572" width="9.85546875" bestFit="1" customWidth="1"/>
    <col min="574" max="574" width="9.85546875" bestFit="1" customWidth="1"/>
    <col min="575" max="575" width="9.28515625" bestFit="1" customWidth="1"/>
    <col min="576" max="576" width="9.85546875" bestFit="1" customWidth="1"/>
    <col min="577" max="577" width="9.28515625" bestFit="1" customWidth="1"/>
    <col min="578" max="578" width="12.5703125" bestFit="1" customWidth="1"/>
    <col min="579" max="580" width="9.85546875" bestFit="1" customWidth="1"/>
    <col min="582" max="582" width="9.85546875" bestFit="1" customWidth="1"/>
    <col min="583" max="583" width="9.28515625" bestFit="1" customWidth="1"/>
    <col min="584" max="584" width="9.85546875" bestFit="1" customWidth="1"/>
    <col min="586" max="587" width="9.85546875" bestFit="1" customWidth="1"/>
    <col min="588" max="588" width="9.28515625" bestFit="1" customWidth="1"/>
    <col min="589" max="589" width="9.85546875" bestFit="1" customWidth="1"/>
    <col min="590" max="592" width="12.5703125" bestFit="1" customWidth="1"/>
    <col min="593" max="593" width="9.85546875" bestFit="1" customWidth="1"/>
    <col min="595" max="596" width="9.85546875" bestFit="1" customWidth="1"/>
    <col min="597" max="597" width="9.28515625" bestFit="1" customWidth="1"/>
    <col min="598" max="601" width="9.85546875" bestFit="1" customWidth="1"/>
    <col min="602" max="602" width="9.28515625" bestFit="1" customWidth="1"/>
    <col min="604" max="604" width="12.5703125" bestFit="1" customWidth="1"/>
    <col min="605" max="605" width="9.28515625" bestFit="1" customWidth="1"/>
    <col min="606" max="606" width="9.85546875" bestFit="1" customWidth="1"/>
    <col min="607" max="607" width="12.5703125" bestFit="1" customWidth="1"/>
    <col min="608" max="608" width="9.85546875" bestFit="1" customWidth="1"/>
    <col min="610" max="613" width="9.85546875" bestFit="1" customWidth="1"/>
    <col min="615" max="619" width="9.85546875" bestFit="1" customWidth="1"/>
    <col min="620" max="620" width="9.28515625" bestFit="1" customWidth="1"/>
    <col min="621" max="621" width="12.5703125" bestFit="1" customWidth="1"/>
    <col min="622" max="622" width="9.85546875" bestFit="1" customWidth="1"/>
    <col min="623" max="623" width="9.28515625" bestFit="1" customWidth="1"/>
    <col min="624" max="624" width="9.85546875" bestFit="1" customWidth="1"/>
    <col min="625" max="625" width="9.28515625" bestFit="1" customWidth="1"/>
    <col min="628" max="628" width="9.28515625" bestFit="1" customWidth="1"/>
    <col min="629" max="631" width="9.85546875" bestFit="1" customWidth="1"/>
    <col min="632" max="632" width="9.28515625" bestFit="1" customWidth="1"/>
    <col min="633" max="633" width="12.5703125" bestFit="1" customWidth="1"/>
    <col min="634" max="635" width="9.28515625" bestFit="1" customWidth="1"/>
    <col min="636" max="636" width="9.85546875" bestFit="1" customWidth="1"/>
    <col min="637" max="637" width="9.28515625" bestFit="1" customWidth="1"/>
    <col min="638" max="638" width="9.85546875" bestFit="1" customWidth="1"/>
    <col min="639" max="639" width="12.5703125" bestFit="1" customWidth="1"/>
    <col min="642" max="642" width="9.28515625" bestFit="1" customWidth="1"/>
    <col min="644" max="644" width="9.28515625" bestFit="1" customWidth="1"/>
    <col min="645" max="645" width="12.5703125" bestFit="1" customWidth="1"/>
    <col min="647" max="647" width="9.85546875" bestFit="1" customWidth="1"/>
    <col min="648" max="648" width="9.28515625" bestFit="1" customWidth="1"/>
    <col min="649" max="650" width="9.85546875" bestFit="1" customWidth="1"/>
    <col min="651" max="651" width="9.28515625" bestFit="1" customWidth="1"/>
    <col min="653" max="653" width="12.5703125" bestFit="1" customWidth="1"/>
    <col min="654" max="654" width="9.85546875" bestFit="1" customWidth="1"/>
    <col min="655" max="656" width="9.28515625" bestFit="1" customWidth="1"/>
    <col min="657" max="659" width="9.85546875" bestFit="1" customWidth="1"/>
    <col min="660" max="660" width="9.28515625" bestFit="1" customWidth="1"/>
    <col min="661" max="661" width="12.5703125" bestFit="1" customWidth="1"/>
    <col min="662" max="662" width="9.28515625" bestFit="1" customWidth="1"/>
    <col min="663" max="669" width="9.85546875" bestFit="1" customWidth="1"/>
    <col min="670" max="670" width="9.28515625" bestFit="1" customWidth="1"/>
    <col min="671" max="671" width="9.85546875" bestFit="1" customWidth="1"/>
    <col min="672" max="672" width="12.5703125" bestFit="1" customWidth="1"/>
    <col min="673" max="673" width="9.28515625" bestFit="1" customWidth="1"/>
    <col min="674" max="674" width="12.5703125" bestFit="1" customWidth="1"/>
    <col min="675" max="675" width="9.28515625" bestFit="1" customWidth="1"/>
    <col min="676" max="676" width="9.85546875" bestFit="1" customWidth="1"/>
    <col min="677" max="677" width="12.5703125" bestFit="1" customWidth="1"/>
    <col min="678" max="678" width="9.28515625" bestFit="1" customWidth="1"/>
    <col min="680" max="680" width="12.5703125" bestFit="1" customWidth="1"/>
    <col min="681" max="681" width="10.85546875" bestFit="1" customWidth="1"/>
    <col min="682" max="682" width="9.85546875" bestFit="1" customWidth="1"/>
    <col min="683" max="683" width="9.28515625" bestFit="1" customWidth="1"/>
    <col min="684" max="685" width="12.5703125" bestFit="1" customWidth="1"/>
    <col min="686" max="687" width="9.85546875" bestFit="1" customWidth="1"/>
    <col min="688" max="688" width="12.5703125" bestFit="1" customWidth="1"/>
    <col min="689" max="689" width="9.28515625" bestFit="1" customWidth="1"/>
    <col min="690" max="690" width="12.5703125" bestFit="1" customWidth="1"/>
    <col min="692" max="693" width="9.85546875" bestFit="1" customWidth="1"/>
    <col min="694" max="694" width="12.5703125" bestFit="1" customWidth="1"/>
    <col min="696" max="697" width="12.5703125" bestFit="1" customWidth="1"/>
    <col min="698" max="698" width="9.85546875" bestFit="1" customWidth="1"/>
    <col min="700" max="700" width="9.85546875" bestFit="1" customWidth="1"/>
    <col min="702" max="702" width="9.85546875" bestFit="1" customWidth="1"/>
    <col min="704" max="704" width="9.85546875" bestFit="1" customWidth="1"/>
    <col min="708" max="708" width="12.5703125" bestFit="1" customWidth="1"/>
    <col min="709" max="709" width="9.85546875" bestFit="1" customWidth="1"/>
    <col min="710" max="710" width="12.5703125" bestFit="1" customWidth="1"/>
    <col min="711" max="711" width="9.28515625" bestFit="1" customWidth="1"/>
    <col min="712" max="714" width="9.85546875" bestFit="1" customWidth="1"/>
    <col min="715" max="716" width="9.28515625" bestFit="1" customWidth="1"/>
    <col min="717" max="717" width="9.85546875" bestFit="1" customWidth="1"/>
    <col min="718" max="718" width="9.28515625" bestFit="1" customWidth="1"/>
    <col min="719" max="720" width="9.85546875" bestFit="1" customWidth="1"/>
    <col min="722" max="722" width="9.28515625" bestFit="1" customWidth="1"/>
    <col min="723" max="724" width="9.85546875" bestFit="1" customWidth="1"/>
    <col min="725" max="725" width="12.5703125" bestFit="1" customWidth="1"/>
    <col min="726" max="726" width="9.28515625" bestFit="1" customWidth="1"/>
    <col min="727" max="729" width="9.85546875" bestFit="1" customWidth="1"/>
    <col min="731" max="731" width="9.85546875" bestFit="1" customWidth="1"/>
    <col min="732" max="732" width="9.28515625" bestFit="1" customWidth="1"/>
    <col min="733" max="733" width="12.5703125" bestFit="1" customWidth="1"/>
    <col min="734" max="739" width="9.85546875" bestFit="1" customWidth="1"/>
    <col min="740" max="740" width="12.5703125" bestFit="1" customWidth="1"/>
    <col min="741" max="742" width="9.85546875" bestFit="1" customWidth="1"/>
    <col min="745" max="745" width="9.28515625" bestFit="1" customWidth="1"/>
    <col min="746" max="746" width="12.5703125" bestFit="1" customWidth="1"/>
    <col min="748" max="748" width="9.85546875" bestFit="1" customWidth="1"/>
    <col min="749" max="749" width="9.28515625" bestFit="1" customWidth="1"/>
    <col min="750" max="750" width="12.5703125" bestFit="1" customWidth="1"/>
    <col min="752" max="753" width="9.85546875" bestFit="1" customWidth="1"/>
    <col min="754" max="754" width="12.5703125" bestFit="1" customWidth="1"/>
    <col min="755" max="755" width="9.85546875" bestFit="1" customWidth="1"/>
    <col min="756" max="756" width="9.28515625" bestFit="1" customWidth="1"/>
    <col min="757" max="758" width="12.5703125" bestFit="1" customWidth="1"/>
    <col min="760" max="760" width="12.5703125" bestFit="1" customWidth="1"/>
    <col min="761" max="763" width="9.85546875" bestFit="1" customWidth="1"/>
    <col min="764" max="764" width="9.28515625" bestFit="1" customWidth="1"/>
    <col min="765" max="765" width="12.5703125" bestFit="1" customWidth="1"/>
    <col min="766" max="766" width="9.28515625" bestFit="1" customWidth="1"/>
    <col min="767" max="767" width="9.85546875" bestFit="1" customWidth="1"/>
    <col min="768" max="768" width="9.28515625" bestFit="1" customWidth="1"/>
    <col min="769" max="769" width="12.5703125" bestFit="1" customWidth="1"/>
    <col min="771" max="772" width="9.85546875" bestFit="1" customWidth="1"/>
    <col min="773" max="773" width="9.28515625" bestFit="1" customWidth="1"/>
    <col min="774" max="774" width="10.85546875" bestFit="1" customWidth="1"/>
    <col min="775" max="776" width="9.85546875" bestFit="1" customWidth="1"/>
    <col min="777" max="777" width="9.28515625" bestFit="1" customWidth="1"/>
    <col min="778" max="778" width="9.85546875" bestFit="1" customWidth="1"/>
    <col min="780" max="780" width="9.28515625" bestFit="1" customWidth="1"/>
    <col min="781" max="781" width="12.5703125" bestFit="1" customWidth="1"/>
    <col min="782" max="782" width="9.85546875" bestFit="1" customWidth="1"/>
    <col min="783" max="783" width="9.28515625" bestFit="1" customWidth="1"/>
    <col min="784" max="784" width="9.85546875" bestFit="1" customWidth="1"/>
    <col min="785" max="785" width="9.28515625" bestFit="1" customWidth="1"/>
    <col min="786" max="787" width="9.85546875" bestFit="1" customWidth="1"/>
    <col min="788" max="788" width="12.5703125" bestFit="1" customWidth="1"/>
    <col min="789" max="790" width="9.85546875" bestFit="1" customWidth="1"/>
    <col min="791" max="791" width="9.28515625" bestFit="1" customWidth="1"/>
    <col min="792" max="792" width="9.85546875" bestFit="1" customWidth="1"/>
    <col min="793" max="793" width="12.5703125" bestFit="1" customWidth="1"/>
    <col min="794" max="794" width="9.85546875" bestFit="1" customWidth="1"/>
    <col min="795" max="795" width="9.28515625" bestFit="1" customWidth="1"/>
    <col min="796" max="796" width="9.85546875" bestFit="1" customWidth="1"/>
    <col min="797" max="797" width="9.28515625" bestFit="1" customWidth="1"/>
    <col min="798" max="798" width="9.85546875" bestFit="1" customWidth="1"/>
    <col min="800" max="800" width="12.5703125" bestFit="1" customWidth="1"/>
    <col min="801" max="801" width="9.85546875" bestFit="1" customWidth="1"/>
    <col min="803" max="803" width="12.5703125" bestFit="1" customWidth="1"/>
    <col min="804" max="804" width="9.85546875" bestFit="1" customWidth="1"/>
    <col min="806" max="807" width="9.85546875" bestFit="1" customWidth="1"/>
    <col min="809" max="809" width="9.85546875" bestFit="1" customWidth="1"/>
    <col min="810" max="810" width="9.28515625" bestFit="1" customWidth="1"/>
    <col min="813" max="813" width="12.5703125" bestFit="1" customWidth="1"/>
    <col min="814" max="814" width="9.85546875" bestFit="1" customWidth="1"/>
    <col min="815" max="815" width="10.85546875" bestFit="1" customWidth="1"/>
    <col min="816" max="816" width="9.85546875" bestFit="1" customWidth="1"/>
    <col min="817" max="817" width="10.85546875" bestFit="1" customWidth="1"/>
    <col min="818" max="819" width="9.85546875" bestFit="1" customWidth="1"/>
    <col min="820" max="822" width="12.5703125" bestFit="1" customWidth="1"/>
    <col min="823" max="824" width="9.85546875" bestFit="1" customWidth="1"/>
    <col min="826" max="826" width="9.85546875" bestFit="1" customWidth="1"/>
    <col min="827" max="827" width="12.5703125" bestFit="1" customWidth="1"/>
    <col min="828" max="828" width="9.28515625" bestFit="1" customWidth="1"/>
    <col min="829" max="831" width="9.85546875" bestFit="1" customWidth="1"/>
    <col min="832" max="833" width="12.5703125" bestFit="1" customWidth="1"/>
    <col min="834" max="834" width="9.85546875" bestFit="1" customWidth="1"/>
    <col min="835" max="837" width="12.5703125" bestFit="1" customWidth="1"/>
    <col min="838" max="838" width="9.85546875" bestFit="1" customWidth="1"/>
    <col min="839" max="839" width="10.85546875" bestFit="1" customWidth="1"/>
    <col min="841" max="841" width="9.85546875" bestFit="1" customWidth="1"/>
    <col min="842" max="842" width="12.5703125" bestFit="1" customWidth="1"/>
    <col min="843" max="843" width="9.28515625" bestFit="1" customWidth="1"/>
    <col min="844" max="845" width="9.85546875" bestFit="1" customWidth="1"/>
    <col min="846" max="846" width="10.85546875" bestFit="1" customWidth="1"/>
    <col min="847" max="848" width="9.85546875" bestFit="1" customWidth="1"/>
    <col min="849" max="849" width="12.5703125" bestFit="1" customWidth="1"/>
    <col min="850" max="850" width="9.85546875" bestFit="1" customWidth="1"/>
    <col min="851" max="851" width="9.28515625" bestFit="1" customWidth="1"/>
    <col min="852" max="852" width="9.85546875" bestFit="1" customWidth="1"/>
    <col min="853" max="853" width="12.5703125" bestFit="1" customWidth="1"/>
    <col min="854" max="854" width="9.85546875" bestFit="1" customWidth="1"/>
    <col min="855" max="856" width="9.28515625" bestFit="1" customWidth="1"/>
    <col min="857" max="858" width="9.85546875" bestFit="1" customWidth="1"/>
    <col min="859" max="859" width="9.28515625" bestFit="1" customWidth="1"/>
    <col min="860" max="860" width="9.85546875" bestFit="1" customWidth="1"/>
    <col min="861" max="861" width="12.5703125" bestFit="1" customWidth="1"/>
    <col min="862" max="863" width="9.85546875" bestFit="1" customWidth="1"/>
    <col min="864" max="864" width="9.28515625" bestFit="1" customWidth="1"/>
    <col min="865" max="865" width="9.85546875" bestFit="1" customWidth="1"/>
    <col min="866" max="866" width="12.5703125" bestFit="1" customWidth="1"/>
    <col min="868" max="869" width="9.85546875" bestFit="1" customWidth="1"/>
    <col min="871" max="873" width="9.28515625" bestFit="1" customWidth="1"/>
    <col min="875" max="876" width="9.28515625" bestFit="1" customWidth="1"/>
    <col min="877" max="884" width="9.85546875" bestFit="1" customWidth="1"/>
    <col min="885" max="886" width="12.5703125" bestFit="1" customWidth="1"/>
    <col min="887" max="887" width="9.85546875" bestFit="1" customWidth="1"/>
    <col min="888" max="888" width="12.5703125" bestFit="1" customWidth="1"/>
    <col min="889" max="890" width="9.85546875" bestFit="1" customWidth="1"/>
    <col min="891" max="891" width="12.5703125" bestFit="1" customWidth="1"/>
    <col min="892" max="892" width="9.85546875" bestFit="1" customWidth="1"/>
    <col min="893" max="893" width="12.5703125" bestFit="1" customWidth="1"/>
    <col min="894" max="894" width="9.85546875" bestFit="1" customWidth="1"/>
    <col min="895" max="896" width="12.5703125" bestFit="1" customWidth="1"/>
    <col min="897" max="897" width="9.85546875" bestFit="1" customWidth="1"/>
    <col min="898" max="898" width="12.5703125" bestFit="1" customWidth="1"/>
    <col min="899" max="900" width="9.85546875" bestFit="1" customWidth="1"/>
    <col min="901" max="901" width="9.28515625" bestFit="1" customWidth="1"/>
    <col min="902" max="903" width="12.5703125" bestFit="1" customWidth="1"/>
    <col min="905" max="905" width="9.28515625" bestFit="1" customWidth="1"/>
    <col min="906" max="906" width="9.85546875" bestFit="1" customWidth="1"/>
    <col min="908" max="909" width="9.85546875" bestFit="1" customWidth="1"/>
    <col min="911" max="911" width="9.28515625" bestFit="1" customWidth="1"/>
    <col min="912" max="912" width="9.85546875" bestFit="1" customWidth="1"/>
    <col min="913" max="914" width="9.28515625" bestFit="1" customWidth="1"/>
    <col min="915" max="916" width="9.85546875" bestFit="1" customWidth="1"/>
    <col min="917" max="917" width="10.85546875" bestFit="1" customWidth="1"/>
    <col min="918" max="918" width="9.28515625" bestFit="1" customWidth="1"/>
    <col min="919" max="919" width="9.85546875" bestFit="1" customWidth="1"/>
    <col min="922" max="922" width="9.28515625" bestFit="1" customWidth="1"/>
    <col min="923" max="926" width="9.85546875" bestFit="1" customWidth="1"/>
    <col min="927" max="927" width="9.28515625" bestFit="1" customWidth="1"/>
    <col min="928" max="928" width="10.85546875" bestFit="1" customWidth="1"/>
    <col min="929" max="929" width="9.85546875" bestFit="1" customWidth="1"/>
    <col min="930" max="930" width="9.28515625" bestFit="1" customWidth="1"/>
    <col min="931" max="932" width="12.5703125" bestFit="1" customWidth="1"/>
    <col min="933" max="938" width="9.85546875" bestFit="1" customWidth="1"/>
    <col min="939" max="939" width="9.28515625" bestFit="1" customWidth="1"/>
    <col min="940" max="941" width="9.85546875" bestFit="1" customWidth="1"/>
    <col min="942" max="943" width="12.5703125" bestFit="1" customWidth="1"/>
    <col min="944" max="944" width="9.85546875" bestFit="1" customWidth="1"/>
    <col min="947" max="949" width="9.85546875" bestFit="1" customWidth="1"/>
    <col min="950" max="950" width="12.5703125" bestFit="1" customWidth="1"/>
    <col min="951" max="951" width="9.85546875" bestFit="1" customWidth="1"/>
    <col min="952" max="953" width="9.28515625" bestFit="1" customWidth="1"/>
    <col min="954" max="954" width="9.85546875" bestFit="1" customWidth="1"/>
    <col min="955" max="955" width="9.28515625" bestFit="1" customWidth="1"/>
    <col min="957" max="957" width="9.85546875" bestFit="1" customWidth="1"/>
    <col min="958" max="958" width="12.5703125" bestFit="1" customWidth="1"/>
    <col min="959" max="961" width="9.85546875" bestFit="1" customWidth="1"/>
    <col min="962" max="962" width="9.28515625" bestFit="1" customWidth="1"/>
    <col min="963" max="965" width="9.85546875" bestFit="1" customWidth="1"/>
    <col min="967" max="967" width="12.5703125" bestFit="1" customWidth="1"/>
    <col min="969" max="969" width="10.85546875" bestFit="1" customWidth="1"/>
    <col min="970" max="970" width="9.85546875" bestFit="1" customWidth="1"/>
    <col min="971" max="972" width="12.5703125" bestFit="1" customWidth="1"/>
    <col min="973" max="975" width="9.85546875" bestFit="1" customWidth="1"/>
    <col min="976" max="976" width="12.5703125" bestFit="1" customWidth="1"/>
    <col min="977" max="977" width="9.85546875" bestFit="1" customWidth="1"/>
    <col min="979" max="979" width="12.5703125" bestFit="1" customWidth="1"/>
    <col min="980" max="982" width="9.85546875" bestFit="1" customWidth="1"/>
    <col min="983" max="984" width="12.5703125" bestFit="1" customWidth="1"/>
    <col min="987" max="988" width="12.5703125" bestFit="1" customWidth="1"/>
    <col min="989" max="989" width="9.28515625" bestFit="1" customWidth="1"/>
    <col min="990" max="990" width="12.5703125" bestFit="1" customWidth="1"/>
    <col min="991" max="992" width="9.85546875" bestFit="1" customWidth="1"/>
    <col min="993" max="993" width="12.5703125" bestFit="1" customWidth="1"/>
    <col min="994" max="994" width="9.28515625" bestFit="1" customWidth="1"/>
    <col min="995" max="995" width="9.85546875" bestFit="1" customWidth="1"/>
    <col min="998" max="999" width="9.85546875" bestFit="1" customWidth="1"/>
    <col min="1000" max="1000" width="9.28515625" bestFit="1" customWidth="1"/>
    <col min="1001" max="1001" width="12.5703125" bestFit="1" customWidth="1"/>
    <col min="1002" max="1003" width="9.28515625" bestFit="1" customWidth="1"/>
    <col min="1004" max="1008" width="9.85546875" bestFit="1" customWidth="1"/>
    <col min="1009" max="1009" width="9.28515625" bestFit="1" customWidth="1"/>
    <col min="1010" max="1010" width="9.85546875" bestFit="1" customWidth="1"/>
    <col min="1012" max="1013" width="9.85546875" bestFit="1" customWidth="1"/>
    <col min="1015" max="1019" width="9.85546875" bestFit="1" customWidth="1"/>
    <col min="1020" max="1020" width="9.28515625" bestFit="1" customWidth="1"/>
    <col min="1023" max="1025" width="9.85546875" bestFit="1" customWidth="1"/>
    <col min="1026" max="1026" width="12.5703125" bestFit="1" customWidth="1"/>
    <col min="1028" max="1028" width="12.5703125" bestFit="1" customWidth="1"/>
    <col min="1029" max="1030" width="9.85546875" bestFit="1" customWidth="1"/>
    <col min="1031" max="1031" width="12.5703125" bestFit="1" customWidth="1"/>
    <col min="1032" max="1032" width="9.85546875" bestFit="1" customWidth="1"/>
    <col min="1033" max="1033" width="9.28515625" bestFit="1" customWidth="1"/>
    <col min="1034" max="1034" width="9.85546875" bestFit="1" customWidth="1"/>
    <col min="1035" max="1035" width="12.5703125" bestFit="1" customWidth="1"/>
    <col min="1036" max="1036" width="9.28515625" bestFit="1" customWidth="1"/>
    <col min="1037" max="1037" width="12.5703125" bestFit="1" customWidth="1"/>
    <col min="1038" max="1038" width="9.85546875" bestFit="1" customWidth="1"/>
    <col min="1040" max="1041" width="9.28515625" bestFit="1" customWidth="1"/>
    <col min="1042" max="1043" width="9.85546875" bestFit="1" customWidth="1"/>
    <col min="1045" max="1045" width="12.5703125" bestFit="1" customWidth="1"/>
    <col min="1046" max="1047" width="9.85546875" bestFit="1" customWidth="1"/>
    <col min="1048" max="1048" width="12.5703125" bestFit="1" customWidth="1"/>
    <col min="1049" max="1049" width="9.85546875" bestFit="1" customWidth="1"/>
    <col min="1050" max="1051" width="12.5703125" bestFit="1" customWidth="1"/>
    <col min="1052" max="1052" width="9.85546875" bestFit="1" customWidth="1"/>
    <col min="1053" max="1053" width="9.28515625" bestFit="1" customWidth="1"/>
    <col min="1056" max="1058" width="12.5703125" bestFit="1" customWidth="1"/>
    <col min="1060" max="1063" width="9.85546875" bestFit="1" customWidth="1"/>
    <col min="1064" max="1064" width="9.28515625" bestFit="1" customWidth="1"/>
    <col min="1065" max="1066" width="9.85546875" bestFit="1" customWidth="1"/>
    <col min="1067" max="1067" width="10.85546875" bestFit="1" customWidth="1"/>
    <col min="1069" max="1069" width="9.85546875" bestFit="1" customWidth="1"/>
    <col min="1070" max="1070" width="9.28515625" bestFit="1" customWidth="1"/>
    <col min="1071" max="1071" width="9.85546875" bestFit="1" customWidth="1"/>
    <col min="1072" max="1072" width="9.28515625" bestFit="1" customWidth="1"/>
    <col min="1073" max="1075" width="12.5703125" bestFit="1" customWidth="1"/>
    <col min="1076" max="1076" width="9.85546875" bestFit="1" customWidth="1"/>
    <col min="1077" max="1077" width="9.28515625" bestFit="1" customWidth="1"/>
    <col min="1078" max="1081" width="9.85546875" bestFit="1" customWidth="1"/>
    <col min="1082" max="1083" width="9.28515625" bestFit="1" customWidth="1"/>
    <col min="1084" max="1085" width="9.85546875" bestFit="1" customWidth="1"/>
    <col min="1086" max="1086" width="9.28515625" bestFit="1" customWidth="1"/>
    <col min="1087" max="1087" width="12.5703125" bestFit="1" customWidth="1"/>
    <col min="1088" max="1088" width="9.85546875" bestFit="1" customWidth="1"/>
    <col min="1089" max="1089" width="9.28515625" bestFit="1" customWidth="1"/>
    <col min="1090" max="1090" width="12.5703125" bestFit="1" customWidth="1"/>
    <col min="1091" max="1091" width="9.85546875" bestFit="1" customWidth="1"/>
    <col min="1093" max="1096" width="9.85546875" bestFit="1" customWidth="1"/>
    <col min="1098" max="1103" width="9.85546875" bestFit="1" customWidth="1"/>
    <col min="1105" max="1108" width="9.85546875" bestFit="1" customWidth="1"/>
    <col min="1109" max="1109" width="12.5703125" bestFit="1" customWidth="1"/>
    <col min="1110" max="1111" width="9.85546875" bestFit="1" customWidth="1"/>
    <col min="1112" max="1112" width="9.28515625" bestFit="1" customWidth="1"/>
    <col min="1113" max="1113" width="9.85546875" bestFit="1" customWidth="1"/>
    <col min="1114" max="1114" width="12.5703125" bestFit="1" customWidth="1"/>
    <col min="1115" max="1115" width="10.85546875" bestFit="1" customWidth="1"/>
    <col min="1118" max="1118" width="9.85546875" bestFit="1" customWidth="1"/>
    <col min="1119" max="1119" width="9.28515625" bestFit="1" customWidth="1"/>
    <col min="1120" max="1123" width="9.85546875" bestFit="1" customWidth="1"/>
    <col min="1124" max="1124" width="12.5703125" bestFit="1" customWidth="1"/>
    <col min="1125" max="1127" width="9.85546875" bestFit="1" customWidth="1"/>
    <col min="1128" max="1129" width="12.5703125" bestFit="1" customWidth="1"/>
    <col min="1130" max="1132" width="9.85546875" bestFit="1" customWidth="1"/>
    <col min="1133" max="1133" width="12.5703125" bestFit="1" customWidth="1"/>
    <col min="1136" max="1142" width="9.85546875" bestFit="1" customWidth="1"/>
    <col min="1143" max="1143" width="12.5703125" bestFit="1" customWidth="1"/>
    <col min="1144" max="1145" width="9.85546875" bestFit="1" customWidth="1"/>
    <col min="1147" max="1148" width="9.85546875" bestFit="1" customWidth="1"/>
    <col min="1150" max="1151" width="9.85546875" bestFit="1" customWidth="1"/>
    <col min="1152" max="1152" width="12.5703125" bestFit="1" customWidth="1"/>
    <col min="1153" max="1162" width="9.85546875" bestFit="1" customWidth="1"/>
    <col min="1164" max="1164" width="9.28515625" bestFit="1" customWidth="1"/>
    <col min="1165" max="1168" width="9.85546875" bestFit="1" customWidth="1"/>
    <col min="1169" max="1169" width="12.5703125" bestFit="1" customWidth="1"/>
    <col min="1171" max="1174" width="9.85546875" bestFit="1" customWidth="1"/>
    <col min="1176" max="1177" width="9.85546875" bestFit="1" customWidth="1"/>
    <col min="1178" max="1178" width="9.28515625" bestFit="1" customWidth="1"/>
    <col min="1179" max="1179" width="9.85546875" bestFit="1" customWidth="1"/>
    <col min="1181" max="1181" width="12.5703125" bestFit="1" customWidth="1"/>
    <col min="1182" max="1183" width="9.85546875" bestFit="1" customWidth="1"/>
    <col min="1184" max="1184" width="9.28515625" bestFit="1" customWidth="1"/>
    <col min="1185" max="1187" width="9.85546875" bestFit="1" customWidth="1"/>
    <col min="1189" max="1190" width="9.85546875" bestFit="1" customWidth="1"/>
    <col min="1191" max="1191" width="9.28515625" bestFit="1" customWidth="1"/>
    <col min="1193" max="1194" width="9.85546875" bestFit="1" customWidth="1"/>
    <col min="1195" max="1195" width="12.5703125" bestFit="1" customWidth="1"/>
    <col min="1196" max="1196" width="9.28515625" bestFit="1" customWidth="1"/>
    <col min="1198" max="1198" width="9.85546875" bestFit="1" customWidth="1"/>
    <col min="1199" max="1199" width="12.5703125" bestFit="1" customWidth="1"/>
    <col min="1200" max="1202" width="9.85546875" bestFit="1" customWidth="1"/>
    <col min="1203" max="1203" width="9.28515625" bestFit="1" customWidth="1"/>
    <col min="1206" max="1206" width="9.85546875" bestFit="1" customWidth="1"/>
    <col min="1207" max="1207" width="9.28515625" bestFit="1" customWidth="1"/>
    <col min="1208" max="1208" width="9.85546875" bestFit="1" customWidth="1"/>
    <col min="1210" max="1211" width="12.5703125" bestFit="1" customWidth="1"/>
    <col min="1213" max="1215" width="9.85546875" bestFit="1" customWidth="1"/>
    <col min="1216" max="1216" width="9.28515625" bestFit="1" customWidth="1"/>
    <col min="1218" max="1220" width="9.85546875" bestFit="1" customWidth="1"/>
    <col min="1221" max="1221" width="9.28515625" bestFit="1" customWidth="1"/>
    <col min="1222" max="1225" width="9.85546875" bestFit="1" customWidth="1"/>
    <col min="1226" max="1226" width="12.5703125" bestFit="1" customWidth="1"/>
    <col min="1227" max="1232" width="9.85546875" bestFit="1" customWidth="1"/>
    <col min="1233" max="1233" width="12.5703125" bestFit="1" customWidth="1"/>
    <col min="1234" max="1234" width="9.85546875" bestFit="1" customWidth="1"/>
    <col min="1236" max="1236" width="9.85546875" bestFit="1" customWidth="1"/>
    <col min="1237" max="1237" width="12.5703125" bestFit="1" customWidth="1"/>
    <col min="1238" max="1239" width="9.85546875" bestFit="1" customWidth="1"/>
    <col min="1240" max="1241" width="9.28515625" bestFit="1" customWidth="1"/>
    <col min="1242" max="1243" width="12.5703125" bestFit="1" customWidth="1"/>
    <col min="1245" max="1245" width="9.28515625" bestFit="1" customWidth="1"/>
    <col min="1246" max="1246" width="9.85546875" bestFit="1" customWidth="1"/>
    <col min="1247" max="1247" width="9.28515625" bestFit="1" customWidth="1"/>
    <col min="1248" max="1248" width="9.85546875" bestFit="1" customWidth="1"/>
    <col min="1250" max="1252" width="9.85546875" bestFit="1" customWidth="1"/>
    <col min="1253" max="1253" width="9.28515625" bestFit="1" customWidth="1"/>
    <col min="1254" max="1256" width="9.85546875" bestFit="1" customWidth="1"/>
    <col min="1257" max="1257" width="9.28515625" bestFit="1" customWidth="1"/>
    <col min="1258" max="1258" width="9.85546875" bestFit="1" customWidth="1"/>
    <col min="1260" max="1260" width="9.85546875" bestFit="1" customWidth="1"/>
    <col min="1262" max="1262" width="9.85546875" bestFit="1" customWidth="1"/>
    <col min="1263" max="1263" width="9.28515625" bestFit="1" customWidth="1"/>
    <col min="1264" max="1264" width="12.5703125" bestFit="1" customWidth="1"/>
    <col min="1265" max="1266" width="9.85546875" bestFit="1" customWidth="1"/>
    <col min="1267" max="1267" width="9.28515625" bestFit="1" customWidth="1"/>
    <col min="1268" max="1268" width="12.5703125" bestFit="1" customWidth="1"/>
    <col min="1269" max="1271" width="9.85546875" bestFit="1" customWidth="1"/>
    <col min="1273" max="1273" width="9.85546875" bestFit="1" customWidth="1"/>
    <col min="1274" max="1274" width="9.28515625" bestFit="1" customWidth="1"/>
    <col min="1275" max="1278" width="9.85546875" bestFit="1" customWidth="1"/>
    <col min="1279" max="1280" width="9.28515625" bestFit="1" customWidth="1"/>
    <col min="1282" max="1282" width="12.5703125" bestFit="1" customWidth="1"/>
    <col min="1283" max="1283" width="9.85546875" bestFit="1" customWidth="1"/>
    <col min="1285" max="1286" width="9.85546875" bestFit="1" customWidth="1"/>
    <col min="1287" max="1287" width="12.5703125" bestFit="1" customWidth="1"/>
    <col min="1288" max="1291" width="9.85546875" bestFit="1" customWidth="1"/>
    <col min="1293" max="1293" width="9.28515625" bestFit="1" customWidth="1"/>
    <col min="1295" max="1295" width="9.85546875" bestFit="1" customWidth="1"/>
    <col min="1296" max="1296" width="9.28515625" bestFit="1" customWidth="1"/>
    <col min="1297" max="1298" width="9.85546875" bestFit="1" customWidth="1"/>
    <col min="1300" max="1300" width="12.5703125" bestFit="1" customWidth="1"/>
    <col min="1302" max="1304" width="9.85546875" bestFit="1" customWidth="1"/>
    <col min="1305" max="1308" width="9.28515625" bestFit="1" customWidth="1"/>
    <col min="1309" max="1309" width="9.85546875" bestFit="1" customWidth="1"/>
    <col min="1312" max="1312" width="9.28515625" bestFit="1" customWidth="1"/>
    <col min="1313" max="1313" width="9.85546875" bestFit="1" customWidth="1"/>
    <col min="1315" max="1317" width="9.85546875" bestFit="1" customWidth="1"/>
    <col min="1318" max="1318" width="9.28515625" bestFit="1" customWidth="1"/>
    <col min="1320" max="1320" width="9.85546875" bestFit="1" customWidth="1"/>
    <col min="1322" max="1324" width="9.85546875" bestFit="1" customWidth="1"/>
    <col min="1325" max="1327" width="9.28515625" bestFit="1" customWidth="1"/>
    <col min="1328" max="1328" width="9.85546875" bestFit="1" customWidth="1"/>
    <col min="1329" max="1330" width="9.28515625" bestFit="1" customWidth="1"/>
    <col min="1331" max="1331" width="12.5703125" bestFit="1" customWidth="1"/>
    <col min="1332" max="1337" width="9.85546875" bestFit="1" customWidth="1"/>
    <col min="1338" max="1338" width="9.28515625" bestFit="1" customWidth="1"/>
    <col min="1339" max="1339" width="9.85546875" bestFit="1" customWidth="1"/>
    <col min="1340" max="1340" width="12.5703125" bestFit="1" customWidth="1"/>
    <col min="1342" max="1342" width="9.85546875" bestFit="1" customWidth="1"/>
    <col min="1344" max="1344" width="9.85546875" bestFit="1" customWidth="1"/>
    <col min="1345" max="1345" width="9.28515625" bestFit="1" customWidth="1"/>
    <col min="1346" max="1348" width="9.85546875" bestFit="1" customWidth="1"/>
    <col min="1349" max="1349" width="12.5703125" bestFit="1" customWidth="1"/>
    <col min="1350" max="1350" width="9.28515625" bestFit="1" customWidth="1"/>
    <col min="1351" max="1351" width="12.5703125" bestFit="1" customWidth="1"/>
    <col min="1352" max="1352" width="9.28515625" bestFit="1" customWidth="1"/>
    <col min="1354" max="1354" width="9.28515625" bestFit="1" customWidth="1"/>
    <col min="1355" max="1355" width="12.5703125" bestFit="1" customWidth="1"/>
    <col min="1356" max="1356" width="9.85546875" bestFit="1" customWidth="1"/>
    <col min="1357" max="1357" width="9.28515625" bestFit="1" customWidth="1"/>
    <col min="1358" max="1358" width="9.85546875" bestFit="1" customWidth="1"/>
    <col min="1359" max="1359" width="9.28515625" bestFit="1" customWidth="1"/>
    <col min="1360" max="1360" width="10.85546875" bestFit="1" customWidth="1"/>
    <col min="1361" max="1361" width="9.85546875" bestFit="1" customWidth="1"/>
    <col min="1364" max="1364" width="9.28515625" bestFit="1" customWidth="1"/>
    <col min="1365" max="1365" width="9.85546875" bestFit="1" customWidth="1"/>
    <col min="1366" max="1366" width="9.28515625" bestFit="1" customWidth="1"/>
    <col min="1368" max="1369" width="9.85546875" bestFit="1" customWidth="1"/>
    <col min="1372" max="1372" width="9.28515625" bestFit="1" customWidth="1"/>
    <col min="1373" max="1373" width="12.5703125" bestFit="1" customWidth="1"/>
    <col min="1374" max="1375" width="9.85546875" bestFit="1" customWidth="1"/>
    <col min="1376" max="1376" width="9.28515625" bestFit="1" customWidth="1"/>
    <col min="1377" max="1377" width="9.85546875" bestFit="1" customWidth="1"/>
    <col min="1379" max="1380" width="9.85546875" bestFit="1" customWidth="1"/>
    <col min="1381" max="1381" width="12.5703125" bestFit="1" customWidth="1"/>
    <col min="1382" max="1382" width="10.85546875" bestFit="1" customWidth="1"/>
    <col min="1383" max="1384" width="9.85546875" bestFit="1" customWidth="1"/>
    <col min="1385" max="1385" width="9.28515625" bestFit="1" customWidth="1"/>
    <col min="1386" max="1386" width="9.85546875" bestFit="1" customWidth="1"/>
    <col min="1387" max="1387" width="9.28515625" bestFit="1" customWidth="1"/>
    <col min="1388" max="1388" width="12.5703125" bestFit="1" customWidth="1"/>
    <col min="1389" max="1389" width="10.85546875" bestFit="1" customWidth="1"/>
    <col min="1390" max="1390" width="9.85546875" bestFit="1" customWidth="1"/>
    <col min="1391" max="1391" width="9.28515625" bestFit="1" customWidth="1"/>
    <col min="1392" max="1392" width="9.85546875" bestFit="1" customWidth="1"/>
    <col min="1393" max="1393" width="12.5703125" bestFit="1" customWidth="1"/>
    <col min="1394" max="1395" width="9.85546875" bestFit="1" customWidth="1"/>
    <col min="1397" max="1397" width="9.85546875" bestFit="1" customWidth="1"/>
    <col min="1400" max="1400" width="12.5703125" bestFit="1" customWidth="1"/>
    <col min="1401" max="1401" width="9.85546875" bestFit="1" customWidth="1"/>
    <col min="1402" max="1402" width="9.28515625" bestFit="1" customWidth="1"/>
    <col min="1405" max="1405" width="9.28515625" bestFit="1" customWidth="1"/>
    <col min="1406" max="1406" width="9.85546875" bestFit="1" customWidth="1"/>
    <col min="1408" max="1408" width="9.28515625" bestFit="1" customWidth="1"/>
    <col min="1409" max="1409" width="12.5703125" bestFit="1" customWidth="1"/>
    <col min="1410" max="1411" width="9.85546875" bestFit="1" customWidth="1"/>
    <col min="1412" max="1412" width="12.5703125" bestFit="1" customWidth="1"/>
    <col min="1413" max="1413" width="9.85546875" bestFit="1" customWidth="1"/>
    <col min="1414" max="1414" width="9.28515625" bestFit="1" customWidth="1"/>
    <col min="1415" max="1416" width="12.5703125" bestFit="1" customWidth="1"/>
    <col min="1417" max="1417" width="9.28515625" bestFit="1" customWidth="1"/>
    <col min="1419" max="1419" width="12.5703125" bestFit="1" customWidth="1"/>
    <col min="1420" max="1420" width="9.85546875" bestFit="1" customWidth="1"/>
    <col min="1421" max="1421" width="9.28515625" bestFit="1" customWidth="1"/>
    <col min="1423" max="1424" width="9.85546875" bestFit="1" customWidth="1"/>
    <col min="1426" max="1426" width="9.85546875" bestFit="1" customWidth="1"/>
    <col min="1427" max="1427" width="9.28515625" bestFit="1" customWidth="1"/>
    <col min="1428" max="1428" width="9.85546875" bestFit="1" customWidth="1"/>
    <col min="1429" max="1429" width="12.5703125" bestFit="1" customWidth="1"/>
    <col min="1430" max="1430" width="9.85546875" bestFit="1" customWidth="1"/>
    <col min="1431" max="1431" width="9.28515625" bestFit="1" customWidth="1"/>
    <col min="1432" max="1432" width="12.5703125" bestFit="1" customWidth="1"/>
    <col min="1433" max="1433" width="9.85546875" bestFit="1" customWidth="1"/>
    <col min="1434" max="1434" width="12.5703125" bestFit="1" customWidth="1"/>
    <col min="1435" max="1436" width="9.85546875" bestFit="1" customWidth="1"/>
    <col min="1437" max="1437" width="12.5703125" bestFit="1" customWidth="1"/>
    <col min="1438" max="1440" width="9.85546875" bestFit="1" customWidth="1"/>
    <col min="1441" max="1441" width="9.28515625" bestFit="1" customWidth="1"/>
    <col min="1442" max="1442" width="9.85546875" bestFit="1" customWidth="1"/>
    <col min="1444" max="1446" width="9.85546875" bestFit="1" customWidth="1"/>
    <col min="1447" max="1448" width="9.28515625" bestFit="1" customWidth="1"/>
    <col min="1449" max="1449" width="9.85546875" bestFit="1" customWidth="1"/>
    <col min="1450" max="1450" width="9.28515625" bestFit="1" customWidth="1"/>
    <col min="1452" max="1452" width="9.85546875" bestFit="1" customWidth="1"/>
    <col min="1453" max="1453" width="9.28515625" bestFit="1" customWidth="1"/>
    <col min="1455" max="1460" width="9.85546875" bestFit="1" customWidth="1"/>
    <col min="1462" max="1462" width="9.28515625" bestFit="1" customWidth="1"/>
    <col min="1463" max="1463" width="9.85546875" bestFit="1" customWidth="1"/>
    <col min="1464" max="1464" width="12.5703125" bestFit="1" customWidth="1"/>
    <col min="1465" max="1465" width="9.85546875" bestFit="1" customWidth="1"/>
    <col min="1466" max="1466" width="9.28515625" bestFit="1" customWidth="1"/>
    <col min="1467" max="1467" width="10.85546875" bestFit="1" customWidth="1"/>
    <col min="1468" max="1469" width="9.85546875" bestFit="1" customWidth="1"/>
    <col min="1471" max="1471" width="12.5703125" bestFit="1" customWidth="1"/>
    <col min="1472" max="1472" width="9.28515625" bestFit="1" customWidth="1"/>
    <col min="1473" max="1474" width="9.85546875" bestFit="1" customWidth="1"/>
    <col min="1475" max="1475" width="9.28515625" bestFit="1" customWidth="1"/>
    <col min="1476" max="1476" width="9.85546875" bestFit="1" customWidth="1"/>
    <col min="1477" max="1478" width="12.5703125" bestFit="1" customWidth="1"/>
    <col min="1479" max="1480" width="9.85546875" bestFit="1" customWidth="1"/>
    <col min="1481" max="1481" width="12.5703125" bestFit="1" customWidth="1"/>
    <col min="1483" max="1486" width="9.85546875" bestFit="1" customWidth="1"/>
    <col min="1487" max="1487" width="12.5703125" bestFit="1" customWidth="1"/>
    <col min="1488" max="1488" width="9.28515625" bestFit="1" customWidth="1"/>
    <col min="1489" max="1490" width="9.85546875" bestFit="1" customWidth="1"/>
    <col min="1491" max="1491" width="9.28515625" bestFit="1" customWidth="1"/>
    <col min="1492" max="1492" width="9.85546875" bestFit="1" customWidth="1"/>
    <col min="1494" max="1494" width="9.28515625" bestFit="1" customWidth="1"/>
    <col min="1495" max="1495" width="9.85546875" bestFit="1" customWidth="1"/>
    <col min="1496" max="1496" width="10.85546875" bestFit="1" customWidth="1"/>
    <col min="1497" max="1497" width="9.85546875" bestFit="1" customWidth="1"/>
    <col min="1499" max="1501" width="9.85546875" bestFit="1" customWidth="1"/>
    <col min="1502" max="1502" width="9.28515625" bestFit="1" customWidth="1"/>
    <col min="1503" max="1506" width="12.5703125" bestFit="1" customWidth="1"/>
    <col min="1507" max="1507" width="9.85546875" bestFit="1" customWidth="1"/>
    <col min="1508" max="1508" width="12.5703125" bestFit="1" customWidth="1"/>
    <col min="1509" max="1510" width="9.85546875" bestFit="1" customWidth="1"/>
    <col min="1511" max="1511" width="9.28515625" bestFit="1" customWidth="1"/>
    <col min="1512" max="1512" width="12.5703125" bestFit="1" customWidth="1"/>
    <col min="1513" max="1515" width="9.85546875" bestFit="1" customWidth="1"/>
    <col min="1516" max="1516" width="9.28515625" bestFit="1" customWidth="1"/>
    <col min="1517" max="1519" width="9.85546875" bestFit="1" customWidth="1"/>
    <col min="1522" max="1522" width="12.5703125" bestFit="1" customWidth="1"/>
    <col min="1523" max="1523" width="9.28515625" bestFit="1" customWidth="1"/>
    <col min="1524" max="1525" width="9.85546875" bestFit="1" customWidth="1"/>
    <col min="1526" max="1526" width="12.5703125" bestFit="1" customWidth="1"/>
    <col min="1527" max="1528" width="9.85546875" bestFit="1" customWidth="1"/>
    <col min="1529" max="1529" width="12.5703125" bestFit="1" customWidth="1"/>
    <col min="1530" max="1530" width="9.28515625" bestFit="1" customWidth="1"/>
    <col min="1531" max="1531" width="12.5703125" bestFit="1" customWidth="1"/>
    <col min="1532" max="1535" width="9.85546875" bestFit="1" customWidth="1"/>
    <col min="1536" max="1536" width="12.5703125" bestFit="1" customWidth="1"/>
    <col min="1537" max="1537" width="9.85546875" bestFit="1" customWidth="1"/>
    <col min="1539" max="1541" width="9.85546875" bestFit="1" customWidth="1"/>
    <col min="1542" max="1542" width="9.28515625" bestFit="1" customWidth="1"/>
    <col min="1543" max="1543" width="9.85546875" bestFit="1" customWidth="1"/>
    <col min="1544" max="1545" width="12.5703125" bestFit="1" customWidth="1"/>
    <col min="1547" max="1548" width="9.85546875" bestFit="1" customWidth="1"/>
    <col min="1549" max="1549" width="9.28515625" bestFit="1" customWidth="1"/>
    <col min="1550" max="1552" width="9.85546875" bestFit="1" customWidth="1"/>
    <col min="1553" max="1553" width="9.28515625" bestFit="1" customWidth="1"/>
    <col min="1554" max="1556" width="9.85546875" bestFit="1" customWidth="1"/>
    <col min="1558" max="1558" width="9.85546875" bestFit="1" customWidth="1"/>
    <col min="1559" max="1559" width="12.5703125" bestFit="1" customWidth="1"/>
    <col min="1560" max="1560" width="9.85546875" bestFit="1" customWidth="1"/>
    <col min="1562" max="1562" width="9.85546875" bestFit="1" customWidth="1"/>
    <col min="1564" max="1564" width="9.85546875" bestFit="1" customWidth="1"/>
    <col min="1566" max="1566" width="9.85546875" bestFit="1" customWidth="1"/>
    <col min="1568" max="1569" width="9.85546875" bestFit="1" customWidth="1"/>
    <col min="1570" max="1570" width="9.28515625" bestFit="1" customWidth="1"/>
    <col min="1571" max="1572" width="9.85546875" bestFit="1" customWidth="1"/>
    <col min="1573" max="1573" width="9.28515625" bestFit="1" customWidth="1"/>
    <col min="1574" max="1574" width="9.85546875" bestFit="1" customWidth="1"/>
    <col min="1576" max="1576" width="9.85546875" bestFit="1" customWidth="1"/>
    <col min="1577" max="1577" width="9.28515625" bestFit="1" customWidth="1"/>
    <col min="1578" max="1578" width="12.5703125" bestFit="1" customWidth="1"/>
    <col min="1579" max="1580" width="9.85546875" bestFit="1" customWidth="1"/>
    <col min="1581" max="1583" width="9.28515625" bestFit="1" customWidth="1"/>
    <col min="1584" max="1584" width="12.5703125" bestFit="1" customWidth="1"/>
    <col min="1585" max="1586" width="9.85546875" bestFit="1" customWidth="1"/>
    <col min="1587" max="1588" width="9.28515625" bestFit="1" customWidth="1"/>
    <col min="1589" max="1590" width="9.85546875" bestFit="1" customWidth="1"/>
    <col min="1592" max="1592" width="12.5703125" bestFit="1" customWidth="1"/>
    <col min="1593" max="1593" width="9.28515625" bestFit="1" customWidth="1"/>
    <col min="1594" max="1594" width="12.5703125" bestFit="1" customWidth="1"/>
    <col min="1595" max="1595" width="9.85546875" bestFit="1" customWidth="1"/>
    <col min="1597" max="1597" width="9.28515625" bestFit="1" customWidth="1"/>
    <col min="1598" max="1598" width="12.5703125" bestFit="1" customWidth="1"/>
    <col min="1599" max="1599" width="9.28515625" bestFit="1" customWidth="1"/>
    <col min="1600" max="1601" width="9.85546875" bestFit="1" customWidth="1"/>
    <col min="1602" max="1602" width="12.5703125" bestFit="1" customWidth="1"/>
    <col min="1603" max="1603" width="9.85546875" bestFit="1" customWidth="1"/>
    <col min="1604" max="1604" width="12.5703125" bestFit="1" customWidth="1"/>
    <col min="1605" max="1607" width="9.85546875" bestFit="1" customWidth="1"/>
    <col min="1611" max="1611" width="9.85546875" bestFit="1" customWidth="1"/>
    <col min="1613" max="1613" width="9.28515625" bestFit="1" customWidth="1"/>
    <col min="1614" max="1615" width="9.85546875" bestFit="1" customWidth="1"/>
    <col min="1616" max="1617" width="9.28515625" bestFit="1" customWidth="1"/>
    <col min="1618" max="1618" width="9.85546875" bestFit="1" customWidth="1"/>
    <col min="1619" max="1620" width="9.28515625" bestFit="1" customWidth="1"/>
    <col min="1621" max="1621" width="9.85546875" bestFit="1" customWidth="1"/>
    <col min="1623" max="1626" width="9.85546875" bestFit="1" customWidth="1"/>
    <col min="1627" max="1627" width="9.28515625" bestFit="1" customWidth="1"/>
    <col min="1628" max="1628" width="9.85546875" bestFit="1" customWidth="1"/>
    <col min="1629" max="1630" width="12.5703125" bestFit="1" customWidth="1"/>
    <col min="1631" max="1631" width="9.28515625" bestFit="1" customWidth="1"/>
    <col min="1632" max="1633" width="9.85546875" bestFit="1" customWidth="1"/>
    <col min="1634" max="1634" width="9.28515625" bestFit="1" customWidth="1"/>
    <col min="1635" max="1636" width="9.85546875" bestFit="1" customWidth="1"/>
    <col min="1637" max="1637" width="9.28515625" bestFit="1" customWidth="1"/>
    <col min="1639" max="1640" width="9.85546875" bestFit="1" customWidth="1"/>
    <col min="1641" max="1641" width="12.5703125" bestFit="1" customWidth="1"/>
    <col min="1642" max="1642" width="10.85546875" bestFit="1" customWidth="1"/>
    <col min="1643" max="1643" width="12.5703125" bestFit="1" customWidth="1"/>
    <col min="1644" max="1645" width="9.85546875" bestFit="1" customWidth="1"/>
    <col min="1646" max="1646" width="9.28515625" bestFit="1" customWidth="1"/>
    <col min="1647" max="1647" width="9.85546875" bestFit="1" customWidth="1"/>
    <col min="1648" max="1648" width="9.28515625" bestFit="1" customWidth="1"/>
    <col min="1650" max="1650" width="9.85546875" bestFit="1" customWidth="1"/>
    <col min="1651" max="1651" width="9.28515625" bestFit="1" customWidth="1"/>
    <col min="1652" max="1653" width="9.85546875" bestFit="1" customWidth="1"/>
    <col min="1654" max="1654" width="12.5703125" bestFit="1" customWidth="1"/>
    <col min="1655" max="1656" width="9.85546875" bestFit="1" customWidth="1"/>
    <col min="1658" max="1658" width="10.85546875" bestFit="1" customWidth="1"/>
    <col min="1659" max="1660" width="12.5703125" bestFit="1" customWidth="1"/>
    <col min="1662" max="1662" width="9.85546875" bestFit="1" customWidth="1"/>
    <col min="1663" max="1664" width="12.5703125" bestFit="1" customWidth="1"/>
    <col min="1665" max="1665" width="9.85546875" bestFit="1" customWidth="1"/>
    <col min="1667" max="1668" width="9.85546875" bestFit="1" customWidth="1"/>
    <col min="1669" max="1669" width="12.5703125" bestFit="1" customWidth="1"/>
    <col min="1670" max="1670" width="9.85546875" bestFit="1" customWidth="1"/>
    <col min="1673" max="1674" width="9.85546875" bestFit="1" customWidth="1"/>
    <col min="1675" max="1676" width="9.28515625" bestFit="1" customWidth="1"/>
    <col min="1677" max="1678" width="9.85546875" bestFit="1" customWidth="1"/>
    <col min="1680" max="1680" width="12.5703125" bestFit="1" customWidth="1"/>
    <col min="1681" max="1681" width="9.28515625" bestFit="1" customWidth="1"/>
    <col min="1682" max="1682" width="12.5703125" bestFit="1" customWidth="1"/>
    <col min="1683" max="1683" width="9.85546875" bestFit="1" customWidth="1"/>
    <col min="1684" max="1684" width="12.5703125" bestFit="1" customWidth="1"/>
    <col min="1687" max="1687" width="9.28515625" bestFit="1" customWidth="1"/>
    <col min="1688" max="1688" width="9.85546875" bestFit="1" customWidth="1"/>
    <col min="1689" max="1689" width="10.85546875" bestFit="1" customWidth="1"/>
    <col min="1690" max="1691" width="9.85546875" bestFit="1" customWidth="1"/>
    <col min="1692" max="1692" width="9.28515625" bestFit="1" customWidth="1"/>
    <col min="1694" max="1694" width="9.85546875" bestFit="1" customWidth="1"/>
    <col min="1695" max="1695" width="9.28515625" bestFit="1" customWidth="1"/>
    <col min="1696" max="1696" width="12.5703125" bestFit="1" customWidth="1"/>
    <col min="1698" max="1698" width="12.5703125" bestFit="1" customWidth="1"/>
    <col min="1699" max="1699" width="9.85546875" bestFit="1" customWidth="1"/>
    <col min="1700" max="1700" width="9.28515625" bestFit="1" customWidth="1"/>
    <col min="1701" max="1702" width="9.85546875" bestFit="1" customWidth="1"/>
    <col min="1703" max="1703" width="12.5703125" bestFit="1" customWidth="1"/>
    <col min="1704" max="1704" width="9.28515625" bestFit="1" customWidth="1"/>
    <col min="1705" max="1706" width="9.85546875" bestFit="1" customWidth="1"/>
    <col min="1707" max="1707" width="10.85546875" bestFit="1" customWidth="1"/>
    <col min="1709" max="1709" width="9.28515625" bestFit="1" customWidth="1"/>
    <col min="1712" max="1712" width="9.28515625" bestFit="1" customWidth="1"/>
    <col min="1713" max="1714" width="9.85546875" bestFit="1" customWidth="1"/>
    <col min="1715" max="1715" width="9.28515625" bestFit="1" customWidth="1"/>
    <col min="1716" max="1717" width="9.85546875" bestFit="1" customWidth="1"/>
    <col min="1718" max="1718" width="9.28515625" bestFit="1" customWidth="1"/>
    <col min="1720" max="1721" width="9.85546875" bestFit="1" customWidth="1"/>
    <col min="1722" max="1722" width="9.28515625" bestFit="1" customWidth="1"/>
    <col min="1723" max="1724" width="12.5703125" bestFit="1" customWidth="1"/>
    <col min="1725" max="1726" width="9.85546875" bestFit="1" customWidth="1"/>
    <col min="1727" max="1727" width="9.28515625" bestFit="1" customWidth="1"/>
    <col min="1728" max="1729" width="9.85546875" bestFit="1" customWidth="1"/>
    <col min="1730" max="1730" width="10.85546875" bestFit="1" customWidth="1"/>
    <col min="1731" max="1732" width="9.85546875" bestFit="1" customWidth="1"/>
    <col min="1733" max="1734" width="12.5703125" bestFit="1" customWidth="1"/>
    <col min="1735" max="1735" width="9.28515625" bestFit="1" customWidth="1"/>
    <col min="1736" max="1740" width="9.85546875" bestFit="1" customWidth="1"/>
    <col min="1742" max="1742" width="12.5703125" bestFit="1" customWidth="1"/>
    <col min="1744" max="1744" width="9.28515625" bestFit="1" customWidth="1"/>
    <col min="1745" max="1745" width="9.85546875" bestFit="1" customWidth="1"/>
    <col min="1747" max="1747" width="9.85546875" bestFit="1" customWidth="1"/>
    <col min="1748" max="1748" width="10.85546875" bestFit="1" customWidth="1"/>
    <col min="1749" max="1749" width="12.5703125" bestFit="1" customWidth="1"/>
    <col min="1750" max="1750" width="9.85546875" bestFit="1" customWidth="1"/>
    <col min="1751" max="1751" width="12.5703125" bestFit="1" customWidth="1"/>
    <col min="1752" max="1753" width="9.85546875" bestFit="1" customWidth="1"/>
    <col min="1755" max="1758" width="9.85546875" bestFit="1" customWidth="1"/>
    <col min="1759" max="1759" width="12.5703125" bestFit="1" customWidth="1"/>
    <col min="1760" max="1760" width="9.28515625" bestFit="1" customWidth="1"/>
    <col min="1761" max="1762" width="12.5703125" bestFit="1" customWidth="1"/>
    <col min="1763" max="1763" width="9.28515625" bestFit="1" customWidth="1"/>
    <col min="1764" max="1764" width="12.5703125" bestFit="1" customWidth="1"/>
    <col min="1765" max="1765" width="9.85546875" bestFit="1" customWidth="1"/>
    <col min="1767" max="1767" width="12.5703125" bestFit="1" customWidth="1"/>
    <col min="1768" max="1769" width="9.85546875" bestFit="1" customWidth="1"/>
    <col min="1772" max="1774" width="9.85546875" bestFit="1" customWidth="1"/>
    <col min="1775" max="1775" width="9.28515625" bestFit="1" customWidth="1"/>
    <col min="1776" max="1776" width="9.85546875" bestFit="1" customWidth="1"/>
    <col min="1777" max="1777" width="12.5703125" bestFit="1" customWidth="1"/>
    <col min="1778" max="1780" width="9.85546875" bestFit="1" customWidth="1"/>
    <col min="1781" max="1781" width="12.5703125" bestFit="1" customWidth="1"/>
    <col min="1782" max="1782" width="9.28515625" bestFit="1" customWidth="1"/>
    <col min="1783" max="1787" width="9.85546875" bestFit="1" customWidth="1"/>
    <col min="1789" max="1793" width="9.85546875" bestFit="1" customWidth="1"/>
    <col min="1794" max="1795" width="12.5703125" bestFit="1" customWidth="1"/>
    <col min="1796" max="1796" width="9.85546875" bestFit="1" customWidth="1"/>
    <col min="1797" max="1797" width="9.28515625" bestFit="1" customWidth="1"/>
    <col min="1798" max="1798" width="9.85546875" bestFit="1" customWidth="1"/>
    <col min="1799" max="1799" width="12.5703125" bestFit="1" customWidth="1"/>
    <col min="1803" max="1805" width="9.85546875" bestFit="1" customWidth="1"/>
    <col min="1806" max="1807" width="9.28515625" bestFit="1" customWidth="1"/>
    <col min="1809" max="1811" width="9.85546875" bestFit="1" customWidth="1"/>
    <col min="1812" max="1812" width="12.5703125" bestFit="1" customWidth="1"/>
    <col min="1813" max="1816" width="9.85546875" bestFit="1" customWidth="1"/>
    <col min="1818" max="1818" width="9.85546875" bestFit="1" customWidth="1"/>
    <col min="1822" max="1822" width="9.85546875" bestFit="1" customWidth="1"/>
    <col min="1823" max="1823" width="10.85546875" bestFit="1" customWidth="1"/>
    <col min="1824" max="1825" width="9.85546875" bestFit="1" customWidth="1"/>
    <col min="1826" max="1826" width="9.28515625" bestFit="1" customWidth="1"/>
    <col min="1827" max="1833" width="9.85546875" bestFit="1" customWidth="1"/>
    <col min="1834" max="1834" width="10.85546875" bestFit="1" customWidth="1"/>
    <col min="1835" max="1835" width="12.5703125" bestFit="1" customWidth="1"/>
    <col min="1836" max="1836" width="9.85546875" bestFit="1" customWidth="1"/>
    <col min="1838" max="1838" width="9.85546875" bestFit="1" customWidth="1"/>
    <col min="1839" max="1839" width="12.5703125" bestFit="1" customWidth="1"/>
    <col min="1840" max="1840" width="10.85546875" bestFit="1" customWidth="1"/>
    <col min="1841" max="1841" width="9.28515625" bestFit="1" customWidth="1"/>
    <col min="1842" max="1843" width="12.5703125" bestFit="1" customWidth="1"/>
    <col min="1844" max="1845" width="9.85546875" bestFit="1" customWidth="1"/>
    <col min="1846" max="1846" width="10.85546875" bestFit="1" customWidth="1"/>
    <col min="1848" max="1848" width="12.5703125" bestFit="1" customWidth="1"/>
    <col min="1849" max="1850" width="9.28515625" bestFit="1" customWidth="1"/>
    <col min="1851" max="1851" width="9.85546875" bestFit="1" customWidth="1"/>
    <col min="1853" max="1854" width="9.85546875" bestFit="1" customWidth="1"/>
    <col min="1855" max="1855" width="12.5703125" bestFit="1" customWidth="1"/>
    <col min="1857" max="1858" width="12.5703125" bestFit="1" customWidth="1"/>
    <col min="1860" max="1864" width="9.85546875" bestFit="1" customWidth="1"/>
    <col min="1866" max="1867" width="9.85546875" bestFit="1" customWidth="1"/>
    <col min="1868" max="1869" width="12.5703125" bestFit="1" customWidth="1"/>
    <col min="1870" max="1873" width="9.85546875" bestFit="1" customWidth="1"/>
    <col min="1874" max="1874" width="9.28515625" bestFit="1" customWidth="1"/>
    <col min="1875" max="1876" width="9.85546875" bestFit="1" customWidth="1"/>
    <col min="1878" max="1878" width="12.5703125" bestFit="1" customWidth="1"/>
    <col min="1879" max="1884" width="9.85546875" bestFit="1" customWidth="1"/>
    <col min="1885" max="1885" width="12.5703125" bestFit="1" customWidth="1"/>
    <col min="1886" max="1886" width="9.85546875" bestFit="1" customWidth="1"/>
    <col min="1888" max="1888" width="9.28515625" bestFit="1" customWidth="1"/>
    <col min="1889" max="1889" width="9.85546875" bestFit="1" customWidth="1"/>
    <col min="1890" max="1890" width="9.28515625" bestFit="1" customWidth="1"/>
    <col min="1891" max="1892" width="9.85546875" bestFit="1" customWidth="1"/>
    <col min="1893" max="1893" width="12.5703125" bestFit="1" customWidth="1"/>
    <col min="1894" max="1897" width="9.85546875" bestFit="1" customWidth="1"/>
    <col min="1898" max="1898" width="12.5703125" bestFit="1" customWidth="1"/>
    <col min="1899" max="1899" width="9.85546875" bestFit="1" customWidth="1"/>
    <col min="1900" max="1900" width="12.5703125" bestFit="1" customWidth="1"/>
    <col min="1901" max="1901" width="9.85546875" bestFit="1" customWidth="1"/>
    <col min="1902" max="1902" width="12.5703125" bestFit="1" customWidth="1"/>
    <col min="1903" max="1903" width="9.28515625" bestFit="1" customWidth="1"/>
    <col min="1905" max="1905" width="9.85546875" bestFit="1" customWidth="1"/>
    <col min="1907" max="1912" width="9.85546875" bestFit="1" customWidth="1"/>
    <col min="1913" max="1914" width="9.28515625" bestFit="1" customWidth="1"/>
    <col min="1915" max="1915" width="9.85546875" bestFit="1" customWidth="1"/>
    <col min="1916" max="1916" width="9.28515625" bestFit="1" customWidth="1"/>
    <col min="1917" max="1917" width="9.85546875" bestFit="1" customWidth="1"/>
    <col min="1919" max="1919" width="9.28515625" bestFit="1" customWidth="1"/>
    <col min="1920" max="1920" width="12.5703125" bestFit="1" customWidth="1"/>
    <col min="1922" max="1922" width="9.28515625" bestFit="1" customWidth="1"/>
    <col min="1923" max="1924" width="12.5703125" bestFit="1" customWidth="1"/>
    <col min="1925" max="1926" width="9.85546875" bestFit="1" customWidth="1"/>
    <col min="1927" max="1927" width="9.28515625" bestFit="1" customWidth="1"/>
    <col min="1929" max="1929" width="12.5703125" bestFit="1" customWidth="1"/>
    <col min="1932" max="1933" width="9.85546875" bestFit="1" customWidth="1"/>
    <col min="1935" max="1935" width="12.5703125" bestFit="1" customWidth="1"/>
    <col min="1937" max="1939" width="9.85546875" bestFit="1" customWidth="1"/>
    <col min="1940" max="1940" width="9.28515625" bestFit="1" customWidth="1"/>
    <col min="1941" max="1942" width="9.85546875" bestFit="1" customWidth="1"/>
    <col min="1943" max="1943" width="12.5703125" bestFit="1" customWidth="1"/>
    <col min="1944" max="1944" width="9.85546875" bestFit="1" customWidth="1"/>
    <col min="1946" max="1946" width="9.28515625" bestFit="1" customWidth="1"/>
    <col min="1947" max="1949" width="9.85546875" bestFit="1" customWidth="1"/>
    <col min="1950" max="1951" width="9.28515625" bestFit="1" customWidth="1"/>
    <col min="1952" max="1954" width="9.85546875" bestFit="1" customWidth="1"/>
    <col min="1955" max="1955" width="9.28515625" bestFit="1" customWidth="1"/>
    <col min="1956" max="1956" width="12.5703125" bestFit="1" customWidth="1"/>
    <col min="1957" max="1960" width="9.85546875" bestFit="1" customWidth="1"/>
    <col min="1961" max="1961" width="9.28515625" bestFit="1" customWidth="1"/>
    <col min="1962" max="1962" width="9.85546875" bestFit="1" customWidth="1"/>
    <col min="1963" max="1963" width="12.5703125" bestFit="1" customWidth="1"/>
    <col min="1964" max="1968" width="9.85546875" bestFit="1" customWidth="1"/>
    <col min="1970" max="1970" width="9.28515625" bestFit="1" customWidth="1"/>
    <col min="1971" max="1971" width="12.5703125" bestFit="1" customWidth="1"/>
    <col min="1972" max="1972" width="10.85546875" bestFit="1" customWidth="1"/>
    <col min="1973" max="1975" width="9.85546875" bestFit="1" customWidth="1"/>
    <col min="1976" max="1976" width="12.5703125" bestFit="1" customWidth="1"/>
    <col min="1977" max="1977" width="9.85546875" bestFit="1" customWidth="1"/>
    <col min="1979" max="1981" width="9.85546875" bestFit="1" customWidth="1"/>
    <col min="1982" max="1982" width="12.5703125" bestFit="1" customWidth="1"/>
    <col min="1983" max="1983" width="9.85546875" bestFit="1" customWidth="1"/>
    <col min="1984" max="1984" width="12.5703125" bestFit="1" customWidth="1"/>
    <col min="1985" max="1985" width="9.85546875" bestFit="1" customWidth="1"/>
    <col min="1987" max="1987" width="12.5703125" bestFit="1" customWidth="1"/>
    <col min="1988" max="1989" width="9.85546875" bestFit="1" customWidth="1"/>
    <col min="1990" max="1990" width="9.28515625" bestFit="1" customWidth="1"/>
    <col min="1991" max="1993" width="9.85546875" bestFit="1" customWidth="1"/>
    <col min="1994" max="1994" width="10.85546875" bestFit="1" customWidth="1"/>
    <col min="1995" max="1996" width="9.28515625" bestFit="1" customWidth="1"/>
    <col min="1997" max="1997" width="9.85546875" bestFit="1" customWidth="1"/>
    <col min="1998" max="1998" width="12.5703125" bestFit="1" customWidth="1"/>
    <col min="1999" max="2000" width="9.85546875" bestFit="1" customWidth="1"/>
    <col min="2001" max="2002" width="9.28515625" bestFit="1" customWidth="1"/>
    <col min="2003" max="2003" width="12.5703125" bestFit="1" customWidth="1"/>
    <col min="2004" max="2004" width="9.28515625" bestFit="1" customWidth="1"/>
    <col min="2005" max="2005" width="12.5703125" bestFit="1" customWidth="1"/>
    <col min="2006" max="2006" width="9.85546875" bestFit="1" customWidth="1"/>
    <col min="2007" max="2007" width="9.28515625" bestFit="1" customWidth="1"/>
    <col min="2008" max="2008" width="9.85546875" bestFit="1" customWidth="1"/>
    <col min="2009" max="2009" width="9.28515625" bestFit="1" customWidth="1"/>
    <col min="2010" max="2010" width="12.5703125" bestFit="1" customWidth="1"/>
    <col min="2011" max="2011" width="9.28515625" bestFit="1" customWidth="1"/>
    <col min="2012" max="2013" width="9.85546875" bestFit="1" customWidth="1"/>
    <col min="2014" max="2014" width="12.5703125" bestFit="1" customWidth="1"/>
    <col min="2017" max="2017" width="9.85546875" bestFit="1" customWidth="1"/>
    <col min="2018" max="2018" width="12.5703125" bestFit="1" customWidth="1"/>
    <col min="2019" max="2021" width="9.85546875" bestFit="1" customWidth="1"/>
    <col min="2023" max="2023" width="12.5703125" bestFit="1" customWidth="1"/>
    <col min="2024" max="2028" width="9.85546875" bestFit="1" customWidth="1"/>
    <col min="2029" max="2030" width="9.28515625" bestFit="1" customWidth="1"/>
    <col min="2031" max="2031" width="9.85546875" bestFit="1" customWidth="1"/>
    <col min="2032" max="2032" width="12.5703125" bestFit="1" customWidth="1"/>
    <col min="2033" max="2034" width="9.85546875" bestFit="1" customWidth="1"/>
    <col min="2035" max="2035" width="12.5703125" bestFit="1" customWidth="1"/>
    <col min="2037" max="2037" width="9.85546875" bestFit="1" customWidth="1"/>
    <col min="2038" max="2038" width="12.5703125" bestFit="1" customWidth="1"/>
    <col min="2039" max="2039" width="9.28515625" bestFit="1" customWidth="1"/>
    <col min="2040" max="2040" width="12.5703125" bestFit="1" customWidth="1"/>
    <col min="2041" max="2041" width="9.28515625" bestFit="1" customWidth="1"/>
    <col min="2042" max="2043" width="12.5703125" bestFit="1" customWidth="1"/>
    <col min="2046" max="2047" width="12.5703125" bestFit="1" customWidth="1"/>
    <col min="2048" max="2048" width="9.85546875" bestFit="1" customWidth="1"/>
    <col min="2049" max="2049" width="12.5703125" bestFit="1" customWidth="1"/>
    <col min="2050" max="2054" width="9.85546875" bestFit="1" customWidth="1"/>
    <col min="2055" max="2056" width="9.28515625" bestFit="1" customWidth="1"/>
    <col min="2057" max="2057" width="9.85546875" bestFit="1" customWidth="1"/>
    <col min="2058" max="2058" width="12.5703125" bestFit="1" customWidth="1"/>
    <col min="2059" max="2059" width="9.28515625" bestFit="1" customWidth="1"/>
    <col min="2060" max="2061" width="9.85546875" bestFit="1" customWidth="1"/>
    <col min="2062" max="2062" width="10.85546875" bestFit="1" customWidth="1"/>
    <col min="2064" max="2068" width="9.85546875" bestFit="1" customWidth="1"/>
    <col min="2069" max="2069" width="9.28515625" bestFit="1" customWidth="1"/>
    <col min="2070" max="2070" width="9.85546875" bestFit="1" customWidth="1"/>
    <col min="2071" max="2071" width="12.5703125" bestFit="1" customWidth="1"/>
    <col min="2072" max="2072" width="9.85546875" bestFit="1" customWidth="1"/>
    <col min="2074" max="2076" width="9.85546875" bestFit="1" customWidth="1"/>
    <col min="2077" max="2077" width="12.5703125" bestFit="1" customWidth="1"/>
    <col min="2078" max="2078" width="9.85546875" bestFit="1" customWidth="1"/>
    <col min="2079" max="2079" width="12.5703125" bestFit="1" customWidth="1"/>
    <col min="2080" max="2080" width="9.85546875" bestFit="1" customWidth="1"/>
    <col min="2081" max="2081" width="9.28515625" bestFit="1" customWidth="1"/>
    <col min="2082" max="2084" width="9.85546875" bestFit="1" customWidth="1"/>
    <col min="2085" max="2085" width="9.28515625" bestFit="1" customWidth="1"/>
    <col min="2086" max="2086" width="12.5703125" bestFit="1" customWidth="1"/>
    <col min="2087" max="2087" width="9.85546875" bestFit="1" customWidth="1"/>
    <col min="2088" max="2088" width="12.5703125" bestFit="1" customWidth="1"/>
    <col min="2089" max="2089" width="9.85546875" bestFit="1" customWidth="1"/>
    <col min="2090" max="2090" width="9.28515625" bestFit="1" customWidth="1"/>
    <col min="2091" max="2091" width="9.85546875" bestFit="1" customWidth="1"/>
    <col min="2092" max="2093" width="12.5703125" bestFit="1" customWidth="1"/>
    <col min="2094" max="2094" width="9.85546875" bestFit="1" customWidth="1"/>
    <col min="2095" max="2095" width="12.5703125" bestFit="1" customWidth="1"/>
    <col min="2096" max="2096" width="9.85546875" bestFit="1" customWidth="1"/>
    <col min="2097" max="2097" width="9.28515625" bestFit="1" customWidth="1"/>
    <col min="2098" max="2098" width="9.85546875" bestFit="1" customWidth="1"/>
    <col min="2099" max="2101" width="12.5703125" bestFit="1" customWidth="1"/>
    <col min="2102" max="2102" width="9.85546875" bestFit="1" customWidth="1"/>
    <col min="2103" max="2103" width="10.85546875" bestFit="1" customWidth="1"/>
    <col min="2104" max="2104" width="12.5703125" bestFit="1" customWidth="1"/>
    <col min="2105" max="2108" width="9.28515625" bestFit="1" customWidth="1"/>
    <col min="2109" max="2109" width="12.5703125" bestFit="1" customWidth="1"/>
    <col min="2110" max="2110" width="9.85546875" bestFit="1" customWidth="1"/>
    <col min="2111" max="2114" width="12.5703125" bestFit="1" customWidth="1"/>
    <col min="2115" max="2117" width="9.85546875" bestFit="1" customWidth="1"/>
    <col min="2118" max="2118" width="12.5703125" bestFit="1" customWidth="1"/>
    <col min="2119" max="2119" width="10.85546875" bestFit="1" customWidth="1"/>
    <col min="2120" max="2122" width="9.85546875" bestFit="1" customWidth="1"/>
    <col min="2124" max="2124" width="9.28515625" bestFit="1" customWidth="1"/>
    <col min="2126" max="2128" width="9.85546875" bestFit="1" customWidth="1"/>
    <col min="2129" max="2129" width="12.5703125" bestFit="1" customWidth="1"/>
    <col min="2130" max="2130" width="9.28515625" bestFit="1" customWidth="1"/>
    <col min="2131" max="2131" width="12.5703125" bestFit="1" customWidth="1"/>
    <col min="2132" max="2134" width="9.85546875" bestFit="1" customWidth="1"/>
    <col min="2135" max="2136" width="9.28515625" bestFit="1" customWidth="1"/>
    <col min="2137" max="2137" width="9.85546875" bestFit="1" customWidth="1"/>
    <col min="2138" max="2140" width="12.5703125" bestFit="1" customWidth="1"/>
    <col min="2141" max="2141" width="9.85546875" bestFit="1" customWidth="1"/>
    <col min="2142" max="2143" width="9.28515625" bestFit="1" customWidth="1"/>
    <col min="2144" max="2144" width="9.85546875" bestFit="1" customWidth="1"/>
    <col min="2145" max="2145" width="12.5703125" bestFit="1" customWidth="1"/>
    <col min="2146" max="2148" width="9.85546875" bestFit="1" customWidth="1"/>
    <col min="2150" max="2150" width="9.85546875" bestFit="1" customWidth="1"/>
    <col min="2152" max="2152" width="12.5703125" bestFit="1" customWidth="1"/>
    <col min="2153" max="2153" width="9.85546875" bestFit="1" customWidth="1"/>
    <col min="2155" max="2155" width="9.85546875" bestFit="1" customWidth="1"/>
    <col min="2157" max="2159" width="9.85546875" bestFit="1" customWidth="1"/>
    <col min="2160" max="2160" width="12.5703125" bestFit="1" customWidth="1"/>
    <col min="2161" max="2161" width="9.85546875" bestFit="1" customWidth="1"/>
    <col min="2163" max="2165" width="9.85546875" bestFit="1" customWidth="1"/>
    <col min="2166" max="2166" width="12.5703125" bestFit="1" customWidth="1"/>
    <col min="2167" max="2167" width="9.28515625" bestFit="1" customWidth="1"/>
    <col min="2168" max="2169" width="9.85546875" bestFit="1" customWidth="1"/>
    <col min="2170" max="2170" width="9.28515625" bestFit="1" customWidth="1"/>
    <col min="2171" max="2171" width="9.85546875" bestFit="1" customWidth="1"/>
    <col min="2173" max="2173" width="9.85546875" bestFit="1" customWidth="1"/>
    <col min="2174" max="2174" width="12.5703125" bestFit="1" customWidth="1"/>
    <col min="2175" max="2175" width="9.85546875" bestFit="1" customWidth="1"/>
    <col min="2176" max="2176" width="9.28515625" bestFit="1" customWidth="1"/>
    <col min="2178" max="2178" width="9.85546875" bestFit="1" customWidth="1"/>
    <col min="2179" max="2179" width="10.85546875" bestFit="1" customWidth="1"/>
    <col min="2180" max="2180" width="12.5703125" bestFit="1" customWidth="1"/>
    <col min="2181" max="2182" width="9.28515625" bestFit="1" customWidth="1"/>
    <col min="2183" max="2183" width="9.85546875" bestFit="1" customWidth="1"/>
    <col min="2184" max="2184" width="12.5703125" bestFit="1" customWidth="1"/>
    <col min="2185" max="2185" width="9.85546875" bestFit="1" customWidth="1"/>
    <col min="2187" max="2192" width="9.85546875" bestFit="1" customWidth="1"/>
    <col min="2194" max="2195" width="9.85546875" bestFit="1" customWidth="1"/>
    <col min="2197" max="2198" width="9.85546875" bestFit="1" customWidth="1"/>
    <col min="2200" max="2200" width="9.28515625" bestFit="1" customWidth="1"/>
    <col min="2201" max="2202" width="9.85546875" bestFit="1" customWidth="1"/>
    <col min="2203" max="2204" width="9.28515625" bestFit="1" customWidth="1"/>
    <col min="2205" max="2206" width="9.85546875" bestFit="1" customWidth="1"/>
    <col min="2207" max="2207" width="9.28515625" bestFit="1" customWidth="1"/>
    <col min="2208" max="2208" width="9.85546875" bestFit="1" customWidth="1"/>
    <col min="2209" max="2209" width="9.28515625" bestFit="1" customWidth="1"/>
    <col min="2210" max="2210" width="9.85546875" bestFit="1" customWidth="1"/>
    <col min="2211" max="2211" width="12.5703125" bestFit="1" customWidth="1"/>
    <col min="2212" max="2214" width="9.85546875" bestFit="1" customWidth="1"/>
    <col min="2215" max="2215" width="12.5703125" bestFit="1" customWidth="1"/>
    <col min="2216" max="2219" width="9.85546875" bestFit="1" customWidth="1"/>
    <col min="2222" max="2222" width="9.85546875" bestFit="1" customWidth="1"/>
    <col min="2223" max="2223" width="12.5703125" bestFit="1" customWidth="1"/>
    <col min="2226" max="2226" width="9.28515625" bestFit="1" customWidth="1"/>
    <col min="2227" max="2227" width="9.85546875" bestFit="1" customWidth="1"/>
    <col min="2228" max="2228" width="9.28515625" bestFit="1" customWidth="1"/>
    <col min="2229" max="2229" width="9.85546875" bestFit="1" customWidth="1"/>
    <col min="2230" max="2230" width="9.28515625" bestFit="1" customWidth="1"/>
    <col min="2231" max="2231" width="12.5703125" bestFit="1" customWidth="1"/>
    <col min="2232" max="2233" width="9.85546875" bestFit="1" customWidth="1"/>
    <col min="2234" max="2234" width="12.5703125" bestFit="1" customWidth="1"/>
    <col min="2235" max="2238" width="9.85546875" bestFit="1" customWidth="1"/>
    <col min="2239" max="2239" width="9.28515625" bestFit="1" customWidth="1"/>
    <col min="2240" max="2241" width="9.85546875" bestFit="1" customWidth="1"/>
    <col min="2243" max="2247" width="9.85546875" bestFit="1" customWidth="1"/>
    <col min="2248" max="2248" width="12.5703125" bestFit="1" customWidth="1"/>
    <col min="2249" max="2249" width="9.28515625" bestFit="1" customWidth="1"/>
    <col min="2250" max="2250" width="9.85546875" bestFit="1" customWidth="1"/>
    <col min="2251" max="2251" width="9.28515625" bestFit="1" customWidth="1"/>
    <col min="2252" max="2252" width="12.5703125" bestFit="1" customWidth="1"/>
    <col min="2253" max="2253" width="9.85546875" bestFit="1" customWidth="1"/>
    <col min="2256" max="2256" width="9.85546875" bestFit="1" customWidth="1"/>
    <col min="2257" max="2257" width="12.5703125" bestFit="1" customWidth="1"/>
    <col min="2258" max="2258" width="9.85546875" bestFit="1" customWidth="1"/>
    <col min="2259" max="2259" width="9.28515625" bestFit="1" customWidth="1"/>
    <col min="2260" max="2262" width="9.85546875" bestFit="1" customWidth="1"/>
    <col min="2263" max="2263" width="12.5703125" bestFit="1" customWidth="1"/>
    <col min="2264" max="2265" width="9.85546875" bestFit="1" customWidth="1"/>
    <col min="2268" max="2269" width="9.85546875" bestFit="1" customWidth="1"/>
    <col min="2271" max="2272" width="9.85546875" bestFit="1" customWidth="1"/>
    <col min="2273" max="2273" width="12.5703125" bestFit="1" customWidth="1"/>
    <col min="2274" max="2274" width="9.85546875" bestFit="1" customWidth="1"/>
    <col min="2275" max="2276" width="9.28515625" bestFit="1" customWidth="1"/>
    <col min="2277" max="2278" width="9.85546875" bestFit="1" customWidth="1"/>
    <col min="2279" max="2279" width="12.5703125" bestFit="1" customWidth="1"/>
    <col min="2280" max="2280" width="9.28515625" bestFit="1" customWidth="1"/>
    <col min="2281" max="2281" width="9.85546875" bestFit="1" customWidth="1"/>
    <col min="2282" max="2282" width="9.28515625" bestFit="1" customWidth="1"/>
    <col min="2283" max="2283" width="9.85546875" bestFit="1" customWidth="1"/>
    <col min="2285" max="2286" width="9.85546875" bestFit="1" customWidth="1"/>
    <col min="2287" max="2287" width="9.28515625" bestFit="1" customWidth="1"/>
    <col min="2288" max="2290" width="9.85546875" bestFit="1" customWidth="1"/>
    <col min="2291" max="2292" width="9.28515625" bestFit="1" customWidth="1"/>
    <col min="2293" max="2293" width="12.5703125" bestFit="1" customWidth="1"/>
    <col min="2296" max="2297" width="9.85546875" bestFit="1" customWidth="1"/>
    <col min="2298" max="2298" width="9.28515625" bestFit="1" customWidth="1"/>
    <col min="2300" max="2302" width="9.85546875" bestFit="1" customWidth="1"/>
    <col min="2303" max="2304" width="12.5703125" bestFit="1" customWidth="1"/>
    <col min="2305" max="2305" width="9.85546875" bestFit="1" customWidth="1"/>
    <col min="2306" max="2306" width="9.28515625" bestFit="1" customWidth="1"/>
    <col min="2307" max="2307" width="9.85546875" bestFit="1" customWidth="1"/>
    <col min="2308" max="2308" width="12.5703125" bestFit="1" customWidth="1"/>
    <col min="2309" max="2310" width="9.85546875" bestFit="1" customWidth="1"/>
    <col min="2311" max="2311" width="12.5703125" bestFit="1" customWidth="1"/>
    <col min="2312" max="2314" width="9.85546875" bestFit="1" customWidth="1"/>
    <col min="2315" max="2315" width="9.28515625" bestFit="1" customWidth="1"/>
    <col min="2316" max="2316" width="9.85546875" bestFit="1" customWidth="1"/>
    <col min="2318" max="2318" width="9.85546875" bestFit="1" customWidth="1"/>
    <col min="2319" max="2319" width="12.5703125" bestFit="1" customWidth="1"/>
    <col min="2320" max="2322" width="9.28515625" bestFit="1" customWidth="1"/>
    <col min="2323" max="2325" width="9.85546875" bestFit="1" customWidth="1"/>
    <col min="2327" max="2327" width="9.85546875" bestFit="1" customWidth="1"/>
    <col min="2328" max="2328" width="12.5703125" bestFit="1" customWidth="1"/>
    <col min="2329" max="2329" width="9.28515625" bestFit="1" customWidth="1"/>
    <col min="2330" max="2335" width="9.85546875" bestFit="1" customWidth="1"/>
    <col min="2336" max="2336" width="10.85546875" bestFit="1" customWidth="1"/>
    <col min="2337" max="2338" width="9.85546875" bestFit="1" customWidth="1"/>
    <col min="2339" max="2339" width="12.5703125" bestFit="1" customWidth="1"/>
    <col min="2341" max="2341" width="9.85546875" bestFit="1" customWidth="1"/>
    <col min="2342" max="2342" width="12.5703125" bestFit="1" customWidth="1"/>
    <col min="2343" max="2343" width="9.85546875" bestFit="1" customWidth="1"/>
    <col min="2344" max="2344" width="12.5703125" bestFit="1" customWidth="1"/>
    <col min="2345" max="2346" width="9.85546875" bestFit="1" customWidth="1"/>
    <col min="2347" max="2348" width="12.5703125" bestFit="1" customWidth="1"/>
    <col min="2350" max="2350" width="9.85546875" bestFit="1" customWidth="1"/>
    <col min="2351" max="2351" width="9.28515625" bestFit="1" customWidth="1"/>
    <col min="2352" max="2352" width="9.85546875" bestFit="1" customWidth="1"/>
    <col min="2353" max="2353" width="9.28515625" bestFit="1" customWidth="1"/>
    <col min="2354" max="2355" width="9.85546875" bestFit="1" customWidth="1"/>
    <col min="2356" max="2356" width="9.28515625" bestFit="1" customWidth="1"/>
    <col min="2357" max="2357" width="9.85546875" bestFit="1" customWidth="1"/>
    <col min="2358" max="2358" width="9.28515625" bestFit="1" customWidth="1"/>
    <col min="2360" max="2360" width="9.28515625" bestFit="1" customWidth="1"/>
    <col min="2361" max="2361" width="9.85546875" bestFit="1" customWidth="1"/>
    <col min="2362" max="2362" width="12.5703125" bestFit="1" customWidth="1"/>
    <col min="2363" max="2364" width="9.85546875" bestFit="1" customWidth="1"/>
    <col min="2365" max="2365" width="12.5703125" bestFit="1" customWidth="1"/>
    <col min="2367" max="2367" width="9.28515625" bestFit="1" customWidth="1"/>
    <col min="2368" max="2368" width="9.85546875" bestFit="1" customWidth="1"/>
    <col min="2370" max="2370" width="12.5703125" bestFit="1" customWidth="1"/>
    <col min="2371" max="2372" width="9.85546875" bestFit="1" customWidth="1"/>
    <col min="2375" max="2376" width="9.28515625" bestFit="1" customWidth="1"/>
    <col min="2377" max="2377" width="12.5703125" bestFit="1" customWidth="1"/>
    <col min="2378" max="2379" width="9.85546875" bestFit="1" customWidth="1"/>
    <col min="2380" max="2380" width="9.28515625" bestFit="1" customWidth="1"/>
    <col min="2381" max="2381" width="9.85546875" bestFit="1" customWidth="1"/>
    <col min="2382" max="2382" width="10.85546875" bestFit="1" customWidth="1"/>
    <col min="2383" max="2383" width="9.28515625" bestFit="1" customWidth="1"/>
    <col min="2384" max="2385" width="9.85546875" bestFit="1" customWidth="1"/>
    <col min="2386" max="2387" width="9.28515625" bestFit="1" customWidth="1"/>
    <col min="2388" max="2389" width="9.85546875" bestFit="1" customWidth="1"/>
    <col min="2390" max="2390" width="10.85546875" bestFit="1" customWidth="1"/>
    <col min="2391" max="2393" width="9.85546875" bestFit="1" customWidth="1"/>
    <col min="2394" max="2394" width="12.5703125" bestFit="1" customWidth="1"/>
    <col min="2396" max="2396" width="9.85546875" bestFit="1" customWidth="1"/>
    <col min="2397" max="2397" width="9.28515625" bestFit="1" customWidth="1"/>
    <col min="2398" max="2399" width="9.85546875" bestFit="1" customWidth="1"/>
    <col min="2400" max="2400" width="12.5703125" bestFit="1" customWidth="1"/>
    <col min="2401" max="2401" width="9.28515625" bestFit="1" customWidth="1"/>
    <col min="2402" max="2402" width="12.5703125" bestFit="1" customWidth="1"/>
    <col min="2403" max="2403" width="9.85546875" bestFit="1" customWidth="1"/>
    <col min="2405" max="2405" width="9.85546875" bestFit="1" customWidth="1"/>
    <col min="2407" max="2407" width="9.85546875" bestFit="1" customWidth="1"/>
    <col min="2409" max="2416" width="9.85546875" bestFit="1" customWidth="1"/>
    <col min="2417" max="2417" width="9.28515625" bestFit="1" customWidth="1"/>
    <col min="2418" max="2418" width="12.5703125" bestFit="1" customWidth="1"/>
    <col min="2419" max="2419" width="9.85546875" bestFit="1" customWidth="1"/>
    <col min="2421" max="2421" width="12.5703125" bestFit="1" customWidth="1"/>
    <col min="2422" max="2424" width="9.85546875" bestFit="1" customWidth="1"/>
    <col min="2425" max="2425" width="9.28515625" bestFit="1" customWidth="1"/>
    <col min="2426" max="2426" width="9.85546875" bestFit="1" customWidth="1"/>
    <col min="2427" max="2427" width="12.5703125" bestFit="1" customWidth="1"/>
    <col min="2428" max="2428" width="9.28515625" bestFit="1" customWidth="1"/>
    <col min="2429" max="2429" width="9.85546875" bestFit="1" customWidth="1"/>
    <col min="2430" max="2430" width="12.5703125" bestFit="1" customWidth="1"/>
    <col min="2431" max="2431" width="9.85546875" bestFit="1" customWidth="1"/>
    <col min="2432" max="2432" width="12.5703125" bestFit="1" customWidth="1"/>
    <col min="2433" max="2433" width="10.85546875" bestFit="1" customWidth="1"/>
    <col min="2434" max="2434" width="9.85546875" bestFit="1" customWidth="1"/>
    <col min="2437" max="2437" width="9.85546875" bestFit="1" customWidth="1"/>
    <col min="2438" max="2438" width="9.28515625" bestFit="1" customWidth="1"/>
    <col min="2439" max="2439" width="9.85546875" bestFit="1" customWidth="1"/>
    <col min="2440" max="2440" width="12.5703125" bestFit="1" customWidth="1"/>
    <col min="2441" max="2441" width="9.85546875" bestFit="1" customWidth="1"/>
    <col min="2442" max="2442" width="9.28515625" bestFit="1" customWidth="1"/>
    <col min="2444" max="2444" width="9.85546875" bestFit="1" customWidth="1"/>
    <col min="2445" max="2445" width="9.28515625" bestFit="1" customWidth="1"/>
    <col min="2446" max="2446" width="9.85546875" bestFit="1" customWidth="1"/>
    <col min="2448" max="2448" width="9.85546875" bestFit="1" customWidth="1"/>
    <col min="2449" max="2449" width="9.28515625" bestFit="1" customWidth="1"/>
    <col min="2450" max="2451" width="9.85546875" bestFit="1" customWidth="1"/>
    <col min="2453" max="2460" width="9.85546875" bestFit="1" customWidth="1"/>
    <col min="2461" max="2461" width="9.28515625" bestFit="1" customWidth="1"/>
    <col min="2462" max="2465" width="9.85546875" bestFit="1" customWidth="1"/>
    <col min="2467" max="2467" width="9.28515625" bestFit="1" customWidth="1"/>
    <col min="2468" max="2469" width="9.85546875" bestFit="1" customWidth="1"/>
    <col min="2471" max="2473" width="9.85546875" bestFit="1" customWidth="1"/>
    <col min="2474" max="2474" width="9.28515625" bestFit="1" customWidth="1"/>
    <col min="2475" max="2477" width="9.85546875" bestFit="1" customWidth="1"/>
    <col min="2478" max="2480" width="12.5703125" bestFit="1" customWidth="1"/>
    <col min="2482" max="2482" width="9.28515625" bestFit="1" customWidth="1"/>
    <col min="2484" max="2484" width="12.5703125" bestFit="1" customWidth="1"/>
    <col min="2485" max="2488" width="9.85546875" bestFit="1" customWidth="1"/>
    <col min="2490" max="2490" width="12.5703125" bestFit="1" customWidth="1"/>
    <col min="2492" max="2493" width="9.85546875" bestFit="1" customWidth="1"/>
    <col min="2494" max="2494" width="12.5703125" bestFit="1" customWidth="1"/>
    <col min="2495" max="2495" width="9.85546875" bestFit="1" customWidth="1"/>
    <col min="2496" max="2496" width="12.5703125" bestFit="1" customWidth="1"/>
    <col min="2497" max="2497" width="9.28515625" bestFit="1" customWidth="1"/>
    <col min="2498" max="2498" width="9.85546875" bestFit="1" customWidth="1"/>
    <col min="2499" max="2499" width="9.28515625" bestFit="1" customWidth="1"/>
    <col min="2500" max="2500" width="9.85546875" bestFit="1" customWidth="1"/>
    <col min="2501" max="2501" width="12.5703125" bestFit="1" customWidth="1"/>
    <col min="2502" max="2502" width="9.28515625" bestFit="1" customWidth="1"/>
    <col min="2503" max="2503" width="9.85546875" bestFit="1" customWidth="1"/>
    <col min="2504" max="2504" width="12.5703125" bestFit="1" customWidth="1"/>
    <col min="2505" max="2507" width="9.85546875" bestFit="1" customWidth="1"/>
    <col min="2508" max="2508" width="12.5703125" bestFit="1" customWidth="1"/>
    <col min="2509" max="2509" width="9.85546875" bestFit="1" customWidth="1"/>
    <col min="2511" max="2511" width="9.85546875" bestFit="1" customWidth="1"/>
    <col min="2512" max="2512" width="9.28515625" bestFit="1" customWidth="1"/>
    <col min="2513" max="2513" width="12.5703125" bestFit="1" customWidth="1"/>
    <col min="2514" max="2515" width="9.85546875" bestFit="1" customWidth="1"/>
    <col min="2516" max="2516" width="9.28515625" bestFit="1" customWidth="1"/>
    <col min="2517" max="2517" width="12.5703125" bestFit="1" customWidth="1"/>
    <col min="2518" max="2519" width="9.85546875" bestFit="1" customWidth="1"/>
    <col min="2520" max="2520" width="9.28515625" bestFit="1" customWidth="1"/>
    <col min="2521" max="2522" width="12.5703125" bestFit="1" customWidth="1"/>
    <col min="2523" max="2524" width="9.28515625" bestFit="1" customWidth="1"/>
    <col min="2525" max="2525" width="12.5703125" bestFit="1" customWidth="1"/>
    <col min="2526" max="2526" width="9.28515625" bestFit="1" customWidth="1"/>
    <col min="2527" max="2527" width="12.5703125" bestFit="1" customWidth="1"/>
    <col min="2531" max="2531" width="9.85546875" bestFit="1" customWidth="1"/>
    <col min="2533" max="2533" width="12.5703125" bestFit="1" customWidth="1"/>
    <col min="2534" max="2534" width="9.28515625" bestFit="1" customWidth="1"/>
    <col min="2535" max="2536" width="12.5703125" bestFit="1" customWidth="1"/>
    <col min="2538" max="2538" width="9.85546875" bestFit="1" customWidth="1"/>
    <col min="2539" max="2539" width="9.28515625" bestFit="1" customWidth="1"/>
    <col min="2540" max="2540" width="9.85546875" bestFit="1" customWidth="1"/>
    <col min="2541" max="2542" width="12.5703125" bestFit="1" customWidth="1"/>
    <col min="2543" max="2543" width="9.28515625" bestFit="1" customWidth="1"/>
    <col min="2544" max="2544" width="12.5703125" bestFit="1" customWidth="1"/>
    <col min="2545" max="2545" width="9.28515625" bestFit="1" customWidth="1"/>
    <col min="2546" max="2547" width="9.85546875" bestFit="1" customWidth="1"/>
    <col min="2548" max="2548" width="12.5703125" bestFit="1" customWidth="1"/>
    <col min="2549" max="2550" width="9.28515625" bestFit="1" customWidth="1"/>
    <col min="2551" max="2551" width="12.5703125" bestFit="1" customWidth="1"/>
    <col min="2552" max="2553" width="9.85546875" bestFit="1" customWidth="1"/>
    <col min="2555" max="2556" width="9.85546875" bestFit="1" customWidth="1"/>
    <col min="2557" max="2557" width="12.5703125" bestFit="1" customWidth="1"/>
    <col min="2558" max="2559" width="9.85546875" bestFit="1" customWidth="1"/>
    <col min="2560" max="2560" width="9.28515625" bestFit="1" customWidth="1"/>
    <col min="2561" max="2561" width="12.5703125" bestFit="1" customWidth="1"/>
    <col min="2562" max="2562" width="9.85546875" bestFit="1" customWidth="1"/>
    <col min="2563" max="2563" width="9.28515625" bestFit="1" customWidth="1"/>
    <col min="2564" max="2565" width="9.85546875" bestFit="1" customWidth="1"/>
    <col min="2567" max="2567" width="9.28515625" bestFit="1" customWidth="1"/>
    <col min="2568" max="2568" width="12.5703125" bestFit="1" customWidth="1"/>
    <col min="2569" max="2570" width="9.85546875" bestFit="1" customWidth="1"/>
    <col min="2571" max="2572" width="9.28515625" bestFit="1" customWidth="1"/>
    <col min="2573" max="2573" width="12.5703125" bestFit="1" customWidth="1"/>
    <col min="2574" max="2578" width="9.85546875" bestFit="1" customWidth="1"/>
    <col min="2579" max="2579" width="12.5703125" bestFit="1" customWidth="1"/>
    <col min="2581" max="2583" width="9.85546875" bestFit="1" customWidth="1"/>
    <col min="2584" max="2584" width="10.85546875" bestFit="1" customWidth="1"/>
    <col min="2585" max="2585" width="9.28515625" bestFit="1" customWidth="1"/>
    <col min="2587" max="2587" width="9.28515625" bestFit="1" customWidth="1"/>
    <col min="2588" max="2591" width="9.85546875" bestFit="1" customWidth="1"/>
    <col min="2593" max="2593" width="12.5703125" bestFit="1" customWidth="1"/>
    <col min="2594" max="2595" width="9.85546875" bestFit="1" customWidth="1"/>
    <col min="2597" max="2597" width="9.85546875" bestFit="1" customWidth="1"/>
    <col min="2598" max="2598" width="9.28515625" bestFit="1" customWidth="1"/>
    <col min="2600" max="2603" width="9.85546875" bestFit="1" customWidth="1"/>
    <col min="2605" max="2606" width="9.85546875" bestFit="1" customWidth="1"/>
    <col min="2607" max="2607" width="9.28515625" bestFit="1" customWidth="1"/>
    <col min="2608" max="2608" width="12.5703125" bestFit="1" customWidth="1"/>
    <col min="2609" max="2609" width="9.85546875" bestFit="1" customWidth="1"/>
    <col min="2611" max="2611" width="9.85546875" bestFit="1" customWidth="1"/>
    <col min="2612" max="2613" width="9.28515625" bestFit="1" customWidth="1"/>
    <col min="2615" max="2617" width="9.85546875" bestFit="1" customWidth="1"/>
    <col min="2618" max="2618" width="9.28515625" bestFit="1" customWidth="1"/>
    <col min="2619" max="2619" width="9.85546875" bestFit="1" customWidth="1"/>
    <col min="2620" max="2620" width="9.28515625" bestFit="1" customWidth="1"/>
    <col min="2621" max="2621" width="10.85546875" bestFit="1" customWidth="1"/>
    <col min="2623" max="2624" width="9.28515625" bestFit="1" customWidth="1"/>
    <col min="2625" max="2625" width="9.85546875" bestFit="1" customWidth="1"/>
    <col min="2626" max="2627" width="12.5703125" bestFit="1" customWidth="1"/>
    <col min="2628" max="2628" width="9.85546875" bestFit="1" customWidth="1"/>
    <col min="2629" max="2629" width="9.28515625" bestFit="1" customWidth="1"/>
    <col min="2630" max="2630" width="10.85546875" bestFit="1" customWidth="1"/>
    <col min="2631" max="2631" width="9.28515625" bestFit="1" customWidth="1"/>
    <col min="2632" max="2634" width="9.85546875" bestFit="1" customWidth="1"/>
    <col min="2635" max="2636" width="9.28515625" bestFit="1" customWidth="1"/>
    <col min="2637" max="2637" width="9.85546875" bestFit="1" customWidth="1"/>
    <col min="2638" max="2638" width="9.28515625" bestFit="1" customWidth="1"/>
    <col min="2639" max="2642" width="9.85546875" bestFit="1" customWidth="1"/>
    <col min="2643" max="2643" width="9.28515625" bestFit="1" customWidth="1"/>
    <col min="2644" max="2644" width="9.85546875" bestFit="1" customWidth="1"/>
    <col min="2645" max="2645" width="9.28515625" bestFit="1" customWidth="1"/>
    <col min="2647" max="2647" width="9.85546875" bestFit="1" customWidth="1"/>
    <col min="2649" max="2650" width="9.85546875" bestFit="1" customWidth="1"/>
    <col min="2651" max="2651" width="9.28515625" bestFit="1" customWidth="1"/>
    <col min="2652" max="2652" width="9.85546875" bestFit="1" customWidth="1"/>
    <col min="2654" max="2654" width="12.5703125" bestFit="1" customWidth="1"/>
    <col min="2655" max="2655" width="9.85546875" bestFit="1" customWidth="1"/>
    <col min="2656" max="2658" width="9.28515625" bestFit="1" customWidth="1"/>
    <col min="2659" max="2661" width="9.85546875" bestFit="1" customWidth="1"/>
    <col min="2662" max="2663" width="9.28515625" bestFit="1" customWidth="1"/>
    <col min="2664" max="2664" width="9.85546875" bestFit="1" customWidth="1"/>
    <col min="2665" max="2665" width="12.5703125" bestFit="1" customWidth="1"/>
    <col min="2667" max="2667" width="9.85546875" bestFit="1" customWidth="1"/>
    <col min="2669" max="2669" width="9.85546875" bestFit="1" customWidth="1"/>
    <col min="2670" max="2670" width="9.28515625" bestFit="1" customWidth="1"/>
    <col min="2671" max="2671" width="9.85546875" bestFit="1" customWidth="1"/>
    <col min="2673" max="2674" width="9.85546875" bestFit="1" customWidth="1"/>
    <col min="2676" max="2682" width="9.85546875" bestFit="1" customWidth="1"/>
    <col min="2683" max="2683" width="9.28515625" bestFit="1" customWidth="1"/>
    <col min="2684" max="2684" width="9.85546875" bestFit="1" customWidth="1"/>
    <col min="2686" max="2686" width="9.28515625" bestFit="1" customWidth="1"/>
    <col min="2688" max="2688" width="9.85546875" bestFit="1" customWidth="1"/>
    <col min="2689" max="2689" width="12.5703125" bestFit="1" customWidth="1"/>
    <col min="2691" max="2693" width="9.85546875" bestFit="1" customWidth="1"/>
    <col min="2694" max="2694" width="9.28515625" bestFit="1" customWidth="1"/>
    <col min="2695" max="2696" width="9.85546875" bestFit="1" customWidth="1"/>
    <col min="2697" max="2697" width="9.28515625" bestFit="1" customWidth="1"/>
    <col min="2698" max="2700" width="9.85546875" bestFit="1" customWidth="1"/>
    <col min="2701" max="2702" width="12.5703125" bestFit="1" customWidth="1"/>
    <col min="2703" max="2703" width="9.28515625" bestFit="1" customWidth="1"/>
    <col min="2704" max="2705" width="9.85546875" bestFit="1" customWidth="1"/>
    <col min="2706" max="2706" width="12.5703125" bestFit="1" customWidth="1"/>
    <col min="2707" max="2708" width="9.85546875" bestFit="1" customWidth="1"/>
    <col min="2709" max="2709" width="9.28515625" bestFit="1" customWidth="1"/>
    <col min="2711" max="2711" width="9.28515625" bestFit="1" customWidth="1"/>
    <col min="2712" max="2713" width="9.85546875" bestFit="1" customWidth="1"/>
    <col min="2715" max="2717" width="9.85546875" bestFit="1" customWidth="1"/>
    <col min="2718" max="2718" width="9.28515625" bestFit="1" customWidth="1"/>
    <col min="2719" max="2720" width="9.85546875" bestFit="1" customWidth="1"/>
    <col min="2722" max="2722" width="9.85546875" bestFit="1" customWidth="1"/>
    <col min="2723" max="2723" width="12.5703125" bestFit="1" customWidth="1"/>
    <col min="2724" max="2724" width="9.28515625" bestFit="1" customWidth="1"/>
    <col min="2725" max="2725" width="10.85546875" bestFit="1" customWidth="1"/>
    <col min="2726" max="2729" width="9.85546875" bestFit="1" customWidth="1"/>
    <col min="2732" max="2732" width="9.28515625" bestFit="1" customWidth="1"/>
    <col min="2734" max="2734" width="9.85546875" bestFit="1" customWidth="1"/>
    <col min="2735" max="2735" width="12.5703125" bestFit="1" customWidth="1"/>
    <col min="2736" max="2736" width="9.28515625" bestFit="1" customWidth="1"/>
    <col min="2737" max="2739" width="9.85546875" bestFit="1" customWidth="1"/>
    <col min="2740" max="2741" width="12.5703125" bestFit="1" customWidth="1"/>
    <col min="2742" max="2743" width="9.85546875" bestFit="1" customWidth="1"/>
    <col min="2744" max="2744" width="9.28515625" bestFit="1" customWidth="1"/>
    <col min="2745" max="2748" width="9.85546875" bestFit="1" customWidth="1"/>
    <col min="2749" max="2749" width="9.28515625" bestFit="1" customWidth="1"/>
    <col min="2750" max="2750" width="12.5703125" bestFit="1" customWidth="1"/>
    <col min="2751" max="2751" width="9.85546875" bestFit="1" customWidth="1"/>
    <col min="2752" max="2752" width="10.85546875" bestFit="1" customWidth="1"/>
    <col min="2753" max="2753" width="9.85546875" bestFit="1" customWidth="1"/>
    <col min="2754" max="2754" width="12.5703125" bestFit="1" customWidth="1"/>
    <col min="2756" max="2756" width="9.28515625" bestFit="1" customWidth="1"/>
    <col min="2757" max="2759" width="9.85546875" bestFit="1" customWidth="1"/>
    <col min="2761" max="2763" width="9.85546875" bestFit="1" customWidth="1"/>
    <col min="2764" max="2765" width="12.5703125" bestFit="1" customWidth="1"/>
    <col min="2766" max="2766" width="9.85546875" bestFit="1" customWidth="1"/>
    <col min="2767" max="2768" width="12.5703125" bestFit="1" customWidth="1"/>
    <col min="2769" max="2769" width="9.28515625" bestFit="1" customWidth="1"/>
    <col min="2770" max="2770" width="9.85546875" bestFit="1" customWidth="1"/>
    <col min="2771" max="2771" width="9.28515625" bestFit="1" customWidth="1"/>
    <col min="2773" max="2775" width="9.85546875" bestFit="1" customWidth="1"/>
    <col min="2777" max="2781" width="9.85546875" bestFit="1" customWidth="1"/>
    <col min="2782" max="2782" width="9.28515625" bestFit="1" customWidth="1"/>
    <col min="2784" max="2784" width="12.5703125" bestFit="1" customWidth="1"/>
    <col min="2785" max="2785" width="9.85546875" bestFit="1" customWidth="1"/>
    <col min="2786" max="2786" width="9.28515625" bestFit="1" customWidth="1"/>
    <col min="2787" max="2787" width="12.5703125" bestFit="1" customWidth="1"/>
    <col min="2789" max="2789" width="9.28515625" bestFit="1" customWidth="1"/>
    <col min="2793" max="2793" width="12.5703125" bestFit="1" customWidth="1"/>
    <col min="2794" max="2794" width="9.28515625" bestFit="1" customWidth="1"/>
    <col min="2795" max="2795" width="12.5703125" bestFit="1" customWidth="1"/>
    <col min="2796" max="2796" width="9.85546875" bestFit="1" customWidth="1"/>
    <col min="2797" max="2797" width="10.85546875" bestFit="1" customWidth="1"/>
    <col min="2798" max="2799" width="9.28515625" bestFit="1" customWidth="1"/>
    <col min="2801" max="2801" width="9.85546875" bestFit="1" customWidth="1"/>
    <col min="2802" max="2802" width="12.5703125" bestFit="1" customWidth="1"/>
    <col min="2803" max="2804" width="9.85546875" bestFit="1" customWidth="1"/>
    <col min="2806" max="2806" width="9.85546875" bestFit="1" customWidth="1"/>
    <col min="2807" max="2807" width="12.5703125" bestFit="1" customWidth="1"/>
    <col min="2808" max="2808" width="9.85546875" bestFit="1" customWidth="1"/>
    <col min="2809" max="2809" width="9.28515625" bestFit="1" customWidth="1"/>
    <col min="2810" max="2810" width="9.85546875" bestFit="1" customWidth="1"/>
    <col min="2813" max="2814" width="9.85546875" bestFit="1" customWidth="1"/>
    <col min="2815" max="2815" width="12.5703125" bestFit="1" customWidth="1"/>
    <col min="2816" max="2816" width="9.85546875" bestFit="1" customWidth="1"/>
    <col min="2817" max="2817" width="9.28515625" bestFit="1" customWidth="1"/>
    <col min="2818" max="2818" width="10.85546875" bestFit="1" customWidth="1"/>
    <col min="2819" max="2819" width="9.28515625" bestFit="1" customWidth="1"/>
    <col min="2820" max="2820" width="12.5703125" bestFit="1" customWidth="1"/>
    <col min="2821" max="2821" width="9.85546875" bestFit="1" customWidth="1"/>
    <col min="2822" max="2822" width="12.5703125" bestFit="1" customWidth="1"/>
    <col min="2823" max="2824" width="9.85546875" bestFit="1" customWidth="1"/>
    <col min="2825" max="2825" width="9.28515625" bestFit="1" customWidth="1"/>
    <col min="2826" max="2826" width="12.5703125" bestFit="1" customWidth="1"/>
    <col min="2827" max="2827" width="9.28515625" bestFit="1" customWidth="1"/>
    <col min="2828" max="2828" width="12.5703125" bestFit="1" customWidth="1"/>
    <col min="2829" max="2829" width="9.28515625" bestFit="1" customWidth="1"/>
    <col min="2830" max="2832" width="9.85546875" bestFit="1" customWidth="1"/>
    <col min="2833" max="2833" width="12.5703125" bestFit="1" customWidth="1"/>
    <col min="2835" max="2835" width="9.28515625" bestFit="1" customWidth="1"/>
    <col min="2836" max="2839" width="9.85546875" bestFit="1" customWidth="1"/>
    <col min="2841" max="2842" width="9.85546875" bestFit="1" customWidth="1"/>
    <col min="2843" max="2843" width="9.28515625" bestFit="1" customWidth="1"/>
    <col min="2844" max="2844" width="10.85546875" bestFit="1" customWidth="1"/>
    <col min="2845" max="2845" width="9.28515625" bestFit="1" customWidth="1"/>
    <col min="2846" max="2846" width="12.5703125" bestFit="1" customWidth="1"/>
    <col min="2847" max="2847" width="9.85546875" bestFit="1" customWidth="1"/>
    <col min="2849" max="2849" width="9.28515625" bestFit="1" customWidth="1"/>
    <col min="2850" max="2851" width="12.5703125" bestFit="1" customWidth="1"/>
    <col min="2852" max="2852" width="9.85546875" bestFit="1" customWidth="1"/>
    <col min="2853" max="2853" width="12.5703125" bestFit="1" customWidth="1"/>
    <col min="2854" max="2854" width="9.28515625" bestFit="1" customWidth="1"/>
    <col min="2856" max="2857" width="9.85546875" bestFit="1" customWidth="1"/>
    <col min="2858" max="2858" width="10.85546875" bestFit="1" customWidth="1"/>
    <col min="2859" max="2859" width="9.85546875" bestFit="1" customWidth="1"/>
    <col min="2861" max="2861" width="9.85546875" bestFit="1" customWidth="1"/>
    <col min="2862" max="2862" width="9.28515625" bestFit="1" customWidth="1"/>
    <col min="2863" max="2864" width="12.5703125" bestFit="1" customWidth="1"/>
    <col min="2865" max="2865" width="9.85546875" bestFit="1" customWidth="1"/>
    <col min="2866" max="2866" width="12.5703125" bestFit="1" customWidth="1"/>
    <col min="2867" max="2867" width="9.85546875" bestFit="1" customWidth="1"/>
    <col min="2869" max="2872" width="9.85546875" bestFit="1" customWidth="1"/>
    <col min="2874" max="2874" width="9.85546875" bestFit="1" customWidth="1"/>
    <col min="2875" max="2875" width="12.5703125" bestFit="1" customWidth="1"/>
    <col min="2876" max="2876" width="9.85546875" bestFit="1" customWidth="1"/>
    <col min="2877" max="2877" width="9.28515625" bestFit="1" customWidth="1"/>
    <col min="2878" max="2878" width="12.5703125" bestFit="1" customWidth="1"/>
    <col min="2880" max="2880" width="12.5703125" bestFit="1" customWidth="1"/>
    <col min="2881" max="2881" width="9.85546875" bestFit="1" customWidth="1"/>
    <col min="2884" max="2884" width="12.5703125" bestFit="1" customWidth="1"/>
    <col min="2885" max="2888" width="9.85546875" bestFit="1" customWidth="1"/>
    <col min="2889" max="2889" width="9.28515625" bestFit="1" customWidth="1"/>
    <col min="2890" max="2890" width="9.85546875" bestFit="1" customWidth="1"/>
    <col min="2892" max="2892" width="9.85546875" bestFit="1" customWidth="1"/>
    <col min="2894" max="2894" width="9.85546875" bestFit="1" customWidth="1"/>
    <col min="2895" max="2895" width="12.5703125" bestFit="1" customWidth="1"/>
    <col min="2896" max="2896" width="9.28515625" bestFit="1" customWidth="1"/>
    <col min="2897" max="2898" width="12.5703125" bestFit="1" customWidth="1"/>
    <col min="2899" max="2899" width="9.28515625" bestFit="1" customWidth="1"/>
    <col min="2900" max="2901" width="9.85546875" bestFit="1" customWidth="1"/>
    <col min="2902" max="2902" width="9.28515625" bestFit="1" customWidth="1"/>
    <col min="2903" max="2903" width="9.85546875" bestFit="1" customWidth="1"/>
    <col min="2904" max="2904" width="12.5703125" bestFit="1" customWidth="1"/>
    <col min="2906" max="2906" width="12.5703125" bestFit="1" customWidth="1"/>
    <col min="2907" max="2907" width="9.85546875" bestFit="1" customWidth="1"/>
    <col min="2909" max="2915" width="9.85546875" bestFit="1" customWidth="1"/>
    <col min="2916" max="2916" width="9.28515625" bestFit="1" customWidth="1"/>
    <col min="2917" max="2920" width="9.85546875" bestFit="1" customWidth="1"/>
    <col min="2921" max="2921" width="12.5703125" bestFit="1" customWidth="1"/>
    <col min="2922" max="2923" width="9.85546875" bestFit="1" customWidth="1"/>
    <col min="2925" max="2927" width="9.85546875" bestFit="1" customWidth="1"/>
    <col min="2929" max="2931" width="9.85546875" bestFit="1" customWidth="1"/>
    <col min="2932" max="2932" width="9.28515625" bestFit="1" customWidth="1"/>
    <col min="2933" max="2933" width="9.85546875" bestFit="1" customWidth="1"/>
    <col min="2934" max="2934" width="9.28515625" bestFit="1" customWidth="1"/>
    <col min="2936" max="2936" width="12.5703125" bestFit="1" customWidth="1"/>
    <col min="2937" max="2938" width="9.28515625" bestFit="1" customWidth="1"/>
    <col min="2939" max="2940" width="9.85546875" bestFit="1" customWidth="1"/>
    <col min="2941" max="2941" width="9.28515625" bestFit="1" customWidth="1"/>
    <col min="2942" max="2944" width="9.85546875" bestFit="1" customWidth="1"/>
    <col min="2945" max="2945" width="9.28515625" bestFit="1" customWidth="1"/>
    <col min="2946" max="2947" width="9.85546875" bestFit="1" customWidth="1"/>
    <col min="2948" max="2948" width="9.28515625" bestFit="1" customWidth="1"/>
    <col min="2949" max="2949" width="9.85546875" bestFit="1" customWidth="1"/>
    <col min="2951" max="2951" width="9.85546875" bestFit="1" customWidth="1"/>
    <col min="2952" max="2952" width="9.28515625" bestFit="1" customWidth="1"/>
    <col min="2953" max="2953" width="12.5703125" bestFit="1" customWidth="1"/>
    <col min="2954" max="2954" width="9.28515625" bestFit="1" customWidth="1"/>
    <col min="2955" max="2955" width="12.5703125" bestFit="1" customWidth="1"/>
    <col min="2956" max="2956" width="9.85546875" bestFit="1" customWidth="1"/>
    <col min="2958" max="2959" width="9.85546875" bestFit="1" customWidth="1"/>
    <col min="2960" max="2960" width="9.28515625" bestFit="1" customWidth="1"/>
    <col min="2961" max="2963" width="9.85546875" bestFit="1" customWidth="1"/>
    <col min="2964" max="2964" width="9.28515625" bestFit="1" customWidth="1"/>
    <col min="2965" max="2965" width="9.85546875" bestFit="1" customWidth="1"/>
    <col min="2966" max="2966" width="12.5703125" bestFit="1" customWidth="1"/>
    <col min="2967" max="2968" width="9.85546875" bestFit="1" customWidth="1"/>
    <col min="2969" max="2969" width="12.5703125" bestFit="1" customWidth="1"/>
    <col min="2970" max="2972" width="9.85546875" bestFit="1" customWidth="1"/>
    <col min="2974" max="2974" width="12.5703125" bestFit="1" customWidth="1"/>
    <col min="2975" max="2977" width="9.28515625" bestFit="1" customWidth="1"/>
    <col min="2978" max="2982" width="9.85546875" bestFit="1" customWidth="1"/>
    <col min="2983" max="2984" width="9.28515625" bestFit="1" customWidth="1"/>
    <col min="2985" max="2990" width="9.85546875" bestFit="1" customWidth="1"/>
    <col min="2991" max="2991" width="12.5703125" bestFit="1" customWidth="1"/>
    <col min="2992" max="2992" width="9.85546875" bestFit="1" customWidth="1"/>
    <col min="2993" max="2993" width="12.5703125" bestFit="1" customWidth="1"/>
    <col min="2994" max="2995" width="9.85546875" bestFit="1" customWidth="1"/>
    <col min="2996" max="2996" width="9.28515625" bestFit="1" customWidth="1"/>
    <col min="2997" max="2998" width="9.85546875" bestFit="1" customWidth="1"/>
    <col min="2999" max="2999" width="12.5703125" bestFit="1" customWidth="1"/>
    <col min="3000" max="3000" width="9.85546875" bestFit="1" customWidth="1"/>
    <col min="3001" max="3001" width="9.28515625" bestFit="1" customWidth="1"/>
    <col min="3002" max="3002" width="12.5703125" bestFit="1" customWidth="1"/>
    <col min="3003" max="3004" width="9.85546875" bestFit="1" customWidth="1"/>
    <col min="3005" max="3005" width="9.28515625" bestFit="1" customWidth="1"/>
    <col min="3008" max="3008" width="9.28515625" bestFit="1" customWidth="1"/>
    <col min="3009" max="3009" width="9.85546875" bestFit="1" customWidth="1"/>
    <col min="3010" max="3010" width="9.28515625" bestFit="1" customWidth="1"/>
    <col min="3011" max="3011" width="9.85546875" bestFit="1" customWidth="1"/>
    <col min="3012" max="3012" width="12.5703125" bestFit="1" customWidth="1"/>
    <col min="3013" max="3013" width="9.85546875" bestFit="1" customWidth="1"/>
    <col min="3015" max="3015" width="9.85546875" bestFit="1" customWidth="1"/>
    <col min="3016" max="3016" width="9.28515625" bestFit="1" customWidth="1"/>
    <col min="3017" max="3019" width="9.85546875" bestFit="1" customWidth="1"/>
    <col min="3020" max="3020" width="9.28515625" bestFit="1" customWidth="1"/>
    <col min="3022" max="3024" width="9.85546875" bestFit="1" customWidth="1"/>
    <col min="3025" max="3026" width="9.28515625" bestFit="1" customWidth="1"/>
    <col min="3027" max="3027" width="9.85546875" bestFit="1" customWidth="1"/>
    <col min="3028" max="3030" width="12.5703125" bestFit="1" customWidth="1"/>
    <col min="3031" max="3031" width="9.85546875" bestFit="1" customWidth="1"/>
    <col min="3033" max="3036" width="9.85546875" bestFit="1" customWidth="1"/>
    <col min="3038" max="3038" width="9.85546875" bestFit="1" customWidth="1"/>
    <col min="3039" max="3039" width="9.28515625" bestFit="1" customWidth="1"/>
    <col min="3040" max="3040" width="12.5703125" bestFit="1" customWidth="1"/>
    <col min="3041" max="3043" width="9.85546875" bestFit="1" customWidth="1"/>
    <col min="3045" max="3046" width="9.85546875" bestFit="1" customWidth="1"/>
    <col min="3047" max="3047" width="12.5703125" bestFit="1" customWidth="1"/>
    <col min="3048" max="3050" width="9.85546875" bestFit="1" customWidth="1"/>
    <col min="3052" max="3052" width="9.85546875" bestFit="1" customWidth="1"/>
    <col min="3053" max="3053" width="12.5703125" bestFit="1" customWidth="1"/>
    <col min="3055" max="3059" width="9.85546875" bestFit="1" customWidth="1"/>
    <col min="3060" max="3060" width="9.28515625" bestFit="1" customWidth="1"/>
    <col min="3062" max="3064" width="9.85546875" bestFit="1" customWidth="1"/>
    <col min="3067" max="3067" width="9.28515625" bestFit="1" customWidth="1"/>
    <col min="3068" max="3069" width="9.85546875" bestFit="1" customWidth="1"/>
    <col min="3070" max="3070" width="12.5703125" bestFit="1" customWidth="1"/>
    <col min="3071" max="3076" width="9.85546875" bestFit="1" customWidth="1"/>
    <col min="3078" max="3078" width="9.85546875" bestFit="1" customWidth="1"/>
    <col min="3079" max="3079" width="9.28515625" bestFit="1" customWidth="1"/>
    <col min="3080" max="3081" width="9.85546875" bestFit="1" customWidth="1"/>
    <col min="3083" max="3085" width="9.85546875" bestFit="1" customWidth="1"/>
    <col min="3086" max="3086" width="9.28515625" bestFit="1" customWidth="1"/>
    <col min="3087" max="3087" width="9.85546875" bestFit="1" customWidth="1"/>
    <col min="3089" max="3089" width="9.85546875" bestFit="1" customWidth="1"/>
    <col min="3090" max="3091" width="9.28515625" bestFit="1" customWidth="1"/>
    <col min="3092" max="3092" width="10.85546875" bestFit="1" customWidth="1"/>
    <col min="3093" max="3093" width="9.85546875" bestFit="1" customWidth="1"/>
    <col min="3094" max="3095" width="12.5703125" bestFit="1" customWidth="1"/>
    <col min="3096" max="3096" width="9.85546875" bestFit="1" customWidth="1"/>
    <col min="3097" max="3097" width="9.28515625" bestFit="1" customWidth="1"/>
    <col min="3098" max="3098" width="9.85546875" bestFit="1" customWidth="1"/>
    <col min="3100" max="3100" width="9.85546875" bestFit="1" customWidth="1"/>
    <col min="3101" max="3101" width="9.28515625" bestFit="1" customWidth="1"/>
    <col min="3103" max="3104" width="9.85546875" bestFit="1" customWidth="1"/>
    <col min="3105" max="3105" width="9.28515625" bestFit="1" customWidth="1"/>
    <col min="3106" max="3106" width="9.85546875" bestFit="1" customWidth="1"/>
    <col min="3107" max="3107" width="9.28515625" bestFit="1" customWidth="1"/>
    <col min="3109" max="3109" width="9.85546875" bestFit="1" customWidth="1"/>
    <col min="3110" max="3112" width="12.5703125" bestFit="1" customWidth="1"/>
    <col min="3113" max="3116" width="9.85546875" bestFit="1" customWidth="1"/>
    <col min="3117" max="3117" width="12.5703125" bestFit="1" customWidth="1"/>
    <col min="3118" max="3118" width="9.28515625" bestFit="1" customWidth="1"/>
    <col min="3119" max="3119" width="9.85546875" bestFit="1" customWidth="1"/>
    <col min="3120" max="3120" width="9.28515625" bestFit="1" customWidth="1"/>
    <col min="3122" max="3122" width="9.28515625" bestFit="1" customWidth="1"/>
    <col min="3123" max="3125" width="9.85546875" bestFit="1" customWidth="1"/>
    <col min="3126" max="3126" width="9.28515625" bestFit="1" customWidth="1"/>
    <col min="3127" max="3127" width="9.85546875" bestFit="1" customWidth="1"/>
    <col min="3130" max="3130" width="10.85546875" bestFit="1" customWidth="1"/>
    <col min="3131" max="3131" width="9.85546875" bestFit="1" customWidth="1"/>
    <col min="3132" max="3132" width="12.5703125" bestFit="1" customWidth="1"/>
    <col min="3133" max="3133" width="9.28515625" bestFit="1" customWidth="1"/>
    <col min="3134" max="3136" width="9.85546875" bestFit="1" customWidth="1"/>
    <col min="3137" max="3138" width="12.5703125" bestFit="1" customWidth="1"/>
    <col min="3139" max="3139" width="9.28515625" bestFit="1" customWidth="1"/>
    <col min="3140" max="3144" width="9.85546875" bestFit="1" customWidth="1"/>
    <col min="3145" max="3146" width="9.28515625" bestFit="1" customWidth="1"/>
    <col min="3147" max="3147" width="12.5703125" bestFit="1" customWidth="1"/>
    <col min="3149" max="3149" width="9.28515625" bestFit="1" customWidth="1"/>
    <col min="3150" max="3151" width="9.85546875" bestFit="1" customWidth="1"/>
    <col min="3152" max="3152" width="12.5703125" bestFit="1" customWidth="1"/>
    <col min="3153" max="3154" width="9.85546875" bestFit="1" customWidth="1"/>
    <col min="3155" max="3155" width="9.28515625" bestFit="1" customWidth="1"/>
    <col min="3156" max="3156" width="12.5703125" bestFit="1" customWidth="1"/>
    <col min="3157" max="3158" width="9.85546875" bestFit="1" customWidth="1"/>
    <col min="3160" max="3165" width="9.85546875" bestFit="1" customWidth="1"/>
    <col min="3166" max="3166" width="10.85546875" bestFit="1" customWidth="1"/>
    <col min="3167" max="3172" width="9.85546875" bestFit="1" customWidth="1"/>
    <col min="3173" max="3173" width="9.28515625" bestFit="1" customWidth="1"/>
    <col min="3174" max="3174" width="9.85546875" bestFit="1" customWidth="1"/>
    <col min="3175" max="3175" width="9.28515625" bestFit="1" customWidth="1"/>
    <col min="3176" max="3176" width="9.85546875" bestFit="1" customWidth="1"/>
    <col min="3177" max="3178" width="12.5703125" bestFit="1" customWidth="1"/>
    <col min="3179" max="3179" width="9.28515625" bestFit="1" customWidth="1"/>
    <col min="3181" max="3182" width="9.85546875" bestFit="1" customWidth="1"/>
    <col min="3183" max="3183" width="10.85546875" bestFit="1" customWidth="1"/>
    <col min="3184" max="3184" width="9.85546875" bestFit="1" customWidth="1"/>
    <col min="3186" max="3187" width="9.85546875" bestFit="1" customWidth="1"/>
    <col min="3189" max="3191" width="9.85546875" bestFit="1" customWidth="1"/>
    <col min="3192" max="3192" width="12.5703125" bestFit="1" customWidth="1"/>
    <col min="3193" max="3193" width="9.28515625" bestFit="1" customWidth="1"/>
    <col min="3194" max="3194" width="9.85546875" bestFit="1" customWidth="1"/>
    <col min="3195" max="3195" width="9.28515625" bestFit="1" customWidth="1"/>
    <col min="3196" max="3196" width="12.5703125" bestFit="1" customWidth="1"/>
    <col min="3197" max="3197" width="9.85546875" bestFit="1" customWidth="1"/>
    <col min="3198" max="3199" width="9.28515625" bestFit="1" customWidth="1"/>
    <col min="3200" max="3201" width="9.85546875" bestFit="1" customWidth="1"/>
    <col min="3202" max="3202" width="12.5703125" bestFit="1" customWidth="1"/>
    <col min="3204" max="3204" width="12.5703125" bestFit="1" customWidth="1"/>
    <col min="3205" max="3206" width="9.85546875" bestFit="1" customWidth="1"/>
    <col min="3207" max="3208" width="9.28515625" bestFit="1" customWidth="1"/>
    <col min="3209" max="3213" width="9.85546875" bestFit="1" customWidth="1"/>
    <col min="3214" max="3214" width="12.5703125" bestFit="1" customWidth="1"/>
    <col min="3215" max="3216" width="9.85546875" bestFit="1" customWidth="1"/>
    <col min="3217" max="3217" width="9.28515625" bestFit="1" customWidth="1"/>
    <col min="3218" max="3218" width="12.5703125" bestFit="1" customWidth="1"/>
    <col min="3219" max="3219" width="9.28515625" bestFit="1" customWidth="1"/>
    <col min="3220" max="3221" width="12.5703125" bestFit="1" customWidth="1"/>
    <col min="3222" max="3222" width="9.85546875" bestFit="1" customWidth="1"/>
    <col min="3223" max="3223" width="12.5703125" bestFit="1" customWidth="1"/>
    <col min="3224" max="3224" width="9.85546875" bestFit="1" customWidth="1"/>
    <col min="3226" max="3230" width="9.85546875" bestFit="1" customWidth="1"/>
    <col min="3231" max="3231" width="12.5703125" bestFit="1" customWidth="1"/>
    <col min="3233" max="3233" width="9.28515625" bestFit="1" customWidth="1"/>
    <col min="3235" max="3235" width="9.28515625" bestFit="1" customWidth="1"/>
    <col min="3236" max="3237" width="9.85546875" bestFit="1" customWidth="1"/>
    <col min="3238" max="3238" width="10.85546875" bestFit="1" customWidth="1"/>
    <col min="3239" max="3240" width="9.85546875" bestFit="1" customWidth="1"/>
    <col min="3241" max="3241" width="9.28515625" bestFit="1" customWidth="1"/>
    <col min="3242" max="3242" width="9.85546875" bestFit="1" customWidth="1"/>
    <col min="3244" max="3244" width="12.5703125" bestFit="1" customWidth="1"/>
    <col min="3246" max="3247" width="9.28515625" bestFit="1" customWidth="1"/>
    <col min="3248" max="3248" width="12.5703125" bestFit="1" customWidth="1"/>
    <col min="3249" max="3249" width="9.85546875" bestFit="1" customWidth="1"/>
    <col min="3250" max="3250" width="12.5703125" bestFit="1" customWidth="1"/>
    <col min="3251" max="3253" width="9.85546875" bestFit="1" customWidth="1"/>
    <col min="3254" max="3254" width="9.28515625" bestFit="1" customWidth="1"/>
    <col min="3255" max="3255" width="12.5703125" bestFit="1" customWidth="1"/>
    <col min="3256" max="3256" width="9.85546875" bestFit="1" customWidth="1"/>
    <col min="3257" max="3257" width="12.5703125" bestFit="1" customWidth="1"/>
    <col min="3258" max="3263" width="9.85546875" bestFit="1" customWidth="1"/>
    <col min="3264" max="3264" width="12.5703125" bestFit="1" customWidth="1"/>
    <col min="3265" max="3265" width="9.28515625" bestFit="1" customWidth="1"/>
    <col min="3266" max="3268" width="12.5703125" bestFit="1" customWidth="1"/>
    <col min="3269" max="3269" width="9.85546875" bestFit="1" customWidth="1"/>
    <col min="3270" max="3270" width="9.28515625" bestFit="1" customWidth="1"/>
    <col min="3271" max="3271" width="9.85546875" bestFit="1" customWidth="1"/>
    <col min="3272" max="3272" width="12.5703125" bestFit="1" customWidth="1"/>
    <col min="3273" max="3273" width="9.28515625" bestFit="1" customWidth="1"/>
    <col min="3274" max="3274" width="12.5703125" bestFit="1" customWidth="1"/>
    <col min="3275" max="3275" width="9.85546875" bestFit="1" customWidth="1"/>
    <col min="3277" max="3278" width="9.28515625" bestFit="1" customWidth="1"/>
    <col min="3279" max="3279" width="12.5703125" bestFit="1" customWidth="1"/>
    <col min="3280" max="3280" width="9.85546875" bestFit="1" customWidth="1"/>
    <col min="3281" max="3281" width="9.28515625" bestFit="1" customWidth="1"/>
    <col min="3282" max="3283" width="9.85546875" bestFit="1" customWidth="1"/>
    <col min="3284" max="3284" width="9.28515625" bestFit="1" customWidth="1"/>
    <col min="3285" max="3288" width="9.85546875" bestFit="1" customWidth="1"/>
    <col min="3289" max="3289" width="9.28515625" bestFit="1" customWidth="1"/>
    <col min="3290" max="3290" width="9.85546875" bestFit="1" customWidth="1"/>
    <col min="3291" max="3291" width="12.5703125" bestFit="1" customWidth="1"/>
    <col min="3293" max="3294" width="9.85546875" bestFit="1" customWidth="1"/>
    <col min="3296" max="3297" width="9.85546875" bestFit="1" customWidth="1"/>
    <col min="3298" max="3298" width="9.28515625" bestFit="1" customWidth="1"/>
    <col min="3299" max="3299" width="9.85546875" bestFit="1" customWidth="1"/>
    <col min="3300" max="3300" width="12.5703125" bestFit="1" customWidth="1"/>
    <col min="3302" max="3302" width="9.85546875" bestFit="1" customWidth="1"/>
    <col min="3305" max="3305" width="9.28515625" bestFit="1" customWidth="1"/>
    <col min="3307" max="3308" width="9.85546875" bestFit="1" customWidth="1"/>
    <col min="3309" max="3309" width="9.28515625" bestFit="1" customWidth="1"/>
    <col min="3310" max="3310" width="9.85546875" bestFit="1" customWidth="1"/>
    <col min="3311" max="3312" width="12.5703125" bestFit="1" customWidth="1"/>
    <col min="3313" max="3313" width="9.28515625" bestFit="1" customWidth="1"/>
    <col min="3314" max="3314" width="9.85546875" bestFit="1" customWidth="1"/>
    <col min="3316" max="3318" width="9.85546875" bestFit="1" customWidth="1"/>
    <col min="3319" max="3319" width="12.5703125" bestFit="1" customWidth="1"/>
    <col min="3320" max="3320" width="9.85546875" bestFit="1" customWidth="1"/>
    <col min="3322" max="3323" width="9.85546875" bestFit="1" customWidth="1"/>
    <col min="3324" max="3324" width="12.5703125" bestFit="1" customWidth="1"/>
    <col min="3325" max="3325" width="9.28515625" bestFit="1" customWidth="1"/>
    <col min="3326" max="3327" width="9.85546875" bestFit="1" customWidth="1"/>
    <col min="3329" max="3331" width="9.85546875" bestFit="1" customWidth="1"/>
    <col min="3332" max="3332" width="10.85546875" bestFit="1" customWidth="1"/>
    <col min="3333" max="3334" width="9.85546875" bestFit="1" customWidth="1"/>
    <col min="3337" max="3341" width="9.85546875" bestFit="1" customWidth="1"/>
    <col min="3342" max="3342" width="9.28515625" bestFit="1" customWidth="1"/>
    <col min="3343" max="3343" width="9.85546875" bestFit="1" customWidth="1"/>
    <col min="3344" max="3344" width="9.28515625" bestFit="1" customWidth="1"/>
    <col min="3345" max="3347" width="9.85546875" bestFit="1" customWidth="1"/>
    <col min="3348" max="3349" width="12.5703125" bestFit="1" customWidth="1"/>
    <col min="3350" max="3350" width="9.85546875" bestFit="1" customWidth="1"/>
    <col min="3351" max="3351" width="10.85546875" bestFit="1" customWidth="1"/>
    <col min="3353" max="3353" width="9.28515625" bestFit="1" customWidth="1"/>
    <col min="3354" max="3354" width="9.85546875" bestFit="1" customWidth="1"/>
    <col min="3356" max="3356" width="9.28515625" bestFit="1" customWidth="1"/>
    <col min="3357" max="3359" width="9.85546875" bestFit="1" customWidth="1"/>
    <col min="3360" max="3360" width="12.5703125" bestFit="1" customWidth="1"/>
    <col min="3361" max="3363" width="9.85546875" bestFit="1" customWidth="1"/>
    <col min="3365" max="3366" width="9.85546875" bestFit="1" customWidth="1"/>
    <col min="3368" max="3368" width="12.5703125" bestFit="1" customWidth="1"/>
    <col min="3369" max="3369" width="9.85546875" bestFit="1" customWidth="1"/>
    <col min="3370" max="3370" width="9.28515625" bestFit="1" customWidth="1"/>
    <col min="3372" max="3373" width="9.28515625" bestFit="1" customWidth="1"/>
    <col min="3374" max="3374" width="9.85546875" bestFit="1" customWidth="1"/>
    <col min="3376" max="3376" width="9.28515625" bestFit="1" customWidth="1"/>
    <col min="3377" max="3377" width="9.85546875" bestFit="1" customWidth="1"/>
    <col min="3378" max="3378" width="10.85546875" bestFit="1" customWidth="1"/>
    <col min="3379" max="3379" width="9.85546875" bestFit="1" customWidth="1"/>
    <col min="3380" max="3382" width="12.5703125" bestFit="1" customWidth="1"/>
    <col min="3383" max="3383" width="9.28515625" bestFit="1" customWidth="1"/>
    <col min="3387" max="3387" width="9.28515625" bestFit="1" customWidth="1"/>
    <col min="3388" max="3388" width="12.5703125" bestFit="1" customWidth="1"/>
    <col min="3389" max="3390" width="9.85546875" bestFit="1" customWidth="1"/>
    <col min="3391" max="3391" width="9.28515625" bestFit="1" customWidth="1"/>
    <col min="3392" max="3393" width="9.85546875" bestFit="1" customWidth="1"/>
    <col min="3394" max="3395" width="9.28515625" bestFit="1" customWidth="1"/>
    <col min="3396" max="3396" width="9.85546875" bestFit="1" customWidth="1"/>
    <col min="3397" max="3397" width="9.28515625" bestFit="1" customWidth="1"/>
    <col min="3398" max="3399" width="12.5703125" bestFit="1" customWidth="1"/>
    <col min="3400" max="3402" width="9.85546875" bestFit="1" customWidth="1"/>
    <col min="3404" max="3404" width="9.85546875" bestFit="1" customWidth="1"/>
    <col min="3405" max="3406" width="9.28515625" bestFit="1" customWidth="1"/>
    <col min="3408" max="3408" width="9.28515625" bestFit="1" customWidth="1"/>
    <col min="3410" max="3410" width="12.5703125" bestFit="1" customWidth="1"/>
    <col min="3411" max="3412" width="9.85546875" bestFit="1" customWidth="1"/>
    <col min="3414" max="3414" width="12.5703125" bestFit="1" customWidth="1"/>
    <col min="3415" max="3415" width="9.85546875" bestFit="1" customWidth="1"/>
    <col min="3416" max="3416" width="9.28515625" bestFit="1" customWidth="1"/>
    <col min="3418" max="3418" width="9.85546875" bestFit="1" customWidth="1"/>
    <col min="3420" max="3420" width="12.5703125" bestFit="1" customWidth="1"/>
    <col min="3421" max="3421" width="9.28515625" bestFit="1" customWidth="1"/>
    <col min="3422" max="3422" width="12.5703125" bestFit="1" customWidth="1"/>
    <col min="3423" max="3423" width="9.28515625" bestFit="1" customWidth="1"/>
    <col min="3425" max="3427" width="9.85546875" bestFit="1" customWidth="1"/>
    <col min="3428" max="3428" width="12.5703125" bestFit="1" customWidth="1"/>
    <col min="3429" max="3430" width="9.85546875" bestFit="1" customWidth="1"/>
    <col min="3431" max="3432" width="12.5703125" bestFit="1" customWidth="1"/>
    <col min="3433" max="3433" width="9.85546875" bestFit="1" customWidth="1"/>
    <col min="3434" max="3434" width="12.5703125" bestFit="1" customWidth="1"/>
    <col min="3436" max="3436" width="12.5703125" bestFit="1" customWidth="1"/>
    <col min="3437" max="3438" width="9.28515625" bestFit="1" customWidth="1"/>
    <col min="3439" max="3439" width="12.5703125" bestFit="1" customWidth="1"/>
    <col min="3441" max="3445" width="9.85546875" bestFit="1" customWidth="1"/>
    <col min="3447" max="3447" width="10.85546875" bestFit="1" customWidth="1"/>
    <col min="3448" max="3448" width="12.5703125" bestFit="1" customWidth="1"/>
    <col min="3449" max="3449" width="9.85546875" bestFit="1" customWidth="1"/>
    <col min="3450" max="3450" width="9.28515625" bestFit="1" customWidth="1"/>
    <col min="3451" max="3452" width="9.85546875" bestFit="1" customWidth="1"/>
    <col min="3453" max="3453" width="9.28515625" bestFit="1" customWidth="1"/>
    <col min="3454" max="3454" width="9.85546875" bestFit="1" customWidth="1"/>
    <col min="3455" max="3456" width="12.5703125" bestFit="1" customWidth="1"/>
    <col min="3457" max="3457" width="9.28515625" bestFit="1" customWidth="1"/>
    <col min="3459" max="3459" width="12.5703125" bestFit="1" customWidth="1"/>
    <col min="3460" max="3461" width="9.85546875" bestFit="1" customWidth="1"/>
    <col min="3463" max="3463" width="12.5703125" bestFit="1" customWidth="1"/>
    <col min="3465" max="3467" width="9.85546875" bestFit="1" customWidth="1"/>
    <col min="3468" max="3468" width="9.28515625" bestFit="1" customWidth="1"/>
    <col min="3469" max="3470" width="9.85546875" bestFit="1" customWidth="1"/>
    <col min="3471" max="3471" width="12.5703125" bestFit="1" customWidth="1"/>
    <col min="3473" max="3474" width="9.85546875" bestFit="1" customWidth="1"/>
    <col min="3476" max="3476" width="10.85546875" bestFit="1" customWidth="1"/>
    <col min="3477" max="3477" width="9.85546875" bestFit="1" customWidth="1"/>
    <col min="3480" max="3487" width="9.85546875" bestFit="1" customWidth="1"/>
    <col min="3488" max="3488" width="9.28515625" bestFit="1" customWidth="1"/>
    <col min="3489" max="3489" width="9.85546875" bestFit="1" customWidth="1"/>
    <col min="3490" max="3490" width="9.28515625" bestFit="1" customWidth="1"/>
    <col min="3491" max="3491" width="9.85546875" bestFit="1" customWidth="1"/>
    <col min="3492" max="3492" width="9.28515625" bestFit="1" customWidth="1"/>
    <col min="3493" max="3493" width="9.85546875" bestFit="1" customWidth="1"/>
    <col min="3495" max="3495" width="12.5703125" bestFit="1" customWidth="1"/>
    <col min="3496" max="3500" width="9.85546875" bestFit="1" customWidth="1"/>
    <col min="3501" max="3501" width="9.28515625" bestFit="1" customWidth="1"/>
    <col min="3502" max="3502" width="9.85546875" bestFit="1" customWidth="1"/>
    <col min="3503" max="3503" width="12.5703125" bestFit="1" customWidth="1"/>
    <col min="3504" max="3504" width="9.28515625" bestFit="1" customWidth="1"/>
    <col min="3505" max="3506" width="9.85546875" bestFit="1" customWidth="1"/>
    <col min="3507" max="3507" width="12.5703125" bestFit="1" customWidth="1"/>
    <col min="3508" max="3508" width="9.85546875" bestFit="1" customWidth="1"/>
    <col min="3510" max="3512" width="9.85546875" bestFit="1" customWidth="1"/>
    <col min="3513" max="3513" width="9.28515625" bestFit="1" customWidth="1"/>
    <col min="3514" max="3514" width="12.5703125" bestFit="1" customWidth="1"/>
    <col min="3515" max="3515" width="9.85546875" bestFit="1" customWidth="1"/>
    <col min="3517" max="3521" width="9.85546875" bestFit="1" customWidth="1"/>
    <col min="3522" max="3522" width="9.28515625" bestFit="1" customWidth="1"/>
    <col min="3523" max="3523" width="12.5703125" bestFit="1" customWidth="1"/>
    <col min="3524" max="3526" width="9.28515625" bestFit="1" customWidth="1"/>
    <col min="3527" max="3527" width="9.85546875" bestFit="1" customWidth="1"/>
    <col min="3528" max="3528" width="9.28515625" bestFit="1" customWidth="1"/>
    <col min="3529" max="3529" width="9.85546875" bestFit="1" customWidth="1"/>
    <col min="3533" max="3537" width="9.85546875" bestFit="1" customWidth="1"/>
    <col min="3538" max="3538" width="9.28515625" bestFit="1" customWidth="1"/>
    <col min="3539" max="3540" width="9.85546875" bestFit="1" customWidth="1"/>
    <col min="3541" max="3541" width="12.5703125" bestFit="1" customWidth="1"/>
    <col min="3542" max="3542" width="9.28515625" bestFit="1" customWidth="1"/>
    <col min="3543" max="3543" width="9.85546875" bestFit="1" customWidth="1"/>
    <col min="3545" max="3545" width="9.85546875" bestFit="1" customWidth="1"/>
    <col min="3548" max="3551" width="9.85546875" bestFit="1" customWidth="1"/>
    <col min="3552" max="3554" width="12.5703125" bestFit="1" customWidth="1"/>
    <col min="3555" max="3555" width="9.85546875" bestFit="1" customWidth="1"/>
    <col min="3556" max="3556" width="12.5703125" bestFit="1" customWidth="1"/>
    <col min="3557" max="3558" width="9.85546875" bestFit="1" customWidth="1"/>
    <col min="3559" max="3559" width="9.28515625" bestFit="1" customWidth="1"/>
    <col min="3560" max="3560" width="12.5703125" bestFit="1" customWidth="1"/>
    <col min="3561" max="3562" width="9.85546875" bestFit="1" customWidth="1"/>
    <col min="3565" max="3565" width="9.85546875" bestFit="1" customWidth="1"/>
    <col min="3566" max="3566" width="10.85546875" bestFit="1" customWidth="1"/>
    <col min="3567" max="3569" width="9.85546875" bestFit="1" customWidth="1"/>
    <col min="3570" max="3570" width="12.5703125" bestFit="1" customWidth="1"/>
    <col min="3571" max="3571" width="9.85546875" bestFit="1" customWidth="1"/>
    <col min="3572" max="3572" width="12.5703125" bestFit="1" customWidth="1"/>
    <col min="3573" max="3573" width="9.85546875" bestFit="1" customWidth="1"/>
    <col min="3575" max="3575" width="9.85546875" bestFit="1" customWidth="1"/>
    <col min="3576" max="3576" width="10.85546875" bestFit="1" customWidth="1"/>
    <col min="3577" max="3577" width="9.28515625" bestFit="1" customWidth="1"/>
    <col min="3578" max="3578" width="9.85546875" bestFit="1" customWidth="1"/>
    <col min="3579" max="3579" width="9.28515625" bestFit="1" customWidth="1"/>
    <col min="3581" max="3581" width="10.85546875" bestFit="1" customWidth="1"/>
    <col min="3582" max="3582" width="9.28515625" bestFit="1" customWidth="1"/>
    <col min="3583" max="3584" width="9.85546875" bestFit="1" customWidth="1"/>
    <col min="3585" max="3585" width="9.28515625" bestFit="1" customWidth="1"/>
    <col min="3586" max="3587" width="9.85546875" bestFit="1" customWidth="1"/>
    <col min="3588" max="3588" width="12.5703125" bestFit="1" customWidth="1"/>
    <col min="3589" max="3589" width="9.85546875" bestFit="1" customWidth="1"/>
    <col min="3590" max="3590" width="12.5703125" bestFit="1" customWidth="1"/>
    <col min="3591" max="3591" width="9.28515625" bestFit="1" customWidth="1"/>
    <col min="3592" max="3593" width="9.85546875" bestFit="1" customWidth="1"/>
    <col min="3594" max="3594" width="9.28515625" bestFit="1" customWidth="1"/>
    <col min="3596" max="3596" width="9.28515625" bestFit="1" customWidth="1"/>
    <col min="3598" max="3598" width="9.28515625" bestFit="1" customWidth="1"/>
    <col min="3599" max="3600" width="9.85546875" bestFit="1" customWidth="1"/>
    <col min="3601" max="3601" width="9.28515625" bestFit="1" customWidth="1"/>
    <col min="3602" max="3602" width="9.85546875" bestFit="1" customWidth="1"/>
    <col min="3603" max="3603" width="9.28515625" bestFit="1" customWidth="1"/>
    <col min="3604" max="3604" width="9.85546875" bestFit="1" customWidth="1"/>
    <col min="3605" max="3605" width="12.5703125" bestFit="1" customWidth="1"/>
    <col min="3607" max="3607" width="9.85546875" bestFit="1" customWidth="1"/>
    <col min="3609" max="3609" width="9.85546875" bestFit="1" customWidth="1"/>
    <col min="3610" max="3610" width="12.5703125" bestFit="1" customWidth="1"/>
    <col min="3611" max="3611" width="9.28515625" bestFit="1" customWidth="1"/>
    <col min="3612" max="3612" width="9.85546875" bestFit="1" customWidth="1"/>
    <col min="3613" max="3613" width="10.85546875" bestFit="1" customWidth="1"/>
    <col min="3614" max="3614" width="9.28515625" bestFit="1" customWidth="1"/>
    <col min="3615" max="3617" width="12.5703125" bestFit="1" customWidth="1"/>
    <col min="3618" max="3618" width="10.85546875" bestFit="1" customWidth="1"/>
    <col min="3619" max="3619" width="9.28515625" bestFit="1" customWidth="1"/>
    <col min="3620" max="3623" width="9.85546875" bestFit="1" customWidth="1"/>
    <col min="3624" max="3624" width="9.28515625" bestFit="1" customWidth="1"/>
    <col min="3626" max="3626" width="9.28515625" bestFit="1" customWidth="1"/>
    <col min="3627" max="3628" width="9.85546875" bestFit="1" customWidth="1"/>
    <col min="3629" max="3629" width="12.5703125" bestFit="1" customWidth="1"/>
    <col min="3630" max="3630" width="9.28515625" bestFit="1" customWidth="1"/>
    <col min="3632" max="3632" width="9.85546875" bestFit="1" customWidth="1"/>
    <col min="3635" max="3635" width="9.85546875" bestFit="1" customWidth="1"/>
    <col min="3636" max="3636" width="9.28515625" bestFit="1" customWidth="1"/>
    <col min="3638" max="3639" width="9.85546875" bestFit="1" customWidth="1"/>
    <col min="3641" max="3641" width="12.5703125" bestFit="1" customWidth="1"/>
    <col min="3642" max="3642" width="9.85546875" bestFit="1" customWidth="1"/>
    <col min="3644" max="3646" width="9.85546875" bestFit="1" customWidth="1"/>
    <col min="3647" max="3647" width="12.5703125" bestFit="1" customWidth="1"/>
    <col min="3648" max="3648" width="9.85546875" bestFit="1" customWidth="1"/>
    <col min="3649" max="3649" width="12.5703125" bestFit="1" customWidth="1"/>
    <col min="3650" max="3653" width="9.85546875" bestFit="1" customWidth="1"/>
    <col min="3654" max="3654" width="9.28515625" bestFit="1" customWidth="1"/>
    <col min="3655" max="3655" width="9.85546875" bestFit="1" customWidth="1"/>
    <col min="3656" max="3656" width="12.5703125" bestFit="1" customWidth="1"/>
    <col min="3657" max="3657" width="9.85546875" bestFit="1" customWidth="1"/>
    <col min="3659" max="3659" width="9.85546875" bestFit="1" customWidth="1"/>
    <col min="3661" max="3661" width="9.85546875" bestFit="1" customWidth="1"/>
    <col min="3662" max="3662" width="9.28515625" bestFit="1" customWidth="1"/>
    <col min="3663" max="3664" width="9.85546875" bestFit="1" customWidth="1"/>
    <col min="3665" max="3665" width="9.28515625" bestFit="1" customWidth="1"/>
    <col min="3666" max="3666" width="9.85546875" bestFit="1" customWidth="1"/>
    <col min="3667" max="3667" width="9.28515625" bestFit="1" customWidth="1"/>
    <col min="3668" max="3668" width="9.85546875" bestFit="1" customWidth="1"/>
    <col min="3669" max="3669" width="9.28515625" bestFit="1" customWidth="1"/>
    <col min="3670" max="3670" width="9.85546875" bestFit="1" customWidth="1"/>
    <col min="3671" max="3671" width="9.28515625" bestFit="1" customWidth="1"/>
    <col min="3672" max="3675" width="9.85546875" bestFit="1" customWidth="1"/>
    <col min="3676" max="3676" width="9.28515625" bestFit="1" customWidth="1"/>
    <col min="3677" max="3677" width="12.5703125" bestFit="1" customWidth="1"/>
    <col min="3678" max="3678" width="9.85546875" bestFit="1" customWidth="1"/>
    <col min="3679" max="3680" width="12.5703125" bestFit="1" customWidth="1"/>
    <col min="3681" max="3682" width="9.85546875" bestFit="1" customWidth="1"/>
    <col min="3683" max="3683" width="9.28515625" bestFit="1" customWidth="1"/>
    <col min="3684" max="3684" width="12.5703125" bestFit="1" customWidth="1"/>
    <col min="3685" max="3685" width="9.85546875" bestFit="1" customWidth="1"/>
    <col min="3686" max="3686" width="12.5703125" bestFit="1" customWidth="1"/>
    <col min="3688" max="3689" width="9.85546875" bestFit="1" customWidth="1"/>
    <col min="3691" max="3691" width="9.85546875" bestFit="1" customWidth="1"/>
    <col min="3693" max="3694" width="12.5703125" bestFit="1" customWidth="1"/>
    <col min="3695" max="3695" width="9.85546875" bestFit="1" customWidth="1"/>
    <col min="3696" max="3696" width="9.28515625" bestFit="1" customWidth="1"/>
    <col min="3697" max="3699" width="9.85546875" bestFit="1" customWidth="1"/>
    <col min="3700" max="3700" width="12.5703125" bestFit="1" customWidth="1"/>
    <col min="3701" max="3702" width="9.85546875" bestFit="1" customWidth="1"/>
    <col min="3703" max="3703" width="9.28515625" bestFit="1" customWidth="1"/>
    <col min="3705" max="3705" width="9.85546875" bestFit="1" customWidth="1"/>
    <col min="3706" max="3706" width="12.5703125" bestFit="1" customWidth="1"/>
    <col min="3707" max="3714" width="9.85546875" bestFit="1" customWidth="1"/>
    <col min="3715" max="3716" width="12.5703125" bestFit="1" customWidth="1"/>
    <col min="3718" max="3718" width="9.28515625" bestFit="1" customWidth="1"/>
    <col min="3719" max="3722" width="9.85546875" bestFit="1" customWidth="1"/>
    <col min="3723" max="3723" width="12.5703125" bestFit="1" customWidth="1"/>
    <col min="3724" max="3724" width="9.85546875" bestFit="1" customWidth="1"/>
    <col min="3725" max="3725" width="9.28515625" bestFit="1" customWidth="1"/>
    <col min="3726" max="3726" width="9.85546875" bestFit="1" customWidth="1"/>
    <col min="3728" max="3734" width="9.85546875" bestFit="1" customWidth="1"/>
    <col min="3735" max="3735" width="10.85546875" bestFit="1" customWidth="1"/>
    <col min="3737" max="3737" width="12.5703125" bestFit="1" customWidth="1"/>
    <col min="3738" max="3741" width="9.85546875" bestFit="1" customWidth="1"/>
    <col min="3742" max="3742" width="9.28515625" bestFit="1" customWidth="1"/>
    <col min="3743" max="3743" width="9.85546875" bestFit="1" customWidth="1"/>
    <col min="3744" max="3748" width="9.28515625" bestFit="1" customWidth="1"/>
    <col min="3749" max="3749" width="12.5703125" bestFit="1" customWidth="1"/>
    <col min="3750" max="3750" width="9.28515625" bestFit="1" customWidth="1"/>
    <col min="3751" max="3751" width="9.85546875" bestFit="1" customWidth="1"/>
    <col min="3752" max="3752" width="12.5703125" bestFit="1" customWidth="1"/>
    <col min="3753" max="3753" width="9.85546875" bestFit="1" customWidth="1"/>
    <col min="3755" max="3756" width="12.5703125" bestFit="1" customWidth="1"/>
    <col min="3757" max="3758" width="9.85546875" bestFit="1" customWidth="1"/>
    <col min="3759" max="3759" width="12.5703125" bestFit="1" customWidth="1"/>
    <col min="3760" max="3761" width="9.85546875" bestFit="1" customWidth="1"/>
    <col min="3762" max="3762" width="12.5703125" bestFit="1" customWidth="1"/>
    <col min="3763" max="3763" width="9.85546875" bestFit="1" customWidth="1"/>
    <col min="3764" max="3764" width="12.5703125" bestFit="1" customWidth="1"/>
    <col min="3765" max="3766" width="9.28515625" bestFit="1" customWidth="1"/>
    <col min="3767" max="3767" width="9.85546875" bestFit="1" customWidth="1"/>
    <col min="3768" max="3768" width="9.28515625" bestFit="1" customWidth="1"/>
    <col min="3769" max="3769" width="12.5703125" bestFit="1" customWidth="1"/>
    <col min="3771" max="3771" width="9.85546875" bestFit="1" customWidth="1"/>
    <col min="3772" max="3772" width="9.28515625" bestFit="1" customWidth="1"/>
    <col min="3773" max="3773" width="12.5703125" bestFit="1" customWidth="1"/>
    <col min="3774" max="3774" width="9.85546875" bestFit="1" customWidth="1"/>
    <col min="3775" max="3775" width="12.5703125" bestFit="1" customWidth="1"/>
    <col min="3777" max="3777" width="9.28515625" bestFit="1" customWidth="1"/>
    <col min="3778" max="3778" width="9.85546875" bestFit="1" customWidth="1"/>
    <col min="3781" max="3782" width="9.85546875" bestFit="1" customWidth="1"/>
    <col min="3783" max="3783" width="12.5703125" bestFit="1" customWidth="1"/>
    <col min="3784" max="3785" width="9.85546875" bestFit="1" customWidth="1"/>
    <col min="3786" max="3786" width="9.28515625" bestFit="1" customWidth="1"/>
    <col min="3788" max="3792" width="9.85546875" bestFit="1" customWidth="1"/>
    <col min="3793" max="3793" width="9.28515625" bestFit="1" customWidth="1"/>
    <col min="3794" max="3794" width="12.5703125" bestFit="1" customWidth="1"/>
    <col min="3796" max="3796" width="9.28515625" bestFit="1" customWidth="1"/>
    <col min="3797" max="3798" width="12.5703125" bestFit="1" customWidth="1"/>
    <col min="3799" max="3799" width="9.85546875" bestFit="1" customWidth="1"/>
    <col min="3800" max="3800" width="12.5703125" bestFit="1" customWidth="1"/>
    <col min="3801" max="3803" width="9.85546875" bestFit="1" customWidth="1"/>
    <col min="3804" max="3804" width="12.5703125" bestFit="1" customWidth="1"/>
    <col min="3805" max="3805" width="9.85546875" bestFit="1" customWidth="1"/>
    <col min="3806" max="3806" width="12.5703125" bestFit="1" customWidth="1"/>
    <col min="3807" max="3808" width="9.28515625" bestFit="1" customWidth="1"/>
    <col min="3809" max="3809" width="12.5703125" bestFit="1" customWidth="1"/>
    <col min="3810" max="3811" width="9.85546875" bestFit="1" customWidth="1"/>
    <col min="3812" max="3812" width="9.28515625" bestFit="1" customWidth="1"/>
    <col min="3813" max="3815" width="9.85546875" bestFit="1" customWidth="1"/>
    <col min="3817" max="3817" width="9.85546875" bestFit="1" customWidth="1"/>
    <col min="3818" max="3818" width="12.5703125" bestFit="1" customWidth="1"/>
    <col min="3819" max="3819" width="9.85546875" bestFit="1" customWidth="1"/>
    <col min="3820" max="3820" width="12.5703125" bestFit="1" customWidth="1"/>
    <col min="3821" max="3821" width="9.85546875" bestFit="1" customWidth="1"/>
    <col min="3823" max="3823" width="9.85546875" bestFit="1" customWidth="1"/>
    <col min="3824" max="3826" width="9.28515625" bestFit="1" customWidth="1"/>
    <col min="3828" max="3829" width="9.85546875" bestFit="1" customWidth="1"/>
    <col min="3830" max="3830" width="12.5703125" bestFit="1" customWidth="1"/>
    <col min="3831" max="3831" width="9.85546875" bestFit="1" customWidth="1"/>
    <col min="3832" max="3833" width="9.28515625" bestFit="1" customWidth="1"/>
    <col min="3834" max="3837" width="9.85546875" bestFit="1" customWidth="1"/>
    <col min="3839" max="3841" width="9.85546875" bestFit="1" customWidth="1"/>
    <col min="3842" max="3842" width="10.85546875" bestFit="1" customWidth="1"/>
    <col min="3843" max="3844" width="9.85546875" bestFit="1" customWidth="1"/>
    <col min="3845" max="3845" width="9.28515625" bestFit="1" customWidth="1"/>
    <col min="3846" max="3848" width="9.85546875" bestFit="1" customWidth="1"/>
    <col min="3849" max="3849" width="9.28515625" bestFit="1" customWidth="1"/>
    <col min="3850" max="3850" width="12.5703125" bestFit="1" customWidth="1"/>
    <col min="3851" max="3851" width="10.85546875" bestFit="1" customWidth="1"/>
    <col min="3852" max="3852" width="9.85546875" bestFit="1" customWidth="1"/>
    <col min="3854" max="3855" width="9.85546875" bestFit="1" customWidth="1"/>
    <col min="3856" max="3857" width="9.28515625" bestFit="1" customWidth="1"/>
    <col min="3858" max="3859" width="9.85546875" bestFit="1" customWidth="1"/>
    <col min="3860" max="3860" width="12.5703125" bestFit="1" customWidth="1"/>
    <col min="3861" max="3863" width="9.85546875" bestFit="1" customWidth="1"/>
    <col min="3864" max="3864" width="9.28515625" bestFit="1" customWidth="1"/>
    <col min="3865" max="3866" width="9.85546875" bestFit="1" customWidth="1"/>
    <col min="3867" max="3867" width="9.28515625" bestFit="1" customWidth="1"/>
    <col min="3868" max="3868" width="9.85546875" bestFit="1" customWidth="1"/>
    <col min="3871" max="3871" width="9.85546875" bestFit="1" customWidth="1"/>
    <col min="3873" max="3873" width="12.5703125" bestFit="1" customWidth="1"/>
    <col min="3874" max="3876" width="9.85546875" bestFit="1" customWidth="1"/>
    <col min="3877" max="3877" width="12.5703125" bestFit="1" customWidth="1"/>
    <col min="3879" max="3879" width="9.85546875" bestFit="1" customWidth="1"/>
    <col min="3880" max="3880" width="12.5703125" bestFit="1" customWidth="1"/>
    <col min="3881" max="3881" width="9.85546875" bestFit="1" customWidth="1"/>
    <col min="3882" max="3882" width="12.5703125" bestFit="1" customWidth="1"/>
    <col min="3883" max="3884" width="9.85546875" bestFit="1" customWidth="1"/>
    <col min="3885" max="3885" width="12.5703125" bestFit="1" customWidth="1"/>
    <col min="3886" max="3886" width="9.28515625" bestFit="1" customWidth="1"/>
    <col min="3887" max="3888" width="9.85546875" bestFit="1" customWidth="1"/>
    <col min="3889" max="3889" width="9.28515625" bestFit="1" customWidth="1"/>
    <col min="3891" max="3891" width="9.28515625" bestFit="1" customWidth="1"/>
    <col min="3892" max="3892" width="9.85546875" bestFit="1" customWidth="1"/>
    <col min="3893" max="3894" width="9.28515625" bestFit="1" customWidth="1"/>
    <col min="3895" max="3895" width="12.5703125" bestFit="1" customWidth="1"/>
    <col min="3897" max="3897" width="9.85546875" bestFit="1" customWidth="1"/>
    <col min="3898" max="3898" width="12.5703125" bestFit="1" customWidth="1"/>
    <col min="3899" max="3908" width="9.85546875" bestFit="1" customWidth="1"/>
    <col min="3910" max="3911" width="9.85546875" bestFit="1" customWidth="1"/>
    <col min="3913" max="3914" width="9.28515625" bestFit="1" customWidth="1"/>
    <col min="3915" max="3916" width="12.5703125" bestFit="1" customWidth="1"/>
    <col min="3917" max="3917" width="9.28515625" bestFit="1" customWidth="1"/>
    <col min="3918" max="3919" width="9.85546875" bestFit="1" customWidth="1"/>
    <col min="3921" max="3921" width="9.28515625" bestFit="1" customWidth="1"/>
    <col min="3922" max="3922" width="12.5703125" bestFit="1" customWidth="1"/>
    <col min="3923" max="3923" width="9.85546875" bestFit="1" customWidth="1"/>
    <col min="3924" max="3924" width="10.85546875" bestFit="1" customWidth="1"/>
    <col min="3925" max="3925" width="9.28515625" bestFit="1" customWidth="1"/>
    <col min="3927" max="3927" width="9.85546875" bestFit="1" customWidth="1"/>
    <col min="3928" max="3928" width="9.28515625" bestFit="1" customWidth="1"/>
    <col min="3929" max="3930" width="9.85546875" bestFit="1" customWidth="1"/>
    <col min="3931" max="3932" width="9.28515625" bestFit="1" customWidth="1"/>
    <col min="3934" max="3934" width="12.5703125" bestFit="1" customWidth="1"/>
    <col min="3936" max="3936" width="9.85546875" bestFit="1" customWidth="1"/>
    <col min="3937" max="3937" width="12.5703125" bestFit="1" customWidth="1"/>
    <col min="3938" max="3938" width="9.85546875" bestFit="1" customWidth="1"/>
    <col min="3939" max="3939" width="12.5703125" bestFit="1" customWidth="1"/>
    <col min="3940" max="3940" width="10.85546875" bestFit="1" customWidth="1"/>
    <col min="3941" max="3941" width="9.85546875" bestFit="1" customWidth="1"/>
    <col min="3942" max="3942" width="12.5703125" bestFit="1" customWidth="1"/>
    <col min="3943" max="3943" width="9.85546875" bestFit="1" customWidth="1"/>
    <col min="3944" max="3944" width="9.28515625" bestFit="1" customWidth="1"/>
    <col min="3945" max="3949" width="9.85546875" bestFit="1" customWidth="1"/>
    <col min="3950" max="3950" width="10.85546875" bestFit="1" customWidth="1"/>
    <col min="3951" max="3952" width="9.85546875" bestFit="1" customWidth="1"/>
    <col min="3953" max="3953" width="9.28515625" bestFit="1" customWidth="1"/>
    <col min="3955" max="3956" width="9.28515625" bestFit="1" customWidth="1"/>
    <col min="3957" max="3958" width="12.5703125" bestFit="1" customWidth="1"/>
    <col min="3959" max="3959" width="9.85546875" bestFit="1" customWidth="1"/>
    <col min="3960" max="3960" width="12.5703125" bestFit="1" customWidth="1"/>
    <col min="3961" max="3962" width="9.85546875" bestFit="1" customWidth="1"/>
    <col min="3964" max="3964" width="12.5703125" bestFit="1" customWidth="1"/>
    <col min="3965" max="3969" width="9.85546875" bestFit="1" customWidth="1"/>
    <col min="3970" max="3970" width="9.28515625" bestFit="1" customWidth="1"/>
    <col min="3971" max="3973" width="9.85546875" bestFit="1" customWidth="1"/>
    <col min="3974" max="3974" width="9.28515625" bestFit="1" customWidth="1"/>
    <col min="3975" max="3975" width="12.5703125" bestFit="1" customWidth="1"/>
    <col min="3977" max="3977" width="9.85546875" bestFit="1" customWidth="1"/>
    <col min="3978" max="3978" width="12.5703125" bestFit="1" customWidth="1"/>
    <col min="3981" max="3981" width="9.85546875" bestFit="1" customWidth="1"/>
    <col min="3983" max="3984" width="9.85546875" bestFit="1" customWidth="1"/>
    <col min="3987" max="3987" width="9.85546875" bestFit="1" customWidth="1"/>
    <col min="3988" max="3988" width="9.28515625" bestFit="1" customWidth="1"/>
    <col min="3989" max="3989" width="12.5703125" bestFit="1" customWidth="1"/>
    <col min="3990" max="3990" width="9.85546875" bestFit="1" customWidth="1"/>
    <col min="3991" max="3992" width="12.5703125" bestFit="1" customWidth="1"/>
    <col min="3993" max="3993" width="9.85546875" bestFit="1" customWidth="1"/>
    <col min="3994" max="3994" width="12.5703125" bestFit="1" customWidth="1"/>
    <col min="3995" max="3997" width="9.85546875" bestFit="1" customWidth="1"/>
    <col min="3998" max="3998" width="9.28515625" bestFit="1" customWidth="1"/>
    <col min="3999" max="4002" width="9.85546875" bestFit="1" customWidth="1"/>
    <col min="4003" max="4004" width="9.28515625" bestFit="1" customWidth="1"/>
    <col min="4005" max="4005" width="9.85546875" bestFit="1" customWidth="1"/>
    <col min="4006" max="4006" width="12.5703125" bestFit="1" customWidth="1"/>
    <col min="4007" max="4007" width="9.85546875" bestFit="1" customWidth="1"/>
    <col min="4008" max="4008" width="12.5703125" bestFit="1" customWidth="1"/>
    <col min="4010" max="4010" width="9.85546875" bestFit="1" customWidth="1"/>
    <col min="4011" max="4011" width="12.5703125" bestFit="1" customWidth="1"/>
    <col min="4012" max="4012" width="9.85546875" bestFit="1" customWidth="1"/>
    <col min="4013" max="4013" width="9.28515625" bestFit="1" customWidth="1"/>
    <col min="4014" max="4015" width="9.85546875" bestFit="1" customWidth="1"/>
    <col min="4016" max="4016" width="9.28515625" bestFit="1" customWidth="1"/>
    <col min="4017" max="4017" width="12.5703125" bestFit="1" customWidth="1"/>
    <col min="4018" max="4018" width="9.85546875" bestFit="1" customWidth="1"/>
    <col min="4020" max="4023" width="9.85546875" bestFit="1" customWidth="1"/>
    <col min="4024" max="4024" width="9.28515625" bestFit="1" customWidth="1"/>
    <col min="4025" max="4025" width="12.5703125" bestFit="1" customWidth="1"/>
    <col min="4026" max="4028" width="9.85546875" bestFit="1" customWidth="1"/>
    <col min="4029" max="4030" width="12.5703125" bestFit="1" customWidth="1"/>
    <col min="4031" max="4031" width="9.85546875" bestFit="1" customWidth="1"/>
    <col min="4032" max="4032" width="12.5703125" bestFit="1" customWidth="1"/>
    <col min="4033" max="4034" width="9.85546875" bestFit="1" customWidth="1"/>
    <col min="4035" max="4035" width="10.85546875" bestFit="1" customWidth="1"/>
    <col min="4036" max="4036" width="9.28515625" bestFit="1" customWidth="1"/>
    <col min="4037" max="4037" width="9.85546875" bestFit="1" customWidth="1"/>
    <col min="4038" max="4038" width="12.5703125" bestFit="1" customWidth="1"/>
    <col min="4039" max="4040" width="9.85546875" bestFit="1" customWidth="1"/>
    <col min="4042" max="4042" width="9.85546875" bestFit="1" customWidth="1"/>
    <col min="4043" max="4043" width="12.5703125" bestFit="1" customWidth="1"/>
    <col min="4044" max="4045" width="9.85546875" bestFit="1" customWidth="1"/>
    <col min="4046" max="4046" width="12.5703125" bestFit="1" customWidth="1"/>
    <col min="4047" max="4047" width="9.85546875" bestFit="1" customWidth="1"/>
    <col min="4049" max="4049" width="12.5703125" bestFit="1" customWidth="1"/>
    <col min="4050" max="4050" width="9.85546875" bestFit="1" customWidth="1"/>
    <col min="4051" max="4051" width="12.5703125" bestFit="1" customWidth="1"/>
    <col min="4052" max="4052" width="9.28515625" bestFit="1" customWidth="1"/>
    <col min="4053" max="4053" width="12.5703125" bestFit="1" customWidth="1"/>
    <col min="4054" max="4054" width="9.85546875" bestFit="1" customWidth="1"/>
    <col min="4055" max="4055" width="12.5703125" bestFit="1" customWidth="1"/>
    <col min="4056" max="4056" width="9.85546875" bestFit="1" customWidth="1"/>
    <col min="4058" max="4060" width="9.85546875" bestFit="1" customWidth="1"/>
    <col min="4062" max="4062" width="9.85546875" bestFit="1" customWidth="1"/>
    <col min="4063" max="4064" width="12.5703125" bestFit="1" customWidth="1"/>
    <col min="4066" max="4072" width="9.85546875" bestFit="1" customWidth="1"/>
    <col min="4074" max="4074" width="9.28515625" bestFit="1" customWidth="1"/>
    <col min="4075" max="4076" width="9.85546875" bestFit="1" customWidth="1"/>
    <col min="4077" max="4078" width="12.5703125" bestFit="1" customWidth="1"/>
    <col min="4079" max="4080" width="9.85546875" bestFit="1" customWidth="1"/>
    <col min="4081" max="4082" width="9.28515625" bestFit="1" customWidth="1"/>
    <col min="4084" max="4084" width="9.28515625" bestFit="1" customWidth="1"/>
    <col min="4085" max="4088" width="9.85546875" bestFit="1" customWidth="1"/>
    <col min="4089" max="4089" width="9.28515625" bestFit="1" customWidth="1"/>
    <col min="4092" max="4092" width="12.5703125" bestFit="1" customWidth="1"/>
    <col min="4096" max="4096" width="9.85546875" bestFit="1" customWidth="1"/>
    <col min="4097" max="4097" width="9.28515625" bestFit="1" customWidth="1"/>
    <col min="4098" max="4099" width="9.85546875" bestFit="1" customWidth="1"/>
    <col min="4101" max="4104" width="9.85546875" bestFit="1" customWidth="1"/>
    <col min="4105" max="4105" width="12.5703125" bestFit="1" customWidth="1"/>
    <col min="4106" max="4107" width="9.85546875" bestFit="1" customWidth="1"/>
    <col min="4108" max="4108" width="9.28515625" bestFit="1" customWidth="1"/>
    <col min="4110" max="4110" width="9.85546875" bestFit="1" customWidth="1"/>
    <col min="4111" max="4111" width="12.5703125" bestFit="1" customWidth="1"/>
    <col min="4113" max="4115" width="9.85546875" bestFit="1" customWidth="1"/>
    <col min="4117" max="4117" width="9.85546875" bestFit="1" customWidth="1"/>
    <col min="4118" max="4118" width="12.5703125" bestFit="1" customWidth="1"/>
    <col min="4119" max="4120" width="9.85546875" bestFit="1" customWidth="1"/>
    <col min="4121" max="4121" width="9.28515625" bestFit="1" customWidth="1"/>
    <col min="4122" max="4122" width="9.85546875" bestFit="1" customWidth="1"/>
    <col min="4125" max="4125" width="12.5703125" bestFit="1" customWidth="1"/>
    <col min="4126" max="4127" width="9.85546875" bestFit="1" customWidth="1"/>
    <col min="4129" max="4129" width="9.28515625" bestFit="1" customWidth="1"/>
    <col min="4131" max="4132" width="9.85546875" bestFit="1" customWidth="1"/>
    <col min="4133" max="4133" width="12.5703125" bestFit="1" customWidth="1"/>
    <col min="4135" max="4138" width="9.85546875" bestFit="1" customWidth="1"/>
    <col min="4140" max="4140" width="9.85546875" bestFit="1" customWidth="1"/>
    <col min="4141" max="4141" width="9.28515625" bestFit="1" customWidth="1"/>
    <col min="4142" max="4143" width="9.85546875" bestFit="1" customWidth="1"/>
    <col min="4145" max="4145" width="9.85546875" bestFit="1" customWidth="1"/>
    <col min="4147" max="4147" width="9.85546875" bestFit="1" customWidth="1"/>
    <col min="4149" max="4149" width="9.28515625" bestFit="1" customWidth="1"/>
    <col min="4151" max="4151" width="9.85546875" bestFit="1" customWidth="1"/>
    <col min="4152" max="4152" width="9.28515625" bestFit="1" customWidth="1"/>
    <col min="4153" max="4153" width="9.85546875" bestFit="1" customWidth="1"/>
    <col min="4154" max="4154" width="12.5703125" bestFit="1" customWidth="1"/>
    <col min="4155" max="4155" width="9.28515625" bestFit="1" customWidth="1"/>
    <col min="4156" max="4156" width="9.85546875" bestFit="1" customWidth="1"/>
    <col min="4157" max="4158" width="12.5703125" bestFit="1" customWidth="1"/>
    <col min="4159" max="4159" width="9.85546875" bestFit="1" customWidth="1"/>
    <col min="4162" max="4163" width="9.85546875" bestFit="1" customWidth="1"/>
    <col min="4164" max="4164" width="12.5703125" bestFit="1" customWidth="1"/>
    <col min="4165" max="4165" width="9.28515625" bestFit="1" customWidth="1"/>
    <col min="4166" max="4167" width="12.5703125" bestFit="1" customWidth="1"/>
    <col min="4168" max="4168" width="9.85546875" bestFit="1" customWidth="1"/>
    <col min="4169" max="4169" width="12.5703125" bestFit="1" customWidth="1"/>
    <col min="4170" max="4174" width="9.85546875" bestFit="1" customWidth="1"/>
    <col min="4175" max="4175" width="9.28515625" bestFit="1" customWidth="1"/>
    <col min="4176" max="4176" width="9.85546875" bestFit="1" customWidth="1"/>
    <col min="4178" max="4178" width="9.85546875" bestFit="1" customWidth="1"/>
    <col min="4180" max="4181" width="9.85546875" bestFit="1" customWidth="1"/>
    <col min="4182" max="4182" width="9.28515625" bestFit="1" customWidth="1"/>
    <col min="4183" max="4183" width="9.85546875" bestFit="1" customWidth="1"/>
    <col min="4184" max="4184" width="9.28515625" bestFit="1" customWidth="1"/>
    <col min="4185" max="4185" width="12.5703125" bestFit="1" customWidth="1"/>
    <col min="4186" max="4186" width="9.28515625" bestFit="1" customWidth="1"/>
    <col min="4187" max="4188" width="12.5703125" bestFit="1" customWidth="1"/>
    <col min="4189" max="4191" width="9.85546875" bestFit="1" customWidth="1"/>
    <col min="4193" max="4193" width="9.28515625" bestFit="1" customWidth="1"/>
    <col min="4195" max="4196" width="9.85546875" bestFit="1" customWidth="1"/>
    <col min="4197" max="4197" width="12.5703125" bestFit="1" customWidth="1"/>
    <col min="4198" max="4199" width="9.85546875" bestFit="1" customWidth="1"/>
    <col min="4200" max="4200" width="9.28515625" bestFit="1" customWidth="1"/>
    <col min="4201" max="4204" width="9.85546875" bestFit="1" customWidth="1"/>
    <col min="4206" max="4206" width="12.5703125" bestFit="1" customWidth="1"/>
    <col min="4207" max="4208" width="9.85546875" bestFit="1" customWidth="1"/>
    <col min="4209" max="4209" width="9.28515625" bestFit="1" customWidth="1"/>
    <col min="4210" max="4212" width="9.85546875" bestFit="1" customWidth="1"/>
    <col min="4213" max="4213" width="12.5703125" bestFit="1" customWidth="1"/>
    <col min="4214" max="4216" width="9.85546875" bestFit="1" customWidth="1"/>
    <col min="4218" max="4218" width="10.85546875" bestFit="1" customWidth="1"/>
    <col min="4219" max="4220" width="9.85546875" bestFit="1" customWidth="1"/>
    <col min="4222" max="4225" width="9.85546875" bestFit="1" customWidth="1"/>
    <col min="4226" max="4226" width="12.5703125" bestFit="1" customWidth="1"/>
    <col min="4228" max="4228" width="9.85546875" bestFit="1" customWidth="1"/>
    <col min="4229" max="4229" width="12.5703125" bestFit="1" customWidth="1"/>
    <col min="4230" max="4230" width="9.85546875" bestFit="1" customWidth="1"/>
    <col min="4231" max="4231" width="12.5703125" bestFit="1" customWidth="1"/>
    <col min="4232" max="4232" width="9.28515625" bestFit="1" customWidth="1"/>
    <col min="4233" max="4233" width="9.85546875" bestFit="1" customWidth="1"/>
    <col min="4235" max="4235" width="9.28515625" bestFit="1" customWidth="1"/>
    <col min="4236" max="4237" width="9.85546875" bestFit="1" customWidth="1"/>
    <col min="4238" max="4238" width="9.28515625" bestFit="1" customWidth="1"/>
    <col min="4239" max="4240" width="12.5703125" bestFit="1" customWidth="1"/>
    <col min="4242" max="4242" width="9.85546875" bestFit="1" customWidth="1"/>
    <col min="4243" max="4244" width="9.28515625" bestFit="1" customWidth="1"/>
    <col min="4246" max="4246" width="9.85546875" bestFit="1" customWidth="1"/>
    <col min="4247" max="4247" width="9.28515625" bestFit="1" customWidth="1"/>
    <col min="4248" max="4248" width="9.85546875" bestFit="1" customWidth="1"/>
    <col min="4249" max="4250" width="9.28515625" bestFit="1" customWidth="1"/>
    <col min="4252" max="4252" width="9.28515625" bestFit="1" customWidth="1"/>
    <col min="4253" max="4253" width="9.85546875" bestFit="1" customWidth="1"/>
    <col min="4254" max="4254" width="9.28515625" bestFit="1" customWidth="1"/>
    <col min="4255" max="4255" width="10.85546875" bestFit="1" customWidth="1"/>
    <col min="4256" max="4257" width="9.85546875" bestFit="1" customWidth="1"/>
    <col min="4258" max="4258" width="9.28515625" bestFit="1" customWidth="1"/>
    <col min="4259" max="4259" width="9.85546875" bestFit="1" customWidth="1"/>
    <col min="4260" max="4260" width="9.28515625" bestFit="1" customWidth="1"/>
    <col min="4261" max="4261" width="12.5703125" bestFit="1" customWidth="1"/>
    <col min="4263" max="4263" width="12.5703125" bestFit="1" customWidth="1"/>
    <col min="4264" max="4270" width="9.85546875" bestFit="1" customWidth="1"/>
    <col min="4272" max="4272" width="9.85546875" bestFit="1" customWidth="1"/>
    <col min="4273" max="4273" width="9.28515625" bestFit="1" customWidth="1"/>
    <col min="4274" max="4274" width="12.5703125" bestFit="1" customWidth="1"/>
    <col min="4277" max="4278" width="9.85546875" bestFit="1" customWidth="1"/>
    <col min="4279" max="4279" width="9.28515625" bestFit="1" customWidth="1"/>
    <col min="4280" max="4280" width="9.85546875" bestFit="1" customWidth="1"/>
    <col min="4281" max="4283" width="9.28515625" bestFit="1" customWidth="1"/>
    <col min="4284" max="4284" width="12.5703125" bestFit="1" customWidth="1"/>
    <col min="4285" max="4285" width="9.28515625" bestFit="1" customWidth="1"/>
    <col min="4286" max="4286" width="9.85546875" bestFit="1" customWidth="1"/>
    <col min="4288" max="4288" width="9.85546875" bestFit="1" customWidth="1"/>
    <col min="4289" max="4289" width="12.5703125" bestFit="1" customWidth="1"/>
    <col min="4290" max="4290" width="9.28515625" bestFit="1" customWidth="1"/>
    <col min="4291" max="4291" width="9.85546875" bestFit="1" customWidth="1"/>
    <col min="4292" max="4292" width="9.28515625" bestFit="1" customWidth="1"/>
    <col min="4293" max="4293" width="9.85546875" bestFit="1" customWidth="1"/>
    <col min="4296" max="4296" width="9.85546875" bestFit="1" customWidth="1"/>
    <col min="4297" max="4297" width="9.28515625" bestFit="1" customWidth="1"/>
    <col min="4299" max="4300" width="9.85546875" bestFit="1" customWidth="1"/>
    <col min="4302" max="4302" width="9.85546875" bestFit="1" customWidth="1"/>
    <col min="4303" max="4303" width="10.85546875" bestFit="1" customWidth="1"/>
    <col min="4304" max="4304" width="9.85546875" bestFit="1" customWidth="1"/>
    <col min="4306" max="4306" width="12.5703125" bestFit="1" customWidth="1"/>
    <col min="4307" max="4313" width="9.85546875" bestFit="1" customWidth="1"/>
    <col min="4314" max="4314" width="9.28515625" bestFit="1" customWidth="1"/>
    <col min="4316" max="4316" width="9.85546875" bestFit="1" customWidth="1"/>
    <col min="4317" max="4317" width="9.28515625" bestFit="1" customWidth="1"/>
    <col min="4318" max="4322" width="9.85546875" bestFit="1" customWidth="1"/>
    <col min="4323" max="4326" width="9.28515625" bestFit="1" customWidth="1"/>
    <col min="4327" max="4327" width="12.5703125" bestFit="1" customWidth="1"/>
    <col min="4329" max="4329" width="9.28515625" bestFit="1" customWidth="1"/>
    <col min="4331" max="4331" width="9.28515625" bestFit="1" customWidth="1"/>
    <col min="4332" max="4332" width="9.85546875" bestFit="1" customWidth="1"/>
    <col min="4333" max="4333" width="9.28515625" bestFit="1" customWidth="1"/>
    <col min="4334" max="4336" width="9.85546875" bestFit="1" customWidth="1"/>
    <col min="4337" max="4337" width="9.28515625" bestFit="1" customWidth="1"/>
    <col min="4338" max="4338" width="9.85546875" bestFit="1" customWidth="1"/>
    <col min="4339" max="4339" width="12.5703125" bestFit="1" customWidth="1"/>
    <col min="4340" max="4340" width="10.85546875" bestFit="1" customWidth="1"/>
    <col min="4341" max="4341" width="12.5703125" bestFit="1" customWidth="1"/>
    <col min="4343" max="4343" width="9.85546875" bestFit="1" customWidth="1"/>
    <col min="4345" max="4346" width="12.5703125" bestFit="1" customWidth="1"/>
    <col min="4347" max="4347" width="9.85546875" bestFit="1" customWidth="1"/>
    <col min="4348" max="4348" width="12.5703125" bestFit="1" customWidth="1"/>
    <col min="4349" max="4350" width="9.85546875" bestFit="1" customWidth="1"/>
    <col min="4351" max="4351" width="12.5703125" bestFit="1" customWidth="1"/>
    <col min="4352" max="4352" width="9.85546875" bestFit="1" customWidth="1"/>
    <col min="4353" max="4353" width="12.5703125" bestFit="1" customWidth="1"/>
    <col min="4354" max="4360" width="9.85546875" bestFit="1" customWidth="1"/>
    <col min="4361" max="4362" width="9.28515625" bestFit="1" customWidth="1"/>
    <col min="4364" max="4364" width="9.85546875" bestFit="1" customWidth="1"/>
    <col min="4365" max="4365" width="12.5703125" bestFit="1" customWidth="1"/>
    <col min="4366" max="4371" width="9.85546875" bestFit="1" customWidth="1"/>
    <col min="4372" max="4372" width="10.85546875" bestFit="1" customWidth="1"/>
    <col min="4374" max="4374" width="9.28515625" bestFit="1" customWidth="1"/>
    <col min="4375" max="4375" width="9.85546875" bestFit="1" customWidth="1"/>
    <col min="4376" max="4376" width="9.28515625" bestFit="1" customWidth="1"/>
    <col min="4377" max="4379" width="9.85546875" bestFit="1" customWidth="1"/>
    <col min="4380" max="4380" width="12.5703125" bestFit="1" customWidth="1"/>
    <col min="4381" max="4382" width="9.85546875" bestFit="1" customWidth="1"/>
    <col min="4383" max="4383" width="12.5703125" bestFit="1" customWidth="1"/>
    <col min="4384" max="4384" width="9.85546875" bestFit="1" customWidth="1"/>
    <col min="4387" max="4393" width="9.85546875" bestFit="1" customWidth="1"/>
    <col min="4394" max="4394" width="12.5703125" bestFit="1" customWidth="1"/>
    <col min="4395" max="4395" width="10.85546875" bestFit="1" customWidth="1"/>
    <col min="4396" max="4397" width="9.28515625" bestFit="1" customWidth="1"/>
    <col min="4398" max="4399" width="9.85546875" bestFit="1" customWidth="1"/>
    <col min="4400" max="4400" width="9.28515625" bestFit="1" customWidth="1"/>
    <col min="4401" max="4402" width="9.85546875" bestFit="1" customWidth="1"/>
    <col min="4403" max="4403" width="12.5703125" bestFit="1" customWidth="1"/>
    <col min="4405" max="4406" width="9.28515625" bestFit="1" customWidth="1"/>
    <col min="4407" max="4407" width="9.85546875" bestFit="1" customWidth="1"/>
    <col min="4408" max="4408" width="10.85546875" bestFit="1" customWidth="1"/>
    <col min="4409" max="4409" width="12.5703125" bestFit="1" customWidth="1"/>
    <col min="4410" max="4410" width="9.85546875" bestFit="1" customWidth="1"/>
    <col min="4411" max="4414" width="9.28515625" bestFit="1" customWidth="1"/>
    <col min="4415" max="4420" width="9.85546875" bestFit="1" customWidth="1"/>
    <col min="4421" max="4421" width="9.28515625" bestFit="1" customWidth="1"/>
    <col min="4422" max="4422" width="12.5703125" bestFit="1" customWidth="1"/>
    <col min="4424" max="4426" width="12.5703125" bestFit="1" customWidth="1"/>
    <col min="4428" max="4433" width="9.85546875" bestFit="1" customWidth="1"/>
    <col min="4434" max="4434" width="12.5703125" bestFit="1" customWidth="1"/>
    <col min="4435" max="4435" width="9.85546875" bestFit="1" customWidth="1"/>
    <col min="4436" max="4436" width="9.28515625" bestFit="1" customWidth="1"/>
    <col min="4437" max="4437" width="12.5703125" bestFit="1" customWidth="1"/>
    <col min="4438" max="4438" width="9.85546875" bestFit="1" customWidth="1"/>
    <col min="4439" max="4439" width="12.5703125" bestFit="1" customWidth="1"/>
    <col min="4440" max="4440" width="9.85546875" bestFit="1" customWidth="1"/>
    <col min="4441" max="4441" width="12.5703125" bestFit="1" customWidth="1"/>
    <col min="4442" max="4444" width="9.85546875" bestFit="1" customWidth="1"/>
    <col min="4445" max="4445" width="12.5703125" bestFit="1" customWidth="1"/>
    <col min="4446" max="4447" width="9.85546875" bestFit="1" customWidth="1"/>
    <col min="4448" max="4448" width="10.85546875" bestFit="1" customWidth="1"/>
    <col min="4449" max="4452" width="9.85546875" bestFit="1" customWidth="1"/>
    <col min="4453" max="4453" width="9.28515625" bestFit="1" customWidth="1"/>
    <col min="4454" max="4455" width="9.85546875" bestFit="1" customWidth="1"/>
    <col min="4457" max="4458" width="9.85546875" bestFit="1" customWidth="1"/>
    <col min="4459" max="4459" width="9.28515625" bestFit="1" customWidth="1"/>
    <col min="4460" max="4460" width="9.85546875" bestFit="1" customWidth="1"/>
    <col min="4461" max="4461" width="9.28515625" bestFit="1" customWidth="1"/>
    <col min="4462" max="4462" width="9.85546875" bestFit="1" customWidth="1"/>
    <col min="4463" max="4463" width="12.5703125" bestFit="1" customWidth="1"/>
    <col min="4464" max="4464" width="9.28515625" bestFit="1" customWidth="1"/>
    <col min="4466" max="4466" width="9.85546875" bestFit="1" customWidth="1"/>
    <col min="4467" max="4467" width="9.28515625" bestFit="1" customWidth="1"/>
    <col min="4468" max="4468" width="9.85546875" bestFit="1" customWidth="1"/>
    <col min="4470" max="4470" width="9.85546875" bestFit="1" customWidth="1"/>
    <col min="4471" max="4471" width="12.5703125" bestFit="1" customWidth="1"/>
    <col min="4472" max="4472" width="9.28515625" bestFit="1" customWidth="1"/>
    <col min="4473" max="4473" width="12.5703125" bestFit="1" customWidth="1"/>
    <col min="4476" max="4476" width="9.85546875" bestFit="1" customWidth="1"/>
    <col min="4477" max="4477" width="12.5703125" bestFit="1" customWidth="1"/>
    <col min="4478" max="4478" width="9.85546875" bestFit="1" customWidth="1"/>
    <col min="4479" max="4479" width="9.28515625" bestFit="1" customWidth="1"/>
    <col min="4480" max="4480" width="9.85546875" bestFit="1" customWidth="1"/>
    <col min="4481" max="4481" width="9.28515625" bestFit="1" customWidth="1"/>
    <col min="4482" max="4482" width="9.85546875" bestFit="1" customWidth="1"/>
    <col min="4483" max="4484" width="12.5703125" bestFit="1" customWidth="1"/>
    <col min="4485" max="4485" width="9.28515625" bestFit="1" customWidth="1"/>
    <col min="4486" max="4486" width="9.85546875" bestFit="1" customWidth="1"/>
    <col min="4487" max="4487" width="12.5703125" bestFit="1" customWidth="1"/>
    <col min="4488" max="4489" width="9.85546875" bestFit="1" customWidth="1"/>
    <col min="4490" max="4490" width="9.28515625" bestFit="1" customWidth="1"/>
    <col min="4491" max="4492" width="9.85546875" bestFit="1" customWidth="1"/>
    <col min="4493" max="4493" width="9.28515625" bestFit="1" customWidth="1"/>
    <col min="4494" max="4496" width="9.85546875" bestFit="1" customWidth="1"/>
    <col min="4498" max="4498" width="9.85546875" bestFit="1" customWidth="1"/>
    <col min="4499" max="4499" width="9.28515625" bestFit="1" customWidth="1"/>
    <col min="4500" max="4500" width="10.85546875" bestFit="1" customWidth="1"/>
    <col min="4501" max="4502" width="9.85546875" bestFit="1" customWidth="1"/>
    <col min="4503" max="4504" width="9.28515625" bestFit="1" customWidth="1"/>
    <col min="4505" max="4505" width="12.5703125" bestFit="1" customWidth="1"/>
    <col min="4506" max="4509" width="9.85546875" bestFit="1" customWidth="1"/>
    <col min="4510" max="4510" width="12.5703125" bestFit="1" customWidth="1"/>
    <col min="4511" max="4511" width="9.85546875" bestFit="1" customWidth="1"/>
    <col min="4512" max="4513" width="9.28515625" bestFit="1" customWidth="1"/>
    <col min="4514" max="4514" width="9.85546875" bestFit="1" customWidth="1"/>
    <col min="4515" max="4515" width="9.28515625" bestFit="1" customWidth="1"/>
    <col min="4516" max="4516" width="9.85546875" bestFit="1" customWidth="1"/>
    <col min="4517" max="4517" width="9.28515625" bestFit="1" customWidth="1"/>
    <col min="4518" max="4520" width="9.85546875" bestFit="1" customWidth="1"/>
    <col min="4521" max="4521" width="9.28515625" bestFit="1" customWidth="1"/>
    <col min="4522" max="4524" width="9.85546875" bestFit="1" customWidth="1"/>
    <col min="4525" max="4526" width="9.28515625" bestFit="1" customWidth="1"/>
    <col min="4527" max="4527" width="12.5703125" bestFit="1" customWidth="1"/>
    <col min="4528" max="4529" width="9.85546875" bestFit="1" customWidth="1"/>
    <col min="4532" max="4532" width="9.85546875" bestFit="1" customWidth="1"/>
    <col min="4534" max="4535" width="9.85546875" bestFit="1" customWidth="1"/>
    <col min="4536" max="4536" width="9.28515625" bestFit="1" customWidth="1"/>
    <col min="4537" max="4537" width="12.5703125" bestFit="1" customWidth="1"/>
    <col min="4538" max="4538" width="9.85546875" bestFit="1" customWidth="1"/>
    <col min="4539" max="4542" width="9.28515625" bestFit="1" customWidth="1"/>
    <col min="4544" max="4545" width="9.85546875" bestFit="1" customWidth="1"/>
    <col min="4546" max="4546" width="12.5703125" bestFit="1" customWidth="1"/>
    <col min="4547" max="4547" width="9.28515625" bestFit="1" customWidth="1"/>
    <col min="4549" max="4549" width="9.28515625" bestFit="1" customWidth="1"/>
    <col min="4550" max="4551" width="9.85546875" bestFit="1" customWidth="1"/>
    <col min="4552" max="4552" width="12.5703125" bestFit="1" customWidth="1"/>
    <col min="4554" max="4555" width="9.85546875" bestFit="1" customWidth="1"/>
    <col min="4557" max="4557" width="9.28515625" bestFit="1" customWidth="1"/>
    <col min="4558" max="4558" width="9.85546875" bestFit="1" customWidth="1"/>
    <col min="4560" max="4560" width="12.5703125" bestFit="1" customWidth="1"/>
    <col min="4561" max="4562" width="9.28515625" bestFit="1" customWidth="1"/>
    <col min="4563" max="4564" width="9.85546875" bestFit="1" customWidth="1"/>
    <col min="4565" max="4565" width="9.28515625" bestFit="1" customWidth="1"/>
    <col min="4567" max="4568" width="12.5703125" bestFit="1" customWidth="1"/>
    <col min="4569" max="4572" width="9.85546875" bestFit="1" customWidth="1"/>
    <col min="4573" max="4573" width="12.5703125" bestFit="1" customWidth="1"/>
    <col min="4574" max="4576" width="9.85546875" bestFit="1" customWidth="1"/>
    <col min="4577" max="4577" width="9.28515625" bestFit="1" customWidth="1"/>
    <col min="4578" max="4578" width="9.85546875" bestFit="1" customWidth="1"/>
    <col min="4579" max="4580" width="12.5703125" bestFit="1" customWidth="1"/>
    <col min="4581" max="4581" width="9.85546875" bestFit="1" customWidth="1"/>
    <col min="4583" max="4584" width="9.85546875" bestFit="1" customWidth="1"/>
    <col min="4585" max="4585" width="10.85546875" bestFit="1" customWidth="1"/>
    <col min="4586" max="4586" width="9.28515625" bestFit="1" customWidth="1"/>
    <col min="4587" max="4587" width="10.85546875" bestFit="1" customWidth="1"/>
    <col min="4588" max="4588" width="9.85546875" bestFit="1" customWidth="1"/>
    <col min="4589" max="4589" width="9.28515625" bestFit="1" customWidth="1"/>
    <col min="4590" max="4593" width="9.85546875" bestFit="1" customWidth="1"/>
    <col min="4594" max="4594" width="9.28515625" bestFit="1" customWidth="1"/>
    <col min="4595" max="4598" width="9.85546875" bestFit="1" customWidth="1"/>
    <col min="4599" max="4599" width="9.28515625" bestFit="1" customWidth="1"/>
    <col min="4601" max="4601" width="9.28515625" bestFit="1" customWidth="1"/>
    <col min="4602" max="4602" width="12.5703125" bestFit="1" customWidth="1"/>
    <col min="4603" max="4606" width="9.85546875" bestFit="1" customWidth="1"/>
    <col min="4608" max="4609" width="9.28515625" bestFit="1" customWidth="1"/>
    <col min="4610" max="4610" width="12.5703125" bestFit="1" customWidth="1"/>
    <col min="4611" max="4611" width="9.85546875" bestFit="1" customWidth="1"/>
    <col min="4612" max="4612" width="12.5703125" bestFit="1" customWidth="1"/>
    <col min="4614" max="4615" width="9.85546875" bestFit="1" customWidth="1"/>
    <col min="4616" max="4616" width="9.28515625" bestFit="1" customWidth="1"/>
    <col min="4617" max="4617" width="12.5703125" bestFit="1" customWidth="1"/>
    <col min="4618" max="4618" width="9.85546875" bestFit="1" customWidth="1"/>
    <col min="4620" max="4620" width="9.28515625" bestFit="1" customWidth="1"/>
    <col min="4621" max="4621" width="9.85546875" bestFit="1" customWidth="1"/>
    <col min="4622" max="4622" width="10.85546875" bestFit="1" customWidth="1"/>
    <col min="4623" max="4623" width="12.5703125" bestFit="1" customWidth="1"/>
    <col min="4625" max="4625" width="9.85546875" bestFit="1" customWidth="1"/>
    <col min="4627" max="4631" width="9.85546875" bestFit="1" customWidth="1"/>
    <col min="4632" max="4632" width="9.28515625" bestFit="1" customWidth="1"/>
    <col min="4633" max="4633" width="12.5703125" bestFit="1" customWidth="1"/>
    <col min="4634" max="4634" width="9.28515625" bestFit="1" customWidth="1"/>
    <col min="4635" max="4635" width="9.85546875" bestFit="1" customWidth="1"/>
    <col min="4636" max="4636" width="10.85546875" bestFit="1" customWidth="1"/>
    <col min="4637" max="4637" width="9.85546875" bestFit="1" customWidth="1"/>
    <col min="4638" max="4638" width="12.5703125" bestFit="1" customWidth="1"/>
    <col min="4639" max="4640" width="9.28515625" bestFit="1" customWidth="1"/>
    <col min="4641" max="4642" width="12.5703125" bestFit="1" customWidth="1"/>
    <col min="4643" max="4643" width="9.85546875" bestFit="1" customWidth="1"/>
    <col min="4644" max="4644" width="12.5703125" bestFit="1" customWidth="1"/>
    <col min="4645" max="4645" width="9.85546875" bestFit="1" customWidth="1"/>
    <col min="4646" max="4647" width="9.28515625" bestFit="1" customWidth="1"/>
    <col min="4649" max="4649" width="9.85546875" bestFit="1" customWidth="1"/>
    <col min="4650" max="4650" width="10.85546875" bestFit="1" customWidth="1"/>
    <col min="4652" max="4652" width="12.5703125" bestFit="1" customWidth="1"/>
    <col min="4654" max="4654" width="9.28515625" bestFit="1" customWidth="1"/>
    <col min="4655" max="4656" width="9.85546875" bestFit="1" customWidth="1"/>
    <col min="4658" max="4658" width="12.5703125" bestFit="1" customWidth="1"/>
    <col min="4659" max="4659" width="9.85546875" bestFit="1" customWidth="1"/>
    <col min="4660" max="4660" width="9.28515625" bestFit="1" customWidth="1"/>
    <col min="4661" max="4661" width="12.5703125" bestFit="1" customWidth="1"/>
    <col min="4662" max="4662" width="9.85546875" bestFit="1" customWidth="1"/>
    <col min="4664" max="4665" width="12.5703125" bestFit="1" customWidth="1"/>
    <col min="4666" max="4668" width="9.85546875" bestFit="1" customWidth="1"/>
    <col min="4669" max="4669" width="10.85546875" bestFit="1" customWidth="1"/>
    <col min="4670" max="4670" width="9.85546875" bestFit="1" customWidth="1"/>
    <col min="4671" max="4672" width="9.28515625" bestFit="1" customWidth="1"/>
    <col min="4674" max="4675" width="9.28515625" bestFit="1" customWidth="1"/>
    <col min="4676" max="4677" width="9.85546875" bestFit="1" customWidth="1"/>
    <col min="4679" max="4680" width="12.5703125" bestFit="1" customWidth="1"/>
    <col min="4681" max="4681" width="9.85546875" bestFit="1" customWidth="1"/>
    <col min="4683" max="4687" width="9.85546875" bestFit="1" customWidth="1"/>
    <col min="4688" max="4688" width="9.28515625" bestFit="1" customWidth="1"/>
    <col min="4689" max="4689" width="10.85546875" bestFit="1" customWidth="1"/>
    <col min="4690" max="4690" width="9.28515625" bestFit="1" customWidth="1"/>
    <col min="4691" max="4691" width="12.5703125" bestFit="1" customWidth="1"/>
    <col min="4692" max="4692" width="9.85546875" bestFit="1" customWidth="1"/>
    <col min="4693" max="4693" width="12.5703125" bestFit="1" customWidth="1"/>
    <col min="4694" max="4694" width="9.85546875" bestFit="1" customWidth="1"/>
    <col min="4695" max="4696" width="9.28515625" bestFit="1" customWidth="1"/>
    <col min="4701" max="4701" width="9.85546875" bestFit="1" customWidth="1"/>
    <col min="4702" max="4706" width="12.5703125" bestFit="1" customWidth="1"/>
    <col min="4707" max="4707" width="9.85546875" bestFit="1" customWidth="1"/>
    <col min="4708" max="4709" width="10.85546875" bestFit="1" customWidth="1"/>
    <col min="4710" max="4710" width="9.85546875" bestFit="1" customWidth="1"/>
    <col min="4712" max="4712" width="9.85546875" bestFit="1" customWidth="1"/>
    <col min="4713" max="4713" width="12.5703125" bestFit="1" customWidth="1"/>
    <col min="4714" max="4717" width="9.85546875" bestFit="1" customWidth="1"/>
    <col min="4718" max="4720" width="12.5703125" bestFit="1" customWidth="1"/>
    <col min="4722" max="4722" width="9.85546875" bestFit="1" customWidth="1"/>
    <col min="4723" max="4723" width="9.28515625" bestFit="1" customWidth="1"/>
    <col min="4724" max="4724" width="9.85546875" bestFit="1" customWidth="1"/>
    <col min="4725" max="4725" width="9.28515625" bestFit="1" customWidth="1"/>
    <col min="4726" max="4726" width="9.85546875" bestFit="1" customWidth="1"/>
    <col min="4727" max="4727" width="9.28515625" bestFit="1" customWidth="1"/>
    <col min="4728" max="4728" width="9.85546875" bestFit="1" customWidth="1"/>
    <col min="4729" max="4730" width="9.28515625" bestFit="1" customWidth="1"/>
    <col min="4731" max="4731" width="12.5703125" bestFit="1" customWidth="1"/>
    <col min="4732" max="4732" width="9.28515625" bestFit="1" customWidth="1"/>
    <col min="4733" max="4733" width="9.85546875" bestFit="1" customWidth="1"/>
    <col min="4734" max="4734" width="10.85546875" bestFit="1" customWidth="1"/>
    <col min="4735" max="4736" width="9.28515625" bestFit="1" customWidth="1"/>
    <col min="4737" max="4740" width="9.85546875" bestFit="1" customWidth="1"/>
    <col min="4742" max="4742" width="9.85546875" bestFit="1" customWidth="1"/>
    <col min="4743" max="4743" width="12.5703125" bestFit="1" customWidth="1"/>
    <col min="4744" max="4744" width="9.85546875" bestFit="1" customWidth="1"/>
    <col min="4745" max="4745" width="12.5703125" bestFit="1" customWidth="1"/>
    <col min="4746" max="4746" width="9.85546875" bestFit="1" customWidth="1"/>
    <col min="4747" max="4747" width="9.28515625" bestFit="1" customWidth="1"/>
    <col min="4748" max="4749" width="9.85546875" bestFit="1" customWidth="1"/>
    <col min="4750" max="4750" width="9.28515625" bestFit="1" customWidth="1"/>
    <col min="4751" max="4754" width="9.85546875" bestFit="1" customWidth="1"/>
    <col min="4756" max="4758" width="9.85546875" bestFit="1" customWidth="1"/>
    <col min="4759" max="4760" width="9.28515625" bestFit="1" customWidth="1"/>
    <col min="4761" max="4762" width="12.5703125" bestFit="1" customWidth="1"/>
    <col min="4763" max="4764" width="9.85546875" bestFit="1" customWidth="1"/>
    <col min="4766" max="4766" width="9.28515625" bestFit="1" customWidth="1"/>
    <col min="4767" max="4768" width="9.85546875" bestFit="1" customWidth="1"/>
    <col min="4769" max="4770" width="12.5703125" bestFit="1" customWidth="1"/>
    <col min="4772" max="4774" width="9.85546875" bestFit="1" customWidth="1"/>
    <col min="4775" max="4775" width="9.28515625" bestFit="1" customWidth="1"/>
    <col min="4776" max="4776" width="9.85546875" bestFit="1" customWidth="1"/>
    <col min="4778" max="4778" width="9.85546875" bestFit="1" customWidth="1"/>
    <col min="4779" max="4780" width="12.5703125" bestFit="1" customWidth="1"/>
    <col min="4781" max="4782" width="9.85546875" bestFit="1" customWidth="1"/>
    <col min="4783" max="4783" width="12.5703125" bestFit="1" customWidth="1"/>
    <col min="4784" max="4785" width="9.85546875" bestFit="1" customWidth="1"/>
    <col min="4786" max="4786" width="9.28515625" bestFit="1" customWidth="1"/>
    <col min="4787" max="4787" width="10.85546875" bestFit="1" customWidth="1"/>
    <col min="4789" max="4789" width="9.85546875" bestFit="1" customWidth="1"/>
    <col min="4791" max="4792" width="9.85546875" bestFit="1" customWidth="1"/>
    <col min="4793" max="4793" width="9.28515625" bestFit="1" customWidth="1"/>
    <col min="4794" max="4795" width="9.85546875" bestFit="1" customWidth="1"/>
    <col min="4796" max="4796" width="9.28515625" bestFit="1" customWidth="1"/>
    <col min="4797" max="4797" width="9.85546875" bestFit="1" customWidth="1"/>
    <col min="4798" max="4798" width="12.5703125" bestFit="1" customWidth="1"/>
    <col min="4800" max="4803" width="9.85546875" bestFit="1" customWidth="1"/>
    <col min="4804" max="4804" width="12.5703125" bestFit="1" customWidth="1"/>
    <col min="4805" max="4807" width="9.85546875" bestFit="1" customWidth="1"/>
    <col min="4808" max="4808" width="12.5703125" bestFit="1" customWidth="1"/>
    <col min="4809" max="4809" width="9.85546875" bestFit="1" customWidth="1"/>
    <col min="4810" max="4810" width="9.28515625" bestFit="1" customWidth="1"/>
    <col min="4811" max="4811" width="12.5703125" bestFit="1" customWidth="1"/>
    <col min="4812" max="4812" width="9.28515625" bestFit="1" customWidth="1"/>
    <col min="4813" max="4813" width="9.85546875" bestFit="1" customWidth="1"/>
    <col min="4815" max="4819" width="9.85546875" bestFit="1" customWidth="1"/>
    <col min="4820" max="4820" width="12.5703125" bestFit="1" customWidth="1"/>
    <col min="4821" max="4825" width="9.85546875" bestFit="1" customWidth="1"/>
    <col min="4826" max="4826" width="9.28515625" bestFit="1" customWidth="1"/>
    <col min="4827" max="4827" width="10.85546875" bestFit="1" customWidth="1"/>
    <col min="4828" max="4829" width="9.85546875" bestFit="1" customWidth="1"/>
    <col min="4830" max="4830" width="10.85546875" bestFit="1" customWidth="1"/>
    <col min="4831" max="4831" width="9.85546875" bestFit="1" customWidth="1"/>
    <col min="4832" max="4833" width="9.28515625" bestFit="1" customWidth="1"/>
    <col min="4834" max="4834" width="9.85546875" bestFit="1" customWidth="1"/>
    <col min="4836" max="4837" width="9.85546875" bestFit="1" customWidth="1"/>
    <col min="4838" max="4838" width="9.28515625" bestFit="1" customWidth="1"/>
    <col min="4840" max="4840" width="12.5703125" bestFit="1" customWidth="1"/>
    <col min="4841" max="4841" width="9.28515625" bestFit="1" customWidth="1"/>
    <col min="4843" max="4843" width="9.85546875" bestFit="1" customWidth="1"/>
    <col min="4844" max="4844" width="9.28515625" bestFit="1" customWidth="1"/>
    <col min="4845" max="4845" width="9.85546875" bestFit="1" customWidth="1"/>
    <col min="4846" max="4846" width="9.28515625" bestFit="1" customWidth="1"/>
    <col min="4847" max="4848" width="9.85546875" bestFit="1" customWidth="1"/>
    <col min="4849" max="4849" width="9.28515625" bestFit="1" customWidth="1"/>
    <col min="4850" max="4850" width="12.5703125" bestFit="1" customWidth="1"/>
    <col min="4851" max="4851" width="9.28515625" bestFit="1" customWidth="1"/>
    <col min="4852" max="4852" width="10.85546875" bestFit="1" customWidth="1"/>
    <col min="4853" max="4853" width="9.28515625" bestFit="1" customWidth="1"/>
    <col min="4854" max="4855" width="12.5703125" bestFit="1" customWidth="1"/>
    <col min="4856" max="4858" width="9.85546875" bestFit="1" customWidth="1"/>
    <col min="4860" max="4862" width="12.5703125" bestFit="1" customWidth="1"/>
    <col min="4863" max="4863" width="9.85546875" bestFit="1" customWidth="1"/>
    <col min="4864" max="4864" width="12.5703125" bestFit="1" customWidth="1"/>
    <col min="4865" max="4865" width="9.85546875" bestFit="1" customWidth="1"/>
    <col min="4866" max="4866" width="12.5703125" bestFit="1" customWidth="1"/>
    <col min="4867" max="4871" width="9.85546875" bestFit="1" customWidth="1"/>
    <col min="4872" max="4872" width="12.5703125" bestFit="1" customWidth="1"/>
    <col min="4873" max="4873" width="9.85546875" bestFit="1" customWidth="1"/>
    <col min="4874" max="4874" width="10.85546875" bestFit="1" customWidth="1"/>
    <col min="4875" max="4875" width="12.5703125" bestFit="1" customWidth="1"/>
    <col min="4877" max="4877" width="9.85546875" bestFit="1" customWidth="1"/>
    <col min="4879" max="4880" width="12.5703125" bestFit="1" customWidth="1"/>
    <col min="4881" max="4881" width="9.28515625" bestFit="1" customWidth="1"/>
    <col min="4882" max="4883" width="9.85546875" bestFit="1" customWidth="1"/>
    <col min="4884" max="4884" width="12.5703125" bestFit="1" customWidth="1"/>
    <col min="4885" max="4885" width="9.85546875" bestFit="1" customWidth="1"/>
    <col min="4886" max="4886" width="9.28515625" bestFit="1" customWidth="1"/>
    <col min="4889" max="4889" width="9.28515625" bestFit="1" customWidth="1"/>
    <col min="4890" max="4891" width="9.85546875" bestFit="1" customWidth="1"/>
    <col min="4892" max="4893" width="12.5703125" bestFit="1" customWidth="1"/>
    <col min="4894" max="4894" width="9.28515625" bestFit="1" customWidth="1"/>
    <col min="4895" max="4896" width="12.5703125" bestFit="1" customWidth="1"/>
    <col min="4897" max="4898" width="9.85546875" bestFit="1" customWidth="1"/>
    <col min="4899" max="4901" width="9.28515625" bestFit="1" customWidth="1"/>
    <col min="4902" max="4902" width="9.85546875" bestFit="1" customWidth="1"/>
    <col min="4905" max="4905" width="12.5703125" bestFit="1" customWidth="1"/>
    <col min="4907" max="4909" width="9.85546875" bestFit="1" customWidth="1"/>
    <col min="4911" max="4912" width="9.28515625" bestFit="1" customWidth="1"/>
    <col min="4913" max="4913" width="9.85546875" bestFit="1" customWidth="1"/>
    <col min="4914" max="4914" width="9.28515625" bestFit="1" customWidth="1"/>
    <col min="4915" max="4917" width="9.85546875" bestFit="1" customWidth="1"/>
    <col min="4918" max="4918" width="12.5703125" bestFit="1" customWidth="1"/>
    <col min="4919" max="4920" width="9.85546875" bestFit="1" customWidth="1"/>
    <col min="4921" max="4921" width="9.28515625" bestFit="1" customWidth="1"/>
    <col min="4922" max="4923" width="9.85546875" bestFit="1" customWidth="1"/>
    <col min="4924" max="4924" width="9.28515625" bestFit="1" customWidth="1"/>
    <col min="4926" max="4927" width="12.5703125" bestFit="1" customWidth="1"/>
    <col min="4928" max="4934" width="9.85546875" bestFit="1" customWidth="1"/>
    <col min="4935" max="4935" width="9.28515625" bestFit="1" customWidth="1"/>
    <col min="4936" max="4937" width="9.85546875" bestFit="1" customWidth="1"/>
    <col min="4939" max="4939" width="9.28515625" bestFit="1" customWidth="1"/>
    <col min="4940" max="4940" width="9.85546875" bestFit="1" customWidth="1"/>
    <col min="4941" max="4941" width="12.5703125" bestFit="1" customWidth="1"/>
    <col min="4942" max="4942" width="9.85546875" bestFit="1" customWidth="1"/>
    <col min="4945" max="4945" width="9.28515625" bestFit="1" customWidth="1"/>
    <col min="4947" max="4947" width="12.5703125" bestFit="1" customWidth="1"/>
    <col min="4949" max="4949" width="9.85546875" bestFit="1" customWidth="1"/>
    <col min="4950" max="4951" width="12.5703125" bestFit="1" customWidth="1"/>
    <col min="4952" max="4953" width="9.85546875" bestFit="1" customWidth="1"/>
    <col min="4954" max="4954" width="9.28515625" bestFit="1" customWidth="1"/>
    <col min="4955" max="4958" width="9.85546875" bestFit="1" customWidth="1"/>
    <col min="4959" max="4959" width="9.28515625" bestFit="1" customWidth="1"/>
    <col min="4960" max="4960" width="9.85546875" bestFit="1" customWidth="1"/>
    <col min="4961" max="4961" width="9.28515625" bestFit="1" customWidth="1"/>
    <col min="4962" max="4962" width="9.85546875" bestFit="1" customWidth="1"/>
    <col min="4963" max="4964" width="12.5703125" bestFit="1" customWidth="1"/>
    <col min="4965" max="4965" width="9.85546875" bestFit="1" customWidth="1"/>
    <col min="4967" max="4967" width="9.28515625" bestFit="1" customWidth="1"/>
    <col min="4968" max="4968" width="9.85546875" bestFit="1" customWidth="1"/>
    <col min="4970" max="4970" width="12.5703125" bestFit="1" customWidth="1"/>
    <col min="4971" max="4971" width="9.85546875" bestFit="1" customWidth="1"/>
    <col min="4972" max="4972" width="12.5703125" bestFit="1" customWidth="1"/>
    <col min="4973" max="4973" width="9.28515625" bestFit="1" customWidth="1"/>
    <col min="4974" max="4974" width="12.5703125" bestFit="1" customWidth="1"/>
    <col min="4975" max="4975" width="9.28515625" bestFit="1" customWidth="1"/>
    <col min="4976" max="4977" width="9.85546875" bestFit="1" customWidth="1"/>
    <col min="4978" max="4978" width="9.28515625" bestFit="1" customWidth="1"/>
    <col min="4979" max="4979" width="9.85546875" bestFit="1" customWidth="1"/>
    <col min="4980" max="4980" width="10.85546875" bestFit="1" customWidth="1"/>
    <col min="4982" max="4982" width="9.85546875" bestFit="1" customWidth="1"/>
    <col min="4983" max="4983" width="9.28515625" bestFit="1" customWidth="1"/>
    <col min="4984" max="4984" width="9.85546875" bestFit="1" customWidth="1"/>
    <col min="4985" max="4985" width="12.5703125" bestFit="1" customWidth="1"/>
    <col min="4989" max="4989" width="9.85546875" bestFit="1" customWidth="1"/>
    <col min="4990" max="4990" width="9.28515625" bestFit="1" customWidth="1"/>
    <col min="4992" max="4992" width="9.85546875" bestFit="1" customWidth="1"/>
    <col min="4993" max="4993" width="9.28515625" bestFit="1" customWidth="1"/>
    <col min="4994" max="4994" width="9.85546875" bestFit="1" customWidth="1"/>
    <col min="4995" max="4995" width="12.5703125" bestFit="1" customWidth="1"/>
    <col min="4996" max="4996" width="9.28515625" bestFit="1" customWidth="1"/>
    <col min="4997" max="4997" width="9.85546875" bestFit="1" customWidth="1"/>
    <col min="4998" max="4998" width="12.5703125" bestFit="1" customWidth="1"/>
    <col min="4999" max="4999" width="9.28515625" bestFit="1" customWidth="1"/>
    <col min="5000" max="5002" width="9.85546875" bestFit="1" customWidth="1"/>
    <col min="5003" max="5003" width="12.5703125" bestFit="1" customWidth="1"/>
    <col min="5004" max="5004" width="9.85546875" bestFit="1" customWidth="1"/>
    <col min="5005" max="5006" width="9.28515625" bestFit="1" customWidth="1"/>
    <col min="5007" max="5007" width="9.85546875" bestFit="1" customWidth="1"/>
    <col min="5008" max="5008" width="9.28515625" bestFit="1" customWidth="1"/>
    <col min="5009" max="5013" width="9.85546875" bestFit="1" customWidth="1"/>
    <col min="5014" max="5014" width="12.5703125" bestFit="1" customWidth="1"/>
    <col min="5015" max="5016" width="9.85546875" bestFit="1" customWidth="1"/>
    <col min="5017" max="5017" width="9.28515625" bestFit="1" customWidth="1"/>
    <col min="5018" max="5019" width="9.85546875" bestFit="1" customWidth="1"/>
    <col min="5021" max="5022" width="9.85546875" bestFit="1" customWidth="1"/>
    <col min="5023" max="5023" width="12.5703125" bestFit="1" customWidth="1"/>
    <col min="5025" max="5025" width="12.5703125" bestFit="1" customWidth="1"/>
    <col min="5026" max="5027" width="9.85546875" bestFit="1" customWidth="1"/>
    <col min="5028" max="5029" width="9.28515625" bestFit="1" customWidth="1"/>
    <col min="5030" max="5031" width="9.85546875" bestFit="1" customWidth="1"/>
    <col min="5032" max="5032" width="12.5703125" bestFit="1" customWidth="1"/>
    <col min="5034" max="5035" width="9.85546875" bestFit="1" customWidth="1"/>
    <col min="5036" max="5036" width="9.28515625" bestFit="1" customWidth="1"/>
    <col min="5037" max="5037" width="12.5703125" bestFit="1" customWidth="1"/>
    <col min="5038" max="5040" width="9.85546875" bestFit="1" customWidth="1"/>
    <col min="5041" max="5041" width="12.5703125" bestFit="1" customWidth="1"/>
    <col min="5045" max="5045" width="9.85546875" bestFit="1" customWidth="1"/>
    <col min="5046" max="5046" width="9.28515625" bestFit="1" customWidth="1"/>
    <col min="5047" max="5048" width="9.85546875" bestFit="1" customWidth="1"/>
    <col min="5049" max="5049" width="12.5703125" bestFit="1" customWidth="1"/>
    <col min="5050" max="5050" width="10.85546875" bestFit="1" customWidth="1"/>
    <col min="5051" max="5052" width="9.85546875" bestFit="1" customWidth="1"/>
    <col min="5053" max="5053" width="9.28515625" bestFit="1" customWidth="1"/>
    <col min="5054" max="5055" width="9.85546875" bestFit="1" customWidth="1"/>
    <col min="5056" max="5057" width="12.5703125" bestFit="1" customWidth="1"/>
    <col min="5058" max="5059" width="9.85546875" bestFit="1" customWidth="1"/>
    <col min="5060" max="5060" width="9.28515625" bestFit="1" customWidth="1"/>
    <col min="5061" max="5061" width="9.85546875" bestFit="1" customWidth="1"/>
    <col min="5062" max="5062" width="12.5703125" bestFit="1" customWidth="1"/>
    <col min="5063" max="5063" width="9.28515625" bestFit="1" customWidth="1"/>
    <col min="5064" max="5064" width="9.85546875" bestFit="1" customWidth="1"/>
    <col min="5065" max="5065" width="9.28515625" bestFit="1" customWidth="1"/>
    <col min="5066" max="5066" width="12.5703125" bestFit="1" customWidth="1"/>
    <col min="5067" max="5069" width="9.85546875" bestFit="1" customWidth="1"/>
    <col min="5071" max="5072" width="9.85546875" bestFit="1" customWidth="1"/>
    <col min="5073" max="5073" width="9.28515625" bestFit="1" customWidth="1"/>
    <col min="5074" max="5074" width="12.5703125" bestFit="1" customWidth="1"/>
    <col min="5075" max="5075" width="9.85546875" bestFit="1" customWidth="1"/>
    <col min="5076" max="5076" width="12.5703125" bestFit="1" customWidth="1"/>
    <col min="5077" max="5077" width="9.85546875" bestFit="1" customWidth="1"/>
    <col min="5078" max="5078" width="12.5703125" bestFit="1" customWidth="1"/>
    <col min="5079" max="5079" width="9.28515625" bestFit="1" customWidth="1"/>
    <col min="5080" max="5083" width="9.85546875" bestFit="1" customWidth="1"/>
    <col min="5084" max="5084" width="9.28515625" bestFit="1" customWidth="1"/>
    <col min="5085" max="5088" width="9.85546875" bestFit="1" customWidth="1"/>
    <col min="5089" max="5090" width="12.5703125" bestFit="1" customWidth="1"/>
    <col min="5091" max="5092" width="9.85546875" bestFit="1" customWidth="1"/>
    <col min="5093" max="5096" width="9.28515625" bestFit="1" customWidth="1"/>
    <col min="5097" max="5100" width="9.85546875" bestFit="1" customWidth="1"/>
    <col min="5101" max="5101" width="12.5703125" bestFit="1" customWidth="1"/>
    <col min="5102" max="5102" width="9.85546875" bestFit="1" customWidth="1"/>
    <col min="5103" max="5103" width="9.28515625" bestFit="1" customWidth="1"/>
    <col min="5104" max="5107" width="9.85546875" bestFit="1" customWidth="1"/>
    <col min="5108" max="5109" width="9.28515625" bestFit="1" customWidth="1"/>
    <col min="5110" max="5110" width="12.5703125" bestFit="1" customWidth="1"/>
    <col min="5111" max="5113" width="9.85546875" bestFit="1" customWidth="1"/>
    <col min="5114" max="5114" width="9.28515625" bestFit="1" customWidth="1"/>
    <col min="5115" max="5115" width="10.85546875" bestFit="1" customWidth="1"/>
    <col min="5116" max="5116" width="9.28515625" bestFit="1" customWidth="1"/>
    <col min="5117" max="5117" width="9.85546875" bestFit="1" customWidth="1"/>
    <col min="5119" max="5119" width="9.85546875" bestFit="1" customWidth="1"/>
    <col min="5120" max="5120" width="12.5703125" bestFit="1" customWidth="1"/>
    <col min="5121" max="5121" width="9.85546875" bestFit="1" customWidth="1"/>
    <col min="5122" max="5123" width="12.5703125" bestFit="1" customWidth="1"/>
    <col min="5124" max="5124" width="9.85546875" bestFit="1" customWidth="1"/>
    <col min="5125" max="5126" width="9.28515625" bestFit="1" customWidth="1"/>
    <col min="5127" max="5127" width="9.85546875" bestFit="1" customWidth="1"/>
    <col min="5128" max="5128" width="9.28515625" bestFit="1" customWidth="1"/>
    <col min="5129" max="5129" width="12.5703125" bestFit="1" customWidth="1"/>
    <col min="5130" max="5130" width="9.85546875" bestFit="1" customWidth="1"/>
    <col min="5131" max="5131" width="12.5703125" bestFit="1" customWidth="1"/>
    <col min="5132" max="5132" width="9.85546875" bestFit="1" customWidth="1"/>
    <col min="5133" max="5134" width="12.5703125" bestFit="1" customWidth="1"/>
    <col min="5135" max="5139" width="9.85546875" bestFit="1" customWidth="1"/>
    <col min="5140" max="5140" width="9.28515625" bestFit="1" customWidth="1"/>
    <col min="5141" max="5141" width="9.85546875" bestFit="1" customWidth="1"/>
    <col min="5143" max="5143" width="9.85546875" bestFit="1" customWidth="1"/>
    <col min="5144" max="5144" width="12.5703125" bestFit="1" customWidth="1"/>
    <col min="5145" max="5146" width="9.85546875" bestFit="1" customWidth="1"/>
    <col min="5148" max="5148" width="12.5703125" bestFit="1" customWidth="1"/>
    <col min="5149" max="5149" width="9.85546875" bestFit="1" customWidth="1"/>
    <col min="5150" max="5150" width="12.5703125" bestFit="1" customWidth="1"/>
    <col min="5151" max="5151" width="9.28515625" bestFit="1" customWidth="1"/>
    <col min="5153" max="5154" width="9.85546875" bestFit="1" customWidth="1"/>
    <col min="5155" max="5155" width="9.28515625" bestFit="1" customWidth="1"/>
    <col min="5156" max="5156" width="9.85546875" bestFit="1" customWidth="1"/>
    <col min="5157" max="5157" width="12.5703125" bestFit="1" customWidth="1"/>
    <col min="5158" max="5158" width="9.85546875" bestFit="1" customWidth="1"/>
    <col min="5159" max="5159" width="10.85546875" bestFit="1" customWidth="1"/>
    <col min="5160" max="5161" width="9.28515625" bestFit="1" customWidth="1"/>
    <col min="5162" max="5163" width="9.85546875" bestFit="1" customWidth="1"/>
    <col min="5164" max="5165" width="9.28515625" bestFit="1" customWidth="1"/>
    <col min="5166" max="5166" width="12.5703125" bestFit="1" customWidth="1"/>
    <col min="5167" max="5167" width="10.85546875" bestFit="1" customWidth="1"/>
    <col min="5168" max="5168" width="9.28515625" bestFit="1" customWidth="1"/>
    <col min="5169" max="5169" width="9.85546875" bestFit="1" customWidth="1"/>
    <col min="5171" max="5171" width="9.28515625" bestFit="1" customWidth="1"/>
    <col min="5172" max="5172" width="12.5703125" bestFit="1" customWidth="1"/>
    <col min="5173" max="5173" width="9.85546875" bestFit="1" customWidth="1"/>
    <col min="5175" max="5176" width="9.85546875" bestFit="1" customWidth="1"/>
    <col min="5177" max="5177" width="12.5703125" bestFit="1" customWidth="1"/>
    <col min="5178" max="5179" width="9.85546875" bestFit="1" customWidth="1"/>
    <col min="5180" max="5180" width="9.28515625" bestFit="1" customWidth="1"/>
    <col min="5182" max="5183" width="9.85546875" bestFit="1" customWidth="1"/>
    <col min="5184" max="5184" width="10.85546875" bestFit="1" customWidth="1"/>
    <col min="5186" max="5187" width="12.5703125" bestFit="1" customWidth="1"/>
    <col min="5188" max="5189" width="9.85546875" bestFit="1" customWidth="1"/>
    <col min="5190" max="5191" width="9.28515625" bestFit="1" customWidth="1"/>
    <col min="5192" max="5193" width="9.85546875" bestFit="1" customWidth="1"/>
    <col min="5194" max="5194" width="12.5703125" bestFit="1" customWidth="1"/>
    <col min="5195" max="5200" width="9.85546875" bestFit="1" customWidth="1"/>
    <col min="5202" max="5202" width="9.85546875" bestFit="1" customWidth="1"/>
    <col min="5203" max="5203" width="12.5703125" bestFit="1" customWidth="1"/>
    <col min="5204" max="5204" width="10.85546875" bestFit="1" customWidth="1"/>
    <col min="5205" max="5213" width="9.85546875" bestFit="1" customWidth="1"/>
    <col min="5214" max="5214" width="9.28515625" bestFit="1" customWidth="1"/>
    <col min="5215" max="5215" width="12.5703125" bestFit="1" customWidth="1"/>
    <col min="5216" max="5219" width="9.85546875" bestFit="1" customWidth="1"/>
    <col min="5221" max="5221" width="9.28515625" bestFit="1" customWidth="1"/>
    <col min="5222" max="5222" width="9.85546875" bestFit="1" customWidth="1"/>
    <col min="5223" max="5223" width="12.5703125" bestFit="1" customWidth="1"/>
    <col min="5224" max="5225" width="9.28515625" bestFit="1" customWidth="1"/>
    <col min="5226" max="5226" width="9.85546875" bestFit="1" customWidth="1"/>
    <col min="5227" max="5228" width="9.28515625" bestFit="1" customWidth="1"/>
    <col min="5229" max="5231" width="9.85546875" bestFit="1" customWidth="1"/>
    <col min="5232" max="5232" width="9.28515625" bestFit="1" customWidth="1"/>
    <col min="5233" max="5234" width="9.85546875" bestFit="1" customWidth="1"/>
    <col min="5235" max="5235" width="10.85546875" bestFit="1" customWidth="1"/>
    <col min="5236" max="5236" width="12.5703125" bestFit="1" customWidth="1"/>
    <col min="5237" max="5238" width="9.85546875" bestFit="1" customWidth="1"/>
    <col min="5239" max="5239" width="12.5703125" bestFit="1" customWidth="1"/>
    <col min="5240" max="5241" width="9.85546875" bestFit="1" customWidth="1"/>
    <col min="5244" max="5244" width="9.28515625" bestFit="1" customWidth="1"/>
    <col min="5245" max="5245" width="9.85546875" bestFit="1" customWidth="1"/>
    <col min="5246" max="5246" width="12.5703125" bestFit="1" customWidth="1"/>
    <col min="5247" max="5247" width="9.28515625" bestFit="1" customWidth="1"/>
    <col min="5248" max="5248" width="9.85546875" bestFit="1" customWidth="1"/>
    <col min="5249" max="5249" width="12.5703125" bestFit="1" customWidth="1"/>
    <col min="5250" max="5250" width="9.28515625" bestFit="1" customWidth="1"/>
    <col min="5252" max="5252" width="9.85546875" bestFit="1" customWidth="1"/>
    <col min="5254" max="5254" width="9.85546875" bestFit="1" customWidth="1"/>
    <col min="5255" max="5255" width="9.28515625" bestFit="1" customWidth="1"/>
    <col min="5256" max="5258" width="9.85546875" bestFit="1" customWidth="1"/>
    <col min="5259" max="5259" width="10.85546875" bestFit="1" customWidth="1"/>
    <col min="5260" max="5261" width="9.85546875" bestFit="1" customWidth="1"/>
    <col min="5263" max="5263" width="9.85546875" bestFit="1" customWidth="1"/>
    <col min="5264" max="5264" width="9.28515625" bestFit="1" customWidth="1"/>
    <col min="5265" max="5265" width="9.85546875" bestFit="1" customWidth="1"/>
    <col min="5266" max="5266" width="9.28515625" bestFit="1" customWidth="1"/>
    <col min="5267" max="5267" width="12.5703125" bestFit="1" customWidth="1"/>
    <col min="5268" max="5268" width="9.28515625" bestFit="1" customWidth="1"/>
    <col min="5271" max="5271" width="12.5703125" bestFit="1" customWidth="1"/>
    <col min="5272" max="5272" width="9.28515625" bestFit="1" customWidth="1"/>
    <col min="5273" max="5273" width="12.5703125" bestFit="1" customWidth="1"/>
    <col min="5274" max="5274" width="9.28515625" bestFit="1" customWidth="1"/>
    <col min="5275" max="5277" width="9.85546875" bestFit="1" customWidth="1"/>
    <col min="5278" max="5278" width="12.5703125" bestFit="1" customWidth="1"/>
    <col min="5279" max="5279" width="9.85546875" bestFit="1" customWidth="1"/>
    <col min="5280" max="5280" width="12.5703125" bestFit="1" customWidth="1"/>
    <col min="5281" max="5281" width="9.85546875" bestFit="1" customWidth="1"/>
    <col min="5282" max="5282" width="10.85546875" bestFit="1" customWidth="1"/>
    <col min="5283" max="5283" width="12.5703125" bestFit="1" customWidth="1"/>
    <col min="5285" max="5285" width="9.85546875" bestFit="1" customWidth="1"/>
    <col min="5286" max="5286" width="9.28515625" bestFit="1" customWidth="1"/>
    <col min="5287" max="5289" width="9.85546875" bestFit="1" customWidth="1"/>
    <col min="5291" max="5298" width="9.85546875" bestFit="1" customWidth="1"/>
    <col min="5299" max="5299" width="10.85546875" bestFit="1" customWidth="1"/>
    <col min="5300" max="5304" width="9.85546875" bestFit="1" customWidth="1"/>
    <col min="5305" max="5307" width="12.5703125" bestFit="1" customWidth="1"/>
    <col min="5308" max="5312" width="9.85546875" bestFit="1" customWidth="1"/>
    <col min="5314" max="5314" width="9.85546875" bestFit="1" customWidth="1"/>
    <col min="5315" max="5315" width="12.5703125" bestFit="1" customWidth="1"/>
    <col min="5317" max="5318" width="9.85546875" bestFit="1" customWidth="1"/>
    <col min="5319" max="5319" width="12.5703125" bestFit="1" customWidth="1"/>
    <col min="5320" max="5320" width="9.85546875" bestFit="1" customWidth="1"/>
    <col min="5321" max="5322" width="9.28515625" bestFit="1" customWidth="1"/>
    <col min="5323" max="5325" width="9.85546875" bestFit="1" customWidth="1"/>
    <col min="5327" max="5327" width="9.85546875" bestFit="1" customWidth="1"/>
    <col min="5328" max="5328" width="9.28515625" bestFit="1" customWidth="1"/>
    <col min="5329" max="5329" width="9.85546875" bestFit="1" customWidth="1"/>
    <col min="5330" max="5330" width="9.28515625" bestFit="1" customWidth="1"/>
    <col min="5331" max="5335" width="9.85546875" bestFit="1" customWidth="1"/>
    <col min="5336" max="5336" width="12.5703125" bestFit="1" customWidth="1"/>
    <col min="5337" max="5337" width="9.85546875" bestFit="1" customWidth="1"/>
    <col min="5338" max="5338" width="9.28515625" bestFit="1" customWidth="1"/>
    <col min="5341" max="5341" width="9.85546875" bestFit="1" customWidth="1"/>
    <col min="5342" max="5342" width="9.28515625" bestFit="1" customWidth="1"/>
    <col min="5343" max="5343" width="9.85546875" bestFit="1" customWidth="1"/>
    <col min="5345" max="5345" width="9.28515625" bestFit="1" customWidth="1"/>
    <col min="5346" max="5349" width="9.85546875" bestFit="1" customWidth="1"/>
    <col min="5351" max="5351" width="9.85546875" bestFit="1" customWidth="1"/>
    <col min="5352" max="5352" width="12.5703125" bestFit="1" customWidth="1"/>
    <col min="5353" max="5353" width="9.28515625" bestFit="1" customWidth="1"/>
    <col min="5354" max="5354" width="12.5703125" bestFit="1" customWidth="1"/>
    <col min="5355" max="5355" width="9.28515625" bestFit="1" customWidth="1"/>
    <col min="5356" max="5356" width="10.85546875" bestFit="1" customWidth="1"/>
    <col min="5357" max="5357" width="12.5703125" bestFit="1" customWidth="1"/>
    <col min="5358" max="5358" width="9.28515625" bestFit="1" customWidth="1"/>
    <col min="5359" max="5364" width="9.85546875" bestFit="1" customWidth="1"/>
    <col min="5365" max="5365" width="12.5703125" bestFit="1" customWidth="1"/>
    <col min="5366" max="5366" width="9.28515625" bestFit="1" customWidth="1"/>
    <col min="5367" max="5373" width="9.85546875" bestFit="1" customWidth="1"/>
    <col min="5374" max="5374" width="9.28515625" bestFit="1" customWidth="1"/>
    <col min="5375" max="5377" width="9.85546875" bestFit="1" customWidth="1"/>
    <col min="5379" max="5379" width="9.85546875" bestFit="1" customWidth="1"/>
    <col min="5381" max="5381" width="9.85546875" bestFit="1" customWidth="1"/>
    <col min="5382" max="5382" width="12.5703125" bestFit="1" customWidth="1"/>
    <col min="5383" max="5384" width="9.28515625" bestFit="1" customWidth="1"/>
    <col min="5385" max="5388" width="9.85546875" bestFit="1" customWidth="1"/>
    <col min="5389" max="5389" width="12.5703125" bestFit="1" customWidth="1"/>
    <col min="5390" max="5390" width="9.28515625" bestFit="1" customWidth="1"/>
    <col min="5391" max="5394" width="12.5703125" bestFit="1" customWidth="1"/>
    <col min="5395" max="5395" width="9.28515625" bestFit="1" customWidth="1"/>
    <col min="5396" max="5397" width="9.85546875" bestFit="1" customWidth="1"/>
    <col min="5398" max="5398" width="9.28515625" bestFit="1" customWidth="1"/>
    <col min="5399" max="5402" width="9.85546875" bestFit="1" customWidth="1"/>
    <col min="5403" max="5403" width="9.28515625" bestFit="1" customWidth="1"/>
    <col min="5405" max="5405" width="9.85546875" bestFit="1" customWidth="1"/>
    <col min="5406" max="5406" width="12.5703125" bestFit="1" customWidth="1"/>
    <col min="5408" max="5409" width="9.85546875" bestFit="1" customWidth="1"/>
    <col min="5410" max="5410" width="12.5703125" bestFit="1" customWidth="1"/>
    <col min="5411" max="5412" width="9.85546875" bestFit="1" customWidth="1"/>
    <col min="5413" max="5413" width="9.28515625" bestFit="1" customWidth="1"/>
    <col min="5416" max="5417" width="12.5703125" bestFit="1" customWidth="1"/>
    <col min="5418" max="5418" width="9.85546875" bestFit="1" customWidth="1"/>
    <col min="5419" max="5419" width="12.5703125" bestFit="1" customWidth="1"/>
    <col min="5420" max="5422" width="9.85546875" bestFit="1" customWidth="1"/>
    <col min="5423" max="5424" width="12.5703125" bestFit="1" customWidth="1"/>
    <col min="5425" max="5427" width="9.85546875" bestFit="1" customWidth="1"/>
    <col min="5429" max="5429" width="9.85546875" bestFit="1" customWidth="1"/>
    <col min="5430" max="5430" width="9.28515625" bestFit="1" customWidth="1"/>
    <col min="5431" max="5431" width="12.5703125" bestFit="1" customWidth="1"/>
    <col min="5432" max="5432" width="9.28515625" bestFit="1" customWidth="1"/>
    <col min="5434" max="5434" width="9.85546875" bestFit="1" customWidth="1"/>
    <col min="5436" max="5436" width="9.85546875" bestFit="1" customWidth="1"/>
    <col min="5437" max="5437" width="12.5703125" bestFit="1" customWidth="1"/>
    <col min="5438" max="5439" width="9.85546875" bestFit="1" customWidth="1"/>
    <col min="5440" max="5440" width="12.5703125" bestFit="1" customWidth="1"/>
    <col min="5441" max="5441" width="9.85546875" bestFit="1" customWidth="1"/>
    <col min="5442" max="5442" width="12.5703125" bestFit="1" customWidth="1"/>
    <col min="5443" max="5443" width="9.85546875" bestFit="1" customWidth="1"/>
    <col min="5445" max="5445" width="9.85546875" bestFit="1" customWidth="1"/>
    <col min="5446" max="5446" width="10.85546875" bestFit="1" customWidth="1"/>
    <col min="5447" max="5447" width="9.28515625" bestFit="1" customWidth="1"/>
    <col min="5448" max="5448" width="9.85546875" bestFit="1" customWidth="1"/>
    <col min="5449" max="5449" width="12.5703125" bestFit="1" customWidth="1"/>
    <col min="5451" max="5451" width="12.5703125" bestFit="1" customWidth="1"/>
    <col min="5452" max="5452" width="9.85546875" bestFit="1" customWidth="1"/>
    <col min="5454" max="5454" width="9.85546875" bestFit="1" customWidth="1"/>
    <col min="5456" max="5456" width="12.5703125" bestFit="1" customWidth="1"/>
    <col min="5457" max="5457" width="9.28515625" bestFit="1" customWidth="1"/>
    <col min="5458" max="5459" width="9.85546875" bestFit="1" customWidth="1"/>
    <col min="5460" max="5460" width="9.28515625" bestFit="1" customWidth="1"/>
    <col min="5461" max="5461" width="12.5703125" bestFit="1" customWidth="1"/>
    <col min="5462" max="5463" width="9.28515625" bestFit="1" customWidth="1"/>
    <col min="5464" max="5464" width="9.85546875" bestFit="1" customWidth="1"/>
    <col min="5466" max="5466" width="12.5703125" bestFit="1" customWidth="1"/>
    <col min="5468" max="5468" width="9.85546875" bestFit="1" customWidth="1"/>
    <col min="5470" max="5470" width="9.85546875" bestFit="1" customWidth="1"/>
    <col min="5471" max="5471" width="9.28515625" bestFit="1" customWidth="1"/>
    <col min="5472" max="5472" width="9.85546875" bestFit="1" customWidth="1"/>
    <col min="5473" max="5473" width="9.28515625" bestFit="1" customWidth="1"/>
    <col min="5475" max="5476" width="9.85546875" bestFit="1" customWidth="1"/>
    <col min="5477" max="5477" width="9.28515625" bestFit="1" customWidth="1"/>
    <col min="5479" max="5479" width="9.85546875" bestFit="1" customWidth="1"/>
    <col min="5480" max="5480" width="9.28515625" bestFit="1" customWidth="1"/>
    <col min="5481" max="5483" width="9.85546875" bestFit="1" customWidth="1"/>
    <col min="5484" max="5484" width="9.28515625" bestFit="1" customWidth="1"/>
    <col min="5485" max="5485" width="10.85546875" bestFit="1" customWidth="1"/>
    <col min="5486" max="5486" width="9.28515625" bestFit="1" customWidth="1"/>
    <col min="5487" max="5489" width="9.85546875" bestFit="1" customWidth="1"/>
    <col min="5490" max="5490" width="9.28515625" bestFit="1" customWidth="1"/>
    <col min="5491" max="5492" width="9.85546875" bestFit="1" customWidth="1"/>
    <col min="5493" max="5493" width="12.5703125" bestFit="1" customWidth="1"/>
    <col min="5494" max="5494" width="10.85546875" bestFit="1" customWidth="1"/>
    <col min="5495" max="5495" width="9.85546875" bestFit="1" customWidth="1"/>
    <col min="5496" max="5496" width="9.28515625" bestFit="1" customWidth="1"/>
    <col min="5497" max="5498" width="9.85546875" bestFit="1" customWidth="1"/>
    <col min="5499" max="5499" width="9.28515625" bestFit="1" customWidth="1"/>
    <col min="5500" max="5502" width="9.85546875" bestFit="1" customWidth="1"/>
    <col min="5503" max="5503" width="12.5703125" bestFit="1" customWidth="1"/>
    <col min="5504" max="5504" width="9.85546875" bestFit="1" customWidth="1"/>
    <col min="5507" max="5507" width="12.5703125" bestFit="1" customWidth="1"/>
    <col min="5508" max="5508" width="9.28515625" bestFit="1" customWidth="1"/>
    <col min="5509" max="5509" width="9.85546875" bestFit="1" customWidth="1"/>
    <col min="5511" max="5514" width="9.85546875" bestFit="1" customWidth="1"/>
    <col min="5516" max="5518" width="9.85546875" bestFit="1" customWidth="1"/>
    <col min="5519" max="5519" width="12.5703125" bestFit="1" customWidth="1"/>
    <col min="5520" max="5520" width="10.85546875" bestFit="1" customWidth="1"/>
    <col min="5522" max="5523" width="9.28515625" bestFit="1" customWidth="1"/>
    <col min="5524" max="5524" width="9.85546875" bestFit="1" customWidth="1"/>
    <col min="5525" max="5525" width="9.28515625" bestFit="1" customWidth="1"/>
    <col min="5526" max="5526" width="9.85546875" bestFit="1" customWidth="1"/>
    <col min="5527" max="5527" width="9.28515625" bestFit="1" customWidth="1"/>
    <col min="5528" max="5529" width="12.5703125" bestFit="1" customWidth="1"/>
    <col min="5530" max="5533" width="9.85546875" bestFit="1" customWidth="1"/>
    <col min="5534" max="5534" width="12.5703125" bestFit="1" customWidth="1"/>
    <col min="5536" max="5536" width="9.85546875" bestFit="1" customWidth="1"/>
    <col min="5537" max="5538" width="9.28515625" bestFit="1" customWidth="1"/>
    <col min="5539" max="5540" width="9.85546875" bestFit="1" customWidth="1"/>
    <col min="5541" max="5541" width="9.28515625" bestFit="1" customWidth="1"/>
    <col min="5542" max="5545" width="9.85546875" bestFit="1" customWidth="1"/>
    <col min="5548" max="5548" width="9.85546875" bestFit="1" customWidth="1"/>
    <col min="5549" max="5549" width="9.28515625" bestFit="1" customWidth="1"/>
    <col min="5551" max="5551" width="9.85546875" bestFit="1" customWidth="1"/>
    <col min="5553" max="5553" width="12.5703125" bestFit="1" customWidth="1"/>
    <col min="5554" max="5555" width="9.85546875" bestFit="1" customWidth="1"/>
    <col min="5558" max="5558" width="12.5703125" bestFit="1" customWidth="1"/>
    <col min="5560" max="5563" width="9.85546875" bestFit="1" customWidth="1"/>
    <col min="5564" max="5564" width="12.5703125" bestFit="1" customWidth="1"/>
    <col min="5565" max="5565" width="9.85546875" bestFit="1" customWidth="1"/>
    <col min="5566" max="5566" width="9.28515625" bestFit="1" customWidth="1"/>
    <col min="5567" max="5568" width="9.85546875" bestFit="1" customWidth="1"/>
    <col min="5569" max="5569" width="12.5703125" bestFit="1" customWidth="1"/>
    <col min="5570" max="5570" width="9.85546875" bestFit="1" customWidth="1"/>
    <col min="5571" max="5571" width="12.5703125" bestFit="1" customWidth="1"/>
    <col min="5572" max="5573" width="9.85546875" bestFit="1" customWidth="1"/>
    <col min="5574" max="5574" width="12.5703125" bestFit="1" customWidth="1"/>
    <col min="5575" max="5576" width="9.85546875" bestFit="1" customWidth="1"/>
    <col min="5578" max="5581" width="9.85546875" bestFit="1" customWidth="1"/>
    <col min="5582" max="5582" width="9.28515625" bestFit="1" customWidth="1"/>
    <col min="5583" max="5586" width="9.85546875" bestFit="1" customWidth="1"/>
    <col min="5587" max="5587" width="12.5703125" bestFit="1" customWidth="1"/>
    <col min="5588" max="5593" width="9.85546875" bestFit="1" customWidth="1"/>
    <col min="5594" max="5594" width="10.85546875" bestFit="1" customWidth="1"/>
    <col min="5595" max="5595" width="9.85546875" bestFit="1" customWidth="1"/>
    <col min="5596" max="5596" width="9.28515625" bestFit="1" customWidth="1"/>
    <col min="5597" max="5597" width="9.85546875" bestFit="1" customWidth="1"/>
    <col min="5598" max="5598" width="12.5703125" bestFit="1" customWidth="1"/>
    <col min="5600" max="5600" width="9.85546875" bestFit="1" customWidth="1"/>
    <col min="5602" max="5602" width="9.85546875" bestFit="1" customWidth="1"/>
    <col min="5603" max="5603" width="12.5703125" bestFit="1" customWidth="1"/>
    <col min="5605" max="5605" width="9.85546875" bestFit="1" customWidth="1"/>
    <col min="5608" max="5609" width="9.85546875" bestFit="1" customWidth="1"/>
    <col min="5610" max="5610" width="12.5703125" bestFit="1" customWidth="1"/>
    <col min="5611" max="5613" width="9.85546875" bestFit="1" customWidth="1"/>
    <col min="5615" max="5617" width="9.85546875" bestFit="1" customWidth="1"/>
    <col min="5618" max="5618" width="12.5703125" bestFit="1" customWidth="1"/>
    <col min="5619" max="5619" width="9.85546875" bestFit="1" customWidth="1"/>
    <col min="5621" max="5621" width="12.5703125" bestFit="1" customWidth="1"/>
    <col min="5622" max="5622" width="9.85546875" bestFit="1" customWidth="1"/>
    <col min="5623" max="5624" width="12.5703125" bestFit="1" customWidth="1"/>
    <col min="5625" max="5628" width="9.85546875" bestFit="1" customWidth="1"/>
    <col min="5629" max="5629" width="12.5703125" bestFit="1" customWidth="1"/>
    <col min="5630" max="5634" width="9.85546875" bestFit="1" customWidth="1"/>
    <col min="5635" max="5635" width="9.28515625" bestFit="1" customWidth="1"/>
    <col min="5636" max="5636" width="10.85546875" bestFit="1" customWidth="1"/>
    <col min="5637" max="5638" width="9.85546875" bestFit="1" customWidth="1"/>
    <col min="5639" max="5639" width="9.28515625" bestFit="1" customWidth="1"/>
    <col min="5640" max="5640" width="9.85546875" bestFit="1" customWidth="1"/>
    <col min="5641" max="5641" width="9.28515625" bestFit="1" customWidth="1"/>
    <col min="5642" max="5642" width="9.85546875" bestFit="1" customWidth="1"/>
    <col min="5643" max="5643" width="12.5703125" bestFit="1" customWidth="1"/>
    <col min="5644" max="5644" width="9.28515625" bestFit="1" customWidth="1"/>
    <col min="5645" max="5646" width="9.85546875" bestFit="1" customWidth="1"/>
    <col min="5647" max="5647" width="10.85546875" bestFit="1" customWidth="1"/>
    <col min="5648" max="5650" width="9.85546875" bestFit="1" customWidth="1"/>
    <col min="5651" max="5651" width="12.5703125" bestFit="1" customWidth="1"/>
    <col min="5652" max="5652" width="9.28515625" bestFit="1" customWidth="1"/>
    <col min="5653" max="5653" width="9.85546875" bestFit="1" customWidth="1"/>
    <col min="5655" max="5655" width="9.28515625" bestFit="1" customWidth="1"/>
    <col min="5656" max="5658" width="9.85546875" bestFit="1" customWidth="1"/>
    <col min="5659" max="5659" width="9.28515625" bestFit="1" customWidth="1"/>
    <col min="5661" max="5661" width="9.85546875" bestFit="1" customWidth="1"/>
    <col min="5662" max="5662" width="12.5703125" bestFit="1" customWidth="1"/>
    <col min="5663" max="5663" width="9.85546875" bestFit="1" customWidth="1"/>
    <col min="5664" max="5664" width="12.5703125" bestFit="1" customWidth="1"/>
    <col min="5665" max="5666" width="9.85546875" bestFit="1" customWidth="1"/>
    <col min="5668" max="5668" width="9.28515625" bestFit="1" customWidth="1"/>
    <col min="5670" max="5671" width="9.85546875" bestFit="1" customWidth="1"/>
    <col min="5672" max="5672" width="12.5703125" bestFit="1" customWidth="1"/>
    <col min="5673" max="5674" width="9.85546875" bestFit="1" customWidth="1"/>
    <col min="5676" max="5676" width="9.85546875" bestFit="1" customWidth="1"/>
    <col min="5677" max="5679" width="12.5703125" bestFit="1" customWidth="1"/>
    <col min="5680" max="5681" width="9.85546875" bestFit="1" customWidth="1"/>
    <col min="5682" max="5683" width="12.5703125" bestFit="1" customWidth="1"/>
    <col min="5684" max="5685" width="9.85546875" bestFit="1" customWidth="1"/>
    <col min="5686" max="5686" width="10.85546875" bestFit="1" customWidth="1"/>
    <col min="5687" max="5691" width="9.85546875" bestFit="1" customWidth="1"/>
    <col min="5692" max="5693" width="12.5703125" bestFit="1" customWidth="1"/>
    <col min="5694" max="5694" width="9.85546875" bestFit="1" customWidth="1"/>
    <col min="5695" max="5695" width="12.5703125" bestFit="1" customWidth="1"/>
    <col min="5696" max="5698" width="9.85546875" bestFit="1" customWidth="1"/>
    <col min="5699" max="5701" width="9.28515625" bestFit="1" customWidth="1"/>
    <col min="5702" max="5702" width="9.85546875" bestFit="1" customWidth="1"/>
    <col min="5703" max="5703" width="9.28515625" bestFit="1" customWidth="1"/>
    <col min="5704" max="5704" width="12.5703125" bestFit="1" customWidth="1"/>
    <col min="5705" max="5706" width="9.85546875" bestFit="1" customWidth="1"/>
    <col min="5707" max="5707" width="9.28515625" bestFit="1" customWidth="1"/>
    <col min="5708" max="5708" width="9.85546875" bestFit="1" customWidth="1"/>
    <col min="5709" max="5709" width="12.5703125" bestFit="1" customWidth="1"/>
    <col min="5710" max="5711" width="9.85546875" bestFit="1" customWidth="1"/>
    <col min="5712" max="5712" width="12.5703125" bestFit="1" customWidth="1"/>
    <col min="5713" max="5713" width="9.85546875" bestFit="1" customWidth="1"/>
    <col min="5714" max="5714" width="9.28515625" bestFit="1" customWidth="1"/>
    <col min="5715" max="5716" width="9.85546875" bestFit="1" customWidth="1"/>
    <col min="5718" max="5719" width="9.85546875" bestFit="1" customWidth="1"/>
    <col min="5720" max="5720" width="12.5703125" bestFit="1" customWidth="1"/>
    <col min="5722" max="5722" width="9.85546875" bestFit="1" customWidth="1"/>
    <col min="5724" max="5725" width="9.85546875" bestFit="1" customWidth="1"/>
    <col min="5726" max="5726" width="9.28515625" bestFit="1" customWidth="1"/>
    <col min="5727" max="5727" width="9.85546875" bestFit="1" customWidth="1"/>
    <col min="5728" max="5728" width="9.28515625" bestFit="1" customWidth="1"/>
    <col min="5731" max="5731" width="9.28515625" bestFit="1" customWidth="1"/>
    <col min="5732" max="5732" width="9.85546875" bestFit="1" customWidth="1"/>
    <col min="5733" max="5733" width="9.28515625" bestFit="1" customWidth="1"/>
    <col min="5734" max="5734" width="9.85546875" bestFit="1" customWidth="1"/>
    <col min="5736" max="5736" width="12.5703125" bestFit="1" customWidth="1"/>
    <col min="5737" max="5738" width="9.28515625" bestFit="1" customWidth="1"/>
    <col min="5739" max="5741" width="9.85546875" bestFit="1" customWidth="1"/>
    <col min="5742" max="5742" width="9.28515625" bestFit="1" customWidth="1"/>
    <col min="5743" max="5744" width="9.85546875" bestFit="1" customWidth="1"/>
    <col min="5745" max="5745" width="12.5703125" bestFit="1" customWidth="1"/>
    <col min="5746" max="5748" width="9.85546875" bestFit="1" customWidth="1"/>
    <col min="5749" max="5749" width="12.5703125" bestFit="1" customWidth="1"/>
    <col min="5751" max="5752" width="9.85546875" bestFit="1" customWidth="1"/>
    <col min="5754" max="5754" width="9.85546875" bestFit="1" customWidth="1"/>
    <col min="5755" max="5755" width="12.5703125" bestFit="1" customWidth="1"/>
    <col min="5756" max="5756" width="9.85546875" bestFit="1" customWidth="1"/>
    <col min="5758" max="5758" width="9.85546875" bestFit="1" customWidth="1"/>
    <col min="5759" max="5759" width="12.5703125" bestFit="1" customWidth="1"/>
    <col min="5761" max="5763" width="9.85546875" bestFit="1" customWidth="1"/>
    <col min="5764" max="5764" width="9.28515625" bestFit="1" customWidth="1"/>
    <col min="5765" max="5767" width="9.85546875" bestFit="1" customWidth="1"/>
    <col min="5769" max="5769" width="9.85546875" bestFit="1" customWidth="1"/>
    <col min="5770" max="5770" width="9.28515625" bestFit="1" customWidth="1"/>
    <col min="5771" max="5772" width="9.85546875" bestFit="1" customWidth="1"/>
    <col min="5774" max="5774" width="12.5703125" bestFit="1" customWidth="1"/>
    <col min="5776" max="5776" width="12.5703125" bestFit="1" customWidth="1"/>
    <col min="5777" max="5778" width="9.85546875" bestFit="1" customWidth="1"/>
    <col min="5779" max="5779" width="9.28515625" bestFit="1" customWidth="1"/>
    <col min="5780" max="5780" width="9.85546875" bestFit="1" customWidth="1"/>
    <col min="5781" max="5781" width="9.28515625" bestFit="1" customWidth="1"/>
    <col min="5782" max="5783" width="9.85546875" bestFit="1" customWidth="1"/>
    <col min="5784" max="5784" width="12.5703125" bestFit="1" customWidth="1"/>
    <col min="5785" max="5787" width="9.85546875" bestFit="1" customWidth="1"/>
    <col min="5788" max="5788" width="12.5703125" bestFit="1" customWidth="1"/>
    <col min="5789" max="5789" width="9.85546875" bestFit="1" customWidth="1"/>
    <col min="5791" max="5793" width="9.85546875" bestFit="1" customWidth="1"/>
    <col min="5795" max="5795" width="9.85546875" bestFit="1" customWidth="1"/>
    <col min="5796" max="5796" width="9.28515625" bestFit="1" customWidth="1"/>
    <col min="5797" max="5801" width="9.85546875" bestFit="1" customWidth="1"/>
    <col min="5802" max="5802" width="9.28515625" bestFit="1" customWidth="1"/>
    <col min="5803" max="5803" width="9.85546875" bestFit="1" customWidth="1"/>
    <col min="5805" max="5805" width="12.5703125" bestFit="1" customWidth="1"/>
    <col min="5806" max="5806" width="9.85546875" bestFit="1" customWidth="1"/>
    <col min="5807" max="5807" width="12.5703125" bestFit="1" customWidth="1"/>
    <col min="5809" max="5811" width="9.28515625" bestFit="1" customWidth="1"/>
    <col min="5813" max="5813" width="12.5703125" bestFit="1" customWidth="1"/>
    <col min="5814" max="5814" width="9.28515625" bestFit="1" customWidth="1"/>
    <col min="5815" max="5815" width="9.85546875" bestFit="1" customWidth="1"/>
    <col min="5816" max="5816" width="12.5703125" bestFit="1" customWidth="1"/>
    <col min="5817" max="5824" width="9.85546875" bestFit="1" customWidth="1"/>
    <col min="5825" max="5825" width="12.5703125" bestFit="1" customWidth="1"/>
    <col min="5826" max="5826" width="9.28515625" bestFit="1" customWidth="1"/>
    <col min="5827" max="5827" width="12.5703125" bestFit="1" customWidth="1"/>
    <col min="5828" max="5829" width="9.85546875" bestFit="1" customWidth="1"/>
    <col min="5831" max="5831" width="9.85546875" bestFit="1" customWidth="1"/>
    <col min="5832" max="5834" width="9.28515625" bestFit="1" customWidth="1"/>
    <col min="5835" max="5835" width="9.85546875" bestFit="1" customWidth="1"/>
    <col min="5836" max="5836" width="12.5703125" bestFit="1" customWidth="1"/>
    <col min="5838" max="5838" width="9.28515625" bestFit="1" customWidth="1"/>
    <col min="5840" max="5840" width="9.28515625" bestFit="1" customWidth="1"/>
    <col min="5841" max="5841" width="9.85546875" bestFit="1" customWidth="1"/>
    <col min="5842" max="5842" width="12.5703125" bestFit="1" customWidth="1"/>
    <col min="5843" max="5843" width="9.85546875" bestFit="1" customWidth="1"/>
    <col min="5844" max="5844" width="9.28515625" bestFit="1" customWidth="1"/>
    <col min="5845" max="5848" width="9.85546875" bestFit="1" customWidth="1"/>
    <col min="5850" max="5850" width="9.85546875" bestFit="1" customWidth="1"/>
    <col min="5851" max="5851" width="12.5703125" bestFit="1" customWidth="1"/>
    <col min="5852" max="5852" width="9.85546875" bestFit="1" customWidth="1"/>
    <col min="5853" max="5853" width="12.5703125" bestFit="1" customWidth="1"/>
    <col min="5854" max="5854" width="9.85546875" bestFit="1" customWidth="1"/>
    <col min="5855" max="5855" width="9.28515625" bestFit="1" customWidth="1"/>
    <col min="5856" max="5858" width="9.85546875" bestFit="1" customWidth="1"/>
    <col min="5859" max="5859" width="9.28515625" bestFit="1" customWidth="1"/>
    <col min="5861" max="5861" width="9.85546875" bestFit="1" customWidth="1"/>
    <col min="5862" max="5862" width="9.28515625" bestFit="1" customWidth="1"/>
    <col min="5863" max="5863" width="9.85546875" bestFit="1" customWidth="1"/>
    <col min="5864" max="5864" width="9.28515625" bestFit="1" customWidth="1"/>
    <col min="5865" max="5865" width="12.5703125" bestFit="1" customWidth="1"/>
    <col min="5866" max="5866" width="9.85546875" bestFit="1" customWidth="1"/>
    <col min="5867" max="5867" width="12.5703125" bestFit="1" customWidth="1"/>
    <col min="5868" max="5868" width="9.85546875" bestFit="1" customWidth="1"/>
    <col min="5869" max="5870" width="12.5703125" bestFit="1" customWidth="1"/>
    <col min="5871" max="5872" width="9.85546875" bestFit="1" customWidth="1"/>
    <col min="5873" max="5873" width="9.28515625" bestFit="1" customWidth="1"/>
    <col min="5874" max="5879" width="9.85546875" bestFit="1" customWidth="1"/>
    <col min="5880" max="5880" width="9.28515625" bestFit="1" customWidth="1"/>
    <col min="5881" max="5881" width="9.85546875" bestFit="1" customWidth="1"/>
    <col min="5882" max="5882" width="12.5703125" bestFit="1" customWidth="1"/>
    <col min="5883" max="5891" width="9.85546875" bestFit="1" customWidth="1"/>
    <col min="5893" max="5893" width="9.85546875" bestFit="1" customWidth="1"/>
    <col min="5894" max="5894" width="9.28515625" bestFit="1" customWidth="1"/>
    <col min="5896" max="5896" width="9.85546875" bestFit="1" customWidth="1"/>
    <col min="5897" max="5897" width="12.5703125" bestFit="1" customWidth="1"/>
    <col min="5898" max="5899" width="9.85546875" bestFit="1" customWidth="1"/>
    <col min="5901" max="5901" width="9.85546875" bestFit="1" customWidth="1"/>
    <col min="5903" max="5903" width="9.28515625" bestFit="1" customWidth="1"/>
    <col min="5905" max="5905" width="9.85546875" bestFit="1" customWidth="1"/>
    <col min="5906" max="5906" width="12.5703125" bestFit="1" customWidth="1"/>
    <col min="5907" max="5908" width="9.85546875" bestFit="1" customWidth="1"/>
    <col min="5910" max="5910" width="9.85546875" bestFit="1" customWidth="1"/>
    <col min="5911" max="5911" width="12.5703125" bestFit="1" customWidth="1"/>
    <col min="5912" max="5913" width="9.28515625" bestFit="1" customWidth="1"/>
    <col min="5914" max="5914" width="9.85546875" bestFit="1" customWidth="1"/>
    <col min="5915" max="5915" width="12.5703125" bestFit="1" customWidth="1"/>
    <col min="5916" max="5922" width="9.85546875" bestFit="1" customWidth="1"/>
    <col min="5923" max="5923" width="10.85546875" bestFit="1" customWidth="1"/>
    <col min="5924" max="5924" width="9.28515625" bestFit="1" customWidth="1"/>
    <col min="5925" max="5925" width="10.85546875" bestFit="1" customWidth="1"/>
    <col min="5926" max="5926" width="9.28515625" bestFit="1" customWidth="1"/>
    <col min="5927" max="5930" width="9.85546875" bestFit="1" customWidth="1"/>
    <col min="5931" max="5931" width="9.28515625" bestFit="1" customWidth="1"/>
    <col min="5932" max="5932" width="9.85546875" bestFit="1" customWidth="1"/>
    <col min="5934" max="5936" width="9.28515625" bestFit="1" customWidth="1"/>
    <col min="5937" max="5937" width="12.5703125" bestFit="1" customWidth="1"/>
    <col min="5938" max="5938" width="9.28515625" bestFit="1" customWidth="1"/>
    <col min="5939" max="5940" width="9.85546875" bestFit="1" customWidth="1"/>
    <col min="5941" max="5941" width="9.28515625" bestFit="1" customWidth="1"/>
    <col min="5942" max="5943" width="9.85546875" bestFit="1" customWidth="1"/>
    <col min="5944" max="5944" width="9.28515625" bestFit="1" customWidth="1"/>
    <col min="5945" max="5945" width="12.5703125" bestFit="1" customWidth="1"/>
    <col min="5946" max="5946" width="9.85546875" bestFit="1" customWidth="1"/>
    <col min="5947" max="5947" width="9.28515625" bestFit="1" customWidth="1"/>
    <col min="5948" max="5951" width="12.5703125" bestFit="1" customWidth="1"/>
    <col min="5952" max="5952" width="9.28515625" bestFit="1" customWidth="1"/>
    <col min="5953" max="5953" width="12.5703125" bestFit="1" customWidth="1"/>
    <col min="5954" max="5960" width="9.85546875" bestFit="1" customWidth="1"/>
    <col min="5961" max="5962" width="9.28515625" bestFit="1" customWidth="1"/>
    <col min="5963" max="5965" width="9.85546875" bestFit="1" customWidth="1"/>
    <col min="5966" max="5967" width="9.28515625" bestFit="1" customWidth="1"/>
    <col min="5968" max="5968" width="10.85546875" bestFit="1" customWidth="1"/>
    <col min="5969" max="5969" width="9.28515625" bestFit="1" customWidth="1"/>
    <col min="5970" max="5970" width="12.5703125" bestFit="1" customWidth="1"/>
    <col min="5971" max="5971" width="9.28515625" bestFit="1" customWidth="1"/>
    <col min="5972" max="5973" width="9.85546875" bestFit="1" customWidth="1"/>
    <col min="5974" max="5974" width="12.5703125" bestFit="1" customWidth="1"/>
    <col min="5976" max="5976" width="9.85546875" bestFit="1" customWidth="1"/>
    <col min="5977" max="5978" width="12.5703125" bestFit="1" customWidth="1"/>
    <col min="5979" max="5979" width="9.85546875" bestFit="1" customWidth="1"/>
    <col min="5981" max="5981" width="9.85546875" bestFit="1" customWidth="1"/>
    <col min="5982" max="5982" width="12.5703125" bestFit="1" customWidth="1"/>
    <col min="5983" max="5984" width="9.28515625" bestFit="1" customWidth="1"/>
    <col min="5985" max="5986" width="9.85546875" bestFit="1" customWidth="1"/>
    <col min="5987" max="5987" width="9.28515625" bestFit="1" customWidth="1"/>
    <col min="5988" max="5990" width="9.85546875" bestFit="1" customWidth="1"/>
    <col min="5991" max="5991" width="12.5703125" bestFit="1" customWidth="1"/>
    <col min="5992" max="5994" width="9.85546875" bestFit="1" customWidth="1"/>
    <col min="5995" max="5995" width="9.28515625" bestFit="1" customWidth="1"/>
    <col min="5996" max="5999" width="9.85546875" bestFit="1" customWidth="1"/>
    <col min="6001" max="6004" width="9.85546875" bestFit="1" customWidth="1"/>
    <col min="6005" max="6005" width="9.28515625" bestFit="1" customWidth="1"/>
    <col min="6006" max="6007" width="9.85546875" bestFit="1" customWidth="1"/>
    <col min="6008" max="6008" width="9.28515625" bestFit="1" customWidth="1"/>
    <col min="6009" max="6011" width="9.85546875" bestFit="1" customWidth="1"/>
    <col min="6014" max="6014" width="9.28515625" bestFit="1" customWidth="1"/>
    <col min="6015" max="6016" width="9.85546875" bestFit="1" customWidth="1"/>
    <col min="6018" max="6018" width="9.28515625" bestFit="1" customWidth="1"/>
    <col min="6019" max="6022" width="9.85546875" bestFit="1" customWidth="1"/>
    <col min="6023" max="6023" width="9.28515625" bestFit="1" customWidth="1"/>
    <col min="6024" max="6024" width="12.5703125" bestFit="1" customWidth="1"/>
    <col min="6025" max="6025" width="9.85546875" bestFit="1" customWidth="1"/>
    <col min="6026" max="6027" width="12.5703125" bestFit="1" customWidth="1"/>
    <col min="6029" max="6029" width="9.28515625" bestFit="1" customWidth="1"/>
    <col min="6030" max="6030" width="12.5703125" bestFit="1" customWidth="1"/>
    <col min="6032" max="6032" width="9.85546875" bestFit="1" customWidth="1"/>
    <col min="6036" max="6036" width="9.85546875" bestFit="1" customWidth="1"/>
    <col min="6037" max="6037" width="12.5703125" bestFit="1" customWidth="1"/>
    <col min="6038" max="6038" width="10.85546875" bestFit="1" customWidth="1"/>
    <col min="6039" max="6039" width="12.5703125" bestFit="1" customWidth="1"/>
    <col min="6040" max="6041" width="9.85546875" bestFit="1" customWidth="1"/>
    <col min="6042" max="6043" width="12.5703125" bestFit="1" customWidth="1"/>
    <col min="6044" max="6045" width="9.85546875" bestFit="1" customWidth="1"/>
    <col min="6048" max="6048" width="12.5703125" bestFit="1" customWidth="1"/>
    <col min="6049" max="6052" width="9.85546875" bestFit="1" customWidth="1"/>
    <col min="6054" max="6054" width="9.85546875" bestFit="1" customWidth="1"/>
    <col min="6055" max="6055" width="12.5703125" bestFit="1" customWidth="1"/>
    <col min="6056" max="6056" width="9.85546875" bestFit="1" customWidth="1"/>
    <col min="6057" max="6057" width="12.5703125" bestFit="1" customWidth="1"/>
    <col min="6059" max="6059" width="9.85546875" bestFit="1" customWidth="1"/>
    <col min="6060" max="6060" width="12.5703125" bestFit="1" customWidth="1"/>
    <col min="6061" max="6061" width="9.85546875" bestFit="1" customWidth="1"/>
    <col min="6062" max="6062" width="12.5703125" bestFit="1" customWidth="1"/>
    <col min="6063" max="6065" width="9.85546875" bestFit="1" customWidth="1"/>
    <col min="6066" max="6066" width="9.28515625" bestFit="1" customWidth="1"/>
    <col min="6067" max="6067" width="9.85546875" bestFit="1" customWidth="1"/>
    <col min="6068" max="6068" width="9.28515625" bestFit="1" customWidth="1"/>
    <col min="6069" max="6070" width="9.85546875" bestFit="1" customWidth="1"/>
    <col min="6071" max="6071" width="12.5703125" bestFit="1" customWidth="1"/>
    <col min="6072" max="6073" width="9.85546875" bestFit="1" customWidth="1"/>
    <col min="6074" max="6074" width="9.28515625" bestFit="1" customWidth="1"/>
    <col min="6075" max="6076" width="9.85546875" bestFit="1" customWidth="1"/>
    <col min="6077" max="6077" width="9.28515625" bestFit="1" customWidth="1"/>
    <col min="6079" max="6079" width="12.5703125" bestFit="1" customWidth="1"/>
    <col min="6081" max="6081" width="12.5703125" bestFit="1" customWidth="1"/>
    <col min="6082" max="6082" width="9.85546875" bestFit="1" customWidth="1"/>
    <col min="6083" max="6083" width="12.5703125" bestFit="1" customWidth="1"/>
    <col min="6084" max="6084" width="9.85546875" bestFit="1" customWidth="1"/>
    <col min="6086" max="6086" width="9.85546875" bestFit="1" customWidth="1"/>
    <col min="6087" max="6087" width="9.28515625" bestFit="1" customWidth="1"/>
    <col min="6088" max="6088" width="10.85546875" bestFit="1" customWidth="1"/>
    <col min="6090" max="6090" width="9.85546875" bestFit="1" customWidth="1"/>
    <col min="6091" max="6091" width="12.5703125" bestFit="1" customWidth="1"/>
    <col min="6092" max="6092" width="9.28515625" bestFit="1" customWidth="1"/>
    <col min="6093" max="6094" width="9.85546875" bestFit="1" customWidth="1"/>
    <col min="6096" max="6096" width="9.85546875" bestFit="1" customWidth="1"/>
    <col min="6098" max="6099" width="9.85546875" bestFit="1" customWidth="1"/>
    <col min="6100" max="6100" width="12.5703125" bestFit="1" customWidth="1"/>
    <col min="6101" max="6103" width="9.85546875" bestFit="1" customWidth="1"/>
    <col min="6104" max="6105" width="12.5703125" bestFit="1" customWidth="1"/>
    <col min="6106" max="6106" width="9.85546875" bestFit="1" customWidth="1"/>
    <col min="6107" max="6107" width="9.28515625" bestFit="1" customWidth="1"/>
    <col min="6108" max="6108" width="9.85546875" bestFit="1" customWidth="1"/>
    <col min="6109" max="6109" width="9.28515625" bestFit="1" customWidth="1"/>
    <col min="6110" max="6113" width="9.85546875" bestFit="1" customWidth="1"/>
    <col min="6115" max="6115" width="9.85546875" bestFit="1" customWidth="1"/>
    <col min="6117" max="6117" width="9.85546875" bestFit="1" customWidth="1"/>
    <col min="6118" max="6118" width="9.28515625" bestFit="1" customWidth="1"/>
    <col min="6119" max="6120" width="9.85546875" bestFit="1" customWidth="1"/>
    <col min="6121" max="6121" width="10.85546875" bestFit="1" customWidth="1"/>
    <col min="6122" max="6122" width="9.85546875" bestFit="1" customWidth="1"/>
    <col min="6124" max="6125" width="9.85546875" bestFit="1" customWidth="1"/>
    <col min="6126" max="6126" width="12.5703125" bestFit="1" customWidth="1"/>
    <col min="6127" max="6127" width="9.85546875" bestFit="1" customWidth="1"/>
    <col min="6128" max="6128" width="9.28515625" bestFit="1" customWidth="1"/>
    <col min="6129" max="6129" width="9.85546875" bestFit="1" customWidth="1"/>
    <col min="6131" max="6133" width="9.85546875" bestFit="1" customWidth="1"/>
    <col min="6135" max="6136" width="9.85546875" bestFit="1" customWidth="1"/>
    <col min="6137" max="6137" width="9.28515625" bestFit="1" customWidth="1"/>
    <col min="6139" max="6142" width="9.85546875" bestFit="1" customWidth="1"/>
    <col min="6143" max="6144" width="9.28515625" bestFit="1" customWidth="1"/>
    <col min="6145" max="6145" width="12.5703125" bestFit="1" customWidth="1"/>
    <col min="6146" max="6146" width="9.85546875" bestFit="1" customWidth="1"/>
    <col min="6147" max="6147" width="9.28515625" bestFit="1" customWidth="1"/>
    <col min="6148" max="6148" width="9.85546875" bestFit="1" customWidth="1"/>
    <col min="6149" max="6149" width="10.85546875" bestFit="1" customWidth="1"/>
    <col min="6150" max="6150" width="9.28515625" bestFit="1" customWidth="1"/>
    <col min="6151" max="6152" width="12.5703125" bestFit="1" customWidth="1"/>
    <col min="6153" max="6153" width="9.85546875" bestFit="1" customWidth="1"/>
    <col min="6154" max="6154" width="12.5703125" bestFit="1" customWidth="1"/>
    <col min="6155" max="6156" width="9.85546875" bestFit="1" customWidth="1"/>
    <col min="6158" max="6158" width="9.85546875" bestFit="1" customWidth="1"/>
    <col min="6159" max="6159" width="12.5703125" bestFit="1" customWidth="1"/>
    <col min="6160" max="6160" width="9.85546875" bestFit="1" customWidth="1"/>
    <col min="6161" max="6161" width="12.5703125" bestFit="1" customWidth="1"/>
    <col min="6162" max="6163" width="9.28515625" bestFit="1" customWidth="1"/>
    <col min="6164" max="6169" width="9.85546875" bestFit="1" customWidth="1"/>
    <col min="6170" max="6170" width="12.5703125" bestFit="1" customWidth="1"/>
    <col min="6173" max="6175" width="9.85546875" bestFit="1" customWidth="1"/>
    <col min="6176" max="6176" width="9.28515625" bestFit="1" customWidth="1"/>
    <col min="6178" max="6178" width="9.85546875" bestFit="1" customWidth="1"/>
    <col min="6180" max="6185" width="9.85546875" bestFit="1" customWidth="1"/>
    <col min="6187" max="6187" width="9.85546875" bestFit="1" customWidth="1"/>
    <col min="6188" max="6188" width="9.28515625" bestFit="1" customWidth="1"/>
    <col min="6189" max="6189" width="10.85546875" bestFit="1" customWidth="1"/>
    <col min="6191" max="6191" width="9.28515625" bestFit="1" customWidth="1"/>
    <col min="6192" max="6192" width="9.85546875" bestFit="1" customWidth="1"/>
    <col min="6193" max="6193" width="12.5703125" bestFit="1" customWidth="1"/>
    <col min="6194" max="6194" width="9.28515625" bestFit="1" customWidth="1"/>
    <col min="6195" max="6195" width="12.5703125" bestFit="1" customWidth="1"/>
    <col min="6196" max="6196" width="9.85546875" bestFit="1" customWidth="1"/>
    <col min="6197" max="6197" width="12.5703125" bestFit="1" customWidth="1"/>
    <col min="6199" max="6199" width="9.85546875" bestFit="1" customWidth="1"/>
    <col min="6200" max="6200" width="9.28515625" bestFit="1" customWidth="1"/>
    <col min="6201" max="6202" width="9.85546875" bestFit="1" customWidth="1"/>
    <col min="6203" max="6203" width="9.28515625" bestFit="1" customWidth="1"/>
    <col min="6205" max="6206" width="9.85546875" bestFit="1" customWidth="1"/>
    <col min="6207" max="6208" width="12.5703125" bestFit="1" customWidth="1"/>
    <col min="6209" max="6209" width="9.28515625" bestFit="1" customWidth="1"/>
    <col min="6211" max="6211" width="12.5703125" bestFit="1" customWidth="1"/>
    <col min="6212" max="6214" width="9.85546875" bestFit="1" customWidth="1"/>
    <col min="6215" max="6215" width="12.5703125" bestFit="1" customWidth="1"/>
    <col min="6216" max="6216" width="9.85546875" bestFit="1" customWidth="1"/>
    <col min="6218" max="6219" width="9.28515625" bestFit="1" customWidth="1"/>
    <col min="6220" max="6221" width="9.85546875" bestFit="1" customWidth="1"/>
    <col min="6222" max="6223" width="9.28515625" bestFit="1" customWidth="1"/>
    <col min="6225" max="6225" width="9.85546875" bestFit="1" customWidth="1"/>
    <col min="6226" max="6226" width="12.5703125" bestFit="1" customWidth="1"/>
    <col min="6227" max="6227" width="9.28515625" bestFit="1" customWidth="1"/>
    <col min="6228" max="6229" width="12.5703125" bestFit="1" customWidth="1"/>
    <col min="6230" max="6230" width="9.85546875" bestFit="1" customWidth="1"/>
    <col min="6232" max="6232" width="9.28515625" bestFit="1" customWidth="1"/>
    <col min="6233" max="6233" width="12.5703125" bestFit="1" customWidth="1"/>
    <col min="6234" max="6234" width="9.28515625" bestFit="1" customWidth="1"/>
    <col min="6236" max="6236" width="12.5703125" bestFit="1" customWidth="1"/>
    <col min="6237" max="6237" width="9.85546875" bestFit="1" customWidth="1"/>
    <col min="6238" max="6238" width="12.5703125" bestFit="1" customWidth="1"/>
    <col min="6239" max="6243" width="9.85546875" bestFit="1" customWidth="1"/>
    <col min="6244" max="6244" width="10.85546875" bestFit="1" customWidth="1"/>
    <col min="6245" max="6246" width="9.85546875" bestFit="1" customWidth="1"/>
    <col min="6248" max="6248" width="9.28515625" bestFit="1" customWidth="1"/>
    <col min="6249" max="6251" width="9.85546875" bestFit="1" customWidth="1"/>
    <col min="6252" max="6252" width="9.28515625" bestFit="1" customWidth="1"/>
    <col min="6253" max="6254" width="12.5703125" bestFit="1" customWidth="1"/>
    <col min="6255" max="6256" width="9.85546875" bestFit="1" customWidth="1"/>
    <col min="6258" max="6258" width="9.28515625" bestFit="1" customWidth="1"/>
    <col min="6259" max="6260" width="9.85546875" bestFit="1" customWidth="1"/>
    <col min="6262" max="6262" width="9.28515625" bestFit="1" customWidth="1"/>
    <col min="6263" max="6263" width="9.85546875" bestFit="1" customWidth="1"/>
    <col min="6264" max="6264" width="9.28515625" bestFit="1" customWidth="1"/>
    <col min="6265" max="6265" width="9.85546875" bestFit="1" customWidth="1"/>
    <col min="6266" max="6266" width="9.28515625" bestFit="1" customWidth="1"/>
    <col min="6267" max="6267" width="12.5703125" bestFit="1" customWidth="1"/>
    <col min="6268" max="6268" width="9.85546875" bestFit="1" customWidth="1"/>
    <col min="6269" max="6269" width="12.5703125" bestFit="1" customWidth="1"/>
    <col min="6270" max="6274" width="9.85546875" bestFit="1" customWidth="1"/>
    <col min="6275" max="6275" width="10.85546875" bestFit="1" customWidth="1"/>
    <col min="6276" max="6276" width="9.85546875" bestFit="1" customWidth="1"/>
    <col min="6278" max="6280" width="9.85546875" bestFit="1" customWidth="1"/>
    <col min="6282" max="6287" width="9.85546875" bestFit="1" customWidth="1"/>
    <col min="6288" max="6288" width="9.28515625" bestFit="1" customWidth="1"/>
    <col min="6289" max="6290" width="9.85546875" bestFit="1" customWidth="1"/>
    <col min="6291" max="6292" width="12.5703125" bestFit="1" customWidth="1"/>
    <col min="6293" max="6294" width="9.85546875" bestFit="1" customWidth="1"/>
    <col min="6296" max="6299" width="9.85546875" bestFit="1" customWidth="1"/>
    <col min="6300" max="6300" width="12.5703125" bestFit="1" customWidth="1"/>
    <col min="6301" max="6301" width="9.28515625" bestFit="1" customWidth="1"/>
    <col min="6302" max="6303" width="12.5703125" bestFit="1" customWidth="1"/>
    <col min="6304" max="6304" width="9.28515625" bestFit="1" customWidth="1"/>
    <col min="6305" max="6306" width="9.85546875" bestFit="1" customWidth="1"/>
    <col min="6307" max="6307" width="12.5703125" bestFit="1" customWidth="1"/>
    <col min="6308" max="6309" width="9.85546875" bestFit="1" customWidth="1"/>
    <col min="6310" max="6310" width="12.5703125" bestFit="1" customWidth="1"/>
    <col min="6311" max="6311" width="9.85546875" bestFit="1" customWidth="1"/>
    <col min="6314" max="6315" width="9.28515625" bestFit="1" customWidth="1"/>
    <col min="6317" max="6318" width="12.5703125" bestFit="1" customWidth="1"/>
    <col min="6320" max="6320" width="9.28515625" bestFit="1" customWidth="1"/>
    <col min="6321" max="6321" width="9.85546875" bestFit="1" customWidth="1"/>
    <col min="6323" max="6323" width="12.5703125" bestFit="1" customWidth="1"/>
    <col min="6324" max="6324" width="10.85546875" bestFit="1" customWidth="1"/>
    <col min="6325" max="6325" width="9.28515625" bestFit="1" customWidth="1"/>
    <col min="6326" max="6326" width="9.85546875" bestFit="1" customWidth="1"/>
    <col min="6327" max="6327" width="9.28515625" bestFit="1" customWidth="1"/>
    <col min="6328" max="6328" width="9.85546875" bestFit="1" customWidth="1"/>
    <col min="6329" max="6330" width="12.5703125" bestFit="1" customWidth="1"/>
    <col min="6331" max="6331" width="10.85546875" bestFit="1" customWidth="1"/>
    <col min="6332" max="6332" width="9.85546875" bestFit="1" customWidth="1"/>
    <col min="6334" max="6335" width="9.28515625" bestFit="1" customWidth="1"/>
    <col min="6336" max="6336" width="12.5703125" bestFit="1" customWidth="1"/>
    <col min="6337" max="6337" width="9.85546875" bestFit="1" customWidth="1"/>
    <col min="6338" max="6338" width="9.28515625" bestFit="1" customWidth="1"/>
    <col min="6339" max="6339" width="12.5703125" bestFit="1" customWidth="1"/>
    <col min="6340" max="6340" width="9.85546875" bestFit="1" customWidth="1"/>
    <col min="6341" max="6341" width="12.5703125" bestFit="1" customWidth="1"/>
    <col min="6343" max="6343" width="9.85546875" bestFit="1" customWidth="1"/>
    <col min="6344" max="6344" width="9.28515625" bestFit="1" customWidth="1"/>
    <col min="6345" max="6346" width="9.85546875" bestFit="1" customWidth="1"/>
    <col min="6347" max="6347" width="12.5703125" bestFit="1" customWidth="1"/>
    <col min="6348" max="6348" width="9.85546875" bestFit="1" customWidth="1"/>
    <col min="6349" max="6350" width="9.28515625" bestFit="1" customWidth="1"/>
    <col min="6351" max="6351" width="9.85546875" bestFit="1" customWidth="1"/>
    <col min="6353" max="6356" width="9.85546875" bestFit="1" customWidth="1"/>
    <col min="6357" max="6357" width="9.28515625" bestFit="1" customWidth="1"/>
    <col min="6358" max="6358" width="12.5703125" bestFit="1" customWidth="1"/>
    <col min="6359" max="6360" width="9.85546875" bestFit="1" customWidth="1"/>
    <col min="6361" max="6361" width="12.5703125" bestFit="1" customWidth="1"/>
    <col min="6362" max="6363" width="9.85546875" bestFit="1" customWidth="1"/>
    <col min="6366" max="6366" width="9.85546875" bestFit="1" customWidth="1"/>
    <col min="6367" max="6367" width="12.5703125" bestFit="1" customWidth="1"/>
    <col min="6368" max="6368" width="9.85546875" bestFit="1" customWidth="1"/>
    <col min="6369" max="6369" width="9.28515625" bestFit="1" customWidth="1"/>
    <col min="6370" max="6370" width="9.85546875" bestFit="1" customWidth="1"/>
    <col min="6371" max="6371" width="9.28515625" bestFit="1" customWidth="1"/>
    <col min="6373" max="6373" width="12.5703125" bestFit="1" customWidth="1"/>
    <col min="6374" max="6377" width="9.85546875" bestFit="1" customWidth="1"/>
    <col min="6379" max="6379" width="9.28515625" bestFit="1" customWidth="1"/>
    <col min="6380" max="6380" width="12.5703125" bestFit="1" customWidth="1"/>
    <col min="6381" max="6388" width="9.85546875" bestFit="1" customWidth="1"/>
    <col min="6389" max="6389" width="9.28515625" bestFit="1" customWidth="1"/>
    <col min="6390" max="6391" width="9.85546875" bestFit="1" customWidth="1"/>
    <col min="6393" max="6394" width="9.28515625" bestFit="1" customWidth="1"/>
    <col min="6395" max="6395" width="9.85546875" bestFit="1" customWidth="1"/>
    <col min="6396" max="6396" width="12.5703125" bestFit="1" customWidth="1"/>
    <col min="6397" max="6397" width="9.85546875" bestFit="1" customWidth="1"/>
    <col min="6399" max="6400" width="9.85546875" bestFit="1" customWidth="1"/>
    <col min="6401" max="6401" width="9.28515625" bestFit="1" customWidth="1"/>
    <col min="6402" max="6403" width="9.85546875" bestFit="1" customWidth="1"/>
    <col min="6404" max="6404" width="12.5703125" bestFit="1" customWidth="1"/>
    <col min="6405" max="6405" width="9.28515625" bestFit="1" customWidth="1"/>
    <col min="6406" max="6407" width="12.5703125" bestFit="1" customWidth="1"/>
    <col min="6408" max="6409" width="9.28515625" bestFit="1" customWidth="1"/>
    <col min="6410" max="6411" width="12.5703125" bestFit="1" customWidth="1"/>
    <col min="6412" max="6412" width="10.85546875" bestFit="1" customWidth="1"/>
    <col min="6414" max="6414" width="9.85546875" bestFit="1" customWidth="1"/>
    <col min="6415" max="6415" width="12.5703125" bestFit="1" customWidth="1"/>
    <col min="6416" max="6416" width="9.28515625" bestFit="1" customWidth="1"/>
    <col min="6417" max="6418" width="9.85546875" bestFit="1" customWidth="1"/>
    <col min="6419" max="6419" width="12.5703125" bestFit="1" customWidth="1"/>
    <col min="6420" max="6421" width="9.28515625" bestFit="1" customWidth="1"/>
    <col min="6422" max="6425" width="9.85546875" bestFit="1" customWidth="1"/>
    <col min="6426" max="6426" width="12.5703125" bestFit="1" customWidth="1"/>
    <col min="6427" max="6427" width="9.85546875" bestFit="1" customWidth="1"/>
    <col min="6429" max="6429" width="9.28515625" bestFit="1" customWidth="1"/>
    <col min="6430" max="6431" width="9.85546875" bestFit="1" customWidth="1"/>
    <col min="6432" max="6432" width="12.5703125" bestFit="1" customWidth="1"/>
    <col min="6433" max="6433" width="9.28515625" bestFit="1" customWidth="1"/>
    <col min="6435" max="6435" width="9.85546875" bestFit="1" customWidth="1"/>
    <col min="6436" max="6436" width="9.28515625" bestFit="1" customWidth="1"/>
    <col min="6437" max="6437" width="12.5703125" bestFit="1" customWidth="1"/>
    <col min="6438" max="6439" width="9.85546875" bestFit="1" customWidth="1"/>
    <col min="6442" max="6442" width="9.28515625" bestFit="1" customWidth="1"/>
    <col min="6443" max="6443" width="12.5703125" bestFit="1" customWidth="1"/>
    <col min="6444" max="6444" width="9.28515625" bestFit="1" customWidth="1"/>
    <col min="6445" max="6450" width="9.85546875" bestFit="1" customWidth="1"/>
    <col min="6451" max="6452" width="12.5703125" bestFit="1" customWidth="1"/>
    <col min="6453" max="6453" width="9.85546875" bestFit="1" customWidth="1"/>
    <col min="6456" max="6458" width="9.85546875" bestFit="1" customWidth="1"/>
    <col min="6459" max="6459" width="9.28515625" bestFit="1" customWidth="1"/>
    <col min="6460" max="6460" width="9.85546875" bestFit="1" customWidth="1"/>
    <col min="6461" max="6462" width="12.5703125" bestFit="1" customWidth="1"/>
    <col min="6463" max="6463" width="9.28515625" bestFit="1" customWidth="1"/>
    <col min="6464" max="6465" width="9.85546875" bestFit="1" customWidth="1"/>
    <col min="6467" max="6467" width="9.85546875" bestFit="1" customWidth="1"/>
    <col min="6468" max="6468" width="12.5703125" bestFit="1" customWidth="1"/>
    <col min="6469" max="6469" width="9.28515625" bestFit="1" customWidth="1"/>
    <col min="6470" max="6471" width="9.85546875" bestFit="1" customWidth="1"/>
    <col min="6472" max="6472" width="12.5703125" bestFit="1" customWidth="1"/>
    <col min="6473" max="6475" width="9.85546875" bestFit="1" customWidth="1"/>
    <col min="6477" max="6477" width="9.85546875" bestFit="1" customWidth="1"/>
    <col min="6478" max="6478" width="9.28515625" bestFit="1" customWidth="1"/>
    <col min="6479" max="6479" width="9.85546875" bestFit="1" customWidth="1"/>
    <col min="6480" max="6480" width="9.28515625" bestFit="1" customWidth="1"/>
    <col min="6481" max="6481" width="9.85546875" bestFit="1" customWidth="1"/>
    <col min="6485" max="6485" width="12.5703125" bestFit="1" customWidth="1"/>
    <col min="6486" max="6487" width="9.85546875" bestFit="1" customWidth="1"/>
    <col min="6489" max="6489" width="9.85546875" bestFit="1" customWidth="1"/>
    <col min="6490" max="6490" width="9.28515625" bestFit="1" customWidth="1"/>
    <col min="6491" max="6491" width="12.5703125" bestFit="1" customWidth="1"/>
    <col min="6493" max="6497" width="9.85546875" bestFit="1" customWidth="1"/>
    <col min="6499" max="6500" width="9.85546875" bestFit="1" customWidth="1"/>
    <col min="6501" max="6501" width="9.28515625" bestFit="1" customWidth="1"/>
    <col min="6502" max="6503" width="9.85546875" bestFit="1" customWidth="1"/>
    <col min="6504" max="6504" width="12.5703125" bestFit="1" customWidth="1"/>
    <col min="6505" max="6505" width="9.85546875" bestFit="1" customWidth="1"/>
    <col min="6506" max="6506" width="9.28515625" bestFit="1" customWidth="1"/>
    <col min="6507" max="6508" width="12.5703125" bestFit="1" customWidth="1"/>
    <col min="6509" max="6512" width="9.85546875" bestFit="1" customWidth="1"/>
    <col min="6515" max="6516" width="12.5703125" bestFit="1" customWidth="1"/>
    <col min="6517" max="6517" width="9.85546875" bestFit="1" customWidth="1"/>
    <col min="6518" max="6518" width="9.28515625" bestFit="1" customWidth="1"/>
    <col min="6519" max="6519" width="9.85546875" bestFit="1" customWidth="1"/>
    <col min="6520" max="6520" width="12.5703125" bestFit="1" customWidth="1"/>
    <col min="6521" max="6522" width="9.85546875" bestFit="1" customWidth="1"/>
    <col min="6523" max="6523" width="12.5703125" bestFit="1" customWidth="1"/>
    <col min="6524" max="6524" width="9.28515625" bestFit="1" customWidth="1"/>
    <col min="6526" max="6526" width="12.5703125" bestFit="1" customWidth="1"/>
    <col min="6527" max="6528" width="9.85546875" bestFit="1" customWidth="1"/>
    <col min="6530" max="6531" width="9.28515625" bestFit="1" customWidth="1"/>
    <col min="6532" max="6532" width="9.85546875" bestFit="1" customWidth="1"/>
    <col min="6533" max="6533" width="12.5703125" bestFit="1" customWidth="1"/>
    <col min="6534" max="6534" width="9.85546875" bestFit="1" customWidth="1"/>
    <col min="6536" max="6537" width="12.5703125" bestFit="1" customWidth="1"/>
    <col min="6538" max="6541" width="9.85546875" bestFit="1" customWidth="1"/>
    <col min="6543" max="6546" width="9.85546875" bestFit="1" customWidth="1"/>
    <col min="6547" max="6547" width="12.5703125" bestFit="1" customWidth="1"/>
    <col min="6548" max="6548" width="9.28515625" bestFit="1" customWidth="1"/>
    <col min="6549" max="6549" width="9.85546875" bestFit="1" customWidth="1"/>
    <col min="6550" max="6551" width="12.5703125" bestFit="1" customWidth="1"/>
    <col min="6552" max="6554" width="9.85546875" bestFit="1" customWidth="1"/>
    <col min="6555" max="6555" width="9.28515625" bestFit="1" customWidth="1"/>
    <col min="6556" max="6557" width="12.5703125" bestFit="1" customWidth="1"/>
    <col min="6558" max="6559" width="9.85546875" bestFit="1" customWidth="1"/>
    <col min="6560" max="6560" width="9.28515625" bestFit="1" customWidth="1"/>
    <col min="6561" max="6563" width="9.85546875" bestFit="1" customWidth="1"/>
    <col min="6564" max="6564" width="9.28515625" bestFit="1" customWidth="1"/>
    <col min="6565" max="6568" width="9.85546875" bestFit="1" customWidth="1"/>
    <col min="6569" max="6571" width="9.28515625" bestFit="1" customWidth="1"/>
    <col min="6572" max="6578" width="9.85546875" bestFit="1" customWidth="1"/>
    <col min="6580" max="6581" width="9.85546875" bestFit="1" customWidth="1"/>
    <col min="6582" max="6582" width="12.5703125" bestFit="1" customWidth="1"/>
    <col min="6584" max="6584" width="9.85546875" bestFit="1" customWidth="1"/>
    <col min="6585" max="6585" width="12.5703125" bestFit="1" customWidth="1"/>
    <col min="6586" max="6586" width="9.85546875" bestFit="1" customWidth="1"/>
    <col min="6587" max="6587" width="9.28515625" bestFit="1" customWidth="1"/>
    <col min="6588" max="6588" width="12.5703125" bestFit="1" customWidth="1"/>
    <col min="6590" max="6592" width="9.85546875" bestFit="1" customWidth="1"/>
    <col min="6593" max="6593" width="9.28515625" bestFit="1" customWidth="1"/>
    <col min="6594" max="6594" width="9.85546875" bestFit="1" customWidth="1"/>
    <col min="6595" max="6595" width="12.5703125" bestFit="1" customWidth="1"/>
    <col min="6596" max="6596" width="9.85546875" bestFit="1" customWidth="1"/>
    <col min="6597" max="6597" width="12.5703125" bestFit="1" customWidth="1"/>
    <col min="6598" max="6598" width="9.85546875" bestFit="1" customWidth="1"/>
    <col min="6599" max="6600" width="9.28515625" bestFit="1" customWidth="1"/>
    <col min="6601" max="6602" width="9.85546875" bestFit="1" customWidth="1"/>
    <col min="6603" max="6603" width="12.5703125" bestFit="1" customWidth="1"/>
    <col min="6604" max="6606" width="9.85546875" bestFit="1" customWidth="1"/>
    <col min="6608" max="6608" width="9.28515625" bestFit="1" customWidth="1"/>
    <col min="6609" max="6612" width="9.85546875" bestFit="1" customWidth="1"/>
    <col min="6613" max="6613" width="12.5703125" bestFit="1" customWidth="1"/>
    <col min="6614" max="6614" width="9.85546875" bestFit="1" customWidth="1"/>
    <col min="6615" max="6615" width="12.5703125" bestFit="1" customWidth="1"/>
    <col min="6617" max="6618" width="9.85546875" bestFit="1" customWidth="1"/>
    <col min="6620" max="6620" width="9.85546875" bestFit="1" customWidth="1"/>
    <col min="6621" max="6622" width="12.5703125" bestFit="1" customWidth="1"/>
    <col min="6623" max="6625" width="9.85546875" bestFit="1" customWidth="1"/>
    <col min="6626" max="6626" width="10.85546875" bestFit="1" customWidth="1"/>
    <col min="6627" max="6627" width="12.5703125" bestFit="1" customWidth="1"/>
    <col min="6628" max="6628" width="9.85546875" bestFit="1" customWidth="1"/>
    <col min="6629" max="6629" width="9.28515625" bestFit="1" customWidth="1"/>
    <col min="6630" max="6630" width="9.85546875" bestFit="1" customWidth="1"/>
    <col min="6631" max="6631" width="9.28515625" bestFit="1" customWidth="1"/>
    <col min="6632" max="6639" width="9.85546875" bestFit="1" customWidth="1"/>
    <col min="6641" max="6641" width="9.85546875" bestFit="1" customWidth="1"/>
    <col min="6642" max="6642" width="9.28515625" bestFit="1" customWidth="1"/>
    <col min="6643" max="6643" width="12.5703125" bestFit="1" customWidth="1"/>
    <col min="6644" max="6644" width="9.85546875" bestFit="1" customWidth="1"/>
    <col min="6646" max="6646" width="9.85546875" bestFit="1" customWidth="1"/>
    <col min="6648" max="6648" width="9.85546875" bestFit="1" customWidth="1"/>
    <col min="6649" max="6649" width="12.5703125" bestFit="1" customWidth="1"/>
    <col min="6650" max="6651" width="9.28515625" bestFit="1" customWidth="1"/>
    <col min="6652" max="6657" width="9.85546875" bestFit="1" customWidth="1"/>
    <col min="6658" max="6658" width="9.28515625" bestFit="1" customWidth="1"/>
    <col min="6659" max="6659" width="9.85546875" bestFit="1" customWidth="1"/>
    <col min="6661" max="6662" width="9.85546875" bestFit="1" customWidth="1"/>
    <col min="6663" max="6663" width="9.28515625" bestFit="1" customWidth="1"/>
    <col min="6665" max="6665" width="9.85546875" bestFit="1" customWidth="1"/>
    <col min="6666" max="6666" width="9.28515625" bestFit="1" customWidth="1"/>
    <col min="6667" max="6668" width="9.85546875" bestFit="1" customWidth="1"/>
    <col min="6669" max="6670" width="12.5703125" bestFit="1" customWidth="1"/>
    <col min="6671" max="6671" width="9.85546875" bestFit="1" customWidth="1"/>
    <col min="6672" max="6672" width="9.28515625" bestFit="1" customWidth="1"/>
    <col min="6673" max="6676" width="9.85546875" bestFit="1" customWidth="1"/>
    <col min="6677" max="6677" width="9.28515625" bestFit="1" customWidth="1"/>
    <col min="6679" max="6679" width="12.5703125" bestFit="1" customWidth="1"/>
    <col min="6680" max="6680" width="9.85546875" bestFit="1" customWidth="1"/>
    <col min="6681" max="6681" width="9.28515625" bestFit="1" customWidth="1"/>
    <col min="6682" max="6682" width="9.85546875" bestFit="1" customWidth="1"/>
    <col min="6683" max="6683" width="9.28515625" bestFit="1" customWidth="1"/>
    <col min="6684" max="6684" width="9.85546875" bestFit="1" customWidth="1"/>
    <col min="6685" max="6685" width="9.28515625" bestFit="1" customWidth="1"/>
    <col min="6686" max="6687" width="12.5703125" bestFit="1" customWidth="1"/>
    <col min="6688" max="6688" width="9.85546875" bestFit="1" customWidth="1"/>
    <col min="6690" max="6691" width="9.85546875" bestFit="1" customWidth="1"/>
    <col min="6692" max="6692" width="9.28515625" bestFit="1" customWidth="1"/>
    <col min="6694" max="6695" width="9.28515625" bestFit="1" customWidth="1"/>
    <col min="6696" max="6697" width="9.85546875" bestFit="1" customWidth="1"/>
    <col min="6700" max="6700" width="12.5703125" bestFit="1" customWidth="1"/>
    <col min="6701" max="6701" width="9.85546875" bestFit="1" customWidth="1"/>
    <col min="6703" max="6704" width="9.85546875" bestFit="1" customWidth="1"/>
    <col min="6705" max="6705" width="10.85546875" bestFit="1" customWidth="1"/>
    <col min="6706" max="6706" width="9.28515625" bestFit="1" customWidth="1"/>
    <col min="6707" max="6708" width="12.5703125" bestFit="1" customWidth="1"/>
    <col min="6709" max="6715" width="9.85546875" bestFit="1" customWidth="1"/>
    <col min="6716" max="6717" width="9.28515625" bestFit="1" customWidth="1"/>
    <col min="6718" max="6718" width="9.85546875" bestFit="1" customWidth="1"/>
    <col min="6719" max="6719" width="12.5703125" bestFit="1" customWidth="1"/>
    <col min="6720" max="6720" width="9.85546875" bestFit="1" customWidth="1"/>
    <col min="6721" max="6721" width="9.28515625" bestFit="1" customWidth="1"/>
    <col min="6722" max="6722" width="9.85546875" bestFit="1" customWidth="1"/>
    <col min="6724" max="6724" width="9.85546875" bestFit="1" customWidth="1"/>
    <col min="6725" max="6725" width="12.5703125" bestFit="1" customWidth="1"/>
    <col min="6728" max="6729" width="9.85546875" bestFit="1" customWidth="1"/>
    <col min="6730" max="6730" width="12.5703125" bestFit="1" customWidth="1"/>
    <col min="6731" max="6732" width="9.28515625" bestFit="1" customWidth="1"/>
    <col min="6735" max="6736" width="9.85546875" bestFit="1" customWidth="1"/>
    <col min="6737" max="6738" width="12.5703125" bestFit="1" customWidth="1"/>
    <col min="6740" max="6740" width="9.85546875" bestFit="1" customWidth="1"/>
    <col min="6741" max="6741" width="9.28515625" bestFit="1" customWidth="1"/>
    <col min="6742" max="6742" width="9.85546875" bestFit="1" customWidth="1"/>
    <col min="6744" max="6745" width="9.85546875" bestFit="1" customWidth="1"/>
    <col min="6746" max="6746" width="12.5703125" bestFit="1" customWidth="1"/>
    <col min="6747" max="6748" width="9.85546875" bestFit="1" customWidth="1"/>
    <col min="6749" max="6749" width="12.5703125" bestFit="1" customWidth="1"/>
    <col min="6750" max="6750" width="9.28515625" bestFit="1" customWidth="1"/>
    <col min="6751" max="6754" width="9.85546875" bestFit="1" customWidth="1"/>
    <col min="6756" max="6757" width="12.5703125" bestFit="1" customWidth="1"/>
    <col min="6758" max="6762" width="9.85546875" bestFit="1" customWidth="1"/>
    <col min="6763" max="6765" width="12.5703125" bestFit="1" customWidth="1"/>
    <col min="6766" max="6769" width="9.85546875" bestFit="1" customWidth="1"/>
    <col min="6770" max="6770" width="9.28515625" bestFit="1" customWidth="1"/>
    <col min="6771" max="6771" width="10.85546875" bestFit="1" customWidth="1"/>
    <col min="6772" max="6772" width="9.85546875" bestFit="1" customWidth="1"/>
    <col min="6773" max="6773" width="9.28515625" bestFit="1" customWidth="1"/>
    <col min="6774" max="6774" width="9.85546875" bestFit="1" customWidth="1"/>
    <col min="6775" max="6775" width="12.5703125" bestFit="1" customWidth="1"/>
    <col min="6776" max="6776" width="9.85546875" bestFit="1" customWidth="1"/>
    <col min="6778" max="6778" width="9.85546875" bestFit="1" customWidth="1"/>
    <col min="6779" max="6779" width="9.28515625" bestFit="1" customWidth="1"/>
    <col min="6780" max="6780" width="9.85546875" bestFit="1" customWidth="1"/>
    <col min="6781" max="6782" width="9.28515625" bestFit="1" customWidth="1"/>
    <col min="6783" max="6785" width="9.85546875" bestFit="1" customWidth="1"/>
    <col min="6786" max="6787" width="12.5703125" bestFit="1" customWidth="1"/>
    <col min="6788" max="6789" width="9.85546875" bestFit="1" customWidth="1"/>
    <col min="6790" max="6790" width="10.85546875" bestFit="1" customWidth="1"/>
    <col min="6791" max="6791" width="9.28515625" bestFit="1" customWidth="1"/>
    <col min="6793" max="6794" width="9.85546875" bestFit="1" customWidth="1"/>
    <col min="6795" max="6795" width="12.5703125" bestFit="1" customWidth="1"/>
    <col min="6796" max="6797" width="9.85546875" bestFit="1" customWidth="1"/>
    <col min="6799" max="6801" width="9.85546875" bestFit="1" customWidth="1"/>
    <col min="6802" max="6803" width="9.28515625" bestFit="1" customWidth="1"/>
    <col min="6804" max="6804" width="12.5703125" bestFit="1" customWidth="1"/>
    <col min="6805" max="6806" width="9.85546875" bestFit="1" customWidth="1"/>
    <col min="6808" max="6809" width="12.5703125" bestFit="1" customWidth="1"/>
    <col min="6810" max="6810" width="9.28515625" bestFit="1" customWidth="1"/>
    <col min="6811" max="6816" width="9.85546875" bestFit="1" customWidth="1"/>
    <col min="6818" max="6819" width="9.28515625" bestFit="1" customWidth="1"/>
    <col min="6820" max="6823" width="9.85546875" bestFit="1" customWidth="1"/>
    <col min="6824" max="6825" width="9.28515625" bestFit="1" customWidth="1"/>
    <col min="6826" max="6827" width="9.85546875" bestFit="1" customWidth="1"/>
    <col min="6828" max="6828" width="10.85546875" bestFit="1" customWidth="1"/>
    <col min="6829" max="6829" width="9.85546875" bestFit="1" customWidth="1"/>
    <col min="6830" max="6831" width="12.5703125" bestFit="1" customWidth="1"/>
    <col min="6833" max="6833" width="9.85546875" bestFit="1" customWidth="1"/>
    <col min="6835" max="6835" width="9.28515625" bestFit="1" customWidth="1"/>
    <col min="6836" max="6836" width="9.85546875" bestFit="1" customWidth="1"/>
    <col min="6838" max="6838" width="9.28515625" bestFit="1" customWidth="1"/>
    <col min="6840" max="6841" width="9.85546875" bestFit="1" customWidth="1"/>
    <col min="6842" max="6842" width="12.5703125" bestFit="1" customWidth="1"/>
    <col min="6843" max="6845" width="9.85546875" bestFit="1" customWidth="1"/>
    <col min="6846" max="6847" width="9.28515625" bestFit="1" customWidth="1"/>
    <col min="6848" max="6848" width="12.5703125" bestFit="1" customWidth="1"/>
    <col min="6849" max="6849" width="9.85546875" bestFit="1" customWidth="1"/>
    <col min="6851" max="6851" width="9.85546875" bestFit="1" customWidth="1"/>
    <col min="6853" max="6853" width="9.28515625" bestFit="1" customWidth="1"/>
    <col min="6854" max="6854" width="10.85546875" bestFit="1" customWidth="1"/>
    <col min="6855" max="6856" width="9.85546875" bestFit="1" customWidth="1"/>
    <col min="6857" max="6857" width="12.5703125" bestFit="1" customWidth="1"/>
    <col min="6858" max="6858" width="9.85546875" bestFit="1" customWidth="1"/>
    <col min="6859" max="6859" width="9.28515625" bestFit="1" customWidth="1"/>
    <col min="6860" max="6860" width="9.85546875" bestFit="1" customWidth="1"/>
    <col min="6861" max="6862" width="9.28515625" bestFit="1" customWidth="1"/>
    <col min="6863" max="6866" width="9.85546875" bestFit="1" customWidth="1"/>
    <col min="6867" max="6868" width="12.5703125" bestFit="1" customWidth="1"/>
    <col min="6870" max="6870" width="9.85546875" bestFit="1" customWidth="1"/>
    <col min="6871" max="6871" width="9.28515625" bestFit="1" customWidth="1"/>
    <col min="6872" max="6872" width="9.85546875" bestFit="1" customWidth="1"/>
    <col min="6874" max="6875" width="12.5703125" bestFit="1" customWidth="1"/>
    <col min="6876" max="6876" width="9.28515625" bestFit="1" customWidth="1"/>
    <col min="6878" max="6878" width="9.85546875" bestFit="1" customWidth="1"/>
    <col min="6879" max="6879" width="12.5703125" bestFit="1" customWidth="1"/>
    <col min="6880" max="6885" width="9.85546875" bestFit="1" customWidth="1"/>
    <col min="6888" max="6888" width="9.85546875" bestFit="1" customWidth="1"/>
    <col min="6889" max="6889" width="12.5703125" bestFit="1" customWidth="1"/>
    <col min="6890" max="6891" width="9.85546875" bestFit="1" customWidth="1"/>
    <col min="6893" max="6894" width="9.85546875" bestFit="1" customWidth="1"/>
    <col min="6895" max="6896" width="12.5703125" bestFit="1" customWidth="1"/>
    <col min="6897" max="6897" width="9.85546875" bestFit="1" customWidth="1"/>
    <col min="6899" max="6900" width="9.28515625" bestFit="1" customWidth="1"/>
    <col min="6901" max="6901" width="12.5703125" bestFit="1" customWidth="1"/>
    <col min="6902" max="6906" width="9.28515625" bestFit="1" customWidth="1"/>
    <col min="6907" max="6908" width="12.5703125" bestFit="1" customWidth="1"/>
    <col min="6909" max="6909" width="9.85546875" bestFit="1" customWidth="1"/>
    <col min="6910" max="6910" width="9.28515625" bestFit="1" customWidth="1"/>
    <col min="6911" max="6911" width="12.5703125" bestFit="1" customWidth="1"/>
    <col min="6913" max="6914" width="9.85546875" bestFit="1" customWidth="1"/>
    <col min="6915" max="6915" width="9.28515625" bestFit="1" customWidth="1"/>
    <col min="6916" max="6919" width="9.85546875" bestFit="1" customWidth="1"/>
    <col min="6920" max="6920" width="12.5703125" bestFit="1" customWidth="1"/>
    <col min="6921" max="6921" width="9.85546875" bestFit="1" customWidth="1"/>
    <col min="6923" max="6923" width="12.5703125" bestFit="1" customWidth="1"/>
    <col min="6926" max="6927" width="9.85546875" bestFit="1" customWidth="1"/>
    <col min="6928" max="6928" width="12.5703125" bestFit="1" customWidth="1"/>
    <col min="6929" max="6933" width="9.85546875" bestFit="1" customWidth="1"/>
    <col min="6934" max="6934" width="12.5703125" bestFit="1" customWidth="1"/>
    <col min="6935" max="6935" width="9.85546875" bestFit="1" customWidth="1"/>
    <col min="6936" max="6936" width="12.5703125" bestFit="1" customWidth="1"/>
    <col min="6938" max="6943" width="9.85546875" bestFit="1" customWidth="1"/>
    <col min="6944" max="6944" width="12.5703125" bestFit="1" customWidth="1"/>
    <col min="6945" max="6945" width="9.85546875" bestFit="1" customWidth="1"/>
    <col min="6946" max="6946" width="9.28515625" bestFit="1" customWidth="1"/>
    <col min="6947" max="6948" width="9.85546875" bestFit="1" customWidth="1"/>
    <col min="6950" max="6951" width="9.85546875" bestFit="1" customWidth="1"/>
    <col min="6952" max="6952" width="12.5703125" bestFit="1" customWidth="1"/>
    <col min="6953" max="6953" width="9.85546875" bestFit="1" customWidth="1"/>
    <col min="6954" max="6954" width="9.28515625" bestFit="1" customWidth="1"/>
    <col min="6955" max="6955" width="12.5703125" bestFit="1" customWidth="1"/>
    <col min="6956" max="6956" width="9.28515625" bestFit="1" customWidth="1"/>
    <col min="6957" max="6957" width="9.85546875" bestFit="1" customWidth="1"/>
    <col min="6959" max="6959" width="9.28515625" bestFit="1" customWidth="1"/>
    <col min="6960" max="6962" width="9.85546875" bestFit="1" customWidth="1"/>
    <col min="6963" max="6963" width="12.5703125" bestFit="1" customWidth="1"/>
    <col min="6964" max="6965" width="9.85546875" bestFit="1" customWidth="1"/>
    <col min="6967" max="6967" width="12.5703125" bestFit="1" customWidth="1"/>
    <col min="6968" max="6969" width="9.85546875" bestFit="1" customWidth="1"/>
    <col min="6970" max="6970" width="9.28515625" bestFit="1" customWidth="1"/>
    <col min="6972" max="6972" width="9.28515625" bestFit="1" customWidth="1"/>
    <col min="6973" max="6975" width="9.85546875" bestFit="1" customWidth="1"/>
    <col min="6977" max="6978" width="9.85546875" bestFit="1" customWidth="1"/>
    <col min="6979" max="6979" width="9.28515625" bestFit="1" customWidth="1"/>
    <col min="6980" max="6980" width="9.85546875" bestFit="1" customWidth="1"/>
    <col min="6982" max="6982" width="10.85546875" bestFit="1" customWidth="1"/>
    <col min="6983" max="6983" width="9.28515625" bestFit="1" customWidth="1"/>
    <col min="6984" max="6986" width="9.85546875" bestFit="1" customWidth="1"/>
    <col min="6987" max="6987" width="10.85546875" bestFit="1" customWidth="1"/>
    <col min="6988" max="6988" width="9.28515625" bestFit="1" customWidth="1"/>
    <col min="6990" max="6991" width="9.85546875" bestFit="1" customWidth="1"/>
    <col min="6992" max="6992" width="9.28515625" bestFit="1" customWidth="1"/>
    <col min="6993" max="6995" width="9.85546875" bestFit="1" customWidth="1"/>
    <col min="6996" max="6996" width="9.28515625" bestFit="1" customWidth="1"/>
    <col min="6997" max="6997" width="9.85546875" bestFit="1" customWidth="1"/>
    <col min="6998" max="6998" width="12.5703125" bestFit="1" customWidth="1"/>
    <col min="6999" max="7001" width="9.85546875" bestFit="1" customWidth="1"/>
    <col min="7002" max="7002" width="12.5703125" bestFit="1" customWidth="1"/>
    <col min="7003" max="7003" width="9.85546875" bestFit="1" customWidth="1"/>
    <col min="7004" max="7004" width="12.5703125" bestFit="1" customWidth="1"/>
    <col min="7005" max="7006" width="9.85546875" bestFit="1" customWidth="1"/>
    <col min="7008" max="7009" width="9.85546875" bestFit="1" customWidth="1"/>
    <col min="7011" max="7011" width="12.5703125" bestFit="1" customWidth="1"/>
    <col min="7012" max="7012" width="9.85546875" bestFit="1" customWidth="1"/>
    <col min="7013" max="7013" width="12.5703125" bestFit="1" customWidth="1"/>
    <col min="7014" max="7015" width="9.85546875" bestFit="1" customWidth="1"/>
    <col min="7016" max="7017" width="12.5703125" bestFit="1" customWidth="1"/>
    <col min="7018" max="7018" width="9.85546875" bestFit="1" customWidth="1"/>
    <col min="7020" max="7020" width="12.5703125" bestFit="1" customWidth="1"/>
    <col min="7022" max="7023" width="9.85546875" bestFit="1" customWidth="1"/>
    <col min="7024" max="7024" width="12.5703125" bestFit="1" customWidth="1"/>
    <col min="7025" max="7025" width="9.85546875" bestFit="1" customWidth="1"/>
    <col min="7026" max="7026" width="9.28515625" bestFit="1" customWidth="1"/>
    <col min="7027" max="7028" width="12.5703125" bestFit="1" customWidth="1"/>
    <col min="7029" max="7029" width="9.85546875" bestFit="1" customWidth="1"/>
    <col min="7031" max="7031" width="12.5703125" bestFit="1" customWidth="1"/>
    <col min="7032" max="7033" width="9.28515625" bestFit="1" customWidth="1"/>
    <col min="7034" max="7034" width="12.5703125" bestFit="1" customWidth="1"/>
    <col min="7035" max="7037" width="9.85546875" bestFit="1" customWidth="1"/>
    <col min="7038" max="7038" width="9.28515625" bestFit="1" customWidth="1"/>
    <col min="7039" max="7042" width="9.85546875" bestFit="1" customWidth="1"/>
    <col min="7043" max="7044" width="12.5703125" bestFit="1" customWidth="1"/>
    <col min="7045" max="7046" width="9.85546875" bestFit="1" customWidth="1"/>
    <col min="7047" max="7047" width="10.85546875" bestFit="1" customWidth="1"/>
    <col min="7048" max="7049" width="9.85546875" bestFit="1" customWidth="1"/>
    <col min="7050" max="7050" width="9.28515625" bestFit="1" customWidth="1"/>
    <col min="7051" max="7052" width="9.85546875" bestFit="1" customWidth="1"/>
    <col min="7054" max="7057" width="9.85546875" bestFit="1" customWidth="1"/>
    <col min="7058" max="7059" width="12.5703125" bestFit="1" customWidth="1"/>
    <col min="7061" max="7061" width="9.28515625" bestFit="1" customWidth="1"/>
    <col min="7062" max="7062" width="9.85546875" bestFit="1" customWidth="1"/>
    <col min="7063" max="7063" width="12.5703125" bestFit="1" customWidth="1"/>
    <col min="7065" max="7065" width="12.5703125" bestFit="1" customWidth="1"/>
    <col min="7066" max="7066" width="9.85546875" bestFit="1" customWidth="1"/>
    <col min="7068" max="7068" width="9.28515625" bestFit="1" customWidth="1"/>
    <col min="7069" max="7069" width="9.85546875" bestFit="1" customWidth="1"/>
    <col min="7071" max="7071" width="9.85546875" bestFit="1" customWidth="1"/>
    <col min="7072" max="7072" width="9.28515625" bestFit="1" customWidth="1"/>
    <col min="7074" max="7075" width="9.85546875" bestFit="1" customWidth="1"/>
    <col min="7078" max="7078" width="9.85546875" bestFit="1" customWidth="1"/>
    <col min="7080" max="7080" width="9.28515625" bestFit="1" customWidth="1"/>
    <col min="7081" max="7084" width="9.85546875" bestFit="1" customWidth="1"/>
    <col min="7085" max="7086" width="12.5703125" bestFit="1" customWidth="1"/>
    <col min="7087" max="7089" width="9.85546875" bestFit="1" customWidth="1"/>
    <col min="7090" max="7090" width="9.28515625" bestFit="1" customWidth="1"/>
    <col min="7091" max="7093" width="9.85546875" bestFit="1" customWidth="1"/>
    <col min="7094" max="7096" width="12.5703125" bestFit="1" customWidth="1"/>
    <col min="7097" max="7097" width="9.28515625" bestFit="1" customWidth="1"/>
    <col min="7098" max="7098" width="9.85546875" bestFit="1" customWidth="1"/>
    <col min="7099" max="7099" width="9.28515625" bestFit="1" customWidth="1"/>
    <col min="7100" max="7100" width="9.85546875" bestFit="1" customWidth="1"/>
    <col min="7101" max="7101" width="12.5703125" bestFit="1" customWidth="1"/>
    <col min="7102" max="7103" width="9.85546875" bestFit="1" customWidth="1"/>
    <col min="7104" max="7104" width="9.28515625" bestFit="1" customWidth="1"/>
    <col min="7106" max="7106" width="9.85546875" bestFit="1" customWidth="1"/>
    <col min="7107" max="7107" width="12.5703125" bestFit="1" customWidth="1"/>
    <col min="7108" max="7108" width="10.85546875" bestFit="1" customWidth="1"/>
    <col min="7109" max="7109" width="12.5703125" bestFit="1" customWidth="1"/>
    <col min="7110" max="7111" width="9.85546875" bestFit="1" customWidth="1"/>
    <col min="7112" max="7112" width="12.5703125" bestFit="1" customWidth="1"/>
    <col min="7113" max="7113" width="9.85546875" bestFit="1" customWidth="1"/>
    <col min="7116" max="7116" width="9.85546875" bestFit="1" customWidth="1"/>
    <col min="7117" max="7117" width="9.28515625" bestFit="1" customWidth="1"/>
    <col min="7118" max="7119" width="9.85546875" bestFit="1" customWidth="1"/>
    <col min="7120" max="7121" width="9.28515625" bestFit="1" customWidth="1"/>
    <col min="7122" max="7122" width="12.5703125" bestFit="1" customWidth="1"/>
    <col min="7123" max="7123" width="9.28515625" bestFit="1" customWidth="1"/>
    <col min="7125" max="7126" width="9.28515625" bestFit="1" customWidth="1"/>
    <col min="7127" max="7128" width="12.5703125" bestFit="1" customWidth="1"/>
    <col min="7129" max="7129" width="9.28515625" bestFit="1" customWidth="1"/>
    <col min="7130" max="7130" width="12.5703125" bestFit="1" customWidth="1"/>
    <col min="7131" max="7131" width="9.85546875" bestFit="1" customWidth="1"/>
    <col min="7132" max="7132" width="12.5703125" bestFit="1" customWidth="1"/>
    <col min="7134" max="7138" width="9.85546875" bestFit="1" customWidth="1"/>
    <col min="7139" max="7139" width="12.5703125" bestFit="1" customWidth="1"/>
    <col min="7140" max="7141" width="9.85546875" bestFit="1" customWidth="1"/>
    <col min="7142" max="7142" width="9.28515625" bestFit="1" customWidth="1"/>
    <col min="7144" max="7144" width="9.85546875" bestFit="1" customWidth="1"/>
    <col min="7146" max="7146" width="9.28515625" bestFit="1" customWidth="1"/>
    <col min="7147" max="7148" width="9.85546875" bestFit="1" customWidth="1"/>
    <col min="7150" max="7150" width="9.28515625" bestFit="1" customWidth="1"/>
    <col min="7151" max="7151" width="9.85546875" bestFit="1" customWidth="1"/>
    <col min="7152" max="7152" width="12.5703125" bestFit="1" customWidth="1"/>
    <col min="7153" max="7154" width="9.85546875" bestFit="1" customWidth="1"/>
    <col min="7155" max="7155" width="9.28515625" bestFit="1" customWidth="1"/>
    <col min="7156" max="7157" width="9.85546875" bestFit="1" customWidth="1"/>
    <col min="7159" max="7159" width="9.28515625" bestFit="1" customWidth="1"/>
    <col min="7160" max="7160" width="9.85546875" bestFit="1" customWidth="1"/>
    <col min="7161" max="7161" width="12.5703125" bestFit="1" customWidth="1"/>
    <col min="7162" max="7163" width="9.85546875" bestFit="1" customWidth="1"/>
    <col min="7164" max="7164" width="9.28515625" bestFit="1" customWidth="1"/>
    <col min="7165" max="7165" width="12.5703125" bestFit="1" customWidth="1"/>
    <col min="7166" max="7167" width="9.85546875" bestFit="1" customWidth="1"/>
    <col min="7168" max="7168" width="9.28515625" bestFit="1" customWidth="1"/>
    <col min="7170" max="7170" width="9.85546875" bestFit="1" customWidth="1"/>
    <col min="7171" max="7171" width="9.28515625" bestFit="1" customWidth="1"/>
    <col min="7173" max="7173" width="9.85546875" bestFit="1" customWidth="1"/>
    <col min="7174" max="7174" width="9.28515625" bestFit="1" customWidth="1"/>
    <col min="7177" max="7177" width="9.85546875" bestFit="1" customWidth="1"/>
    <col min="7178" max="7179" width="9.28515625" bestFit="1" customWidth="1"/>
    <col min="7180" max="7180" width="9.85546875" bestFit="1" customWidth="1"/>
    <col min="7181" max="7182" width="9.28515625" bestFit="1" customWidth="1"/>
    <col min="7183" max="7184" width="9.85546875" bestFit="1" customWidth="1"/>
    <col min="7185" max="7185" width="9.28515625" bestFit="1" customWidth="1"/>
    <col min="7186" max="7186" width="9.85546875" bestFit="1" customWidth="1"/>
    <col min="7188" max="7188" width="9.85546875" bestFit="1" customWidth="1"/>
    <col min="7190" max="7190" width="12.5703125" bestFit="1" customWidth="1"/>
    <col min="7191" max="7191" width="9.85546875" bestFit="1" customWidth="1"/>
    <col min="7192" max="7192" width="9.28515625" bestFit="1" customWidth="1"/>
    <col min="7194" max="7196" width="9.85546875" bestFit="1" customWidth="1"/>
    <col min="7197" max="7197" width="9.28515625" bestFit="1" customWidth="1"/>
    <col min="7198" max="7200" width="9.85546875" bestFit="1" customWidth="1"/>
    <col min="7201" max="7201" width="12.5703125" bestFit="1" customWidth="1"/>
    <col min="7202" max="7204" width="9.85546875" bestFit="1" customWidth="1"/>
    <col min="7205" max="7205" width="12.5703125" bestFit="1" customWidth="1"/>
    <col min="7207" max="7207" width="9.85546875" bestFit="1" customWidth="1"/>
    <col min="7208" max="7208" width="9.28515625" bestFit="1" customWidth="1"/>
    <col min="7209" max="7211" width="9.85546875" bestFit="1" customWidth="1"/>
    <col min="7212" max="7212" width="12.5703125" bestFit="1" customWidth="1"/>
    <col min="7213" max="7215" width="9.85546875" bestFit="1" customWidth="1"/>
    <col min="7216" max="7216" width="9.28515625" bestFit="1" customWidth="1"/>
    <col min="7217" max="7218" width="9.85546875" bestFit="1" customWidth="1"/>
    <col min="7219" max="7219" width="9.28515625" bestFit="1" customWidth="1"/>
    <col min="7220" max="7220" width="9.85546875" bestFit="1" customWidth="1"/>
    <col min="7221" max="7221" width="9.28515625" bestFit="1" customWidth="1"/>
    <col min="7222" max="7224" width="9.85546875" bestFit="1" customWidth="1"/>
    <col min="7225" max="7225" width="12.5703125" bestFit="1" customWidth="1"/>
    <col min="7226" max="7229" width="9.85546875" bestFit="1" customWidth="1"/>
    <col min="7230" max="7230" width="12.5703125" bestFit="1" customWidth="1"/>
    <col min="7231" max="7231" width="9.28515625" bestFit="1" customWidth="1"/>
    <col min="7232" max="7233" width="12.5703125" bestFit="1" customWidth="1"/>
    <col min="7234" max="7234" width="9.28515625" bestFit="1" customWidth="1"/>
    <col min="7235" max="7235" width="12.5703125" bestFit="1" customWidth="1"/>
    <col min="7236" max="7238" width="9.85546875" bestFit="1" customWidth="1"/>
    <col min="7239" max="7239" width="9.28515625" bestFit="1" customWidth="1"/>
    <col min="7240" max="7240" width="12.5703125" bestFit="1" customWidth="1"/>
    <col min="7241" max="7244" width="9.85546875" bestFit="1" customWidth="1"/>
    <col min="7246" max="7247" width="9.28515625" bestFit="1" customWidth="1"/>
    <col min="7248" max="7249" width="9.85546875" bestFit="1" customWidth="1"/>
    <col min="7250" max="7250" width="12.5703125" bestFit="1" customWidth="1"/>
    <col min="7251" max="7251" width="9.28515625" bestFit="1" customWidth="1"/>
    <col min="7252" max="7257" width="9.85546875" bestFit="1" customWidth="1"/>
    <col min="7259" max="7260" width="9.85546875" bestFit="1" customWidth="1"/>
    <col min="7261" max="7261" width="9.28515625" bestFit="1" customWidth="1"/>
    <col min="7262" max="7263" width="12.5703125" bestFit="1" customWidth="1"/>
    <col min="7264" max="7264" width="9.85546875" bestFit="1" customWidth="1"/>
    <col min="7265" max="7266" width="9.28515625" bestFit="1" customWidth="1"/>
    <col min="7267" max="7267" width="9.85546875" bestFit="1" customWidth="1"/>
    <col min="7268" max="7268" width="12.5703125" bestFit="1" customWidth="1"/>
    <col min="7271" max="7271" width="9.28515625" bestFit="1" customWidth="1"/>
    <col min="7272" max="7273" width="9.85546875" bestFit="1" customWidth="1"/>
    <col min="7275" max="7275" width="9.85546875" bestFit="1" customWidth="1"/>
    <col min="7276" max="7276" width="12.5703125" bestFit="1" customWidth="1"/>
    <col min="7279" max="7279" width="9.28515625" bestFit="1" customWidth="1"/>
    <col min="7281" max="7282" width="9.85546875" bestFit="1" customWidth="1"/>
    <col min="7283" max="7283" width="9.28515625" bestFit="1" customWidth="1"/>
    <col min="7284" max="7284" width="12.5703125" bestFit="1" customWidth="1"/>
    <col min="7285" max="7285" width="9.85546875" bestFit="1" customWidth="1"/>
    <col min="7286" max="7287" width="9.28515625" bestFit="1" customWidth="1"/>
    <col min="7288" max="7289" width="9.85546875" bestFit="1" customWidth="1"/>
    <col min="7291" max="7291" width="12.5703125" bestFit="1" customWidth="1"/>
    <col min="7292" max="7292" width="9.28515625" bestFit="1" customWidth="1"/>
    <col min="7293" max="7294" width="9.85546875" bestFit="1" customWidth="1"/>
    <col min="7296" max="7297" width="9.28515625" bestFit="1" customWidth="1"/>
    <col min="7298" max="7298" width="9.85546875" bestFit="1" customWidth="1"/>
    <col min="7299" max="7299" width="9.28515625" bestFit="1" customWidth="1"/>
    <col min="7300" max="7300" width="10.85546875" bestFit="1" customWidth="1"/>
    <col min="7301" max="7305" width="9.85546875" bestFit="1" customWidth="1"/>
    <col min="7306" max="7306" width="12.5703125" bestFit="1" customWidth="1"/>
    <col min="7307" max="7307" width="9.85546875" bestFit="1" customWidth="1"/>
    <col min="7308" max="7308" width="9.28515625" bestFit="1" customWidth="1"/>
    <col min="7310" max="7311" width="9.85546875" bestFit="1" customWidth="1"/>
    <col min="7313" max="7313" width="9.85546875" bestFit="1" customWidth="1"/>
    <col min="7314" max="7314" width="12.5703125" bestFit="1" customWidth="1"/>
    <col min="7316" max="7316" width="9.28515625" bestFit="1" customWidth="1"/>
    <col min="7317" max="7317" width="9.85546875" bestFit="1" customWidth="1"/>
    <col min="7319" max="7319" width="12.5703125" bestFit="1" customWidth="1"/>
    <col min="7320" max="7320" width="9.85546875" bestFit="1" customWidth="1"/>
    <col min="7321" max="7321" width="12.5703125" bestFit="1" customWidth="1"/>
    <col min="7322" max="7323" width="9.28515625" bestFit="1" customWidth="1"/>
    <col min="7324" max="7325" width="9.85546875" bestFit="1" customWidth="1"/>
    <col min="7327" max="7327" width="12.5703125" bestFit="1" customWidth="1"/>
    <col min="7329" max="7329" width="9.28515625" bestFit="1" customWidth="1"/>
    <col min="7330" max="7334" width="9.85546875" bestFit="1" customWidth="1"/>
    <col min="7335" max="7335" width="9.28515625" bestFit="1" customWidth="1"/>
    <col min="7336" max="7336" width="12.5703125" bestFit="1" customWidth="1"/>
    <col min="7337" max="7337" width="9.85546875" bestFit="1" customWidth="1"/>
    <col min="7339" max="7339" width="9.28515625" bestFit="1" customWidth="1"/>
    <col min="7340" max="7340" width="9.85546875" bestFit="1" customWidth="1"/>
    <col min="7341" max="7341" width="12.5703125" bestFit="1" customWidth="1"/>
    <col min="7343" max="7343" width="12.5703125" bestFit="1" customWidth="1"/>
    <col min="7344" max="7347" width="9.85546875" bestFit="1" customWidth="1"/>
    <col min="7348" max="7348" width="12.5703125" bestFit="1" customWidth="1"/>
    <col min="7349" max="7349" width="9.28515625" bestFit="1" customWidth="1"/>
    <col min="7350" max="7350" width="9.85546875" bestFit="1" customWidth="1"/>
    <col min="7351" max="7351" width="12.5703125" bestFit="1" customWidth="1"/>
    <col min="7352" max="7352" width="10.85546875" bestFit="1" customWidth="1"/>
    <col min="7353" max="7353" width="9.85546875" bestFit="1" customWidth="1"/>
    <col min="7354" max="7354" width="9.28515625" bestFit="1" customWidth="1"/>
    <col min="7355" max="7357" width="9.85546875" bestFit="1" customWidth="1"/>
    <col min="7358" max="7358" width="10.85546875" bestFit="1" customWidth="1"/>
    <col min="7359" max="7359" width="9.28515625" bestFit="1" customWidth="1"/>
    <col min="7361" max="7361" width="12.5703125" bestFit="1" customWidth="1"/>
    <col min="7362" max="7363" width="9.28515625" bestFit="1" customWidth="1"/>
    <col min="7364" max="7364" width="9.85546875" bestFit="1" customWidth="1"/>
    <col min="7366" max="7368" width="9.85546875" bestFit="1" customWidth="1"/>
    <col min="7371" max="7371" width="9.85546875" bestFit="1" customWidth="1"/>
    <col min="7372" max="7372" width="12.5703125" bestFit="1" customWidth="1"/>
    <col min="7373" max="7373" width="9.85546875" bestFit="1" customWidth="1"/>
    <col min="7374" max="7374" width="9.28515625" bestFit="1" customWidth="1"/>
    <col min="7375" max="7376" width="9.85546875" bestFit="1" customWidth="1"/>
    <col min="7377" max="7377" width="12.5703125" bestFit="1" customWidth="1"/>
    <col min="7378" max="7378" width="9.28515625" bestFit="1" customWidth="1"/>
    <col min="7379" max="7379" width="9.85546875" bestFit="1" customWidth="1"/>
    <col min="7381" max="7381" width="9.28515625" bestFit="1" customWidth="1"/>
    <col min="7382" max="7382" width="9.85546875" bestFit="1" customWidth="1"/>
    <col min="7384" max="7384" width="9.85546875" bestFit="1" customWidth="1"/>
    <col min="7385" max="7386" width="12.5703125" bestFit="1" customWidth="1"/>
    <col min="7387" max="7387" width="9.85546875" bestFit="1" customWidth="1"/>
    <col min="7388" max="7388" width="10.85546875" bestFit="1" customWidth="1"/>
    <col min="7389" max="7390" width="9.85546875" bestFit="1" customWidth="1"/>
    <col min="7391" max="7391" width="9.28515625" bestFit="1" customWidth="1"/>
    <col min="7392" max="7392" width="12.5703125" bestFit="1" customWidth="1"/>
    <col min="7393" max="7393" width="9.28515625" bestFit="1" customWidth="1"/>
    <col min="7395" max="7395" width="9.28515625" bestFit="1" customWidth="1"/>
    <col min="7396" max="7396" width="9.85546875" bestFit="1" customWidth="1"/>
    <col min="7398" max="7402" width="9.85546875" bestFit="1" customWidth="1"/>
    <col min="7404" max="7404" width="9.85546875" bestFit="1" customWidth="1"/>
    <col min="7405" max="7405" width="12.5703125" bestFit="1" customWidth="1"/>
    <col min="7406" max="7408" width="9.85546875" bestFit="1" customWidth="1"/>
    <col min="7409" max="7409" width="9.28515625" bestFit="1" customWidth="1"/>
    <col min="7410" max="7410" width="12.5703125" bestFit="1" customWidth="1"/>
    <col min="7411" max="7412" width="9.85546875" bestFit="1" customWidth="1"/>
    <col min="7413" max="7414" width="9.28515625" bestFit="1" customWidth="1"/>
    <col min="7415" max="7415" width="9.85546875" bestFit="1" customWidth="1"/>
    <col min="7416" max="7417" width="9.28515625" bestFit="1" customWidth="1"/>
    <col min="7418" max="7419" width="9.85546875" bestFit="1" customWidth="1"/>
    <col min="7420" max="7420" width="9.28515625" bestFit="1" customWidth="1"/>
    <col min="7422" max="7423" width="9.85546875" bestFit="1" customWidth="1"/>
    <col min="7425" max="7425" width="9.28515625" bestFit="1" customWidth="1"/>
    <col min="7426" max="7426" width="9.85546875" bestFit="1" customWidth="1"/>
    <col min="7427" max="7427" width="9.28515625" bestFit="1" customWidth="1"/>
    <col min="7429" max="7429" width="9.85546875" bestFit="1" customWidth="1"/>
    <col min="7430" max="7430" width="9.28515625" bestFit="1" customWidth="1"/>
    <col min="7431" max="7432" width="9.85546875" bestFit="1" customWidth="1"/>
    <col min="7433" max="7433" width="9.28515625" bestFit="1" customWidth="1"/>
    <col min="7434" max="7434" width="12.5703125" bestFit="1" customWidth="1"/>
    <col min="7435" max="7435" width="9.85546875" bestFit="1" customWidth="1"/>
    <col min="7436" max="7436" width="12.5703125" bestFit="1" customWidth="1"/>
    <col min="7437" max="7438" width="9.85546875" bestFit="1" customWidth="1"/>
    <col min="7439" max="7439" width="9.28515625" bestFit="1" customWidth="1"/>
    <col min="7440" max="7440" width="9.85546875" bestFit="1" customWidth="1"/>
    <col min="7442" max="7442" width="9.85546875" bestFit="1" customWidth="1"/>
    <col min="7443" max="7443" width="12.5703125" bestFit="1" customWidth="1"/>
    <col min="7444" max="7444" width="9.85546875" bestFit="1" customWidth="1"/>
    <col min="7445" max="7446" width="12.5703125" bestFit="1" customWidth="1"/>
    <col min="7447" max="7449" width="9.85546875" bestFit="1" customWidth="1"/>
    <col min="7451" max="7451" width="9.85546875" bestFit="1" customWidth="1"/>
    <col min="7453" max="7454" width="9.85546875" bestFit="1" customWidth="1"/>
    <col min="7455" max="7455" width="9.28515625" bestFit="1" customWidth="1"/>
    <col min="7456" max="7459" width="9.85546875" bestFit="1" customWidth="1"/>
    <col min="7460" max="7460" width="9.28515625" bestFit="1" customWidth="1"/>
    <col min="7462" max="7463" width="9.85546875" bestFit="1" customWidth="1"/>
    <col min="7464" max="7464" width="9.28515625" bestFit="1" customWidth="1"/>
    <col min="7465" max="7465" width="9.85546875" bestFit="1" customWidth="1"/>
    <col min="7467" max="7467" width="9.28515625" bestFit="1" customWidth="1"/>
    <col min="7468" max="7468" width="12.5703125" bestFit="1" customWidth="1"/>
    <col min="7469" max="7469" width="9.85546875" bestFit="1" customWidth="1"/>
    <col min="7471" max="7473" width="9.85546875" bestFit="1" customWidth="1"/>
    <col min="7475" max="7476" width="12.5703125" bestFit="1" customWidth="1"/>
    <col min="7477" max="7479" width="9.85546875" bestFit="1" customWidth="1"/>
    <col min="7481" max="7486" width="9.85546875" bestFit="1" customWidth="1"/>
    <col min="7487" max="7487" width="12.5703125" bestFit="1" customWidth="1"/>
    <col min="7488" max="7490" width="9.85546875" bestFit="1" customWidth="1"/>
    <col min="7492" max="7492" width="9.85546875" bestFit="1" customWidth="1"/>
    <col min="7493" max="7493" width="9.28515625" bestFit="1" customWidth="1"/>
    <col min="7494" max="7494" width="9.85546875" bestFit="1" customWidth="1"/>
    <col min="7495" max="7495" width="9.28515625" bestFit="1" customWidth="1"/>
    <col min="7496" max="7498" width="9.85546875" bestFit="1" customWidth="1"/>
    <col min="7500" max="7500" width="9.85546875" bestFit="1" customWidth="1"/>
    <col min="7502" max="7502" width="9.85546875" bestFit="1" customWidth="1"/>
    <col min="7504" max="7509" width="9.85546875" bestFit="1" customWidth="1"/>
    <col min="7510" max="7510" width="12.5703125" bestFit="1" customWidth="1"/>
    <col min="7511" max="7511" width="9.85546875" bestFit="1" customWidth="1"/>
    <col min="7513" max="7513" width="9.28515625" bestFit="1" customWidth="1"/>
    <col min="7514" max="7514" width="9.85546875" bestFit="1" customWidth="1"/>
    <col min="7515" max="7516" width="9.28515625" bestFit="1" customWidth="1"/>
    <col min="7517" max="7518" width="9.85546875" bestFit="1" customWidth="1"/>
    <col min="7519" max="7519" width="12.5703125" bestFit="1" customWidth="1"/>
    <col min="7520" max="7521" width="9.85546875" bestFit="1" customWidth="1"/>
    <col min="7523" max="7523" width="9.85546875" bestFit="1" customWidth="1"/>
    <col min="7524" max="7524" width="12.5703125" bestFit="1" customWidth="1"/>
    <col min="7525" max="7526" width="9.85546875" bestFit="1" customWidth="1"/>
    <col min="7527" max="7528" width="9.28515625" bestFit="1" customWidth="1"/>
    <col min="7529" max="7534" width="9.85546875" bestFit="1" customWidth="1"/>
    <col min="7535" max="7536" width="9.28515625" bestFit="1" customWidth="1"/>
    <col min="7537" max="7538" width="9.85546875" bestFit="1" customWidth="1"/>
    <col min="7539" max="7539" width="9.28515625" bestFit="1" customWidth="1"/>
    <col min="7540" max="7540" width="9.85546875" bestFit="1" customWidth="1"/>
    <col min="7541" max="7541" width="12.5703125" bestFit="1" customWidth="1"/>
    <col min="7542" max="7542" width="9.85546875" bestFit="1" customWidth="1"/>
    <col min="7543" max="7544" width="9.28515625" bestFit="1" customWidth="1"/>
    <col min="7545" max="7547" width="9.85546875" bestFit="1" customWidth="1"/>
    <col min="7548" max="7548" width="9.28515625" bestFit="1" customWidth="1"/>
    <col min="7549" max="7551" width="9.85546875" bestFit="1" customWidth="1"/>
    <col min="7552" max="7553" width="9.28515625" bestFit="1" customWidth="1"/>
    <col min="7554" max="7558" width="9.85546875" bestFit="1" customWidth="1"/>
    <col min="7559" max="7559" width="12.5703125" bestFit="1" customWidth="1"/>
    <col min="7561" max="7561" width="12.5703125" bestFit="1" customWidth="1"/>
    <col min="7562" max="7565" width="9.85546875" bestFit="1" customWidth="1"/>
    <col min="7567" max="7567" width="9.28515625" bestFit="1" customWidth="1"/>
    <col min="7568" max="7568" width="9.85546875" bestFit="1" customWidth="1"/>
    <col min="7569" max="7570" width="9.28515625" bestFit="1" customWidth="1"/>
    <col min="7571" max="7572" width="9.85546875" bestFit="1" customWidth="1"/>
    <col min="7573" max="7573" width="12.5703125" bestFit="1" customWidth="1"/>
    <col min="7574" max="7575" width="9.85546875" bestFit="1" customWidth="1"/>
    <col min="7576" max="7576" width="12.5703125" bestFit="1" customWidth="1"/>
    <col min="7577" max="7577" width="9.28515625" bestFit="1" customWidth="1"/>
    <col min="7578" max="7581" width="9.85546875" bestFit="1" customWidth="1"/>
    <col min="7583" max="7584" width="9.85546875" bestFit="1" customWidth="1"/>
    <col min="7585" max="7585" width="12.5703125" bestFit="1" customWidth="1"/>
    <col min="7586" max="7586" width="9.28515625" bestFit="1" customWidth="1"/>
    <col min="7587" max="7589" width="9.85546875" bestFit="1" customWidth="1"/>
    <col min="7590" max="7590" width="12.5703125" bestFit="1" customWidth="1"/>
    <col min="7591" max="7591" width="9.28515625" bestFit="1" customWidth="1"/>
    <col min="7593" max="7593" width="9.85546875" bestFit="1" customWidth="1"/>
    <col min="7595" max="7596" width="9.85546875" bestFit="1" customWidth="1"/>
    <col min="7597" max="7597" width="12.5703125" bestFit="1" customWidth="1"/>
    <col min="7598" max="7601" width="9.85546875" bestFit="1" customWidth="1"/>
    <col min="7603" max="7603" width="9.28515625" bestFit="1" customWidth="1"/>
    <col min="7604" max="7607" width="12.5703125" bestFit="1" customWidth="1"/>
    <col min="7608" max="7608" width="9.85546875" bestFit="1" customWidth="1"/>
    <col min="7610" max="7611" width="9.85546875" bestFit="1" customWidth="1"/>
    <col min="7613" max="7613" width="9.28515625" bestFit="1" customWidth="1"/>
    <col min="7615" max="7615" width="9.85546875" bestFit="1" customWidth="1"/>
    <col min="7616" max="7616" width="12.5703125" bestFit="1" customWidth="1"/>
    <col min="7617" max="7617" width="9.85546875" bestFit="1" customWidth="1"/>
    <col min="7618" max="7619" width="12.5703125" bestFit="1" customWidth="1"/>
    <col min="7620" max="7622" width="9.85546875" bestFit="1" customWidth="1"/>
    <col min="7623" max="7623" width="12.5703125" bestFit="1" customWidth="1"/>
    <col min="7624" max="7624" width="9.28515625" bestFit="1" customWidth="1"/>
    <col min="7625" max="7625" width="9.85546875" bestFit="1" customWidth="1"/>
    <col min="7627" max="7627" width="9.28515625" bestFit="1" customWidth="1"/>
    <col min="7628" max="7628" width="9.85546875" bestFit="1" customWidth="1"/>
    <col min="7629" max="7629" width="9.28515625" bestFit="1" customWidth="1"/>
    <col min="7630" max="7630" width="12.5703125" bestFit="1" customWidth="1"/>
    <col min="7631" max="7631" width="9.28515625" bestFit="1" customWidth="1"/>
    <col min="7632" max="7634" width="9.85546875" bestFit="1" customWidth="1"/>
    <col min="7635" max="7635" width="10.85546875" bestFit="1" customWidth="1"/>
    <col min="7636" max="7637" width="9.85546875" bestFit="1" customWidth="1"/>
    <col min="7638" max="7638" width="12.5703125" bestFit="1" customWidth="1"/>
    <col min="7639" max="7639" width="9.85546875" bestFit="1" customWidth="1"/>
    <col min="7640" max="7640" width="12.5703125" bestFit="1" customWidth="1"/>
    <col min="7641" max="7641" width="9.85546875" bestFit="1" customWidth="1"/>
    <col min="7642" max="7642" width="9.28515625" bestFit="1" customWidth="1"/>
    <col min="7643" max="7645" width="9.85546875" bestFit="1" customWidth="1"/>
    <col min="7646" max="7646" width="12.5703125" bestFit="1" customWidth="1"/>
    <col min="7647" max="7647" width="9.85546875" bestFit="1" customWidth="1"/>
    <col min="7648" max="7648" width="12.5703125" bestFit="1" customWidth="1"/>
    <col min="7649" max="7652" width="9.85546875" bestFit="1" customWidth="1"/>
    <col min="7653" max="7653" width="12.5703125" bestFit="1" customWidth="1"/>
    <col min="7655" max="7655" width="9.28515625" bestFit="1" customWidth="1"/>
    <col min="7656" max="7656" width="9.85546875" bestFit="1" customWidth="1"/>
    <col min="7658" max="7658" width="9.85546875" bestFit="1" customWidth="1"/>
    <col min="7659" max="7659" width="9.28515625" bestFit="1" customWidth="1"/>
    <col min="7660" max="7661" width="9.85546875" bestFit="1" customWidth="1"/>
    <col min="7663" max="7663" width="9.85546875" bestFit="1" customWidth="1"/>
    <col min="7664" max="7664" width="9.28515625" bestFit="1" customWidth="1"/>
    <col min="7665" max="7665" width="12.5703125" bestFit="1" customWidth="1"/>
    <col min="7666" max="7667" width="9.28515625" bestFit="1" customWidth="1"/>
    <col min="7668" max="7668" width="9.85546875" bestFit="1" customWidth="1"/>
    <col min="7669" max="7669" width="12.5703125" bestFit="1" customWidth="1"/>
    <col min="7672" max="7672" width="9.85546875" bestFit="1" customWidth="1"/>
    <col min="7673" max="7673" width="12.5703125" bestFit="1" customWidth="1"/>
    <col min="7674" max="7678" width="9.85546875" bestFit="1" customWidth="1"/>
    <col min="7679" max="7679" width="10.85546875" bestFit="1" customWidth="1"/>
    <col min="7681" max="7681" width="9.28515625" bestFit="1" customWidth="1"/>
    <col min="7682" max="7685" width="9.85546875" bestFit="1" customWidth="1"/>
    <col min="7686" max="7686" width="12.5703125" bestFit="1" customWidth="1"/>
    <col min="7687" max="7688" width="9.28515625" bestFit="1" customWidth="1"/>
    <col min="7689" max="7689" width="9.85546875" bestFit="1" customWidth="1"/>
    <col min="7690" max="7690" width="9.28515625" bestFit="1" customWidth="1"/>
    <col min="7691" max="7691" width="12.5703125" bestFit="1" customWidth="1"/>
    <col min="7692" max="7692" width="9.85546875" bestFit="1" customWidth="1"/>
    <col min="7693" max="7693" width="12.5703125" bestFit="1" customWidth="1"/>
    <col min="7694" max="7694" width="9.85546875" bestFit="1" customWidth="1"/>
    <col min="7695" max="7695" width="12.5703125" bestFit="1" customWidth="1"/>
    <col min="7696" max="7696" width="9.85546875" bestFit="1" customWidth="1"/>
    <col min="7698" max="7699" width="12.5703125" bestFit="1" customWidth="1"/>
    <col min="7700" max="7704" width="9.85546875" bestFit="1" customWidth="1"/>
    <col min="7706" max="7706" width="9.85546875" bestFit="1" customWidth="1"/>
    <col min="7707" max="7708" width="9.28515625" bestFit="1" customWidth="1"/>
    <col min="7709" max="7709" width="12.5703125" bestFit="1" customWidth="1"/>
    <col min="7710" max="7710" width="9.28515625" bestFit="1" customWidth="1"/>
    <col min="7711" max="7711" width="9.85546875" bestFit="1" customWidth="1"/>
    <col min="7712" max="7713" width="9.28515625" bestFit="1" customWidth="1"/>
    <col min="7714" max="7714" width="12.5703125" bestFit="1" customWidth="1"/>
    <col min="7716" max="7716" width="9.28515625" bestFit="1" customWidth="1"/>
    <col min="7717" max="7717" width="9.85546875" bestFit="1" customWidth="1"/>
    <col min="7718" max="7718" width="10.85546875" bestFit="1" customWidth="1"/>
    <col min="7719" max="7722" width="9.85546875" bestFit="1" customWidth="1"/>
    <col min="7723" max="7723" width="9.28515625" bestFit="1" customWidth="1"/>
    <col min="7725" max="7725" width="9.28515625" bestFit="1" customWidth="1"/>
    <col min="7726" max="7726" width="12.5703125" bestFit="1" customWidth="1"/>
    <col min="7727" max="7727" width="10.85546875" bestFit="1" customWidth="1"/>
    <col min="7728" max="7728" width="9.28515625" bestFit="1" customWidth="1"/>
    <col min="7729" max="7730" width="9.85546875" bestFit="1" customWidth="1"/>
    <col min="7731" max="7731" width="9.28515625" bestFit="1" customWidth="1"/>
    <col min="7733" max="7733" width="12.5703125" bestFit="1" customWidth="1"/>
    <col min="7734" max="7734" width="9.85546875" bestFit="1" customWidth="1"/>
    <col min="7735" max="7737" width="12.5703125" bestFit="1" customWidth="1"/>
    <col min="7739" max="7739" width="9.85546875" bestFit="1" customWidth="1"/>
    <col min="7740" max="7740" width="9.28515625" bestFit="1" customWidth="1"/>
    <col min="7741" max="7742" width="9.85546875" bestFit="1" customWidth="1"/>
    <col min="7743" max="7743" width="9.28515625" bestFit="1" customWidth="1"/>
    <col min="7744" max="7745" width="12.5703125" bestFit="1" customWidth="1"/>
    <col min="7746" max="7746" width="9.28515625" bestFit="1" customWidth="1"/>
    <col min="7747" max="7751" width="9.85546875" bestFit="1" customWidth="1"/>
    <col min="7753" max="7753" width="9.28515625" bestFit="1" customWidth="1"/>
    <col min="7754" max="7754" width="9.85546875" bestFit="1" customWidth="1"/>
    <col min="7756" max="7756" width="9.85546875" bestFit="1" customWidth="1"/>
    <col min="7757" max="7757" width="9.28515625" bestFit="1" customWidth="1"/>
    <col min="7759" max="7760" width="9.85546875" bestFit="1" customWidth="1"/>
    <col min="7762" max="7763" width="12.5703125" bestFit="1" customWidth="1"/>
    <col min="7764" max="7765" width="9.85546875" bestFit="1" customWidth="1"/>
    <col min="7766" max="7766" width="12.5703125" bestFit="1" customWidth="1"/>
    <col min="7768" max="7769" width="9.85546875" bestFit="1" customWidth="1"/>
    <col min="7770" max="7771" width="12.5703125" bestFit="1" customWidth="1"/>
    <col min="7772" max="7777" width="9.85546875" bestFit="1" customWidth="1"/>
    <col min="7779" max="7780" width="9.85546875" bestFit="1" customWidth="1"/>
    <col min="7781" max="7781" width="9.28515625" bestFit="1" customWidth="1"/>
    <col min="7782" max="7782" width="12.5703125" bestFit="1" customWidth="1"/>
    <col min="7783" max="7783" width="9.85546875" bestFit="1" customWidth="1"/>
    <col min="7784" max="7784" width="9.28515625" bestFit="1" customWidth="1"/>
    <col min="7786" max="7790" width="9.85546875" bestFit="1" customWidth="1"/>
    <col min="7791" max="7791" width="9.28515625" bestFit="1" customWidth="1"/>
    <col min="7792" max="7792" width="9.85546875" bestFit="1" customWidth="1"/>
    <col min="7793" max="7794" width="12.5703125" bestFit="1" customWidth="1"/>
    <col min="7795" max="7795" width="9.28515625" bestFit="1" customWidth="1"/>
    <col min="7796" max="7799" width="9.85546875" bestFit="1" customWidth="1"/>
    <col min="7801" max="7801" width="9.85546875" bestFit="1" customWidth="1"/>
    <col min="7803" max="7803" width="9.28515625" bestFit="1" customWidth="1"/>
    <col min="7804" max="7806" width="9.85546875" bestFit="1" customWidth="1"/>
    <col min="7807" max="7809" width="9.28515625" bestFit="1" customWidth="1"/>
    <col min="7810" max="7810" width="12.5703125" bestFit="1" customWidth="1"/>
    <col min="7811" max="7811" width="9.85546875" bestFit="1" customWidth="1"/>
    <col min="7812" max="7812" width="12.5703125" bestFit="1" customWidth="1"/>
    <col min="7813" max="7813" width="9.28515625" bestFit="1" customWidth="1"/>
    <col min="7814" max="7814" width="12.5703125" bestFit="1" customWidth="1"/>
    <col min="7815" max="7816" width="9.85546875" bestFit="1" customWidth="1"/>
    <col min="7818" max="7818" width="9.85546875" bestFit="1" customWidth="1"/>
    <col min="7819" max="7819" width="12.5703125" bestFit="1" customWidth="1"/>
    <col min="7820" max="7820" width="10.85546875" bestFit="1" customWidth="1"/>
    <col min="7821" max="7823" width="9.85546875" bestFit="1" customWidth="1"/>
    <col min="7825" max="7825" width="9.85546875" bestFit="1" customWidth="1"/>
    <col min="7827" max="7827" width="12.5703125" bestFit="1" customWidth="1"/>
    <col min="7828" max="7828" width="9.85546875" bestFit="1" customWidth="1"/>
    <col min="7829" max="7829" width="12.5703125" bestFit="1" customWidth="1"/>
    <col min="7830" max="7831" width="9.28515625" bestFit="1" customWidth="1"/>
    <col min="7832" max="7833" width="9.85546875" bestFit="1" customWidth="1"/>
    <col min="7834" max="7834" width="12.5703125" bestFit="1" customWidth="1"/>
    <col min="7835" max="7838" width="9.85546875" bestFit="1" customWidth="1"/>
    <col min="7840" max="7841" width="9.85546875" bestFit="1" customWidth="1"/>
    <col min="7842" max="7842" width="12.5703125" bestFit="1" customWidth="1"/>
    <col min="7843" max="7843" width="9.28515625" bestFit="1" customWidth="1"/>
    <col min="7844" max="7844" width="10.85546875" bestFit="1" customWidth="1"/>
    <col min="7846" max="7846" width="9.85546875" bestFit="1" customWidth="1"/>
    <col min="7847" max="7847" width="9.28515625" bestFit="1" customWidth="1"/>
    <col min="7849" max="7850" width="9.85546875" bestFit="1" customWidth="1"/>
    <col min="7851" max="7851" width="9.28515625" bestFit="1" customWidth="1"/>
    <col min="7853" max="7853" width="10.85546875" bestFit="1" customWidth="1"/>
    <col min="7854" max="7856" width="9.85546875" bestFit="1" customWidth="1"/>
    <col min="7857" max="7858" width="9.28515625" bestFit="1" customWidth="1"/>
    <col min="7859" max="7859" width="9.85546875" bestFit="1" customWidth="1"/>
    <col min="7861" max="7861" width="12.5703125" bestFit="1" customWidth="1"/>
    <col min="7862" max="7862" width="9.85546875" bestFit="1" customWidth="1"/>
    <col min="7863" max="7863" width="9.28515625" bestFit="1" customWidth="1"/>
    <col min="7864" max="7865" width="9.85546875" bestFit="1" customWidth="1"/>
    <col min="7866" max="7867" width="12.5703125" bestFit="1" customWidth="1"/>
    <col min="7868" max="7868" width="9.85546875" bestFit="1" customWidth="1"/>
    <col min="7869" max="7869" width="9.28515625" bestFit="1" customWidth="1"/>
    <col min="7870" max="7871" width="9.85546875" bestFit="1" customWidth="1"/>
    <col min="7872" max="7872" width="9.28515625" bestFit="1" customWidth="1"/>
    <col min="7873" max="7874" width="9.85546875" bestFit="1" customWidth="1"/>
    <col min="7875" max="7875" width="9.28515625" bestFit="1" customWidth="1"/>
    <col min="7876" max="7876" width="12.5703125" bestFit="1" customWidth="1"/>
    <col min="7877" max="7877" width="9.28515625" bestFit="1" customWidth="1"/>
    <col min="7878" max="7880" width="9.85546875" bestFit="1" customWidth="1"/>
    <col min="7881" max="7881" width="12.5703125" bestFit="1" customWidth="1"/>
    <col min="7883" max="7883" width="9.85546875" bestFit="1" customWidth="1"/>
    <col min="7885" max="7885" width="9.85546875" bestFit="1" customWidth="1"/>
    <col min="7886" max="7886" width="9.28515625" bestFit="1" customWidth="1"/>
    <col min="7887" max="7887" width="12.5703125" bestFit="1" customWidth="1"/>
    <col min="7888" max="7889" width="9.85546875" bestFit="1" customWidth="1"/>
    <col min="7891" max="7891" width="12.5703125" bestFit="1" customWidth="1"/>
    <col min="7892" max="7892" width="9.85546875" bestFit="1" customWidth="1"/>
    <col min="7893" max="7893" width="9.28515625" bestFit="1" customWidth="1"/>
    <col min="7894" max="7895" width="9.85546875" bestFit="1" customWidth="1"/>
    <col min="7896" max="7896" width="12.5703125" bestFit="1" customWidth="1"/>
    <col min="7898" max="7898" width="9.85546875" bestFit="1" customWidth="1"/>
    <col min="7899" max="7899" width="12.5703125" bestFit="1" customWidth="1"/>
    <col min="7900" max="7902" width="9.85546875" bestFit="1" customWidth="1"/>
    <col min="7903" max="7903" width="12.5703125" bestFit="1" customWidth="1"/>
    <col min="7904" max="7904" width="9.28515625" bestFit="1" customWidth="1"/>
    <col min="7905" max="7905" width="9.85546875" bestFit="1" customWidth="1"/>
    <col min="7906" max="7906" width="9.28515625" bestFit="1" customWidth="1"/>
    <col min="7907" max="7907" width="12.5703125" bestFit="1" customWidth="1"/>
    <col min="7908" max="7908" width="9.85546875" bestFit="1" customWidth="1"/>
    <col min="7910" max="7910" width="12.5703125" bestFit="1" customWidth="1"/>
    <col min="7911" max="7911" width="9.28515625" bestFit="1" customWidth="1"/>
    <col min="7912" max="7912" width="9.85546875" bestFit="1" customWidth="1"/>
    <col min="7914" max="7914" width="12.5703125" bestFit="1" customWidth="1"/>
    <col min="7915" max="7916" width="9.85546875" bestFit="1" customWidth="1"/>
    <col min="7917" max="7917" width="9.28515625" bestFit="1" customWidth="1"/>
    <col min="7919" max="7920" width="9.85546875" bestFit="1" customWidth="1"/>
    <col min="7922" max="7923" width="9.85546875" bestFit="1" customWidth="1"/>
    <col min="7925" max="7926" width="9.85546875" bestFit="1" customWidth="1"/>
    <col min="7927" max="7927" width="9.28515625" bestFit="1" customWidth="1"/>
    <col min="7929" max="7930" width="9.85546875" bestFit="1" customWidth="1"/>
    <col min="7931" max="7931" width="12.5703125" bestFit="1" customWidth="1"/>
    <col min="7932" max="7932" width="9.28515625" bestFit="1" customWidth="1"/>
    <col min="7933" max="7933" width="10.85546875" bestFit="1" customWidth="1"/>
    <col min="7934" max="7935" width="9.85546875" bestFit="1" customWidth="1"/>
    <col min="7937" max="7937" width="9.85546875" bestFit="1" customWidth="1"/>
    <col min="7938" max="7938" width="9.28515625" bestFit="1" customWidth="1"/>
    <col min="7940" max="7940" width="12.5703125" bestFit="1" customWidth="1"/>
    <col min="7941" max="7942" width="9.85546875" bestFit="1" customWidth="1"/>
    <col min="7944" max="7944" width="9.85546875" bestFit="1" customWidth="1"/>
    <col min="7945" max="7945" width="12.5703125" bestFit="1" customWidth="1"/>
    <col min="7946" max="7947" width="9.28515625" bestFit="1" customWidth="1"/>
    <col min="7948" max="7948" width="9.85546875" bestFit="1" customWidth="1"/>
    <col min="7949" max="7950" width="12.5703125" bestFit="1" customWidth="1"/>
    <col min="7952" max="7952" width="9.85546875" bestFit="1" customWidth="1"/>
    <col min="7953" max="7953" width="9.28515625" bestFit="1" customWidth="1"/>
    <col min="7954" max="7954" width="9.85546875" bestFit="1" customWidth="1"/>
    <col min="7955" max="7955" width="9.28515625" bestFit="1" customWidth="1"/>
    <col min="7956" max="7956" width="12.5703125" bestFit="1" customWidth="1"/>
    <col min="7957" max="7958" width="9.28515625" bestFit="1" customWidth="1"/>
    <col min="7959" max="7959" width="10.85546875" bestFit="1" customWidth="1"/>
    <col min="7960" max="7961" width="9.28515625" bestFit="1" customWidth="1"/>
    <col min="7962" max="7962" width="9.85546875" bestFit="1" customWidth="1"/>
    <col min="7963" max="7963" width="10.85546875" bestFit="1" customWidth="1"/>
    <col min="7964" max="7964" width="12.5703125" bestFit="1" customWidth="1"/>
    <col min="7965" max="7965" width="9.85546875" bestFit="1" customWidth="1"/>
    <col min="7966" max="7966" width="9.28515625" bestFit="1" customWidth="1"/>
    <col min="7968" max="7968" width="9.85546875" bestFit="1" customWidth="1"/>
    <col min="7970" max="7972" width="9.85546875" bestFit="1" customWidth="1"/>
    <col min="7973" max="7973" width="9.28515625" bestFit="1" customWidth="1"/>
    <col min="7974" max="7976" width="9.85546875" bestFit="1" customWidth="1"/>
    <col min="7977" max="7977" width="9.28515625" bestFit="1" customWidth="1"/>
    <col min="7979" max="7979" width="9.85546875" bestFit="1" customWidth="1"/>
    <col min="7980" max="7980" width="12.5703125" bestFit="1" customWidth="1"/>
    <col min="7982" max="7982" width="9.28515625" bestFit="1" customWidth="1"/>
    <col min="7983" max="7983" width="10.85546875" bestFit="1" customWidth="1"/>
    <col min="7984" max="7984" width="9.85546875" bestFit="1" customWidth="1"/>
    <col min="7985" max="7985" width="9.28515625" bestFit="1" customWidth="1"/>
    <col min="7986" max="7986" width="12.5703125" bestFit="1" customWidth="1"/>
    <col min="7987" max="7989" width="9.85546875" bestFit="1" customWidth="1"/>
    <col min="7991" max="7994" width="9.85546875" bestFit="1" customWidth="1"/>
    <col min="7995" max="7995" width="12.5703125" bestFit="1" customWidth="1"/>
    <col min="7996" max="7997" width="9.85546875" bestFit="1" customWidth="1"/>
    <col min="7998" max="7999" width="12.5703125" bestFit="1" customWidth="1"/>
    <col min="8000" max="8000" width="9.85546875" bestFit="1" customWidth="1"/>
    <col min="8001" max="8003" width="9.28515625" bestFit="1" customWidth="1"/>
    <col min="8004" max="8004" width="9.85546875" bestFit="1" customWidth="1"/>
    <col min="8005" max="8006" width="9.28515625" bestFit="1" customWidth="1"/>
    <col min="8007" max="8007" width="9.85546875" bestFit="1" customWidth="1"/>
    <col min="8009" max="8010" width="9.85546875" bestFit="1" customWidth="1"/>
    <col min="8011" max="8011" width="12.5703125" bestFit="1" customWidth="1"/>
    <col min="8012" max="8012" width="9.85546875" bestFit="1" customWidth="1"/>
    <col min="8013" max="8013" width="10.85546875" bestFit="1" customWidth="1"/>
    <col min="8014" max="8014" width="9.28515625" bestFit="1" customWidth="1"/>
    <col min="8015" max="8016" width="9.85546875" bestFit="1" customWidth="1"/>
    <col min="8017" max="8017" width="9.28515625" bestFit="1" customWidth="1"/>
    <col min="8018" max="8019" width="9.85546875" bestFit="1" customWidth="1"/>
    <col min="8020" max="8020" width="9.28515625" bestFit="1" customWidth="1"/>
    <col min="8021" max="8021" width="12.5703125" bestFit="1" customWidth="1"/>
    <col min="8022" max="8022" width="9.85546875" bestFit="1" customWidth="1"/>
    <col min="8024" max="8024" width="12.5703125" bestFit="1" customWidth="1"/>
    <col min="8025" max="8026" width="9.28515625" bestFit="1" customWidth="1"/>
    <col min="8027" max="8027" width="9.85546875" bestFit="1" customWidth="1"/>
    <col min="8028" max="8028" width="12.5703125" bestFit="1" customWidth="1"/>
    <col min="8029" max="8033" width="9.85546875" bestFit="1" customWidth="1"/>
    <col min="8034" max="8034" width="9.28515625" bestFit="1" customWidth="1"/>
    <col min="8035" max="8036" width="9.85546875" bestFit="1" customWidth="1"/>
    <col min="8037" max="8037" width="9.28515625" bestFit="1" customWidth="1"/>
    <col min="8039" max="8041" width="9.85546875" bestFit="1" customWidth="1"/>
    <col min="8042" max="8042" width="12.5703125" bestFit="1" customWidth="1"/>
    <col min="8043" max="8043" width="9.85546875" bestFit="1" customWidth="1"/>
    <col min="8044" max="8044" width="9.28515625" bestFit="1" customWidth="1"/>
    <col min="8046" max="8046" width="9.85546875" bestFit="1" customWidth="1"/>
    <col min="8047" max="8047" width="10.85546875" bestFit="1" customWidth="1"/>
    <col min="8048" max="8050" width="12.5703125" bestFit="1" customWidth="1"/>
    <col min="8051" max="8051" width="9.28515625" bestFit="1" customWidth="1"/>
    <col min="8052" max="8053" width="9.85546875" bestFit="1" customWidth="1"/>
    <col min="8054" max="8054" width="9.28515625" bestFit="1" customWidth="1"/>
    <col min="8056" max="8056" width="12.5703125" bestFit="1" customWidth="1"/>
    <col min="8057" max="8057" width="9.85546875" bestFit="1" customWidth="1"/>
    <col min="8058" max="8058" width="9.28515625" bestFit="1" customWidth="1"/>
    <col min="8060" max="8060" width="12.5703125" bestFit="1" customWidth="1"/>
    <col min="8061" max="8061" width="9.85546875" bestFit="1" customWidth="1"/>
    <col min="8063" max="8063" width="12.5703125" bestFit="1" customWidth="1"/>
    <col min="8065" max="8065" width="9.85546875" bestFit="1" customWidth="1"/>
    <col min="8066" max="8066" width="12.5703125" bestFit="1" customWidth="1"/>
    <col min="8067" max="8067" width="9.28515625" bestFit="1" customWidth="1"/>
    <col min="8068" max="8072" width="9.85546875" bestFit="1" customWidth="1"/>
    <col min="8073" max="8073" width="12.5703125" bestFit="1" customWidth="1"/>
    <col min="8074" max="8074" width="9.85546875" bestFit="1" customWidth="1"/>
    <col min="8076" max="8076" width="9.28515625" bestFit="1" customWidth="1"/>
    <col min="8077" max="8077" width="12.5703125" bestFit="1" customWidth="1"/>
    <col min="8078" max="8079" width="9.85546875" bestFit="1" customWidth="1"/>
    <col min="8080" max="8080" width="12.5703125" bestFit="1" customWidth="1"/>
    <col min="8082" max="8082" width="9.85546875" bestFit="1" customWidth="1"/>
    <col min="8083" max="8083" width="12.5703125" bestFit="1" customWidth="1"/>
    <col min="8084" max="8084" width="9.28515625" bestFit="1" customWidth="1"/>
    <col min="8085" max="8085" width="12.5703125" bestFit="1" customWidth="1"/>
    <col min="8086" max="8090" width="9.85546875" bestFit="1" customWidth="1"/>
    <col min="8091" max="8091" width="9.28515625" bestFit="1" customWidth="1"/>
    <col min="8092" max="8092" width="9.85546875" bestFit="1" customWidth="1"/>
    <col min="8094" max="8097" width="9.85546875" bestFit="1" customWidth="1"/>
    <col min="8098" max="8098" width="9.28515625" bestFit="1" customWidth="1"/>
    <col min="8101" max="8101" width="9.28515625" bestFit="1" customWidth="1"/>
    <col min="8103" max="8104" width="9.85546875" bestFit="1" customWidth="1"/>
    <col min="8105" max="8106" width="9.28515625" bestFit="1" customWidth="1"/>
    <col min="8107" max="8108" width="9.85546875" bestFit="1" customWidth="1"/>
    <col min="8110" max="8110" width="9.28515625" bestFit="1" customWidth="1"/>
    <col min="8112" max="8112" width="12.5703125" bestFit="1" customWidth="1"/>
    <col min="8113" max="8113" width="9.85546875" bestFit="1" customWidth="1"/>
    <col min="8114" max="8114" width="12.5703125" bestFit="1" customWidth="1"/>
    <col min="8115" max="8115" width="9.85546875" bestFit="1" customWidth="1"/>
    <col min="8116" max="8116" width="12.5703125" bestFit="1" customWidth="1"/>
    <col min="8117" max="8119" width="9.85546875" bestFit="1" customWidth="1"/>
    <col min="8120" max="8121" width="12.5703125" bestFit="1" customWidth="1"/>
    <col min="8122" max="8123" width="9.85546875" bestFit="1" customWidth="1"/>
    <col min="8124" max="8124" width="12.5703125" bestFit="1" customWidth="1"/>
    <col min="8125" max="8125" width="9.28515625" bestFit="1" customWidth="1"/>
    <col min="8126" max="8126" width="9.85546875" bestFit="1" customWidth="1"/>
    <col min="8127" max="8127" width="12.5703125" bestFit="1" customWidth="1"/>
    <col min="8128" max="8129" width="9.85546875" bestFit="1" customWidth="1"/>
    <col min="8131" max="8133" width="9.28515625" bestFit="1" customWidth="1"/>
    <col min="8134" max="8137" width="9.85546875" bestFit="1" customWidth="1"/>
    <col min="8138" max="8138" width="12.5703125" bestFit="1" customWidth="1"/>
    <col min="8139" max="8139" width="9.28515625" bestFit="1" customWidth="1"/>
    <col min="8141" max="8141" width="9.85546875" bestFit="1" customWidth="1"/>
    <col min="8142" max="8142" width="12.5703125" bestFit="1" customWidth="1"/>
    <col min="8143" max="8143" width="9.85546875" bestFit="1" customWidth="1"/>
    <col min="8144" max="8144" width="12.5703125" bestFit="1" customWidth="1"/>
    <col min="8145" max="8145" width="9.85546875" bestFit="1" customWidth="1"/>
    <col min="8146" max="8146" width="12.5703125" bestFit="1" customWidth="1"/>
    <col min="8147" max="8152" width="9.85546875" bestFit="1" customWidth="1"/>
    <col min="8155" max="8155" width="9.85546875" bestFit="1" customWidth="1"/>
    <col min="8156" max="8156" width="12.5703125" bestFit="1" customWidth="1"/>
    <col min="8158" max="8159" width="9.85546875" bestFit="1" customWidth="1"/>
    <col min="8160" max="8160" width="12.5703125" bestFit="1" customWidth="1"/>
    <col min="8161" max="8164" width="9.85546875" bestFit="1" customWidth="1"/>
    <col min="8167" max="8167" width="9.85546875" bestFit="1" customWidth="1"/>
    <col min="8168" max="8169" width="9.28515625" bestFit="1" customWidth="1"/>
    <col min="8170" max="8171" width="9.85546875" bestFit="1" customWidth="1"/>
    <col min="8173" max="8175" width="9.85546875" bestFit="1" customWidth="1"/>
    <col min="8177" max="8178" width="9.85546875" bestFit="1" customWidth="1"/>
    <col min="8179" max="8179" width="12.5703125" bestFit="1" customWidth="1"/>
    <col min="8180" max="8182" width="9.85546875" bestFit="1" customWidth="1"/>
    <col min="8183" max="8183" width="12.5703125" bestFit="1" customWidth="1"/>
    <col min="8185" max="8185" width="9.85546875" bestFit="1" customWidth="1"/>
    <col min="8186" max="8186" width="9.28515625" bestFit="1" customWidth="1"/>
    <col min="8187" max="8187" width="9.85546875" bestFit="1" customWidth="1"/>
    <col min="8188" max="8189" width="12.5703125" bestFit="1" customWidth="1"/>
    <col min="8191" max="8191" width="9.28515625" bestFit="1" customWidth="1"/>
    <col min="8193" max="8193" width="9.85546875" bestFit="1" customWidth="1"/>
    <col min="8194" max="8194" width="9.28515625" bestFit="1" customWidth="1"/>
    <col min="8195" max="8195" width="9.85546875" bestFit="1" customWidth="1"/>
    <col min="8197" max="8197" width="9.85546875" bestFit="1" customWidth="1"/>
    <col min="8199" max="8200" width="12.5703125" bestFit="1" customWidth="1"/>
    <col min="8202" max="8202" width="9.85546875" bestFit="1" customWidth="1"/>
    <col min="8203" max="8203" width="12.5703125" bestFit="1" customWidth="1"/>
    <col min="8204" max="8206" width="9.85546875" bestFit="1" customWidth="1"/>
    <col min="8207" max="8207" width="12.5703125" bestFit="1" customWidth="1"/>
    <col min="8208" max="8209" width="9.85546875" bestFit="1" customWidth="1"/>
    <col min="8210" max="8210" width="12.5703125" bestFit="1" customWidth="1"/>
    <col min="8211" max="8211" width="9.85546875" bestFit="1" customWidth="1"/>
    <col min="8213" max="8214" width="9.85546875" bestFit="1" customWidth="1"/>
    <col min="8215" max="8215" width="12.5703125" bestFit="1" customWidth="1"/>
    <col min="8216" max="8216" width="9.28515625" bestFit="1" customWidth="1"/>
    <col min="8218" max="8218" width="9.28515625" bestFit="1" customWidth="1"/>
    <col min="8219" max="8219" width="12.5703125" bestFit="1" customWidth="1"/>
    <col min="8220" max="8222" width="9.85546875" bestFit="1" customWidth="1"/>
    <col min="8224" max="8225" width="9.85546875" bestFit="1" customWidth="1"/>
    <col min="8226" max="8226" width="9.28515625" bestFit="1" customWidth="1"/>
    <col min="8227" max="8229" width="9.85546875" bestFit="1" customWidth="1"/>
    <col min="8230" max="8230" width="9.28515625" bestFit="1" customWidth="1"/>
    <col min="8231" max="8232" width="9.85546875" bestFit="1" customWidth="1"/>
    <col min="8233" max="8233" width="12.5703125" bestFit="1" customWidth="1"/>
    <col min="8234" max="8234" width="9.85546875" bestFit="1" customWidth="1"/>
    <col min="8235" max="8236" width="9.28515625" bestFit="1" customWidth="1"/>
    <col min="8238" max="8238" width="9.28515625" bestFit="1" customWidth="1"/>
    <col min="8239" max="8243" width="9.85546875" bestFit="1" customWidth="1"/>
    <col min="8244" max="8244" width="12.5703125" bestFit="1" customWidth="1"/>
    <col min="8245" max="8245" width="9.28515625" bestFit="1" customWidth="1"/>
    <col min="8246" max="8246" width="9.85546875" bestFit="1" customWidth="1"/>
    <col min="8247" max="8247" width="12.5703125" bestFit="1" customWidth="1"/>
    <col min="8248" max="8248" width="9.85546875" bestFit="1" customWidth="1"/>
    <col min="8249" max="8249" width="10.85546875" bestFit="1" customWidth="1"/>
    <col min="8250" max="8250" width="9.28515625" bestFit="1" customWidth="1"/>
    <col min="8251" max="8251" width="9.85546875" bestFit="1" customWidth="1"/>
    <col min="8253" max="8254" width="9.85546875" bestFit="1" customWidth="1"/>
    <col min="8255" max="8255" width="12.5703125" bestFit="1" customWidth="1"/>
    <col min="8256" max="8256" width="9.28515625" bestFit="1" customWidth="1"/>
    <col min="8258" max="8258" width="12.5703125" bestFit="1" customWidth="1"/>
    <col min="8259" max="8259" width="9.85546875" bestFit="1" customWidth="1"/>
    <col min="8260" max="8261" width="9.28515625" bestFit="1" customWidth="1"/>
    <col min="8263" max="8264" width="9.85546875" bestFit="1" customWidth="1"/>
    <col min="8265" max="8266" width="12.5703125" bestFit="1" customWidth="1"/>
    <col min="8267" max="8267" width="9.28515625" bestFit="1" customWidth="1"/>
    <col min="8268" max="8268" width="9.85546875" bestFit="1" customWidth="1"/>
    <col min="8269" max="8269" width="12.5703125" bestFit="1" customWidth="1"/>
    <col min="8270" max="8270" width="9.28515625" bestFit="1" customWidth="1"/>
    <col min="8271" max="8272" width="9.85546875" bestFit="1" customWidth="1"/>
    <col min="8274" max="8274" width="9.85546875" bestFit="1" customWidth="1"/>
    <col min="8275" max="8275" width="9.28515625" bestFit="1" customWidth="1"/>
    <col min="8276" max="8276" width="9.85546875" bestFit="1" customWidth="1"/>
    <col min="8277" max="8278" width="12.5703125" bestFit="1" customWidth="1"/>
    <col min="8280" max="8281" width="9.28515625" bestFit="1" customWidth="1"/>
    <col min="8283" max="8283" width="9.28515625" bestFit="1" customWidth="1"/>
    <col min="8284" max="8284" width="12.5703125" bestFit="1" customWidth="1"/>
    <col min="8286" max="8286" width="9.28515625" bestFit="1" customWidth="1"/>
    <col min="8287" max="8287" width="9.85546875" bestFit="1" customWidth="1"/>
    <col min="8288" max="8288" width="12.5703125" bestFit="1" customWidth="1"/>
    <col min="8289" max="8290" width="9.85546875" bestFit="1" customWidth="1"/>
    <col min="8291" max="8291" width="9.28515625" bestFit="1" customWidth="1"/>
    <col min="8292" max="8293" width="9.85546875" bestFit="1" customWidth="1"/>
    <col min="8295" max="8295" width="9.28515625" bestFit="1" customWidth="1"/>
    <col min="8297" max="8297" width="12.5703125" bestFit="1" customWidth="1"/>
    <col min="8298" max="8299" width="9.85546875" bestFit="1" customWidth="1"/>
    <col min="8300" max="8300" width="9.28515625" bestFit="1" customWidth="1"/>
    <col min="8301" max="8301" width="12.5703125" bestFit="1" customWidth="1"/>
    <col min="8302" max="8303" width="9.85546875" bestFit="1" customWidth="1"/>
    <col min="8304" max="8304" width="12.5703125" bestFit="1" customWidth="1"/>
    <col min="8305" max="8305" width="9.85546875" bestFit="1" customWidth="1"/>
    <col min="8306" max="8307" width="12.5703125" bestFit="1" customWidth="1"/>
    <col min="8308" max="8308" width="9.28515625" bestFit="1" customWidth="1"/>
    <col min="8309" max="8309" width="9.85546875" bestFit="1" customWidth="1"/>
    <col min="8310" max="8310" width="9.28515625" bestFit="1" customWidth="1"/>
    <col min="8312" max="8312" width="9.85546875" bestFit="1" customWidth="1"/>
    <col min="8314" max="8317" width="9.85546875" bestFit="1" customWidth="1"/>
    <col min="8318" max="8318" width="9.28515625" bestFit="1" customWidth="1"/>
    <col min="8319" max="8319" width="9.85546875" bestFit="1" customWidth="1"/>
    <col min="8320" max="8320" width="12.5703125" bestFit="1" customWidth="1"/>
    <col min="8321" max="8321" width="9.85546875" bestFit="1" customWidth="1"/>
    <col min="8322" max="8322" width="12.5703125" bestFit="1" customWidth="1"/>
    <col min="8323" max="8323" width="9.28515625" bestFit="1" customWidth="1"/>
    <col min="8324" max="8324" width="12.5703125" bestFit="1" customWidth="1"/>
    <col min="8326" max="8326" width="9.28515625" bestFit="1" customWidth="1"/>
    <col min="8328" max="8328" width="12.5703125" bestFit="1" customWidth="1"/>
    <col min="8329" max="8329" width="9.28515625" bestFit="1" customWidth="1"/>
    <col min="8330" max="8331" width="9.85546875" bestFit="1" customWidth="1"/>
    <col min="8332" max="8332" width="9.28515625" bestFit="1" customWidth="1"/>
    <col min="8333" max="8333" width="12.5703125" bestFit="1" customWidth="1"/>
    <col min="8334" max="8335" width="9.85546875" bestFit="1" customWidth="1"/>
    <col min="8336" max="8336" width="12.5703125" bestFit="1" customWidth="1"/>
    <col min="8337" max="8337" width="9.28515625" bestFit="1" customWidth="1"/>
    <col min="8338" max="8339" width="9.85546875" bestFit="1" customWidth="1"/>
    <col min="8340" max="8340" width="12.5703125" bestFit="1" customWidth="1"/>
    <col min="8341" max="8341" width="9.85546875" bestFit="1" customWidth="1"/>
    <col min="8342" max="8342" width="12.5703125" bestFit="1" customWidth="1"/>
    <col min="8343" max="8343" width="9.28515625" bestFit="1" customWidth="1"/>
    <col min="8344" max="8344" width="12.5703125" bestFit="1" customWidth="1"/>
    <col min="8345" max="8347" width="9.85546875" bestFit="1" customWidth="1"/>
    <col min="8349" max="8350" width="9.85546875" bestFit="1" customWidth="1"/>
    <col min="8351" max="8351" width="9.28515625" bestFit="1" customWidth="1"/>
    <col min="8353" max="8353" width="9.85546875" bestFit="1" customWidth="1"/>
    <col min="8354" max="8354" width="12.5703125" bestFit="1" customWidth="1"/>
    <col min="8356" max="8356" width="9.28515625" bestFit="1" customWidth="1"/>
    <col min="8357" max="8357" width="12.5703125" bestFit="1" customWidth="1"/>
    <col min="8358" max="8358" width="9.85546875" bestFit="1" customWidth="1"/>
    <col min="8359" max="8360" width="12.5703125" bestFit="1" customWidth="1"/>
    <col min="8361" max="8362" width="9.28515625" bestFit="1" customWidth="1"/>
    <col min="8363" max="8365" width="9.85546875" bestFit="1" customWidth="1"/>
    <col min="8366" max="8366" width="12.5703125" bestFit="1" customWidth="1"/>
    <col min="8367" max="8374" width="9.85546875" bestFit="1" customWidth="1"/>
    <col min="8375" max="8375" width="9.28515625" bestFit="1" customWidth="1"/>
    <col min="8376" max="8376" width="12.5703125" bestFit="1" customWidth="1"/>
    <col min="8377" max="8380" width="9.85546875" bestFit="1" customWidth="1"/>
    <col min="8381" max="8381" width="12.5703125" bestFit="1" customWidth="1"/>
    <col min="8382" max="8385" width="9.85546875" bestFit="1" customWidth="1"/>
    <col min="8386" max="8386" width="12.5703125" bestFit="1" customWidth="1"/>
    <col min="8387" max="8387" width="9.85546875" bestFit="1" customWidth="1"/>
    <col min="8388" max="8388" width="9.28515625" bestFit="1" customWidth="1"/>
    <col min="8389" max="8389" width="9.85546875" bestFit="1" customWidth="1"/>
    <col min="8391" max="8391" width="9.85546875" bestFit="1" customWidth="1"/>
    <col min="8392" max="8394" width="9.28515625" bestFit="1" customWidth="1"/>
    <col min="8395" max="8395" width="9.85546875" bestFit="1" customWidth="1"/>
    <col min="8396" max="8396" width="9.28515625" bestFit="1" customWidth="1"/>
    <col min="8397" max="8397" width="9.85546875" bestFit="1" customWidth="1"/>
    <col min="8398" max="8399" width="9.28515625" bestFit="1" customWidth="1"/>
    <col min="8400" max="8406" width="9.85546875" bestFit="1" customWidth="1"/>
    <col min="8407" max="8407" width="12.5703125" bestFit="1" customWidth="1"/>
    <col min="8408" max="8408" width="9.85546875" bestFit="1" customWidth="1"/>
    <col min="8409" max="8409" width="12.5703125" bestFit="1" customWidth="1"/>
    <col min="8410" max="8410" width="9.28515625" bestFit="1" customWidth="1"/>
    <col min="8411" max="8412" width="9.85546875" bestFit="1" customWidth="1"/>
    <col min="8413" max="8414" width="9.28515625" bestFit="1" customWidth="1"/>
    <col min="8415" max="8415" width="9.85546875" bestFit="1" customWidth="1"/>
    <col min="8416" max="8416" width="9.28515625" bestFit="1" customWidth="1"/>
    <col min="8417" max="8418" width="12.5703125" bestFit="1" customWidth="1"/>
    <col min="8419" max="8419" width="9.28515625" bestFit="1" customWidth="1"/>
    <col min="8420" max="8420" width="12.5703125" bestFit="1" customWidth="1"/>
    <col min="8421" max="8421" width="9.28515625" bestFit="1" customWidth="1"/>
    <col min="8422" max="8422" width="9.85546875" bestFit="1" customWidth="1"/>
    <col min="8424" max="8424" width="12.5703125" bestFit="1" customWidth="1"/>
    <col min="8425" max="8428" width="9.85546875" bestFit="1" customWidth="1"/>
    <col min="8429" max="8429" width="12.5703125" bestFit="1" customWidth="1"/>
    <col min="8431" max="8436" width="9.85546875" bestFit="1" customWidth="1"/>
    <col min="8437" max="8437" width="12.5703125" bestFit="1" customWidth="1"/>
    <col min="8439" max="8440" width="9.85546875" bestFit="1" customWidth="1"/>
    <col min="8442" max="8442" width="12.5703125" bestFit="1" customWidth="1"/>
    <col min="8443" max="8443" width="9.28515625" bestFit="1" customWidth="1"/>
    <col min="8444" max="8444" width="9.85546875" bestFit="1" customWidth="1"/>
    <col min="8446" max="8446" width="9.85546875" bestFit="1" customWidth="1"/>
    <col min="8447" max="8448" width="12.5703125" bestFit="1" customWidth="1"/>
    <col min="8450" max="8450" width="9.28515625" bestFit="1" customWidth="1"/>
    <col min="8451" max="8451" width="12.5703125" bestFit="1" customWidth="1"/>
    <col min="8452" max="8452" width="9.28515625" bestFit="1" customWidth="1"/>
    <col min="8453" max="8453" width="9.85546875" bestFit="1" customWidth="1"/>
    <col min="8454" max="8454" width="9.28515625" bestFit="1" customWidth="1"/>
    <col min="8455" max="8455" width="10.85546875" bestFit="1" customWidth="1"/>
    <col min="8456" max="8456" width="12.5703125" bestFit="1" customWidth="1"/>
    <col min="8457" max="8457" width="9.28515625" bestFit="1" customWidth="1"/>
    <col min="8458" max="8458" width="12.5703125" bestFit="1" customWidth="1"/>
    <col min="8459" max="8459" width="9.85546875" bestFit="1" customWidth="1"/>
    <col min="8460" max="8460" width="9.28515625" bestFit="1" customWidth="1"/>
    <col min="8461" max="8461" width="12.5703125" bestFit="1" customWidth="1"/>
    <col min="8462" max="8462" width="9.28515625" bestFit="1" customWidth="1"/>
    <col min="8463" max="8463" width="9.85546875" bestFit="1" customWidth="1"/>
    <col min="8467" max="8467" width="9.85546875" bestFit="1" customWidth="1"/>
    <col min="8468" max="8469" width="12.5703125" bestFit="1" customWidth="1"/>
    <col min="8470" max="8470" width="9.28515625" bestFit="1" customWidth="1"/>
    <col min="8471" max="8471" width="12.5703125" bestFit="1" customWidth="1"/>
    <col min="8472" max="8473" width="9.85546875" bestFit="1" customWidth="1"/>
    <col min="8474" max="8474" width="10.85546875" bestFit="1" customWidth="1"/>
    <col min="8475" max="8475" width="9.85546875" bestFit="1" customWidth="1"/>
    <col min="8476" max="8476" width="9.28515625" bestFit="1" customWidth="1"/>
    <col min="8477" max="8477" width="9.85546875" bestFit="1" customWidth="1"/>
    <col min="8478" max="8478" width="12.5703125" bestFit="1" customWidth="1"/>
    <col min="8479" max="8480" width="9.28515625" bestFit="1" customWidth="1"/>
    <col min="8481" max="8482" width="9.85546875" bestFit="1" customWidth="1"/>
    <col min="8483" max="8483" width="9.28515625" bestFit="1" customWidth="1"/>
    <col min="8484" max="8488" width="9.85546875" bestFit="1" customWidth="1"/>
    <col min="8490" max="8490" width="9.28515625" bestFit="1" customWidth="1"/>
    <col min="8492" max="8492" width="12.5703125" bestFit="1" customWidth="1"/>
    <col min="8494" max="8495" width="9.85546875" bestFit="1" customWidth="1"/>
    <col min="8496" max="8497" width="9.28515625" bestFit="1" customWidth="1"/>
    <col min="8499" max="8499" width="9.28515625" bestFit="1" customWidth="1"/>
    <col min="8501" max="8501" width="12.5703125" bestFit="1" customWidth="1"/>
    <col min="8502" max="8504" width="9.28515625" bestFit="1" customWidth="1"/>
    <col min="8506" max="8506" width="12.5703125" bestFit="1" customWidth="1"/>
    <col min="8507" max="8507" width="9.85546875" bestFit="1" customWidth="1"/>
    <col min="8508" max="8509" width="9.28515625" bestFit="1" customWidth="1"/>
    <col min="8510" max="8510" width="9.85546875" bestFit="1" customWidth="1"/>
    <col min="8511" max="8511" width="12.5703125" bestFit="1" customWidth="1"/>
    <col min="8512" max="8512" width="9.28515625" bestFit="1" customWidth="1"/>
    <col min="8513" max="8516" width="9.85546875" bestFit="1" customWidth="1"/>
    <col min="8517" max="8517" width="9.28515625" bestFit="1" customWidth="1"/>
    <col min="8518" max="8520" width="9.85546875" bestFit="1" customWidth="1"/>
    <col min="8521" max="8521" width="12.5703125" bestFit="1" customWidth="1"/>
    <col min="8522" max="8522" width="9.28515625" bestFit="1" customWidth="1"/>
    <col min="8523" max="8523" width="9.85546875" bestFit="1" customWidth="1"/>
    <col min="8524" max="8524" width="12.5703125" bestFit="1" customWidth="1"/>
    <col min="8525" max="8525" width="9.28515625" bestFit="1" customWidth="1"/>
    <col min="8526" max="8526" width="9.85546875" bestFit="1" customWidth="1"/>
    <col min="8528" max="8528" width="9.28515625" bestFit="1" customWidth="1"/>
    <col min="8531" max="8532" width="12.5703125" bestFit="1" customWidth="1"/>
    <col min="8533" max="8534" width="9.85546875" bestFit="1" customWidth="1"/>
    <col min="8535" max="8535" width="9.28515625" bestFit="1" customWidth="1"/>
    <col min="8536" max="8537" width="12.5703125" bestFit="1" customWidth="1"/>
    <col min="8539" max="8539" width="9.85546875" bestFit="1" customWidth="1"/>
    <col min="8540" max="8540" width="12.5703125" bestFit="1" customWidth="1"/>
    <col min="8541" max="8541" width="9.28515625" bestFit="1" customWidth="1"/>
    <col min="8542" max="8544" width="9.85546875" bestFit="1" customWidth="1"/>
    <col min="8545" max="8545" width="12.5703125" bestFit="1" customWidth="1"/>
    <col min="8546" max="8546" width="9.85546875" bestFit="1" customWidth="1"/>
    <col min="8547" max="8548" width="12.5703125" bestFit="1" customWidth="1"/>
    <col min="8549" max="8549" width="9.28515625" bestFit="1" customWidth="1"/>
    <col min="8550" max="8550" width="12.5703125" bestFit="1" customWidth="1"/>
    <col min="8551" max="8555" width="9.85546875" bestFit="1" customWidth="1"/>
    <col min="8557" max="8557" width="12.5703125" bestFit="1" customWidth="1"/>
    <col min="8558" max="8560" width="9.85546875" bestFit="1" customWidth="1"/>
    <col min="8561" max="8561" width="9.28515625" bestFit="1" customWidth="1"/>
    <col min="8562" max="8562" width="9.85546875" bestFit="1" customWidth="1"/>
    <col min="8563" max="8565" width="9.28515625" bestFit="1" customWidth="1"/>
    <col min="8566" max="8566" width="12.5703125" bestFit="1" customWidth="1"/>
    <col min="8567" max="8567" width="9.28515625" bestFit="1" customWidth="1"/>
    <col min="8568" max="8568" width="12.5703125" bestFit="1" customWidth="1"/>
    <col min="8569" max="8569" width="9.28515625" bestFit="1" customWidth="1"/>
    <col min="8570" max="8572" width="9.85546875" bestFit="1" customWidth="1"/>
    <col min="8573" max="8573" width="9.28515625" bestFit="1" customWidth="1"/>
    <col min="8575" max="8579" width="9.85546875" bestFit="1" customWidth="1"/>
    <col min="8580" max="8580" width="12.5703125" bestFit="1" customWidth="1"/>
    <col min="8581" max="8582" width="9.85546875" bestFit="1" customWidth="1"/>
    <col min="8583" max="8583" width="12.5703125" bestFit="1" customWidth="1"/>
    <col min="8584" max="8584" width="9.28515625" bestFit="1" customWidth="1"/>
    <col min="8585" max="8585" width="9.85546875" bestFit="1" customWidth="1"/>
    <col min="8586" max="8586" width="9.28515625" bestFit="1" customWidth="1"/>
    <col min="8587" max="8588" width="9.85546875" bestFit="1" customWidth="1"/>
    <col min="8590" max="8591" width="9.28515625" bestFit="1" customWidth="1"/>
    <col min="8592" max="8592" width="12.5703125" bestFit="1" customWidth="1"/>
    <col min="8593" max="8593" width="9.28515625" bestFit="1" customWidth="1"/>
    <col min="8595" max="8595" width="9.28515625" bestFit="1" customWidth="1"/>
    <col min="8597" max="8597" width="9.28515625" bestFit="1" customWidth="1"/>
    <col min="8598" max="8600" width="9.85546875" bestFit="1" customWidth="1"/>
    <col min="8602" max="8603" width="9.85546875" bestFit="1" customWidth="1"/>
    <col min="8604" max="8604" width="9.28515625" bestFit="1" customWidth="1"/>
    <col min="8605" max="8605" width="9.85546875" bestFit="1" customWidth="1"/>
    <col min="8606" max="8606" width="9.28515625" bestFit="1" customWidth="1"/>
    <col min="8607" max="8607" width="12.5703125" bestFit="1" customWidth="1"/>
    <col min="8608" max="8609" width="9.28515625" bestFit="1" customWidth="1"/>
    <col min="8610" max="8612" width="9.85546875" bestFit="1" customWidth="1"/>
    <col min="8613" max="8613" width="12.5703125" bestFit="1" customWidth="1"/>
    <col min="8614" max="8616" width="9.85546875" bestFit="1" customWidth="1"/>
    <col min="8618" max="8618" width="9.85546875" bestFit="1" customWidth="1"/>
    <col min="8619" max="8619" width="9.28515625" bestFit="1" customWidth="1"/>
    <col min="8620" max="8620" width="12.5703125" bestFit="1" customWidth="1"/>
    <col min="8621" max="8622" width="9.85546875" bestFit="1" customWidth="1"/>
    <col min="8623" max="8623" width="12.5703125" bestFit="1" customWidth="1"/>
    <col min="8624" max="8626" width="9.85546875" bestFit="1" customWidth="1"/>
    <col min="8627" max="8627" width="9.28515625" bestFit="1" customWidth="1"/>
    <col min="8628" max="8628" width="12.5703125" bestFit="1" customWidth="1"/>
    <col min="8630" max="8630" width="9.85546875" bestFit="1" customWidth="1"/>
    <col min="8631" max="8631" width="12.5703125" bestFit="1" customWidth="1"/>
    <col min="8632" max="8633" width="9.85546875" bestFit="1" customWidth="1"/>
    <col min="8635" max="8635" width="9.85546875" bestFit="1" customWidth="1"/>
    <col min="8636" max="8636" width="12.5703125" bestFit="1" customWidth="1"/>
    <col min="8637" max="8637" width="9.28515625" bestFit="1" customWidth="1"/>
    <col min="8638" max="8640" width="9.85546875" bestFit="1" customWidth="1"/>
    <col min="8643" max="8643" width="9.85546875" bestFit="1" customWidth="1"/>
    <col min="8644" max="8645" width="9.28515625" bestFit="1" customWidth="1"/>
    <col min="8646" max="8646" width="12.5703125" bestFit="1" customWidth="1"/>
    <col min="8647" max="8647" width="9.85546875" bestFit="1" customWidth="1"/>
    <col min="8649" max="8651" width="9.85546875" bestFit="1" customWidth="1"/>
    <col min="8652" max="8652" width="12.5703125" bestFit="1" customWidth="1"/>
    <col min="8653" max="8655" width="9.85546875" bestFit="1" customWidth="1"/>
    <col min="8656" max="8656" width="9.28515625" bestFit="1" customWidth="1"/>
    <col min="8657" max="8658" width="12.5703125" bestFit="1" customWidth="1"/>
    <col min="8659" max="8659" width="9.85546875" bestFit="1" customWidth="1"/>
    <col min="8660" max="8660" width="9.28515625" bestFit="1" customWidth="1"/>
    <col min="8661" max="8662" width="9.85546875" bestFit="1" customWidth="1"/>
    <col min="8663" max="8663" width="12.5703125" bestFit="1" customWidth="1"/>
    <col min="8664" max="8664" width="9.85546875" bestFit="1" customWidth="1"/>
    <col min="8665" max="8665" width="9.28515625" bestFit="1" customWidth="1"/>
    <col min="8666" max="8668" width="9.85546875" bestFit="1" customWidth="1"/>
    <col min="8670" max="8670" width="9.28515625" bestFit="1" customWidth="1"/>
    <col min="8671" max="8672" width="9.85546875" bestFit="1" customWidth="1"/>
    <col min="8673" max="8673" width="10.85546875" bestFit="1" customWidth="1"/>
    <col min="8674" max="8674" width="9.28515625" bestFit="1" customWidth="1"/>
    <col min="8675" max="8675" width="9.85546875" bestFit="1" customWidth="1"/>
    <col min="8677" max="8678" width="12.5703125" bestFit="1" customWidth="1"/>
    <col min="8680" max="8681" width="9.85546875" bestFit="1" customWidth="1"/>
    <col min="8683" max="8684" width="9.85546875" bestFit="1" customWidth="1"/>
    <col min="8685" max="8685" width="12.5703125" bestFit="1" customWidth="1"/>
    <col min="8686" max="8686" width="9.28515625" bestFit="1" customWidth="1"/>
    <col min="8687" max="8687" width="12.5703125" bestFit="1" customWidth="1"/>
    <col min="8688" max="8689" width="9.85546875" bestFit="1" customWidth="1"/>
    <col min="8690" max="8691" width="9.28515625" bestFit="1" customWidth="1"/>
    <col min="8692" max="8694" width="9.85546875" bestFit="1" customWidth="1"/>
    <col min="8695" max="8695" width="9.28515625" bestFit="1" customWidth="1"/>
    <col min="8696" max="8696" width="12.5703125" bestFit="1" customWidth="1"/>
    <col min="8697" max="8697" width="9.28515625" bestFit="1" customWidth="1"/>
    <col min="8698" max="8699" width="9.85546875" bestFit="1" customWidth="1"/>
    <col min="8700" max="8700" width="12.5703125" bestFit="1" customWidth="1"/>
    <col min="8701" max="8702" width="9.85546875" bestFit="1" customWidth="1"/>
    <col min="8704" max="8707" width="9.85546875" bestFit="1" customWidth="1"/>
    <col min="8710" max="8710" width="9.85546875" bestFit="1" customWidth="1"/>
    <col min="8711" max="8711" width="9.28515625" bestFit="1" customWidth="1"/>
    <col min="8712" max="8712" width="9.85546875" bestFit="1" customWidth="1"/>
    <col min="8713" max="8713" width="9.28515625" bestFit="1" customWidth="1"/>
    <col min="8714" max="8716" width="9.85546875" bestFit="1" customWidth="1"/>
    <col min="8717" max="8717" width="12.5703125" bestFit="1" customWidth="1"/>
    <col min="8718" max="8721" width="9.85546875" bestFit="1" customWidth="1"/>
    <col min="8723" max="8723" width="12.5703125" bestFit="1" customWidth="1"/>
    <col min="8724" max="8724" width="9.28515625" bestFit="1" customWidth="1"/>
    <col min="8725" max="8725" width="9.85546875" bestFit="1" customWidth="1"/>
    <col min="8728" max="8733" width="9.85546875" bestFit="1" customWidth="1"/>
    <col min="8734" max="8734" width="10.85546875" bestFit="1" customWidth="1"/>
    <col min="8735" max="8738" width="9.85546875" bestFit="1" customWidth="1"/>
    <col min="8740" max="8740" width="9.28515625" bestFit="1" customWidth="1"/>
    <col min="8741" max="8745" width="9.85546875" bestFit="1" customWidth="1"/>
    <col min="8746" max="8746" width="12.5703125" bestFit="1" customWidth="1"/>
    <col min="8747" max="8747" width="9.85546875" bestFit="1" customWidth="1"/>
    <col min="8748" max="8748" width="10.85546875" bestFit="1" customWidth="1"/>
    <col min="8749" max="8753" width="9.85546875" bestFit="1" customWidth="1"/>
    <col min="8754" max="8755" width="12.5703125" bestFit="1" customWidth="1"/>
    <col min="8756" max="8758" width="9.85546875" bestFit="1" customWidth="1"/>
    <col min="8759" max="8760" width="12.5703125" bestFit="1" customWidth="1"/>
    <col min="8761" max="8761" width="9.85546875" bestFit="1" customWidth="1"/>
    <col min="8763" max="8766" width="9.85546875" bestFit="1" customWidth="1"/>
    <col min="8767" max="8767" width="9.28515625" bestFit="1" customWidth="1"/>
    <col min="8768" max="8768" width="12.5703125" bestFit="1" customWidth="1"/>
    <col min="8769" max="8770" width="9.85546875" bestFit="1" customWidth="1"/>
    <col min="8771" max="8771" width="12.5703125" bestFit="1" customWidth="1"/>
    <col min="8772" max="8772" width="9.28515625" bestFit="1" customWidth="1"/>
    <col min="8773" max="8776" width="9.85546875" bestFit="1" customWidth="1"/>
    <col min="8777" max="8777" width="9.28515625" bestFit="1" customWidth="1"/>
    <col min="8778" max="8779" width="9.85546875" bestFit="1" customWidth="1"/>
    <col min="8780" max="8780" width="12.5703125" bestFit="1" customWidth="1"/>
    <col min="8781" max="8781" width="9.85546875" bestFit="1" customWidth="1"/>
    <col min="8782" max="8782" width="12.5703125" bestFit="1" customWidth="1"/>
    <col min="8783" max="8783" width="9.28515625" bestFit="1" customWidth="1"/>
    <col min="8784" max="8785" width="9.85546875" bestFit="1" customWidth="1"/>
    <col min="8786" max="8786" width="9.28515625" bestFit="1" customWidth="1"/>
    <col min="8787" max="8787" width="12.5703125" bestFit="1" customWidth="1"/>
    <col min="8788" max="8789" width="9.28515625" bestFit="1" customWidth="1"/>
    <col min="8790" max="8790" width="12.5703125" bestFit="1" customWidth="1"/>
    <col min="8791" max="8792" width="9.85546875" bestFit="1" customWidth="1"/>
    <col min="8794" max="8794" width="9.28515625" bestFit="1" customWidth="1"/>
    <col min="8795" max="8795" width="10.85546875" bestFit="1" customWidth="1"/>
    <col min="8796" max="8800" width="9.85546875" bestFit="1" customWidth="1"/>
    <col min="8801" max="8801" width="10.85546875" bestFit="1" customWidth="1"/>
    <col min="8802" max="8802" width="9.85546875" bestFit="1" customWidth="1"/>
    <col min="8804" max="8804" width="9.85546875" bestFit="1" customWidth="1"/>
    <col min="8805" max="8805" width="12.5703125" bestFit="1" customWidth="1"/>
    <col min="8806" max="8807" width="9.85546875" bestFit="1" customWidth="1"/>
    <col min="8808" max="8808" width="9.28515625" bestFit="1" customWidth="1"/>
    <col min="8809" max="8809" width="9.85546875" bestFit="1" customWidth="1"/>
    <col min="8810" max="8810" width="9.28515625" bestFit="1" customWidth="1"/>
    <col min="8811" max="8811" width="9.85546875" bestFit="1" customWidth="1"/>
    <col min="8812" max="8812" width="9.28515625" bestFit="1" customWidth="1"/>
    <col min="8815" max="8815" width="9.28515625" bestFit="1" customWidth="1"/>
    <col min="8816" max="8816" width="12.5703125" bestFit="1" customWidth="1"/>
    <col min="8818" max="8819" width="9.85546875" bestFit="1" customWidth="1"/>
    <col min="8821" max="8821" width="9.28515625" bestFit="1" customWidth="1"/>
    <col min="8822" max="8822" width="9.85546875" bestFit="1" customWidth="1"/>
    <col min="8823" max="8823" width="9.28515625" bestFit="1" customWidth="1"/>
    <col min="8825" max="8825" width="12.5703125" bestFit="1" customWidth="1"/>
    <col min="8826" max="8826" width="9.28515625" bestFit="1" customWidth="1"/>
    <col min="8827" max="8827" width="12.5703125" bestFit="1" customWidth="1"/>
    <col min="8828" max="8829" width="9.85546875" bestFit="1" customWidth="1"/>
    <col min="8830" max="8830" width="9.28515625" bestFit="1" customWidth="1"/>
    <col min="8831" max="8831" width="9.85546875" bestFit="1" customWidth="1"/>
    <col min="8832" max="8832" width="9.28515625" bestFit="1" customWidth="1"/>
    <col min="8833" max="8833" width="9.85546875" bestFit="1" customWidth="1"/>
    <col min="8834" max="8835" width="12.5703125" bestFit="1" customWidth="1"/>
    <col min="8836" max="8836" width="9.28515625" bestFit="1" customWidth="1"/>
    <col min="8838" max="8843" width="9.85546875" bestFit="1" customWidth="1"/>
    <col min="8845" max="8845" width="9.85546875" bestFit="1" customWidth="1"/>
    <col min="8846" max="8846" width="9.28515625" bestFit="1" customWidth="1"/>
    <col min="8847" max="8847" width="9.85546875" bestFit="1" customWidth="1"/>
    <col min="8848" max="8848" width="12.5703125" bestFit="1" customWidth="1"/>
    <col min="8849" max="8849" width="9.28515625" bestFit="1" customWidth="1"/>
    <col min="8850" max="8852" width="9.85546875" bestFit="1" customWidth="1"/>
    <col min="8853" max="8854" width="12.5703125" bestFit="1" customWidth="1"/>
    <col min="8856" max="8856" width="10.85546875" bestFit="1" customWidth="1"/>
    <col min="8857" max="8858" width="9.28515625" bestFit="1" customWidth="1"/>
    <col min="8859" max="8859" width="12.5703125" bestFit="1" customWidth="1"/>
    <col min="8861" max="8861" width="9.28515625" bestFit="1" customWidth="1"/>
    <col min="8862" max="8863" width="9.85546875" bestFit="1" customWidth="1"/>
    <col min="8864" max="8864" width="9.28515625" bestFit="1" customWidth="1"/>
    <col min="8866" max="8866" width="9.28515625" bestFit="1" customWidth="1"/>
    <col min="8867" max="8868" width="9.85546875" bestFit="1" customWidth="1"/>
    <col min="8869" max="8869" width="9.28515625" bestFit="1" customWidth="1"/>
    <col min="8870" max="8870" width="12.5703125" bestFit="1" customWidth="1"/>
    <col min="8871" max="8872" width="9.85546875" bestFit="1" customWidth="1"/>
    <col min="8874" max="8875" width="9.85546875" bestFit="1" customWidth="1"/>
    <col min="8876" max="8877" width="9.28515625" bestFit="1" customWidth="1"/>
    <col min="8881" max="8882" width="12.5703125" bestFit="1" customWidth="1"/>
    <col min="8883" max="8883" width="9.85546875" bestFit="1" customWidth="1"/>
    <col min="8885" max="8888" width="9.85546875" bestFit="1" customWidth="1"/>
    <col min="8889" max="8890" width="12.5703125" bestFit="1" customWidth="1"/>
    <col min="8891" max="8893" width="9.85546875" bestFit="1" customWidth="1"/>
    <col min="8894" max="8894" width="12.5703125" bestFit="1" customWidth="1"/>
    <col min="8895" max="8900" width="9.85546875" bestFit="1" customWidth="1"/>
    <col min="8902" max="8902" width="12.5703125" bestFit="1" customWidth="1"/>
    <col min="8903" max="8904" width="9.85546875" bestFit="1" customWidth="1"/>
    <col min="8905" max="8905" width="9.28515625" bestFit="1" customWidth="1"/>
    <col min="8906" max="8906" width="12.5703125" bestFit="1" customWidth="1"/>
    <col min="8907" max="8907" width="9.85546875" bestFit="1" customWidth="1"/>
    <col min="8908" max="8908" width="9.28515625" bestFit="1" customWidth="1"/>
    <col min="8909" max="8911" width="9.85546875" bestFit="1" customWidth="1"/>
    <col min="8912" max="8912" width="12.5703125" bestFit="1" customWidth="1"/>
    <col min="8913" max="8915" width="9.85546875" bestFit="1" customWidth="1"/>
    <col min="8916" max="8916" width="9.28515625" bestFit="1" customWidth="1"/>
    <col min="8917" max="8917" width="9.85546875" bestFit="1" customWidth="1"/>
    <col min="8918" max="8918" width="12.5703125" bestFit="1" customWidth="1"/>
    <col min="8920" max="8920" width="9.28515625" bestFit="1" customWidth="1"/>
    <col min="8921" max="8921" width="9.85546875" bestFit="1" customWidth="1"/>
    <col min="8922" max="8922" width="10.85546875" bestFit="1" customWidth="1"/>
    <col min="8923" max="8923" width="9.28515625" bestFit="1" customWidth="1"/>
    <col min="8924" max="8924" width="9.85546875" bestFit="1" customWidth="1"/>
    <col min="8926" max="8926" width="9.85546875" bestFit="1" customWidth="1"/>
    <col min="8928" max="8929" width="9.85546875" bestFit="1" customWidth="1"/>
    <col min="8930" max="8931" width="12.5703125" bestFit="1" customWidth="1"/>
    <col min="8932" max="8932" width="9.85546875" bestFit="1" customWidth="1"/>
    <col min="8933" max="8933" width="10.85546875" bestFit="1" customWidth="1"/>
    <col min="8934" max="8934" width="9.85546875" bestFit="1" customWidth="1"/>
    <col min="8935" max="8935" width="10.85546875" bestFit="1" customWidth="1"/>
    <col min="8936" max="8940" width="9.28515625" bestFit="1" customWidth="1"/>
    <col min="8941" max="8941" width="12.5703125" bestFit="1" customWidth="1"/>
    <col min="8942" max="8945" width="9.85546875" bestFit="1" customWidth="1"/>
    <col min="8947" max="8947" width="9.85546875" bestFit="1" customWidth="1"/>
    <col min="8949" max="8949" width="12.5703125" bestFit="1" customWidth="1"/>
    <col min="8950" max="8950" width="9.85546875" bestFit="1" customWidth="1"/>
    <col min="8951" max="8951" width="9.28515625" bestFit="1" customWidth="1"/>
    <col min="8952" max="8954" width="9.85546875" bestFit="1" customWidth="1"/>
    <col min="8956" max="8957" width="9.28515625" bestFit="1" customWidth="1"/>
    <col min="8958" max="8958" width="9.85546875" bestFit="1" customWidth="1"/>
    <col min="8959" max="8959" width="12.5703125" bestFit="1" customWidth="1"/>
    <col min="8960" max="8960" width="9.85546875" bestFit="1" customWidth="1"/>
    <col min="8961" max="8961" width="12.5703125" bestFit="1" customWidth="1"/>
    <col min="8962" max="8962" width="9.85546875" bestFit="1" customWidth="1"/>
    <col min="8963" max="8963" width="9.28515625" bestFit="1" customWidth="1"/>
    <col min="8965" max="8965" width="12.5703125" bestFit="1" customWidth="1"/>
    <col min="8966" max="8966" width="9.85546875" bestFit="1" customWidth="1"/>
    <col min="8967" max="8967" width="9.28515625" bestFit="1" customWidth="1"/>
    <col min="8968" max="8968" width="9.85546875" bestFit="1" customWidth="1"/>
    <col min="8969" max="8970" width="9.28515625" bestFit="1" customWidth="1"/>
    <col min="8971" max="8971" width="9.85546875" bestFit="1" customWidth="1"/>
    <col min="8972" max="8973" width="9.28515625" bestFit="1" customWidth="1"/>
    <col min="8974" max="8974" width="10.85546875" bestFit="1" customWidth="1"/>
    <col min="8975" max="8975" width="9.85546875" bestFit="1" customWidth="1"/>
    <col min="8977" max="8978" width="9.85546875" bestFit="1" customWidth="1"/>
    <col min="8979" max="8979" width="12.5703125" bestFit="1" customWidth="1"/>
    <col min="8982" max="8982" width="9.85546875" bestFit="1" customWidth="1"/>
    <col min="8983" max="8983" width="9.28515625" bestFit="1" customWidth="1"/>
    <col min="8985" max="8985" width="9.85546875" bestFit="1" customWidth="1"/>
    <col min="8986" max="8986" width="9.28515625" bestFit="1" customWidth="1"/>
    <col min="8988" max="8988" width="9.28515625" bestFit="1" customWidth="1"/>
    <col min="8989" max="8989" width="9.85546875" bestFit="1" customWidth="1"/>
    <col min="8990" max="8990" width="12.5703125" bestFit="1" customWidth="1"/>
    <col min="8991" max="8993" width="9.85546875" bestFit="1" customWidth="1"/>
    <col min="8994" max="8994" width="9.28515625" bestFit="1" customWidth="1"/>
    <col min="8995" max="8995" width="12.5703125" bestFit="1" customWidth="1"/>
    <col min="8996" max="9000" width="9.85546875" bestFit="1" customWidth="1"/>
    <col min="9002" max="9002" width="9.28515625" bestFit="1" customWidth="1"/>
    <col min="9003" max="9004" width="12.5703125" bestFit="1" customWidth="1"/>
    <col min="9005" max="9006" width="9.85546875" bestFit="1" customWidth="1"/>
    <col min="9007" max="9009" width="9.28515625" bestFit="1" customWidth="1"/>
    <col min="9010" max="9010" width="12.5703125" bestFit="1" customWidth="1"/>
    <col min="9011" max="9011" width="9.28515625" bestFit="1" customWidth="1"/>
    <col min="9012" max="9017" width="9.85546875" bestFit="1" customWidth="1"/>
    <col min="9018" max="9018" width="12.5703125" bestFit="1" customWidth="1"/>
    <col min="9019" max="9020" width="9.28515625" bestFit="1" customWidth="1"/>
    <col min="9021" max="9021" width="12.5703125" bestFit="1" customWidth="1"/>
    <col min="9022" max="9025" width="9.85546875" bestFit="1" customWidth="1"/>
    <col min="9026" max="9026" width="12.5703125" bestFit="1" customWidth="1"/>
    <col min="9027" max="9027" width="9.85546875" bestFit="1" customWidth="1"/>
    <col min="9028" max="9028" width="9.28515625" bestFit="1" customWidth="1"/>
    <col min="9029" max="9029" width="12.5703125" bestFit="1" customWidth="1"/>
    <col min="9031" max="9036" width="9.85546875" bestFit="1" customWidth="1"/>
    <col min="9037" max="9037" width="12.5703125" bestFit="1" customWidth="1"/>
    <col min="9038" max="9039" width="9.85546875" bestFit="1" customWidth="1"/>
    <col min="9041" max="9045" width="9.85546875" bestFit="1" customWidth="1"/>
    <col min="9046" max="9046" width="12.5703125" bestFit="1" customWidth="1"/>
    <col min="9047" max="9047" width="10.85546875" bestFit="1" customWidth="1"/>
    <col min="9048" max="9048" width="9.85546875" bestFit="1" customWidth="1"/>
    <col min="9049" max="9049" width="10.85546875" bestFit="1" customWidth="1"/>
    <col min="9050" max="9050" width="9.85546875" bestFit="1" customWidth="1"/>
    <col min="9051" max="9051" width="12.5703125" bestFit="1" customWidth="1"/>
    <col min="9052" max="9052" width="9.85546875" bestFit="1" customWidth="1"/>
    <col min="9053" max="9053" width="9.28515625" bestFit="1" customWidth="1"/>
    <col min="9054" max="9055" width="9.85546875" bestFit="1" customWidth="1"/>
    <col min="9056" max="9056" width="12.5703125" bestFit="1" customWidth="1"/>
    <col min="9057" max="9057" width="9.28515625" bestFit="1" customWidth="1"/>
    <col min="9058" max="9058" width="9.85546875" bestFit="1" customWidth="1"/>
    <col min="9059" max="9059" width="9.28515625" bestFit="1" customWidth="1"/>
    <col min="9060" max="9062" width="9.85546875" bestFit="1" customWidth="1"/>
    <col min="9063" max="9063" width="9.28515625" bestFit="1" customWidth="1"/>
    <col min="9065" max="9068" width="9.85546875" bestFit="1" customWidth="1"/>
    <col min="9069" max="9069" width="9.28515625" bestFit="1" customWidth="1"/>
    <col min="9070" max="9070" width="12.5703125" bestFit="1" customWidth="1"/>
    <col min="9072" max="9072" width="9.85546875" bestFit="1" customWidth="1"/>
    <col min="9073" max="9073" width="9.28515625" bestFit="1" customWidth="1"/>
    <col min="9074" max="9074" width="12.5703125" bestFit="1" customWidth="1"/>
    <col min="9076" max="9076" width="9.85546875" bestFit="1" customWidth="1"/>
    <col min="9077" max="9077" width="9.28515625" bestFit="1" customWidth="1"/>
    <col min="9078" max="9078" width="9.85546875" bestFit="1" customWidth="1"/>
    <col min="9079" max="9079" width="9.28515625" bestFit="1" customWidth="1"/>
    <col min="9081" max="9081" width="9.28515625" bestFit="1" customWidth="1"/>
    <col min="9082" max="9083" width="9.85546875" bestFit="1" customWidth="1"/>
    <col min="9084" max="9084" width="9.28515625" bestFit="1" customWidth="1"/>
    <col min="9085" max="9086" width="9.85546875" bestFit="1" customWidth="1"/>
    <col min="9087" max="9087" width="12.5703125" bestFit="1" customWidth="1"/>
    <col min="9088" max="9090" width="9.85546875" bestFit="1" customWidth="1"/>
    <col min="9091" max="9091" width="9.28515625" bestFit="1" customWidth="1"/>
    <col min="9092" max="9092" width="9.85546875" bestFit="1" customWidth="1"/>
    <col min="9093" max="9093" width="9.28515625" bestFit="1" customWidth="1"/>
    <col min="9094" max="9094" width="12.5703125" bestFit="1" customWidth="1"/>
    <col min="9095" max="9095" width="9.28515625" bestFit="1" customWidth="1"/>
    <col min="9096" max="9097" width="9.85546875" bestFit="1" customWidth="1"/>
    <col min="9098" max="9098" width="12.5703125" bestFit="1" customWidth="1"/>
    <col min="9100" max="9100" width="9.85546875" bestFit="1" customWidth="1"/>
    <col min="9101" max="9101" width="10.85546875" bestFit="1" customWidth="1"/>
    <col min="9102" max="9102" width="12.5703125" bestFit="1" customWidth="1"/>
    <col min="9103" max="9103" width="9.85546875" bestFit="1" customWidth="1"/>
    <col min="9104" max="9104" width="9.28515625" bestFit="1" customWidth="1"/>
    <col min="9106" max="9106" width="9.85546875" bestFit="1" customWidth="1"/>
    <col min="9108" max="9109" width="9.85546875" bestFit="1" customWidth="1"/>
    <col min="9110" max="9111" width="9.28515625" bestFit="1" customWidth="1"/>
    <col min="9112" max="9114" width="9.85546875" bestFit="1" customWidth="1"/>
    <col min="9115" max="9115" width="12.5703125" bestFit="1" customWidth="1"/>
    <col min="9116" max="9117" width="9.85546875" bestFit="1" customWidth="1"/>
    <col min="9118" max="9119" width="9.28515625" bestFit="1" customWidth="1"/>
    <col min="9120" max="9120" width="9.85546875" bestFit="1" customWidth="1"/>
    <col min="9122" max="9122" width="12.5703125" bestFit="1" customWidth="1"/>
    <col min="9123" max="9126" width="9.85546875" bestFit="1" customWidth="1"/>
    <col min="9127" max="9127" width="9.28515625" bestFit="1" customWidth="1"/>
    <col min="9128" max="9129" width="12.5703125" bestFit="1" customWidth="1"/>
    <col min="9130" max="9130" width="10.85546875" bestFit="1" customWidth="1"/>
    <col min="9131" max="9131" width="9.85546875" bestFit="1" customWidth="1"/>
    <col min="9132" max="9132" width="9.28515625" bestFit="1" customWidth="1"/>
    <col min="9134" max="9134" width="9.85546875" bestFit="1" customWidth="1"/>
    <col min="9136" max="9136" width="12.5703125" bestFit="1" customWidth="1"/>
    <col min="9137" max="9138" width="9.85546875" bestFit="1" customWidth="1"/>
    <col min="9140" max="9140" width="12.5703125" bestFit="1" customWidth="1"/>
    <col min="9141" max="9141" width="9.85546875" bestFit="1" customWidth="1"/>
    <col min="9142" max="9143" width="9.28515625" bestFit="1" customWidth="1"/>
    <col min="9144" max="9146" width="9.85546875" bestFit="1" customWidth="1"/>
    <col min="9148" max="9151" width="9.85546875" bestFit="1" customWidth="1"/>
    <col min="9152" max="9152" width="9.28515625" bestFit="1" customWidth="1"/>
    <col min="9153" max="9153" width="9.85546875" bestFit="1" customWidth="1"/>
    <col min="9154" max="9154" width="9.28515625" bestFit="1" customWidth="1"/>
    <col min="9155" max="9161" width="9.85546875" bestFit="1" customWidth="1"/>
    <col min="9162" max="9162" width="12.5703125" bestFit="1" customWidth="1"/>
    <col min="9163" max="9163" width="9.85546875" bestFit="1" customWidth="1"/>
    <col min="9165" max="9166" width="9.85546875" bestFit="1" customWidth="1"/>
    <col min="9168" max="9168" width="9.28515625" bestFit="1" customWidth="1"/>
    <col min="9169" max="9169" width="12.5703125" bestFit="1" customWidth="1"/>
    <col min="9170" max="9173" width="9.85546875" bestFit="1" customWidth="1"/>
    <col min="9175" max="9175" width="9.85546875" bestFit="1" customWidth="1"/>
    <col min="9176" max="9178" width="9.28515625" bestFit="1" customWidth="1"/>
    <col min="9179" max="9179" width="9.85546875" bestFit="1" customWidth="1"/>
    <col min="9180" max="9180" width="12.5703125" bestFit="1" customWidth="1"/>
    <col min="9182" max="9182" width="12.5703125" bestFit="1" customWidth="1"/>
    <col min="9183" max="9183" width="9.28515625" bestFit="1" customWidth="1"/>
    <col min="9184" max="9184" width="9.85546875" bestFit="1" customWidth="1"/>
    <col min="9185" max="9185" width="12.5703125" bestFit="1" customWidth="1"/>
    <col min="9186" max="9189" width="9.85546875" bestFit="1" customWidth="1"/>
    <col min="9190" max="9190" width="12.5703125" bestFit="1" customWidth="1"/>
    <col min="9192" max="9192" width="9.85546875" bestFit="1" customWidth="1"/>
    <col min="9193" max="9193" width="12.5703125" bestFit="1" customWidth="1"/>
    <col min="9194" max="9194" width="9.85546875" bestFit="1" customWidth="1"/>
    <col min="9195" max="9196" width="9.28515625" bestFit="1" customWidth="1"/>
    <col min="9197" max="9198" width="9.85546875" bestFit="1" customWidth="1"/>
    <col min="9199" max="9199" width="9.28515625" bestFit="1" customWidth="1"/>
    <col min="9200" max="9202" width="9.85546875" bestFit="1" customWidth="1"/>
    <col min="9203" max="9203" width="12.5703125" bestFit="1" customWidth="1"/>
    <col min="9204" max="9204" width="9.85546875" bestFit="1" customWidth="1"/>
    <col min="9206" max="9206" width="9.85546875" bestFit="1" customWidth="1"/>
    <col min="9207" max="9207" width="9.28515625" bestFit="1" customWidth="1"/>
    <col min="9208" max="9208" width="9.85546875" bestFit="1" customWidth="1"/>
    <col min="9210" max="9210" width="9.85546875" bestFit="1" customWidth="1"/>
    <col min="9211" max="9211" width="12.5703125" bestFit="1" customWidth="1"/>
    <col min="9212" max="9212" width="10.85546875" bestFit="1" customWidth="1"/>
    <col min="9213" max="9213" width="9.28515625" bestFit="1" customWidth="1"/>
    <col min="9214" max="9217" width="9.85546875" bestFit="1" customWidth="1"/>
    <col min="9218" max="9219" width="9.28515625" bestFit="1" customWidth="1"/>
    <col min="9220" max="9221" width="9.85546875" bestFit="1" customWidth="1"/>
    <col min="9222" max="9222" width="12.5703125" bestFit="1" customWidth="1"/>
    <col min="9223" max="9223" width="9.28515625" bestFit="1" customWidth="1"/>
    <col min="9224" max="9225" width="9.85546875" bestFit="1" customWidth="1"/>
    <col min="9226" max="9226" width="12.5703125" bestFit="1" customWidth="1"/>
    <col min="9227" max="9227" width="9.85546875" bestFit="1" customWidth="1"/>
    <col min="9229" max="9229" width="9.28515625" bestFit="1" customWidth="1"/>
    <col min="9230" max="9230" width="9.85546875" bestFit="1" customWidth="1"/>
    <col min="9231" max="9231" width="12.5703125" bestFit="1" customWidth="1"/>
    <col min="9232" max="9232" width="9.28515625" bestFit="1" customWidth="1"/>
    <col min="9233" max="9233" width="12.5703125" bestFit="1" customWidth="1"/>
    <col min="9234" max="9235" width="9.85546875" bestFit="1" customWidth="1"/>
    <col min="9236" max="9237" width="9.28515625" bestFit="1" customWidth="1"/>
    <col min="9238" max="9238" width="9.85546875" bestFit="1" customWidth="1"/>
    <col min="9240" max="9242" width="9.85546875" bestFit="1" customWidth="1"/>
    <col min="9243" max="9244" width="9.28515625" bestFit="1" customWidth="1"/>
    <col min="9245" max="9248" width="9.85546875" bestFit="1" customWidth="1"/>
    <col min="9249" max="9249" width="12.5703125" bestFit="1" customWidth="1"/>
    <col min="9250" max="9250" width="9.85546875" bestFit="1" customWidth="1"/>
    <col min="9251" max="9251" width="12.5703125" bestFit="1" customWidth="1"/>
    <col min="9252" max="9252" width="10.85546875" bestFit="1" customWidth="1"/>
    <col min="9253" max="9253" width="9.85546875" bestFit="1" customWidth="1"/>
    <col min="9254" max="9254" width="9.28515625" bestFit="1" customWidth="1"/>
    <col min="9258" max="9258" width="9.85546875" bestFit="1" customWidth="1"/>
    <col min="9260" max="9260" width="9.28515625" bestFit="1" customWidth="1"/>
    <col min="9262" max="9262" width="9.85546875" bestFit="1" customWidth="1"/>
    <col min="9263" max="9263" width="9.28515625" bestFit="1" customWidth="1"/>
    <col min="9264" max="9264" width="12.5703125" bestFit="1" customWidth="1"/>
    <col min="9265" max="9265" width="9.28515625" bestFit="1" customWidth="1"/>
    <col min="9266" max="9272" width="9.85546875" bestFit="1" customWidth="1"/>
    <col min="9273" max="9274" width="9.28515625" bestFit="1" customWidth="1"/>
    <col min="9275" max="9275" width="12.5703125" bestFit="1" customWidth="1"/>
    <col min="9276" max="9276" width="9.85546875" bestFit="1" customWidth="1"/>
    <col min="9278" max="9279" width="9.85546875" bestFit="1" customWidth="1"/>
    <col min="9280" max="9280" width="9.28515625" bestFit="1" customWidth="1"/>
    <col min="9281" max="9283" width="9.85546875" bestFit="1" customWidth="1"/>
    <col min="9286" max="9288" width="9.85546875" bestFit="1" customWidth="1"/>
    <col min="9289" max="9289" width="9.28515625" bestFit="1" customWidth="1"/>
    <col min="9290" max="9291" width="9.85546875" bestFit="1" customWidth="1"/>
    <col min="9293" max="9294" width="9.85546875" bestFit="1" customWidth="1"/>
    <col min="9297" max="9297" width="9.85546875" bestFit="1" customWidth="1"/>
    <col min="9298" max="9298" width="9.28515625" bestFit="1" customWidth="1"/>
    <col min="9299" max="9299" width="9.85546875" bestFit="1" customWidth="1"/>
    <col min="9300" max="9300" width="9.28515625" bestFit="1" customWidth="1"/>
    <col min="9301" max="9302" width="9.85546875" bestFit="1" customWidth="1"/>
    <col min="9303" max="9303" width="9.28515625" bestFit="1" customWidth="1"/>
    <col min="9304" max="9304" width="10.85546875" bestFit="1" customWidth="1"/>
    <col min="9305" max="9306" width="9.85546875" bestFit="1" customWidth="1"/>
    <col min="9307" max="9307" width="9.28515625" bestFit="1" customWidth="1"/>
    <col min="9308" max="9309" width="12.5703125" bestFit="1" customWidth="1"/>
    <col min="9310" max="9310" width="9.28515625" bestFit="1" customWidth="1"/>
    <col min="9311" max="9312" width="9.85546875" bestFit="1" customWidth="1"/>
    <col min="9314" max="9314" width="9.85546875" bestFit="1" customWidth="1"/>
    <col min="9315" max="9315" width="9.28515625" bestFit="1" customWidth="1"/>
    <col min="9317" max="9318" width="9.85546875" bestFit="1" customWidth="1"/>
    <col min="9319" max="9319" width="9.28515625" bestFit="1" customWidth="1"/>
    <col min="9320" max="9320" width="9.85546875" bestFit="1" customWidth="1"/>
    <col min="9322" max="9324" width="9.85546875" bestFit="1" customWidth="1"/>
    <col min="9325" max="9325" width="9.28515625" bestFit="1" customWidth="1"/>
    <col min="9326" max="9326" width="9.85546875" bestFit="1" customWidth="1"/>
    <col min="9327" max="9328" width="9.28515625" bestFit="1" customWidth="1"/>
    <col min="9330" max="9331" width="9.85546875" bestFit="1" customWidth="1"/>
    <col min="9332" max="9332" width="12.5703125" bestFit="1" customWidth="1"/>
    <col min="9333" max="9333" width="9.85546875" bestFit="1" customWidth="1"/>
    <col min="9334" max="9335" width="9.28515625" bestFit="1" customWidth="1"/>
    <col min="9337" max="9337" width="9.85546875" bestFit="1" customWidth="1"/>
    <col min="9339" max="9339" width="9.28515625" bestFit="1" customWidth="1"/>
    <col min="9340" max="9340" width="9.85546875" bestFit="1" customWidth="1"/>
    <col min="9342" max="9343" width="9.85546875" bestFit="1" customWidth="1"/>
    <col min="9346" max="9348" width="9.85546875" bestFit="1" customWidth="1"/>
    <col min="9349" max="9349" width="9.28515625" bestFit="1" customWidth="1"/>
    <col min="9351" max="9352" width="12.5703125" bestFit="1" customWidth="1"/>
    <col min="9353" max="9356" width="9.85546875" bestFit="1" customWidth="1"/>
    <col min="9358" max="9358" width="12.5703125" bestFit="1" customWidth="1"/>
    <col min="9360" max="9360" width="9.28515625" bestFit="1" customWidth="1"/>
    <col min="9361" max="9361" width="12.5703125" bestFit="1" customWidth="1"/>
    <col min="9362" max="9362" width="9.85546875" bestFit="1" customWidth="1"/>
    <col min="9363" max="9365" width="12.5703125" bestFit="1" customWidth="1"/>
    <col min="9366" max="9368" width="9.85546875" bestFit="1" customWidth="1"/>
    <col min="9369" max="9369" width="9.28515625" bestFit="1" customWidth="1"/>
    <col min="9371" max="9371" width="9.28515625" bestFit="1" customWidth="1"/>
    <col min="9372" max="9372" width="9.85546875" bestFit="1" customWidth="1"/>
    <col min="9373" max="9373" width="9.28515625" bestFit="1" customWidth="1"/>
    <col min="9374" max="9374" width="9.85546875" bestFit="1" customWidth="1"/>
    <col min="9375" max="9375" width="9.28515625" bestFit="1" customWidth="1"/>
    <col min="9376" max="9379" width="9.85546875" bestFit="1" customWidth="1"/>
    <col min="9381" max="9382" width="9.85546875" bestFit="1" customWidth="1"/>
    <col min="9383" max="9383" width="12.5703125" bestFit="1" customWidth="1"/>
    <col min="9384" max="9384" width="9.85546875" bestFit="1" customWidth="1"/>
    <col min="9385" max="9385" width="9.28515625" bestFit="1" customWidth="1"/>
    <col min="9386" max="9387" width="9.85546875" bestFit="1" customWidth="1"/>
    <col min="9388" max="9388" width="9.28515625" bestFit="1" customWidth="1"/>
    <col min="9389" max="9391" width="9.85546875" bestFit="1" customWidth="1"/>
    <col min="9393" max="9394" width="9.85546875" bestFit="1" customWidth="1"/>
    <col min="9395" max="9395" width="12.5703125" bestFit="1" customWidth="1"/>
    <col min="9396" max="9396" width="9.85546875" bestFit="1" customWidth="1"/>
    <col min="9398" max="9398" width="9.85546875" bestFit="1" customWidth="1"/>
    <col min="9399" max="9399" width="12.5703125" bestFit="1" customWidth="1"/>
    <col min="9400" max="9400" width="9.28515625" bestFit="1" customWidth="1"/>
    <col min="9401" max="9407" width="9.85546875" bestFit="1" customWidth="1"/>
    <col min="9408" max="9408" width="9.28515625" bestFit="1" customWidth="1"/>
    <col min="9409" max="9410" width="9.85546875" bestFit="1" customWidth="1"/>
    <col min="9411" max="9411" width="9.28515625" bestFit="1" customWidth="1"/>
    <col min="9412" max="9412" width="9.85546875" bestFit="1" customWidth="1"/>
    <col min="9413" max="9413" width="9.28515625" bestFit="1" customWidth="1"/>
    <col min="9415" max="9416" width="9.85546875" bestFit="1" customWidth="1"/>
    <col min="9417" max="9417" width="12.5703125" bestFit="1" customWidth="1"/>
    <col min="9418" max="9422" width="9.85546875" bestFit="1" customWidth="1"/>
    <col min="9423" max="9423" width="12.5703125" bestFit="1" customWidth="1"/>
    <col min="9424" max="9429" width="9.85546875" bestFit="1" customWidth="1"/>
    <col min="9432" max="9437" width="9.85546875" bestFit="1" customWidth="1"/>
    <col min="9439" max="9439" width="9.85546875" bestFit="1" customWidth="1"/>
    <col min="9441" max="9441" width="9.28515625" bestFit="1" customWidth="1"/>
    <col min="9442" max="9443" width="9.85546875" bestFit="1" customWidth="1"/>
    <col min="9444" max="9444" width="10.85546875" bestFit="1" customWidth="1"/>
    <col min="9445" max="9445" width="9.85546875" bestFit="1" customWidth="1"/>
    <col min="9446" max="9446" width="9.28515625" bestFit="1" customWidth="1"/>
    <col min="9447" max="9447" width="12.5703125" bestFit="1" customWidth="1"/>
    <col min="9448" max="9448" width="9.28515625" bestFit="1" customWidth="1"/>
    <col min="9449" max="9452" width="9.85546875" bestFit="1" customWidth="1"/>
    <col min="9455" max="9455" width="9.85546875" bestFit="1" customWidth="1"/>
    <col min="9457" max="9458" width="9.85546875" bestFit="1" customWidth="1"/>
    <col min="9459" max="9460" width="9.28515625" bestFit="1" customWidth="1"/>
    <col min="9461" max="9462" width="9.85546875" bestFit="1" customWidth="1"/>
    <col min="9463" max="9463" width="12.5703125" bestFit="1" customWidth="1"/>
    <col min="9464" max="9465" width="9.85546875" bestFit="1" customWidth="1"/>
    <col min="9467" max="9467" width="9.85546875" bestFit="1" customWidth="1"/>
    <col min="9468" max="9469" width="12.5703125" bestFit="1" customWidth="1"/>
    <col min="9470" max="9471" width="9.85546875" bestFit="1" customWidth="1"/>
    <col min="9474" max="9474" width="9.85546875" bestFit="1" customWidth="1"/>
    <col min="9476" max="9476" width="9.28515625" bestFit="1" customWidth="1"/>
    <col min="9477" max="9477" width="12.5703125" bestFit="1" customWidth="1"/>
    <col min="9478" max="9478" width="9.28515625" bestFit="1" customWidth="1"/>
    <col min="9479" max="9480" width="9.85546875" bestFit="1" customWidth="1"/>
    <col min="9481" max="9481" width="12.5703125" bestFit="1" customWidth="1"/>
    <col min="9482" max="9482" width="9.85546875" bestFit="1" customWidth="1"/>
    <col min="9483" max="9483" width="9.28515625" bestFit="1" customWidth="1"/>
    <col min="9484" max="9485" width="9.85546875" bestFit="1" customWidth="1"/>
    <col min="9486" max="9486" width="12.5703125" bestFit="1" customWidth="1"/>
    <col min="9487" max="9487" width="9.28515625" bestFit="1" customWidth="1"/>
    <col min="9489" max="9492" width="9.28515625" bestFit="1" customWidth="1"/>
    <col min="9493" max="9493" width="9.85546875" bestFit="1" customWidth="1"/>
    <col min="9495" max="9495" width="9.85546875" bestFit="1" customWidth="1"/>
    <col min="9496" max="9496" width="9.28515625" bestFit="1" customWidth="1"/>
    <col min="9497" max="9498" width="9.85546875" bestFit="1" customWidth="1"/>
    <col min="9499" max="9499" width="12.5703125" bestFit="1" customWidth="1"/>
    <col min="9501" max="9503" width="9.85546875" bestFit="1" customWidth="1"/>
    <col min="9504" max="9504" width="9.28515625" bestFit="1" customWidth="1"/>
    <col min="9505" max="9505" width="9.85546875" bestFit="1" customWidth="1"/>
    <col min="9506" max="9506" width="9.28515625" bestFit="1" customWidth="1"/>
    <col min="9507" max="9507" width="12.5703125" bestFit="1" customWidth="1"/>
    <col min="9508" max="9508" width="9.28515625" bestFit="1" customWidth="1"/>
    <col min="9509" max="9511" width="9.85546875" bestFit="1" customWidth="1"/>
    <col min="9512" max="9512" width="12.5703125" bestFit="1" customWidth="1"/>
    <col min="9513" max="9514" width="9.85546875" bestFit="1" customWidth="1"/>
    <col min="9516" max="9516" width="9.85546875" bestFit="1" customWidth="1"/>
    <col min="9517" max="9517" width="12.5703125" bestFit="1" customWidth="1"/>
    <col min="9518" max="9518" width="9.28515625" bestFit="1" customWidth="1"/>
    <col min="9520" max="9520" width="9.85546875" bestFit="1" customWidth="1"/>
    <col min="9521" max="9521" width="12.5703125" bestFit="1" customWidth="1"/>
    <col min="9523" max="9523" width="9.28515625" bestFit="1" customWidth="1"/>
    <col min="9524" max="9525" width="9.85546875" bestFit="1" customWidth="1"/>
    <col min="9526" max="9526" width="9.28515625" bestFit="1" customWidth="1"/>
    <col min="9528" max="9530" width="9.85546875" bestFit="1" customWidth="1"/>
    <col min="9531" max="9531" width="9.28515625" bestFit="1" customWidth="1"/>
    <col min="9532" max="9533" width="9.85546875" bestFit="1" customWidth="1"/>
    <col min="9536" max="9536" width="9.85546875" bestFit="1" customWidth="1"/>
    <col min="9537" max="9537" width="9.28515625" bestFit="1" customWidth="1"/>
    <col min="9538" max="9538" width="9.85546875" bestFit="1" customWidth="1"/>
    <col min="9539" max="9540" width="12.5703125" bestFit="1" customWidth="1"/>
    <col min="9542" max="9542" width="9.85546875" bestFit="1" customWidth="1"/>
    <col min="9543" max="9543" width="9.28515625" bestFit="1" customWidth="1"/>
    <col min="9544" max="9546" width="9.85546875" bestFit="1" customWidth="1"/>
    <col min="9549" max="9549" width="12.5703125" bestFit="1" customWidth="1"/>
    <col min="9550" max="9551" width="9.85546875" bestFit="1" customWidth="1"/>
    <col min="9552" max="9552" width="10.85546875" bestFit="1" customWidth="1"/>
    <col min="9553" max="9553" width="9.28515625" bestFit="1" customWidth="1"/>
    <col min="9554" max="9554" width="9.85546875" bestFit="1" customWidth="1"/>
    <col min="9555" max="9555" width="12.5703125" bestFit="1" customWidth="1"/>
    <col min="9556" max="9558" width="9.85546875" bestFit="1" customWidth="1"/>
    <col min="9559" max="9559" width="12.5703125" bestFit="1" customWidth="1"/>
    <col min="9560" max="9560" width="9.28515625" bestFit="1" customWidth="1"/>
    <col min="9561" max="9561" width="12.5703125" bestFit="1" customWidth="1"/>
    <col min="9562" max="9562" width="9.85546875" bestFit="1" customWidth="1"/>
    <col min="9563" max="9563" width="9.28515625" bestFit="1" customWidth="1"/>
    <col min="9564" max="9564" width="10.85546875" bestFit="1" customWidth="1"/>
    <col min="9565" max="9565" width="9.85546875" bestFit="1" customWidth="1"/>
    <col min="9566" max="9566" width="9.28515625" bestFit="1" customWidth="1"/>
    <col min="9567" max="9567" width="12.5703125" bestFit="1" customWidth="1"/>
    <col min="9569" max="9569" width="9.85546875" bestFit="1" customWidth="1"/>
    <col min="9570" max="9570" width="9.28515625" bestFit="1" customWidth="1"/>
    <col min="9571" max="9571" width="12.5703125" bestFit="1" customWidth="1"/>
    <col min="9572" max="9572" width="9.28515625" bestFit="1" customWidth="1"/>
    <col min="9573" max="9573" width="12.5703125" bestFit="1" customWidth="1"/>
    <col min="9574" max="9574" width="9.85546875" bestFit="1" customWidth="1"/>
    <col min="9576" max="9576" width="9.28515625" bestFit="1" customWidth="1"/>
    <col min="9577" max="9578" width="9.85546875" bestFit="1" customWidth="1"/>
    <col min="9579" max="9579" width="9.28515625" bestFit="1" customWidth="1"/>
    <col min="9580" max="9581" width="9.85546875" bestFit="1" customWidth="1"/>
    <col min="9582" max="9582" width="12.5703125" bestFit="1" customWidth="1"/>
    <col min="9583" max="9583" width="9.85546875" bestFit="1" customWidth="1"/>
    <col min="9584" max="9584" width="9.28515625" bestFit="1" customWidth="1"/>
    <col min="9585" max="9585" width="12.5703125" bestFit="1" customWidth="1"/>
    <col min="9586" max="9586" width="9.85546875" bestFit="1" customWidth="1"/>
    <col min="9587" max="9587" width="9.28515625" bestFit="1" customWidth="1"/>
    <col min="9588" max="9588" width="12.5703125" bestFit="1" customWidth="1"/>
    <col min="9589" max="9589" width="9.85546875" bestFit="1" customWidth="1"/>
    <col min="9590" max="9591" width="9.28515625" bestFit="1" customWidth="1"/>
    <col min="9593" max="9593" width="9.28515625" bestFit="1" customWidth="1"/>
    <col min="9595" max="9596" width="9.85546875" bestFit="1" customWidth="1"/>
    <col min="9597" max="9598" width="12.5703125" bestFit="1" customWidth="1"/>
    <col min="9599" max="9599" width="9.85546875" bestFit="1" customWidth="1"/>
    <col min="9601" max="9601" width="10.85546875" bestFit="1" customWidth="1"/>
    <col min="9602" max="9604" width="9.85546875" bestFit="1" customWidth="1"/>
    <col min="9605" max="9605" width="12.5703125" bestFit="1" customWidth="1"/>
    <col min="9606" max="9608" width="9.85546875" bestFit="1" customWidth="1"/>
    <col min="9609" max="9609" width="10.85546875" bestFit="1" customWidth="1"/>
    <col min="9612" max="9612" width="9.28515625" bestFit="1" customWidth="1"/>
    <col min="9613" max="9613" width="9.85546875" bestFit="1" customWidth="1"/>
    <col min="9614" max="9615" width="12.5703125" bestFit="1" customWidth="1"/>
    <col min="9616" max="9617" width="9.28515625" bestFit="1" customWidth="1"/>
    <col min="9618" max="9618" width="12.5703125" bestFit="1" customWidth="1"/>
    <col min="9619" max="9619" width="9.85546875" bestFit="1" customWidth="1"/>
    <col min="9622" max="9622" width="9.28515625" bestFit="1" customWidth="1"/>
    <col min="9623" max="9623" width="12.5703125" bestFit="1" customWidth="1"/>
    <col min="9624" max="9625" width="9.28515625" bestFit="1" customWidth="1"/>
    <col min="9626" max="9626" width="9.85546875" bestFit="1" customWidth="1"/>
    <col min="9628" max="9631" width="9.85546875" bestFit="1" customWidth="1"/>
    <col min="9632" max="9632" width="9.28515625" bestFit="1" customWidth="1"/>
    <col min="9633" max="9634" width="9.85546875" bestFit="1" customWidth="1"/>
    <col min="9635" max="9635" width="12.5703125" bestFit="1" customWidth="1"/>
    <col min="9636" max="9641" width="9.85546875" bestFit="1" customWidth="1"/>
    <col min="9642" max="9642" width="12.5703125" bestFit="1" customWidth="1"/>
    <col min="9643" max="9643" width="9.28515625" bestFit="1" customWidth="1"/>
    <col min="9644" max="9644" width="12.5703125" bestFit="1" customWidth="1"/>
    <col min="9645" max="9646" width="9.85546875" bestFit="1" customWidth="1"/>
    <col min="9647" max="9647" width="9.28515625" bestFit="1" customWidth="1"/>
    <col min="9648" max="9648" width="10.85546875" bestFit="1" customWidth="1"/>
    <col min="9649" max="9649" width="9.28515625" bestFit="1" customWidth="1"/>
    <col min="9650" max="9651" width="9.85546875" bestFit="1" customWidth="1"/>
    <col min="9653" max="9653" width="12.5703125" bestFit="1" customWidth="1"/>
    <col min="9655" max="9657" width="12.5703125" bestFit="1" customWidth="1"/>
    <col min="9658" max="9658" width="9.85546875" bestFit="1" customWidth="1"/>
    <col min="9659" max="9659" width="12.5703125" bestFit="1" customWidth="1"/>
    <col min="9660" max="9661" width="9.85546875" bestFit="1" customWidth="1"/>
    <col min="9663" max="9664" width="9.28515625" bestFit="1" customWidth="1"/>
    <col min="9665" max="9665" width="9.85546875" bestFit="1" customWidth="1"/>
    <col min="9666" max="9666" width="9.28515625" bestFit="1" customWidth="1"/>
    <col min="9667" max="9668" width="9.85546875" bestFit="1" customWidth="1"/>
    <col min="9669" max="9669" width="9.28515625" bestFit="1" customWidth="1"/>
    <col min="9670" max="9671" width="9.85546875" bestFit="1" customWidth="1"/>
    <col min="9672" max="9672" width="10.85546875" bestFit="1" customWidth="1"/>
    <col min="9673" max="9673" width="9.28515625" bestFit="1" customWidth="1"/>
    <col min="9674" max="9674" width="12.5703125" bestFit="1" customWidth="1"/>
    <col min="9675" max="9675" width="9.28515625" bestFit="1" customWidth="1"/>
    <col min="9676" max="9677" width="9.85546875" bestFit="1" customWidth="1"/>
    <col min="9680" max="9680" width="12.5703125" bestFit="1" customWidth="1"/>
    <col min="9682" max="9682" width="9.85546875" bestFit="1" customWidth="1"/>
    <col min="9684" max="9684" width="9.85546875" bestFit="1" customWidth="1"/>
    <col min="9685" max="9685" width="12.5703125" bestFit="1" customWidth="1"/>
    <col min="9686" max="9690" width="9.85546875" bestFit="1" customWidth="1"/>
    <col min="9691" max="9692" width="9.28515625" bestFit="1" customWidth="1"/>
    <col min="9693" max="9693" width="9.85546875" bestFit="1" customWidth="1"/>
    <col min="9694" max="9694" width="9.28515625" bestFit="1" customWidth="1"/>
    <col min="9695" max="9695" width="12.5703125" bestFit="1" customWidth="1"/>
    <col min="9696" max="9696" width="9.28515625" bestFit="1" customWidth="1"/>
    <col min="9697" max="9697" width="9.85546875" bestFit="1" customWidth="1"/>
    <col min="9699" max="9699" width="9.85546875" bestFit="1" customWidth="1"/>
    <col min="9700" max="9703" width="12.5703125" bestFit="1" customWidth="1"/>
    <col min="9704" max="9705" width="9.85546875" bestFit="1" customWidth="1"/>
    <col min="9707" max="9707" width="12.5703125" bestFit="1" customWidth="1"/>
    <col min="9708" max="9708" width="9.85546875" bestFit="1" customWidth="1"/>
    <col min="9709" max="9709" width="12.5703125" bestFit="1" customWidth="1"/>
    <col min="9710" max="9711" width="9.85546875" bestFit="1" customWidth="1"/>
    <col min="9713" max="9713" width="9.28515625" bestFit="1" customWidth="1"/>
    <col min="9714" max="9714" width="9.85546875" bestFit="1" customWidth="1"/>
    <col min="9716" max="9716" width="9.28515625" bestFit="1" customWidth="1"/>
    <col min="9717" max="9717" width="9.85546875" bestFit="1" customWidth="1"/>
    <col min="9718" max="9719" width="12.5703125" bestFit="1" customWidth="1"/>
    <col min="9720" max="9720" width="9.85546875" bestFit="1" customWidth="1"/>
    <col min="9721" max="9723" width="9.28515625" bestFit="1" customWidth="1"/>
    <col min="9725" max="9725" width="9.85546875" bestFit="1" customWidth="1"/>
    <col min="9727" max="9729" width="9.85546875" bestFit="1" customWidth="1"/>
    <col min="9730" max="9730" width="9.28515625" bestFit="1" customWidth="1"/>
    <col min="9731" max="9735" width="9.85546875" bestFit="1" customWidth="1"/>
    <col min="9736" max="9736" width="12.5703125" bestFit="1" customWidth="1"/>
    <col min="9737" max="9738" width="9.85546875" bestFit="1" customWidth="1"/>
    <col min="9740" max="9740" width="12.5703125" bestFit="1" customWidth="1"/>
    <col min="9741" max="9741" width="9.85546875" bestFit="1" customWidth="1"/>
    <col min="9743" max="9743" width="12.5703125" bestFit="1" customWidth="1"/>
    <col min="9744" max="9745" width="9.85546875" bestFit="1" customWidth="1"/>
    <col min="9746" max="9746" width="12.5703125" bestFit="1" customWidth="1"/>
    <col min="9747" max="9747" width="9.85546875" bestFit="1" customWidth="1"/>
    <col min="9748" max="9748" width="10.85546875" bestFit="1" customWidth="1"/>
    <col min="9749" max="9749" width="12.5703125" bestFit="1" customWidth="1"/>
    <col min="9750" max="9753" width="9.85546875" bestFit="1" customWidth="1"/>
    <col min="9754" max="9754" width="12.5703125" bestFit="1" customWidth="1"/>
    <col min="9755" max="9757" width="9.85546875" bestFit="1" customWidth="1"/>
    <col min="9758" max="9759" width="12.5703125" bestFit="1" customWidth="1"/>
    <col min="9760" max="9764" width="9.85546875" bestFit="1" customWidth="1"/>
    <col min="9765" max="9765" width="10.85546875" bestFit="1" customWidth="1"/>
    <col min="9766" max="9766" width="9.28515625" bestFit="1" customWidth="1"/>
    <col min="9767" max="9768" width="9.85546875" bestFit="1" customWidth="1"/>
    <col min="9770" max="9770" width="9.85546875" bestFit="1" customWidth="1"/>
    <col min="9771" max="9771" width="12.5703125" bestFit="1" customWidth="1"/>
    <col min="9773" max="9773" width="9.85546875" bestFit="1" customWidth="1"/>
    <col min="9775" max="9775" width="9.85546875" bestFit="1" customWidth="1"/>
    <col min="9776" max="9776" width="9.28515625" bestFit="1" customWidth="1"/>
    <col min="9777" max="9778" width="9.85546875" bestFit="1" customWidth="1"/>
    <col min="9779" max="9779" width="9.28515625" bestFit="1" customWidth="1"/>
    <col min="9780" max="9780" width="12.5703125" bestFit="1" customWidth="1"/>
    <col min="9781" max="9782" width="9.28515625" bestFit="1" customWidth="1"/>
    <col min="9783" max="9783" width="12.5703125" bestFit="1" customWidth="1"/>
    <col min="9784" max="9789" width="9.85546875" bestFit="1" customWidth="1"/>
    <col min="9790" max="9790" width="9.28515625" bestFit="1" customWidth="1"/>
    <col min="9792" max="9792" width="9.85546875" bestFit="1" customWidth="1"/>
    <col min="9793" max="9794" width="12.5703125" bestFit="1" customWidth="1"/>
    <col min="9795" max="9795" width="9.28515625" bestFit="1" customWidth="1"/>
    <col min="9796" max="9796" width="9.85546875" bestFit="1" customWidth="1"/>
    <col min="9797" max="9797" width="12.5703125" bestFit="1" customWidth="1"/>
    <col min="9798" max="9799" width="9.85546875" bestFit="1" customWidth="1"/>
    <col min="9801" max="9801" width="12.5703125" bestFit="1" customWidth="1"/>
    <col min="9802" max="9802" width="9.28515625" bestFit="1" customWidth="1"/>
    <col min="9804" max="9805" width="12.5703125" bestFit="1" customWidth="1"/>
    <col min="9806" max="9806" width="9.28515625" bestFit="1" customWidth="1"/>
    <col min="9807" max="9807" width="9.85546875" bestFit="1" customWidth="1"/>
    <col min="9809" max="9809" width="9.85546875" bestFit="1" customWidth="1"/>
    <col min="9810" max="9810" width="12.5703125" bestFit="1" customWidth="1"/>
    <col min="9811" max="9811" width="9.28515625" bestFit="1" customWidth="1"/>
    <col min="9812" max="9813" width="9.85546875" bestFit="1" customWidth="1"/>
    <col min="9817" max="9817" width="12.5703125" bestFit="1" customWidth="1"/>
    <col min="9818" max="9818" width="9.85546875" bestFit="1" customWidth="1"/>
    <col min="9819" max="9819" width="12.5703125" bestFit="1" customWidth="1"/>
    <col min="9820" max="9821" width="9.28515625" bestFit="1" customWidth="1"/>
    <col min="9822" max="9823" width="12.5703125" bestFit="1" customWidth="1"/>
    <col min="9824" max="9824" width="9.28515625" bestFit="1" customWidth="1"/>
    <col min="9825" max="9826" width="9.85546875" bestFit="1" customWidth="1"/>
    <col min="9827" max="9827" width="10.85546875" bestFit="1" customWidth="1"/>
    <col min="9828" max="9828" width="12.5703125" bestFit="1" customWidth="1"/>
    <col min="9829" max="9832" width="9.85546875" bestFit="1" customWidth="1"/>
    <col min="9833" max="9833" width="12.5703125" bestFit="1" customWidth="1"/>
    <col min="9834" max="9834" width="9.85546875" bestFit="1" customWidth="1"/>
    <col min="9835" max="9835" width="9.28515625" bestFit="1" customWidth="1"/>
    <col min="9836" max="9836" width="12.5703125" bestFit="1" customWidth="1"/>
    <col min="9837" max="9838" width="9.85546875" bestFit="1" customWidth="1"/>
    <col min="9840" max="9840" width="9.85546875" bestFit="1" customWidth="1"/>
    <col min="9841" max="9841" width="9.28515625" bestFit="1" customWidth="1"/>
    <col min="9842" max="9847" width="9.85546875" bestFit="1" customWidth="1"/>
    <col min="9848" max="9848" width="9.28515625" bestFit="1" customWidth="1"/>
    <col min="9850" max="9850" width="9.85546875" bestFit="1" customWidth="1"/>
    <col min="9851" max="9851" width="10.85546875" bestFit="1" customWidth="1"/>
    <col min="9853" max="9853" width="12.5703125" bestFit="1" customWidth="1"/>
    <col min="9854" max="9854" width="9.28515625" bestFit="1" customWidth="1"/>
    <col min="9855" max="9855" width="9.85546875" bestFit="1" customWidth="1"/>
    <col min="9856" max="9857" width="12.5703125" bestFit="1" customWidth="1"/>
    <col min="9859" max="9859" width="9.85546875" bestFit="1" customWidth="1"/>
    <col min="9860" max="9860" width="12.5703125" bestFit="1" customWidth="1"/>
    <col min="9861" max="9861" width="9.85546875" bestFit="1" customWidth="1"/>
    <col min="9862" max="9862" width="9.28515625" bestFit="1" customWidth="1"/>
    <col min="9863" max="9864" width="9.85546875" bestFit="1" customWidth="1"/>
    <col min="9865" max="9867" width="9.28515625" bestFit="1" customWidth="1"/>
    <col min="9868" max="9868" width="9.85546875" bestFit="1" customWidth="1"/>
    <col min="9870" max="9870" width="9.85546875" bestFit="1" customWidth="1"/>
    <col min="9873" max="9877" width="9.85546875" bestFit="1" customWidth="1"/>
    <col min="9878" max="9878" width="12.5703125" bestFit="1" customWidth="1"/>
    <col min="9879" max="9880" width="9.85546875" bestFit="1" customWidth="1"/>
    <col min="9881" max="9881" width="9.28515625" bestFit="1" customWidth="1"/>
    <col min="9882" max="9882" width="9.85546875" bestFit="1" customWidth="1"/>
    <col min="9883" max="9884" width="12.5703125" bestFit="1" customWidth="1"/>
    <col min="9887" max="9887" width="12.5703125" bestFit="1" customWidth="1"/>
    <col min="9888" max="9889" width="9.85546875" bestFit="1" customWidth="1"/>
    <col min="9890" max="9890" width="10.85546875" bestFit="1" customWidth="1"/>
    <col min="9891" max="9891" width="9.85546875" bestFit="1" customWidth="1"/>
    <col min="9893" max="9895" width="9.85546875" bestFit="1" customWidth="1"/>
    <col min="9896" max="9896" width="9.28515625" bestFit="1" customWidth="1"/>
    <col min="9899" max="9899" width="9.85546875" bestFit="1" customWidth="1"/>
    <col min="9900" max="9900" width="12.5703125" bestFit="1" customWidth="1"/>
    <col min="9901" max="9902" width="9.28515625" bestFit="1" customWidth="1"/>
    <col min="9904" max="9904" width="10.85546875" bestFit="1" customWidth="1"/>
    <col min="9905" max="9909" width="9.85546875" bestFit="1" customWidth="1"/>
    <col min="9911" max="9912" width="9.85546875" bestFit="1" customWidth="1"/>
    <col min="9913" max="9913" width="9.28515625" bestFit="1" customWidth="1"/>
    <col min="9914" max="9915" width="9.85546875" bestFit="1" customWidth="1"/>
    <col min="9917" max="9917" width="9.85546875" bestFit="1" customWidth="1"/>
    <col min="9920" max="9921" width="9.85546875" bestFit="1" customWidth="1"/>
    <col min="9922" max="9922" width="9.28515625" bestFit="1" customWidth="1"/>
    <col min="9923" max="9923" width="12.5703125" bestFit="1" customWidth="1"/>
    <col min="9925" max="9926" width="9.85546875" bestFit="1" customWidth="1"/>
    <col min="9928" max="9928" width="9.28515625" bestFit="1" customWidth="1"/>
    <col min="9930" max="9930" width="12.5703125" bestFit="1" customWidth="1"/>
    <col min="9932" max="9932" width="12.5703125" bestFit="1" customWidth="1"/>
    <col min="9933" max="9934" width="9.28515625" bestFit="1" customWidth="1"/>
    <col min="9935" max="9935" width="9.85546875" bestFit="1" customWidth="1"/>
    <col min="9936" max="9936" width="10.85546875" bestFit="1" customWidth="1"/>
    <col min="9937" max="9937" width="9.85546875" bestFit="1" customWidth="1"/>
    <col min="9938" max="9938" width="9.28515625" bestFit="1" customWidth="1"/>
    <col min="9939" max="9939" width="9.85546875" bestFit="1" customWidth="1"/>
    <col min="9940" max="9940" width="9.28515625" bestFit="1" customWidth="1"/>
    <col min="9941" max="9942" width="9.85546875" bestFit="1" customWidth="1"/>
    <col min="9943" max="9943" width="9.28515625" bestFit="1" customWidth="1"/>
    <col min="9944" max="9944" width="12.5703125" bestFit="1" customWidth="1"/>
    <col min="9945" max="9947" width="9.85546875" bestFit="1" customWidth="1"/>
    <col min="9948" max="9948" width="9.28515625" bestFit="1" customWidth="1"/>
    <col min="9949" max="9954" width="9.85546875" bestFit="1" customWidth="1"/>
    <col min="9955" max="9955" width="12.5703125" bestFit="1" customWidth="1"/>
    <col min="9956" max="9956" width="9.28515625" bestFit="1" customWidth="1"/>
    <col min="9957" max="9958" width="9.85546875" bestFit="1" customWidth="1"/>
    <col min="9959" max="9959" width="12.5703125" bestFit="1" customWidth="1"/>
    <col min="9960" max="9960" width="9.28515625" bestFit="1" customWidth="1"/>
    <col min="9962" max="9962" width="9.85546875" bestFit="1" customWidth="1"/>
    <col min="9963" max="9963" width="10.85546875" bestFit="1" customWidth="1"/>
    <col min="9965" max="9965" width="10.85546875" bestFit="1" customWidth="1"/>
    <col min="9966" max="9966" width="12.5703125" bestFit="1" customWidth="1"/>
    <col min="9967" max="9968" width="9.85546875" bestFit="1" customWidth="1"/>
    <col min="9969" max="9969" width="9.28515625" bestFit="1" customWidth="1"/>
    <col min="9970" max="9971" width="9.85546875" bestFit="1" customWidth="1"/>
    <col min="9972" max="9972" width="12.5703125" bestFit="1" customWidth="1"/>
    <col min="9973" max="9973" width="9.28515625" bestFit="1" customWidth="1"/>
    <col min="9975" max="9975" width="9.85546875" bestFit="1" customWidth="1"/>
    <col min="9976" max="9976" width="9.28515625" bestFit="1" customWidth="1"/>
    <col min="9977" max="9979" width="9.85546875" bestFit="1" customWidth="1"/>
    <col min="9981" max="9981" width="9.85546875" bestFit="1" customWidth="1"/>
    <col min="9984" max="9984" width="9.85546875" bestFit="1" customWidth="1"/>
    <col min="9986" max="9988" width="9.85546875" bestFit="1" customWidth="1"/>
    <col min="9989" max="9989" width="9.28515625" bestFit="1" customWidth="1"/>
    <col min="9990" max="9991" width="9.85546875" bestFit="1" customWidth="1"/>
    <col min="9992" max="9992" width="12.5703125" bestFit="1" customWidth="1"/>
    <col min="9993" max="9993" width="9.85546875" bestFit="1" customWidth="1"/>
    <col min="9995" max="9995" width="9.28515625" bestFit="1" customWidth="1"/>
    <col min="9996" max="10000" width="9.85546875" bestFit="1" customWidth="1"/>
  </cols>
  <sheetData>
    <row r="1" spans="1:7" x14ac:dyDescent="0.25">
      <c r="A1" s="56">
        <v>8470774.3999999892</v>
      </c>
      <c r="C1" t="s">
        <v>61</v>
      </c>
      <c r="D1" s="11">
        <f>MIN(A1:A10000)</f>
        <v>0</v>
      </c>
      <c r="F1" t="s">
        <v>15</v>
      </c>
      <c r="G1" s="7">
        <v>63882557.390000001</v>
      </c>
    </row>
    <row r="2" spans="1:7" x14ac:dyDescent="0.25">
      <c r="A2" s="56">
        <v>85532067.799999997</v>
      </c>
      <c r="C2" t="s">
        <v>62</v>
      </c>
      <c r="D2" s="11">
        <f>MAX(A1:A10000)</f>
        <v>992367906.29999995</v>
      </c>
    </row>
    <row r="3" spans="1:7" x14ac:dyDescent="0.25">
      <c r="A3" s="56">
        <v>0</v>
      </c>
    </row>
    <row r="4" spans="1:7" x14ac:dyDescent="0.25">
      <c r="A4" s="56">
        <v>9345317</v>
      </c>
    </row>
    <row r="5" spans="1:7" x14ac:dyDescent="0.25">
      <c r="A5" s="56">
        <v>67030193.299999997</v>
      </c>
      <c r="C5" s="14">
        <v>0</v>
      </c>
      <c r="D5" s="15">
        <f t="array" ref="D5:D998">FREQUENCY(A1:A10000,C5:C998)</f>
        <v>1021</v>
      </c>
      <c r="E5" s="16">
        <f t="shared" ref="E5:E68" si="0">D5/10000</f>
        <v>0.1021</v>
      </c>
      <c r="F5" s="16">
        <f>E5</f>
        <v>0.1021</v>
      </c>
    </row>
    <row r="6" spans="1:7" x14ac:dyDescent="0.25">
      <c r="A6" s="56">
        <v>218000002.09999999</v>
      </c>
      <c r="C6" s="14">
        <v>1000000</v>
      </c>
      <c r="D6" s="15">
        <v>192</v>
      </c>
      <c r="E6" s="16">
        <f t="shared" si="0"/>
        <v>1.9199999999999998E-2</v>
      </c>
      <c r="F6" s="16">
        <f t="shared" ref="F6:F69" si="1">E6+F5</f>
        <v>0.12129999999999999</v>
      </c>
    </row>
    <row r="7" spans="1:7" x14ac:dyDescent="0.25">
      <c r="A7" s="56">
        <v>445390043</v>
      </c>
      <c r="C7" s="14">
        <v>2000000</v>
      </c>
      <c r="D7" s="15">
        <v>149</v>
      </c>
      <c r="E7" s="16">
        <f t="shared" si="0"/>
        <v>1.49E-2</v>
      </c>
      <c r="F7" s="16">
        <f t="shared" si="1"/>
        <v>0.13619999999999999</v>
      </c>
    </row>
    <row r="8" spans="1:7" x14ac:dyDescent="0.25">
      <c r="A8" s="56">
        <v>18056525.199999999</v>
      </c>
      <c r="C8" s="14">
        <v>3000000</v>
      </c>
      <c r="D8" s="15">
        <v>165</v>
      </c>
      <c r="E8" s="16">
        <f t="shared" si="0"/>
        <v>1.6500000000000001E-2</v>
      </c>
      <c r="F8" s="16">
        <f t="shared" si="1"/>
        <v>0.1527</v>
      </c>
    </row>
    <row r="9" spans="1:7" x14ac:dyDescent="0.25">
      <c r="A9" s="56">
        <v>468015903.80000001</v>
      </c>
      <c r="C9" s="14">
        <v>4000000</v>
      </c>
      <c r="D9" s="15">
        <v>219</v>
      </c>
      <c r="E9" s="16">
        <f t="shared" si="0"/>
        <v>2.1899999999999999E-2</v>
      </c>
      <c r="F9" s="16">
        <f t="shared" si="1"/>
        <v>0.17460000000000001</v>
      </c>
    </row>
    <row r="10" spans="1:7" x14ac:dyDescent="0.25">
      <c r="A10" s="56">
        <v>17845878.399999999</v>
      </c>
      <c r="C10" s="14">
        <v>5000000</v>
      </c>
      <c r="D10" s="15">
        <v>179</v>
      </c>
      <c r="E10" s="16">
        <f t="shared" si="0"/>
        <v>1.7899999999999999E-2</v>
      </c>
      <c r="F10" s="16">
        <f t="shared" si="1"/>
        <v>0.1925</v>
      </c>
    </row>
    <row r="11" spans="1:7" x14ac:dyDescent="0.25">
      <c r="A11" s="56">
        <v>154592086.59999999</v>
      </c>
      <c r="C11" s="14">
        <v>6000000</v>
      </c>
      <c r="D11" s="15">
        <v>325</v>
      </c>
      <c r="E11" s="16">
        <f t="shared" si="0"/>
        <v>3.2500000000000001E-2</v>
      </c>
      <c r="F11" s="16">
        <f t="shared" si="1"/>
        <v>0.22500000000000001</v>
      </c>
    </row>
    <row r="12" spans="1:7" x14ac:dyDescent="0.25">
      <c r="A12" s="56">
        <v>262027037.19999999</v>
      </c>
      <c r="C12" s="14">
        <v>7000000</v>
      </c>
      <c r="D12" s="15">
        <v>294</v>
      </c>
      <c r="E12" s="16">
        <f t="shared" si="0"/>
        <v>2.9399999999999999E-2</v>
      </c>
      <c r="F12" s="16">
        <f t="shared" si="1"/>
        <v>0.25440000000000002</v>
      </c>
    </row>
    <row r="13" spans="1:7" x14ac:dyDescent="0.25">
      <c r="A13" s="56">
        <v>159669897</v>
      </c>
      <c r="C13" s="14">
        <v>8000000</v>
      </c>
      <c r="D13" s="15">
        <v>193</v>
      </c>
      <c r="E13" s="16">
        <f t="shared" si="0"/>
        <v>1.9300000000000001E-2</v>
      </c>
      <c r="F13" s="16">
        <f t="shared" si="1"/>
        <v>0.2737</v>
      </c>
    </row>
    <row r="14" spans="1:7" x14ac:dyDescent="0.25">
      <c r="A14" s="56">
        <v>14154677.300000001</v>
      </c>
      <c r="C14" s="14">
        <v>9000000</v>
      </c>
      <c r="D14" s="15">
        <v>179</v>
      </c>
      <c r="E14" s="16">
        <f t="shared" si="0"/>
        <v>1.7899999999999999E-2</v>
      </c>
      <c r="F14" s="16">
        <f t="shared" si="1"/>
        <v>0.29159999999999997</v>
      </c>
    </row>
    <row r="15" spans="1:7" x14ac:dyDescent="0.25">
      <c r="A15" s="56">
        <v>18555025.399999999</v>
      </c>
      <c r="C15" s="14">
        <v>10000000</v>
      </c>
      <c r="D15" s="15">
        <v>193</v>
      </c>
      <c r="E15" s="16">
        <f t="shared" si="0"/>
        <v>1.9300000000000001E-2</v>
      </c>
      <c r="F15" s="16">
        <f t="shared" si="1"/>
        <v>0.31089999999999995</v>
      </c>
    </row>
    <row r="16" spans="1:7" x14ac:dyDescent="0.25">
      <c r="A16" s="56">
        <v>15190716.6</v>
      </c>
      <c r="C16" s="14">
        <v>11000000</v>
      </c>
      <c r="D16" s="15">
        <v>198</v>
      </c>
      <c r="E16" s="16">
        <f t="shared" si="0"/>
        <v>1.9800000000000002E-2</v>
      </c>
      <c r="F16" s="16">
        <f t="shared" si="1"/>
        <v>0.33069999999999994</v>
      </c>
    </row>
    <row r="17" spans="1:6" x14ac:dyDescent="0.25">
      <c r="A17" s="56">
        <v>188334820.69999999</v>
      </c>
      <c r="C17" s="14">
        <v>12000000</v>
      </c>
      <c r="D17" s="15">
        <v>173</v>
      </c>
      <c r="E17" s="16">
        <f t="shared" si="0"/>
        <v>1.7299999999999999E-2</v>
      </c>
      <c r="F17" s="16">
        <f t="shared" si="1"/>
        <v>0.34799999999999992</v>
      </c>
    </row>
    <row r="18" spans="1:6" x14ac:dyDescent="0.25">
      <c r="A18" s="56">
        <v>0</v>
      </c>
      <c r="C18" s="14">
        <v>13000000</v>
      </c>
      <c r="D18" s="15">
        <v>153</v>
      </c>
      <c r="E18" s="16">
        <f t="shared" si="0"/>
        <v>1.5299999999999999E-2</v>
      </c>
      <c r="F18" s="16">
        <f t="shared" si="1"/>
        <v>0.3632999999999999</v>
      </c>
    </row>
    <row r="19" spans="1:6" x14ac:dyDescent="0.25">
      <c r="A19" s="56">
        <v>437246432.5</v>
      </c>
      <c r="C19" s="14">
        <v>14000000</v>
      </c>
      <c r="D19" s="15">
        <v>158</v>
      </c>
      <c r="E19" s="16">
        <f t="shared" si="0"/>
        <v>1.5800000000000002E-2</v>
      </c>
      <c r="F19" s="16">
        <f t="shared" si="1"/>
        <v>0.37909999999999988</v>
      </c>
    </row>
    <row r="20" spans="1:6" x14ac:dyDescent="0.25">
      <c r="A20" s="56">
        <v>88503047</v>
      </c>
      <c r="C20" s="14">
        <v>15000000</v>
      </c>
      <c r="D20" s="15">
        <v>142</v>
      </c>
      <c r="E20" s="16">
        <f t="shared" si="0"/>
        <v>1.4200000000000001E-2</v>
      </c>
      <c r="F20" s="16">
        <f t="shared" si="1"/>
        <v>0.39329999999999987</v>
      </c>
    </row>
    <row r="21" spans="1:6" x14ac:dyDescent="0.25">
      <c r="A21" s="56">
        <v>11477528.5</v>
      </c>
      <c r="C21" s="14">
        <v>16000000</v>
      </c>
      <c r="D21" s="15">
        <v>126</v>
      </c>
      <c r="E21" s="16">
        <f t="shared" si="0"/>
        <v>1.26E-2</v>
      </c>
      <c r="F21" s="16">
        <f t="shared" si="1"/>
        <v>0.40589999999999987</v>
      </c>
    </row>
    <row r="22" spans="1:6" x14ac:dyDescent="0.25">
      <c r="A22" s="56">
        <v>3009424.8</v>
      </c>
      <c r="C22" s="14">
        <v>17000000</v>
      </c>
      <c r="D22" s="15">
        <v>124</v>
      </c>
      <c r="E22" s="16">
        <f t="shared" si="0"/>
        <v>1.24E-2</v>
      </c>
      <c r="F22" s="16">
        <f t="shared" si="1"/>
        <v>0.41829999999999989</v>
      </c>
    </row>
    <row r="23" spans="1:6" x14ac:dyDescent="0.25">
      <c r="A23" s="56">
        <v>24273981</v>
      </c>
      <c r="C23" s="14">
        <v>18000000</v>
      </c>
      <c r="D23" s="15">
        <v>138</v>
      </c>
      <c r="E23" s="16">
        <f t="shared" si="0"/>
        <v>1.38E-2</v>
      </c>
      <c r="F23" s="16">
        <f t="shared" si="1"/>
        <v>0.43209999999999987</v>
      </c>
    </row>
    <row r="24" spans="1:6" x14ac:dyDescent="0.25">
      <c r="A24" s="56">
        <v>31249878.699999999</v>
      </c>
      <c r="C24" s="14">
        <v>19000000</v>
      </c>
      <c r="D24" s="15">
        <v>110</v>
      </c>
      <c r="E24" s="16">
        <f t="shared" si="0"/>
        <v>1.0999999999999999E-2</v>
      </c>
      <c r="F24" s="16">
        <f t="shared" si="1"/>
        <v>0.44309999999999988</v>
      </c>
    </row>
    <row r="25" spans="1:6" x14ac:dyDescent="0.25">
      <c r="A25" s="56">
        <v>153095137.5</v>
      </c>
      <c r="C25" s="14">
        <v>20000000</v>
      </c>
      <c r="D25" s="15">
        <v>138</v>
      </c>
      <c r="E25" s="16">
        <f t="shared" si="0"/>
        <v>1.38E-2</v>
      </c>
      <c r="F25" s="16">
        <f t="shared" si="1"/>
        <v>0.45689999999999986</v>
      </c>
    </row>
    <row r="26" spans="1:6" x14ac:dyDescent="0.25">
      <c r="A26" s="56">
        <v>73212924.799999997</v>
      </c>
      <c r="C26" s="14">
        <v>21000000</v>
      </c>
      <c r="D26" s="15">
        <v>122</v>
      </c>
      <c r="E26" s="16">
        <f t="shared" si="0"/>
        <v>1.2200000000000001E-2</v>
      </c>
      <c r="F26" s="16">
        <f t="shared" si="1"/>
        <v>0.46909999999999985</v>
      </c>
    </row>
    <row r="27" spans="1:6" x14ac:dyDescent="0.25">
      <c r="A27" s="56">
        <v>9014872.9000000004</v>
      </c>
      <c r="C27" s="14">
        <v>22000000</v>
      </c>
      <c r="D27" s="15">
        <v>107</v>
      </c>
      <c r="E27" s="16">
        <f t="shared" si="0"/>
        <v>1.0699999999999999E-2</v>
      </c>
      <c r="F27" s="16">
        <f t="shared" si="1"/>
        <v>0.47979999999999984</v>
      </c>
    </row>
    <row r="28" spans="1:6" x14ac:dyDescent="0.25">
      <c r="A28" s="56">
        <v>14328664.5</v>
      </c>
      <c r="C28" s="14">
        <v>23000000</v>
      </c>
      <c r="D28" s="15">
        <v>106</v>
      </c>
      <c r="E28" s="16">
        <f t="shared" si="0"/>
        <v>1.06E-2</v>
      </c>
      <c r="F28" s="16">
        <f t="shared" si="1"/>
        <v>0.49039999999999984</v>
      </c>
    </row>
    <row r="29" spans="1:6" x14ac:dyDescent="0.25">
      <c r="A29" s="56">
        <v>0</v>
      </c>
      <c r="C29" s="14">
        <v>24000000</v>
      </c>
      <c r="D29" s="15">
        <v>111</v>
      </c>
      <c r="E29" s="16">
        <f t="shared" si="0"/>
        <v>1.11E-2</v>
      </c>
      <c r="F29" s="16">
        <f t="shared" si="1"/>
        <v>0.50149999999999983</v>
      </c>
    </row>
    <row r="30" spans="1:6" x14ac:dyDescent="0.25">
      <c r="A30" s="56">
        <v>24442116.399999999</v>
      </c>
      <c r="C30" s="14">
        <v>25000000</v>
      </c>
      <c r="D30" s="15">
        <v>125</v>
      </c>
      <c r="E30" s="16">
        <f t="shared" si="0"/>
        <v>1.2500000000000001E-2</v>
      </c>
      <c r="F30" s="16">
        <f t="shared" si="1"/>
        <v>0.51399999999999979</v>
      </c>
    </row>
    <row r="31" spans="1:6" x14ac:dyDescent="0.25">
      <c r="A31" s="56">
        <v>7536521.4999999898</v>
      </c>
      <c r="C31" s="14">
        <v>26000000</v>
      </c>
      <c r="D31" s="15">
        <v>100</v>
      </c>
      <c r="E31" s="16">
        <f t="shared" si="0"/>
        <v>0.01</v>
      </c>
      <c r="F31" s="16">
        <f t="shared" si="1"/>
        <v>0.5239999999999998</v>
      </c>
    </row>
    <row r="32" spans="1:6" x14ac:dyDescent="0.25">
      <c r="A32" s="56">
        <v>119915601.7</v>
      </c>
      <c r="C32" s="14">
        <v>27000000</v>
      </c>
      <c r="D32" s="15">
        <v>85</v>
      </c>
      <c r="E32" s="16">
        <f t="shared" si="0"/>
        <v>8.5000000000000006E-3</v>
      </c>
      <c r="F32" s="16">
        <f t="shared" si="1"/>
        <v>0.53249999999999975</v>
      </c>
    </row>
    <row r="33" spans="1:6" x14ac:dyDescent="0.25">
      <c r="A33" s="56">
        <v>183055475.19999999</v>
      </c>
      <c r="C33" s="14">
        <v>28000000</v>
      </c>
      <c r="D33" s="15">
        <v>76</v>
      </c>
      <c r="E33" s="16">
        <f t="shared" si="0"/>
        <v>7.6E-3</v>
      </c>
      <c r="F33" s="16">
        <f t="shared" si="1"/>
        <v>0.5400999999999998</v>
      </c>
    </row>
    <row r="34" spans="1:6" x14ac:dyDescent="0.25">
      <c r="A34" s="56">
        <v>20437117.300000001</v>
      </c>
      <c r="C34" s="14">
        <v>29000000</v>
      </c>
      <c r="D34" s="15">
        <v>91</v>
      </c>
      <c r="E34" s="16">
        <f t="shared" si="0"/>
        <v>9.1000000000000004E-3</v>
      </c>
      <c r="F34" s="16">
        <f t="shared" si="1"/>
        <v>0.5491999999999998</v>
      </c>
    </row>
    <row r="35" spans="1:6" x14ac:dyDescent="0.25">
      <c r="A35" s="56">
        <v>4523404.4000000004</v>
      </c>
      <c r="C35" s="14">
        <v>30000000</v>
      </c>
      <c r="D35" s="15">
        <v>81</v>
      </c>
      <c r="E35" s="16">
        <f t="shared" si="0"/>
        <v>8.0999999999999996E-3</v>
      </c>
      <c r="F35" s="16">
        <f t="shared" si="1"/>
        <v>0.5572999999999998</v>
      </c>
    </row>
    <row r="36" spans="1:6" x14ac:dyDescent="0.25">
      <c r="A36" s="56">
        <v>364921061.39999902</v>
      </c>
      <c r="C36" s="14">
        <v>31000000</v>
      </c>
      <c r="D36" s="15">
        <v>67</v>
      </c>
      <c r="E36" s="16">
        <f t="shared" si="0"/>
        <v>6.7000000000000002E-3</v>
      </c>
      <c r="F36" s="16">
        <f t="shared" si="1"/>
        <v>0.56399999999999983</v>
      </c>
    </row>
    <row r="37" spans="1:6" x14ac:dyDescent="0.25">
      <c r="A37" s="56">
        <v>18495582.600000001</v>
      </c>
      <c r="C37" s="14">
        <v>32000000</v>
      </c>
      <c r="D37" s="15">
        <v>90</v>
      </c>
      <c r="E37" s="16">
        <f t="shared" si="0"/>
        <v>8.9999999999999993E-3</v>
      </c>
      <c r="F37" s="16">
        <f t="shared" si="1"/>
        <v>0.57299999999999984</v>
      </c>
    </row>
    <row r="38" spans="1:6" x14ac:dyDescent="0.25">
      <c r="A38" s="56">
        <v>325703580.10000002</v>
      </c>
      <c r="C38" s="14">
        <v>33000000</v>
      </c>
      <c r="D38" s="15">
        <v>69</v>
      </c>
      <c r="E38" s="16">
        <f t="shared" si="0"/>
        <v>6.8999999999999999E-3</v>
      </c>
      <c r="F38" s="16">
        <f t="shared" si="1"/>
        <v>0.57989999999999986</v>
      </c>
    </row>
    <row r="39" spans="1:6" x14ac:dyDescent="0.25">
      <c r="A39" s="56">
        <v>51899130.5</v>
      </c>
      <c r="C39" s="14">
        <v>34000000</v>
      </c>
      <c r="D39" s="15">
        <v>78</v>
      </c>
      <c r="E39" s="16">
        <f t="shared" si="0"/>
        <v>7.7999999999999996E-3</v>
      </c>
      <c r="F39" s="16">
        <f t="shared" si="1"/>
        <v>0.58769999999999989</v>
      </c>
    </row>
    <row r="40" spans="1:6" x14ac:dyDescent="0.25">
      <c r="A40" s="56">
        <v>1041923.2</v>
      </c>
      <c r="C40" s="14">
        <v>35000000</v>
      </c>
      <c r="D40" s="15">
        <v>69</v>
      </c>
      <c r="E40" s="16">
        <f t="shared" si="0"/>
        <v>6.8999999999999999E-3</v>
      </c>
      <c r="F40" s="16">
        <f t="shared" si="1"/>
        <v>0.59459999999999991</v>
      </c>
    </row>
    <row r="41" spans="1:6" x14ac:dyDescent="0.25">
      <c r="A41" s="56">
        <v>349069273.99999899</v>
      </c>
      <c r="C41" s="14">
        <v>36000000</v>
      </c>
      <c r="D41" s="15">
        <v>62</v>
      </c>
      <c r="E41" s="16">
        <f t="shared" si="0"/>
        <v>6.1999999999999998E-3</v>
      </c>
      <c r="F41" s="16">
        <f t="shared" si="1"/>
        <v>0.60079999999999989</v>
      </c>
    </row>
    <row r="42" spans="1:6" x14ac:dyDescent="0.25">
      <c r="A42" s="56">
        <v>0</v>
      </c>
      <c r="C42" s="14">
        <v>37000000</v>
      </c>
      <c r="D42" s="15">
        <v>62</v>
      </c>
      <c r="E42" s="16">
        <f t="shared" si="0"/>
        <v>6.1999999999999998E-3</v>
      </c>
      <c r="F42" s="16">
        <f t="shared" si="1"/>
        <v>0.60699999999999987</v>
      </c>
    </row>
    <row r="43" spans="1:6" x14ac:dyDescent="0.25">
      <c r="A43" s="56">
        <v>42313906.899999999</v>
      </c>
      <c r="C43" s="14">
        <v>38000000</v>
      </c>
      <c r="D43" s="15">
        <v>58</v>
      </c>
      <c r="E43" s="16">
        <f t="shared" si="0"/>
        <v>5.7999999999999996E-3</v>
      </c>
      <c r="F43" s="16">
        <f t="shared" si="1"/>
        <v>0.6127999999999999</v>
      </c>
    </row>
    <row r="44" spans="1:6" x14ac:dyDescent="0.25">
      <c r="A44" s="56">
        <v>18372300</v>
      </c>
      <c r="C44" s="14">
        <v>39000000</v>
      </c>
      <c r="D44" s="15">
        <v>65</v>
      </c>
      <c r="E44" s="16">
        <f t="shared" si="0"/>
        <v>6.4999999999999997E-3</v>
      </c>
      <c r="F44" s="16">
        <f t="shared" si="1"/>
        <v>0.61929999999999985</v>
      </c>
    </row>
    <row r="45" spans="1:6" x14ac:dyDescent="0.25">
      <c r="A45" s="56">
        <v>278193421.10000002</v>
      </c>
      <c r="C45" s="14">
        <v>40000000</v>
      </c>
      <c r="D45" s="15">
        <v>44</v>
      </c>
      <c r="E45" s="16">
        <f t="shared" si="0"/>
        <v>4.4000000000000003E-3</v>
      </c>
      <c r="F45" s="16">
        <f t="shared" si="1"/>
        <v>0.62369999999999981</v>
      </c>
    </row>
    <row r="46" spans="1:6" x14ac:dyDescent="0.25">
      <c r="A46" s="56">
        <v>245114539.69999999</v>
      </c>
      <c r="C46" s="14">
        <v>41000000</v>
      </c>
      <c r="D46" s="15">
        <v>58</v>
      </c>
      <c r="E46" s="16">
        <f t="shared" si="0"/>
        <v>5.7999999999999996E-3</v>
      </c>
      <c r="F46" s="16">
        <f t="shared" si="1"/>
        <v>0.62949999999999984</v>
      </c>
    </row>
    <row r="47" spans="1:6" x14ac:dyDescent="0.25">
      <c r="A47" s="56">
        <v>27653665.699999999</v>
      </c>
      <c r="C47" s="14">
        <v>42000000</v>
      </c>
      <c r="D47" s="15">
        <v>60</v>
      </c>
      <c r="E47" s="16">
        <f t="shared" si="0"/>
        <v>6.0000000000000001E-3</v>
      </c>
      <c r="F47" s="16">
        <f t="shared" si="1"/>
        <v>0.63549999999999984</v>
      </c>
    </row>
    <row r="48" spans="1:6" x14ac:dyDescent="0.25">
      <c r="A48" s="56">
        <v>1006421.6</v>
      </c>
      <c r="C48" s="14">
        <v>43000000</v>
      </c>
      <c r="D48" s="15">
        <v>60</v>
      </c>
      <c r="E48" s="16">
        <f t="shared" si="0"/>
        <v>6.0000000000000001E-3</v>
      </c>
      <c r="F48" s="16">
        <f t="shared" si="1"/>
        <v>0.64149999999999985</v>
      </c>
    </row>
    <row r="49" spans="1:6" x14ac:dyDescent="0.25">
      <c r="A49" s="56">
        <v>4069482</v>
      </c>
      <c r="C49" s="14">
        <v>44000000</v>
      </c>
      <c r="D49" s="15">
        <v>41</v>
      </c>
      <c r="E49" s="16">
        <f t="shared" si="0"/>
        <v>4.1000000000000003E-3</v>
      </c>
      <c r="F49" s="16">
        <f t="shared" si="1"/>
        <v>0.64559999999999984</v>
      </c>
    </row>
    <row r="50" spans="1:6" x14ac:dyDescent="0.25">
      <c r="A50" s="56">
        <v>96922000.499999896</v>
      </c>
      <c r="C50" s="14">
        <v>45000000</v>
      </c>
      <c r="D50" s="15">
        <v>56</v>
      </c>
      <c r="E50" s="16">
        <f t="shared" si="0"/>
        <v>5.5999999999999999E-3</v>
      </c>
      <c r="F50" s="16">
        <f t="shared" si="1"/>
        <v>0.65119999999999989</v>
      </c>
    </row>
    <row r="51" spans="1:6" x14ac:dyDescent="0.25">
      <c r="A51" s="56">
        <v>23204595.800000001</v>
      </c>
      <c r="C51" s="14">
        <v>46000000</v>
      </c>
      <c r="D51" s="15">
        <v>49</v>
      </c>
      <c r="E51" s="16">
        <f t="shared" si="0"/>
        <v>4.8999999999999998E-3</v>
      </c>
      <c r="F51" s="16">
        <f t="shared" si="1"/>
        <v>0.65609999999999991</v>
      </c>
    </row>
    <row r="52" spans="1:6" x14ac:dyDescent="0.25">
      <c r="A52" s="56">
        <v>0</v>
      </c>
      <c r="C52" s="14">
        <v>47000000</v>
      </c>
      <c r="D52" s="15">
        <v>56</v>
      </c>
      <c r="E52" s="16">
        <f t="shared" si="0"/>
        <v>5.5999999999999999E-3</v>
      </c>
      <c r="F52" s="16">
        <f t="shared" si="1"/>
        <v>0.66169999999999995</v>
      </c>
    </row>
    <row r="53" spans="1:6" x14ac:dyDescent="0.25">
      <c r="A53" s="56">
        <v>11682653.800000001</v>
      </c>
      <c r="C53" s="14">
        <v>48000000</v>
      </c>
      <c r="D53" s="15">
        <v>54</v>
      </c>
      <c r="E53" s="16">
        <f t="shared" si="0"/>
        <v>5.4000000000000003E-3</v>
      </c>
      <c r="F53" s="16">
        <f t="shared" si="1"/>
        <v>0.66709999999999992</v>
      </c>
    </row>
    <row r="54" spans="1:6" x14ac:dyDescent="0.25">
      <c r="A54" s="56">
        <v>3862308</v>
      </c>
      <c r="C54" s="14">
        <v>49000000</v>
      </c>
      <c r="D54" s="15">
        <v>64</v>
      </c>
      <c r="E54" s="16">
        <f t="shared" si="0"/>
        <v>6.4000000000000003E-3</v>
      </c>
      <c r="F54" s="16">
        <f t="shared" si="1"/>
        <v>0.67349999999999988</v>
      </c>
    </row>
    <row r="55" spans="1:6" x14ac:dyDescent="0.25">
      <c r="A55" s="56">
        <v>21479012.199999999</v>
      </c>
      <c r="C55" s="14">
        <v>50000000</v>
      </c>
      <c r="D55" s="15">
        <v>45</v>
      </c>
      <c r="E55" s="16">
        <f t="shared" si="0"/>
        <v>4.4999999999999997E-3</v>
      </c>
      <c r="F55" s="16">
        <f t="shared" si="1"/>
        <v>0.67799999999999983</v>
      </c>
    </row>
    <row r="56" spans="1:6" x14ac:dyDescent="0.25">
      <c r="A56" s="56">
        <v>366822943</v>
      </c>
      <c r="C56" s="14">
        <v>51000000</v>
      </c>
      <c r="D56" s="15">
        <v>38</v>
      </c>
      <c r="E56" s="16">
        <f t="shared" si="0"/>
        <v>3.8E-3</v>
      </c>
      <c r="F56" s="16">
        <f t="shared" si="1"/>
        <v>0.68179999999999985</v>
      </c>
    </row>
    <row r="57" spans="1:6" x14ac:dyDescent="0.25">
      <c r="A57" s="56">
        <v>150370161.5</v>
      </c>
      <c r="C57" s="14">
        <v>52000000</v>
      </c>
      <c r="D57" s="15">
        <v>50</v>
      </c>
      <c r="E57" s="16">
        <f t="shared" si="0"/>
        <v>5.0000000000000001E-3</v>
      </c>
      <c r="F57" s="16">
        <f t="shared" si="1"/>
        <v>0.68679999999999986</v>
      </c>
    </row>
    <row r="58" spans="1:6" x14ac:dyDescent="0.25">
      <c r="A58" s="56">
        <v>17782733.399999999</v>
      </c>
      <c r="C58" s="14">
        <v>53000000</v>
      </c>
      <c r="D58" s="15">
        <v>40</v>
      </c>
      <c r="E58" s="16">
        <f t="shared" si="0"/>
        <v>4.0000000000000001E-3</v>
      </c>
      <c r="F58" s="16">
        <f t="shared" si="1"/>
        <v>0.69079999999999986</v>
      </c>
    </row>
    <row r="59" spans="1:6" x14ac:dyDescent="0.25">
      <c r="A59" s="56">
        <v>31145341.800000001</v>
      </c>
      <c r="C59" s="14">
        <v>54000000</v>
      </c>
      <c r="D59" s="15">
        <v>43</v>
      </c>
      <c r="E59" s="16">
        <f t="shared" si="0"/>
        <v>4.3E-3</v>
      </c>
      <c r="F59" s="16">
        <f t="shared" si="1"/>
        <v>0.69509999999999983</v>
      </c>
    </row>
    <row r="60" spans="1:6" x14ac:dyDescent="0.25">
      <c r="A60" s="56">
        <v>31867776.699999999</v>
      </c>
      <c r="C60" s="14">
        <v>55000000</v>
      </c>
      <c r="D60" s="15">
        <v>37</v>
      </c>
      <c r="E60" s="16">
        <f t="shared" si="0"/>
        <v>3.7000000000000002E-3</v>
      </c>
      <c r="F60" s="16">
        <f t="shared" si="1"/>
        <v>0.69879999999999987</v>
      </c>
    </row>
    <row r="61" spans="1:6" x14ac:dyDescent="0.25">
      <c r="A61" s="56">
        <v>32545300</v>
      </c>
      <c r="C61" s="14">
        <v>56000000</v>
      </c>
      <c r="D61" s="15">
        <v>41</v>
      </c>
      <c r="E61" s="16">
        <f t="shared" si="0"/>
        <v>4.1000000000000003E-3</v>
      </c>
      <c r="F61" s="16">
        <f t="shared" si="1"/>
        <v>0.70289999999999986</v>
      </c>
    </row>
    <row r="62" spans="1:6" x14ac:dyDescent="0.25">
      <c r="A62" s="56">
        <v>193469110.69999999</v>
      </c>
      <c r="C62" s="14">
        <v>57000000</v>
      </c>
      <c r="D62" s="15">
        <v>40</v>
      </c>
      <c r="E62" s="16">
        <f t="shared" si="0"/>
        <v>4.0000000000000001E-3</v>
      </c>
      <c r="F62" s="16">
        <f t="shared" si="1"/>
        <v>0.70689999999999986</v>
      </c>
    </row>
    <row r="63" spans="1:6" x14ac:dyDescent="0.25">
      <c r="A63" s="56">
        <v>17597626.800000001</v>
      </c>
      <c r="C63" s="14">
        <v>58000000</v>
      </c>
      <c r="D63" s="15">
        <v>34</v>
      </c>
      <c r="E63" s="16">
        <f t="shared" si="0"/>
        <v>3.3999999999999998E-3</v>
      </c>
      <c r="F63" s="16">
        <f t="shared" si="1"/>
        <v>0.71029999999999982</v>
      </c>
    </row>
    <row r="64" spans="1:6" x14ac:dyDescent="0.25">
      <c r="A64" s="56">
        <v>209905963.30000001</v>
      </c>
      <c r="C64" s="14">
        <v>59000000</v>
      </c>
      <c r="D64" s="15">
        <v>44</v>
      </c>
      <c r="E64" s="16">
        <f t="shared" si="0"/>
        <v>4.4000000000000003E-3</v>
      </c>
      <c r="F64" s="16">
        <f t="shared" si="1"/>
        <v>0.71469999999999978</v>
      </c>
    </row>
    <row r="65" spans="1:6" x14ac:dyDescent="0.25">
      <c r="A65" s="56">
        <v>38468287.200000003</v>
      </c>
      <c r="C65" s="14">
        <v>60000000</v>
      </c>
      <c r="D65" s="15">
        <v>33</v>
      </c>
      <c r="E65" s="16">
        <f t="shared" si="0"/>
        <v>3.3E-3</v>
      </c>
      <c r="F65" s="16">
        <f t="shared" si="1"/>
        <v>0.71799999999999975</v>
      </c>
    </row>
    <row r="66" spans="1:6" x14ac:dyDescent="0.25">
      <c r="A66" s="56">
        <v>21955705.899999999</v>
      </c>
      <c r="C66" s="14">
        <v>61000000</v>
      </c>
      <c r="D66" s="15">
        <v>26</v>
      </c>
      <c r="E66" s="16">
        <f t="shared" si="0"/>
        <v>2.5999999999999999E-3</v>
      </c>
      <c r="F66" s="16">
        <f t="shared" si="1"/>
        <v>0.7205999999999998</v>
      </c>
    </row>
    <row r="67" spans="1:6" x14ac:dyDescent="0.25">
      <c r="A67" s="56">
        <v>708970808.89999998</v>
      </c>
      <c r="C67" s="14">
        <v>62000000</v>
      </c>
      <c r="D67" s="15">
        <v>30</v>
      </c>
      <c r="E67" s="16">
        <f t="shared" si="0"/>
        <v>3.0000000000000001E-3</v>
      </c>
      <c r="F67" s="16">
        <f t="shared" si="1"/>
        <v>0.7235999999999998</v>
      </c>
    </row>
    <row r="68" spans="1:6" x14ac:dyDescent="0.25">
      <c r="A68" s="56">
        <v>140932737.30000001</v>
      </c>
      <c r="C68" s="14">
        <v>63000000</v>
      </c>
      <c r="D68" s="15">
        <v>29</v>
      </c>
      <c r="E68" s="16">
        <f t="shared" si="0"/>
        <v>2.8999999999999998E-3</v>
      </c>
      <c r="F68" s="16">
        <f t="shared" si="1"/>
        <v>0.72649999999999981</v>
      </c>
    </row>
    <row r="69" spans="1:6" x14ac:dyDescent="0.25">
      <c r="A69" s="56">
        <v>100343063.8</v>
      </c>
      <c r="C69" s="14">
        <v>64000000</v>
      </c>
      <c r="D69" s="15">
        <v>37</v>
      </c>
      <c r="E69" s="16">
        <f t="shared" ref="E69:E132" si="2">D69/10000</f>
        <v>3.7000000000000002E-3</v>
      </c>
      <c r="F69" s="16">
        <f t="shared" si="1"/>
        <v>0.73019999999999985</v>
      </c>
    </row>
    <row r="70" spans="1:6" x14ac:dyDescent="0.25">
      <c r="A70" s="56">
        <v>0</v>
      </c>
      <c r="C70" s="18">
        <v>65000000</v>
      </c>
      <c r="D70" s="19">
        <v>31</v>
      </c>
      <c r="E70" s="20">
        <f t="shared" si="2"/>
        <v>3.0999999999999999E-3</v>
      </c>
      <c r="F70" s="20">
        <f t="shared" ref="F70:F133" si="3">E70+F69</f>
        <v>0.73329999999999984</v>
      </c>
    </row>
    <row r="71" spans="1:6" x14ac:dyDescent="0.25">
      <c r="A71" s="56">
        <v>0</v>
      </c>
      <c r="C71" s="18">
        <v>66000000</v>
      </c>
      <c r="D71" s="19">
        <v>32</v>
      </c>
      <c r="E71" s="20">
        <f t="shared" si="2"/>
        <v>3.2000000000000002E-3</v>
      </c>
      <c r="F71" s="20">
        <f t="shared" si="3"/>
        <v>0.73649999999999982</v>
      </c>
    </row>
    <row r="72" spans="1:6" x14ac:dyDescent="0.25">
      <c r="A72" s="56">
        <v>236381751</v>
      </c>
      <c r="C72" s="18">
        <v>67000000</v>
      </c>
      <c r="D72" s="19">
        <v>39</v>
      </c>
      <c r="E72" s="20">
        <f t="shared" si="2"/>
        <v>3.8999999999999998E-3</v>
      </c>
      <c r="F72" s="20">
        <f t="shared" si="3"/>
        <v>0.74039999999999984</v>
      </c>
    </row>
    <row r="73" spans="1:6" x14ac:dyDescent="0.25">
      <c r="A73" s="56">
        <v>0</v>
      </c>
      <c r="C73" s="18">
        <v>68000000</v>
      </c>
      <c r="D73" s="19">
        <v>33</v>
      </c>
      <c r="E73" s="20">
        <f t="shared" si="2"/>
        <v>3.3E-3</v>
      </c>
      <c r="F73" s="20">
        <f t="shared" si="3"/>
        <v>0.74369999999999981</v>
      </c>
    </row>
    <row r="74" spans="1:6" x14ac:dyDescent="0.25">
      <c r="A74" s="56">
        <v>13183255.4</v>
      </c>
      <c r="C74" s="18">
        <v>69000000</v>
      </c>
      <c r="D74" s="19">
        <v>20</v>
      </c>
      <c r="E74" s="20">
        <f t="shared" si="2"/>
        <v>2E-3</v>
      </c>
      <c r="F74" s="20">
        <f t="shared" si="3"/>
        <v>0.74569999999999981</v>
      </c>
    </row>
    <row r="75" spans="1:6" x14ac:dyDescent="0.25">
      <c r="A75" s="56">
        <v>591435838.20000005</v>
      </c>
      <c r="C75" s="18">
        <v>70000000</v>
      </c>
      <c r="D75" s="19">
        <v>30</v>
      </c>
      <c r="E75" s="20">
        <f t="shared" si="2"/>
        <v>3.0000000000000001E-3</v>
      </c>
      <c r="F75" s="20">
        <f t="shared" si="3"/>
        <v>0.74869999999999981</v>
      </c>
    </row>
    <row r="76" spans="1:6" x14ac:dyDescent="0.25">
      <c r="A76" s="56">
        <v>22480038.399999999</v>
      </c>
      <c r="C76" s="18">
        <v>71000000</v>
      </c>
      <c r="D76" s="19">
        <v>28</v>
      </c>
      <c r="E76" s="20">
        <f t="shared" si="2"/>
        <v>2.8E-3</v>
      </c>
      <c r="F76" s="20">
        <f t="shared" si="3"/>
        <v>0.75149999999999983</v>
      </c>
    </row>
    <row r="77" spans="1:6" x14ac:dyDescent="0.25">
      <c r="A77" s="56">
        <v>7816169</v>
      </c>
      <c r="C77" s="18">
        <v>72000000</v>
      </c>
      <c r="D77" s="19">
        <v>33</v>
      </c>
      <c r="E77" s="20">
        <f t="shared" si="2"/>
        <v>3.3E-3</v>
      </c>
      <c r="F77" s="20">
        <f t="shared" si="3"/>
        <v>0.7547999999999998</v>
      </c>
    </row>
    <row r="78" spans="1:6" x14ac:dyDescent="0.25">
      <c r="A78" s="56">
        <v>6916745.2999999998</v>
      </c>
      <c r="C78" s="18">
        <v>73000000</v>
      </c>
      <c r="D78" s="19">
        <v>14</v>
      </c>
      <c r="E78" s="20">
        <f t="shared" si="2"/>
        <v>1.4E-3</v>
      </c>
      <c r="F78" s="20">
        <f t="shared" si="3"/>
        <v>0.75619999999999976</v>
      </c>
    </row>
    <row r="79" spans="1:6" x14ac:dyDescent="0.25">
      <c r="A79" s="56">
        <v>88127875.5</v>
      </c>
      <c r="C79" s="18">
        <v>74000000</v>
      </c>
      <c r="D79" s="19">
        <v>29</v>
      </c>
      <c r="E79" s="20">
        <f t="shared" si="2"/>
        <v>2.8999999999999998E-3</v>
      </c>
      <c r="F79" s="20">
        <f t="shared" si="3"/>
        <v>0.75909999999999977</v>
      </c>
    </row>
    <row r="80" spans="1:6" x14ac:dyDescent="0.25">
      <c r="A80" s="56">
        <v>18188031.5</v>
      </c>
      <c r="C80" s="18">
        <v>75000000</v>
      </c>
      <c r="D80" s="19">
        <v>25</v>
      </c>
      <c r="E80" s="20">
        <f t="shared" si="2"/>
        <v>2.5000000000000001E-3</v>
      </c>
      <c r="F80" s="20">
        <f t="shared" si="3"/>
        <v>0.76159999999999972</v>
      </c>
    </row>
    <row r="81" spans="1:6" x14ac:dyDescent="0.25">
      <c r="A81" s="56">
        <v>29523023.800000001</v>
      </c>
      <c r="C81" s="18">
        <v>76000000</v>
      </c>
      <c r="D81" s="19">
        <v>19</v>
      </c>
      <c r="E81" s="20">
        <f t="shared" si="2"/>
        <v>1.9E-3</v>
      </c>
      <c r="F81" s="20">
        <f t="shared" si="3"/>
        <v>0.76349999999999973</v>
      </c>
    </row>
    <row r="82" spans="1:6" x14ac:dyDescent="0.25">
      <c r="A82" s="56">
        <v>24987048</v>
      </c>
      <c r="C82" s="18">
        <v>77000000</v>
      </c>
      <c r="D82" s="19">
        <v>30</v>
      </c>
      <c r="E82" s="20">
        <f t="shared" si="2"/>
        <v>3.0000000000000001E-3</v>
      </c>
      <c r="F82" s="20">
        <f t="shared" si="3"/>
        <v>0.76649999999999974</v>
      </c>
    </row>
    <row r="83" spans="1:6" x14ac:dyDescent="0.25">
      <c r="A83" s="56">
        <v>190001098.09999999</v>
      </c>
      <c r="C83" s="18">
        <v>78000000</v>
      </c>
      <c r="D83" s="19">
        <v>24</v>
      </c>
      <c r="E83" s="20">
        <f t="shared" si="2"/>
        <v>2.3999999999999998E-3</v>
      </c>
      <c r="F83" s="20">
        <f t="shared" si="3"/>
        <v>0.76889999999999969</v>
      </c>
    </row>
    <row r="84" spans="1:6" x14ac:dyDescent="0.25">
      <c r="A84" s="56">
        <v>5140739.5999999996</v>
      </c>
      <c r="C84" s="18">
        <v>79000000</v>
      </c>
      <c r="D84" s="19">
        <v>24</v>
      </c>
      <c r="E84" s="20">
        <f t="shared" si="2"/>
        <v>2.3999999999999998E-3</v>
      </c>
      <c r="F84" s="20">
        <f t="shared" si="3"/>
        <v>0.77129999999999965</v>
      </c>
    </row>
    <row r="85" spans="1:6" x14ac:dyDescent="0.25">
      <c r="A85" s="56">
        <v>205239769.19999999</v>
      </c>
      <c r="C85" s="18">
        <v>80000000</v>
      </c>
      <c r="D85" s="19">
        <v>20</v>
      </c>
      <c r="E85" s="20">
        <f t="shared" si="2"/>
        <v>2E-3</v>
      </c>
      <c r="F85" s="20">
        <f t="shared" si="3"/>
        <v>0.77329999999999965</v>
      </c>
    </row>
    <row r="86" spans="1:6" x14ac:dyDescent="0.25">
      <c r="A86" s="56">
        <v>14204103.199999999</v>
      </c>
      <c r="C86" s="18">
        <v>81000000</v>
      </c>
      <c r="D86" s="19">
        <v>23</v>
      </c>
      <c r="E86" s="20">
        <f t="shared" si="2"/>
        <v>2.3E-3</v>
      </c>
      <c r="F86" s="20">
        <f t="shared" si="3"/>
        <v>0.77559999999999962</v>
      </c>
    </row>
    <row r="87" spans="1:6" x14ac:dyDescent="0.25">
      <c r="A87" s="56">
        <v>48218190.200000003</v>
      </c>
      <c r="C87" s="18">
        <v>82000000</v>
      </c>
      <c r="D87" s="19">
        <v>23</v>
      </c>
      <c r="E87" s="20">
        <f t="shared" si="2"/>
        <v>2.3E-3</v>
      </c>
      <c r="F87" s="20">
        <f t="shared" si="3"/>
        <v>0.77789999999999959</v>
      </c>
    </row>
    <row r="88" spans="1:6" x14ac:dyDescent="0.25">
      <c r="A88" s="56">
        <v>10372739.199999999</v>
      </c>
      <c r="C88" s="18">
        <v>83000000</v>
      </c>
      <c r="D88" s="19">
        <v>25</v>
      </c>
      <c r="E88" s="20">
        <f t="shared" si="2"/>
        <v>2.5000000000000001E-3</v>
      </c>
      <c r="F88" s="20">
        <f t="shared" si="3"/>
        <v>0.78039999999999954</v>
      </c>
    </row>
    <row r="89" spans="1:6" x14ac:dyDescent="0.25">
      <c r="A89" s="56">
        <v>8628068.3999999892</v>
      </c>
      <c r="C89" s="18">
        <v>84000000</v>
      </c>
      <c r="D89" s="19">
        <v>22</v>
      </c>
      <c r="E89" s="20">
        <f t="shared" si="2"/>
        <v>2.2000000000000001E-3</v>
      </c>
      <c r="F89" s="20">
        <f t="shared" si="3"/>
        <v>0.78259999999999952</v>
      </c>
    </row>
    <row r="90" spans="1:6" x14ac:dyDescent="0.25">
      <c r="A90" s="56">
        <v>245346514.40000001</v>
      </c>
      <c r="C90" s="18">
        <v>85000000</v>
      </c>
      <c r="D90" s="19">
        <v>18</v>
      </c>
      <c r="E90" s="20">
        <f t="shared" si="2"/>
        <v>1.8E-3</v>
      </c>
      <c r="F90" s="20">
        <f t="shared" si="3"/>
        <v>0.78439999999999954</v>
      </c>
    </row>
    <row r="91" spans="1:6" x14ac:dyDescent="0.25">
      <c r="A91" s="56">
        <v>73458844.599999905</v>
      </c>
      <c r="C91" s="18">
        <v>86000000</v>
      </c>
      <c r="D91" s="19">
        <v>19</v>
      </c>
      <c r="E91" s="20">
        <f t="shared" si="2"/>
        <v>1.9E-3</v>
      </c>
      <c r="F91" s="20">
        <f t="shared" si="3"/>
        <v>0.78629999999999955</v>
      </c>
    </row>
    <row r="92" spans="1:6" x14ac:dyDescent="0.25">
      <c r="A92" s="56">
        <v>0</v>
      </c>
      <c r="C92" s="18">
        <v>87000000</v>
      </c>
      <c r="D92" s="19">
        <v>29</v>
      </c>
      <c r="E92" s="20">
        <f t="shared" si="2"/>
        <v>2.8999999999999998E-3</v>
      </c>
      <c r="F92" s="20">
        <f t="shared" si="3"/>
        <v>0.78919999999999957</v>
      </c>
    </row>
    <row r="93" spans="1:6" x14ac:dyDescent="0.25">
      <c r="A93" s="56">
        <v>24227605.5</v>
      </c>
      <c r="C93" s="18">
        <v>88000000</v>
      </c>
      <c r="D93" s="19">
        <v>17</v>
      </c>
      <c r="E93" s="20">
        <f t="shared" si="2"/>
        <v>1.6999999999999999E-3</v>
      </c>
      <c r="F93" s="20">
        <f t="shared" si="3"/>
        <v>0.7908999999999996</v>
      </c>
    </row>
    <row r="94" spans="1:6" x14ac:dyDescent="0.25">
      <c r="A94" s="56">
        <v>16190221.6</v>
      </c>
      <c r="C94" s="18">
        <v>89000000</v>
      </c>
      <c r="D94" s="19">
        <v>25</v>
      </c>
      <c r="E94" s="20">
        <f t="shared" si="2"/>
        <v>2.5000000000000001E-3</v>
      </c>
      <c r="F94" s="20">
        <f t="shared" si="3"/>
        <v>0.79339999999999955</v>
      </c>
    </row>
    <row r="95" spans="1:6" x14ac:dyDescent="0.25">
      <c r="A95" s="56">
        <v>61030513.5</v>
      </c>
      <c r="C95" s="18">
        <v>90000000</v>
      </c>
      <c r="D95" s="19">
        <v>15</v>
      </c>
      <c r="E95" s="20">
        <f t="shared" si="2"/>
        <v>1.5E-3</v>
      </c>
      <c r="F95" s="20">
        <f t="shared" si="3"/>
        <v>0.7948999999999995</v>
      </c>
    </row>
    <row r="96" spans="1:6" x14ac:dyDescent="0.25">
      <c r="A96" s="56">
        <v>11013105.300000001</v>
      </c>
      <c r="C96" s="18">
        <v>91000000</v>
      </c>
      <c r="D96" s="19">
        <v>26</v>
      </c>
      <c r="E96" s="20">
        <f t="shared" si="2"/>
        <v>2.5999999999999999E-3</v>
      </c>
      <c r="F96" s="20">
        <f t="shared" si="3"/>
        <v>0.79749999999999954</v>
      </c>
    </row>
    <row r="97" spans="1:6" x14ac:dyDescent="0.25">
      <c r="A97" s="56">
        <v>28400525.5</v>
      </c>
      <c r="C97" s="18">
        <v>92000000</v>
      </c>
      <c r="D97" s="19">
        <v>18</v>
      </c>
      <c r="E97" s="20">
        <f t="shared" si="2"/>
        <v>1.8E-3</v>
      </c>
      <c r="F97" s="20">
        <f t="shared" si="3"/>
        <v>0.79929999999999957</v>
      </c>
    </row>
    <row r="98" spans="1:6" x14ac:dyDescent="0.25">
      <c r="A98" s="56">
        <v>108830574.40000001</v>
      </c>
      <c r="C98" s="18">
        <v>93000000</v>
      </c>
      <c r="D98" s="19">
        <v>17</v>
      </c>
      <c r="E98" s="20">
        <f t="shared" si="2"/>
        <v>1.6999999999999999E-3</v>
      </c>
      <c r="F98" s="20">
        <f t="shared" si="3"/>
        <v>0.8009999999999996</v>
      </c>
    </row>
    <row r="99" spans="1:6" x14ac:dyDescent="0.25">
      <c r="A99" s="56">
        <v>252616122.5</v>
      </c>
      <c r="C99" s="18">
        <v>94000000</v>
      </c>
      <c r="D99" s="19">
        <v>18</v>
      </c>
      <c r="E99" s="20">
        <f t="shared" si="2"/>
        <v>1.8E-3</v>
      </c>
      <c r="F99" s="20">
        <f t="shared" si="3"/>
        <v>0.80279999999999963</v>
      </c>
    </row>
    <row r="100" spans="1:6" x14ac:dyDescent="0.25">
      <c r="A100" s="56">
        <v>153220.4</v>
      </c>
      <c r="C100" s="18">
        <v>95000000</v>
      </c>
      <c r="D100" s="19">
        <v>19</v>
      </c>
      <c r="E100" s="20">
        <f t="shared" si="2"/>
        <v>1.9E-3</v>
      </c>
      <c r="F100" s="20">
        <f t="shared" si="3"/>
        <v>0.80469999999999964</v>
      </c>
    </row>
    <row r="101" spans="1:6" x14ac:dyDescent="0.25">
      <c r="A101" s="56">
        <v>92719993.399999902</v>
      </c>
      <c r="C101" s="18">
        <v>96000000</v>
      </c>
      <c r="D101" s="19">
        <v>17</v>
      </c>
      <c r="E101" s="20">
        <f t="shared" si="2"/>
        <v>1.6999999999999999E-3</v>
      </c>
      <c r="F101" s="20">
        <f t="shared" si="3"/>
        <v>0.80639999999999967</v>
      </c>
    </row>
    <row r="102" spans="1:6" x14ac:dyDescent="0.25">
      <c r="A102" s="56">
        <v>37090729.699999899</v>
      </c>
      <c r="C102" s="18">
        <v>97000000</v>
      </c>
      <c r="D102" s="19">
        <v>13</v>
      </c>
      <c r="E102" s="20">
        <f t="shared" si="2"/>
        <v>1.2999999999999999E-3</v>
      </c>
      <c r="F102" s="20">
        <f t="shared" si="3"/>
        <v>0.80769999999999964</v>
      </c>
    </row>
    <row r="103" spans="1:6" x14ac:dyDescent="0.25">
      <c r="A103" s="56">
        <v>318632698.39999998</v>
      </c>
      <c r="C103" s="18">
        <v>98000000</v>
      </c>
      <c r="D103" s="19">
        <v>25</v>
      </c>
      <c r="E103" s="20">
        <f t="shared" si="2"/>
        <v>2.5000000000000001E-3</v>
      </c>
      <c r="F103" s="20">
        <f t="shared" si="3"/>
        <v>0.81019999999999959</v>
      </c>
    </row>
    <row r="104" spans="1:6" x14ac:dyDescent="0.25">
      <c r="A104" s="56">
        <v>0</v>
      </c>
      <c r="C104" s="18">
        <v>99000000</v>
      </c>
      <c r="D104" s="19">
        <v>21</v>
      </c>
      <c r="E104" s="20">
        <f t="shared" si="2"/>
        <v>2.0999999999999999E-3</v>
      </c>
      <c r="F104" s="20">
        <f t="shared" si="3"/>
        <v>0.81229999999999958</v>
      </c>
    </row>
    <row r="105" spans="1:6" x14ac:dyDescent="0.25">
      <c r="A105" s="56">
        <v>13633013.300000001</v>
      </c>
      <c r="C105" s="18">
        <v>100000000</v>
      </c>
      <c r="D105" s="19">
        <v>22</v>
      </c>
      <c r="E105" s="20">
        <f t="shared" si="2"/>
        <v>2.2000000000000001E-3</v>
      </c>
      <c r="F105" s="20">
        <f t="shared" si="3"/>
        <v>0.81449999999999956</v>
      </c>
    </row>
    <row r="106" spans="1:6" x14ac:dyDescent="0.25">
      <c r="A106" s="56">
        <v>129883088.7</v>
      </c>
      <c r="C106" s="18">
        <v>101000000</v>
      </c>
      <c r="D106" s="19">
        <v>19</v>
      </c>
      <c r="E106" s="20">
        <f t="shared" si="2"/>
        <v>1.9E-3</v>
      </c>
      <c r="F106" s="20">
        <f t="shared" si="3"/>
        <v>0.81639999999999957</v>
      </c>
    </row>
    <row r="107" spans="1:6" x14ac:dyDescent="0.25">
      <c r="A107" s="56">
        <v>95564464.700000003</v>
      </c>
      <c r="C107" s="18">
        <v>102000000</v>
      </c>
      <c r="D107" s="19">
        <v>24</v>
      </c>
      <c r="E107" s="20">
        <f t="shared" si="2"/>
        <v>2.3999999999999998E-3</v>
      </c>
      <c r="F107" s="20">
        <f t="shared" si="3"/>
        <v>0.81879999999999953</v>
      </c>
    </row>
    <row r="108" spans="1:6" x14ac:dyDescent="0.25">
      <c r="A108" s="56">
        <v>11348288.4</v>
      </c>
      <c r="C108" s="18">
        <v>103000000</v>
      </c>
      <c r="D108" s="19">
        <v>19</v>
      </c>
      <c r="E108" s="20">
        <f t="shared" si="2"/>
        <v>1.9E-3</v>
      </c>
      <c r="F108" s="20">
        <f t="shared" si="3"/>
        <v>0.82069999999999954</v>
      </c>
    </row>
    <row r="109" spans="1:6" x14ac:dyDescent="0.25">
      <c r="A109" s="56">
        <v>79677266.5</v>
      </c>
      <c r="C109" s="18">
        <v>104000000</v>
      </c>
      <c r="D109" s="19">
        <v>17</v>
      </c>
      <c r="E109" s="20">
        <f t="shared" si="2"/>
        <v>1.6999999999999999E-3</v>
      </c>
      <c r="F109" s="20">
        <f t="shared" si="3"/>
        <v>0.82239999999999958</v>
      </c>
    </row>
    <row r="110" spans="1:6" x14ac:dyDescent="0.25">
      <c r="A110" s="56">
        <v>0</v>
      </c>
      <c r="C110" s="18">
        <v>105000000</v>
      </c>
      <c r="D110" s="19">
        <v>17</v>
      </c>
      <c r="E110" s="20">
        <f t="shared" si="2"/>
        <v>1.6999999999999999E-3</v>
      </c>
      <c r="F110" s="20">
        <f t="shared" si="3"/>
        <v>0.82409999999999961</v>
      </c>
    </row>
    <row r="111" spans="1:6" x14ac:dyDescent="0.25">
      <c r="A111" s="56">
        <v>0</v>
      </c>
      <c r="C111" s="18">
        <v>106000000</v>
      </c>
      <c r="D111" s="19">
        <v>19</v>
      </c>
      <c r="E111" s="20">
        <f t="shared" si="2"/>
        <v>1.9E-3</v>
      </c>
      <c r="F111" s="20">
        <f t="shared" si="3"/>
        <v>0.82599999999999962</v>
      </c>
    </row>
    <row r="112" spans="1:6" x14ac:dyDescent="0.25">
      <c r="A112" s="56">
        <v>90340488.899999902</v>
      </c>
      <c r="C112" s="18">
        <v>107000000</v>
      </c>
      <c r="D112" s="19">
        <v>17</v>
      </c>
      <c r="E112" s="20">
        <f t="shared" si="2"/>
        <v>1.6999999999999999E-3</v>
      </c>
      <c r="F112" s="20">
        <f t="shared" si="3"/>
        <v>0.82769999999999966</v>
      </c>
    </row>
    <row r="113" spans="1:6" x14ac:dyDescent="0.25">
      <c r="A113" s="56">
        <v>147083130</v>
      </c>
      <c r="C113" s="18">
        <v>108000000</v>
      </c>
      <c r="D113" s="19">
        <v>13</v>
      </c>
      <c r="E113" s="20">
        <f t="shared" si="2"/>
        <v>1.2999999999999999E-3</v>
      </c>
      <c r="F113" s="20">
        <f t="shared" si="3"/>
        <v>0.82899999999999963</v>
      </c>
    </row>
    <row r="114" spans="1:6" x14ac:dyDescent="0.25">
      <c r="A114" s="56">
        <v>346899996.60000002</v>
      </c>
      <c r="C114" s="18">
        <v>109000000</v>
      </c>
      <c r="D114" s="19">
        <v>13</v>
      </c>
      <c r="E114" s="20">
        <f t="shared" si="2"/>
        <v>1.2999999999999999E-3</v>
      </c>
      <c r="F114" s="20">
        <f t="shared" si="3"/>
        <v>0.83029999999999959</v>
      </c>
    </row>
    <row r="115" spans="1:6" x14ac:dyDescent="0.25">
      <c r="A115" s="56">
        <v>48495957.899999999</v>
      </c>
      <c r="C115" s="18">
        <v>110000000</v>
      </c>
      <c r="D115" s="19">
        <v>15</v>
      </c>
      <c r="E115" s="20">
        <f t="shared" si="2"/>
        <v>1.5E-3</v>
      </c>
      <c r="F115" s="20">
        <f t="shared" si="3"/>
        <v>0.83179999999999954</v>
      </c>
    </row>
    <row r="116" spans="1:6" x14ac:dyDescent="0.25">
      <c r="A116" s="56">
        <v>0</v>
      </c>
      <c r="C116" s="18">
        <v>111000000</v>
      </c>
      <c r="D116" s="19">
        <v>17</v>
      </c>
      <c r="E116" s="20">
        <f t="shared" si="2"/>
        <v>1.6999999999999999E-3</v>
      </c>
      <c r="F116" s="20">
        <f t="shared" si="3"/>
        <v>0.83349999999999957</v>
      </c>
    </row>
    <row r="117" spans="1:6" x14ac:dyDescent="0.25">
      <c r="A117" s="56">
        <v>5634307.6999999899</v>
      </c>
      <c r="C117" s="18">
        <v>112000000</v>
      </c>
      <c r="D117" s="19">
        <v>14</v>
      </c>
      <c r="E117" s="20">
        <f t="shared" si="2"/>
        <v>1.4E-3</v>
      </c>
      <c r="F117" s="20">
        <f t="shared" si="3"/>
        <v>0.83489999999999953</v>
      </c>
    </row>
    <row r="118" spans="1:6" x14ac:dyDescent="0.25">
      <c r="A118" s="56">
        <v>62085889.2999999</v>
      </c>
      <c r="C118" s="18">
        <v>113000000</v>
      </c>
      <c r="D118" s="19">
        <v>19</v>
      </c>
      <c r="E118" s="20">
        <f t="shared" si="2"/>
        <v>1.9E-3</v>
      </c>
      <c r="F118" s="20">
        <f t="shared" si="3"/>
        <v>0.83679999999999954</v>
      </c>
    </row>
    <row r="119" spans="1:6" x14ac:dyDescent="0.25">
      <c r="A119" s="56">
        <v>759643.2</v>
      </c>
      <c r="C119" s="18">
        <v>114000000</v>
      </c>
      <c r="D119" s="19">
        <v>18</v>
      </c>
      <c r="E119" s="20">
        <f t="shared" si="2"/>
        <v>1.8E-3</v>
      </c>
      <c r="F119" s="20">
        <f t="shared" si="3"/>
        <v>0.83859999999999957</v>
      </c>
    </row>
    <row r="120" spans="1:6" x14ac:dyDescent="0.25">
      <c r="A120" s="56">
        <v>42789590.099999897</v>
      </c>
      <c r="C120" s="18">
        <v>115000000</v>
      </c>
      <c r="D120" s="19">
        <v>14</v>
      </c>
      <c r="E120" s="20">
        <f t="shared" si="2"/>
        <v>1.4E-3</v>
      </c>
      <c r="F120" s="20">
        <f t="shared" si="3"/>
        <v>0.83999999999999952</v>
      </c>
    </row>
    <row r="121" spans="1:6" x14ac:dyDescent="0.25">
      <c r="A121" s="56">
        <v>62557075.200000003</v>
      </c>
      <c r="C121" s="18">
        <v>116000000</v>
      </c>
      <c r="D121" s="19">
        <v>17</v>
      </c>
      <c r="E121" s="20">
        <f t="shared" si="2"/>
        <v>1.6999999999999999E-3</v>
      </c>
      <c r="F121" s="20">
        <f t="shared" si="3"/>
        <v>0.84169999999999956</v>
      </c>
    </row>
    <row r="122" spans="1:6" x14ac:dyDescent="0.25">
      <c r="A122" s="56">
        <v>30220329.100000001</v>
      </c>
      <c r="C122" s="18">
        <v>117000000</v>
      </c>
      <c r="D122" s="19">
        <v>16</v>
      </c>
      <c r="E122" s="20">
        <f t="shared" si="2"/>
        <v>1.6000000000000001E-3</v>
      </c>
      <c r="F122" s="20">
        <f t="shared" si="3"/>
        <v>0.84329999999999961</v>
      </c>
    </row>
    <row r="123" spans="1:6" x14ac:dyDescent="0.25">
      <c r="A123" s="56">
        <v>17352808.100000001</v>
      </c>
      <c r="C123" s="18">
        <v>118000000</v>
      </c>
      <c r="D123" s="19">
        <v>13</v>
      </c>
      <c r="E123" s="20">
        <f t="shared" si="2"/>
        <v>1.2999999999999999E-3</v>
      </c>
      <c r="F123" s="20">
        <f t="shared" si="3"/>
        <v>0.84459999999999957</v>
      </c>
    </row>
    <row r="124" spans="1:6" x14ac:dyDescent="0.25">
      <c r="A124" s="56">
        <v>759643.2</v>
      </c>
      <c r="C124" s="18">
        <v>119000000</v>
      </c>
      <c r="D124" s="19">
        <v>15</v>
      </c>
      <c r="E124" s="20">
        <f t="shared" si="2"/>
        <v>1.5E-3</v>
      </c>
      <c r="F124" s="20">
        <f t="shared" si="3"/>
        <v>0.84609999999999952</v>
      </c>
    </row>
    <row r="125" spans="1:6" x14ac:dyDescent="0.25">
      <c r="A125" s="56">
        <v>1948908.6</v>
      </c>
      <c r="C125" s="18">
        <v>120000000</v>
      </c>
      <c r="D125" s="19">
        <v>13</v>
      </c>
      <c r="E125" s="20">
        <f t="shared" si="2"/>
        <v>1.2999999999999999E-3</v>
      </c>
      <c r="F125" s="20">
        <f t="shared" si="3"/>
        <v>0.84739999999999949</v>
      </c>
    </row>
    <row r="126" spans="1:6" x14ac:dyDescent="0.25">
      <c r="A126" s="56">
        <v>0</v>
      </c>
      <c r="C126" s="18">
        <v>121000000</v>
      </c>
      <c r="D126" s="19">
        <v>15</v>
      </c>
      <c r="E126" s="20">
        <f t="shared" si="2"/>
        <v>1.5E-3</v>
      </c>
      <c r="F126" s="20">
        <f t="shared" si="3"/>
        <v>0.84889999999999943</v>
      </c>
    </row>
    <row r="127" spans="1:6" x14ac:dyDescent="0.25">
      <c r="A127" s="56">
        <v>4047412.4</v>
      </c>
      <c r="C127" s="18">
        <v>122000000</v>
      </c>
      <c r="D127" s="19">
        <v>13</v>
      </c>
      <c r="E127" s="20">
        <f t="shared" si="2"/>
        <v>1.2999999999999999E-3</v>
      </c>
      <c r="F127" s="20">
        <f t="shared" si="3"/>
        <v>0.8501999999999994</v>
      </c>
    </row>
    <row r="128" spans="1:6" x14ac:dyDescent="0.25">
      <c r="A128" s="56">
        <v>45121559.799999997</v>
      </c>
      <c r="C128" s="18">
        <v>123000000</v>
      </c>
      <c r="D128" s="19">
        <v>11</v>
      </c>
      <c r="E128" s="20">
        <f t="shared" si="2"/>
        <v>1.1000000000000001E-3</v>
      </c>
      <c r="F128" s="20">
        <f t="shared" si="3"/>
        <v>0.85129999999999939</v>
      </c>
    </row>
    <row r="129" spans="1:6" x14ac:dyDescent="0.25">
      <c r="A129" s="56">
        <v>63872115.899999999</v>
      </c>
      <c r="C129" s="18">
        <v>124000000</v>
      </c>
      <c r="D129" s="19">
        <v>8</v>
      </c>
      <c r="E129" s="20">
        <f t="shared" si="2"/>
        <v>8.0000000000000004E-4</v>
      </c>
      <c r="F129" s="20">
        <f t="shared" si="3"/>
        <v>0.85209999999999941</v>
      </c>
    </row>
    <row r="130" spans="1:6" x14ac:dyDescent="0.25">
      <c r="A130" s="56">
        <v>22636606.800000001</v>
      </c>
      <c r="C130" s="18">
        <v>125000000</v>
      </c>
      <c r="D130" s="19">
        <v>15</v>
      </c>
      <c r="E130" s="20">
        <f t="shared" si="2"/>
        <v>1.5E-3</v>
      </c>
      <c r="F130" s="20">
        <f t="shared" si="3"/>
        <v>0.85359999999999936</v>
      </c>
    </row>
    <row r="131" spans="1:6" x14ac:dyDescent="0.25">
      <c r="A131" s="56">
        <v>0</v>
      </c>
      <c r="C131" s="18">
        <v>126000000</v>
      </c>
      <c r="D131" s="19">
        <v>10</v>
      </c>
      <c r="E131" s="20">
        <f t="shared" si="2"/>
        <v>1E-3</v>
      </c>
      <c r="F131" s="20">
        <f t="shared" si="3"/>
        <v>0.85459999999999936</v>
      </c>
    </row>
    <row r="132" spans="1:6" x14ac:dyDescent="0.25">
      <c r="A132" s="56">
        <v>5617663.7999999998</v>
      </c>
      <c r="C132" s="18">
        <v>127000000</v>
      </c>
      <c r="D132" s="19">
        <v>15</v>
      </c>
      <c r="E132" s="20">
        <f t="shared" si="2"/>
        <v>1.5E-3</v>
      </c>
      <c r="F132" s="20">
        <f t="shared" si="3"/>
        <v>0.85609999999999931</v>
      </c>
    </row>
    <row r="133" spans="1:6" x14ac:dyDescent="0.25">
      <c r="A133" s="56">
        <v>6329917.2999999998</v>
      </c>
      <c r="C133" s="18">
        <v>128000000</v>
      </c>
      <c r="D133" s="19">
        <v>16</v>
      </c>
      <c r="E133" s="20">
        <f t="shared" ref="E133:E196" si="4">D133/10000</f>
        <v>1.6000000000000001E-3</v>
      </c>
      <c r="F133" s="20">
        <f t="shared" si="3"/>
        <v>0.85769999999999935</v>
      </c>
    </row>
    <row r="134" spans="1:6" x14ac:dyDescent="0.25">
      <c r="A134" s="56">
        <v>12394744.4</v>
      </c>
      <c r="C134" s="18">
        <v>129000000</v>
      </c>
      <c r="D134" s="19">
        <v>8</v>
      </c>
      <c r="E134" s="20">
        <f t="shared" si="4"/>
        <v>8.0000000000000004E-4</v>
      </c>
      <c r="F134" s="20">
        <f t="shared" ref="F134:F197" si="5">E134+F133</f>
        <v>0.85849999999999937</v>
      </c>
    </row>
    <row r="135" spans="1:6" x14ac:dyDescent="0.25">
      <c r="A135" s="56">
        <v>40021010.5</v>
      </c>
      <c r="C135" s="18">
        <v>130000000</v>
      </c>
      <c r="D135" s="19">
        <v>10</v>
      </c>
      <c r="E135" s="20">
        <f t="shared" si="4"/>
        <v>1E-3</v>
      </c>
      <c r="F135" s="20">
        <f t="shared" si="5"/>
        <v>0.85949999999999938</v>
      </c>
    </row>
    <row r="136" spans="1:6" x14ac:dyDescent="0.25">
      <c r="A136" s="56">
        <v>35664691.200000003</v>
      </c>
      <c r="C136" s="18">
        <v>131000000</v>
      </c>
      <c r="D136" s="19">
        <v>8</v>
      </c>
      <c r="E136" s="20">
        <f t="shared" si="4"/>
        <v>8.0000000000000004E-4</v>
      </c>
      <c r="F136" s="20">
        <f t="shared" si="5"/>
        <v>0.8602999999999994</v>
      </c>
    </row>
    <row r="137" spans="1:6" x14ac:dyDescent="0.25">
      <c r="A137" s="56">
        <v>9687637.1999999899</v>
      </c>
      <c r="C137" s="18">
        <v>132000000</v>
      </c>
      <c r="D137" s="19">
        <v>9</v>
      </c>
      <c r="E137" s="20">
        <f t="shared" si="4"/>
        <v>8.9999999999999998E-4</v>
      </c>
      <c r="F137" s="20">
        <f t="shared" si="5"/>
        <v>0.86119999999999941</v>
      </c>
    </row>
    <row r="138" spans="1:6" x14ac:dyDescent="0.25">
      <c r="A138" s="56">
        <v>31386179.199999999</v>
      </c>
      <c r="C138" s="18">
        <v>133000000</v>
      </c>
      <c r="D138" s="19">
        <v>5</v>
      </c>
      <c r="E138" s="20">
        <f t="shared" si="4"/>
        <v>5.0000000000000001E-4</v>
      </c>
      <c r="F138" s="20">
        <f t="shared" si="5"/>
        <v>0.86169999999999936</v>
      </c>
    </row>
    <row r="139" spans="1:6" x14ac:dyDescent="0.25">
      <c r="A139" s="56">
        <v>3193066.2</v>
      </c>
      <c r="C139" s="18">
        <v>134000000</v>
      </c>
      <c r="D139" s="19">
        <v>8</v>
      </c>
      <c r="E139" s="20">
        <f t="shared" si="4"/>
        <v>8.0000000000000004E-4</v>
      </c>
      <c r="F139" s="20">
        <f t="shared" si="5"/>
        <v>0.86249999999999938</v>
      </c>
    </row>
    <row r="140" spans="1:6" x14ac:dyDescent="0.25">
      <c r="A140" s="56">
        <v>52927278.399999999</v>
      </c>
      <c r="C140" s="18">
        <v>135000000</v>
      </c>
      <c r="D140" s="19">
        <v>8</v>
      </c>
      <c r="E140" s="20">
        <f t="shared" si="4"/>
        <v>8.0000000000000004E-4</v>
      </c>
      <c r="F140" s="20">
        <f t="shared" si="5"/>
        <v>0.8632999999999994</v>
      </c>
    </row>
    <row r="141" spans="1:6" x14ac:dyDescent="0.25">
      <c r="A141" s="56">
        <v>40801793.599999897</v>
      </c>
      <c r="C141" s="18">
        <v>136000000</v>
      </c>
      <c r="D141" s="19">
        <v>10</v>
      </c>
      <c r="E141" s="20">
        <f t="shared" si="4"/>
        <v>1E-3</v>
      </c>
      <c r="F141" s="20">
        <f t="shared" si="5"/>
        <v>0.8642999999999994</v>
      </c>
    </row>
    <row r="142" spans="1:6" x14ac:dyDescent="0.25">
      <c r="A142" s="56">
        <v>78103163.699999899</v>
      </c>
      <c r="C142" s="18">
        <v>137000000</v>
      </c>
      <c r="D142" s="19">
        <v>13</v>
      </c>
      <c r="E142" s="20">
        <f t="shared" si="4"/>
        <v>1.2999999999999999E-3</v>
      </c>
      <c r="F142" s="20">
        <f t="shared" si="5"/>
        <v>0.86559999999999937</v>
      </c>
    </row>
    <row r="143" spans="1:6" x14ac:dyDescent="0.25">
      <c r="A143" s="56">
        <v>23217892.800000001</v>
      </c>
      <c r="C143" s="18">
        <v>138000000</v>
      </c>
      <c r="D143" s="19">
        <v>12</v>
      </c>
      <c r="E143" s="20">
        <f t="shared" si="4"/>
        <v>1.1999999999999999E-3</v>
      </c>
      <c r="F143" s="20">
        <f t="shared" si="5"/>
        <v>0.86679999999999935</v>
      </c>
    </row>
    <row r="144" spans="1:6" x14ac:dyDescent="0.25">
      <c r="A144" s="56">
        <v>59240860.999999903</v>
      </c>
      <c r="C144" s="18">
        <v>139000000</v>
      </c>
      <c r="D144" s="19">
        <v>11</v>
      </c>
      <c r="E144" s="20">
        <f t="shared" si="4"/>
        <v>1.1000000000000001E-3</v>
      </c>
      <c r="F144" s="20">
        <f t="shared" si="5"/>
        <v>0.86789999999999934</v>
      </c>
    </row>
    <row r="145" spans="1:6" x14ac:dyDescent="0.25">
      <c r="A145" s="56">
        <v>105634937.59999999</v>
      </c>
      <c r="C145" s="18">
        <v>140000000</v>
      </c>
      <c r="D145" s="19">
        <v>14</v>
      </c>
      <c r="E145" s="20">
        <f t="shared" si="4"/>
        <v>1.4E-3</v>
      </c>
      <c r="F145" s="20">
        <f t="shared" si="5"/>
        <v>0.8692999999999993</v>
      </c>
    </row>
    <row r="146" spans="1:6" x14ac:dyDescent="0.25">
      <c r="A146" s="56">
        <v>13191063.199999999</v>
      </c>
      <c r="C146" s="18">
        <v>141000000</v>
      </c>
      <c r="D146" s="19">
        <v>11</v>
      </c>
      <c r="E146" s="20">
        <f t="shared" si="4"/>
        <v>1.1000000000000001E-3</v>
      </c>
      <c r="F146" s="20">
        <f t="shared" si="5"/>
        <v>0.87039999999999929</v>
      </c>
    </row>
    <row r="147" spans="1:6" x14ac:dyDescent="0.25">
      <c r="A147" s="56">
        <v>6629873.5999999996</v>
      </c>
      <c r="C147" s="18">
        <v>142000000</v>
      </c>
      <c r="D147" s="19">
        <v>11</v>
      </c>
      <c r="E147" s="20">
        <f t="shared" si="4"/>
        <v>1.1000000000000001E-3</v>
      </c>
      <c r="F147" s="20">
        <f t="shared" si="5"/>
        <v>0.87149999999999928</v>
      </c>
    </row>
    <row r="148" spans="1:6" x14ac:dyDescent="0.25">
      <c r="A148" s="56">
        <v>0</v>
      </c>
      <c r="C148" s="18">
        <v>143000000</v>
      </c>
      <c r="D148" s="19">
        <v>17</v>
      </c>
      <c r="E148" s="20">
        <f t="shared" si="4"/>
        <v>1.6999999999999999E-3</v>
      </c>
      <c r="F148" s="20">
        <f t="shared" si="5"/>
        <v>0.87319999999999931</v>
      </c>
    </row>
    <row r="149" spans="1:6" x14ac:dyDescent="0.25">
      <c r="A149" s="56">
        <v>14135342.199999999</v>
      </c>
      <c r="C149" s="18">
        <v>144000000</v>
      </c>
      <c r="D149" s="19">
        <v>12</v>
      </c>
      <c r="E149" s="20">
        <f t="shared" si="4"/>
        <v>1.1999999999999999E-3</v>
      </c>
      <c r="F149" s="20">
        <f t="shared" si="5"/>
        <v>0.87439999999999929</v>
      </c>
    </row>
    <row r="150" spans="1:6" x14ac:dyDescent="0.25">
      <c r="A150" s="56">
        <v>56978927.100000001</v>
      </c>
      <c r="C150" s="18">
        <v>145000000</v>
      </c>
      <c r="D150" s="19">
        <v>9</v>
      </c>
      <c r="E150" s="20">
        <f t="shared" si="4"/>
        <v>8.9999999999999998E-4</v>
      </c>
      <c r="F150" s="20">
        <f t="shared" si="5"/>
        <v>0.8752999999999993</v>
      </c>
    </row>
    <row r="151" spans="1:6" x14ac:dyDescent="0.25">
      <c r="A151" s="56">
        <v>26378722.199999999</v>
      </c>
      <c r="C151" s="18">
        <v>146000000</v>
      </c>
      <c r="D151" s="19">
        <v>11</v>
      </c>
      <c r="E151" s="20">
        <f t="shared" si="4"/>
        <v>1.1000000000000001E-3</v>
      </c>
      <c r="F151" s="20">
        <f t="shared" si="5"/>
        <v>0.87639999999999929</v>
      </c>
    </row>
    <row r="152" spans="1:6" x14ac:dyDescent="0.25">
      <c r="A152" s="56">
        <v>37742454.200000003</v>
      </c>
      <c r="C152" s="18">
        <v>147000000</v>
      </c>
      <c r="D152" s="19">
        <v>11</v>
      </c>
      <c r="E152" s="20">
        <f t="shared" si="4"/>
        <v>1.1000000000000001E-3</v>
      </c>
      <c r="F152" s="20">
        <f t="shared" si="5"/>
        <v>0.87749999999999928</v>
      </c>
    </row>
    <row r="153" spans="1:6" x14ac:dyDescent="0.25">
      <c r="A153" s="56">
        <v>16033608.699999999</v>
      </c>
      <c r="C153" s="18">
        <v>148000000</v>
      </c>
      <c r="D153" s="19">
        <v>13</v>
      </c>
      <c r="E153" s="20">
        <f t="shared" si="4"/>
        <v>1.2999999999999999E-3</v>
      </c>
      <c r="F153" s="20">
        <f t="shared" si="5"/>
        <v>0.87879999999999925</v>
      </c>
    </row>
    <row r="154" spans="1:6" x14ac:dyDescent="0.25">
      <c r="A154" s="56">
        <v>96868112.299999997</v>
      </c>
      <c r="C154" s="18">
        <v>149000000</v>
      </c>
      <c r="D154" s="19">
        <v>13</v>
      </c>
      <c r="E154" s="20">
        <f t="shared" si="4"/>
        <v>1.2999999999999999E-3</v>
      </c>
      <c r="F154" s="20">
        <f t="shared" si="5"/>
        <v>0.88009999999999922</v>
      </c>
    </row>
    <row r="155" spans="1:6" x14ac:dyDescent="0.25">
      <c r="A155" s="56">
        <v>20844913.600000001</v>
      </c>
      <c r="C155" s="18">
        <v>150000000</v>
      </c>
      <c r="D155" s="19">
        <v>8</v>
      </c>
      <c r="E155" s="20">
        <f t="shared" si="4"/>
        <v>8.0000000000000004E-4</v>
      </c>
      <c r="F155" s="20">
        <f t="shared" si="5"/>
        <v>0.88089999999999924</v>
      </c>
    </row>
    <row r="156" spans="1:6" x14ac:dyDescent="0.25">
      <c r="A156" s="56">
        <v>11384035</v>
      </c>
      <c r="C156" s="18">
        <v>151000000</v>
      </c>
      <c r="D156" s="19">
        <v>8</v>
      </c>
      <c r="E156" s="20">
        <f t="shared" si="4"/>
        <v>8.0000000000000004E-4</v>
      </c>
      <c r="F156" s="20">
        <f t="shared" si="5"/>
        <v>0.88169999999999926</v>
      </c>
    </row>
    <row r="157" spans="1:6" x14ac:dyDescent="0.25">
      <c r="A157" s="56">
        <v>7858527.5</v>
      </c>
      <c r="C157" s="18">
        <v>152000000</v>
      </c>
      <c r="D157" s="19">
        <v>11</v>
      </c>
      <c r="E157" s="20">
        <f t="shared" si="4"/>
        <v>1.1000000000000001E-3</v>
      </c>
      <c r="F157" s="20">
        <f t="shared" si="5"/>
        <v>0.88279999999999925</v>
      </c>
    </row>
    <row r="158" spans="1:6" x14ac:dyDescent="0.25">
      <c r="A158" s="56">
        <v>14381017.800000001</v>
      </c>
      <c r="C158" s="18">
        <v>153000000</v>
      </c>
      <c r="D158" s="19">
        <v>7</v>
      </c>
      <c r="E158" s="20">
        <f t="shared" si="4"/>
        <v>6.9999999999999999E-4</v>
      </c>
      <c r="F158" s="20">
        <f t="shared" si="5"/>
        <v>0.88349999999999929</v>
      </c>
    </row>
    <row r="159" spans="1:6" x14ac:dyDescent="0.25">
      <c r="A159" s="56">
        <v>129720314.3</v>
      </c>
      <c r="C159" s="18">
        <v>154000000</v>
      </c>
      <c r="D159" s="19">
        <v>11</v>
      </c>
      <c r="E159" s="20">
        <f t="shared" si="4"/>
        <v>1.1000000000000001E-3</v>
      </c>
      <c r="F159" s="20">
        <f t="shared" si="5"/>
        <v>0.88459999999999928</v>
      </c>
    </row>
    <row r="160" spans="1:6" x14ac:dyDescent="0.25">
      <c r="A160" s="56">
        <v>9842914.8000000007</v>
      </c>
      <c r="C160" s="18">
        <v>155000000</v>
      </c>
      <c r="D160" s="19">
        <v>8</v>
      </c>
      <c r="E160" s="20">
        <f t="shared" si="4"/>
        <v>8.0000000000000004E-4</v>
      </c>
      <c r="F160" s="20">
        <f t="shared" si="5"/>
        <v>0.8853999999999993</v>
      </c>
    </row>
    <row r="161" spans="1:6" x14ac:dyDescent="0.25">
      <c r="A161" s="56">
        <v>175516009</v>
      </c>
      <c r="C161" s="18">
        <v>156000000</v>
      </c>
      <c r="D161" s="19">
        <v>9</v>
      </c>
      <c r="E161" s="20">
        <f t="shared" si="4"/>
        <v>8.9999999999999998E-4</v>
      </c>
      <c r="F161" s="20">
        <f t="shared" si="5"/>
        <v>0.88629999999999931</v>
      </c>
    </row>
    <row r="162" spans="1:6" x14ac:dyDescent="0.25">
      <c r="A162" s="56">
        <v>67046699.599999897</v>
      </c>
      <c r="C162" s="18">
        <v>157000000</v>
      </c>
      <c r="D162" s="19">
        <v>3</v>
      </c>
      <c r="E162" s="20">
        <f t="shared" si="4"/>
        <v>2.9999999999999997E-4</v>
      </c>
      <c r="F162" s="20">
        <f t="shared" si="5"/>
        <v>0.88659999999999928</v>
      </c>
    </row>
    <row r="163" spans="1:6" x14ac:dyDescent="0.25">
      <c r="A163" s="56">
        <v>11179583.199999999</v>
      </c>
      <c r="C163" s="18">
        <v>158000000</v>
      </c>
      <c r="D163" s="19">
        <v>7</v>
      </c>
      <c r="E163" s="20">
        <f t="shared" si="4"/>
        <v>6.9999999999999999E-4</v>
      </c>
      <c r="F163" s="20">
        <f t="shared" si="5"/>
        <v>0.88729999999999931</v>
      </c>
    </row>
    <row r="164" spans="1:6" x14ac:dyDescent="0.25">
      <c r="A164" s="56">
        <v>57172589.899999999</v>
      </c>
      <c r="C164" s="18">
        <v>159000000</v>
      </c>
      <c r="D164" s="19">
        <v>12</v>
      </c>
      <c r="E164" s="20">
        <f t="shared" si="4"/>
        <v>1.1999999999999999E-3</v>
      </c>
      <c r="F164" s="20">
        <f t="shared" si="5"/>
        <v>0.88849999999999929</v>
      </c>
    </row>
    <row r="165" spans="1:6" x14ac:dyDescent="0.25">
      <c r="A165" s="56">
        <v>15326158.4</v>
      </c>
      <c r="C165" s="18">
        <v>160000000</v>
      </c>
      <c r="D165" s="19">
        <v>9</v>
      </c>
      <c r="E165" s="20">
        <f t="shared" si="4"/>
        <v>8.9999999999999998E-4</v>
      </c>
      <c r="F165" s="20">
        <f t="shared" si="5"/>
        <v>0.8893999999999993</v>
      </c>
    </row>
    <row r="166" spans="1:6" x14ac:dyDescent="0.25">
      <c r="A166" s="56">
        <v>62978817.700000003</v>
      </c>
      <c r="C166" s="18">
        <v>161000000</v>
      </c>
      <c r="D166" s="19">
        <v>8</v>
      </c>
      <c r="E166" s="20">
        <f t="shared" si="4"/>
        <v>8.0000000000000004E-4</v>
      </c>
      <c r="F166" s="20">
        <f t="shared" si="5"/>
        <v>0.89019999999999933</v>
      </c>
    </row>
    <row r="167" spans="1:6" x14ac:dyDescent="0.25">
      <c r="A167" s="56">
        <v>148061476.30000001</v>
      </c>
      <c r="C167" s="18">
        <v>162000000</v>
      </c>
      <c r="D167" s="19">
        <v>8</v>
      </c>
      <c r="E167" s="20">
        <f t="shared" si="4"/>
        <v>8.0000000000000004E-4</v>
      </c>
      <c r="F167" s="20">
        <f t="shared" si="5"/>
        <v>0.89099999999999935</v>
      </c>
    </row>
    <row r="168" spans="1:6" x14ac:dyDescent="0.25">
      <c r="A168" s="56">
        <v>35772087.399999999</v>
      </c>
      <c r="C168" s="18">
        <v>163000000</v>
      </c>
      <c r="D168" s="19">
        <v>11</v>
      </c>
      <c r="E168" s="20">
        <f t="shared" si="4"/>
        <v>1.1000000000000001E-3</v>
      </c>
      <c r="F168" s="20">
        <f t="shared" si="5"/>
        <v>0.89209999999999934</v>
      </c>
    </row>
    <row r="169" spans="1:6" x14ac:dyDescent="0.25">
      <c r="A169" s="56">
        <v>11570857.199999999</v>
      </c>
      <c r="C169" s="18">
        <v>164000000</v>
      </c>
      <c r="D169" s="19">
        <v>7</v>
      </c>
      <c r="E169" s="20">
        <f t="shared" si="4"/>
        <v>6.9999999999999999E-4</v>
      </c>
      <c r="F169" s="20">
        <f t="shared" si="5"/>
        <v>0.89279999999999937</v>
      </c>
    </row>
    <row r="170" spans="1:6" x14ac:dyDescent="0.25">
      <c r="A170" s="56">
        <v>6064766.0999999996</v>
      </c>
      <c r="C170" s="18">
        <v>165000000</v>
      </c>
      <c r="D170" s="19">
        <v>7</v>
      </c>
      <c r="E170" s="20">
        <f t="shared" si="4"/>
        <v>6.9999999999999999E-4</v>
      </c>
      <c r="F170" s="20">
        <f t="shared" si="5"/>
        <v>0.89349999999999941</v>
      </c>
    </row>
    <row r="171" spans="1:6" x14ac:dyDescent="0.25">
      <c r="A171" s="56">
        <v>50365912.399999902</v>
      </c>
      <c r="C171" s="18">
        <v>166000000</v>
      </c>
      <c r="D171" s="19">
        <v>8</v>
      </c>
      <c r="E171" s="20">
        <f t="shared" si="4"/>
        <v>8.0000000000000004E-4</v>
      </c>
      <c r="F171" s="20">
        <f t="shared" si="5"/>
        <v>0.89429999999999943</v>
      </c>
    </row>
    <row r="172" spans="1:6" x14ac:dyDescent="0.25">
      <c r="A172" s="56">
        <v>0</v>
      </c>
      <c r="C172" s="18">
        <v>167000000</v>
      </c>
      <c r="D172" s="19">
        <v>10</v>
      </c>
      <c r="E172" s="20">
        <f t="shared" si="4"/>
        <v>1E-3</v>
      </c>
      <c r="F172" s="20">
        <f t="shared" si="5"/>
        <v>0.89529999999999943</v>
      </c>
    </row>
    <row r="173" spans="1:6" x14ac:dyDescent="0.25">
      <c r="A173" s="56">
        <v>2296955.4</v>
      </c>
      <c r="C173" s="18">
        <v>168000000</v>
      </c>
      <c r="D173" s="19">
        <v>13</v>
      </c>
      <c r="E173" s="20">
        <f t="shared" si="4"/>
        <v>1.2999999999999999E-3</v>
      </c>
      <c r="F173" s="20">
        <f t="shared" si="5"/>
        <v>0.8965999999999994</v>
      </c>
    </row>
    <row r="174" spans="1:6" x14ac:dyDescent="0.25">
      <c r="A174" s="56">
        <v>19756855.100000001</v>
      </c>
      <c r="C174" s="18">
        <v>169000000</v>
      </c>
      <c r="D174" s="19">
        <v>9</v>
      </c>
      <c r="E174" s="20">
        <f t="shared" si="4"/>
        <v>8.9999999999999998E-4</v>
      </c>
      <c r="F174" s="20">
        <f t="shared" si="5"/>
        <v>0.89749999999999941</v>
      </c>
    </row>
    <row r="175" spans="1:6" x14ac:dyDescent="0.25">
      <c r="A175" s="56">
        <v>46171898.600000001</v>
      </c>
      <c r="C175" s="18">
        <v>170000000</v>
      </c>
      <c r="D175" s="19">
        <v>11</v>
      </c>
      <c r="E175" s="20">
        <f t="shared" si="4"/>
        <v>1.1000000000000001E-3</v>
      </c>
      <c r="F175" s="20">
        <f t="shared" si="5"/>
        <v>0.8985999999999994</v>
      </c>
    </row>
    <row r="176" spans="1:6" x14ac:dyDescent="0.25">
      <c r="A176" s="56">
        <v>0</v>
      </c>
      <c r="C176" s="18">
        <v>171000000</v>
      </c>
      <c r="D176" s="19">
        <v>9</v>
      </c>
      <c r="E176" s="20">
        <f t="shared" si="4"/>
        <v>8.9999999999999998E-4</v>
      </c>
      <c r="F176" s="20">
        <f t="shared" si="5"/>
        <v>0.89949999999999941</v>
      </c>
    </row>
    <row r="177" spans="1:6" x14ac:dyDescent="0.25">
      <c r="A177" s="56">
        <v>704878827</v>
      </c>
      <c r="C177" s="18">
        <v>172000000</v>
      </c>
      <c r="D177" s="19">
        <v>12</v>
      </c>
      <c r="E177" s="20">
        <f t="shared" si="4"/>
        <v>1.1999999999999999E-3</v>
      </c>
      <c r="F177" s="20">
        <f t="shared" si="5"/>
        <v>0.90069999999999939</v>
      </c>
    </row>
    <row r="178" spans="1:6" x14ac:dyDescent="0.25">
      <c r="A178" s="56">
        <v>16891430.399999999</v>
      </c>
      <c r="C178" s="18">
        <v>173000000</v>
      </c>
      <c r="D178" s="19">
        <v>11</v>
      </c>
      <c r="E178" s="20">
        <f t="shared" si="4"/>
        <v>1.1000000000000001E-3</v>
      </c>
      <c r="F178" s="20">
        <f t="shared" si="5"/>
        <v>0.90179999999999938</v>
      </c>
    </row>
    <row r="179" spans="1:6" x14ac:dyDescent="0.25">
      <c r="A179" s="56">
        <v>25828319.899999999</v>
      </c>
      <c r="C179" s="18">
        <v>174000000</v>
      </c>
      <c r="D179" s="19">
        <v>7</v>
      </c>
      <c r="E179" s="20">
        <f t="shared" si="4"/>
        <v>6.9999999999999999E-4</v>
      </c>
      <c r="F179" s="20">
        <f t="shared" si="5"/>
        <v>0.90249999999999941</v>
      </c>
    </row>
    <row r="180" spans="1:6" x14ac:dyDescent="0.25">
      <c r="A180" s="56">
        <v>500271439</v>
      </c>
      <c r="C180" s="18">
        <v>175000000</v>
      </c>
      <c r="D180" s="19">
        <v>8</v>
      </c>
      <c r="E180" s="20">
        <f t="shared" si="4"/>
        <v>8.0000000000000004E-4</v>
      </c>
      <c r="F180" s="20">
        <f t="shared" si="5"/>
        <v>0.90329999999999944</v>
      </c>
    </row>
    <row r="181" spans="1:6" x14ac:dyDescent="0.25">
      <c r="A181" s="56">
        <v>227905256.90000001</v>
      </c>
      <c r="C181" s="18">
        <v>176000000</v>
      </c>
      <c r="D181" s="19">
        <v>5</v>
      </c>
      <c r="E181" s="20">
        <f t="shared" si="4"/>
        <v>5.0000000000000001E-4</v>
      </c>
      <c r="F181" s="20">
        <f t="shared" si="5"/>
        <v>0.90379999999999938</v>
      </c>
    </row>
    <row r="182" spans="1:6" x14ac:dyDescent="0.25">
      <c r="A182" s="56">
        <v>7125283.2999999998</v>
      </c>
      <c r="C182" s="18">
        <v>177000000</v>
      </c>
      <c r="D182" s="19">
        <v>6</v>
      </c>
      <c r="E182" s="20">
        <f t="shared" si="4"/>
        <v>5.9999999999999995E-4</v>
      </c>
      <c r="F182" s="20">
        <f t="shared" si="5"/>
        <v>0.90439999999999943</v>
      </c>
    </row>
    <row r="183" spans="1:6" x14ac:dyDescent="0.25">
      <c r="A183" s="56">
        <v>619151087.09999895</v>
      </c>
      <c r="C183" s="18">
        <v>178000000</v>
      </c>
      <c r="D183" s="19">
        <v>8</v>
      </c>
      <c r="E183" s="20">
        <f t="shared" si="4"/>
        <v>8.0000000000000004E-4</v>
      </c>
      <c r="F183" s="20">
        <f t="shared" si="5"/>
        <v>0.90519999999999945</v>
      </c>
    </row>
    <row r="184" spans="1:6" x14ac:dyDescent="0.25">
      <c r="A184" s="56">
        <v>333372812.49999899</v>
      </c>
      <c r="C184" s="18">
        <v>179000000</v>
      </c>
      <c r="D184" s="19">
        <v>16</v>
      </c>
      <c r="E184" s="20">
        <f t="shared" si="4"/>
        <v>1.6000000000000001E-3</v>
      </c>
      <c r="F184" s="20">
        <f t="shared" si="5"/>
        <v>0.9067999999999995</v>
      </c>
    </row>
    <row r="185" spans="1:6" x14ac:dyDescent="0.25">
      <c r="A185" s="56">
        <v>9579362.5</v>
      </c>
      <c r="C185" s="18">
        <v>180000000</v>
      </c>
      <c r="D185" s="19">
        <v>4</v>
      </c>
      <c r="E185" s="20">
        <f t="shared" si="4"/>
        <v>4.0000000000000002E-4</v>
      </c>
      <c r="F185" s="20">
        <f t="shared" si="5"/>
        <v>0.90719999999999945</v>
      </c>
    </row>
    <row r="186" spans="1:6" x14ac:dyDescent="0.25">
      <c r="A186" s="56">
        <v>7733224.7999999998</v>
      </c>
      <c r="C186" s="18">
        <v>181000000</v>
      </c>
      <c r="D186" s="19">
        <v>5</v>
      </c>
      <c r="E186" s="20">
        <f t="shared" si="4"/>
        <v>5.0000000000000001E-4</v>
      </c>
      <c r="F186" s="20">
        <f t="shared" si="5"/>
        <v>0.9076999999999994</v>
      </c>
    </row>
    <row r="187" spans="1:6" x14ac:dyDescent="0.25">
      <c r="A187" s="56">
        <v>41457831.700000003</v>
      </c>
      <c r="C187" s="18">
        <v>182000000</v>
      </c>
      <c r="D187" s="19">
        <v>7</v>
      </c>
      <c r="E187" s="20">
        <f t="shared" si="4"/>
        <v>6.9999999999999999E-4</v>
      </c>
      <c r="F187" s="20">
        <f t="shared" si="5"/>
        <v>0.90839999999999943</v>
      </c>
    </row>
    <row r="188" spans="1:6" x14ac:dyDescent="0.25">
      <c r="A188" s="56">
        <v>33849555.399999999</v>
      </c>
      <c r="C188" s="18">
        <v>183000000</v>
      </c>
      <c r="D188" s="19">
        <v>6</v>
      </c>
      <c r="E188" s="20">
        <f t="shared" si="4"/>
        <v>5.9999999999999995E-4</v>
      </c>
      <c r="F188" s="20">
        <f t="shared" si="5"/>
        <v>0.90899999999999948</v>
      </c>
    </row>
    <row r="189" spans="1:6" x14ac:dyDescent="0.25">
      <c r="A189" s="56">
        <v>5604197.4000000004</v>
      </c>
      <c r="C189" s="18">
        <v>184000000</v>
      </c>
      <c r="D189" s="19">
        <v>11</v>
      </c>
      <c r="E189" s="20">
        <f t="shared" si="4"/>
        <v>1.1000000000000001E-3</v>
      </c>
      <c r="F189" s="20">
        <f t="shared" si="5"/>
        <v>0.91009999999999946</v>
      </c>
    </row>
    <row r="190" spans="1:6" x14ac:dyDescent="0.25">
      <c r="A190" s="56">
        <v>15002631</v>
      </c>
      <c r="C190" s="18">
        <v>185000000</v>
      </c>
      <c r="D190" s="19">
        <v>5</v>
      </c>
      <c r="E190" s="20">
        <f t="shared" si="4"/>
        <v>5.0000000000000001E-4</v>
      </c>
      <c r="F190" s="20">
        <f t="shared" si="5"/>
        <v>0.91059999999999941</v>
      </c>
    </row>
    <row r="191" spans="1:6" x14ac:dyDescent="0.25">
      <c r="A191" s="56">
        <v>93728978.200000003</v>
      </c>
      <c r="C191" s="18">
        <v>186000000</v>
      </c>
      <c r="D191" s="19">
        <v>8</v>
      </c>
      <c r="E191" s="20">
        <f t="shared" si="4"/>
        <v>8.0000000000000004E-4</v>
      </c>
      <c r="F191" s="20">
        <f t="shared" si="5"/>
        <v>0.91139999999999943</v>
      </c>
    </row>
    <row r="192" spans="1:6" x14ac:dyDescent="0.25">
      <c r="A192" s="56">
        <v>19397085.699999999</v>
      </c>
      <c r="C192" s="18">
        <v>187000000</v>
      </c>
      <c r="D192" s="19">
        <v>3</v>
      </c>
      <c r="E192" s="20">
        <f t="shared" si="4"/>
        <v>2.9999999999999997E-4</v>
      </c>
      <c r="F192" s="20">
        <f t="shared" si="5"/>
        <v>0.9116999999999994</v>
      </c>
    </row>
    <row r="193" spans="1:6" x14ac:dyDescent="0.25">
      <c r="A193" s="56">
        <v>11889679.6</v>
      </c>
      <c r="C193" s="18">
        <v>188000000</v>
      </c>
      <c r="D193" s="19">
        <v>4</v>
      </c>
      <c r="E193" s="20">
        <f t="shared" si="4"/>
        <v>4.0000000000000002E-4</v>
      </c>
      <c r="F193" s="20">
        <f t="shared" si="5"/>
        <v>0.91209999999999936</v>
      </c>
    </row>
    <row r="194" spans="1:6" x14ac:dyDescent="0.25">
      <c r="A194" s="56">
        <v>13289460</v>
      </c>
      <c r="C194" s="18">
        <v>189000000</v>
      </c>
      <c r="D194" s="19">
        <v>7</v>
      </c>
      <c r="E194" s="20">
        <f t="shared" si="4"/>
        <v>6.9999999999999999E-4</v>
      </c>
      <c r="F194" s="20">
        <f t="shared" si="5"/>
        <v>0.91279999999999939</v>
      </c>
    </row>
    <row r="195" spans="1:6" x14ac:dyDescent="0.25">
      <c r="A195" s="56">
        <v>14037687.9</v>
      </c>
      <c r="C195" s="18">
        <v>190000000</v>
      </c>
      <c r="D195" s="19">
        <v>6</v>
      </c>
      <c r="E195" s="20">
        <f t="shared" si="4"/>
        <v>5.9999999999999995E-4</v>
      </c>
      <c r="F195" s="20">
        <f t="shared" si="5"/>
        <v>0.91339999999999943</v>
      </c>
    </row>
    <row r="196" spans="1:6" x14ac:dyDescent="0.25">
      <c r="A196" s="56">
        <v>325424.8</v>
      </c>
      <c r="C196" s="18">
        <v>191000000</v>
      </c>
      <c r="D196" s="19">
        <v>8</v>
      </c>
      <c r="E196" s="20">
        <f t="shared" si="4"/>
        <v>8.0000000000000004E-4</v>
      </c>
      <c r="F196" s="20">
        <f t="shared" si="5"/>
        <v>0.91419999999999946</v>
      </c>
    </row>
    <row r="197" spans="1:6" x14ac:dyDescent="0.25">
      <c r="A197" s="56">
        <v>20487825.5</v>
      </c>
      <c r="C197" s="18">
        <v>192000000</v>
      </c>
      <c r="D197" s="19">
        <v>8</v>
      </c>
      <c r="E197" s="20">
        <f t="shared" ref="E197:E260" si="6">D197/10000</f>
        <v>8.0000000000000004E-4</v>
      </c>
      <c r="F197" s="20">
        <f t="shared" si="5"/>
        <v>0.91499999999999948</v>
      </c>
    </row>
    <row r="198" spans="1:6" x14ac:dyDescent="0.25">
      <c r="A198" s="56">
        <v>277432763.80000001</v>
      </c>
      <c r="C198" s="18">
        <v>193000000</v>
      </c>
      <c r="D198" s="19">
        <v>8</v>
      </c>
      <c r="E198" s="20">
        <f t="shared" si="6"/>
        <v>8.0000000000000004E-4</v>
      </c>
      <c r="F198" s="20">
        <f t="shared" ref="F198:F261" si="7">E198+F197</f>
        <v>0.9157999999999995</v>
      </c>
    </row>
    <row r="199" spans="1:6" x14ac:dyDescent="0.25">
      <c r="A199" s="56">
        <v>0</v>
      </c>
      <c r="C199" s="18">
        <v>194000000</v>
      </c>
      <c r="D199" s="19">
        <v>7</v>
      </c>
      <c r="E199" s="20">
        <f t="shared" si="6"/>
        <v>6.9999999999999999E-4</v>
      </c>
      <c r="F199" s="20">
        <f t="shared" si="7"/>
        <v>0.91649999999999954</v>
      </c>
    </row>
    <row r="200" spans="1:6" x14ac:dyDescent="0.25">
      <c r="A200" s="56">
        <v>95825308.399999902</v>
      </c>
      <c r="C200" s="18">
        <v>195000000</v>
      </c>
      <c r="D200" s="19">
        <v>5</v>
      </c>
      <c r="E200" s="20">
        <f t="shared" si="6"/>
        <v>5.0000000000000001E-4</v>
      </c>
      <c r="F200" s="20">
        <f t="shared" si="7"/>
        <v>0.91699999999999948</v>
      </c>
    </row>
    <row r="201" spans="1:6" x14ac:dyDescent="0.25">
      <c r="A201" s="56">
        <v>5277870.2</v>
      </c>
      <c r="C201" s="18">
        <v>196000000</v>
      </c>
      <c r="D201" s="19">
        <v>5</v>
      </c>
      <c r="E201" s="20">
        <f t="shared" si="6"/>
        <v>5.0000000000000001E-4</v>
      </c>
      <c r="F201" s="20">
        <f t="shared" si="7"/>
        <v>0.91749999999999943</v>
      </c>
    </row>
    <row r="202" spans="1:6" x14ac:dyDescent="0.25">
      <c r="A202" s="56">
        <v>127605437.90000001</v>
      </c>
      <c r="C202" s="18">
        <v>197000000</v>
      </c>
      <c r="D202" s="19">
        <v>4</v>
      </c>
      <c r="E202" s="20">
        <f t="shared" si="6"/>
        <v>4.0000000000000002E-4</v>
      </c>
      <c r="F202" s="20">
        <f t="shared" si="7"/>
        <v>0.91789999999999938</v>
      </c>
    </row>
    <row r="203" spans="1:6" x14ac:dyDescent="0.25">
      <c r="A203" s="56">
        <v>25564268.199999999</v>
      </c>
      <c r="C203" s="18">
        <v>198000000</v>
      </c>
      <c r="D203" s="19">
        <v>8</v>
      </c>
      <c r="E203" s="20">
        <f t="shared" si="6"/>
        <v>8.0000000000000004E-4</v>
      </c>
      <c r="F203" s="20">
        <f t="shared" si="7"/>
        <v>0.91869999999999941</v>
      </c>
    </row>
    <row r="204" spans="1:6" x14ac:dyDescent="0.25">
      <c r="A204" s="56">
        <v>3026817.6</v>
      </c>
      <c r="C204" s="18">
        <v>199000000</v>
      </c>
      <c r="D204" s="19">
        <v>7</v>
      </c>
      <c r="E204" s="20">
        <f t="shared" si="6"/>
        <v>6.9999999999999999E-4</v>
      </c>
      <c r="F204" s="20">
        <f t="shared" si="7"/>
        <v>0.91939999999999944</v>
      </c>
    </row>
    <row r="205" spans="1:6" x14ac:dyDescent="0.25">
      <c r="A205" s="56">
        <v>32560763.600000001</v>
      </c>
      <c r="C205" s="18">
        <v>200000000</v>
      </c>
      <c r="D205" s="19">
        <v>2</v>
      </c>
      <c r="E205" s="20">
        <f t="shared" si="6"/>
        <v>2.0000000000000001E-4</v>
      </c>
      <c r="F205" s="20">
        <f t="shared" si="7"/>
        <v>0.91959999999999942</v>
      </c>
    </row>
    <row r="206" spans="1:6" x14ac:dyDescent="0.25">
      <c r="A206" s="56">
        <v>169410478.69999999</v>
      </c>
      <c r="C206" s="18">
        <v>201000000</v>
      </c>
      <c r="D206" s="19">
        <v>5</v>
      </c>
      <c r="E206" s="20">
        <f t="shared" si="6"/>
        <v>5.0000000000000001E-4</v>
      </c>
      <c r="F206" s="20">
        <f t="shared" si="7"/>
        <v>0.92009999999999936</v>
      </c>
    </row>
    <row r="207" spans="1:6" x14ac:dyDescent="0.25">
      <c r="A207" s="56">
        <v>51769174.599999897</v>
      </c>
      <c r="C207" s="18">
        <v>202000000</v>
      </c>
      <c r="D207" s="19">
        <v>3</v>
      </c>
      <c r="E207" s="20">
        <f t="shared" si="6"/>
        <v>2.9999999999999997E-4</v>
      </c>
      <c r="F207" s="20">
        <f t="shared" si="7"/>
        <v>0.92039999999999933</v>
      </c>
    </row>
    <row r="208" spans="1:6" x14ac:dyDescent="0.25">
      <c r="A208" s="56">
        <v>84832400.799999893</v>
      </c>
      <c r="C208" s="18">
        <v>203000000</v>
      </c>
      <c r="D208" s="19">
        <v>6</v>
      </c>
      <c r="E208" s="20">
        <f t="shared" si="6"/>
        <v>5.9999999999999995E-4</v>
      </c>
      <c r="F208" s="20">
        <f t="shared" si="7"/>
        <v>0.92099999999999937</v>
      </c>
    </row>
    <row r="209" spans="1:6" x14ac:dyDescent="0.25">
      <c r="A209" s="56">
        <v>44563130.5</v>
      </c>
      <c r="C209" s="18">
        <v>204000000</v>
      </c>
      <c r="D209" s="19">
        <v>10</v>
      </c>
      <c r="E209" s="20">
        <f t="shared" si="6"/>
        <v>1E-3</v>
      </c>
      <c r="F209" s="20">
        <f t="shared" si="7"/>
        <v>0.92199999999999938</v>
      </c>
    </row>
    <row r="210" spans="1:6" x14ac:dyDescent="0.25">
      <c r="A210" s="56">
        <v>5538973.2999999998</v>
      </c>
      <c r="C210" s="18">
        <v>205000000</v>
      </c>
      <c r="D210" s="19">
        <v>5</v>
      </c>
      <c r="E210" s="20">
        <f t="shared" si="6"/>
        <v>5.0000000000000001E-4</v>
      </c>
      <c r="F210" s="20">
        <f t="shared" si="7"/>
        <v>0.92249999999999932</v>
      </c>
    </row>
    <row r="211" spans="1:6" x14ac:dyDescent="0.25">
      <c r="A211" s="56">
        <v>21569284</v>
      </c>
      <c r="C211" s="18">
        <v>206000000</v>
      </c>
      <c r="D211" s="19">
        <v>8</v>
      </c>
      <c r="E211" s="20">
        <f t="shared" si="6"/>
        <v>8.0000000000000004E-4</v>
      </c>
      <c r="F211" s="20">
        <f t="shared" si="7"/>
        <v>0.92329999999999934</v>
      </c>
    </row>
    <row r="212" spans="1:6" x14ac:dyDescent="0.25">
      <c r="A212" s="56">
        <v>22319969.899999999</v>
      </c>
      <c r="C212" s="18">
        <v>207000000</v>
      </c>
      <c r="D212" s="19">
        <v>3</v>
      </c>
      <c r="E212" s="20">
        <f t="shared" si="6"/>
        <v>2.9999999999999997E-4</v>
      </c>
      <c r="F212" s="20">
        <f t="shared" si="7"/>
        <v>0.92359999999999931</v>
      </c>
    </row>
    <row r="213" spans="1:6" x14ac:dyDescent="0.25">
      <c r="A213" s="56">
        <v>0</v>
      </c>
      <c r="C213" s="18">
        <v>208000000</v>
      </c>
      <c r="D213" s="19">
        <v>5</v>
      </c>
      <c r="E213" s="20">
        <f t="shared" si="6"/>
        <v>5.0000000000000001E-4</v>
      </c>
      <c r="F213" s="20">
        <f t="shared" si="7"/>
        <v>0.92409999999999926</v>
      </c>
    </row>
    <row r="214" spans="1:6" x14ac:dyDescent="0.25">
      <c r="A214" s="56">
        <v>13616273</v>
      </c>
      <c r="C214" s="18">
        <v>209000000</v>
      </c>
      <c r="D214" s="19">
        <v>2</v>
      </c>
      <c r="E214" s="20">
        <f t="shared" si="6"/>
        <v>2.0000000000000001E-4</v>
      </c>
      <c r="F214" s="20">
        <f t="shared" si="7"/>
        <v>0.92429999999999923</v>
      </c>
    </row>
    <row r="215" spans="1:6" x14ac:dyDescent="0.25">
      <c r="A215" s="56">
        <v>24991405.300000001</v>
      </c>
      <c r="C215" s="18">
        <v>210000000</v>
      </c>
      <c r="D215" s="19">
        <v>6</v>
      </c>
      <c r="E215" s="20">
        <f t="shared" si="6"/>
        <v>5.9999999999999995E-4</v>
      </c>
      <c r="F215" s="20">
        <f t="shared" si="7"/>
        <v>0.92489999999999928</v>
      </c>
    </row>
    <row r="216" spans="1:6" x14ac:dyDescent="0.25">
      <c r="A216" s="56">
        <v>15392839.6</v>
      </c>
      <c r="C216" s="18">
        <v>211000000</v>
      </c>
      <c r="D216" s="19">
        <v>4</v>
      </c>
      <c r="E216" s="20">
        <f t="shared" si="6"/>
        <v>4.0000000000000002E-4</v>
      </c>
      <c r="F216" s="20">
        <f t="shared" si="7"/>
        <v>0.92529999999999923</v>
      </c>
    </row>
    <row r="217" spans="1:6" x14ac:dyDescent="0.25">
      <c r="A217" s="56">
        <v>57993469.599999897</v>
      </c>
      <c r="C217" s="18">
        <v>212000000</v>
      </c>
      <c r="D217" s="19">
        <v>4</v>
      </c>
      <c r="E217" s="20">
        <f t="shared" si="6"/>
        <v>4.0000000000000002E-4</v>
      </c>
      <c r="F217" s="20">
        <f t="shared" si="7"/>
        <v>0.92569999999999919</v>
      </c>
    </row>
    <row r="218" spans="1:6" x14ac:dyDescent="0.25">
      <c r="A218" s="56">
        <v>58340536.899999999</v>
      </c>
      <c r="C218" s="18">
        <v>213000000</v>
      </c>
      <c r="D218" s="19">
        <v>5</v>
      </c>
      <c r="E218" s="20">
        <f t="shared" si="6"/>
        <v>5.0000000000000001E-4</v>
      </c>
      <c r="F218" s="20">
        <f t="shared" si="7"/>
        <v>0.92619999999999914</v>
      </c>
    </row>
    <row r="219" spans="1:6" x14ac:dyDescent="0.25">
      <c r="A219" s="56">
        <v>3305527.8</v>
      </c>
      <c r="C219" s="18">
        <v>214000000</v>
      </c>
      <c r="D219" s="19">
        <v>3</v>
      </c>
      <c r="E219" s="20">
        <f t="shared" si="6"/>
        <v>2.9999999999999997E-4</v>
      </c>
      <c r="F219" s="20">
        <f t="shared" si="7"/>
        <v>0.9264999999999991</v>
      </c>
    </row>
    <row r="220" spans="1:6" x14ac:dyDescent="0.25">
      <c r="A220" s="56">
        <v>11391904.6</v>
      </c>
      <c r="C220" s="18">
        <v>215000000</v>
      </c>
      <c r="D220" s="19">
        <v>5</v>
      </c>
      <c r="E220" s="20">
        <f t="shared" si="6"/>
        <v>5.0000000000000001E-4</v>
      </c>
      <c r="F220" s="20">
        <f t="shared" si="7"/>
        <v>0.92699999999999905</v>
      </c>
    </row>
    <row r="221" spans="1:6" x14ac:dyDescent="0.25">
      <c r="A221" s="56">
        <v>7353392.2999999896</v>
      </c>
      <c r="C221" s="18">
        <v>216000000</v>
      </c>
      <c r="D221" s="19">
        <v>4</v>
      </c>
      <c r="E221" s="20">
        <f t="shared" si="6"/>
        <v>4.0000000000000002E-4</v>
      </c>
      <c r="F221" s="20">
        <f t="shared" si="7"/>
        <v>0.927399999999999</v>
      </c>
    </row>
    <row r="222" spans="1:6" x14ac:dyDescent="0.25">
      <c r="A222" s="56">
        <v>56687859</v>
      </c>
      <c r="C222" s="18">
        <v>217000000</v>
      </c>
      <c r="D222" s="19">
        <v>5</v>
      </c>
      <c r="E222" s="20">
        <f t="shared" si="6"/>
        <v>5.0000000000000001E-4</v>
      </c>
      <c r="F222" s="20">
        <f t="shared" si="7"/>
        <v>0.92789999999999895</v>
      </c>
    </row>
    <row r="223" spans="1:6" x14ac:dyDescent="0.25">
      <c r="A223" s="56">
        <v>4822755.4000000004</v>
      </c>
      <c r="C223" s="18">
        <v>218000000</v>
      </c>
      <c r="D223" s="19">
        <v>7</v>
      </c>
      <c r="E223" s="20">
        <f t="shared" si="6"/>
        <v>6.9999999999999999E-4</v>
      </c>
      <c r="F223" s="20">
        <f t="shared" si="7"/>
        <v>0.92859999999999898</v>
      </c>
    </row>
    <row r="224" spans="1:6" x14ac:dyDescent="0.25">
      <c r="A224" s="56">
        <v>45505944.299999997</v>
      </c>
      <c r="C224" s="18">
        <v>219000000</v>
      </c>
      <c r="D224" s="19">
        <v>5</v>
      </c>
      <c r="E224" s="20">
        <f t="shared" si="6"/>
        <v>5.0000000000000001E-4</v>
      </c>
      <c r="F224" s="20">
        <f t="shared" si="7"/>
        <v>0.92909999999999893</v>
      </c>
    </row>
    <row r="225" spans="1:6" x14ac:dyDescent="0.25">
      <c r="A225" s="56">
        <v>0</v>
      </c>
      <c r="C225" s="18">
        <v>220000000</v>
      </c>
      <c r="D225" s="19">
        <v>3</v>
      </c>
      <c r="E225" s="20">
        <f t="shared" si="6"/>
        <v>2.9999999999999997E-4</v>
      </c>
      <c r="F225" s="20">
        <f t="shared" si="7"/>
        <v>0.92939999999999889</v>
      </c>
    </row>
    <row r="226" spans="1:6" x14ac:dyDescent="0.25">
      <c r="A226" s="56">
        <v>1058592</v>
      </c>
      <c r="C226" s="18">
        <v>221000000</v>
      </c>
      <c r="D226" s="19">
        <v>4</v>
      </c>
      <c r="E226" s="20">
        <f t="shared" si="6"/>
        <v>4.0000000000000002E-4</v>
      </c>
      <c r="F226" s="20">
        <f t="shared" si="7"/>
        <v>0.92979999999999885</v>
      </c>
    </row>
    <row r="227" spans="1:6" x14ac:dyDescent="0.25">
      <c r="A227" s="56">
        <v>174124096.80000001</v>
      </c>
      <c r="C227" s="18">
        <v>222000000</v>
      </c>
      <c r="D227" s="19">
        <v>7</v>
      </c>
      <c r="E227" s="20">
        <f t="shared" si="6"/>
        <v>6.9999999999999999E-4</v>
      </c>
      <c r="F227" s="20">
        <f t="shared" si="7"/>
        <v>0.93049999999999888</v>
      </c>
    </row>
    <row r="228" spans="1:6" x14ac:dyDescent="0.25">
      <c r="A228" s="56">
        <v>10078696.6</v>
      </c>
      <c r="C228" s="18">
        <v>223000000</v>
      </c>
      <c r="D228" s="19">
        <v>5</v>
      </c>
      <c r="E228" s="20">
        <f t="shared" si="6"/>
        <v>5.0000000000000001E-4</v>
      </c>
      <c r="F228" s="20">
        <f t="shared" si="7"/>
        <v>0.93099999999999883</v>
      </c>
    </row>
    <row r="229" spans="1:6" x14ac:dyDescent="0.25">
      <c r="A229" s="56">
        <v>654763576.19999897</v>
      </c>
      <c r="C229" s="18">
        <v>224000000</v>
      </c>
      <c r="D229" s="19">
        <v>4</v>
      </c>
      <c r="E229" s="20">
        <f t="shared" si="6"/>
        <v>4.0000000000000002E-4</v>
      </c>
      <c r="F229" s="20">
        <f t="shared" si="7"/>
        <v>0.93139999999999878</v>
      </c>
    </row>
    <row r="230" spans="1:6" x14ac:dyDescent="0.25">
      <c r="A230" s="56">
        <v>29595224.300000001</v>
      </c>
      <c r="C230" s="18">
        <v>225000000</v>
      </c>
      <c r="D230" s="19">
        <v>3</v>
      </c>
      <c r="E230" s="20">
        <f t="shared" si="6"/>
        <v>2.9999999999999997E-4</v>
      </c>
      <c r="F230" s="20">
        <f t="shared" si="7"/>
        <v>0.93169999999999875</v>
      </c>
    </row>
    <row r="231" spans="1:6" x14ac:dyDescent="0.25">
      <c r="A231" s="56">
        <v>0</v>
      </c>
      <c r="C231" s="18">
        <v>226000000</v>
      </c>
      <c r="D231" s="19">
        <v>4</v>
      </c>
      <c r="E231" s="20">
        <f t="shared" si="6"/>
        <v>4.0000000000000002E-4</v>
      </c>
      <c r="F231" s="20">
        <f t="shared" si="7"/>
        <v>0.93209999999999871</v>
      </c>
    </row>
    <row r="232" spans="1:6" x14ac:dyDescent="0.25">
      <c r="A232" s="56">
        <v>20723398.5</v>
      </c>
      <c r="C232" s="18">
        <v>227000000</v>
      </c>
      <c r="D232" s="19">
        <v>3</v>
      </c>
      <c r="E232" s="20">
        <f t="shared" si="6"/>
        <v>2.9999999999999997E-4</v>
      </c>
      <c r="F232" s="20">
        <f t="shared" si="7"/>
        <v>0.93239999999999867</v>
      </c>
    </row>
    <row r="233" spans="1:6" x14ac:dyDescent="0.25">
      <c r="A233" s="56">
        <v>766481638.29999995</v>
      </c>
      <c r="C233" s="18">
        <v>228000000</v>
      </c>
      <c r="D233" s="19">
        <v>5</v>
      </c>
      <c r="E233" s="20">
        <f t="shared" si="6"/>
        <v>5.0000000000000001E-4</v>
      </c>
      <c r="F233" s="20">
        <f t="shared" si="7"/>
        <v>0.93289999999999862</v>
      </c>
    </row>
    <row r="234" spans="1:6" x14ac:dyDescent="0.25">
      <c r="A234" s="56">
        <v>73103176.199999899</v>
      </c>
      <c r="C234" s="18">
        <v>229000000</v>
      </c>
      <c r="D234" s="19">
        <v>4</v>
      </c>
      <c r="E234" s="20">
        <f t="shared" si="6"/>
        <v>4.0000000000000002E-4</v>
      </c>
      <c r="F234" s="20">
        <f t="shared" si="7"/>
        <v>0.93329999999999858</v>
      </c>
    </row>
    <row r="235" spans="1:6" x14ac:dyDescent="0.25">
      <c r="A235" s="56">
        <v>58761243.2999999</v>
      </c>
      <c r="C235" s="18">
        <v>230000000</v>
      </c>
      <c r="D235" s="19">
        <v>2</v>
      </c>
      <c r="E235" s="20">
        <f t="shared" si="6"/>
        <v>2.0000000000000001E-4</v>
      </c>
      <c r="F235" s="20">
        <f t="shared" si="7"/>
        <v>0.93349999999999855</v>
      </c>
    </row>
    <row r="236" spans="1:6" x14ac:dyDescent="0.25">
      <c r="A236" s="56">
        <v>0</v>
      </c>
      <c r="C236" s="18">
        <v>231000000</v>
      </c>
      <c r="D236" s="19">
        <v>3</v>
      </c>
      <c r="E236" s="20">
        <f t="shared" si="6"/>
        <v>2.9999999999999997E-4</v>
      </c>
      <c r="F236" s="20">
        <f t="shared" si="7"/>
        <v>0.93379999999999852</v>
      </c>
    </row>
    <row r="237" spans="1:6" x14ac:dyDescent="0.25">
      <c r="A237" s="56">
        <v>2035898.4</v>
      </c>
      <c r="C237" s="18">
        <v>232000000</v>
      </c>
      <c r="D237" s="19">
        <v>4</v>
      </c>
      <c r="E237" s="20">
        <f t="shared" si="6"/>
        <v>4.0000000000000002E-4</v>
      </c>
      <c r="F237" s="20">
        <f t="shared" si="7"/>
        <v>0.93419999999999848</v>
      </c>
    </row>
    <row r="238" spans="1:6" x14ac:dyDescent="0.25">
      <c r="A238" s="56">
        <v>8629819.3999999892</v>
      </c>
      <c r="C238" s="18">
        <v>233000000</v>
      </c>
      <c r="D238" s="19">
        <v>3</v>
      </c>
      <c r="E238" s="20">
        <f t="shared" si="6"/>
        <v>2.9999999999999997E-4</v>
      </c>
      <c r="F238" s="20">
        <f t="shared" si="7"/>
        <v>0.93449999999999844</v>
      </c>
    </row>
    <row r="239" spans="1:6" x14ac:dyDescent="0.25">
      <c r="A239" s="56">
        <v>76471579.999999896</v>
      </c>
      <c r="C239" s="18">
        <v>234000000</v>
      </c>
      <c r="D239" s="19">
        <v>0</v>
      </c>
      <c r="E239" s="20">
        <f t="shared" si="6"/>
        <v>0</v>
      </c>
      <c r="F239" s="20">
        <f t="shared" si="7"/>
        <v>0.93449999999999844</v>
      </c>
    </row>
    <row r="240" spans="1:6" x14ac:dyDescent="0.25">
      <c r="A240" s="56">
        <v>24163993.399999999</v>
      </c>
      <c r="C240" s="18">
        <v>235000000</v>
      </c>
      <c r="D240" s="19">
        <v>7</v>
      </c>
      <c r="E240" s="20">
        <f t="shared" si="6"/>
        <v>6.9999999999999999E-4</v>
      </c>
      <c r="F240" s="20">
        <f t="shared" si="7"/>
        <v>0.93519999999999848</v>
      </c>
    </row>
    <row r="241" spans="1:6" x14ac:dyDescent="0.25">
      <c r="A241" s="56">
        <v>2630306.6</v>
      </c>
      <c r="C241" s="18">
        <v>236000000</v>
      </c>
      <c r="D241" s="19">
        <v>4</v>
      </c>
      <c r="E241" s="20">
        <f t="shared" si="6"/>
        <v>4.0000000000000002E-4</v>
      </c>
      <c r="F241" s="20">
        <f t="shared" si="7"/>
        <v>0.93559999999999843</v>
      </c>
    </row>
    <row r="242" spans="1:6" x14ac:dyDescent="0.25">
      <c r="A242" s="56">
        <v>109198676.3</v>
      </c>
      <c r="C242" s="18">
        <v>237000000</v>
      </c>
      <c r="D242" s="19">
        <v>4</v>
      </c>
      <c r="E242" s="20">
        <f t="shared" si="6"/>
        <v>4.0000000000000002E-4</v>
      </c>
      <c r="F242" s="20">
        <f t="shared" si="7"/>
        <v>0.93599999999999839</v>
      </c>
    </row>
    <row r="243" spans="1:6" x14ac:dyDescent="0.25">
      <c r="A243" s="56">
        <v>134185944.8</v>
      </c>
      <c r="C243" s="18">
        <v>238000000</v>
      </c>
      <c r="D243" s="19">
        <v>4</v>
      </c>
      <c r="E243" s="20">
        <f t="shared" si="6"/>
        <v>4.0000000000000002E-4</v>
      </c>
      <c r="F243" s="20">
        <f t="shared" si="7"/>
        <v>0.93639999999999834</v>
      </c>
    </row>
    <row r="244" spans="1:6" x14ac:dyDescent="0.25">
      <c r="A244" s="56">
        <v>78674403.799999893</v>
      </c>
      <c r="C244" s="18">
        <v>239000000</v>
      </c>
      <c r="D244" s="19">
        <v>3</v>
      </c>
      <c r="E244" s="20">
        <f t="shared" si="6"/>
        <v>2.9999999999999997E-4</v>
      </c>
      <c r="F244" s="20">
        <f t="shared" si="7"/>
        <v>0.93669999999999831</v>
      </c>
    </row>
    <row r="245" spans="1:6" x14ac:dyDescent="0.25">
      <c r="A245" s="56">
        <v>0</v>
      </c>
      <c r="C245" s="18">
        <v>240000000</v>
      </c>
      <c r="D245" s="19">
        <v>2</v>
      </c>
      <c r="E245" s="20">
        <f t="shared" si="6"/>
        <v>2.0000000000000001E-4</v>
      </c>
      <c r="F245" s="20">
        <f t="shared" si="7"/>
        <v>0.93689999999999829</v>
      </c>
    </row>
    <row r="246" spans="1:6" x14ac:dyDescent="0.25">
      <c r="A246" s="56">
        <v>0</v>
      </c>
      <c r="C246" s="18">
        <v>241000000</v>
      </c>
      <c r="D246" s="19">
        <v>6</v>
      </c>
      <c r="E246" s="20">
        <f t="shared" si="6"/>
        <v>5.9999999999999995E-4</v>
      </c>
      <c r="F246" s="20">
        <f t="shared" si="7"/>
        <v>0.93749999999999833</v>
      </c>
    </row>
    <row r="247" spans="1:6" x14ac:dyDescent="0.25">
      <c r="A247" s="56">
        <v>10684674.300000001</v>
      </c>
      <c r="C247" s="18">
        <v>242000000</v>
      </c>
      <c r="D247" s="19">
        <v>3</v>
      </c>
      <c r="E247" s="20">
        <f t="shared" si="6"/>
        <v>2.9999999999999997E-4</v>
      </c>
      <c r="F247" s="20">
        <f t="shared" si="7"/>
        <v>0.9377999999999983</v>
      </c>
    </row>
    <row r="248" spans="1:6" x14ac:dyDescent="0.25">
      <c r="A248" s="56">
        <v>24888755.5</v>
      </c>
      <c r="C248" s="18">
        <v>243000000</v>
      </c>
      <c r="D248" s="19">
        <v>3</v>
      </c>
      <c r="E248" s="20">
        <f t="shared" si="6"/>
        <v>2.9999999999999997E-4</v>
      </c>
      <c r="F248" s="20">
        <f t="shared" si="7"/>
        <v>0.93809999999999827</v>
      </c>
    </row>
    <row r="249" spans="1:6" x14ac:dyDescent="0.25">
      <c r="A249" s="56">
        <v>71635627.599999905</v>
      </c>
      <c r="C249" s="18">
        <v>244000000</v>
      </c>
      <c r="D249" s="19">
        <v>3</v>
      </c>
      <c r="E249" s="20">
        <f t="shared" si="6"/>
        <v>2.9999999999999997E-4</v>
      </c>
      <c r="F249" s="20">
        <f t="shared" si="7"/>
        <v>0.93839999999999824</v>
      </c>
    </row>
    <row r="250" spans="1:6" x14ac:dyDescent="0.25">
      <c r="A250" s="56">
        <v>5714324.5999999996</v>
      </c>
      <c r="C250" s="18">
        <v>245000000</v>
      </c>
      <c r="D250" s="19">
        <v>4</v>
      </c>
      <c r="E250" s="20">
        <f t="shared" si="6"/>
        <v>4.0000000000000002E-4</v>
      </c>
      <c r="F250" s="20">
        <f t="shared" si="7"/>
        <v>0.93879999999999819</v>
      </c>
    </row>
    <row r="251" spans="1:6" x14ac:dyDescent="0.25">
      <c r="A251" s="56">
        <v>14249790.1</v>
      </c>
      <c r="C251" s="18">
        <v>246000000</v>
      </c>
      <c r="D251" s="19">
        <v>8</v>
      </c>
      <c r="E251" s="20">
        <f t="shared" si="6"/>
        <v>8.0000000000000004E-4</v>
      </c>
      <c r="F251" s="20">
        <f t="shared" si="7"/>
        <v>0.93959999999999821</v>
      </c>
    </row>
    <row r="252" spans="1:6" x14ac:dyDescent="0.25">
      <c r="A252" s="56">
        <v>59706713.999999903</v>
      </c>
      <c r="C252" s="18">
        <v>247000000</v>
      </c>
      <c r="D252" s="19">
        <v>4</v>
      </c>
      <c r="E252" s="20">
        <f t="shared" si="6"/>
        <v>4.0000000000000002E-4</v>
      </c>
      <c r="F252" s="20">
        <f t="shared" si="7"/>
        <v>0.93999999999999817</v>
      </c>
    </row>
    <row r="253" spans="1:6" x14ac:dyDescent="0.25">
      <c r="A253" s="56">
        <v>48471859.299999997</v>
      </c>
      <c r="C253" s="18">
        <v>248000000</v>
      </c>
      <c r="D253" s="19">
        <v>5</v>
      </c>
      <c r="E253" s="20">
        <f t="shared" si="6"/>
        <v>5.0000000000000001E-4</v>
      </c>
      <c r="F253" s="20">
        <f t="shared" si="7"/>
        <v>0.94049999999999812</v>
      </c>
    </row>
    <row r="254" spans="1:6" x14ac:dyDescent="0.25">
      <c r="A254" s="56">
        <v>59620185.700000003</v>
      </c>
      <c r="C254" s="18">
        <v>249000000</v>
      </c>
      <c r="D254" s="19">
        <v>5</v>
      </c>
      <c r="E254" s="20">
        <f t="shared" si="6"/>
        <v>5.0000000000000001E-4</v>
      </c>
      <c r="F254" s="20">
        <f t="shared" si="7"/>
        <v>0.94099999999999806</v>
      </c>
    </row>
    <row r="255" spans="1:6" x14ac:dyDescent="0.25">
      <c r="A255" s="56">
        <v>33264782.100000001</v>
      </c>
      <c r="C255" s="18">
        <v>250000000</v>
      </c>
      <c r="D255" s="19">
        <v>4</v>
      </c>
      <c r="E255" s="20">
        <f t="shared" si="6"/>
        <v>4.0000000000000002E-4</v>
      </c>
      <c r="F255" s="20">
        <f t="shared" si="7"/>
        <v>0.94139999999999802</v>
      </c>
    </row>
    <row r="256" spans="1:6" x14ac:dyDescent="0.25">
      <c r="A256" s="56">
        <v>3714750.2</v>
      </c>
      <c r="C256" s="18">
        <v>251000000</v>
      </c>
      <c r="D256" s="19">
        <v>5</v>
      </c>
      <c r="E256" s="20">
        <f t="shared" si="6"/>
        <v>5.0000000000000001E-4</v>
      </c>
      <c r="F256" s="20">
        <f t="shared" si="7"/>
        <v>0.94189999999999796</v>
      </c>
    </row>
    <row r="257" spans="1:7" x14ac:dyDescent="0.25">
      <c r="A257" s="56">
        <v>0</v>
      </c>
      <c r="C257" s="18">
        <v>252000000</v>
      </c>
      <c r="D257" s="19">
        <v>3</v>
      </c>
      <c r="E257" s="20">
        <f t="shared" si="6"/>
        <v>2.9999999999999997E-4</v>
      </c>
      <c r="F257" s="20">
        <f t="shared" si="7"/>
        <v>0.94219999999999793</v>
      </c>
    </row>
    <row r="258" spans="1:7" x14ac:dyDescent="0.25">
      <c r="A258" s="56">
        <v>32093144.399999999</v>
      </c>
      <c r="C258" s="18">
        <v>253000000</v>
      </c>
      <c r="D258" s="19">
        <v>7</v>
      </c>
      <c r="E258" s="20">
        <f t="shared" si="6"/>
        <v>6.9999999999999999E-4</v>
      </c>
      <c r="F258" s="20">
        <f t="shared" si="7"/>
        <v>0.94289999999999796</v>
      </c>
    </row>
    <row r="259" spans="1:7" x14ac:dyDescent="0.25">
      <c r="A259" s="56">
        <v>4148686.8</v>
      </c>
      <c r="C259" s="18">
        <v>254000000</v>
      </c>
      <c r="D259" s="19">
        <v>3</v>
      </c>
      <c r="E259" s="20">
        <f t="shared" si="6"/>
        <v>2.9999999999999997E-4</v>
      </c>
      <c r="F259" s="20">
        <f t="shared" si="7"/>
        <v>0.94319999999999793</v>
      </c>
    </row>
    <row r="260" spans="1:7" x14ac:dyDescent="0.25">
      <c r="A260" s="56">
        <v>0</v>
      </c>
      <c r="C260" s="18">
        <v>255000000</v>
      </c>
      <c r="D260" s="19">
        <v>5</v>
      </c>
      <c r="E260" s="20">
        <f t="shared" si="6"/>
        <v>5.0000000000000001E-4</v>
      </c>
      <c r="F260" s="20">
        <f t="shared" si="7"/>
        <v>0.94369999999999787</v>
      </c>
    </row>
    <row r="261" spans="1:7" x14ac:dyDescent="0.25">
      <c r="A261" s="56">
        <v>190514232.5</v>
      </c>
      <c r="C261" s="18">
        <v>256000000</v>
      </c>
      <c r="D261" s="19">
        <v>3</v>
      </c>
      <c r="E261" s="20">
        <f t="shared" ref="E261:E324" si="8">D261/10000</f>
        <v>2.9999999999999997E-4</v>
      </c>
      <c r="F261" s="20">
        <f t="shared" si="7"/>
        <v>0.94399999999999784</v>
      </c>
    </row>
    <row r="262" spans="1:7" x14ac:dyDescent="0.25">
      <c r="A262" s="56">
        <v>29611234.600000001</v>
      </c>
      <c r="C262" s="18">
        <v>257000000</v>
      </c>
      <c r="D262" s="19">
        <v>3</v>
      </c>
      <c r="E262" s="20">
        <f t="shared" si="8"/>
        <v>2.9999999999999997E-4</v>
      </c>
      <c r="F262" s="20">
        <f t="shared" ref="F262:F325" si="9">E262+F261</f>
        <v>0.94429999999999781</v>
      </c>
    </row>
    <row r="263" spans="1:7" x14ac:dyDescent="0.25">
      <c r="A263" s="56">
        <v>15046841.5</v>
      </c>
      <c r="C263" s="18">
        <v>258000000</v>
      </c>
      <c r="D263" s="19">
        <v>2</v>
      </c>
      <c r="E263" s="20">
        <f t="shared" si="8"/>
        <v>2.0000000000000001E-4</v>
      </c>
      <c r="F263" s="20">
        <f t="shared" si="9"/>
        <v>0.94449999999999779</v>
      </c>
    </row>
    <row r="264" spans="1:7" x14ac:dyDescent="0.25">
      <c r="A264" s="56">
        <v>9154993.1999999899</v>
      </c>
      <c r="C264" s="18">
        <v>259000000</v>
      </c>
      <c r="D264" s="19">
        <v>1</v>
      </c>
      <c r="E264" s="20">
        <f t="shared" si="8"/>
        <v>1E-4</v>
      </c>
      <c r="F264" s="20">
        <f t="shared" si="9"/>
        <v>0.94459999999999777</v>
      </c>
    </row>
    <row r="265" spans="1:7" x14ac:dyDescent="0.25">
      <c r="A265" s="56">
        <v>18641820.300000001</v>
      </c>
      <c r="C265" s="18">
        <v>260000000</v>
      </c>
      <c r="D265" s="19">
        <v>1</v>
      </c>
      <c r="E265" s="20">
        <f t="shared" si="8"/>
        <v>1E-4</v>
      </c>
      <c r="F265" s="20">
        <f t="shared" si="9"/>
        <v>0.94469999999999776</v>
      </c>
    </row>
    <row r="266" spans="1:7" x14ac:dyDescent="0.25">
      <c r="A266" s="56">
        <v>7759481.7999999998</v>
      </c>
      <c r="C266" s="18">
        <v>261000000</v>
      </c>
      <c r="D266" s="19">
        <v>4</v>
      </c>
      <c r="E266" s="20">
        <f t="shared" si="8"/>
        <v>4.0000000000000002E-4</v>
      </c>
      <c r="F266" s="20">
        <f t="shared" si="9"/>
        <v>0.94509999999999772</v>
      </c>
    </row>
    <row r="267" spans="1:7" x14ac:dyDescent="0.25">
      <c r="A267" s="56">
        <v>9695792.5999999996</v>
      </c>
      <c r="C267" s="18">
        <v>262000000</v>
      </c>
      <c r="D267" s="19">
        <v>5</v>
      </c>
      <c r="E267" s="20">
        <f t="shared" si="8"/>
        <v>5.0000000000000001E-4</v>
      </c>
      <c r="F267" s="20">
        <f t="shared" si="9"/>
        <v>0.94559999999999766</v>
      </c>
    </row>
    <row r="268" spans="1:7" x14ac:dyDescent="0.25">
      <c r="A268" s="56">
        <v>31253293.199999999</v>
      </c>
      <c r="C268" s="18">
        <v>263000000</v>
      </c>
      <c r="D268" s="19">
        <v>3</v>
      </c>
      <c r="E268" s="20">
        <f t="shared" si="8"/>
        <v>2.9999999999999997E-4</v>
      </c>
      <c r="F268" s="20">
        <f t="shared" si="9"/>
        <v>0.94589999999999763</v>
      </c>
    </row>
    <row r="269" spans="1:7" x14ac:dyDescent="0.25">
      <c r="A269" s="56">
        <v>24553424.699999999</v>
      </c>
      <c r="C269" s="18">
        <v>264000000</v>
      </c>
      <c r="D269" s="19">
        <v>3</v>
      </c>
      <c r="E269" s="20">
        <f t="shared" si="8"/>
        <v>2.9999999999999997E-4</v>
      </c>
      <c r="F269" s="20">
        <f t="shared" si="9"/>
        <v>0.9461999999999976</v>
      </c>
      <c r="G269" t="s">
        <v>63</v>
      </c>
    </row>
    <row r="270" spans="1:7" x14ac:dyDescent="0.25">
      <c r="A270" s="56">
        <v>6948531.7999999998</v>
      </c>
      <c r="C270" s="21">
        <v>265000000</v>
      </c>
      <c r="D270" s="22">
        <v>1</v>
      </c>
      <c r="E270" s="23">
        <f t="shared" si="8"/>
        <v>1E-4</v>
      </c>
      <c r="F270" s="23">
        <f t="shared" si="9"/>
        <v>0.94629999999999759</v>
      </c>
    </row>
    <row r="271" spans="1:7" x14ac:dyDescent="0.25">
      <c r="A271" s="56">
        <v>7377733.5</v>
      </c>
      <c r="C271" s="21">
        <v>266000000</v>
      </c>
      <c r="D271" s="22">
        <v>2</v>
      </c>
      <c r="E271" s="23">
        <f t="shared" si="8"/>
        <v>2.0000000000000001E-4</v>
      </c>
      <c r="F271" s="23">
        <f t="shared" si="9"/>
        <v>0.94649999999999757</v>
      </c>
    </row>
    <row r="272" spans="1:7" x14ac:dyDescent="0.25">
      <c r="A272" s="56">
        <v>9032635.8000000007</v>
      </c>
      <c r="C272" s="21">
        <v>267000000</v>
      </c>
      <c r="D272" s="22">
        <v>4</v>
      </c>
      <c r="E272" s="23">
        <f t="shared" si="8"/>
        <v>4.0000000000000002E-4</v>
      </c>
      <c r="F272" s="23">
        <f t="shared" si="9"/>
        <v>0.94689999999999752</v>
      </c>
    </row>
    <row r="273" spans="1:6" x14ac:dyDescent="0.25">
      <c r="A273" s="56">
        <v>94996740.099999905</v>
      </c>
      <c r="C273" s="21">
        <v>268000000</v>
      </c>
      <c r="D273" s="22">
        <v>2</v>
      </c>
      <c r="E273" s="23">
        <f t="shared" si="8"/>
        <v>2.0000000000000001E-4</v>
      </c>
      <c r="F273" s="23">
        <f t="shared" si="9"/>
        <v>0.9470999999999975</v>
      </c>
    </row>
    <row r="274" spans="1:6" x14ac:dyDescent="0.25">
      <c r="A274" s="56">
        <v>0</v>
      </c>
      <c r="C274" s="21">
        <v>269000000</v>
      </c>
      <c r="D274" s="22">
        <v>8</v>
      </c>
      <c r="E274" s="23">
        <f t="shared" si="8"/>
        <v>8.0000000000000004E-4</v>
      </c>
      <c r="F274" s="23">
        <f t="shared" si="9"/>
        <v>0.94789999999999752</v>
      </c>
    </row>
    <row r="275" spans="1:6" x14ac:dyDescent="0.25">
      <c r="A275" s="56">
        <v>26460413.399999999</v>
      </c>
      <c r="C275" s="21">
        <v>270000000</v>
      </c>
      <c r="D275" s="22">
        <v>3</v>
      </c>
      <c r="E275" s="23">
        <f t="shared" si="8"/>
        <v>2.9999999999999997E-4</v>
      </c>
      <c r="F275" s="23">
        <f t="shared" si="9"/>
        <v>0.94819999999999749</v>
      </c>
    </row>
    <row r="276" spans="1:6" x14ac:dyDescent="0.25">
      <c r="A276" s="56">
        <v>18719185.600000001</v>
      </c>
      <c r="C276" s="21">
        <v>271000000</v>
      </c>
      <c r="D276" s="22">
        <v>3</v>
      </c>
      <c r="E276" s="23">
        <f t="shared" si="8"/>
        <v>2.9999999999999997E-4</v>
      </c>
      <c r="F276" s="23">
        <f t="shared" si="9"/>
        <v>0.94849999999999746</v>
      </c>
    </row>
    <row r="277" spans="1:6" x14ac:dyDescent="0.25">
      <c r="A277" s="56">
        <v>63110701.599999897</v>
      </c>
      <c r="C277" s="21">
        <v>272000000</v>
      </c>
      <c r="D277" s="22">
        <v>5</v>
      </c>
      <c r="E277" s="23">
        <f t="shared" si="8"/>
        <v>5.0000000000000001E-4</v>
      </c>
      <c r="F277" s="23">
        <f t="shared" si="9"/>
        <v>0.9489999999999974</v>
      </c>
    </row>
    <row r="278" spans="1:6" x14ac:dyDescent="0.25">
      <c r="A278" s="56">
        <v>26924874.800000001</v>
      </c>
      <c r="C278" s="21">
        <v>273000000</v>
      </c>
      <c r="D278" s="22">
        <v>1</v>
      </c>
      <c r="E278" s="23">
        <f t="shared" si="8"/>
        <v>1E-4</v>
      </c>
      <c r="F278" s="23">
        <f t="shared" si="9"/>
        <v>0.94909999999999739</v>
      </c>
    </row>
    <row r="279" spans="1:6" x14ac:dyDescent="0.25">
      <c r="A279" s="56">
        <v>222121939.40000001</v>
      </c>
      <c r="C279" s="21">
        <v>274000000</v>
      </c>
      <c r="D279" s="22">
        <v>6</v>
      </c>
      <c r="E279" s="23">
        <f t="shared" si="8"/>
        <v>5.9999999999999995E-4</v>
      </c>
      <c r="F279" s="23">
        <f t="shared" si="9"/>
        <v>0.94969999999999744</v>
      </c>
    </row>
    <row r="280" spans="1:6" x14ac:dyDescent="0.25">
      <c r="A280" s="56">
        <v>620548811</v>
      </c>
      <c r="C280" s="21">
        <v>275000000</v>
      </c>
      <c r="D280" s="22">
        <v>1</v>
      </c>
      <c r="E280" s="23">
        <f t="shared" si="8"/>
        <v>1E-4</v>
      </c>
      <c r="F280" s="23">
        <f t="shared" si="9"/>
        <v>0.94979999999999742</v>
      </c>
    </row>
    <row r="281" spans="1:6" x14ac:dyDescent="0.25">
      <c r="A281" s="56">
        <v>11400701.4</v>
      </c>
      <c r="C281" s="21">
        <v>276000000</v>
      </c>
      <c r="D281" s="22">
        <v>2</v>
      </c>
      <c r="E281" s="23">
        <f t="shared" si="8"/>
        <v>2.0000000000000001E-4</v>
      </c>
      <c r="F281" s="23">
        <f t="shared" si="9"/>
        <v>0.9499999999999974</v>
      </c>
    </row>
    <row r="282" spans="1:6" x14ac:dyDescent="0.25">
      <c r="A282" s="56">
        <v>19238205.899999999</v>
      </c>
      <c r="C282" s="21">
        <v>277000000</v>
      </c>
      <c r="D282" s="22">
        <v>3</v>
      </c>
      <c r="E282" s="23">
        <f t="shared" si="8"/>
        <v>2.9999999999999997E-4</v>
      </c>
      <c r="F282" s="23">
        <f t="shared" si="9"/>
        <v>0.95029999999999737</v>
      </c>
    </row>
    <row r="283" spans="1:6" x14ac:dyDescent="0.25">
      <c r="A283" s="56">
        <v>13298555.1</v>
      </c>
      <c r="C283" s="21">
        <v>278000000</v>
      </c>
      <c r="D283" s="22">
        <v>3</v>
      </c>
      <c r="E283" s="23">
        <f t="shared" si="8"/>
        <v>2.9999999999999997E-4</v>
      </c>
      <c r="F283" s="23">
        <f t="shared" si="9"/>
        <v>0.95059999999999734</v>
      </c>
    </row>
    <row r="284" spans="1:6" x14ac:dyDescent="0.25">
      <c r="A284" s="56">
        <v>9447173</v>
      </c>
      <c r="C284" s="21">
        <v>279000000</v>
      </c>
      <c r="D284" s="22">
        <v>5</v>
      </c>
      <c r="E284" s="23">
        <f t="shared" si="8"/>
        <v>5.0000000000000001E-4</v>
      </c>
      <c r="F284" s="23">
        <f t="shared" si="9"/>
        <v>0.95109999999999728</v>
      </c>
    </row>
    <row r="285" spans="1:6" x14ac:dyDescent="0.25">
      <c r="A285" s="56">
        <v>188705402</v>
      </c>
      <c r="C285" s="21">
        <v>280000000</v>
      </c>
      <c r="D285" s="22">
        <v>3</v>
      </c>
      <c r="E285" s="23">
        <f t="shared" si="8"/>
        <v>2.9999999999999997E-4</v>
      </c>
      <c r="F285" s="23">
        <f t="shared" si="9"/>
        <v>0.95139999999999725</v>
      </c>
    </row>
    <row r="286" spans="1:6" x14ac:dyDescent="0.25">
      <c r="A286" s="56">
        <v>44532785.899999902</v>
      </c>
      <c r="C286" s="21">
        <v>281000000</v>
      </c>
      <c r="D286" s="22">
        <v>2</v>
      </c>
      <c r="E286" s="23">
        <f t="shared" si="8"/>
        <v>2.0000000000000001E-4</v>
      </c>
      <c r="F286" s="23">
        <f t="shared" si="9"/>
        <v>0.95159999999999723</v>
      </c>
    </row>
    <row r="287" spans="1:6" x14ac:dyDescent="0.25">
      <c r="A287" s="56">
        <v>1952970.6</v>
      </c>
      <c r="C287" s="21">
        <v>282000000</v>
      </c>
      <c r="D287" s="22">
        <v>4</v>
      </c>
      <c r="E287" s="23">
        <f t="shared" si="8"/>
        <v>4.0000000000000002E-4</v>
      </c>
      <c r="F287" s="23">
        <f t="shared" si="9"/>
        <v>0.95199999999999718</v>
      </c>
    </row>
    <row r="288" spans="1:6" x14ac:dyDescent="0.25">
      <c r="A288" s="56">
        <v>2865947.4</v>
      </c>
      <c r="C288" s="21">
        <v>283000000</v>
      </c>
      <c r="D288" s="22">
        <v>1</v>
      </c>
      <c r="E288" s="23">
        <f t="shared" si="8"/>
        <v>1E-4</v>
      </c>
      <c r="F288" s="23">
        <f t="shared" si="9"/>
        <v>0.95209999999999717</v>
      </c>
    </row>
    <row r="289" spans="1:6" x14ac:dyDescent="0.25">
      <c r="A289" s="56">
        <v>2411415.6</v>
      </c>
      <c r="C289" s="21">
        <v>284000000</v>
      </c>
      <c r="D289" s="22">
        <v>3</v>
      </c>
      <c r="E289" s="23">
        <f t="shared" si="8"/>
        <v>2.9999999999999997E-4</v>
      </c>
      <c r="F289" s="23">
        <f t="shared" si="9"/>
        <v>0.95239999999999714</v>
      </c>
    </row>
    <row r="290" spans="1:6" x14ac:dyDescent="0.25">
      <c r="A290" s="56">
        <v>1334863.2</v>
      </c>
      <c r="C290" s="21">
        <v>285000000</v>
      </c>
      <c r="D290" s="22">
        <v>3</v>
      </c>
      <c r="E290" s="23">
        <f t="shared" si="8"/>
        <v>2.9999999999999997E-4</v>
      </c>
      <c r="F290" s="23">
        <f t="shared" si="9"/>
        <v>0.9526999999999971</v>
      </c>
    </row>
    <row r="291" spans="1:6" x14ac:dyDescent="0.25">
      <c r="A291" s="56">
        <v>20160967.399999999</v>
      </c>
      <c r="C291" s="21">
        <v>286000000</v>
      </c>
      <c r="D291" s="22">
        <v>2</v>
      </c>
      <c r="E291" s="23">
        <f t="shared" si="8"/>
        <v>2.0000000000000001E-4</v>
      </c>
      <c r="F291" s="23">
        <f t="shared" si="9"/>
        <v>0.95289999999999708</v>
      </c>
    </row>
    <row r="292" spans="1:6" x14ac:dyDescent="0.25">
      <c r="A292" s="56">
        <v>297497982.19999999</v>
      </c>
      <c r="C292" s="21">
        <v>287000000</v>
      </c>
      <c r="D292" s="22">
        <v>0</v>
      </c>
      <c r="E292" s="23">
        <f t="shared" si="8"/>
        <v>0</v>
      </c>
      <c r="F292" s="23">
        <f t="shared" si="9"/>
        <v>0.95289999999999708</v>
      </c>
    </row>
    <row r="293" spans="1:6" x14ac:dyDescent="0.25">
      <c r="A293" s="56">
        <v>37635846.799999997</v>
      </c>
      <c r="C293" s="21">
        <v>288000000</v>
      </c>
      <c r="D293" s="22">
        <v>4</v>
      </c>
      <c r="E293" s="23">
        <f t="shared" si="8"/>
        <v>4.0000000000000002E-4</v>
      </c>
      <c r="F293" s="23">
        <f t="shared" si="9"/>
        <v>0.95329999999999704</v>
      </c>
    </row>
    <row r="294" spans="1:6" x14ac:dyDescent="0.25">
      <c r="A294" s="56">
        <v>19049575.300000001</v>
      </c>
      <c r="C294" s="21">
        <v>289000000</v>
      </c>
      <c r="D294" s="22">
        <v>4</v>
      </c>
      <c r="E294" s="23">
        <f t="shared" si="8"/>
        <v>4.0000000000000002E-4</v>
      </c>
      <c r="F294" s="23">
        <f t="shared" si="9"/>
        <v>0.95369999999999699</v>
      </c>
    </row>
    <row r="295" spans="1:6" x14ac:dyDescent="0.25">
      <c r="A295" s="56">
        <v>0</v>
      </c>
      <c r="C295" s="21">
        <v>290000000</v>
      </c>
      <c r="D295" s="22">
        <v>3</v>
      </c>
      <c r="E295" s="23">
        <f t="shared" si="8"/>
        <v>2.9999999999999997E-4</v>
      </c>
      <c r="F295" s="23">
        <f t="shared" si="9"/>
        <v>0.95399999999999696</v>
      </c>
    </row>
    <row r="296" spans="1:6" x14ac:dyDescent="0.25">
      <c r="A296" s="56">
        <v>78800283.5</v>
      </c>
      <c r="C296" s="21">
        <v>291000000</v>
      </c>
      <c r="D296" s="22">
        <v>1</v>
      </c>
      <c r="E296" s="23">
        <f t="shared" si="8"/>
        <v>1E-4</v>
      </c>
      <c r="F296" s="23">
        <f t="shared" si="9"/>
        <v>0.95409999999999695</v>
      </c>
    </row>
    <row r="297" spans="1:6" x14ac:dyDescent="0.25">
      <c r="A297" s="56">
        <v>13468885.300000001</v>
      </c>
      <c r="C297" s="21">
        <v>292000000</v>
      </c>
      <c r="D297" s="22">
        <v>1</v>
      </c>
      <c r="E297" s="23">
        <f t="shared" si="8"/>
        <v>1E-4</v>
      </c>
      <c r="F297" s="23">
        <f t="shared" si="9"/>
        <v>0.95419999999999694</v>
      </c>
    </row>
    <row r="298" spans="1:6" x14ac:dyDescent="0.25">
      <c r="A298" s="56">
        <v>59235342.599999897</v>
      </c>
      <c r="C298" s="21">
        <v>293000000</v>
      </c>
      <c r="D298" s="22">
        <v>2</v>
      </c>
      <c r="E298" s="23">
        <f t="shared" si="8"/>
        <v>2.0000000000000001E-4</v>
      </c>
      <c r="F298" s="23">
        <f t="shared" si="9"/>
        <v>0.95439999999999692</v>
      </c>
    </row>
    <row r="299" spans="1:6" x14ac:dyDescent="0.25">
      <c r="A299" s="56">
        <v>0</v>
      </c>
      <c r="C299" s="21">
        <v>294000000</v>
      </c>
      <c r="D299" s="22">
        <v>5</v>
      </c>
      <c r="E299" s="23">
        <f t="shared" si="8"/>
        <v>5.0000000000000001E-4</v>
      </c>
      <c r="F299" s="23">
        <f t="shared" si="9"/>
        <v>0.95489999999999686</v>
      </c>
    </row>
    <row r="300" spans="1:6" x14ac:dyDescent="0.25">
      <c r="A300" s="56">
        <v>143511996.59999999</v>
      </c>
      <c r="C300" s="21">
        <v>295000000</v>
      </c>
      <c r="D300" s="22">
        <v>1</v>
      </c>
      <c r="E300" s="23">
        <f t="shared" si="8"/>
        <v>1E-4</v>
      </c>
      <c r="F300" s="23">
        <f t="shared" si="9"/>
        <v>0.95499999999999685</v>
      </c>
    </row>
    <row r="301" spans="1:6" x14ac:dyDescent="0.25">
      <c r="A301" s="56">
        <v>29857033.199999999</v>
      </c>
      <c r="C301" s="21">
        <v>296000000</v>
      </c>
      <c r="D301" s="22">
        <v>3</v>
      </c>
      <c r="E301" s="23">
        <f t="shared" si="8"/>
        <v>2.9999999999999997E-4</v>
      </c>
      <c r="F301" s="23">
        <f t="shared" si="9"/>
        <v>0.95529999999999682</v>
      </c>
    </row>
    <row r="302" spans="1:6" x14ac:dyDescent="0.25">
      <c r="A302" s="56">
        <v>24795825.5</v>
      </c>
      <c r="C302" s="21">
        <v>297000000</v>
      </c>
      <c r="D302" s="22">
        <v>1</v>
      </c>
      <c r="E302" s="23">
        <f t="shared" si="8"/>
        <v>1E-4</v>
      </c>
      <c r="F302" s="23">
        <f t="shared" si="9"/>
        <v>0.95539999999999681</v>
      </c>
    </row>
    <row r="303" spans="1:6" x14ac:dyDescent="0.25">
      <c r="A303" s="56">
        <v>162444804.5</v>
      </c>
      <c r="C303" s="21">
        <v>298000000</v>
      </c>
      <c r="D303" s="22">
        <v>2</v>
      </c>
      <c r="E303" s="23">
        <f t="shared" si="8"/>
        <v>2.0000000000000001E-4</v>
      </c>
      <c r="F303" s="23">
        <f t="shared" si="9"/>
        <v>0.95559999999999679</v>
      </c>
    </row>
    <row r="304" spans="1:6" x14ac:dyDescent="0.25">
      <c r="A304" s="56">
        <v>1852765.8</v>
      </c>
      <c r="C304" s="21">
        <v>299000000</v>
      </c>
      <c r="D304" s="22">
        <v>1</v>
      </c>
      <c r="E304" s="23">
        <f t="shared" si="8"/>
        <v>1E-4</v>
      </c>
      <c r="F304" s="23">
        <f t="shared" si="9"/>
        <v>0.95569999999999677</v>
      </c>
    </row>
    <row r="305" spans="1:6" x14ac:dyDescent="0.25">
      <c r="A305" s="56">
        <v>149384922.69999999</v>
      </c>
      <c r="C305" s="21">
        <v>300000000</v>
      </c>
      <c r="D305" s="22">
        <v>2</v>
      </c>
      <c r="E305" s="23">
        <f t="shared" si="8"/>
        <v>2.0000000000000001E-4</v>
      </c>
      <c r="F305" s="23">
        <f t="shared" si="9"/>
        <v>0.95589999999999675</v>
      </c>
    </row>
    <row r="306" spans="1:6" x14ac:dyDescent="0.25">
      <c r="A306" s="56">
        <v>59032598.599999897</v>
      </c>
      <c r="C306" s="21">
        <v>301000000</v>
      </c>
      <c r="D306" s="22">
        <v>2</v>
      </c>
      <c r="E306" s="23">
        <f t="shared" si="8"/>
        <v>2.0000000000000001E-4</v>
      </c>
      <c r="F306" s="23">
        <f t="shared" si="9"/>
        <v>0.95609999999999673</v>
      </c>
    </row>
    <row r="307" spans="1:6" x14ac:dyDescent="0.25">
      <c r="A307" s="56">
        <v>107912471.3</v>
      </c>
      <c r="C307" s="21">
        <v>302000000</v>
      </c>
      <c r="D307" s="22">
        <v>1</v>
      </c>
      <c r="E307" s="23">
        <f t="shared" si="8"/>
        <v>1E-4</v>
      </c>
      <c r="F307" s="23">
        <f t="shared" si="9"/>
        <v>0.95619999999999672</v>
      </c>
    </row>
    <row r="308" spans="1:6" x14ac:dyDescent="0.25">
      <c r="A308" s="56">
        <v>0</v>
      </c>
      <c r="C308" s="21">
        <v>303000000</v>
      </c>
      <c r="D308" s="22">
        <v>2</v>
      </c>
      <c r="E308" s="23">
        <f t="shared" si="8"/>
        <v>2.0000000000000001E-4</v>
      </c>
      <c r="F308" s="23">
        <f t="shared" si="9"/>
        <v>0.9563999999999967</v>
      </c>
    </row>
    <row r="309" spans="1:6" x14ac:dyDescent="0.25">
      <c r="A309" s="56">
        <v>60157565.799999997</v>
      </c>
      <c r="C309" s="21">
        <v>304000000</v>
      </c>
      <c r="D309" s="22">
        <v>4</v>
      </c>
      <c r="E309" s="23">
        <f t="shared" si="8"/>
        <v>4.0000000000000002E-4</v>
      </c>
      <c r="F309" s="23">
        <f t="shared" si="9"/>
        <v>0.95679999999999665</v>
      </c>
    </row>
    <row r="310" spans="1:6" x14ac:dyDescent="0.25">
      <c r="A310" s="56">
        <v>31823300.399999902</v>
      </c>
      <c r="C310" s="21">
        <v>305000000</v>
      </c>
      <c r="D310" s="22">
        <v>4</v>
      </c>
      <c r="E310" s="23">
        <f t="shared" si="8"/>
        <v>4.0000000000000002E-4</v>
      </c>
      <c r="F310" s="23">
        <f t="shared" si="9"/>
        <v>0.95719999999999661</v>
      </c>
    </row>
    <row r="311" spans="1:6" x14ac:dyDescent="0.25">
      <c r="A311" s="56">
        <v>19519947.600000001</v>
      </c>
      <c r="C311" s="21">
        <v>306000000</v>
      </c>
      <c r="D311" s="22">
        <v>3</v>
      </c>
      <c r="E311" s="23">
        <f t="shared" si="8"/>
        <v>2.9999999999999997E-4</v>
      </c>
      <c r="F311" s="23">
        <f t="shared" si="9"/>
        <v>0.95749999999999658</v>
      </c>
    </row>
    <row r="312" spans="1:6" x14ac:dyDescent="0.25">
      <c r="A312" s="56">
        <v>200911476.59999999</v>
      </c>
      <c r="C312" s="21">
        <v>307000000</v>
      </c>
      <c r="D312" s="22">
        <v>5</v>
      </c>
      <c r="E312" s="23">
        <f t="shared" si="8"/>
        <v>5.0000000000000001E-4</v>
      </c>
      <c r="F312" s="23">
        <f t="shared" si="9"/>
        <v>0.95799999999999652</v>
      </c>
    </row>
    <row r="313" spans="1:6" x14ac:dyDescent="0.25">
      <c r="A313" s="56">
        <v>98484218</v>
      </c>
      <c r="C313" s="21">
        <v>308000000</v>
      </c>
      <c r="D313" s="22">
        <v>3</v>
      </c>
      <c r="E313" s="23">
        <f t="shared" si="8"/>
        <v>2.9999999999999997E-4</v>
      </c>
      <c r="F313" s="23">
        <f t="shared" si="9"/>
        <v>0.95829999999999649</v>
      </c>
    </row>
    <row r="314" spans="1:6" x14ac:dyDescent="0.25">
      <c r="A314" s="56">
        <v>0</v>
      </c>
      <c r="C314" s="21">
        <v>309000000</v>
      </c>
      <c r="D314" s="22">
        <v>6</v>
      </c>
      <c r="E314" s="23">
        <f t="shared" si="8"/>
        <v>5.9999999999999995E-4</v>
      </c>
      <c r="F314" s="23">
        <f t="shared" si="9"/>
        <v>0.95889999999999653</v>
      </c>
    </row>
    <row r="315" spans="1:6" x14ac:dyDescent="0.25">
      <c r="A315" s="56">
        <v>9498946.2999999896</v>
      </c>
      <c r="C315" s="21">
        <v>310000000</v>
      </c>
      <c r="D315" s="22">
        <v>1</v>
      </c>
      <c r="E315" s="23">
        <f t="shared" si="8"/>
        <v>1E-4</v>
      </c>
      <c r="F315" s="23">
        <f t="shared" si="9"/>
        <v>0.95899999999999652</v>
      </c>
    </row>
    <row r="316" spans="1:6" x14ac:dyDescent="0.25">
      <c r="A316" s="56">
        <v>10144325.4</v>
      </c>
      <c r="C316" s="21">
        <v>311000000</v>
      </c>
      <c r="D316" s="22">
        <v>1</v>
      </c>
      <c r="E316" s="23">
        <f t="shared" si="8"/>
        <v>1E-4</v>
      </c>
      <c r="F316" s="23">
        <f t="shared" si="9"/>
        <v>0.95909999999999651</v>
      </c>
    </row>
    <row r="317" spans="1:6" x14ac:dyDescent="0.25">
      <c r="A317" s="56">
        <v>45779855.399999999</v>
      </c>
      <c r="C317" s="21">
        <v>312000000</v>
      </c>
      <c r="D317" s="22">
        <v>2</v>
      </c>
      <c r="E317" s="23">
        <f t="shared" si="8"/>
        <v>2.0000000000000001E-4</v>
      </c>
      <c r="F317" s="23">
        <f t="shared" si="9"/>
        <v>0.95929999999999649</v>
      </c>
    </row>
    <row r="318" spans="1:6" x14ac:dyDescent="0.25">
      <c r="A318" s="56">
        <v>117894584</v>
      </c>
      <c r="C318" s="21">
        <v>313000000</v>
      </c>
      <c r="D318" s="22">
        <v>3</v>
      </c>
      <c r="E318" s="23">
        <f t="shared" si="8"/>
        <v>2.9999999999999997E-4</v>
      </c>
      <c r="F318" s="23">
        <f t="shared" si="9"/>
        <v>0.95959999999999646</v>
      </c>
    </row>
    <row r="319" spans="1:6" x14ac:dyDescent="0.25">
      <c r="A319" s="56">
        <v>42625656.799999997</v>
      </c>
      <c r="C319" s="21">
        <v>314000000</v>
      </c>
      <c r="D319" s="22">
        <v>1</v>
      </c>
      <c r="E319" s="23">
        <f t="shared" si="8"/>
        <v>1E-4</v>
      </c>
      <c r="F319" s="23">
        <f t="shared" si="9"/>
        <v>0.95969999999999644</v>
      </c>
    </row>
    <row r="320" spans="1:6" x14ac:dyDescent="0.25">
      <c r="A320" s="56">
        <v>1091992.8</v>
      </c>
      <c r="C320" s="21">
        <v>315000000</v>
      </c>
      <c r="D320" s="22">
        <v>2</v>
      </c>
      <c r="E320" s="23">
        <f t="shared" si="8"/>
        <v>2.0000000000000001E-4</v>
      </c>
      <c r="F320" s="23">
        <f t="shared" si="9"/>
        <v>0.95989999999999642</v>
      </c>
    </row>
    <row r="321" spans="1:6" x14ac:dyDescent="0.25">
      <c r="A321" s="56">
        <v>8481870.5</v>
      </c>
      <c r="C321" s="21">
        <v>316000000</v>
      </c>
      <c r="D321" s="22">
        <v>5</v>
      </c>
      <c r="E321" s="23">
        <f t="shared" si="8"/>
        <v>5.0000000000000001E-4</v>
      </c>
      <c r="F321" s="23">
        <f t="shared" si="9"/>
        <v>0.96039999999999637</v>
      </c>
    </row>
    <row r="322" spans="1:6" x14ac:dyDescent="0.25">
      <c r="A322" s="56">
        <v>3305527.8</v>
      </c>
      <c r="C322" s="21">
        <v>317000000</v>
      </c>
      <c r="D322" s="22">
        <v>2</v>
      </c>
      <c r="E322" s="23">
        <f t="shared" si="8"/>
        <v>2.0000000000000001E-4</v>
      </c>
      <c r="F322" s="23">
        <f t="shared" si="9"/>
        <v>0.96059999999999635</v>
      </c>
    </row>
    <row r="323" spans="1:6" x14ac:dyDescent="0.25">
      <c r="A323" s="56">
        <v>81093952.700000003</v>
      </c>
      <c r="C323" s="21">
        <v>318000000</v>
      </c>
      <c r="D323" s="22">
        <v>2</v>
      </c>
      <c r="E323" s="23">
        <f t="shared" si="8"/>
        <v>2.0000000000000001E-4</v>
      </c>
      <c r="F323" s="23">
        <f t="shared" si="9"/>
        <v>0.96079999999999632</v>
      </c>
    </row>
    <row r="324" spans="1:6" x14ac:dyDescent="0.25">
      <c r="A324" s="56">
        <v>0</v>
      </c>
      <c r="C324" s="21">
        <v>319000000</v>
      </c>
      <c r="D324" s="22">
        <v>4</v>
      </c>
      <c r="E324" s="23">
        <f t="shared" si="8"/>
        <v>4.0000000000000002E-4</v>
      </c>
      <c r="F324" s="23">
        <f t="shared" si="9"/>
        <v>0.96119999999999628</v>
      </c>
    </row>
    <row r="325" spans="1:6" x14ac:dyDescent="0.25">
      <c r="A325" s="56">
        <v>58898033</v>
      </c>
      <c r="C325" s="21">
        <v>320000000</v>
      </c>
      <c r="D325" s="22">
        <v>1</v>
      </c>
      <c r="E325" s="23">
        <f t="shared" ref="E325:E388" si="10">D325/10000</f>
        <v>1E-4</v>
      </c>
      <c r="F325" s="23">
        <f t="shared" si="9"/>
        <v>0.96129999999999627</v>
      </c>
    </row>
    <row r="326" spans="1:6" x14ac:dyDescent="0.25">
      <c r="A326" s="56">
        <v>137927198.59999999</v>
      </c>
      <c r="C326" s="21">
        <v>321000000</v>
      </c>
      <c r="D326" s="22">
        <v>1</v>
      </c>
      <c r="E326" s="23">
        <f t="shared" si="10"/>
        <v>1E-4</v>
      </c>
      <c r="F326" s="23">
        <f t="shared" ref="F326:F389" si="11">E326+F325</f>
        <v>0.96139999999999626</v>
      </c>
    </row>
    <row r="327" spans="1:6" x14ac:dyDescent="0.25">
      <c r="A327" s="56">
        <v>28003136.199999999</v>
      </c>
      <c r="C327" s="21">
        <v>322000000</v>
      </c>
      <c r="D327" s="22">
        <v>2</v>
      </c>
      <c r="E327" s="23">
        <f t="shared" si="10"/>
        <v>2.0000000000000001E-4</v>
      </c>
      <c r="F327" s="23">
        <f t="shared" si="11"/>
        <v>0.96159999999999624</v>
      </c>
    </row>
    <row r="328" spans="1:6" x14ac:dyDescent="0.25">
      <c r="A328" s="56">
        <v>4979030</v>
      </c>
      <c r="C328" s="21">
        <v>323000000</v>
      </c>
      <c r="D328" s="22">
        <v>2</v>
      </c>
      <c r="E328" s="23">
        <f t="shared" si="10"/>
        <v>2.0000000000000001E-4</v>
      </c>
      <c r="F328" s="23">
        <f t="shared" si="11"/>
        <v>0.96179999999999621</v>
      </c>
    </row>
    <row r="329" spans="1:6" x14ac:dyDescent="0.25">
      <c r="A329" s="56">
        <v>6866298.7000000002</v>
      </c>
      <c r="C329" s="21">
        <v>324000000</v>
      </c>
      <c r="D329" s="22">
        <v>0</v>
      </c>
      <c r="E329" s="23">
        <f t="shared" si="10"/>
        <v>0</v>
      </c>
      <c r="F329" s="23">
        <f t="shared" si="11"/>
        <v>0.96179999999999621</v>
      </c>
    </row>
    <row r="330" spans="1:6" x14ac:dyDescent="0.25">
      <c r="A330" s="56">
        <v>14273720.5</v>
      </c>
      <c r="C330" s="21">
        <v>325000000</v>
      </c>
      <c r="D330" s="22">
        <v>3</v>
      </c>
      <c r="E330" s="23">
        <f t="shared" si="10"/>
        <v>2.9999999999999997E-4</v>
      </c>
      <c r="F330" s="23">
        <f t="shared" si="11"/>
        <v>0.96209999999999618</v>
      </c>
    </row>
    <row r="331" spans="1:6" x14ac:dyDescent="0.25">
      <c r="A331" s="56">
        <v>10856387.800000001</v>
      </c>
      <c r="C331" s="21">
        <v>326000000</v>
      </c>
      <c r="D331" s="22">
        <v>3</v>
      </c>
      <c r="E331" s="23">
        <f t="shared" si="10"/>
        <v>2.9999999999999997E-4</v>
      </c>
      <c r="F331" s="23">
        <f t="shared" si="11"/>
        <v>0.96239999999999615</v>
      </c>
    </row>
    <row r="332" spans="1:6" x14ac:dyDescent="0.25">
      <c r="A332" s="56">
        <v>120528.4</v>
      </c>
      <c r="C332" s="21">
        <v>327000000</v>
      </c>
      <c r="D332" s="22">
        <v>4</v>
      </c>
      <c r="E332" s="23">
        <f t="shared" si="10"/>
        <v>4.0000000000000002E-4</v>
      </c>
      <c r="F332" s="23">
        <f t="shared" si="11"/>
        <v>0.9627999999999961</v>
      </c>
    </row>
    <row r="333" spans="1:6" x14ac:dyDescent="0.25">
      <c r="A333" s="56">
        <v>31711779.399999999</v>
      </c>
      <c r="C333" s="21">
        <v>328000000</v>
      </c>
      <c r="D333" s="22">
        <v>2</v>
      </c>
      <c r="E333" s="23">
        <f t="shared" si="10"/>
        <v>2.0000000000000001E-4</v>
      </c>
      <c r="F333" s="23">
        <f t="shared" si="11"/>
        <v>0.96299999999999608</v>
      </c>
    </row>
    <row r="334" spans="1:6" x14ac:dyDescent="0.25">
      <c r="A334" s="56">
        <v>15925371.4</v>
      </c>
      <c r="C334" s="21">
        <v>329000000</v>
      </c>
      <c r="D334" s="22">
        <v>1</v>
      </c>
      <c r="E334" s="23">
        <f t="shared" si="10"/>
        <v>1E-4</v>
      </c>
      <c r="F334" s="23">
        <f t="shared" si="11"/>
        <v>0.96309999999999607</v>
      </c>
    </row>
    <row r="335" spans="1:6" x14ac:dyDescent="0.25">
      <c r="A335" s="56">
        <v>185827803.80000001</v>
      </c>
      <c r="C335" s="21">
        <v>330000000</v>
      </c>
      <c r="D335" s="22">
        <v>2</v>
      </c>
      <c r="E335" s="23">
        <f t="shared" si="10"/>
        <v>2.0000000000000001E-4</v>
      </c>
      <c r="F335" s="23">
        <f t="shared" si="11"/>
        <v>0.96329999999999605</v>
      </c>
    </row>
    <row r="336" spans="1:6" x14ac:dyDescent="0.25">
      <c r="A336" s="56">
        <v>109454668.7</v>
      </c>
      <c r="C336" s="21">
        <v>331000000</v>
      </c>
      <c r="D336" s="22">
        <v>1</v>
      </c>
      <c r="E336" s="23">
        <f t="shared" si="10"/>
        <v>1E-4</v>
      </c>
      <c r="F336" s="23">
        <f t="shared" si="11"/>
        <v>0.96339999999999604</v>
      </c>
    </row>
    <row r="337" spans="1:6" x14ac:dyDescent="0.25">
      <c r="A337" s="56">
        <v>30222347.600000001</v>
      </c>
      <c r="C337" s="21">
        <v>332000000</v>
      </c>
      <c r="D337" s="22">
        <v>2</v>
      </c>
      <c r="E337" s="23">
        <f t="shared" si="10"/>
        <v>2.0000000000000001E-4</v>
      </c>
      <c r="F337" s="23">
        <f t="shared" si="11"/>
        <v>0.96359999999999602</v>
      </c>
    </row>
    <row r="338" spans="1:6" x14ac:dyDescent="0.25">
      <c r="A338" s="56">
        <v>8910185.1999999899</v>
      </c>
      <c r="C338" s="21">
        <v>333000000</v>
      </c>
      <c r="D338" s="22">
        <v>3</v>
      </c>
      <c r="E338" s="23">
        <f t="shared" si="10"/>
        <v>2.9999999999999997E-4</v>
      </c>
      <c r="F338" s="23">
        <f t="shared" si="11"/>
        <v>0.96389999999999598</v>
      </c>
    </row>
    <row r="339" spans="1:6" x14ac:dyDescent="0.25">
      <c r="A339" s="56">
        <v>29337567.699999999</v>
      </c>
      <c r="C339" s="21">
        <v>334000000</v>
      </c>
      <c r="D339" s="22">
        <v>3</v>
      </c>
      <c r="E339" s="23">
        <f t="shared" si="10"/>
        <v>2.9999999999999997E-4</v>
      </c>
      <c r="F339" s="23">
        <f t="shared" si="11"/>
        <v>0.96419999999999595</v>
      </c>
    </row>
    <row r="340" spans="1:6" x14ac:dyDescent="0.25">
      <c r="A340" s="56">
        <v>12593297.5</v>
      </c>
      <c r="C340" s="21">
        <v>335000000</v>
      </c>
      <c r="D340" s="22">
        <v>2</v>
      </c>
      <c r="E340" s="23">
        <f t="shared" si="10"/>
        <v>2.0000000000000001E-4</v>
      </c>
      <c r="F340" s="23">
        <f t="shared" si="11"/>
        <v>0.96439999999999593</v>
      </c>
    </row>
    <row r="341" spans="1:6" x14ac:dyDescent="0.25">
      <c r="A341" s="56">
        <v>12494473.4</v>
      </c>
      <c r="C341" s="21">
        <v>336000000</v>
      </c>
      <c r="D341" s="22">
        <v>3</v>
      </c>
      <c r="E341" s="23">
        <f t="shared" si="10"/>
        <v>2.9999999999999997E-4</v>
      </c>
      <c r="F341" s="23">
        <f t="shared" si="11"/>
        <v>0.96469999999999589</v>
      </c>
    </row>
    <row r="342" spans="1:6" x14ac:dyDescent="0.25">
      <c r="A342" s="56">
        <v>14194132.199999999</v>
      </c>
      <c r="C342" s="21">
        <v>337000000</v>
      </c>
      <c r="D342" s="22">
        <v>4</v>
      </c>
      <c r="E342" s="23">
        <f t="shared" si="10"/>
        <v>4.0000000000000002E-4</v>
      </c>
      <c r="F342" s="23">
        <f t="shared" si="11"/>
        <v>0.96509999999999585</v>
      </c>
    </row>
    <row r="343" spans="1:6" x14ac:dyDescent="0.25">
      <c r="A343" s="56">
        <v>164809518.30000001</v>
      </c>
      <c r="C343" s="21">
        <v>338000000</v>
      </c>
      <c r="D343" s="22">
        <v>3</v>
      </c>
      <c r="E343" s="23">
        <f t="shared" si="10"/>
        <v>2.9999999999999997E-4</v>
      </c>
      <c r="F343" s="23">
        <f t="shared" si="11"/>
        <v>0.96539999999999582</v>
      </c>
    </row>
    <row r="344" spans="1:6" x14ac:dyDescent="0.25">
      <c r="A344" s="56">
        <v>114656666.09999999</v>
      </c>
      <c r="C344" s="21">
        <v>339000000</v>
      </c>
      <c r="D344" s="22">
        <v>1</v>
      </c>
      <c r="E344" s="23">
        <f t="shared" si="10"/>
        <v>1E-4</v>
      </c>
      <c r="F344" s="23">
        <f t="shared" si="11"/>
        <v>0.96549999999999581</v>
      </c>
    </row>
    <row r="345" spans="1:6" x14ac:dyDescent="0.25">
      <c r="A345" s="56">
        <v>9811922.3999999892</v>
      </c>
      <c r="C345" s="21">
        <v>340000000</v>
      </c>
      <c r="D345" s="22">
        <v>3</v>
      </c>
      <c r="E345" s="23">
        <f t="shared" si="10"/>
        <v>2.9999999999999997E-4</v>
      </c>
      <c r="F345" s="23">
        <f t="shared" si="11"/>
        <v>0.96579999999999577</v>
      </c>
    </row>
    <row r="346" spans="1:6" x14ac:dyDescent="0.25">
      <c r="A346" s="56">
        <v>149452176.19999999</v>
      </c>
      <c r="C346" s="21">
        <v>341000000</v>
      </c>
      <c r="D346" s="22">
        <v>3</v>
      </c>
      <c r="E346" s="23">
        <f t="shared" si="10"/>
        <v>2.9999999999999997E-4</v>
      </c>
      <c r="F346" s="23">
        <f t="shared" si="11"/>
        <v>0.96609999999999574</v>
      </c>
    </row>
    <row r="347" spans="1:6" x14ac:dyDescent="0.25">
      <c r="A347" s="56">
        <v>53013800.999999903</v>
      </c>
      <c r="C347" s="21">
        <v>342000000</v>
      </c>
      <c r="D347" s="22">
        <v>1</v>
      </c>
      <c r="E347" s="23">
        <f t="shared" si="10"/>
        <v>1E-4</v>
      </c>
      <c r="F347" s="23">
        <f t="shared" si="11"/>
        <v>0.96619999999999573</v>
      </c>
    </row>
    <row r="348" spans="1:6" x14ac:dyDescent="0.25">
      <c r="A348" s="56">
        <v>290933689.10000002</v>
      </c>
      <c r="C348" s="21">
        <v>343000000</v>
      </c>
      <c r="D348" s="22">
        <v>4</v>
      </c>
      <c r="E348" s="23">
        <f t="shared" si="10"/>
        <v>4.0000000000000002E-4</v>
      </c>
      <c r="F348" s="23">
        <f t="shared" si="11"/>
        <v>0.96659999999999568</v>
      </c>
    </row>
    <row r="349" spans="1:6" x14ac:dyDescent="0.25">
      <c r="A349" s="56">
        <v>0</v>
      </c>
      <c r="C349" s="21">
        <v>344000000</v>
      </c>
      <c r="D349" s="22">
        <v>3</v>
      </c>
      <c r="E349" s="23">
        <f t="shared" si="10"/>
        <v>2.9999999999999997E-4</v>
      </c>
      <c r="F349" s="23">
        <f t="shared" si="11"/>
        <v>0.96689999999999565</v>
      </c>
    </row>
    <row r="350" spans="1:6" x14ac:dyDescent="0.25">
      <c r="A350" s="56">
        <v>20552876.699999999</v>
      </c>
      <c r="C350" s="21">
        <v>345000000</v>
      </c>
      <c r="D350" s="22">
        <v>1</v>
      </c>
      <c r="E350" s="23">
        <f t="shared" si="10"/>
        <v>1E-4</v>
      </c>
      <c r="F350" s="23">
        <f t="shared" si="11"/>
        <v>0.96699999999999564</v>
      </c>
    </row>
    <row r="351" spans="1:6" x14ac:dyDescent="0.25">
      <c r="A351" s="56">
        <v>33641411</v>
      </c>
      <c r="C351" s="21">
        <v>346000000</v>
      </c>
      <c r="D351" s="22">
        <v>1</v>
      </c>
      <c r="E351" s="23">
        <f t="shared" si="10"/>
        <v>1E-4</v>
      </c>
      <c r="F351" s="23">
        <f t="shared" si="11"/>
        <v>0.96709999999999563</v>
      </c>
    </row>
    <row r="352" spans="1:6" x14ac:dyDescent="0.25">
      <c r="A352" s="56">
        <v>11057035.300000001</v>
      </c>
      <c r="C352" s="21">
        <v>347000000</v>
      </c>
      <c r="D352" s="22">
        <v>3</v>
      </c>
      <c r="E352" s="23">
        <f t="shared" si="10"/>
        <v>2.9999999999999997E-4</v>
      </c>
      <c r="F352" s="23">
        <f t="shared" si="11"/>
        <v>0.9673999999999956</v>
      </c>
    </row>
    <row r="353" spans="1:6" x14ac:dyDescent="0.25">
      <c r="A353" s="56">
        <v>21268136.800000001</v>
      </c>
      <c r="C353" s="21">
        <v>348000000</v>
      </c>
      <c r="D353" s="22">
        <v>1</v>
      </c>
      <c r="E353" s="23">
        <f t="shared" si="10"/>
        <v>1E-4</v>
      </c>
      <c r="F353" s="23">
        <f t="shared" si="11"/>
        <v>0.96749999999999559</v>
      </c>
    </row>
    <row r="354" spans="1:6" x14ac:dyDescent="0.25">
      <c r="A354" s="56">
        <v>18104666.5</v>
      </c>
      <c r="C354" s="21">
        <v>349000000</v>
      </c>
      <c r="D354" s="22">
        <v>1</v>
      </c>
      <c r="E354" s="23">
        <f t="shared" si="10"/>
        <v>1E-4</v>
      </c>
      <c r="F354" s="23">
        <f t="shared" si="11"/>
        <v>0.96759999999999557</v>
      </c>
    </row>
    <row r="355" spans="1:6" x14ac:dyDescent="0.25">
      <c r="A355" s="56">
        <v>0</v>
      </c>
      <c r="C355" s="21">
        <v>350000000</v>
      </c>
      <c r="D355" s="22">
        <v>2</v>
      </c>
      <c r="E355" s="23">
        <f t="shared" si="10"/>
        <v>2.0000000000000001E-4</v>
      </c>
      <c r="F355" s="23">
        <f t="shared" si="11"/>
        <v>0.96779999999999555</v>
      </c>
    </row>
    <row r="356" spans="1:6" x14ac:dyDescent="0.25">
      <c r="A356" s="56">
        <v>21741852</v>
      </c>
      <c r="C356" s="21">
        <v>351000000</v>
      </c>
      <c r="D356" s="22">
        <v>5</v>
      </c>
      <c r="E356" s="23">
        <f t="shared" si="10"/>
        <v>5.0000000000000001E-4</v>
      </c>
      <c r="F356" s="23">
        <f t="shared" si="11"/>
        <v>0.9682999999999955</v>
      </c>
    </row>
    <row r="357" spans="1:6" x14ac:dyDescent="0.25">
      <c r="A357" s="56">
        <v>373335670.80000001</v>
      </c>
      <c r="C357" s="21">
        <v>352000000</v>
      </c>
      <c r="D357" s="22">
        <v>0</v>
      </c>
      <c r="E357" s="23">
        <f t="shared" si="10"/>
        <v>0</v>
      </c>
      <c r="F357" s="23">
        <f t="shared" si="11"/>
        <v>0.9682999999999955</v>
      </c>
    </row>
    <row r="358" spans="1:6" x14ac:dyDescent="0.25">
      <c r="A358" s="56">
        <v>0</v>
      </c>
      <c r="C358" s="21">
        <v>353000000</v>
      </c>
      <c r="D358" s="22">
        <v>2</v>
      </c>
      <c r="E358" s="23">
        <f t="shared" si="10"/>
        <v>2.0000000000000001E-4</v>
      </c>
      <c r="F358" s="23">
        <f t="shared" si="11"/>
        <v>0.96849999999999548</v>
      </c>
    </row>
    <row r="359" spans="1:6" x14ac:dyDescent="0.25">
      <c r="A359" s="56">
        <v>13209765.800000001</v>
      </c>
      <c r="C359" s="21">
        <v>354000000</v>
      </c>
      <c r="D359" s="22">
        <v>1</v>
      </c>
      <c r="E359" s="23">
        <f t="shared" si="10"/>
        <v>1E-4</v>
      </c>
      <c r="F359" s="23">
        <f t="shared" si="11"/>
        <v>0.96859999999999546</v>
      </c>
    </row>
    <row r="360" spans="1:6" x14ac:dyDescent="0.25">
      <c r="A360" s="56">
        <v>28467614.5</v>
      </c>
      <c r="C360" s="21">
        <v>355000000</v>
      </c>
      <c r="D360" s="22">
        <v>1</v>
      </c>
      <c r="E360" s="23">
        <f t="shared" si="10"/>
        <v>1E-4</v>
      </c>
      <c r="F360" s="23">
        <f t="shared" si="11"/>
        <v>0.96869999999999545</v>
      </c>
    </row>
    <row r="361" spans="1:6" x14ac:dyDescent="0.25">
      <c r="A361" s="56">
        <v>15798230.5</v>
      </c>
      <c r="C361" s="21">
        <v>356000000</v>
      </c>
      <c r="D361" s="22">
        <v>2</v>
      </c>
      <c r="E361" s="23">
        <f t="shared" si="10"/>
        <v>2.0000000000000001E-4</v>
      </c>
      <c r="F361" s="23">
        <f t="shared" si="11"/>
        <v>0.96889999999999543</v>
      </c>
    </row>
    <row r="362" spans="1:6" x14ac:dyDescent="0.25">
      <c r="A362" s="56">
        <v>0</v>
      </c>
      <c r="C362" s="21">
        <v>357000000</v>
      </c>
      <c r="D362" s="22">
        <v>0</v>
      </c>
      <c r="E362" s="23">
        <f t="shared" si="10"/>
        <v>0</v>
      </c>
      <c r="F362" s="23">
        <f t="shared" si="11"/>
        <v>0.96889999999999543</v>
      </c>
    </row>
    <row r="363" spans="1:6" x14ac:dyDescent="0.25">
      <c r="A363" s="56">
        <v>21139850.699999999</v>
      </c>
      <c r="C363" s="21">
        <v>358000000</v>
      </c>
      <c r="D363" s="22">
        <v>2</v>
      </c>
      <c r="E363" s="23">
        <f t="shared" si="10"/>
        <v>2.0000000000000001E-4</v>
      </c>
      <c r="F363" s="23">
        <f t="shared" si="11"/>
        <v>0.96909999999999541</v>
      </c>
    </row>
    <row r="364" spans="1:6" x14ac:dyDescent="0.25">
      <c r="A364" s="56">
        <v>31867977.600000001</v>
      </c>
      <c r="C364" s="21">
        <v>359000000</v>
      </c>
      <c r="D364" s="22">
        <v>1</v>
      </c>
      <c r="E364" s="23">
        <f t="shared" si="10"/>
        <v>1E-4</v>
      </c>
      <c r="F364" s="23">
        <f t="shared" si="11"/>
        <v>0.9691999999999954</v>
      </c>
    </row>
    <row r="365" spans="1:6" x14ac:dyDescent="0.25">
      <c r="A365" s="56">
        <v>44343379.999999903</v>
      </c>
      <c r="C365" s="21">
        <v>360000000</v>
      </c>
      <c r="D365" s="22">
        <v>0</v>
      </c>
      <c r="E365" s="23">
        <f t="shared" si="10"/>
        <v>0</v>
      </c>
      <c r="F365" s="23">
        <f t="shared" si="11"/>
        <v>0.9691999999999954</v>
      </c>
    </row>
    <row r="366" spans="1:6" x14ac:dyDescent="0.25">
      <c r="A366" s="56">
        <v>36500759.299999997</v>
      </c>
      <c r="C366" s="21">
        <v>361000000</v>
      </c>
      <c r="D366" s="22">
        <v>0</v>
      </c>
      <c r="E366" s="23">
        <f t="shared" si="10"/>
        <v>0</v>
      </c>
      <c r="F366" s="23">
        <f t="shared" si="11"/>
        <v>0.9691999999999954</v>
      </c>
    </row>
    <row r="367" spans="1:6" x14ac:dyDescent="0.25">
      <c r="A367" s="56">
        <v>69612512.599999905</v>
      </c>
      <c r="C367" s="21">
        <v>362000000</v>
      </c>
      <c r="D367" s="22">
        <v>3</v>
      </c>
      <c r="E367" s="23">
        <f t="shared" si="10"/>
        <v>2.9999999999999997E-4</v>
      </c>
      <c r="F367" s="23">
        <f t="shared" si="11"/>
        <v>0.96949999999999537</v>
      </c>
    </row>
    <row r="368" spans="1:6" x14ac:dyDescent="0.25">
      <c r="A368" s="56">
        <v>2695653.6</v>
      </c>
      <c r="C368" s="21">
        <v>363000000</v>
      </c>
      <c r="D368" s="22">
        <v>1</v>
      </c>
      <c r="E368" s="23">
        <f t="shared" si="10"/>
        <v>1E-4</v>
      </c>
      <c r="F368" s="23">
        <f t="shared" si="11"/>
        <v>0.96959999999999535</v>
      </c>
    </row>
    <row r="369" spans="1:6" x14ac:dyDescent="0.25">
      <c r="A369" s="56">
        <v>0</v>
      </c>
      <c r="C369" s="21">
        <v>364000000</v>
      </c>
      <c r="D369" s="22">
        <v>1</v>
      </c>
      <c r="E369" s="23">
        <f t="shared" si="10"/>
        <v>1E-4</v>
      </c>
      <c r="F369" s="23">
        <f t="shared" si="11"/>
        <v>0.96969999999999534</v>
      </c>
    </row>
    <row r="370" spans="1:6" x14ac:dyDescent="0.25">
      <c r="A370" s="56">
        <v>448652783</v>
      </c>
      <c r="C370" s="21">
        <v>365000000</v>
      </c>
      <c r="D370" s="22">
        <v>3</v>
      </c>
      <c r="E370" s="23">
        <f t="shared" si="10"/>
        <v>2.9999999999999997E-4</v>
      </c>
      <c r="F370" s="23">
        <f t="shared" si="11"/>
        <v>0.96999999999999531</v>
      </c>
    </row>
    <row r="371" spans="1:6" x14ac:dyDescent="0.25">
      <c r="A371" s="56">
        <v>13304625</v>
      </c>
      <c r="C371" s="21">
        <v>366000000</v>
      </c>
      <c r="D371" s="22">
        <v>3</v>
      </c>
      <c r="E371" s="23">
        <f t="shared" si="10"/>
        <v>2.9999999999999997E-4</v>
      </c>
      <c r="F371" s="23">
        <f t="shared" si="11"/>
        <v>0.97029999999999528</v>
      </c>
    </row>
    <row r="372" spans="1:6" x14ac:dyDescent="0.25">
      <c r="A372" s="56">
        <v>4257028.8</v>
      </c>
      <c r="C372" s="21">
        <v>367000000</v>
      </c>
      <c r="D372" s="22">
        <v>4</v>
      </c>
      <c r="E372" s="23">
        <f t="shared" si="10"/>
        <v>4.0000000000000002E-4</v>
      </c>
      <c r="F372" s="23">
        <f t="shared" si="11"/>
        <v>0.97069999999999523</v>
      </c>
    </row>
    <row r="373" spans="1:6" x14ac:dyDescent="0.25">
      <c r="A373" s="56">
        <v>23937890.800000001</v>
      </c>
      <c r="C373" s="21">
        <v>368000000</v>
      </c>
      <c r="D373" s="22">
        <v>2</v>
      </c>
      <c r="E373" s="23">
        <f t="shared" si="10"/>
        <v>2.0000000000000001E-4</v>
      </c>
      <c r="F373" s="23">
        <f t="shared" si="11"/>
        <v>0.97089999999999521</v>
      </c>
    </row>
    <row r="374" spans="1:6" x14ac:dyDescent="0.25">
      <c r="A374" s="56">
        <v>118015471.5</v>
      </c>
      <c r="C374" s="21">
        <v>369000000</v>
      </c>
      <c r="D374" s="22">
        <v>3</v>
      </c>
      <c r="E374" s="23">
        <f t="shared" si="10"/>
        <v>2.9999999999999997E-4</v>
      </c>
      <c r="F374" s="23">
        <f t="shared" si="11"/>
        <v>0.97119999999999518</v>
      </c>
    </row>
    <row r="375" spans="1:6" x14ac:dyDescent="0.25">
      <c r="A375" s="56">
        <v>751074484.79999995</v>
      </c>
      <c r="C375" s="21">
        <v>370000000</v>
      </c>
      <c r="D375" s="22">
        <v>0</v>
      </c>
      <c r="E375" s="23">
        <f t="shared" si="10"/>
        <v>0</v>
      </c>
      <c r="F375" s="23">
        <f t="shared" si="11"/>
        <v>0.97119999999999518</v>
      </c>
    </row>
    <row r="376" spans="1:6" x14ac:dyDescent="0.25">
      <c r="A376" s="56">
        <v>38805889</v>
      </c>
      <c r="C376" s="21">
        <v>371000000</v>
      </c>
      <c r="D376" s="22">
        <v>2</v>
      </c>
      <c r="E376" s="23">
        <f t="shared" si="10"/>
        <v>2.0000000000000001E-4</v>
      </c>
      <c r="F376" s="23">
        <f t="shared" si="11"/>
        <v>0.97139999999999516</v>
      </c>
    </row>
    <row r="377" spans="1:6" x14ac:dyDescent="0.25">
      <c r="A377" s="56">
        <v>111299818.7</v>
      </c>
      <c r="C377" s="21">
        <v>372000000</v>
      </c>
      <c r="D377" s="22">
        <v>1</v>
      </c>
      <c r="E377" s="23">
        <f t="shared" si="10"/>
        <v>1E-4</v>
      </c>
      <c r="F377" s="23">
        <f t="shared" si="11"/>
        <v>0.97149999999999515</v>
      </c>
    </row>
    <row r="378" spans="1:6" x14ac:dyDescent="0.25">
      <c r="A378" s="56">
        <v>412238.8</v>
      </c>
      <c r="C378" s="21">
        <v>373000000</v>
      </c>
      <c r="D378" s="22">
        <v>0</v>
      </c>
      <c r="E378" s="23">
        <f t="shared" si="10"/>
        <v>0</v>
      </c>
      <c r="F378" s="23">
        <f t="shared" si="11"/>
        <v>0.97149999999999515</v>
      </c>
    </row>
    <row r="379" spans="1:6" x14ac:dyDescent="0.25">
      <c r="A379" s="56">
        <v>80836372.199999899</v>
      </c>
      <c r="C379" s="21">
        <v>374000000</v>
      </c>
      <c r="D379" s="22">
        <v>5</v>
      </c>
      <c r="E379" s="23">
        <f t="shared" si="10"/>
        <v>5.0000000000000001E-4</v>
      </c>
      <c r="F379" s="23">
        <f t="shared" si="11"/>
        <v>0.97199999999999509</v>
      </c>
    </row>
    <row r="380" spans="1:6" x14ac:dyDescent="0.25">
      <c r="A380" s="56">
        <v>89275983.799999997</v>
      </c>
      <c r="C380" s="21">
        <v>375000000</v>
      </c>
      <c r="D380" s="22">
        <v>1</v>
      </c>
      <c r="E380" s="23">
        <f t="shared" si="10"/>
        <v>1E-4</v>
      </c>
      <c r="F380" s="23">
        <f t="shared" si="11"/>
        <v>0.97209999999999508</v>
      </c>
    </row>
    <row r="381" spans="1:6" x14ac:dyDescent="0.25">
      <c r="A381" s="56">
        <v>14753741.1</v>
      </c>
      <c r="C381" s="21">
        <v>376000000</v>
      </c>
      <c r="D381" s="22">
        <v>0</v>
      </c>
      <c r="E381" s="23">
        <f t="shared" si="10"/>
        <v>0</v>
      </c>
      <c r="F381" s="23">
        <f t="shared" si="11"/>
        <v>0.97209999999999508</v>
      </c>
    </row>
    <row r="382" spans="1:6" x14ac:dyDescent="0.25">
      <c r="A382" s="56">
        <v>4197731.3999999901</v>
      </c>
      <c r="C382" s="21">
        <v>377000000</v>
      </c>
      <c r="D382" s="22">
        <v>1</v>
      </c>
      <c r="E382" s="23">
        <f t="shared" si="10"/>
        <v>1E-4</v>
      </c>
      <c r="F382" s="23">
        <f t="shared" si="11"/>
        <v>0.97219999999999507</v>
      </c>
    </row>
    <row r="383" spans="1:6" x14ac:dyDescent="0.25">
      <c r="A383" s="56">
        <v>34012533.5</v>
      </c>
      <c r="C383" s="21">
        <v>378000000</v>
      </c>
      <c r="D383" s="22">
        <v>6</v>
      </c>
      <c r="E383" s="23">
        <f t="shared" si="10"/>
        <v>5.9999999999999995E-4</v>
      </c>
      <c r="F383" s="23">
        <f t="shared" si="11"/>
        <v>0.97279999999999511</v>
      </c>
    </row>
    <row r="384" spans="1:6" x14ac:dyDescent="0.25">
      <c r="A384" s="56">
        <v>17450136</v>
      </c>
      <c r="C384" s="21">
        <v>379000000</v>
      </c>
      <c r="D384" s="22">
        <v>3</v>
      </c>
      <c r="E384" s="23">
        <f t="shared" si="10"/>
        <v>2.9999999999999997E-4</v>
      </c>
      <c r="F384" s="23">
        <f t="shared" si="11"/>
        <v>0.97309999999999508</v>
      </c>
    </row>
    <row r="385" spans="1:6" x14ac:dyDescent="0.25">
      <c r="A385" s="56">
        <v>10051453.199999999</v>
      </c>
      <c r="C385" s="21">
        <v>380000000</v>
      </c>
      <c r="D385" s="22">
        <v>0</v>
      </c>
      <c r="E385" s="23">
        <f t="shared" si="10"/>
        <v>0</v>
      </c>
      <c r="F385" s="23">
        <f t="shared" si="11"/>
        <v>0.97309999999999508</v>
      </c>
    </row>
    <row r="386" spans="1:6" x14ac:dyDescent="0.25">
      <c r="A386" s="56">
        <v>0</v>
      </c>
      <c r="C386" s="21">
        <v>381000000</v>
      </c>
      <c r="D386" s="22">
        <v>2</v>
      </c>
      <c r="E386" s="23">
        <f t="shared" si="10"/>
        <v>2.0000000000000001E-4</v>
      </c>
      <c r="F386" s="23">
        <f t="shared" si="11"/>
        <v>0.97329999999999506</v>
      </c>
    </row>
    <row r="387" spans="1:6" x14ac:dyDescent="0.25">
      <c r="A387" s="56">
        <v>9829726.6999999899</v>
      </c>
      <c r="C387" s="21">
        <v>382000000</v>
      </c>
      <c r="D387" s="22">
        <v>0</v>
      </c>
      <c r="E387" s="23">
        <f t="shared" si="10"/>
        <v>0</v>
      </c>
      <c r="F387" s="23">
        <f t="shared" si="11"/>
        <v>0.97329999999999506</v>
      </c>
    </row>
    <row r="388" spans="1:6" x14ac:dyDescent="0.25">
      <c r="A388" s="56">
        <v>98442230.699999899</v>
      </c>
      <c r="C388" s="21">
        <v>383000000</v>
      </c>
      <c r="D388" s="22">
        <v>1</v>
      </c>
      <c r="E388" s="23">
        <f t="shared" si="10"/>
        <v>1E-4</v>
      </c>
      <c r="F388" s="23">
        <f t="shared" si="11"/>
        <v>0.97339999999999505</v>
      </c>
    </row>
    <row r="389" spans="1:6" x14ac:dyDescent="0.25">
      <c r="A389" s="56">
        <v>227684567.49999899</v>
      </c>
      <c r="C389" s="21">
        <v>384000000</v>
      </c>
      <c r="D389" s="22">
        <v>1</v>
      </c>
      <c r="E389" s="23">
        <f t="shared" ref="E389:E452" si="12">D389/10000</f>
        <v>1E-4</v>
      </c>
      <c r="F389" s="23">
        <f t="shared" si="11"/>
        <v>0.97349999999999504</v>
      </c>
    </row>
    <row r="390" spans="1:6" x14ac:dyDescent="0.25">
      <c r="A390" s="56">
        <v>103521830.90000001</v>
      </c>
      <c r="C390" s="21">
        <v>385000000</v>
      </c>
      <c r="D390" s="22">
        <v>1</v>
      </c>
      <c r="E390" s="23">
        <f t="shared" si="12"/>
        <v>1E-4</v>
      </c>
      <c r="F390" s="23">
        <f t="shared" ref="F390:F453" si="13">E390+F389</f>
        <v>0.97359999999999502</v>
      </c>
    </row>
    <row r="391" spans="1:6" x14ac:dyDescent="0.25">
      <c r="A391" s="56">
        <v>118605601.90000001</v>
      </c>
      <c r="C391" s="21">
        <v>386000000</v>
      </c>
      <c r="D391" s="22">
        <v>0</v>
      </c>
      <c r="E391" s="23">
        <f t="shared" si="12"/>
        <v>0</v>
      </c>
      <c r="F391" s="23">
        <f t="shared" si="13"/>
        <v>0.97359999999999502</v>
      </c>
    </row>
    <row r="392" spans="1:6" x14ac:dyDescent="0.25">
      <c r="A392" s="56">
        <v>544160697.89999998</v>
      </c>
      <c r="C392" s="21">
        <v>387000000</v>
      </c>
      <c r="D392" s="22">
        <v>1</v>
      </c>
      <c r="E392" s="23">
        <f t="shared" si="12"/>
        <v>1E-4</v>
      </c>
      <c r="F392" s="23">
        <f t="shared" si="13"/>
        <v>0.97369999999999501</v>
      </c>
    </row>
    <row r="393" spans="1:6" x14ac:dyDescent="0.25">
      <c r="A393" s="56">
        <v>36035506</v>
      </c>
      <c r="C393" s="21">
        <v>388000000</v>
      </c>
      <c r="D393" s="22">
        <v>1</v>
      </c>
      <c r="E393" s="23">
        <f t="shared" si="12"/>
        <v>1E-4</v>
      </c>
      <c r="F393" s="23">
        <f t="shared" si="13"/>
        <v>0.973799999999995</v>
      </c>
    </row>
    <row r="394" spans="1:6" x14ac:dyDescent="0.25">
      <c r="A394" s="56">
        <v>29994191.100000001</v>
      </c>
      <c r="C394" s="21">
        <v>389000000</v>
      </c>
      <c r="D394" s="22">
        <v>0</v>
      </c>
      <c r="E394" s="23">
        <f t="shared" si="12"/>
        <v>0</v>
      </c>
      <c r="F394" s="23">
        <f t="shared" si="13"/>
        <v>0.973799999999995</v>
      </c>
    </row>
    <row r="395" spans="1:6" x14ac:dyDescent="0.25">
      <c r="A395" s="56">
        <v>378037162.69999999</v>
      </c>
      <c r="C395" s="21">
        <v>390000000</v>
      </c>
      <c r="D395" s="22">
        <v>1</v>
      </c>
      <c r="E395" s="23">
        <f t="shared" si="12"/>
        <v>1E-4</v>
      </c>
      <c r="F395" s="23">
        <f t="shared" si="13"/>
        <v>0.97389999999999499</v>
      </c>
    </row>
    <row r="396" spans="1:6" x14ac:dyDescent="0.25">
      <c r="A396" s="56">
        <v>26114927.5</v>
      </c>
      <c r="C396" s="21">
        <v>391000000</v>
      </c>
      <c r="D396" s="22">
        <v>1</v>
      </c>
      <c r="E396" s="23">
        <f t="shared" si="12"/>
        <v>1E-4</v>
      </c>
      <c r="F396" s="23">
        <f t="shared" si="13"/>
        <v>0.97399999999999498</v>
      </c>
    </row>
    <row r="397" spans="1:6" x14ac:dyDescent="0.25">
      <c r="A397" s="56">
        <v>23850425.100000001</v>
      </c>
      <c r="C397" s="21">
        <v>392000000</v>
      </c>
      <c r="D397" s="22">
        <v>0</v>
      </c>
      <c r="E397" s="23">
        <f t="shared" si="12"/>
        <v>0</v>
      </c>
      <c r="F397" s="23">
        <f t="shared" si="13"/>
        <v>0.97399999999999498</v>
      </c>
    </row>
    <row r="398" spans="1:6" x14ac:dyDescent="0.25">
      <c r="A398" s="56">
        <v>0</v>
      </c>
      <c r="C398" s="21">
        <v>393000000</v>
      </c>
      <c r="D398" s="22">
        <v>0</v>
      </c>
      <c r="E398" s="23">
        <f t="shared" si="12"/>
        <v>0</v>
      </c>
      <c r="F398" s="23">
        <f t="shared" si="13"/>
        <v>0.97399999999999498</v>
      </c>
    </row>
    <row r="399" spans="1:6" x14ac:dyDescent="0.25">
      <c r="A399" s="56">
        <v>29367610.199999999</v>
      </c>
      <c r="C399" s="21">
        <v>394000000</v>
      </c>
      <c r="D399" s="22">
        <v>3</v>
      </c>
      <c r="E399" s="23">
        <f t="shared" si="12"/>
        <v>2.9999999999999997E-4</v>
      </c>
      <c r="F399" s="23">
        <f t="shared" si="13"/>
        <v>0.97429999999999495</v>
      </c>
    </row>
    <row r="400" spans="1:6" x14ac:dyDescent="0.25">
      <c r="A400" s="56">
        <v>0</v>
      </c>
      <c r="C400" s="21">
        <v>395000000</v>
      </c>
      <c r="D400" s="22">
        <v>4</v>
      </c>
      <c r="E400" s="23">
        <f t="shared" si="12"/>
        <v>4.0000000000000002E-4</v>
      </c>
      <c r="F400" s="23">
        <f t="shared" si="13"/>
        <v>0.9746999999999949</v>
      </c>
    </row>
    <row r="401" spans="1:6" x14ac:dyDescent="0.25">
      <c r="A401" s="56">
        <v>16608099.5</v>
      </c>
      <c r="C401" s="21">
        <v>396000000</v>
      </c>
      <c r="D401" s="22">
        <v>1</v>
      </c>
      <c r="E401" s="23">
        <f t="shared" si="12"/>
        <v>1E-4</v>
      </c>
      <c r="F401" s="23">
        <f t="shared" si="13"/>
        <v>0.97479999999999489</v>
      </c>
    </row>
    <row r="402" spans="1:6" x14ac:dyDescent="0.25">
      <c r="A402" s="56">
        <v>117649529.8</v>
      </c>
      <c r="C402" s="21">
        <v>397000000</v>
      </c>
      <c r="D402" s="22">
        <v>2</v>
      </c>
      <c r="E402" s="23">
        <f t="shared" si="12"/>
        <v>2.0000000000000001E-4</v>
      </c>
      <c r="F402" s="23">
        <f t="shared" si="13"/>
        <v>0.97499999999999487</v>
      </c>
    </row>
    <row r="403" spans="1:6" x14ac:dyDescent="0.25">
      <c r="A403" s="56">
        <v>23963346.5</v>
      </c>
      <c r="C403" s="21">
        <v>398000000</v>
      </c>
      <c r="D403" s="22">
        <v>1</v>
      </c>
      <c r="E403" s="23">
        <f t="shared" si="12"/>
        <v>1E-4</v>
      </c>
      <c r="F403" s="23">
        <f t="shared" si="13"/>
        <v>0.97509999999999486</v>
      </c>
    </row>
    <row r="404" spans="1:6" x14ac:dyDescent="0.25">
      <c r="A404" s="56">
        <v>4108312.8</v>
      </c>
      <c r="C404" s="21">
        <v>399000000</v>
      </c>
      <c r="D404" s="22">
        <v>1</v>
      </c>
      <c r="E404" s="23">
        <f t="shared" si="12"/>
        <v>1E-4</v>
      </c>
      <c r="F404" s="23">
        <f t="shared" si="13"/>
        <v>0.97519999999999485</v>
      </c>
    </row>
    <row r="405" spans="1:6" x14ac:dyDescent="0.25">
      <c r="A405" s="56">
        <v>15974059.4</v>
      </c>
      <c r="C405" s="21">
        <v>400000000</v>
      </c>
      <c r="D405" s="22">
        <v>1</v>
      </c>
      <c r="E405" s="23">
        <f t="shared" si="12"/>
        <v>1E-4</v>
      </c>
      <c r="F405" s="23">
        <f t="shared" si="13"/>
        <v>0.97529999999999484</v>
      </c>
    </row>
    <row r="406" spans="1:6" x14ac:dyDescent="0.25">
      <c r="A406" s="56">
        <v>179955856.30000001</v>
      </c>
      <c r="C406" s="21">
        <v>401000000</v>
      </c>
      <c r="D406" s="22">
        <v>0</v>
      </c>
      <c r="E406" s="23">
        <f t="shared" si="12"/>
        <v>0</v>
      </c>
      <c r="F406" s="23">
        <f t="shared" si="13"/>
        <v>0.97529999999999484</v>
      </c>
    </row>
    <row r="407" spans="1:6" x14ac:dyDescent="0.25">
      <c r="A407" s="56">
        <v>140275890.19999999</v>
      </c>
      <c r="C407" s="21">
        <v>402000000</v>
      </c>
      <c r="D407" s="22">
        <v>1</v>
      </c>
      <c r="E407" s="23">
        <f t="shared" si="12"/>
        <v>1E-4</v>
      </c>
      <c r="F407" s="23">
        <f t="shared" si="13"/>
        <v>0.97539999999999483</v>
      </c>
    </row>
    <row r="408" spans="1:6" x14ac:dyDescent="0.25">
      <c r="A408" s="56">
        <v>21483738.600000001</v>
      </c>
      <c r="C408" s="21">
        <v>403000000</v>
      </c>
      <c r="D408" s="22">
        <v>1</v>
      </c>
      <c r="E408" s="23">
        <f t="shared" si="12"/>
        <v>1E-4</v>
      </c>
      <c r="F408" s="23">
        <f t="shared" si="13"/>
        <v>0.97549999999999482</v>
      </c>
    </row>
    <row r="409" spans="1:6" x14ac:dyDescent="0.25">
      <c r="A409" s="56">
        <v>143476042.30000001</v>
      </c>
      <c r="C409" s="21">
        <v>404000000</v>
      </c>
      <c r="D409" s="22">
        <v>2</v>
      </c>
      <c r="E409" s="23">
        <f t="shared" si="12"/>
        <v>2.0000000000000001E-4</v>
      </c>
      <c r="F409" s="23">
        <f t="shared" si="13"/>
        <v>0.97569999999999479</v>
      </c>
    </row>
    <row r="410" spans="1:6" x14ac:dyDescent="0.25">
      <c r="A410" s="56">
        <v>6226081.5999999996</v>
      </c>
      <c r="C410" s="21">
        <v>405000000</v>
      </c>
      <c r="D410" s="22">
        <v>3</v>
      </c>
      <c r="E410" s="23">
        <f t="shared" si="12"/>
        <v>2.9999999999999997E-4</v>
      </c>
      <c r="F410" s="23">
        <f t="shared" si="13"/>
        <v>0.97599999999999476</v>
      </c>
    </row>
    <row r="411" spans="1:6" x14ac:dyDescent="0.25">
      <c r="A411" s="56">
        <v>55483624.899999999</v>
      </c>
      <c r="C411" s="21">
        <v>406000000</v>
      </c>
      <c r="D411" s="22">
        <v>4</v>
      </c>
      <c r="E411" s="23">
        <f t="shared" si="12"/>
        <v>4.0000000000000002E-4</v>
      </c>
      <c r="F411" s="23">
        <f t="shared" si="13"/>
        <v>0.97639999999999472</v>
      </c>
    </row>
    <row r="412" spans="1:6" x14ac:dyDescent="0.25">
      <c r="A412" s="56">
        <v>23854240.699999999</v>
      </c>
      <c r="C412" s="21">
        <v>407000000</v>
      </c>
      <c r="D412" s="22">
        <v>2</v>
      </c>
      <c r="E412" s="23">
        <f t="shared" si="12"/>
        <v>2.0000000000000001E-4</v>
      </c>
      <c r="F412" s="23">
        <f t="shared" si="13"/>
        <v>0.97659999999999469</v>
      </c>
    </row>
    <row r="413" spans="1:6" x14ac:dyDescent="0.25">
      <c r="A413" s="56">
        <v>47858539.899999999</v>
      </c>
      <c r="C413" s="21">
        <v>408000000</v>
      </c>
      <c r="D413" s="22">
        <v>1</v>
      </c>
      <c r="E413" s="23">
        <f t="shared" si="12"/>
        <v>1E-4</v>
      </c>
      <c r="F413" s="23">
        <f t="shared" si="13"/>
        <v>0.97669999999999468</v>
      </c>
    </row>
    <row r="414" spans="1:6" x14ac:dyDescent="0.25">
      <c r="A414" s="56">
        <v>34194025.099999897</v>
      </c>
      <c r="C414" s="21">
        <v>409000000</v>
      </c>
      <c r="D414" s="22">
        <v>1</v>
      </c>
      <c r="E414" s="23">
        <f t="shared" si="12"/>
        <v>1E-4</v>
      </c>
      <c r="F414" s="23">
        <f t="shared" si="13"/>
        <v>0.97679999999999467</v>
      </c>
    </row>
    <row r="415" spans="1:6" x14ac:dyDescent="0.25">
      <c r="A415" s="56">
        <v>0</v>
      </c>
      <c r="C415" s="21">
        <v>410000000</v>
      </c>
      <c r="D415" s="22">
        <v>1</v>
      </c>
      <c r="E415" s="23">
        <f t="shared" si="12"/>
        <v>1E-4</v>
      </c>
      <c r="F415" s="23">
        <f t="shared" si="13"/>
        <v>0.97689999999999466</v>
      </c>
    </row>
    <row r="416" spans="1:6" x14ac:dyDescent="0.25">
      <c r="A416" s="56">
        <v>70215712.299999997</v>
      </c>
      <c r="C416" s="21">
        <v>411000000</v>
      </c>
      <c r="D416" s="22">
        <v>1</v>
      </c>
      <c r="E416" s="23">
        <f t="shared" si="12"/>
        <v>1E-4</v>
      </c>
      <c r="F416" s="23">
        <f t="shared" si="13"/>
        <v>0.97699999999999465</v>
      </c>
    </row>
    <row r="417" spans="1:6" x14ac:dyDescent="0.25">
      <c r="A417" s="56">
        <v>16268437.300000001</v>
      </c>
      <c r="C417" s="21">
        <v>412000000</v>
      </c>
      <c r="D417" s="22">
        <v>1</v>
      </c>
      <c r="E417" s="23">
        <f t="shared" si="12"/>
        <v>1E-4</v>
      </c>
      <c r="F417" s="23">
        <f t="shared" si="13"/>
        <v>0.97709999999999464</v>
      </c>
    </row>
    <row r="418" spans="1:6" x14ac:dyDescent="0.25">
      <c r="A418" s="56">
        <v>53890601.5</v>
      </c>
      <c r="C418" s="21">
        <v>413000000</v>
      </c>
      <c r="D418" s="22">
        <v>0</v>
      </c>
      <c r="E418" s="23">
        <f t="shared" si="12"/>
        <v>0</v>
      </c>
      <c r="F418" s="23">
        <f t="shared" si="13"/>
        <v>0.97709999999999464</v>
      </c>
    </row>
    <row r="419" spans="1:6" x14ac:dyDescent="0.25">
      <c r="A419" s="56">
        <v>36928646.5</v>
      </c>
      <c r="C419" s="21">
        <v>414000000</v>
      </c>
      <c r="D419" s="22">
        <v>0</v>
      </c>
      <c r="E419" s="23">
        <f t="shared" si="12"/>
        <v>0</v>
      </c>
      <c r="F419" s="23">
        <f t="shared" si="13"/>
        <v>0.97709999999999464</v>
      </c>
    </row>
    <row r="420" spans="1:6" x14ac:dyDescent="0.25">
      <c r="A420" s="56">
        <v>142274171.30000001</v>
      </c>
      <c r="C420" s="21">
        <v>415000000</v>
      </c>
      <c r="D420" s="22">
        <v>1</v>
      </c>
      <c r="E420" s="23">
        <f t="shared" si="12"/>
        <v>1E-4</v>
      </c>
      <c r="F420" s="23">
        <f t="shared" si="13"/>
        <v>0.97719999999999463</v>
      </c>
    </row>
    <row r="421" spans="1:6" x14ac:dyDescent="0.25">
      <c r="A421" s="56">
        <v>16383838.800000001</v>
      </c>
      <c r="C421" s="21">
        <v>416000000</v>
      </c>
      <c r="D421" s="22">
        <v>0</v>
      </c>
      <c r="E421" s="23">
        <f t="shared" si="12"/>
        <v>0</v>
      </c>
      <c r="F421" s="23">
        <f t="shared" si="13"/>
        <v>0.97719999999999463</v>
      </c>
    </row>
    <row r="422" spans="1:6" x14ac:dyDescent="0.25">
      <c r="A422" s="56">
        <v>157229710.69999999</v>
      </c>
      <c r="C422" s="21">
        <v>417000000</v>
      </c>
      <c r="D422" s="22">
        <v>0</v>
      </c>
      <c r="E422" s="23">
        <f t="shared" si="12"/>
        <v>0</v>
      </c>
      <c r="F422" s="23">
        <f t="shared" si="13"/>
        <v>0.97719999999999463</v>
      </c>
    </row>
    <row r="423" spans="1:6" x14ac:dyDescent="0.25">
      <c r="A423" s="56">
        <v>48402690.799999997</v>
      </c>
      <c r="C423" s="21">
        <v>418000000</v>
      </c>
      <c r="D423" s="22">
        <v>1</v>
      </c>
      <c r="E423" s="23">
        <f t="shared" si="12"/>
        <v>1E-4</v>
      </c>
      <c r="F423" s="23">
        <f t="shared" si="13"/>
        <v>0.97729999999999462</v>
      </c>
    </row>
    <row r="424" spans="1:6" x14ac:dyDescent="0.25">
      <c r="A424" s="56">
        <v>4893134.4000000004</v>
      </c>
      <c r="C424" s="21">
        <v>419000000</v>
      </c>
      <c r="D424" s="22">
        <v>1</v>
      </c>
      <c r="E424" s="23">
        <f t="shared" si="12"/>
        <v>1E-4</v>
      </c>
      <c r="F424" s="23">
        <f t="shared" si="13"/>
        <v>0.97739999999999461</v>
      </c>
    </row>
    <row r="425" spans="1:6" x14ac:dyDescent="0.25">
      <c r="A425" s="56">
        <v>44328800.299999997</v>
      </c>
      <c r="C425" s="21">
        <v>420000000</v>
      </c>
      <c r="D425" s="22">
        <v>2</v>
      </c>
      <c r="E425" s="23">
        <f t="shared" si="12"/>
        <v>2.0000000000000001E-4</v>
      </c>
      <c r="F425" s="23">
        <f t="shared" si="13"/>
        <v>0.97759999999999458</v>
      </c>
    </row>
    <row r="426" spans="1:6" x14ac:dyDescent="0.25">
      <c r="A426" s="56">
        <v>0</v>
      </c>
      <c r="C426" s="21">
        <v>421000000</v>
      </c>
      <c r="D426" s="22">
        <v>2</v>
      </c>
      <c r="E426" s="23">
        <f t="shared" si="12"/>
        <v>2.0000000000000001E-4</v>
      </c>
      <c r="F426" s="23">
        <f t="shared" si="13"/>
        <v>0.97779999999999456</v>
      </c>
    </row>
    <row r="427" spans="1:6" x14ac:dyDescent="0.25">
      <c r="A427" s="56">
        <v>3863813.2</v>
      </c>
      <c r="C427" s="21">
        <v>422000000</v>
      </c>
      <c r="D427" s="22">
        <v>2</v>
      </c>
      <c r="E427" s="23">
        <f t="shared" si="12"/>
        <v>2.0000000000000001E-4</v>
      </c>
      <c r="F427" s="23">
        <f t="shared" si="13"/>
        <v>0.97799999999999454</v>
      </c>
    </row>
    <row r="428" spans="1:6" x14ac:dyDescent="0.25">
      <c r="A428" s="56">
        <v>0</v>
      </c>
      <c r="C428" s="21">
        <v>423000000</v>
      </c>
      <c r="D428" s="22">
        <v>1</v>
      </c>
      <c r="E428" s="23">
        <f t="shared" si="12"/>
        <v>1E-4</v>
      </c>
      <c r="F428" s="23">
        <f t="shared" si="13"/>
        <v>0.97809999999999453</v>
      </c>
    </row>
    <row r="429" spans="1:6" x14ac:dyDescent="0.25">
      <c r="A429" s="56">
        <v>271373113.60000002</v>
      </c>
      <c r="C429" s="21">
        <v>424000000</v>
      </c>
      <c r="D429" s="22">
        <v>2</v>
      </c>
      <c r="E429" s="23">
        <f t="shared" si="12"/>
        <v>2.0000000000000001E-4</v>
      </c>
      <c r="F429" s="23">
        <f t="shared" si="13"/>
        <v>0.97829999999999451</v>
      </c>
    </row>
    <row r="430" spans="1:6" x14ac:dyDescent="0.25">
      <c r="A430" s="56">
        <v>53521337.200000003</v>
      </c>
      <c r="C430" s="21">
        <v>425000000</v>
      </c>
      <c r="D430" s="22">
        <v>1</v>
      </c>
      <c r="E430" s="23">
        <f t="shared" si="12"/>
        <v>1E-4</v>
      </c>
      <c r="F430" s="23">
        <f t="shared" si="13"/>
        <v>0.9783999999999945</v>
      </c>
    </row>
    <row r="431" spans="1:6" x14ac:dyDescent="0.25">
      <c r="A431" s="56">
        <v>31755329.5</v>
      </c>
      <c r="C431" s="21">
        <v>426000000</v>
      </c>
      <c r="D431" s="22">
        <v>0</v>
      </c>
      <c r="E431" s="23">
        <f t="shared" si="12"/>
        <v>0</v>
      </c>
      <c r="F431" s="23">
        <f t="shared" si="13"/>
        <v>0.9783999999999945</v>
      </c>
    </row>
    <row r="432" spans="1:6" x14ac:dyDescent="0.25">
      <c r="A432" s="56">
        <v>234647388.19999999</v>
      </c>
      <c r="C432" s="21">
        <v>427000000</v>
      </c>
      <c r="D432" s="22">
        <v>4</v>
      </c>
      <c r="E432" s="23">
        <f t="shared" si="12"/>
        <v>4.0000000000000002E-4</v>
      </c>
      <c r="F432" s="23">
        <f t="shared" si="13"/>
        <v>0.97879999999999445</v>
      </c>
    </row>
    <row r="433" spans="1:6" x14ac:dyDescent="0.25">
      <c r="A433" s="56">
        <v>58754397.799999997</v>
      </c>
      <c r="C433" s="21">
        <v>428000000</v>
      </c>
      <c r="D433" s="22">
        <v>0</v>
      </c>
      <c r="E433" s="23">
        <f t="shared" si="12"/>
        <v>0</v>
      </c>
      <c r="F433" s="23">
        <f t="shared" si="13"/>
        <v>0.97879999999999445</v>
      </c>
    </row>
    <row r="434" spans="1:6" x14ac:dyDescent="0.25">
      <c r="A434" s="56">
        <v>49895494.099999897</v>
      </c>
      <c r="C434" s="21">
        <v>429000000</v>
      </c>
      <c r="D434" s="22">
        <v>1</v>
      </c>
      <c r="E434" s="23">
        <f t="shared" si="12"/>
        <v>1E-4</v>
      </c>
      <c r="F434" s="23">
        <f t="shared" si="13"/>
        <v>0.97889999999999444</v>
      </c>
    </row>
    <row r="435" spans="1:6" x14ac:dyDescent="0.25">
      <c r="A435" s="56">
        <v>43553832.099999897</v>
      </c>
      <c r="C435" s="21">
        <v>430000000</v>
      </c>
      <c r="D435" s="22">
        <v>0</v>
      </c>
      <c r="E435" s="23">
        <f t="shared" si="12"/>
        <v>0</v>
      </c>
      <c r="F435" s="23">
        <f t="shared" si="13"/>
        <v>0.97889999999999444</v>
      </c>
    </row>
    <row r="436" spans="1:6" x14ac:dyDescent="0.25">
      <c r="A436" s="56">
        <v>52173289.399999999</v>
      </c>
      <c r="C436" s="21">
        <v>431000000</v>
      </c>
      <c r="D436" s="22">
        <v>0</v>
      </c>
      <c r="E436" s="23">
        <f t="shared" si="12"/>
        <v>0</v>
      </c>
      <c r="F436" s="23">
        <f t="shared" si="13"/>
        <v>0.97889999999999444</v>
      </c>
    </row>
    <row r="437" spans="1:6" x14ac:dyDescent="0.25">
      <c r="A437" s="56">
        <v>3434481</v>
      </c>
      <c r="C437" s="21">
        <v>432000000</v>
      </c>
      <c r="D437" s="22">
        <v>2</v>
      </c>
      <c r="E437" s="23">
        <f t="shared" si="12"/>
        <v>2.0000000000000001E-4</v>
      </c>
      <c r="F437" s="23">
        <f t="shared" si="13"/>
        <v>0.97909999999999442</v>
      </c>
    </row>
    <row r="438" spans="1:6" x14ac:dyDescent="0.25">
      <c r="A438" s="56">
        <v>37610860.399999999</v>
      </c>
      <c r="C438" s="21">
        <v>433000000</v>
      </c>
      <c r="D438" s="22">
        <v>1</v>
      </c>
      <c r="E438" s="23">
        <f t="shared" si="12"/>
        <v>1E-4</v>
      </c>
      <c r="F438" s="23">
        <f t="shared" si="13"/>
        <v>0.97919999999999441</v>
      </c>
    </row>
    <row r="439" spans="1:6" x14ac:dyDescent="0.25">
      <c r="A439" s="56">
        <v>0</v>
      </c>
      <c r="C439" s="21">
        <v>434000000</v>
      </c>
      <c r="D439" s="22">
        <v>4</v>
      </c>
      <c r="E439" s="23">
        <f t="shared" si="12"/>
        <v>4.0000000000000002E-4</v>
      </c>
      <c r="F439" s="23">
        <f t="shared" si="13"/>
        <v>0.97959999999999436</v>
      </c>
    </row>
    <row r="440" spans="1:6" x14ac:dyDescent="0.25">
      <c r="A440" s="56">
        <v>28397944.5</v>
      </c>
      <c r="C440" s="21">
        <v>435000000</v>
      </c>
      <c r="D440" s="22">
        <v>1</v>
      </c>
      <c r="E440" s="23">
        <f t="shared" si="12"/>
        <v>1E-4</v>
      </c>
      <c r="F440" s="23">
        <f t="shared" si="13"/>
        <v>0.97969999999999435</v>
      </c>
    </row>
    <row r="441" spans="1:6" x14ac:dyDescent="0.25">
      <c r="A441" s="56">
        <v>30703848.600000001</v>
      </c>
      <c r="C441" s="21">
        <v>436000000</v>
      </c>
      <c r="D441" s="22">
        <v>0</v>
      </c>
      <c r="E441" s="23">
        <f t="shared" si="12"/>
        <v>0</v>
      </c>
      <c r="F441" s="23">
        <f t="shared" si="13"/>
        <v>0.97969999999999435</v>
      </c>
    </row>
    <row r="442" spans="1:6" x14ac:dyDescent="0.25">
      <c r="A442" s="56">
        <v>0</v>
      </c>
      <c r="C442" s="21">
        <v>437000000</v>
      </c>
      <c r="D442" s="22">
        <v>1</v>
      </c>
      <c r="E442" s="23">
        <f t="shared" si="12"/>
        <v>1E-4</v>
      </c>
      <c r="F442" s="23">
        <f t="shared" si="13"/>
        <v>0.97979999999999434</v>
      </c>
    </row>
    <row r="443" spans="1:6" x14ac:dyDescent="0.25">
      <c r="A443" s="56">
        <v>124575157.5</v>
      </c>
      <c r="C443" s="21">
        <v>438000000</v>
      </c>
      <c r="D443" s="22">
        <v>2</v>
      </c>
      <c r="E443" s="23">
        <f t="shared" si="12"/>
        <v>2.0000000000000001E-4</v>
      </c>
      <c r="F443" s="23">
        <f t="shared" si="13"/>
        <v>0.97999999999999432</v>
      </c>
    </row>
    <row r="444" spans="1:6" x14ac:dyDescent="0.25">
      <c r="A444" s="56">
        <v>16831589.300000001</v>
      </c>
      <c r="C444" s="21">
        <v>439000000</v>
      </c>
      <c r="D444" s="22">
        <v>1</v>
      </c>
      <c r="E444" s="23">
        <f t="shared" si="12"/>
        <v>1E-4</v>
      </c>
      <c r="F444" s="23">
        <f t="shared" si="13"/>
        <v>0.98009999999999431</v>
      </c>
    </row>
    <row r="445" spans="1:6" x14ac:dyDescent="0.25">
      <c r="A445" s="56">
        <v>14281191.9</v>
      </c>
      <c r="C445" s="21">
        <v>440000000</v>
      </c>
      <c r="D445" s="22">
        <v>2</v>
      </c>
      <c r="E445" s="23">
        <f t="shared" si="12"/>
        <v>2.0000000000000001E-4</v>
      </c>
      <c r="F445" s="23">
        <f t="shared" si="13"/>
        <v>0.98029999999999429</v>
      </c>
    </row>
    <row r="446" spans="1:6" x14ac:dyDescent="0.25">
      <c r="A446" s="56">
        <v>0</v>
      </c>
      <c r="C446" s="21">
        <v>441000000</v>
      </c>
      <c r="D446" s="22">
        <v>0</v>
      </c>
      <c r="E446" s="23">
        <f t="shared" si="12"/>
        <v>0</v>
      </c>
      <c r="F446" s="23">
        <f t="shared" si="13"/>
        <v>0.98029999999999429</v>
      </c>
    </row>
    <row r="447" spans="1:6" x14ac:dyDescent="0.25">
      <c r="A447" s="56">
        <v>103950317.09999999</v>
      </c>
      <c r="C447" s="21">
        <v>442000000</v>
      </c>
      <c r="D447" s="22">
        <v>1</v>
      </c>
      <c r="E447" s="23">
        <f t="shared" si="12"/>
        <v>1E-4</v>
      </c>
      <c r="F447" s="23">
        <f t="shared" si="13"/>
        <v>0.98039999999999428</v>
      </c>
    </row>
    <row r="448" spans="1:6" x14ac:dyDescent="0.25">
      <c r="A448" s="56">
        <v>25216160.899999999</v>
      </c>
      <c r="C448" s="21">
        <v>443000000</v>
      </c>
      <c r="D448" s="22">
        <v>0</v>
      </c>
      <c r="E448" s="23">
        <f t="shared" si="12"/>
        <v>0</v>
      </c>
      <c r="F448" s="23">
        <f t="shared" si="13"/>
        <v>0.98039999999999428</v>
      </c>
    </row>
    <row r="449" spans="1:6" x14ac:dyDescent="0.25">
      <c r="A449" s="56">
        <v>19811913.800000001</v>
      </c>
      <c r="C449" s="21">
        <v>444000000</v>
      </c>
      <c r="D449" s="22">
        <v>1</v>
      </c>
      <c r="E449" s="23">
        <f t="shared" si="12"/>
        <v>1E-4</v>
      </c>
      <c r="F449" s="23">
        <f t="shared" si="13"/>
        <v>0.98049999999999427</v>
      </c>
    </row>
    <row r="450" spans="1:6" x14ac:dyDescent="0.25">
      <c r="A450" s="56">
        <v>35257080.899999902</v>
      </c>
      <c r="C450" s="21">
        <v>445000000</v>
      </c>
      <c r="D450" s="22">
        <v>2</v>
      </c>
      <c r="E450" s="23">
        <f t="shared" si="12"/>
        <v>2.0000000000000001E-4</v>
      </c>
      <c r="F450" s="23">
        <f t="shared" si="13"/>
        <v>0.98069999999999424</v>
      </c>
    </row>
    <row r="451" spans="1:6" x14ac:dyDescent="0.25">
      <c r="A451" s="56">
        <v>200253846.09999999</v>
      </c>
      <c r="C451" s="21">
        <v>446000000</v>
      </c>
      <c r="D451" s="22">
        <v>1</v>
      </c>
      <c r="E451" s="23">
        <f t="shared" si="12"/>
        <v>1E-4</v>
      </c>
      <c r="F451" s="23">
        <f t="shared" si="13"/>
        <v>0.98079999999999423</v>
      </c>
    </row>
    <row r="452" spans="1:6" x14ac:dyDescent="0.25">
      <c r="A452" s="56">
        <v>34080398.599999897</v>
      </c>
      <c r="C452" s="21">
        <v>447000000</v>
      </c>
      <c r="D452" s="22">
        <v>1</v>
      </c>
      <c r="E452" s="23">
        <f t="shared" si="12"/>
        <v>1E-4</v>
      </c>
      <c r="F452" s="23">
        <f t="shared" si="13"/>
        <v>0.98089999999999422</v>
      </c>
    </row>
    <row r="453" spans="1:6" x14ac:dyDescent="0.25">
      <c r="A453" s="56">
        <v>39296780.299999997</v>
      </c>
      <c r="C453" s="21">
        <v>448000000</v>
      </c>
      <c r="D453" s="22">
        <v>1</v>
      </c>
      <c r="E453" s="23">
        <f t="shared" ref="E453:E516" si="14">D453/10000</f>
        <v>1E-4</v>
      </c>
      <c r="F453" s="23">
        <f t="shared" si="13"/>
        <v>0.98099999999999421</v>
      </c>
    </row>
    <row r="454" spans="1:6" x14ac:dyDescent="0.25">
      <c r="A454" s="56">
        <v>44492848.100000001</v>
      </c>
      <c r="C454" s="21">
        <v>449000000</v>
      </c>
      <c r="D454" s="22">
        <v>2</v>
      </c>
      <c r="E454" s="23">
        <f t="shared" si="14"/>
        <v>2.0000000000000001E-4</v>
      </c>
      <c r="F454" s="23">
        <f t="shared" ref="F454:F517" si="15">E454+F453</f>
        <v>0.98119999999999419</v>
      </c>
    </row>
    <row r="455" spans="1:6" x14ac:dyDescent="0.25">
      <c r="A455" s="56">
        <v>185090635.59999999</v>
      </c>
      <c r="C455" s="21">
        <v>450000000</v>
      </c>
      <c r="D455" s="22">
        <v>0</v>
      </c>
      <c r="E455" s="23">
        <f t="shared" si="14"/>
        <v>0</v>
      </c>
      <c r="F455" s="23">
        <f t="shared" si="15"/>
        <v>0.98119999999999419</v>
      </c>
    </row>
    <row r="456" spans="1:6" x14ac:dyDescent="0.25">
      <c r="A456" s="56">
        <v>111791717</v>
      </c>
      <c r="C456" s="21">
        <v>451000000</v>
      </c>
      <c r="D456" s="22">
        <v>5</v>
      </c>
      <c r="E456" s="23">
        <f t="shared" si="14"/>
        <v>5.0000000000000001E-4</v>
      </c>
      <c r="F456" s="23">
        <f t="shared" si="15"/>
        <v>0.98169999999999413</v>
      </c>
    </row>
    <row r="457" spans="1:6" x14ac:dyDescent="0.25">
      <c r="A457" s="56">
        <v>5619108.5999999996</v>
      </c>
      <c r="C457" s="21">
        <v>452000000</v>
      </c>
      <c r="D457" s="22">
        <v>2</v>
      </c>
      <c r="E457" s="23">
        <f t="shared" si="14"/>
        <v>2.0000000000000001E-4</v>
      </c>
      <c r="F457" s="23">
        <f t="shared" si="15"/>
        <v>0.98189999999999411</v>
      </c>
    </row>
    <row r="458" spans="1:6" x14ac:dyDescent="0.25">
      <c r="A458" s="56">
        <v>95171378.599999905</v>
      </c>
      <c r="C458" s="21">
        <v>453000000</v>
      </c>
      <c r="D458" s="22">
        <v>0</v>
      </c>
      <c r="E458" s="23">
        <f t="shared" si="14"/>
        <v>0</v>
      </c>
      <c r="F458" s="23">
        <f t="shared" si="15"/>
        <v>0.98189999999999411</v>
      </c>
    </row>
    <row r="459" spans="1:6" x14ac:dyDescent="0.25">
      <c r="A459" s="56">
        <v>5929856.3999999901</v>
      </c>
      <c r="C459" s="21">
        <v>454000000</v>
      </c>
      <c r="D459" s="22">
        <v>1</v>
      </c>
      <c r="E459" s="23">
        <f t="shared" si="14"/>
        <v>1E-4</v>
      </c>
      <c r="F459" s="23">
        <f t="shared" si="15"/>
        <v>0.9819999999999941</v>
      </c>
    </row>
    <row r="460" spans="1:6" x14ac:dyDescent="0.25">
      <c r="A460" s="56">
        <v>10123823</v>
      </c>
      <c r="C460" s="21">
        <v>455000000</v>
      </c>
      <c r="D460" s="22">
        <v>1</v>
      </c>
      <c r="E460" s="23">
        <f t="shared" si="14"/>
        <v>1E-4</v>
      </c>
      <c r="F460" s="23">
        <f t="shared" si="15"/>
        <v>0.98209999999999409</v>
      </c>
    </row>
    <row r="461" spans="1:6" x14ac:dyDescent="0.25">
      <c r="A461" s="56">
        <v>19996229.100000001</v>
      </c>
      <c r="C461" s="21">
        <v>456000000</v>
      </c>
      <c r="D461" s="22">
        <v>3</v>
      </c>
      <c r="E461" s="23">
        <f t="shared" si="14"/>
        <v>2.9999999999999997E-4</v>
      </c>
      <c r="F461" s="23">
        <f t="shared" si="15"/>
        <v>0.98239999999999406</v>
      </c>
    </row>
    <row r="462" spans="1:6" x14ac:dyDescent="0.25">
      <c r="A462" s="56">
        <v>16359372.199999999</v>
      </c>
      <c r="C462" s="21">
        <v>457000000</v>
      </c>
      <c r="D462" s="22">
        <v>1</v>
      </c>
      <c r="E462" s="23">
        <f t="shared" si="14"/>
        <v>1E-4</v>
      </c>
      <c r="F462" s="23">
        <f t="shared" si="15"/>
        <v>0.98249999999999404</v>
      </c>
    </row>
    <row r="463" spans="1:6" x14ac:dyDescent="0.25">
      <c r="A463" s="56">
        <v>0</v>
      </c>
      <c r="C463" s="21">
        <v>458000000</v>
      </c>
      <c r="D463" s="22">
        <v>3</v>
      </c>
      <c r="E463" s="23">
        <f t="shared" si="14"/>
        <v>2.9999999999999997E-4</v>
      </c>
      <c r="F463" s="23">
        <f t="shared" si="15"/>
        <v>0.98279999999999401</v>
      </c>
    </row>
    <row r="464" spans="1:6" x14ac:dyDescent="0.25">
      <c r="A464" s="56">
        <v>3158990.4</v>
      </c>
      <c r="C464" s="21">
        <v>459000000</v>
      </c>
      <c r="D464" s="22">
        <v>0</v>
      </c>
      <c r="E464" s="23">
        <f t="shared" si="14"/>
        <v>0</v>
      </c>
      <c r="F464" s="23">
        <f t="shared" si="15"/>
        <v>0.98279999999999401</v>
      </c>
    </row>
    <row r="465" spans="1:6" x14ac:dyDescent="0.25">
      <c r="A465" s="56">
        <v>34125524.5</v>
      </c>
      <c r="C465" s="21">
        <v>460000000</v>
      </c>
      <c r="D465" s="22">
        <v>0</v>
      </c>
      <c r="E465" s="23">
        <f t="shared" si="14"/>
        <v>0</v>
      </c>
      <c r="F465" s="23">
        <f t="shared" si="15"/>
        <v>0.98279999999999401</v>
      </c>
    </row>
    <row r="466" spans="1:6" x14ac:dyDescent="0.25">
      <c r="A466" s="56">
        <v>32920960.300000001</v>
      </c>
      <c r="C466" s="21">
        <v>461000000</v>
      </c>
      <c r="D466" s="22">
        <v>4</v>
      </c>
      <c r="E466" s="23">
        <f t="shared" si="14"/>
        <v>4.0000000000000002E-4</v>
      </c>
      <c r="F466" s="23">
        <f t="shared" si="15"/>
        <v>0.98319999999999397</v>
      </c>
    </row>
    <row r="467" spans="1:6" x14ac:dyDescent="0.25">
      <c r="A467" s="56">
        <v>483980662.89999998</v>
      </c>
      <c r="C467" s="21">
        <v>462000000</v>
      </c>
      <c r="D467" s="22">
        <v>0</v>
      </c>
      <c r="E467" s="23">
        <f t="shared" si="14"/>
        <v>0</v>
      </c>
      <c r="F467" s="23">
        <f t="shared" si="15"/>
        <v>0.98319999999999397</v>
      </c>
    </row>
    <row r="468" spans="1:6" x14ac:dyDescent="0.25">
      <c r="A468" s="56">
        <v>654275379.10000002</v>
      </c>
      <c r="C468" s="21">
        <v>463000000</v>
      </c>
      <c r="D468" s="22">
        <v>0</v>
      </c>
      <c r="E468" s="23">
        <f t="shared" si="14"/>
        <v>0</v>
      </c>
      <c r="F468" s="23">
        <f t="shared" si="15"/>
        <v>0.98319999999999397</v>
      </c>
    </row>
    <row r="469" spans="1:6" x14ac:dyDescent="0.25">
      <c r="A469" s="56">
        <v>61946777.599999897</v>
      </c>
      <c r="C469" s="21">
        <v>464000000</v>
      </c>
      <c r="D469" s="22">
        <v>2</v>
      </c>
      <c r="E469" s="23">
        <f t="shared" si="14"/>
        <v>2.0000000000000001E-4</v>
      </c>
      <c r="F469" s="23">
        <f t="shared" si="15"/>
        <v>0.98339999999999395</v>
      </c>
    </row>
    <row r="470" spans="1:6" x14ac:dyDescent="0.25">
      <c r="A470" s="56">
        <v>0</v>
      </c>
      <c r="C470" s="21">
        <v>465000000</v>
      </c>
      <c r="D470" s="22">
        <v>0</v>
      </c>
      <c r="E470" s="23">
        <f t="shared" si="14"/>
        <v>0</v>
      </c>
      <c r="F470" s="23">
        <f t="shared" si="15"/>
        <v>0.98339999999999395</v>
      </c>
    </row>
    <row r="471" spans="1:6" x14ac:dyDescent="0.25">
      <c r="A471" s="56">
        <v>0</v>
      </c>
      <c r="C471" s="21">
        <v>466000000</v>
      </c>
      <c r="D471" s="22">
        <v>1</v>
      </c>
      <c r="E471" s="23">
        <f t="shared" si="14"/>
        <v>1E-4</v>
      </c>
      <c r="F471" s="23">
        <f t="shared" si="15"/>
        <v>0.98349999999999393</v>
      </c>
    </row>
    <row r="472" spans="1:6" x14ac:dyDescent="0.25">
      <c r="A472" s="56">
        <v>23049111.600000001</v>
      </c>
      <c r="C472" s="21">
        <v>467000000</v>
      </c>
      <c r="D472" s="22">
        <v>0</v>
      </c>
      <c r="E472" s="23">
        <f t="shared" si="14"/>
        <v>0</v>
      </c>
      <c r="F472" s="23">
        <f t="shared" si="15"/>
        <v>0.98349999999999393</v>
      </c>
    </row>
    <row r="473" spans="1:6" x14ac:dyDescent="0.25">
      <c r="A473" s="56">
        <v>454388737.19999999</v>
      </c>
      <c r="C473" s="21">
        <v>468000000</v>
      </c>
      <c r="D473" s="22">
        <v>0</v>
      </c>
      <c r="E473" s="23">
        <f t="shared" si="14"/>
        <v>0</v>
      </c>
      <c r="F473" s="23">
        <f t="shared" si="15"/>
        <v>0.98349999999999393</v>
      </c>
    </row>
    <row r="474" spans="1:6" x14ac:dyDescent="0.25">
      <c r="A474" s="56">
        <v>78504564.599999905</v>
      </c>
      <c r="C474" s="21">
        <v>469000000</v>
      </c>
      <c r="D474" s="22">
        <v>4</v>
      </c>
      <c r="E474" s="23">
        <f t="shared" si="14"/>
        <v>4.0000000000000002E-4</v>
      </c>
      <c r="F474" s="23">
        <f t="shared" si="15"/>
        <v>0.98389999999999389</v>
      </c>
    </row>
    <row r="475" spans="1:6" x14ac:dyDescent="0.25">
      <c r="A475" s="56">
        <v>14616298.699999999</v>
      </c>
      <c r="C475" s="21">
        <v>470000000</v>
      </c>
      <c r="D475" s="22">
        <v>0</v>
      </c>
      <c r="E475" s="23">
        <f t="shared" si="14"/>
        <v>0</v>
      </c>
      <c r="F475" s="23">
        <f t="shared" si="15"/>
        <v>0.98389999999999389</v>
      </c>
    </row>
    <row r="476" spans="1:6" x14ac:dyDescent="0.25">
      <c r="A476" s="56">
        <v>58635987.100000001</v>
      </c>
      <c r="C476" s="21">
        <v>471000000</v>
      </c>
      <c r="D476" s="22">
        <v>0</v>
      </c>
      <c r="E476" s="23">
        <f t="shared" si="14"/>
        <v>0</v>
      </c>
      <c r="F476" s="23">
        <f t="shared" si="15"/>
        <v>0.98389999999999389</v>
      </c>
    </row>
    <row r="477" spans="1:6" x14ac:dyDescent="0.25">
      <c r="A477" s="56">
        <v>205660254.30000001</v>
      </c>
      <c r="C477" s="21">
        <v>472000000</v>
      </c>
      <c r="D477" s="22">
        <v>2</v>
      </c>
      <c r="E477" s="23">
        <f t="shared" si="14"/>
        <v>2.0000000000000001E-4</v>
      </c>
      <c r="F477" s="23">
        <f t="shared" si="15"/>
        <v>0.98409999999999387</v>
      </c>
    </row>
    <row r="478" spans="1:6" x14ac:dyDescent="0.25">
      <c r="A478" s="56">
        <v>6483132.2999999998</v>
      </c>
      <c r="C478" s="21">
        <v>473000000</v>
      </c>
      <c r="D478" s="22">
        <v>2</v>
      </c>
      <c r="E478" s="23">
        <f t="shared" si="14"/>
        <v>2.0000000000000001E-4</v>
      </c>
      <c r="F478" s="23">
        <f t="shared" si="15"/>
        <v>0.98429999999999385</v>
      </c>
    </row>
    <row r="479" spans="1:6" x14ac:dyDescent="0.25">
      <c r="A479" s="56">
        <v>0</v>
      </c>
      <c r="C479" s="21">
        <v>474000000</v>
      </c>
      <c r="D479" s="22">
        <v>2</v>
      </c>
      <c r="E479" s="23">
        <f t="shared" si="14"/>
        <v>2.0000000000000001E-4</v>
      </c>
      <c r="F479" s="23">
        <f t="shared" si="15"/>
        <v>0.98449999999999382</v>
      </c>
    </row>
    <row r="480" spans="1:6" x14ac:dyDescent="0.25">
      <c r="A480" s="56">
        <v>566024511.09999895</v>
      </c>
      <c r="C480" s="21">
        <v>475000000</v>
      </c>
      <c r="D480" s="22">
        <v>1</v>
      </c>
      <c r="E480" s="23">
        <f t="shared" si="14"/>
        <v>1E-4</v>
      </c>
      <c r="F480" s="23">
        <f t="shared" si="15"/>
        <v>0.98459999999999381</v>
      </c>
    </row>
    <row r="481" spans="1:6" x14ac:dyDescent="0.25">
      <c r="A481" s="56">
        <v>54753918.200000003</v>
      </c>
      <c r="C481" s="21">
        <v>476000000</v>
      </c>
      <c r="D481" s="22">
        <v>0</v>
      </c>
      <c r="E481" s="23">
        <f t="shared" si="14"/>
        <v>0</v>
      </c>
      <c r="F481" s="23">
        <f t="shared" si="15"/>
        <v>0.98459999999999381</v>
      </c>
    </row>
    <row r="482" spans="1:6" x14ac:dyDescent="0.25">
      <c r="A482" s="56">
        <v>88574836.199999899</v>
      </c>
      <c r="C482" s="21">
        <v>477000000</v>
      </c>
      <c r="D482" s="22">
        <v>1</v>
      </c>
      <c r="E482" s="23">
        <f t="shared" si="14"/>
        <v>1E-4</v>
      </c>
      <c r="F482" s="23">
        <f t="shared" si="15"/>
        <v>0.9846999999999938</v>
      </c>
    </row>
    <row r="483" spans="1:6" x14ac:dyDescent="0.25">
      <c r="A483" s="56">
        <v>13962870.800000001</v>
      </c>
      <c r="C483" s="21">
        <v>478000000</v>
      </c>
      <c r="D483" s="22">
        <v>0</v>
      </c>
      <c r="E483" s="23">
        <f t="shared" si="14"/>
        <v>0</v>
      </c>
      <c r="F483" s="23">
        <f t="shared" si="15"/>
        <v>0.9846999999999938</v>
      </c>
    </row>
    <row r="484" spans="1:6" x14ac:dyDescent="0.25">
      <c r="A484" s="56">
        <v>7663354.8999999901</v>
      </c>
      <c r="C484" s="21">
        <v>479000000</v>
      </c>
      <c r="D484" s="22">
        <v>1</v>
      </c>
      <c r="E484" s="23">
        <f t="shared" si="14"/>
        <v>1E-4</v>
      </c>
      <c r="F484" s="23">
        <f t="shared" si="15"/>
        <v>0.98479999999999379</v>
      </c>
    </row>
    <row r="485" spans="1:6" x14ac:dyDescent="0.25">
      <c r="A485" s="56">
        <v>42339897.399999999</v>
      </c>
      <c r="C485" s="21">
        <v>480000000</v>
      </c>
      <c r="D485" s="22">
        <v>1</v>
      </c>
      <c r="E485" s="23">
        <f t="shared" si="14"/>
        <v>1E-4</v>
      </c>
      <c r="F485" s="23">
        <f t="shared" si="15"/>
        <v>0.98489999999999378</v>
      </c>
    </row>
    <row r="486" spans="1:6" x14ac:dyDescent="0.25">
      <c r="A486" s="56">
        <v>33042586.499999899</v>
      </c>
      <c r="C486" s="21">
        <v>481000000</v>
      </c>
      <c r="D486" s="22">
        <v>0</v>
      </c>
      <c r="E486" s="23">
        <f t="shared" si="14"/>
        <v>0</v>
      </c>
      <c r="F486" s="23">
        <f t="shared" si="15"/>
        <v>0.98489999999999378</v>
      </c>
    </row>
    <row r="487" spans="1:6" x14ac:dyDescent="0.25">
      <c r="A487" s="56">
        <v>7979332.4000000004</v>
      </c>
      <c r="C487" s="21">
        <v>482000000</v>
      </c>
      <c r="D487" s="22">
        <v>2</v>
      </c>
      <c r="E487" s="23">
        <f t="shared" si="14"/>
        <v>2.0000000000000001E-4</v>
      </c>
      <c r="F487" s="23">
        <f t="shared" si="15"/>
        <v>0.98509999999999376</v>
      </c>
    </row>
    <row r="488" spans="1:6" x14ac:dyDescent="0.25">
      <c r="A488" s="56">
        <v>23439439.300000001</v>
      </c>
      <c r="C488" s="21">
        <v>483000000</v>
      </c>
      <c r="D488" s="22">
        <v>1</v>
      </c>
      <c r="E488" s="23">
        <f t="shared" si="14"/>
        <v>1E-4</v>
      </c>
      <c r="F488" s="23">
        <f t="shared" si="15"/>
        <v>0.98519999999999375</v>
      </c>
    </row>
    <row r="489" spans="1:6" x14ac:dyDescent="0.25">
      <c r="A489" s="56">
        <v>0</v>
      </c>
      <c r="C489" s="21">
        <v>484000000</v>
      </c>
      <c r="D489" s="22">
        <v>2</v>
      </c>
      <c r="E489" s="23">
        <f t="shared" si="14"/>
        <v>2.0000000000000001E-4</v>
      </c>
      <c r="F489" s="23">
        <f t="shared" si="15"/>
        <v>0.98539999999999373</v>
      </c>
    </row>
    <row r="490" spans="1:6" x14ac:dyDescent="0.25">
      <c r="A490" s="56">
        <v>0</v>
      </c>
      <c r="C490" s="21">
        <v>485000000</v>
      </c>
      <c r="D490" s="22">
        <v>4</v>
      </c>
      <c r="E490" s="23">
        <f t="shared" si="14"/>
        <v>4.0000000000000002E-4</v>
      </c>
      <c r="F490" s="23">
        <f t="shared" si="15"/>
        <v>0.98579999999999368</v>
      </c>
    </row>
    <row r="491" spans="1:6" x14ac:dyDescent="0.25">
      <c r="A491" s="56">
        <v>25171953.399999902</v>
      </c>
      <c r="C491" s="21">
        <v>486000000</v>
      </c>
      <c r="D491" s="22">
        <v>2</v>
      </c>
      <c r="E491" s="23">
        <f t="shared" si="14"/>
        <v>2.0000000000000001E-4</v>
      </c>
      <c r="F491" s="23">
        <f t="shared" si="15"/>
        <v>0.98599999999999366</v>
      </c>
    </row>
    <row r="492" spans="1:6" x14ac:dyDescent="0.25">
      <c r="A492" s="56">
        <v>249070418.59999999</v>
      </c>
      <c r="C492" s="21">
        <v>487000000</v>
      </c>
      <c r="D492" s="22">
        <v>0</v>
      </c>
      <c r="E492" s="23">
        <f t="shared" si="14"/>
        <v>0</v>
      </c>
      <c r="F492" s="23">
        <f t="shared" si="15"/>
        <v>0.98599999999999366</v>
      </c>
    </row>
    <row r="493" spans="1:6" x14ac:dyDescent="0.25">
      <c r="A493" s="56">
        <v>5594282</v>
      </c>
      <c r="C493" s="21">
        <v>488000000</v>
      </c>
      <c r="D493" s="22">
        <v>2</v>
      </c>
      <c r="E493" s="23">
        <f t="shared" si="14"/>
        <v>2.0000000000000001E-4</v>
      </c>
      <c r="F493" s="23">
        <f t="shared" si="15"/>
        <v>0.98619999999999364</v>
      </c>
    </row>
    <row r="494" spans="1:6" x14ac:dyDescent="0.25">
      <c r="A494" s="56">
        <v>21967220.699999999</v>
      </c>
      <c r="C494" s="21">
        <v>489000000</v>
      </c>
      <c r="D494" s="22">
        <v>2</v>
      </c>
      <c r="E494" s="23">
        <f t="shared" si="14"/>
        <v>2.0000000000000001E-4</v>
      </c>
      <c r="F494" s="23">
        <f t="shared" si="15"/>
        <v>0.98639999999999362</v>
      </c>
    </row>
    <row r="495" spans="1:6" x14ac:dyDescent="0.25">
      <c r="A495" s="56">
        <v>8798874.1999999899</v>
      </c>
      <c r="C495" s="21">
        <v>490000000</v>
      </c>
      <c r="D495" s="22">
        <v>0</v>
      </c>
      <c r="E495" s="23">
        <f t="shared" si="14"/>
        <v>0</v>
      </c>
      <c r="F495" s="23">
        <f t="shared" si="15"/>
        <v>0.98639999999999362</v>
      </c>
    </row>
    <row r="496" spans="1:6" x14ac:dyDescent="0.25">
      <c r="A496" s="56">
        <v>58793357.299999997</v>
      </c>
      <c r="C496" s="21">
        <v>491000000</v>
      </c>
      <c r="D496" s="22">
        <v>2</v>
      </c>
      <c r="E496" s="23">
        <f t="shared" si="14"/>
        <v>2.0000000000000001E-4</v>
      </c>
      <c r="F496" s="23">
        <f t="shared" si="15"/>
        <v>0.98659999999999359</v>
      </c>
    </row>
    <row r="497" spans="1:6" x14ac:dyDescent="0.25">
      <c r="A497" s="56">
        <v>127429658.5</v>
      </c>
      <c r="C497" s="21">
        <v>492000000</v>
      </c>
      <c r="D497" s="22">
        <v>2</v>
      </c>
      <c r="E497" s="23">
        <f t="shared" si="14"/>
        <v>2.0000000000000001E-4</v>
      </c>
      <c r="F497" s="23">
        <f t="shared" si="15"/>
        <v>0.98679999999999357</v>
      </c>
    </row>
    <row r="498" spans="1:6" x14ac:dyDescent="0.25">
      <c r="A498" s="56">
        <v>129562308.5</v>
      </c>
      <c r="C498" s="21">
        <v>493000000</v>
      </c>
      <c r="D498" s="22">
        <v>0</v>
      </c>
      <c r="E498" s="23">
        <f t="shared" si="14"/>
        <v>0</v>
      </c>
      <c r="F498" s="23">
        <f t="shared" si="15"/>
        <v>0.98679999999999357</v>
      </c>
    </row>
    <row r="499" spans="1:6" x14ac:dyDescent="0.25">
      <c r="A499" s="56">
        <v>100236445</v>
      </c>
      <c r="C499" s="21">
        <v>494000000</v>
      </c>
      <c r="D499" s="22">
        <v>1</v>
      </c>
      <c r="E499" s="23">
        <f t="shared" si="14"/>
        <v>1E-4</v>
      </c>
      <c r="F499" s="23">
        <f t="shared" si="15"/>
        <v>0.98689999999999356</v>
      </c>
    </row>
    <row r="500" spans="1:6" x14ac:dyDescent="0.25">
      <c r="A500" s="56">
        <v>8960002.1999999899</v>
      </c>
      <c r="C500" s="21">
        <v>495000000</v>
      </c>
      <c r="D500" s="22">
        <v>0</v>
      </c>
      <c r="E500" s="23">
        <f t="shared" si="14"/>
        <v>0</v>
      </c>
      <c r="F500" s="23">
        <f t="shared" si="15"/>
        <v>0.98689999999999356</v>
      </c>
    </row>
    <row r="501" spans="1:6" x14ac:dyDescent="0.25">
      <c r="A501" s="56">
        <v>12808760.6</v>
      </c>
      <c r="C501" s="21">
        <v>496000000</v>
      </c>
      <c r="D501" s="22">
        <v>0</v>
      </c>
      <c r="E501" s="23">
        <f t="shared" si="14"/>
        <v>0</v>
      </c>
      <c r="F501" s="23">
        <f t="shared" si="15"/>
        <v>0.98689999999999356</v>
      </c>
    </row>
    <row r="502" spans="1:6" x14ac:dyDescent="0.25">
      <c r="A502" s="56">
        <v>79423135.199999899</v>
      </c>
      <c r="C502" s="21">
        <v>497000000</v>
      </c>
      <c r="D502" s="22">
        <v>1</v>
      </c>
      <c r="E502" s="23">
        <f t="shared" si="14"/>
        <v>1E-4</v>
      </c>
      <c r="F502" s="23">
        <f t="shared" si="15"/>
        <v>0.98699999999999355</v>
      </c>
    </row>
    <row r="503" spans="1:6" x14ac:dyDescent="0.25">
      <c r="A503" s="56">
        <v>51899371.899999902</v>
      </c>
      <c r="C503" s="21">
        <v>498000000</v>
      </c>
      <c r="D503" s="22">
        <v>0</v>
      </c>
      <c r="E503" s="23">
        <f t="shared" si="14"/>
        <v>0</v>
      </c>
      <c r="F503" s="23">
        <f t="shared" si="15"/>
        <v>0.98699999999999355</v>
      </c>
    </row>
    <row r="504" spans="1:6" x14ac:dyDescent="0.25">
      <c r="A504" s="56">
        <v>19205064.100000001</v>
      </c>
      <c r="C504" s="21">
        <v>499000000</v>
      </c>
      <c r="D504" s="22">
        <v>1</v>
      </c>
      <c r="E504" s="23">
        <f t="shared" si="14"/>
        <v>1E-4</v>
      </c>
      <c r="F504" s="23">
        <f t="shared" si="15"/>
        <v>0.98709999999999354</v>
      </c>
    </row>
    <row r="505" spans="1:6" x14ac:dyDescent="0.25">
      <c r="A505" s="56">
        <v>23055079.699999999</v>
      </c>
      <c r="C505" s="21">
        <v>500000000</v>
      </c>
      <c r="D505" s="22">
        <v>2</v>
      </c>
      <c r="E505" s="23">
        <f t="shared" si="14"/>
        <v>2.0000000000000001E-4</v>
      </c>
      <c r="F505" s="23">
        <f t="shared" si="15"/>
        <v>0.98729999999999352</v>
      </c>
    </row>
    <row r="506" spans="1:6" x14ac:dyDescent="0.25">
      <c r="A506" s="56">
        <v>8495456</v>
      </c>
      <c r="C506" s="21">
        <v>501000000</v>
      </c>
      <c r="D506" s="22">
        <v>3</v>
      </c>
      <c r="E506" s="23">
        <f t="shared" si="14"/>
        <v>2.9999999999999997E-4</v>
      </c>
      <c r="F506" s="23">
        <f t="shared" si="15"/>
        <v>0.98759999999999348</v>
      </c>
    </row>
    <row r="507" spans="1:6" x14ac:dyDescent="0.25">
      <c r="A507" s="56">
        <v>0</v>
      </c>
      <c r="C507" s="21">
        <v>502000000</v>
      </c>
      <c r="D507" s="22">
        <v>2</v>
      </c>
      <c r="E507" s="23">
        <f t="shared" si="14"/>
        <v>2.0000000000000001E-4</v>
      </c>
      <c r="F507" s="23">
        <f t="shared" si="15"/>
        <v>0.98779999999999346</v>
      </c>
    </row>
    <row r="508" spans="1:6" x14ac:dyDescent="0.25">
      <c r="A508" s="56">
        <v>55590424.399999999</v>
      </c>
      <c r="C508" s="21">
        <v>503000000</v>
      </c>
      <c r="D508" s="22">
        <v>0</v>
      </c>
      <c r="E508" s="23">
        <f t="shared" si="14"/>
        <v>0</v>
      </c>
      <c r="F508" s="23">
        <f t="shared" si="15"/>
        <v>0.98779999999999346</v>
      </c>
    </row>
    <row r="509" spans="1:6" x14ac:dyDescent="0.25">
      <c r="A509" s="56">
        <v>27239746.399999999</v>
      </c>
      <c r="C509" s="21">
        <v>504000000</v>
      </c>
      <c r="D509" s="22">
        <v>0</v>
      </c>
      <c r="E509" s="23">
        <f t="shared" si="14"/>
        <v>0</v>
      </c>
      <c r="F509" s="23">
        <f t="shared" si="15"/>
        <v>0.98779999999999346</v>
      </c>
    </row>
    <row r="510" spans="1:6" x14ac:dyDescent="0.25">
      <c r="A510" s="56">
        <v>108574818</v>
      </c>
      <c r="C510" s="21">
        <v>505000000</v>
      </c>
      <c r="D510" s="22">
        <v>0</v>
      </c>
      <c r="E510" s="23">
        <f t="shared" si="14"/>
        <v>0</v>
      </c>
      <c r="F510" s="23">
        <f t="shared" si="15"/>
        <v>0.98779999999999346</v>
      </c>
    </row>
    <row r="511" spans="1:6" x14ac:dyDescent="0.25">
      <c r="A511" s="56">
        <v>261744530.19999999</v>
      </c>
      <c r="C511" s="21">
        <v>506000000</v>
      </c>
      <c r="D511" s="22">
        <v>0</v>
      </c>
      <c r="E511" s="23">
        <f t="shared" si="14"/>
        <v>0</v>
      </c>
      <c r="F511" s="23">
        <f t="shared" si="15"/>
        <v>0.98779999999999346</v>
      </c>
    </row>
    <row r="512" spans="1:6" x14ac:dyDescent="0.25">
      <c r="A512" s="56">
        <v>14059230.4</v>
      </c>
      <c r="C512" s="21">
        <v>507000000</v>
      </c>
      <c r="D512" s="22">
        <v>0</v>
      </c>
      <c r="E512" s="23">
        <f t="shared" si="14"/>
        <v>0</v>
      </c>
      <c r="F512" s="23">
        <f t="shared" si="15"/>
        <v>0.98779999999999346</v>
      </c>
    </row>
    <row r="513" spans="1:6" x14ac:dyDescent="0.25">
      <c r="A513" s="56">
        <v>7886062.2999999998</v>
      </c>
      <c r="C513" s="21">
        <v>508000000</v>
      </c>
      <c r="D513" s="22">
        <v>1</v>
      </c>
      <c r="E513" s="23">
        <f t="shared" si="14"/>
        <v>1E-4</v>
      </c>
      <c r="F513" s="23">
        <f t="shared" si="15"/>
        <v>0.98789999999999345</v>
      </c>
    </row>
    <row r="514" spans="1:6" x14ac:dyDescent="0.25">
      <c r="A514" s="56">
        <v>25547200.699999999</v>
      </c>
      <c r="C514" s="21">
        <v>509000000</v>
      </c>
      <c r="D514" s="22">
        <v>0</v>
      </c>
      <c r="E514" s="23">
        <f t="shared" si="14"/>
        <v>0</v>
      </c>
      <c r="F514" s="23">
        <f t="shared" si="15"/>
        <v>0.98789999999999345</v>
      </c>
    </row>
    <row r="515" spans="1:6" x14ac:dyDescent="0.25">
      <c r="A515" s="56">
        <v>29920464.800000001</v>
      </c>
      <c r="C515" s="21">
        <v>510000000</v>
      </c>
      <c r="D515" s="22">
        <v>0</v>
      </c>
      <c r="E515" s="23">
        <f t="shared" si="14"/>
        <v>0</v>
      </c>
      <c r="F515" s="23">
        <f t="shared" si="15"/>
        <v>0.98789999999999345</v>
      </c>
    </row>
    <row r="516" spans="1:6" x14ac:dyDescent="0.25">
      <c r="A516" s="56">
        <v>34283860.299999997</v>
      </c>
      <c r="C516" s="21">
        <v>511000000</v>
      </c>
      <c r="D516" s="22">
        <v>0</v>
      </c>
      <c r="E516" s="23">
        <f t="shared" si="14"/>
        <v>0</v>
      </c>
      <c r="F516" s="23">
        <f t="shared" si="15"/>
        <v>0.98789999999999345</v>
      </c>
    </row>
    <row r="517" spans="1:6" x14ac:dyDescent="0.25">
      <c r="A517" s="56">
        <v>355406741.49999899</v>
      </c>
      <c r="C517" s="21">
        <v>512000000</v>
      </c>
      <c r="D517" s="22">
        <v>2</v>
      </c>
      <c r="E517" s="23">
        <f t="shared" ref="E517:E580" si="16">D517/10000</f>
        <v>2.0000000000000001E-4</v>
      </c>
      <c r="F517" s="23">
        <f t="shared" si="15"/>
        <v>0.98809999999999343</v>
      </c>
    </row>
    <row r="518" spans="1:6" x14ac:dyDescent="0.25">
      <c r="A518" s="56">
        <v>14170968.300000001</v>
      </c>
      <c r="C518" s="21">
        <v>513000000</v>
      </c>
      <c r="D518" s="22">
        <v>1</v>
      </c>
      <c r="E518" s="23">
        <f t="shared" si="16"/>
        <v>1E-4</v>
      </c>
      <c r="F518" s="23">
        <f t="shared" ref="F518:F581" si="17">E518+F517</f>
        <v>0.98819999999999342</v>
      </c>
    </row>
    <row r="519" spans="1:6" x14ac:dyDescent="0.25">
      <c r="A519" s="56">
        <v>30030604.100000001</v>
      </c>
      <c r="C519" s="21">
        <v>514000000</v>
      </c>
      <c r="D519" s="22">
        <v>0</v>
      </c>
      <c r="E519" s="23">
        <f t="shared" si="16"/>
        <v>0</v>
      </c>
      <c r="F519" s="23">
        <f t="shared" si="17"/>
        <v>0.98819999999999342</v>
      </c>
    </row>
    <row r="520" spans="1:6" x14ac:dyDescent="0.25">
      <c r="A520" s="56">
        <v>120405501.2</v>
      </c>
      <c r="C520" s="21">
        <v>515000000</v>
      </c>
      <c r="D520" s="22">
        <v>1</v>
      </c>
      <c r="E520" s="23">
        <f t="shared" si="16"/>
        <v>1E-4</v>
      </c>
      <c r="F520" s="23">
        <f t="shared" si="17"/>
        <v>0.98829999999999341</v>
      </c>
    </row>
    <row r="521" spans="1:6" x14ac:dyDescent="0.25">
      <c r="A521" s="56">
        <v>2079150</v>
      </c>
      <c r="C521" s="21">
        <v>516000000</v>
      </c>
      <c r="D521" s="22">
        <v>1</v>
      </c>
      <c r="E521" s="23">
        <f t="shared" si="16"/>
        <v>1E-4</v>
      </c>
      <c r="F521" s="23">
        <f t="shared" si="17"/>
        <v>0.98839999999999339</v>
      </c>
    </row>
    <row r="522" spans="1:6" x14ac:dyDescent="0.25">
      <c r="A522" s="56">
        <v>6804188.2999999998</v>
      </c>
      <c r="C522" s="21">
        <v>517000000</v>
      </c>
      <c r="D522" s="22">
        <v>0</v>
      </c>
      <c r="E522" s="23">
        <f t="shared" si="16"/>
        <v>0</v>
      </c>
      <c r="F522" s="23">
        <f t="shared" si="17"/>
        <v>0.98839999999999339</v>
      </c>
    </row>
    <row r="523" spans="1:6" x14ac:dyDescent="0.25">
      <c r="A523" s="56">
        <v>62796429.099999897</v>
      </c>
      <c r="C523" s="21">
        <v>518000000</v>
      </c>
      <c r="D523" s="22">
        <v>0</v>
      </c>
      <c r="E523" s="23">
        <f t="shared" si="16"/>
        <v>0</v>
      </c>
      <c r="F523" s="23">
        <f t="shared" si="17"/>
        <v>0.98839999999999339</v>
      </c>
    </row>
    <row r="524" spans="1:6" x14ac:dyDescent="0.25">
      <c r="A524" s="56">
        <v>9859777.5</v>
      </c>
      <c r="C524" s="21">
        <v>519000000</v>
      </c>
      <c r="D524" s="22">
        <v>0</v>
      </c>
      <c r="E524" s="23">
        <f t="shared" si="16"/>
        <v>0</v>
      </c>
      <c r="F524" s="23">
        <f t="shared" si="17"/>
        <v>0.98839999999999339</v>
      </c>
    </row>
    <row r="525" spans="1:6" x14ac:dyDescent="0.25">
      <c r="A525" s="56">
        <v>0</v>
      </c>
      <c r="C525" s="21">
        <v>520000000</v>
      </c>
      <c r="D525" s="22">
        <v>2</v>
      </c>
      <c r="E525" s="23">
        <f t="shared" si="16"/>
        <v>2.0000000000000001E-4</v>
      </c>
      <c r="F525" s="23">
        <f t="shared" si="17"/>
        <v>0.98859999999999337</v>
      </c>
    </row>
    <row r="526" spans="1:6" x14ac:dyDescent="0.25">
      <c r="A526" s="56">
        <v>23639707.600000001</v>
      </c>
      <c r="C526" s="21">
        <v>521000000</v>
      </c>
      <c r="D526" s="22">
        <v>0</v>
      </c>
      <c r="E526" s="23">
        <f t="shared" si="16"/>
        <v>0</v>
      </c>
      <c r="F526" s="23">
        <f t="shared" si="17"/>
        <v>0.98859999999999337</v>
      </c>
    </row>
    <row r="527" spans="1:6" x14ac:dyDescent="0.25">
      <c r="A527" s="56">
        <v>50968273.899999999</v>
      </c>
      <c r="C527" s="21">
        <v>522000000</v>
      </c>
      <c r="D527" s="22">
        <v>1</v>
      </c>
      <c r="E527" s="23">
        <f t="shared" si="16"/>
        <v>1E-4</v>
      </c>
      <c r="F527" s="23">
        <f t="shared" si="17"/>
        <v>0.98869999999999336</v>
      </c>
    </row>
    <row r="528" spans="1:6" x14ac:dyDescent="0.25">
      <c r="A528" s="56">
        <v>0</v>
      </c>
      <c r="C528" s="21">
        <v>523000000</v>
      </c>
      <c r="D528" s="22">
        <v>1</v>
      </c>
      <c r="E528" s="23">
        <f t="shared" si="16"/>
        <v>1E-4</v>
      </c>
      <c r="F528" s="23">
        <f t="shared" si="17"/>
        <v>0.98879999999999335</v>
      </c>
    </row>
    <row r="529" spans="1:6" x14ac:dyDescent="0.25">
      <c r="A529" s="56">
        <v>27124696</v>
      </c>
      <c r="C529" s="21">
        <v>524000000</v>
      </c>
      <c r="D529" s="22">
        <v>0</v>
      </c>
      <c r="E529" s="23">
        <f t="shared" si="16"/>
        <v>0</v>
      </c>
      <c r="F529" s="23">
        <f t="shared" si="17"/>
        <v>0.98879999999999335</v>
      </c>
    </row>
    <row r="530" spans="1:6" x14ac:dyDescent="0.25">
      <c r="A530" s="56">
        <v>293397793.39999998</v>
      </c>
      <c r="C530" s="21">
        <v>525000000</v>
      </c>
      <c r="D530" s="22">
        <v>0</v>
      </c>
      <c r="E530" s="23">
        <f t="shared" si="16"/>
        <v>0</v>
      </c>
      <c r="F530" s="23">
        <f t="shared" si="17"/>
        <v>0.98879999999999335</v>
      </c>
    </row>
    <row r="531" spans="1:6" x14ac:dyDescent="0.25">
      <c r="A531" s="56">
        <v>19276976.100000001</v>
      </c>
      <c r="C531" s="21">
        <v>526000000</v>
      </c>
      <c r="D531" s="22">
        <v>0</v>
      </c>
      <c r="E531" s="23">
        <f t="shared" si="16"/>
        <v>0</v>
      </c>
      <c r="F531" s="23">
        <f t="shared" si="17"/>
        <v>0.98879999999999335</v>
      </c>
    </row>
    <row r="532" spans="1:6" x14ac:dyDescent="0.25">
      <c r="A532" s="56">
        <v>732092.4</v>
      </c>
      <c r="C532" s="21">
        <v>527000000</v>
      </c>
      <c r="D532" s="22">
        <v>0</v>
      </c>
      <c r="E532" s="23">
        <f t="shared" si="16"/>
        <v>0</v>
      </c>
      <c r="F532" s="23">
        <f t="shared" si="17"/>
        <v>0.98879999999999335</v>
      </c>
    </row>
    <row r="533" spans="1:6" x14ac:dyDescent="0.25">
      <c r="A533" s="56">
        <v>206595138.59999999</v>
      </c>
      <c r="C533" s="21">
        <v>528000000</v>
      </c>
      <c r="D533" s="22">
        <v>0</v>
      </c>
      <c r="E533" s="23">
        <f t="shared" si="16"/>
        <v>0</v>
      </c>
      <c r="F533" s="23">
        <f t="shared" si="17"/>
        <v>0.98879999999999335</v>
      </c>
    </row>
    <row r="534" spans="1:6" x14ac:dyDescent="0.25">
      <c r="A534" s="56">
        <v>37372549.899999999</v>
      </c>
      <c r="C534" s="21">
        <v>529000000</v>
      </c>
      <c r="D534" s="22">
        <v>0</v>
      </c>
      <c r="E534" s="23">
        <f t="shared" si="16"/>
        <v>0</v>
      </c>
      <c r="F534" s="23">
        <f t="shared" si="17"/>
        <v>0.98879999999999335</v>
      </c>
    </row>
    <row r="535" spans="1:6" x14ac:dyDescent="0.25">
      <c r="A535" s="56">
        <v>27417184.100000001</v>
      </c>
      <c r="C535" s="21">
        <v>530000000</v>
      </c>
      <c r="D535" s="22">
        <v>1</v>
      </c>
      <c r="E535" s="23">
        <f t="shared" si="16"/>
        <v>1E-4</v>
      </c>
      <c r="F535" s="23">
        <f t="shared" si="17"/>
        <v>0.98889999999999334</v>
      </c>
    </row>
    <row r="536" spans="1:6" x14ac:dyDescent="0.25">
      <c r="A536" s="56">
        <v>0</v>
      </c>
      <c r="C536" s="21">
        <v>531000000</v>
      </c>
      <c r="D536" s="22">
        <v>0</v>
      </c>
      <c r="E536" s="23">
        <f t="shared" si="16"/>
        <v>0</v>
      </c>
      <c r="F536" s="23">
        <f t="shared" si="17"/>
        <v>0.98889999999999334</v>
      </c>
    </row>
    <row r="537" spans="1:6" x14ac:dyDescent="0.25">
      <c r="A537" s="56">
        <v>58634053.099999897</v>
      </c>
      <c r="C537" s="21">
        <v>532000000</v>
      </c>
      <c r="D537" s="22">
        <v>0</v>
      </c>
      <c r="E537" s="23">
        <f t="shared" si="16"/>
        <v>0</v>
      </c>
      <c r="F537" s="23">
        <f t="shared" si="17"/>
        <v>0.98889999999999334</v>
      </c>
    </row>
    <row r="538" spans="1:6" x14ac:dyDescent="0.25">
      <c r="A538" s="56">
        <v>15997881</v>
      </c>
      <c r="C538" s="21">
        <v>533000000</v>
      </c>
      <c r="D538" s="22">
        <v>0</v>
      </c>
      <c r="E538" s="23">
        <f t="shared" si="16"/>
        <v>0</v>
      </c>
      <c r="F538" s="23">
        <f t="shared" si="17"/>
        <v>0.98889999999999334</v>
      </c>
    </row>
    <row r="539" spans="1:6" x14ac:dyDescent="0.25">
      <c r="A539" s="56">
        <v>25797316.100000001</v>
      </c>
      <c r="C539" s="21">
        <v>534000000</v>
      </c>
      <c r="D539" s="22">
        <v>1</v>
      </c>
      <c r="E539" s="23">
        <f t="shared" si="16"/>
        <v>1E-4</v>
      </c>
      <c r="F539" s="23">
        <f t="shared" si="17"/>
        <v>0.98899999999999333</v>
      </c>
    </row>
    <row r="540" spans="1:6" x14ac:dyDescent="0.25">
      <c r="A540" s="56">
        <v>48287916.200000003</v>
      </c>
      <c r="C540" s="21">
        <v>535000000</v>
      </c>
      <c r="D540" s="22">
        <v>1</v>
      </c>
      <c r="E540" s="23">
        <f t="shared" si="16"/>
        <v>1E-4</v>
      </c>
      <c r="F540" s="23">
        <f t="shared" si="17"/>
        <v>0.98909999999999332</v>
      </c>
    </row>
    <row r="541" spans="1:6" x14ac:dyDescent="0.25">
      <c r="A541" s="56">
        <v>183684334.40000001</v>
      </c>
      <c r="C541" s="21">
        <v>536000000</v>
      </c>
      <c r="D541" s="22">
        <v>0</v>
      </c>
      <c r="E541" s="23">
        <f t="shared" si="16"/>
        <v>0</v>
      </c>
      <c r="F541" s="23">
        <f t="shared" si="17"/>
        <v>0.98909999999999332</v>
      </c>
    </row>
    <row r="542" spans="1:6" x14ac:dyDescent="0.25">
      <c r="A542" s="56">
        <v>0</v>
      </c>
      <c r="C542" s="21">
        <v>537000000</v>
      </c>
      <c r="D542" s="22">
        <v>0</v>
      </c>
      <c r="E542" s="23">
        <f t="shared" si="16"/>
        <v>0</v>
      </c>
      <c r="F542" s="23">
        <f t="shared" si="17"/>
        <v>0.98909999999999332</v>
      </c>
    </row>
    <row r="543" spans="1:6" x14ac:dyDescent="0.25">
      <c r="A543" s="56">
        <v>0</v>
      </c>
      <c r="C543" s="21">
        <v>538000000</v>
      </c>
      <c r="D543" s="22">
        <v>1</v>
      </c>
      <c r="E543" s="23">
        <f t="shared" si="16"/>
        <v>1E-4</v>
      </c>
      <c r="F543" s="23">
        <f t="shared" si="17"/>
        <v>0.98919999999999331</v>
      </c>
    </row>
    <row r="544" spans="1:6" x14ac:dyDescent="0.25">
      <c r="A544" s="56">
        <v>20754434.100000001</v>
      </c>
      <c r="C544" s="21">
        <v>539000000</v>
      </c>
      <c r="D544" s="22">
        <v>1</v>
      </c>
      <c r="E544" s="23">
        <f t="shared" si="16"/>
        <v>1E-4</v>
      </c>
      <c r="F544" s="23">
        <f t="shared" si="17"/>
        <v>0.9892999999999933</v>
      </c>
    </row>
    <row r="545" spans="1:6" x14ac:dyDescent="0.25">
      <c r="A545" s="56">
        <v>10303862.1</v>
      </c>
      <c r="C545" s="21">
        <v>540000000</v>
      </c>
      <c r="D545" s="22">
        <v>0</v>
      </c>
      <c r="E545" s="23">
        <f t="shared" si="16"/>
        <v>0</v>
      </c>
      <c r="F545" s="23">
        <f t="shared" si="17"/>
        <v>0.9892999999999933</v>
      </c>
    </row>
    <row r="546" spans="1:6" x14ac:dyDescent="0.25">
      <c r="A546" s="56">
        <v>78701708.199999899</v>
      </c>
      <c r="C546" s="21">
        <v>541000000</v>
      </c>
      <c r="D546" s="22">
        <v>2</v>
      </c>
      <c r="E546" s="23">
        <f t="shared" si="16"/>
        <v>2.0000000000000001E-4</v>
      </c>
      <c r="F546" s="23">
        <f t="shared" si="17"/>
        <v>0.98949999999999327</v>
      </c>
    </row>
    <row r="547" spans="1:6" x14ac:dyDescent="0.25">
      <c r="A547" s="56">
        <v>937098875.20000005</v>
      </c>
      <c r="C547" s="21">
        <v>542000000</v>
      </c>
      <c r="D547" s="22">
        <v>0</v>
      </c>
      <c r="E547" s="23">
        <f t="shared" si="16"/>
        <v>0</v>
      </c>
      <c r="F547" s="23">
        <f t="shared" si="17"/>
        <v>0.98949999999999327</v>
      </c>
    </row>
    <row r="548" spans="1:6" x14ac:dyDescent="0.25">
      <c r="A548" s="56">
        <v>0</v>
      </c>
      <c r="C548" s="21">
        <v>543000000</v>
      </c>
      <c r="D548" s="22">
        <v>1</v>
      </c>
      <c r="E548" s="23">
        <f t="shared" si="16"/>
        <v>1E-4</v>
      </c>
      <c r="F548" s="23">
        <f t="shared" si="17"/>
        <v>0.98959999999999326</v>
      </c>
    </row>
    <row r="549" spans="1:6" x14ac:dyDescent="0.25">
      <c r="A549" s="56">
        <v>39133472.100000001</v>
      </c>
      <c r="C549" s="21">
        <v>544000000</v>
      </c>
      <c r="D549" s="22">
        <v>2</v>
      </c>
      <c r="E549" s="23">
        <f t="shared" si="16"/>
        <v>2.0000000000000001E-4</v>
      </c>
      <c r="F549" s="23">
        <f t="shared" si="17"/>
        <v>0.98979999999999324</v>
      </c>
    </row>
    <row r="550" spans="1:6" x14ac:dyDescent="0.25">
      <c r="A550" s="56">
        <v>8838791.1999999899</v>
      </c>
      <c r="C550" s="21">
        <v>545000000</v>
      </c>
      <c r="D550" s="22">
        <v>1</v>
      </c>
      <c r="E550" s="23">
        <f t="shared" si="16"/>
        <v>1E-4</v>
      </c>
      <c r="F550" s="23">
        <f t="shared" si="17"/>
        <v>0.98989999999999323</v>
      </c>
    </row>
    <row r="551" spans="1:6" x14ac:dyDescent="0.25">
      <c r="A551" s="56">
        <v>61803997.999999903</v>
      </c>
      <c r="C551" s="21">
        <v>546000000</v>
      </c>
      <c r="D551" s="22">
        <v>2</v>
      </c>
      <c r="E551" s="23">
        <f t="shared" si="16"/>
        <v>2.0000000000000001E-4</v>
      </c>
      <c r="F551" s="23">
        <f t="shared" si="17"/>
        <v>0.99009999999999321</v>
      </c>
    </row>
    <row r="552" spans="1:6" x14ac:dyDescent="0.25">
      <c r="A552" s="56">
        <v>117004243.8</v>
      </c>
      <c r="C552" s="21">
        <v>547000000</v>
      </c>
      <c r="D552" s="22">
        <v>1</v>
      </c>
      <c r="E552" s="23">
        <f t="shared" si="16"/>
        <v>1E-4</v>
      </c>
      <c r="F552" s="23">
        <f t="shared" si="17"/>
        <v>0.9901999999999932</v>
      </c>
    </row>
    <row r="553" spans="1:6" x14ac:dyDescent="0.25">
      <c r="A553" s="56">
        <v>168468228.09999999</v>
      </c>
      <c r="C553" s="21">
        <v>548000000</v>
      </c>
      <c r="D553" s="22">
        <v>2</v>
      </c>
      <c r="E553" s="23">
        <f t="shared" si="16"/>
        <v>2.0000000000000001E-4</v>
      </c>
      <c r="F553" s="23">
        <f t="shared" si="17"/>
        <v>0.99039999999999317</v>
      </c>
    </row>
    <row r="554" spans="1:6" x14ac:dyDescent="0.25">
      <c r="A554" s="56">
        <v>71740616</v>
      </c>
      <c r="C554" s="21">
        <v>549000000</v>
      </c>
      <c r="D554" s="22">
        <v>1</v>
      </c>
      <c r="E554" s="23">
        <f t="shared" si="16"/>
        <v>1E-4</v>
      </c>
      <c r="F554" s="23">
        <f t="shared" si="17"/>
        <v>0.99049999999999316</v>
      </c>
    </row>
    <row r="555" spans="1:6" x14ac:dyDescent="0.25">
      <c r="A555" s="56">
        <v>0</v>
      </c>
      <c r="C555" s="21">
        <v>550000000</v>
      </c>
      <c r="D555" s="22">
        <v>1</v>
      </c>
      <c r="E555" s="23">
        <f t="shared" si="16"/>
        <v>1E-4</v>
      </c>
      <c r="F555" s="23">
        <f t="shared" si="17"/>
        <v>0.99059999999999315</v>
      </c>
    </row>
    <row r="556" spans="1:6" x14ac:dyDescent="0.25">
      <c r="A556" s="56">
        <v>354306591.69999999</v>
      </c>
      <c r="C556" s="21">
        <v>551000000</v>
      </c>
      <c r="D556" s="22">
        <v>0</v>
      </c>
      <c r="E556" s="23">
        <f t="shared" si="16"/>
        <v>0</v>
      </c>
      <c r="F556" s="23">
        <f t="shared" si="17"/>
        <v>0.99059999999999315</v>
      </c>
    </row>
    <row r="557" spans="1:6" x14ac:dyDescent="0.25">
      <c r="A557" s="56">
        <v>37791000</v>
      </c>
      <c r="C557" s="21">
        <v>552000000</v>
      </c>
      <c r="D557" s="22">
        <v>1</v>
      </c>
      <c r="E557" s="23">
        <f t="shared" si="16"/>
        <v>1E-4</v>
      </c>
      <c r="F557" s="23">
        <f t="shared" si="17"/>
        <v>0.99069999999999314</v>
      </c>
    </row>
    <row r="558" spans="1:6" x14ac:dyDescent="0.25">
      <c r="A558" s="56">
        <v>13494177.4</v>
      </c>
      <c r="C558" s="21">
        <v>553000000</v>
      </c>
      <c r="D558" s="22">
        <v>1</v>
      </c>
      <c r="E558" s="23">
        <f t="shared" si="16"/>
        <v>1E-4</v>
      </c>
      <c r="F558" s="23">
        <f t="shared" si="17"/>
        <v>0.99079999999999313</v>
      </c>
    </row>
    <row r="559" spans="1:6" x14ac:dyDescent="0.25">
      <c r="A559" s="56">
        <v>0</v>
      </c>
      <c r="C559" s="21">
        <v>554000000</v>
      </c>
      <c r="D559" s="22">
        <v>0</v>
      </c>
      <c r="E559" s="23">
        <f t="shared" si="16"/>
        <v>0</v>
      </c>
      <c r="F559" s="23">
        <f t="shared" si="17"/>
        <v>0.99079999999999313</v>
      </c>
    </row>
    <row r="560" spans="1:6" x14ac:dyDescent="0.25">
      <c r="A560" s="56">
        <v>0</v>
      </c>
      <c r="C560" s="21">
        <v>555000000</v>
      </c>
      <c r="D560" s="22">
        <v>1</v>
      </c>
      <c r="E560" s="23">
        <f t="shared" si="16"/>
        <v>1E-4</v>
      </c>
      <c r="F560" s="23">
        <f t="shared" si="17"/>
        <v>0.99089999999999312</v>
      </c>
    </row>
    <row r="561" spans="1:7" x14ac:dyDescent="0.25">
      <c r="A561" s="56">
        <v>48609127</v>
      </c>
      <c r="C561" s="21">
        <v>556000000</v>
      </c>
      <c r="D561" s="22">
        <v>1</v>
      </c>
      <c r="E561" s="23">
        <f t="shared" si="16"/>
        <v>1E-4</v>
      </c>
      <c r="F561" s="23">
        <f t="shared" si="17"/>
        <v>0.99099999999999311</v>
      </c>
    </row>
    <row r="562" spans="1:7" x14ac:dyDescent="0.25">
      <c r="A562" s="56">
        <v>670186.4</v>
      </c>
      <c r="C562" s="21">
        <v>557000000</v>
      </c>
      <c r="D562" s="22">
        <v>1</v>
      </c>
      <c r="E562" s="23">
        <f t="shared" si="16"/>
        <v>1E-4</v>
      </c>
      <c r="F562" s="23">
        <f t="shared" si="17"/>
        <v>0.9910999999999931</v>
      </c>
    </row>
    <row r="563" spans="1:7" x14ac:dyDescent="0.25">
      <c r="A563" s="56">
        <v>54819865</v>
      </c>
      <c r="C563" s="21">
        <v>558000000</v>
      </c>
      <c r="D563" s="22">
        <v>0</v>
      </c>
      <c r="E563" s="23">
        <f t="shared" si="16"/>
        <v>0</v>
      </c>
      <c r="F563" s="23">
        <f t="shared" si="17"/>
        <v>0.9910999999999931</v>
      </c>
    </row>
    <row r="564" spans="1:7" x14ac:dyDescent="0.25">
      <c r="A564" s="56">
        <v>0</v>
      </c>
      <c r="C564" s="21">
        <v>559000000</v>
      </c>
      <c r="D564" s="22">
        <v>0</v>
      </c>
      <c r="E564" s="23">
        <f t="shared" si="16"/>
        <v>0</v>
      </c>
      <c r="F564" s="23">
        <f t="shared" si="17"/>
        <v>0.9910999999999931</v>
      </c>
    </row>
    <row r="565" spans="1:7" x14ac:dyDescent="0.25">
      <c r="A565" s="56">
        <v>22864403.199999999</v>
      </c>
      <c r="C565" s="21">
        <v>560000000</v>
      </c>
      <c r="D565" s="22">
        <v>0</v>
      </c>
      <c r="E565" s="23">
        <f t="shared" si="16"/>
        <v>0</v>
      </c>
      <c r="F565" s="23">
        <f t="shared" si="17"/>
        <v>0.9910999999999931</v>
      </c>
    </row>
    <row r="566" spans="1:7" x14ac:dyDescent="0.25">
      <c r="A566" s="56">
        <v>187087788.09999999</v>
      </c>
      <c r="C566" s="21">
        <v>561000000</v>
      </c>
      <c r="D566" s="22">
        <v>2</v>
      </c>
      <c r="E566" s="23">
        <f t="shared" si="16"/>
        <v>2.0000000000000001E-4</v>
      </c>
      <c r="F566" s="23">
        <f t="shared" si="17"/>
        <v>0.99129999999999308</v>
      </c>
    </row>
    <row r="567" spans="1:7" x14ac:dyDescent="0.25">
      <c r="A567" s="56">
        <v>0</v>
      </c>
      <c r="C567" s="21">
        <v>562000000</v>
      </c>
      <c r="D567" s="22">
        <v>1</v>
      </c>
      <c r="E567" s="23">
        <f t="shared" si="16"/>
        <v>1E-4</v>
      </c>
      <c r="F567" s="23">
        <f t="shared" si="17"/>
        <v>0.99139999999999306</v>
      </c>
    </row>
    <row r="568" spans="1:7" x14ac:dyDescent="0.25">
      <c r="A568" s="56">
        <v>0</v>
      </c>
      <c r="C568" s="21">
        <v>563000000</v>
      </c>
      <c r="D568" s="22">
        <v>1</v>
      </c>
      <c r="E568" s="23">
        <f t="shared" si="16"/>
        <v>1E-4</v>
      </c>
      <c r="F568" s="23">
        <f t="shared" si="17"/>
        <v>0.99149999999999305</v>
      </c>
    </row>
    <row r="569" spans="1:7" x14ac:dyDescent="0.25">
      <c r="A569" s="56">
        <v>84854030</v>
      </c>
      <c r="C569" s="21">
        <v>564000000</v>
      </c>
      <c r="D569" s="22">
        <v>2</v>
      </c>
      <c r="E569" s="23">
        <f t="shared" si="16"/>
        <v>2.0000000000000001E-4</v>
      </c>
      <c r="F569" s="23">
        <f t="shared" si="17"/>
        <v>0.99169999999999303</v>
      </c>
      <c r="G569" t="s">
        <v>64</v>
      </c>
    </row>
    <row r="570" spans="1:7" x14ac:dyDescent="0.25">
      <c r="A570" s="56">
        <v>21713724.399999999</v>
      </c>
      <c r="C570" s="11">
        <v>565000000</v>
      </c>
      <c r="D570" s="12">
        <v>0</v>
      </c>
      <c r="E570" s="13">
        <f t="shared" si="16"/>
        <v>0</v>
      </c>
      <c r="F570" s="13">
        <f t="shared" si="17"/>
        <v>0.99169999999999303</v>
      </c>
    </row>
    <row r="571" spans="1:7" x14ac:dyDescent="0.25">
      <c r="A571" s="56">
        <v>3026817.6</v>
      </c>
      <c r="C571" s="11">
        <v>566000000</v>
      </c>
      <c r="D571" s="12">
        <v>0</v>
      </c>
      <c r="E571" s="13">
        <f t="shared" si="16"/>
        <v>0</v>
      </c>
      <c r="F571" s="13">
        <f t="shared" si="17"/>
        <v>0.99169999999999303</v>
      </c>
    </row>
    <row r="572" spans="1:7" x14ac:dyDescent="0.25">
      <c r="A572" s="56">
        <v>14114789.800000001</v>
      </c>
      <c r="C572" s="11">
        <v>567000000</v>
      </c>
      <c r="D572" s="12">
        <v>1</v>
      </c>
      <c r="E572" s="13">
        <f t="shared" si="16"/>
        <v>1E-4</v>
      </c>
      <c r="F572" s="13">
        <f t="shared" si="17"/>
        <v>0.99179999999999302</v>
      </c>
    </row>
    <row r="573" spans="1:7" x14ac:dyDescent="0.25">
      <c r="A573" s="56">
        <v>0</v>
      </c>
      <c r="C573" s="11">
        <v>568000000</v>
      </c>
      <c r="D573" s="12">
        <v>0</v>
      </c>
      <c r="E573" s="13">
        <f t="shared" si="16"/>
        <v>0</v>
      </c>
      <c r="F573" s="13">
        <f t="shared" si="17"/>
        <v>0.99179999999999302</v>
      </c>
    </row>
    <row r="574" spans="1:7" x14ac:dyDescent="0.25">
      <c r="A574" s="56">
        <v>14588046.4</v>
      </c>
      <c r="C574" s="11">
        <v>569000000</v>
      </c>
      <c r="D574" s="12">
        <v>0</v>
      </c>
      <c r="E574" s="13">
        <f t="shared" si="16"/>
        <v>0</v>
      </c>
      <c r="F574" s="13">
        <f t="shared" si="17"/>
        <v>0.99179999999999302</v>
      </c>
    </row>
    <row r="575" spans="1:7" x14ac:dyDescent="0.25">
      <c r="A575" s="56">
        <v>2830885.8</v>
      </c>
      <c r="C575" s="11">
        <v>570000000</v>
      </c>
      <c r="D575" s="12">
        <v>0</v>
      </c>
      <c r="E575" s="13">
        <f t="shared" si="16"/>
        <v>0</v>
      </c>
      <c r="F575" s="13">
        <f t="shared" si="17"/>
        <v>0.99179999999999302</v>
      </c>
    </row>
    <row r="576" spans="1:7" x14ac:dyDescent="0.25">
      <c r="A576" s="56">
        <v>14498111.4</v>
      </c>
      <c r="C576" s="11">
        <v>571000000</v>
      </c>
      <c r="D576" s="12">
        <v>0</v>
      </c>
      <c r="E576" s="13">
        <f t="shared" si="16"/>
        <v>0</v>
      </c>
      <c r="F576" s="13">
        <f t="shared" si="17"/>
        <v>0.99179999999999302</v>
      </c>
    </row>
    <row r="577" spans="1:6" x14ac:dyDescent="0.25">
      <c r="A577" s="56">
        <v>2477086.2000000002</v>
      </c>
      <c r="C577" s="11">
        <v>572000000</v>
      </c>
      <c r="D577" s="12">
        <v>0</v>
      </c>
      <c r="E577" s="13">
        <f t="shared" si="16"/>
        <v>0</v>
      </c>
      <c r="F577" s="13">
        <f t="shared" si="17"/>
        <v>0.99179999999999302</v>
      </c>
    </row>
    <row r="578" spans="1:6" x14ac:dyDescent="0.25">
      <c r="A578" s="56">
        <v>163551874.90000001</v>
      </c>
      <c r="C578" s="11">
        <v>573000000</v>
      </c>
      <c r="D578" s="12">
        <v>1</v>
      </c>
      <c r="E578" s="13">
        <f t="shared" si="16"/>
        <v>1E-4</v>
      </c>
      <c r="F578" s="13">
        <f t="shared" si="17"/>
        <v>0.99189999999999301</v>
      </c>
    </row>
    <row r="579" spans="1:6" x14ac:dyDescent="0.25">
      <c r="A579" s="56">
        <v>21923717</v>
      </c>
      <c r="C579" s="11">
        <v>574000000</v>
      </c>
      <c r="D579" s="12">
        <v>0</v>
      </c>
      <c r="E579" s="13">
        <f t="shared" si="16"/>
        <v>0</v>
      </c>
      <c r="F579" s="13">
        <f t="shared" si="17"/>
        <v>0.99189999999999301</v>
      </c>
    </row>
    <row r="580" spans="1:6" x14ac:dyDescent="0.25">
      <c r="A580" s="56">
        <v>61235680.399999902</v>
      </c>
      <c r="C580" s="11">
        <v>575000000</v>
      </c>
      <c r="D580" s="12">
        <v>0</v>
      </c>
      <c r="E580" s="13">
        <f t="shared" si="16"/>
        <v>0</v>
      </c>
      <c r="F580" s="13">
        <f t="shared" si="17"/>
        <v>0.99189999999999301</v>
      </c>
    </row>
    <row r="581" spans="1:6" x14ac:dyDescent="0.25">
      <c r="A581" s="56">
        <v>0</v>
      </c>
      <c r="C581" s="11">
        <v>576000000</v>
      </c>
      <c r="D581" s="12">
        <v>0</v>
      </c>
      <c r="E581" s="13">
        <f t="shared" ref="E581:E644" si="18">D581/10000</f>
        <v>0</v>
      </c>
      <c r="F581" s="13">
        <f t="shared" si="17"/>
        <v>0.99189999999999301</v>
      </c>
    </row>
    <row r="582" spans="1:6" x14ac:dyDescent="0.25">
      <c r="A582" s="56">
        <v>20080418</v>
      </c>
      <c r="C582" s="11">
        <v>577000000</v>
      </c>
      <c r="D582" s="12">
        <v>2</v>
      </c>
      <c r="E582" s="13">
        <f t="shared" si="18"/>
        <v>2.0000000000000001E-4</v>
      </c>
      <c r="F582" s="13">
        <f t="shared" ref="F582:F645" si="19">E582+F581</f>
        <v>0.99209999999999299</v>
      </c>
    </row>
    <row r="583" spans="1:6" x14ac:dyDescent="0.25">
      <c r="A583" s="56">
        <v>6850645.6999999899</v>
      </c>
      <c r="C583" s="11">
        <v>578000000</v>
      </c>
      <c r="D583" s="12">
        <v>1</v>
      </c>
      <c r="E583" s="13">
        <f t="shared" si="18"/>
        <v>1E-4</v>
      </c>
      <c r="F583" s="13">
        <f t="shared" si="19"/>
        <v>0.99219999999999298</v>
      </c>
    </row>
    <row r="584" spans="1:6" x14ac:dyDescent="0.25">
      <c r="A584" s="56">
        <v>18482510.300000001</v>
      </c>
      <c r="C584" s="11">
        <v>579000000</v>
      </c>
      <c r="D584" s="12">
        <v>1</v>
      </c>
      <c r="E584" s="13">
        <f t="shared" si="18"/>
        <v>1E-4</v>
      </c>
      <c r="F584" s="13">
        <f t="shared" si="19"/>
        <v>0.99229999999999297</v>
      </c>
    </row>
    <row r="585" spans="1:6" x14ac:dyDescent="0.25">
      <c r="A585" s="56">
        <v>0</v>
      </c>
      <c r="C585" s="11">
        <v>580000000</v>
      </c>
      <c r="D585" s="12">
        <v>1</v>
      </c>
      <c r="E585" s="13">
        <f t="shared" si="18"/>
        <v>1E-4</v>
      </c>
      <c r="F585" s="13">
        <f t="shared" si="19"/>
        <v>0.99239999999999295</v>
      </c>
    </row>
    <row r="586" spans="1:6" x14ac:dyDescent="0.25">
      <c r="A586" s="56">
        <v>36913896.899999999</v>
      </c>
      <c r="C586" s="11">
        <v>581000000</v>
      </c>
      <c r="D586" s="12">
        <v>1</v>
      </c>
      <c r="E586" s="13">
        <f t="shared" si="18"/>
        <v>1E-4</v>
      </c>
      <c r="F586" s="13">
        <f t="shared" si="19"/>
        <v>0.99249999999999294</v>
      </c>
    </row>
    <row r="587" spans="1:6" x14ac:dyDescent="0.25">
      <c r="A587" s="56">
        <v>49468748.600000001</v>
      </c>
      <c r="C587" s="11">
        <v>582000000</v>
      </c>
      <c r="D587" s="12">
        <v>0</v>
      </c>
      <c r="E587" s="13">
        <f t="shared" si="18"/>
        <v>0</v>
      </c>
      <c r="F587" s="13">
        <f t="shared" si="19"/>
        <v>0.99249999999999294</v>
      </c>
    </row>
    <row r="588" spans="1:6" x14ac:dyDescent="0.25">
      <c r="A588" s="56">
        <v>6634909.3999999901</v>
      </c>
      <c r="C588" s="11">
        <v>583000000</v>
      </c>
      <c r="D588" s="12">
        <v>2</v>
      </c>
      <c r="E588" s="13">
        <f t="shared" si="18"/>
        <v>2.0000000000000001E-4</v>
      </c>
      <c r="F588" s="13">
        <f t="shared" si="19"/>
        <v>0.99269999999999292</v>
      </c>
    </row>
    <row r="589" spans="1:6" x14ac:dyDescent="0.25">
      <c r="A589" s="56">
        <v>42939571.200000003</v>
      </c>
      <c r="C589" s="11">
        <v>584000000</v>
      </c>
      <c r="D589" s="12">
        <v>0</v>
      </c>
      <c r="E589" s="13">
        <f t="shared" si="18"/>
        <v>0</v>
      </c>
      <c r="F589" s="13">
        <f t="shared" si="19"/>
        <v>0.99269999999999292</v>
      </c>
    </row>
    <row r="590" spans="1:6" x14ac:dyDescent="0.25">
      <c r="A590" s="56">
        <v>215652340.80000001</v>
      </c>
      <c r="C590" s="11">
        <v>585000000</v>
      </c>
      <c r="D590" s="12">
        <v>0</v>
      </c>
      <c r="E590" s="13">
        <f t="shared" si="18"/>
        <v>0</v>
      </c>
      <c r="F590" s="13">
        <f t="shared" si="19"/>
        <v>0.99269999999999292</v>
      </c>
    </row>
    <row r="591" spans="1:6" x14ac:dyDescent="0.25">
      <c r="A591" s="56">
        <v>254132603.19999999</v>
      </c>
      <c r="C591" s="11">
        <v>586000000</v>
      </c>
      <c r="D591" s="12">
        <v>1</v>
      </c>
      <c r="E591" s="13">
        <f t="shared" si="18"/>
        <v>1E-4</v>
      </c>
      <c r="F591" s="13">
        <f t="shared" si="19"/>
        <v>0.99279999999999291</v>
      </c>
    </row>
    <row r="592" spans="1:6" x14ac:dyDescent="0.25">
      <c r="A592" s="56">
        <v>144706284.80000001</v>
      </c>
      <c r="C592" s="11">
        <v>587000000</v>
      </c>
      <c r="D592" s="12">
        <v>1</v>
      </c>
      <c r="E592" s="13">
        <f t="shared" si="18"/>
        <v>1E-4</v>
      </c>
      <c r="F592" s="13">
        <f t="shared" si="19"/>
        <v>0.9928999999999929</v>
      </c>
    </row>
    <row r="593" spans="1:6" x14ac:dyDescent="0.25">
      <c r="A593" s="56">
        <v>14432431.1</v>
      </c>
      <c r="C593" s="11">
        <v>588000000</v>
      </c>
      <c r="D593" s="12">
        <v>0</v>
      </c>
      <c r="E593" s="13">
        <f t="shared" si="18"/>
        <v>0</v>
      </c>
      <c r="F593" s="13">
        <f t="shared" si="19"/>
        <v>0.9928999999999929</v>
      </c>
    </row>
    <row r="594" spans="1:6" x14ac:dyDescent="0.25">
      <c r="A594" s="56">
        <v>0</v>
      </c>
      <c r="C594" s="11">
        <v>589000000</v>
      </c>
      <c r="D594" s="12">
        <v>0</v>
      </c>
      <c r="E594" s="13">
        <f t="shared" si="18"/>
        <v>0</v>
      </c>
      <c r="F594" s="13">
        <f t="shared" si="19"/>
        <v>0.9928999999999929</v>
      </c>
    </row>
    <row r="595" spans="1:6" x14ac:dyDescent="0.25">
      <c r="A595" s="56">
        <v>31961945</v>
      </c>
      <c r="C595" s="11">
        <v>590000000</v>
      </c>
      <c r="D595" s="12">
        <v>1</v>
      </c>
      <c r="E595" s="13">
        <f t="shared" si="18"/>
        <v>1E-4</v>
      </c>
      <c r="F595" s="13">
        <f t="shared" si="19"/>
        <v>0.99299999999999289</v>
      </c>
    </row>
    <row r="596" spans="1:6" x14ac:dyDescent="0.25">
      <c r="A596" s="56">
        <v>25785570</v>
      </c>
      <c r="C596" s="11">
        <v>591000000</v>
      </c>
      <c r="D596" s="12">
        <v>0</v>
      </c>
      <c r="E596" s="13">
        <f t="shared" si="18"/>
        <v>0</v>
      </c>
      <c r="F596" s="13">
        <f t="shared" si="19"/>
        <v>0.99299999999999289</v>
      </c>
    </row>
    <row r="597" spans="1:6" x14ac:dyDescent="0.25">
      <c r="A597" s="56">
        <v>6627180.6999999899</v>
      </c>
      <c r="C597" s="11">
        <v>592000000</v>
      </c>
      <c r="D597" s="12">
        <v>1</v>
      </c>
      <c r="E597" s="13">
        <f t="shared" si="18"/>
        <v>1E-4</v>
      </c>
      <c r="F597" s="13">
        <f t="shared" si="19"/>
        <v>0.99309999999999288</v>
      </c>
    </row>
    <row r="598" spans="1:6" x14ac:dyDescent="0.25">
      <c r="A598" s="56">
        <v>41806676.799999997</v>
      </c>
      <c r="C598" s="11">
        <v>593000000</v>
      </c>
      <c r="D598" s="12">
        <v>0</v>
      </c>
      <c r="E598" s="13">
        <f t="shared" si="18"/>
        <v>0</v>
      </c>
      <c r="F598" s="13">
        <f t="shared" si="19"/>
        <v>0.99309999999999288</v>
      </c>
    </row>
    <row r="599" spans="1:6" x14ac:dyDescent="0.25">
      <c r="A599" s="56">
        <v>97825102.699999899</v>
      </c>
      <c r="C599" s="11">
        <v>594000000</v>
      </c>
      <c r="D599" s="12">
        <v>2</v>
      </c>
      <c r="E599" s="13">
        <f t="shared" si="18"/>
        <v>2.0000000000000001E-4</v>
      </c>
      <c r="F599" s="13">
        <f t="shared" si="19"/>
        <v>0.99329999999999286</v>
      </c>
    </row>
    <row r="600" spans="1:6" x14ac:dyDescent="0.25">
      <c r="A600" s="56">
        <v>52488120.799999997</v>
      </c>
      <c r="C600" s="11">
        <v>595000000</v>
      </c>
      <c r="D600" s="12">
        <v>0</v>
      </c>
      <c r="E600" s="13">
        <f t="shared" si="18"/>
        <v>0</v>
      </c>
      <c r="F600" s="13">
        <f t="shared" si="19"/>
        <v>0.99329999999999286</v>
      </c>
    </row>
    <row r="601" spans="1:6" x14ac:dyDescent="0.25">
      <c r="A601" s="56">
        <v>15972970.199999999</v>
      </c>
      <c r="C601" s="11">
        <v>596000000</v>
      </c>
      <c r="D601" s="12">
        <v>1</v>
      </c>
      <c r="E601" s="13">
        <f t="shared" si="18"/>
        <v>1E-4</v>
      </c>
      <c r="F601" s="13">
        <f t="shared" si="19"/>
        <v>0.99339999999999284</v>
      </c>
    </row>
    <row r="602" spans="1:6" x14ac:dyDescent="0.25">
      <c r="A602" s="56">
        <v>1088311.6000000001</v>
      </c>
      <c r="C602" s="11">
        <v>597000000</v>
      </c>
      <c r="D602" s="12">
        <v>0</v>
      </c>
      <c r="E602" s="13">
        <f t="shared" si="18"/>
        <v>0</v>
      </c>
      <c r="F602" s="13">
        <f t="shared" si="19"/>
        <v>0.99339999999999284</v>
      </c>
    </row>
    <row r="603" spans="1:6" x14ac:dyDescent="0.25">
      <c r="A603" s="56">
        <v>0</v>
      </c>
      <c r="C603" s="11">
        <v>598000000</v>
      </c>
      <c r="D603" s="12">
        <v>0</v>
      </c>
      <c r="E603" s="13">
        <f t="shared" si="18"/>
        <v>0</v>
      </c>
      <c r="F603" s="13">
        <f t="shared" si="19"/>
        <v>0.99339999999999284</v>
      </c>
    </row>
    <row r="604" spans="1:6" x14ac:dyDescent="0.25">
      <c r="A604" s="56">
        <v>213043067.5</v>
      </c>
      <c r="C604" s="11">
        <v>599000000</v>
      </c>
      <c r="D604" s="12">
        <v>0</v>
      </c>
      <c r="E604" s="13">
        <f t="shared" si="18"/>
        <v>0</v>
      </c>
      <c r="F604" s="13">
        <f t="shared" si="19"/>
        <v>0.99339999999999284</v>
      </c>
    </row>
    <row r="605" spans="1:6" x14ac:dyDescent="0.25">
      <c r="A605" s="56">
        <v>3777781.2</v>
      </c>
      <c r="C605" s="11">
        <v>600000000</v>
      </c>
      <c r="D605" s="12">
        <v>2</v>
      </c>
      <c r="E605" s="13">
        <f t="shared" si="18"/>
        <v>2.0000000000000001E-4</v>
      </c>
      <c r="F605" s="13">
        <f t="shared" si="19"/>
        <v>0.99359999999999282</v>
      </c>
    </row>
    <row r="606" spans="1:6" x14ac:dyDescent="0.25">
      <c r="A606" s="56">
        <v>12483552</v>
      </c>
      <c r="C606" s="11">
        <v>601000000</v>
      </c>
      <c r="D606" s="12">
        <v>0</v>
      </c>
      <c r="E606" s="13">
        <f t="shared" si="18"/>
        <v>0</v>
      </c>
      <c r="F606" s="13">
        <f t="shared" si="19"/>
        <v>0.99359999999999282</v>
      </c>
    </row>
    <row r="607" spans="1:6" x14ac:dyDescent="0.25">
      <c r="A607" s="56">
        <v>101212832.7</v>
      </c>
      <c r="C607" s="11">
        <v>602000000</v>
      </c>
      <c r="D607" s="12">
        <v>0</v>
      </c>
      <c r="E607" s="13">
        <f t="shared" si="18"/>
        <v>0</v>
      </c>
      <c r="F607" s="13">
        <f t="shared" si="19"/>
        <v>0.99359999999999282</v>
      </c>
    </row>
    <row r="608" spans="1:6" x14ac:dyDescent="0.25">
      <c r="A608" s="56">
        <v>31552068.899999999</v>
      </c>
      <c r="C608" s="11">
        <v>603000000</v>
      </c>
      <c r="D608" s="12">
        <v>0</v>
      </c>
      <c r="E608" s="13">
        <f t="shared" si="18"/>
        <v>0</v>
      </c>
      <c r="F608" s="13">
        <f t="shared" si="19"/>
        <v>0.99359999999999282</v>
      </c>
    </row>
    <row r="609" spans="1:6" x14ac:dyDescent="0.25">
      <c r="A609" s="56">
        <v>0</v>
      </c>
      <c r="C609" s="11">
        <v>604000000</v>
      </c>
      <c r="D609" s="12">
        <v>1</v>
      </c>
      <c r="E609" s="13">
        <f t="shared" si="18"/>
        <v>1E-4</v>
      </c>
      <c r="F609" s="13">
        <f t="shared" si="19"/>
        <v>0.99369999999999281</v>
      </c>
    </row>
    <row r="610" spans="1:6" x14ac:dyDescent="0.25">
      <c r="A610" s="56">
        <v>73972068.699999899</v>
      </c>
      <c r="C610" s="11">
        <v>605000000</v>
      </c>
      <c r="D610" s="12">
        <v>0</v>
      </c>
      <c r="E610" s="13">
        <f t="shared" si="18"/>
        <v>0</v>
      </c>
      <c r="F610" s="13">
        <f t="shared" si="19"/>
        <v>0.99369999999999281</v>
      </c>
    </row>
    <row r="611" spans="1:6" x14ac:dyDescent="0.25">
      <c r="A611" s="56">
        <v>54152803</v>
      </c>
      <c r="C611" s="11">
        <v>606000000</v>
      </c>
      <c r="D611" s="12">
        <v>0</v>
      </c>
      <c r="E611" s="13">
        <f t="shared" si="18"/>
        <v>0</v>
      </c>
      <c r="F611" s="13">
        <f t="shared" si="19"/>
        <v>0.99369999999999281</v>
      </c>
    </row>
    <row r="612" spans="1:6" x14ac:dyDescent="0.25">
      <c r="A612" s="56">
        <v>11458064.800000001</v>
      </c>
      <c r="C612" s="11">
        <v>607000000</v>
      </c>
      <c r="D612" s="12">
        <v>1</v>
      </c>
      <c r="E612" s="13">
        <f t="shared" si="18"/>
        <v>1E-4</v>
      </c>
      <c r="F612" s="13">
        <f t="shared" si="19"/>
        <v>0.9937999999999928</v>
      </c>
    </row>
    <row r="613" spans="1:6" x14ac:dyDescent="0.25">
      <c r="A613" s="56">
        <v>13663383.9</v>
      </c>
      <c r="C613" s="11">
        <v>608000000</v>
      </c>
      <c r="D613" s="12">
        <v>1</v>
      </c>
      <c r="E613" s="13">
        <f t="shared" si="18"/>
        <v>1E-4</v>
      </c>
      <c r="F613" s="13">
        <f t="shared" si="19"/>
        <v>0.99389999999999279</v>
      </c>
    </row>
    <row r="614" spans="1:6" x14ac:dyDescent="0.25">
      <c r="A614" s="56">
        <v>0</v>
      </c>
      <c r="C614" s="11">
        <v>609000000</v>
      </c>
      <c r="D614" s="12">
        <v>1</v>
      </c>
      <c r="E614" s="13">
        <f t="shared" si="18"/>
        <v>1E-4</v>
      </c>
      <c r="F614" s="13">
        <f t="shared" si="19"/>
        <v>0.99399999999999278</v>
      </c>
    </row>
    <row r="615" spans="1:6" x14ac:dyDescent="0.25">
      <c r="A615" s="56">
        <v>49159775.200000003</v>
      </c>
      <c r="C615" s="11">
        <v>610000000</v>
      </c>
      <c r="D615" s="12">
        <v>0</v>
      </c>
      <c r="E615" s="13">
        <f t="shared" si="18"/>
        <v>0</v>
      </c>
      <c r="F615" s="13">
        <f t="shared" si="19"/>
        <v>0.99399999999999278</v>
      </c>
    </row>
    <row r="616" spans="1:6" x14ac:dyDescent="0.25">
      <c r="A616" s="56">
        <v>26667886.600000001</v>
      </c>
      <c r="C616" s="11">
        <v>611000000</v>
      </c>
      <c r="D616" s="12">
        <v>0</v>
      </c>
      <c r="E616" s="13">
        <f t="shared" si="18"/>
        <v>0</v>
      </c>
      <c r="F616" s="13">
        <f t="shared" si="19"/>
        <v>0.99399999999999278</v>
      </c>
    </row>
    <row r="617" spans="1:6" x14ac:dyDescent="0.25">
      <c r="A617" s="56">
        <v>65287119.5</v>
      </c>
      <c r="C617" s="11">
        <v>612000000</v>
      </c>
      <c r="D617" s="12">
        <v>1</v>
      </c>
      <c r="E617" s="13">
        <f t="shared" si="18"/>
        <v>1E-4</v>
      </c>
      <c r="F617" s="13">
        <f t="shared" si="19"/>
        <v>0.99409999999999277</v>
      </c>
    </row>
    <row r="618" spans="1:6" x14ac:dyDescent="0.25">
      <c r="A618" s="56">
        <v>18757383.699999999</v>
      </c>
      <c r="C618" s="11">
        <v>613000000</v>
      </c>
      <c r="D618" s="12">
        <v>0</v>
      </c>
      <c r="E618" s="13">
        <f t="shared" si="18"/>
        <v>0</v>
      </c>
      <c r="F618" s="13">
        <f t="shared" si="19"/>
        <v>0.99409999999999277</v>
      </c>
    </row>
    <row r="619" spans="1:6" x14ac:dyDescent="0.25">
      <c r="A619" s="56">
        <v>20613107.800000001</v>
      </c>
      <c r="C619" s="11">
        <v>614000000</v>
      </c>
      <c r="D619" s="12">
        <v>0</v>
      </c>
      <c r="E619" s="13">
        <f t="shared" si="18"/>
        <v>0</v>
      </c>
      <c r="F619" s="13">
        <f t="shared" si="19"/>
        <v>0.99409999999999277</v>
      </c>
    </row>
    <row r="620" spans="1:6" x14ac:dyDescent="0.25">
      <c r="A620" s="56">
        <v>5437305.2000000002</v>
      </c>
      <c r="C620" s="11">
        <v>615000000</v>
      </c>
      <c r="D620" s="12">
        <v>0</v>
      </c>
      <c r="E620" s="13">
        <f t="shared" si="18"/>
        <v>0</v>
      </c>
      <c r="F620" s="13">
        <f t="shared" si="19"/>
        <v>0.99409999999999277</v>
      </c>
    </row>
    <row r="621" spans="1:6" x14ac:dyDescent="0.25">
      <c r="A621" s="56">
        <v>172294865.59999999</v>
      </c>
      <c r="C621" s="11">
        <v>616000000</v>
      </c>
      <c r="D621" s="12">
        <v>1</v>
      </c>
      <c r="E621" s="13">
        <f t="shared" si="18"/>
        <v>1E-4</v>
      </c>
      <c r="F621" s="13">
        <f t="shared" si="19"/>
        <v>0.99419999999999276</v>
      </c>
    </row>
    <row r="622" spans="1:6" x14ac:dyDescent="0.25">
      <c r="A622" s="56">
        <v>12963903.4</v>
      </c>
      <c r="C622" s="11">
        <v>617000000</v>
      </c>
      <c r="D622" s="12">
        <v>1</v>
      </c>
      <c r="E622" s="13">
        <f t="shared" si="18"/>
        <v>1E-4</v>
      </c>
      <c r="F622" s="13">
        <f t="shared" si="19"/>
        <v>0.99429999999999275</v>
      </c>
    </row>
    <row r="623" spans="1:6" x14ac:dyDescent="0.25">
      <c r="A623" s="56">
        <v>961041.2</v>
      </c>
      <c r="C623" s="11">
        <v>618000000</v>
      </c>
      <c r="D623" s="12">
        <v>0</v>
      </c>
      <c r="E623" s="13">
        <f t="shared" si="18"/>
        <v>0</v>
      </c>
      <c r="F623" s="13">
        <f t="shared" si="19"/>
        <v>0.99429999999999275</v>
      </c>
    </row>
    <row r="624" spans="1:6" x14ac:dyDescent="0.25">
      <c r="A624" s="56">
        <v>20943800.899999999</v>
      </c>
      <c r="C624" s="11">
        <v>619000000</v>
      </c>
      <c r="D624" s="12">
        <v>0</v>
      </c>
      <c r="E624" s="13">
        <f t="shared" si="18"/>
        <v>0</v>
      </c>
      <c r="F624" s="13">
        <f t="shared" si="19"/>
        <v>0.99429999999999275</v>
      </c>
    </row>
    <row r="625" spans="1:6" x14ac:dyDescent="0.25">
      <c r="A625" s="56">
        <v>1890445.2</v>
      </c>
      <c r="C625" s="11">
        <v>620000000</v>
      </c>
      <c r="D625" s="12">
        <v>1</v>
      </c>
      <c r="E625" s="13">
        <f t="shared" si="18"/>
        <v>1E-4</v>
      </c>
      <c r="F625" s="13">
        <f t="shared" si="19"/>
        <v>0.99439999999999273</v>
      </c>
    </row>
    <row r="626" spans="1:6" x14ac:dyDescent="0.25">
      <c r="A626" s="56">
        <v>0</v>
      </c>
      <c r="C626" s="11">
        <v>621000000</v>
      </c>
      <c r="D626" s="12">
        <v>2</v>
      </c>
      <c r="E626" s="13">
        <f t="shared" si="18"/>
        <v>2.0000000000000001E-4</v>
      </c>
      <c r="F626" s="13">
        <f t="shared" si="19"/>
        <v>0.99459999999999271</v>
      </c>
    </row>
    <row r="627" spans="1:6" x14ac:dyDescent="0.25">
      <c r="A627" s="56">
        <v>0</v>
      </c>
      <c r="C627" s="11">
        <v>622000000</v>
      </c>
      <c r="D627" s="12">
        <v>0</v>
      </c>
      <c r="E627" s="13">
        <f t="shared" si="18"/>
        <v>0</v>
      </c>
      <c r="F627" s="13">
        <f t="shared" si="19"/>
        <v>0.99459999999999271</v>
      </c>
    </row>
    <row r="628" spans="1:6" x14ac:dyDescent="0.25">
      <c r="A628" s="56">
        <v>684564.4</v>
      </c>
      <c r="C628" s="11">
        <v>623000000</v>
      </c>
      <c r="D628" s="12">
        <v>0</v>
      </c>
      <c r="E628" s="13">
        <f t="shared" si="18"/>
        <v>0</v>
      </c>
      <c r="F628" s="13">
        <f t="shared" si="19"/>
        <v>0.99459999999999271</v>
      </c>
    </row>
    <row r="629" spans="1:6" x14ac:dyDescent="0.25">
      <c r="A629" s="56">
        <v>68339923.599999994</v>
      </c>
      <c r="C629" s="11">
        <v>624000000</v>
      </c>
      <c r="D629" s="12">
        <v>0</v>
      </c>
      <c r="E629" s="13">
        <f t="shared" si="18"/>
        <v>0</v>
      </c>
      <c r="F629" s="13">
        <f t="shared" si="19"/>
        <v>0.99459999999999271</v>
      </c>
    </row>
    <row r="630" spans="1:6" x14ac:dyDescent="0.25">
      <c r="A630" s="56">
        <v>38099715.299999997</v>
      </c>
      <c r="C630" s="11">
        <v>625000000</v>
      </c>
      <c r="D630" s="12">
        <v>0</v>
      </c>
      <c r="E630" s="13">
        <f t="shared" si="18"/>
        <v>0</v>
      </c>
      <c r="F630" s="13">
        <f t="shared" si="19"/>
        <v>0.99459999999999271</v>
      </c>
    </row>
    <row r="631" spans="1:6" x14ac:dyDescent="0.25">
      <c r="A631" s="56">
        <v>16770639</v>
      </c>
      <c r="C631" s="11">
        <v>626000000</v>
      </c>
      <c r="D631" s="12">
        <v>0</v>
      </c>
      <c r="E631" s="13">
        <f t="shared" si="18"/>
        <v>0</v>
      </c>
      <c r="F631" s="13">
        <f t="shared" si="19"/>
        <v>0.99459999999999271</v>
      </c>
    </row>
    <row r="632" spans="1:6" x14ac:dyDescent="0.25">
      <c r="A632" s="56">
        <v>7706187.9999999898</v>
      </c>
      <c r="C632" s="11">
        <v>627000000</v>
      </c>
      <c r="D632" s="12">
        <v>0</v>
      </c>
      <c r="E632" s="13">
        <f t="shared" si="18"/>
        <v>0</v>
      </c>
      <c r="F632" s="13">
        <f t="shared" si="19"/>
        <v>0.99459999999999271</v>
      </c>
    </row>
    <row r="633" spans="1:6" x14ac:dyDescent="0.25">
      <c r="A633" s="56">
        <v>126270425.3</v>
      </c>
      <c r="C633" s="11">
        <v>628000000</v>
      </c>
      <c r="D633" s="12">
        <v>0</v>
      </c>
      <c r="E633" s="13">
        <f t="shared" si="18"/>
        <v>0</v>
      </c>
      <c r="F633" s="13">
        <f t="shared" si="19"/>
        <v>0.99459999999999271</v>
      </c>
    </row>
    <row r="634" spans="1:6" x14ac:dyDescent="0.25">
      <c r="A634" s="56">
        <v>2980255.2</v>
      </c>
      <c r="C634" s="11">
        <v>629000000</v>
      </c>
      <c r="D634" s="12">
        <v>0</v>
      </c>
      <c r="E634" s="13">
        <f t="shared" si="18"/>
        <v>0</v>
      </c>
      <c r="F634" s="13">
        <f t="shared" si="19"/>
        <v>0.99459999999999271</v>
      </c>
    </row>
    <row r="635" spans="1:6" x14ac:dyDescent="0.25">
      <c r="A635" s="56">
        <v>5557554.4000000004</v>
      </c>
      <c r="C635" s="11">
        <v>630000000</v>
      </c>
      <c r="D635" s="12">
        <v>0</v>
      </c>
      <c r="E635" s="13">
        <f t="shared" si="18"/>
        <v>0</v>
      </c>
      <c r="F635" s="13">
        <f t="shared" si="19"/>
        <v>0.99459999999999271</v>
      </c>
    </row>
    <row r="636" spans="1:6" x14ac:dyDescent="0.25">
      <c r="A636" s="56">
        <v>15636363</v>
      </c>
      <c r="C636" s="11">
        <v>631000000</v>
      </c>
      <c r="D636" s="12">
        <v>0</v>
      </c>
      <c r="E636" s="13">
        <f t="shared" si="18"/>
        <v>0</v>
      </c>
      <c r="F636" s="13">
        <f t="shared" si="19"/>
        <v>0.99459999999999271</v>
      </c>
    </row>
    <row r="637" spans="1:6" x14ac:dyDescent="0.25">
      <c r="A637" s="56">
        <v>6907844.4000000004</v>
      </c>
      <c r="C637" s="11">
        <v>632000000</v>
      </c>
      <c r="D637" s="12">
        <v>0</v>
      </c>
      <c r="E637" s="13">
        <f t="shared" si="18"/>
        <v>0</v>
      </c>
      <c r="F637" s="13">
        <f t="shared" si="19"/>
        <v>0.99459999999999271</v>
      </c>
    </row>
    <row r="638" spans="1:6" x14ac:dyDescent="0.25">
      <c r="A638" s="56">
        <v>82248796.099999905</v>
      </c>
      <c r="C638" s="11">
        <v>633000000</v>
      </c>
      <c r="D638" s="12">
        <v>1</v>
      </c>
      <c r="E638" s="13">
        <f t="shared" si="18"/>
        <v>1E-4</v>
      </c>
      <c r="F638" s="13">
        <f t="shared" si="19"/>
        <v>0.9946999999999927</v>
      </c>
    </row>
    <row r="639" spans="1:6" x14ac:dyDescent="0.25">
      <c r="A639" s="56">
        <v>216458238.09999999</v>
      </c>
      <c r="C639" s="11">
        <v>634000000</v>
      </c>
      <c r="D639" s="12">
        <v>0</v>
      </c>
      <c r="E639" s="13">
        <f t="shared" si="18"/>
        <v>0</v>
      </c>
      <c r="F639" s="13">
        <f t="shared" si="19"/>
        <v>0.9946999999999927</v>
      </c>
    </row>
    <row r="640" spans="1:6" x14ac:dyDescent="0.25">
      <c r="A640" s="56">
        <v>0</v>
      </c>
      <c r="C640" s="11">
        <v>635000000</v>
      </c>
      <c r="D640" s="12">
        <v>0</v>
      </c>
      <c r="E640" s="13">
        <f t="shared" si="18"/>
        <v>0</v>
      </c>
      <c r="F640" s="13">
        <f t="shared" si="19"/>
        <v>0.9946999999999927</v>
      </c>
    </row>
    <row r="641" spans="1:6" x14ac:dyDescent="0.25">
      <c r="A641" s="56">
        <v>2976542</v>
      </c>
      <c r="C641" s="11">
        <v>636000000</v>
      </c>
      <c r="D641" s="12">
        <v>1</v>
      </c>
      <c r="E641" s="13">
        <f t="shared" si="18"/>
        <v>1E-4</v>
      </c>
      <c r="F641" s="13">
        <f t="shared" si="19"/>
        <v>0.99479999999999269</v>
      </c>
    </row>
    <row r="642" spans="1:6" x14ac:dyDescent="0.25">
      <c r="A642" s="56">
        <v>3426131.4</v>
      </c>
      <c r="C642" s="11">
        <v>637000000</v>
      </c>
      <c r="D642" s="12">
        <v>1</v>
      </c>
      <c r="E642" s="13">
        <f t="shared" si="18"/>
        <v>1E-4</v>
      </c>
      <c r="F642" s="13">
        <f t="shared" si="19"/>
        <v>0.99489999999999268</v>
      </c>
    </row>
    <row r="643" spans="1:6" x14ac:dyDescent="0.25">
      <c r="A643" s="56">
        <v>0</v>
      </c>
      <c r="C643" s="11">
        <v>638000000</v>
      </c>
      <c r="D643" s="12">
        <v>1</v>
      </c>
      <c r="E643" s="13">
        <f t="shared" si="18"/>
        <v>1E-4</v>
      </c>
      <c r="F643" s="13">
        <f t="shared" si="19"/>
        <v>0.99499999999999267</v>
      </c>
    </row>
    <row r="644" spans="1:6" x14ac:dyDescent="0.25">
      <c r="A644" s="56">
        <v>961851.2</v>
      </c>
      <c r="C644" s="11">
        <v>639000000</v>
      </c>
      <c r="D644" s="12">
        <v>0</v>
      </c>
      <c r="E644" s="13">
        <f t="shared" si="18"/>
        <v>0</v>
      </c>
      <c r="F644" s="13">
        <f t="shared" si="19"/>
        <v>0.99499999999999267</v>
      </c>
    </row>
    <row r="645" spans="1:6" x14ac:dyDescent="0.25">
      <c r="A645" s="56">
        <v>368179215.69999897</v>
      </c>
      <c r="C645" s="11">
        <v>640000000</v>
      </c>
      <c r="D645" s="12">
        <v>0</v>
      </c>
      <c r="E645" s="13">
        <f t="shared" ref="E645:E708" si="20">D645/10000</f>
        <v>0</v>
      </c>
      <c r="F645" s="13">
        <f t="shared" si="19"/>
        <v>0.99499999999999267</v>
      </c>
    </row>
    <row r="646" spans="1:6" x14ac:dyDescent="0.25">
      <c r="A646" s="56">
        <v>0</v>
      </c>
      <c r="C646" s="11">
        <v>641000000</v>
      </c>
      <c r="D646" s="12">
        <v>0</v>
      </c>
      <c r="E646" s="13">
        <f t="shared" si="20"/>
        <v>0</v>
      </c>
      <c r="F646" s="13">
        <f t="shared" ref="F646:F709" si="21">E646+F645</f>
        <v>0.99499999999999267</v>
      </c>
    </row>
    <row r="647" spans="1:6" x14ac:dyDescent="0.25">
      <c r="A647" s="56">
        <v>11823063.300000001</v>
      </c>
      <c r="C647" s="11">
        <v>642000000</v>
      </c>
      <c r="D647" s="12">
        <v>0</v>
      </c>
      <c r="E647" s="13">
        <f t="shared" si="20"/>
        <v>0</v>
      </c>
      <c r="F647" s="13">
        <f t="shared" si="21"/>
        <v>0.99499999999999267</v>
      </c>
    </row>
    <row r="648" spans="1:6" x14ac:dyDescent="0.25">
      <c r="A648" s="56">
        <v>6517010.0999999996</v>
      </c>
      <c r="C648" s="11">
        <v>643000000</v>
      </c>
      <c r="D648" s="12">
        <v>0</v>
      </c>
      <c r="E648" s="13">
        <f t="shared" si="20"/>
        <v>0</v>
      </c>
      <c r="F648" s="13">
        <f t="shared" si="21"/>
        <v>0.99499999999999267</v>
      </c>
    </row>
    <row r="649" spans="1:6" x14ac:dyDescent="0.25">
      <c r="A649" s="56">
        <v>19383919.5</v>
      </c>
      <c r="C649" s="11">
        <v>644000000</v>
      </c>
      <c r="D649" s="12">
        <v>0</v>
      </c>
      <c r="E649" s="13">
        <f t="shared" si="20"/>
        <v>0</v>
      </c>
      <c r="F649" s="13">
        <f t="shared" si="21"/>
        <v>0.99499999999999267</v>
      </c>
    </row>
    <row r="650" spans="1:6" x14ac:dyDescent="0.25">
      <c r="A650" s="56">
        <v>22606488.800000001</v>
      </c>
      <c r="C650" s="11">
        <v>645000000</v>
      </c>
      <c r="D650" s="12">
        <v>0</v>
      </c>
      <c r="E650" s="13">
        <f t="shared" si="20"/>
        <v>0</v>
      </c>
      <c r="F650" s="13">
        <f t="shared" si="21"/>
        <v>0.99499999999999267</v>
      </c>
    </row>
    <row r="651" spans="1:6" x14ac:dyDescent="0.25">
      <c r="A651" s="56">
        <v>4122052.2</v>
      </c>
      <c r="C651" s="11">
        <v>646000000</v>
      </c>
      <c r="D651" s="12">
        <v>0</v>
      </c>
      <c r="E651" s="13">
        <f t="shared" si="20"/>
        <v>0</v>
      </c>
      <c r="F651" s="13">
        <f t="shared" si="21"/>
        <v>0.99499999999999267</v>
      </c>
    </row>
    <row r="652" spans="1:6" x14ac:dyDescent="0.25">
      <c r="A652" s="56">
        <v>0</v>
      </c>
      <c r="C652" s="11">
        <v>647000000</v>
      </c>
      <c r="D652" s="12">
        <v>0</v>
      </c>
      <c r="E652" s="13">
        <f t="shared" si="20"/>
        <v>0</v>
      </c>
      <c r="F652" s="13">
        <f t="shared" si="21"/>
        <v>0.99499999999999267</v>
      </c>
    </row>
    <row r="653" spans="1:6" x14ac:dyDescent="0.25">
      <c r="A653" s="56">
        <v>101470417.2</v>
      </c>
      <c r="C653" s="11">
        <v>648000000</v>
      </c>
      <c r="D653" s="12">
        <v>0</v>
      </c>
      <c r="E653" s="13">
        <f t="shared" si="20"/>
        <v>0</v>
      </c>
      <c r="F653" s="13">
        <f t="shared" si="21"/>
        <v>0.99499999999999267</v>
      </c>
    </row>
    <row r="654" spans="1:6" x14ac:dyDescent="0.25">
      <c r="A654" s="56">
        <v>49475125.299999997</v>
      </c>
      <c r="C654" s="11">
        <v>649000000</v>
      </c>
      <c r="D654" s="12">
        <v>0</v>
      </c>
      <c r="E654" s="13">
        <f t="shared" si="20"/>
        <v>0</v>
      </c>
      <c r="F654" s="13">
        <f t="shared" si="21"/>
        <v>0.99499999999999267</v>
      </c>
    </row>
    <row r="655" spans="1:6" x14ac:dyDescent="0.25">
      <c r="A655" s="56">
        <v>8901179.3000000007</v>
      </c>
      <c r="C655" s="11">
        <v>650000000</v>
      </c>
      <c r="D655" s="12">
        <v>0</v>
      </c>
      <c r="E655" s="13">
        <f t="shared" si="20"/>
        <v>0</v>
      </c>
      <c r="F655" s="13">
        <f t="shared" si="21"/>
        <v>0.99499999999999267</v>
      </c>
    </row>
    <row r="656" spans="1:6" x14ac:dyDescent="0.25">
      <c r="A656" s="56">
        <v>4531559.1999999899</v>
      </c>
      <c r="C656" s="11">
        <v>651000000</v>
      </c>
      <c r="D656" s="12">
        <v>2</v>
      </c>
      <c r="E656" s="13">
        <f t="shared" si="20"/>
        <v>2.0000000000000001E-4</v>
      </c>
      <c r="F656" s="13">
        <f t="shared" si="21"/>
        <v>0.99519999999999265</v>
      </c>
    </row>
    <row r="657" spans="1:6" x14ac:dyDescent="0.25">
      <c r="A657" s="56">
        <v>83682892.099999905</v>
      </c>
      <c r="C657" s="11">
        <v>652000000</v>
      </c>
      <c r="D657" s="12">
        <v>0</v>
      </c>
      <c r="E657" s="13">
        <f t="shared" si="20"/>
        <v>0</v>
      </c>
      <c r="F657" s="13">
        <f t="shared" si="21"/>
        <v>0.99519999999999265</v>
      </c>
    </row>
    <row r="658" spans="1:6" x14ac:dyDescent="0.25">
      <c r="A658" s="56">
        <v>13136952.699999999</v>
      </c>
      <c r="C658" s="11">
        <v>653000000</v>
      </c>
      <c r="D658" s="12">
        <v>0</v>
      </c>
      <c r="E658" s="13">
        <f t="shared" si="20"/>
        <v>0</v>
      </c>
      <c r="F658" s="13">
        <f t="shared" si="21"/>
        <v>0.99519999999999265</v>
      </c>
    </row>
    <row r="659" spans="1:6" x14ac:dyDescent="0.25">
      <c r="A659" s="56">
        <v>56242984.799999997</v>
      </c>
      <c r="C659" s="11">
        <v>654000000</v>
      </c>
      <c r="D659" s="12">
        <v>0</v>
      </c>
      <c r="E659" s="13">
        <f t="shared" si="20"/>
        <v>0</v>
      </c>
      <c r="F659" s="13">
        <f t="shared" si="21"/>
        <v>0.99519999999999265</v>
      </c>
    </row>
    <row r="660" spans="1:6" x14ac:dyDescent="0.25">
      <c r="A660" s="56">
        <v>3516370.8</v>
      </c>
      <c r="C660" s="11">
        <v>655000000</v>
      </c>
      <c r="D660" s="12">
        <v>3</v>
      </c>
      <c r="E660" s="13">
        <f t="shared" si="20"/>
        <v>2.9999999999999997E-4</v>
      </c>
      <c r="F660" s="13">
        <f t="shared" si="21"/>
        <v>0.99549999999999261</v>
      </c>
    </row>
    <row r="661" spans="1:6" x14ac:dyDescent="0.25">
      <c r="A661" s="56">
        <v>209516313.19999999</v>
      </c>
      <c r="C661" s="11">
        <v>656000000</v>
      </c>
      <c r="D661" s="12">
        <v>0</v>
      </c>
      <c r="E661" s="13">
        <f t="shared" si="20"/>
        <v>0</v>
      </c>
      <c r="F661" s="13">
        <f t="shared" si="21"/>
        <v>0.99549999999999261</v>
      </c>
    </row>
    <row r="662" spans="1:6" x14ac:dyDescent="0.25">
      <c r="A662" s="56">
        <v>7416626.5999999996</v>
      </c>
      <c r="C662" s="11">
        <v>657000000</v>
      </c>
      <c r="D662" s="12">
        <v>1</v>
      </c>
      <c r="E662" s="13">
        <f t="shared" si="20"/>
        <v>1E-4</v>
      </c>
      <c r="F662" s="13">
        <f t="shared" si="21"/>
        <v>0.9955999999999926</v>
      </c>
    </row>
    <row r="663" spans="1:6" x14ac:dyDescent="0.25">
      <c r="A663" s="56">
        <v>56314138.799999997</v>
      </c>
      <c r="C663" s="11">
        <v>658000000</v>
      </c>
      <c r="D663" s="12">
        <v>2</v>
      </c>
      <c r="E663" s="13">
        <f t="shared" si="20"/>
        <v>2.0000000000000001E-4</v>
      </c>
      <c r="F663" s="13">
        <f t="shared" si="21"/>
        <v>0.99579999999999258</v>
      </c>
    </row>
    <row r="664" spans="1:6" x14ac:dyDescent="0.25">
      <c r="A664" s="56">
        <v>31321389</v>
      </c>
      <c r="C664" s="11">
        <v>659000000</v>
      </c>
      <c r="D664" s="12">
        <v>0</v>
      </c>
      <c r="E664" s="13">
        <f t="shared" si="20"/>
        <v>0</v>
      </c>
      <c r="F664" s="13">
        <f t="shared" si="21"/>
        <v>0.99579999999999258</v>
      </c>
    </row>
    <row r="665" spans="1:6" x14ac:dyDescent="0.25">
      <c r="A665" s="56">
        <v>36122623.100000001</v>
      </c>
      <c r="C665" s="11">
        <v>660000000</v>
      </c>
      <c r="D665" s="12">
        <v>0</v>
      </c>
      <c r="E665" s="13">
        <f t="shared" si="20"/>
        <v>0</v>
      </c>
      <c r="F665" s="13">
        <f t="shared" si="21"/>
        <v>0.99579999999999258</v>
      </c>
    </row>
    <row r="666" spans="1:6" x14ac:dyDescent="0.25">
      <c r="A666" s="56">
        <v>30537730.199999999</v>
      </c>
      <c r="C666" s="11">
        <v>661000000</v>
      </c>
      <c r="D666" s="12">
        <v>1</v>
      </c>
      <c r="E666" s="13">
        <f t="shared" si="20"/>
        <v>1E-4</v>
      </c>
      <c r="F666" s="13">
        <f t="shared" si="21"/>
        <v>0.99589999999999257</v>
      </c>
    </row>
    <row r="667" spans="1:6" x14ac:dyDescent="0.25">
      <c r="A667" s="56">
        <v>65568978.100000001</v>
      </c>
      <c r="C667" s="11">
        <v>662000000</v>
      </c>
      <c r="D667" s="12">
        <v>0</v>
      </c>
      <c r="E667" s="13">
        <f t="shared" si="20"/>
        <v>0</v>
      </c>
      <c r="F667" s="13">
        <f t="shared" si="21"/>
        <v>0.99589999999999257</v>
      </c>
    </row>
    <row r="668" spans="1:6" x14ac:dyDescent="0.25">
      <c r="A668" s="56">
        <v>16273797</v>
      </c>
      <c r="C668" s="11">
        <v>663000000</v>
      </c>
      <c r="D668" s="12">
        <v>0</v>
      </c>
      <c r="E668" s="13">
        <f t="shared" si="20"/>
        <v>0</v>
      </c>
      <c r="F668" s="13">
        <f t="shared" si="21"/>
        <v>0.99589999999999257</v>
      </c>
    </row>
    <row r="669" spans="1:6" x14ac:dyDescent="0.25">
      <c r="A669" s="56">
        <v>57575276.299999997</v>
      </c>
      <c r="C669" s="11">
        <v>664000000</v>
      </c>
      <c r="D669" s="12">
        <v>0</v>
      </c>
      <c r="E669" s="13">
        <f t="shared" si="20"/>
        <v>0</v>
      </c>
      <c r="F669" s="13">
        <f t="shared" si="21"/>
        <v>0.99589999999999257</v>
      </c>
    </row>
    <row r="670" spans="1:6" x14ac:dyDescent="0.25">
      <c r="A670" s="56">
        <v>9163009.3999999892</v>
      </c>
      <c r="C670" s="11">
        <v>665000000</v>
      </c>
      <c r="D670" s="12">
        <v>0</v>
      </c>
      <c r="E670" s="13">
        <f t="shared" si="20"/>
        <v>0</v>
      </c>
      <c r="F670" s="13">
        <f t="shared" si="21"/>
        <v>0.99589999999999257</v>
      </c>
    </row>
    <row r="671" spans="1:6" x14ac:dyDescent="0.25">
      <c r="A671" s="56">
        <v>54527253.200000003</v>
      </c>
      <c r="C671" s="11">
        <v>666000000</v>
      </c>
      <c r="D671" s="12">
        <v>0</v>
      </c>
      <c r="E671" s="13">
        <f t="shared" si="20"/>
        <v>0</v>
      </c>
      <c r="F671" s="13">
        <f t="shared" si="21"/>
        <v>0.99589999999999257</v>
      </c>
    </row>
    <row r="672" spans="1:6" x14ac:dyDescent="0.25">
      <c r="A672" s="56">
        <v>616642606.39999998</v>
      </c>
      <c r="C672" s="11">
        <v>667000000</v>
      </c>
      <c r="D672" s="12">
        <v>1</v>
      </c>
      <c r="E672" s="13">
        <f t="shared" si="20"/>
        <v>1E-4</v>
      </c>
      <c r="F672" s="13">
        <f t="shared" si="21"/>
        <v>0.99599999999999256</v>
      </c>
    </row>
    <row r="673" spans="1:6" x14ac:dyDescent="0.25">
      <c r="A673" s="56">
        <v>5274926.3</v>
      </c>
      <c r="C673" s="11">
        <v>668000000</v>
      </c>
      <c r="D673" s="12">
        <v>0</v>
      </c>
      <c r="E673" s="13">
        <f t="shared" si="20"/>
        <v>0</v>
      </c>
      <c r="F673" s="13">
        <f t="shared" si="21"/>
        <v>0.99599999999999256</v>
      </c>
    </row>
    <row r="674" spans="1:6" x14ac:dyDescent="0.25">
      <c r="A674" s="56">
        <v>394436134.60000002</v>
      </c>
      <c r="C674" s="11">
        <v>669000000</v>
      </c>
      <c r="D674" s="12">
        <v>0</v>
      </c>
      <c r="E674" s="13">
        <f t="shared" si="20"/>
        <v>0</v>
      </c>
      <c r="F674" s="13">
        <f t="shared" si="21"/>
        <v>0.99599999999999256</v>
      </c>
    </row>
    <row r="675" spans="1:6" x14ac:dyDescent="0.25">
      <c r="A675" s="56">
        <v>7583367.7999999998</v>
      </c>
      <c r="C675" s="11">
        <v>670000000</v>
      </c>
      <c r="D675" s="12">
        <v>0</v>
      </c>
      <c r="E675" s="13">
        <f t="shared" si="20"/>
        <v>0</v>
      </c>
      <c r="F675" s="13">
        <f t="shared" si="21"/>
        <v>0.99599999999999256</v>
      </c>
    </row>
    <row r="676" spans="1:6" x14ac:dyDescent="0.25">
      <c r="A676" s="56">
        <v>77373295.700000003</v>
      </c>
      <c r="C676" s="11">
        <v>671000000</v>
      </c>
      <c r="D676" s="12">
        <v>2</v>
      </c>
      <c r="E676" s="13">
        <f t="shared" si="20"/>
        <v>2.0000000000000001E-4</v>
      </c>
      <c r="F676" s="13">
        <f t="shared" si="21"/>
        <v>0.99619999999999254</v>
      </c>
    </row>
    <row r="677" spans="1:6" x14ac:dyDescent="0.25">
      <c r="A677" s="56">
        <v>485584224.69999999</v>
      </c>
      <c r="C677" s="11">
        <v>672000000</v>
      </c>
      <c r="D677" s="12">
        <v>0</v>
      </c>
      <c r="E677" s="13">
        <f t="shared" si="20"/>
        <v>0</v>
      </c>
      <c r="F677" s="13">
        <f t="shared" si="21"/>
        <v>0.99619999999999254</v>
      </c>
    </row>
    <row r="678" spans="1:6" x14ac:dyDescent="0.25">
      <c r="A678" s="56">
        <v>6463777.5999999996</v>
      </c>
      <c r="C678" s="11">
        <v>673000000</v>
      </c>
      <c r="D678" s="12">
        <v>0</v>
      </c>
      <c r="E678" s="13">
        <f t="shared" si="20"/>
        <v>0</v>
      </c>
      <c r="F678" s="13">
        <f t="shared" si="21"/>
        <v>0.99619999999999254</v>
      </c>
    </row>
    <row r="679" spans="1:6" x14ac:dyDescent="0.25">
      <c r="A679" s="56">
        <v>2685027</v>
      </c>
      <c r="C679" s="11">
        <v>674000000</v>
      </c>
      <c r="D679" s="12">
        <v>0</v>
      </c>
      <c r="E679" s="13">
        <f t="shared" si="20"/>
        <v>0</v>
      </c>
      <c r="F679" s="13">
        <f t="shared" si="21"/>
        <v>0.99619999999999254</v>
      </c>
    </row>
    <row r="680" spans="1:6" x14ac:dyDescent="0.25">
      <c r="A680" s="56">
        <v>116183810.3</v>
      </c>
      <c r="C680" s="11">
        <v>675000000</v>
      </c>
      <c r="D680" s="12">
        <v>1</v>
      </c>
      <c r="E680" s="13">
        <f t="shared" si="20"/>
        <v>1E-4</v>
      </c>
      <c r="F680" s="13">
        <f t="shared" si="21"/>
        <v>0.99629999999999252</v>
      </c>
    </row>
    <row r="681" spans="1:6" x14ac:dyDescent="0.25">
      <c r="A681" s="56">
        <v>577513902</v>
      </c>
      <c r="C681" s="11">
        <v>676000000</v>
      </c>
      <c r="D681" s="12">
        <v>0</v>
      </c>
      <c r="E681" s="13">
        <f t="shared" si="20"/>
        <v>0</v>
      </c>
      <c r="F681" s="13">
        <f t="shared" si="21"/>
        <v>0.99629999999999252</v>
      </c>
    </row>
    <row r="682" spans="1:6" x14ac:dyDescent="0.25">
      <c r="A682" s="56">
        <v>80791017</v>
      </c>
      <c r="C682" s="11">
        <v>677000000</v>
      </c>
      <c r="D682" s="12">
        <v>0</v>
      </c>
      <c r="E682" s="13">
        <f t="shared" si="20"/>
        <v>0</v>
      </c>
      <c r="F682" s="13">
        <f t="shared" si="21"/>
        <v>0.99629999999999252</v>
      </c>
    </row>
    <row r="683" spans="1:6" x14ac:dyDescent="0.25">
      <c r="A683" s="56">
        <v>7539132.2000000002</v>
      </c>
      <c r="C683" s="11">
        <v>678000000</v>
      </c>
      <c r="D683" s="12">
        <v>0</v>
      </c>
      <c r="E683" s="13">
        <f t="shared" si="20"/>
        <v>0</v>
      </c>
      <c r="F683" s="13">
        <f t="shared" si="21"/>
        <v>0.99629999999999252</v>
      </c>
    </row>
    <row r="684" spans="1:6" x14ac:dyDescent="0.25">
      <c r="A684" s="56">
        <v>611649435.60000002</v>
      </c>
      <c r="C684" s="11">
        <v>679000000</v>
      </c>
      <c r="D684" s="12">
        <v>0</v>
      </c>
      <c r="E684" s="13">
        <f t="shared" si="20"/>
        <v>0</v>
      </c>
      <c r="F684" s="13">
        <f t="shared" si="21"/>
        <v>0.99629999999999252</v>
      </c>
    </row>
    <row r="685" spans="1:6" x14ac:dyDescent="0.25">
      <c r="A685" s="56">
        <v>130364994.09999999</v>
      </c>
      <c r="C685" s="11">
        <v>680000000</v>
      </c>
      <c r="D685" s="12">
        <v>0</v>
      </c>
      <c r="E685" s="13">
        <f t="shared" si="20"/>
        <v>0</v>
      </c>
      <c r="F685" s="13">
        <f t="shared" si="21"/>
        <v>0.99629999999999252</v>
      </c>
    </row>
    <row r="686" spans="1:6" x14ac:dyDescent="0.25">
      <c r="A686" s="56">
        <v>31641344.5</v>
      </c>
      <c r="C686" s="11">
        <v>681000000</v>
      </c>
      <c r="D686" s="12">
        <v>1</v>
      </c>
      <c r="E686" s="13">
        <f t="shared" si="20"/>
        <v>1E-4</v>
      </c>
      <c r="F686" s="13">
        <f t="shared" si="21"/>
        <v>0.99639999999999251</v>
      </c>
    </row>
    <row r="687" spans="1:6" x14ac:dyDescent="0.25">
      <c r="A687" s="56">
        <v>24927719.300000001</v>
      </c>
      <c r="C687" s="11">
        <v>682000000</v>
      </c>
      <c r="D687" s="12">
        <v>2</v>
      </c>
      <c r="E687" s="13">
        <f t="shared" si="20"/>
        <v>2.0000000000000001E-4</v>
      </c>
      <c r="F687" s="13">
        <f t="shared" si="21"/>
        <v>0.99659999999999249</v>
      </c>
    </row>
    <row r="688" spans="1:6" x14ac:dyDescent="0.25">
      <c r="A688" s="56">
        <v>268704817.19999897</v>
      </c>
      <c r="C688" s="11">
        <v>683000000</v>
      </c>
      <c r="D688" s="12">
        <v>0</v>
      </c>
      <c r="E688" s="13">
        <f t="shared" si="20"/>
        <v>0</v>
      </c>
      <c r="F688" s="13">
        <f t="shared" si="21"/>
        <v>0.99659999999999249</v>
      </c>
    </row>
    <row r="689" spans="1:6" x14ac:dyDescent="0.25">
      <c r="A689" s="56">
        <v>9143611.6999999899</v>
      </c>
      <c r="C689" s="11">
        <v>684000000</v>
      </c>
      <c r="D689" s="12">
        <v>0</v>
      </c>
      <c r="E689" s="13">
        <f t="shared" si="20"/>
        <v>0</v>
      </c>
      <c r="F689" s="13">
        <f t="shared" si="21"/>
        <v>0.99659999999999249</v>
      </c>
    </row>
    <row r="690" spans="1:6" x14ac:dyDescent="0.25">
      <c r="A690" s="56">
        <v>220550723.40000001</v>
      </c>
      <c r="C690" s="11">
        <v>685000000</v>
      </c>
      <c r="D690" s="12">
        <v>0</v>
      </c>
      <c r="E690" s="13">
        <f t="shared" si="20"/>
        <v>0</v>
      </c>
      <c r="F690" s="13">
        <f t="shared" si="21"/>
        <v>0.99659999999999249</v>
      </c>
    </row>
    <row r="691" spans="1:6" x14ac:dyDescent="0.25">
      <c r="A691" s="56">
        <v>0</v>
      </c>
      <c r="C691" s="11">
        <v>686000000</v>
      </c>
      <c r="D691" s="12">
        <v>0</v>
      </c>
      <c r="E691" s="13">
        <f t="shared" si="20"/>
        <v>0</v>
      </c>
      <c r="F691" s="13">
        <f t="shared" si="21"/>
        <v>0.99659999999999249</v>
      </c>
    </row>
    <row r="692" spans="1:6" x14ac:dyDescent="0.25">
      <c r="A692" s="56">
        <v>12911640.199999999</v>
      </c>
      <c r="C692" s="11">
        <v>687000000</v>
      </c>
      <c r="D692" s="12">
        <v>1</v>
      </c>
      <c r="E692" s="13">
        <f t="shared" si="20"/>
        <v>1E-4</v>
      </c>
      <c r="F692" s="13">
        <f t="shared" si="21"/>
        <v>0.99669999999999248</v>
      </c>
    </row>
    <row r="693" spans="1:6" x14ac:dyDescent="0.25">
      <c r="A693" s="56">
        <v>10003005</v>
      </c>
      <c r="C693" s="11">
        <v>688000000</v>
      </c>
      <c r="D693" s="12">
        <v>0</v>
      </c>
      <c r="E693" s="13">
        <f t="shared" si="20"/>
        <v>0</v>
      </c>
      <c r="F693" s="13">
        <f t="shared" si="21"/>
        <v>0.99669999999999248</v>
      </c>
    </row>
    <row r="694" spans="1:6" x14ac:dyDescent="0.25">
      <c r="A694" s="56">
        <v>131838205.90000001</v>
      </c>
      <c r="C694" s="11">
        <v>689000000</v>
      </c>
      <c r="D694" s="12">
        <v>0</v>
      </c>
      <c r="E694" s="13">
        <f t="shared" si="20"/>
        <v>0</v>
      </c>
      <c r="F694" s="13">
        <f t="shared" si="21"/>
        <v>0.99669999999999248</v>
      </c>
    </row>
    <row r="695" spans="1:6" x14ac:dyDescent="0.25">
      <c r="A695" s="56">
        <v>0</v>
      </c>
      <c r="C695" s="11">
        <v>690000000</v>
      </c>
      <c r="D695" s="12">
        <v>0</v>
      </c>
      <c r="E695" s="13">
        <f t="shared" si="20"/>
        <v>0</v>
      </c>
      <c r="F695" s="13">
        <f t="shared" si="21"/>
        <v>0.99669999999999248</v>
      </c>
    </row>
    <row r="696" spans="1:6" x14ac:dyDescent="0.25">
      <c r="A696" s="56">
        <v>118901893.7</v>
      </c>
      <c r="C696" s="11">
        <v>691000000</v>
      </c>
      <c r="D696" s="12">
        <v>0</v>
      </c>
      <c r="E696" s="13">
        <f t="shared" si="20"/>
        <v>0</v>
      </c>
      <c r="F696" s="13">
        <f t="shared" si="21"/>
        <v>0.99669999999999248</v>
      </c>
    </row>
    <row r="697" spans="1:6" x14ac:dyDescent="0.25">
      <c r="A697" s="56">
        <v>116727845.8</v>
      </c>
      <c r="C697" s="11">
        <v>692000000</v>
      </c>
      <c r="D697" s="12">
        <v>0</v>
      </c>
      <c r="E697" s="13">
        <f t="shared" si="20"/>
        <v>0</v>
      </c>
      <c r="F697" s="13">
        <f t="shared" si="21"/>
        <v>0.99669999999999248</v>
      </c>
    </row>
    <row r="698" spans="1:6" x14ac:dyDescent="0.25">
      <c r="A698" s="56">
        <v>63341172.899999999</v>
      </c>
      <c r="C698" s="11">
        <v>693000000</v>
      </c>
      <c r="D698" s="12">
        <v>1</v>
      </c>
      <c r="E698" s="13">
        <f t="shared" si="20"/>
        <v>1E-4</v>
      </c>
      <c r="F698" s="13">
        <f t="shared" si="21"/>
        <v>0.99679999999999247</v>
      </c>
    </row>
    <row r="699" spans="1:6" x14ac:dyDescent="0.25">
      <c r="A699" s="56">
        <v>0</v>
      </c>
      <c r="C699" s="11">
        <v>694000000</v>
      </c>
      <c r="D699" s="12">
        <v>0</v>
      </c>
      <c r="E699" s="13">
        <f t="shared" si="20"/>
        <v>0</v>
      </c>
      <c r="F699" s="13">
        <f t="shared" si="21"/>
        <v>0.99679999999999247</v>
      </c>
    </row>
    <row r="700" spans="1:6" x14ac:dyDescent="0.25">
      <c r="A700" s="56">
        <v>38871366.899999999</v>
      </c>
      <c r="C700" s="11">
        <v>695000000</v>
      </c>
      <c r="D700" s="12">
        <v>1</v>
      </c>
      <c r="E700" s="13">
        <f t="shared" si="20"/>
        <v>1E-4</v>
      </c>
      <c r="F700" s="13">
        <f t="shared" si="21"/>
        <v>0.99689999999999246</v>
      </c>
    </row>
    <row r="701" spans="1:6" x14ac:dyDescent="0.25">
      <c r="A701" s="56">
        <v>0</v>
      </c>
      <c r="C701" s="11">
        <v>696000000</v>
      </c>
      <c r="D701" s="12">
        <v>0</v>
      </c>
      <c r="E701" s="13">
        <f t="shared" si="20"/>
        <v>0</v>
      </c>
      <c r="F701" s="13">
        <f t="shared" si="21"/>
        <v>0.99689999999999246</v>
      </c>
    </row>
    <row r="702" spans="1:6" x14ac:dyDescent="0.25">
      <c r="A702" s="56">
        <v>10008872.300000001</v>
      </c>
      <c r="C702" s="11">
        <v>697000000</v>
      </c>
      <c r="D702" s="12">
        <v>0</v>
      </c>
      <c r="E702" s="13">
        <f t="shared" si="20"/>
        <v>0</v>
      </c>
      <c r="F702" s="13">
        <f t="shared" si="21"/>
        <v>0.99689999999999246</v>
      </c>
    </row>
    <row r="703" spans="1:6" x14ac:dyDescent="0.25">
      <c r="A703" s="56">
        <v>0</v>
      </c>
      <c r="C703" s="11">
        <v>698000000</v>
      </c>
      <c r="D703" s="12">
        <v>0</v>
      </c>
      <c r="E703" s="13">
        <f t="shared" si="20"/>
        <v>0</v>
      </c>
      <c r="F703" s="13">
        <f t="shared" si="21"/>
        <v>0.99689999999999246</v>
      </c>
    </row>
    <row r="704" spans="1:6" x14ac:dyDescent="0.25">
      <c r="A704" s="56">
        <v>15558387.4</v>
      </c>
      <c r="C704" s="11">
        <v>699000000</v>
      </c>
      <c r="D704" s="12">
        <v>0</v>
      </c>
      <c r="E704" s="13">
        <f t="shared" si="20"/>
        <v>0</v>
      </c>
      <c r="F704" s="13">
        <f t="shared" si="21"/>
        <v>0.99689999999999246</v>
      </c>
    </row>
    <row r="705" spans="1:6" x14ac:dyDescent="0.25">
      <c r="A705" s="56">
        <v>0</v>
      </c>
      <c r="C705" s="11">
        <v>700000000</v>
      </c>
      <c r="D705" s="12">
        <v>0</v>
      </c>
      <c r="E705" s="13">
        <f t="shared" si="20"/>
        <v>0</v>
      </c>
      <c r="F705" s="13">
        <f t="shared" si="21"/>
        <v>0.99689999999999246</v>
      </c>
    </row>
    <row r="706" spans="1:6" x14ac:dyDescent="0.25">
      <c r="A706" s="56">
        <v>0</v>
      </c>
      <c r="C706" s="11">
        <v>701000000</v>
      </c>
      <c r="D706" s="12">
        <v>0</v>
      </c>
      <c r="E706" s="13">
        <f t="shared" si="20"/>
        <v>0</v>
      </c>
      <c r="F706" s="13">
        <f t="shared" si="21"/>
        <v>0.99689999999999246</v>
      </c>
    </row>
    <row r="707" spans="1:6" x14ac:dyDescent="0.25">
      <c r="A707" s="56">
        <v>0</v>
      </c>
      <c r="C707" s="11">
        <v>702000000</v>
      </c>
      <c r="D707" s="12">
        <v>0</v>
      </c>
      <c r="E707" s="13">
        <f t="shared" si="20"/>
        <v>0</v>
      </c>
      <c r="F707" s="13">
        <f t="shared" si="21"/>
        <v>0.99689999999999246</v>
      </c>
    </row>
    <row r="708" spans="1:6" x14ac:dyDescent="0.25">
      <c r="A708" s="56">
        <v>404506098.80000001</v>
      </c>
      <c r="C708" s="11">
        <v>703000000</v>
      </c>
      <c r="D708" s="12">
        <v>0</v>
      </c>
      <c r="E708" s="13">
        <f t="shared" si="20"/>
        <v>0</v>
      </c>
      <c r="F708" s="13">
        <f t="shared" si="21"/>
        <v>0.99689999999999246</v>
      </c>
    </row>
    <row r="709" spans="1:6" x14ac:dyDescent="0.25">
      <c r="A709" s="56">
        <v>21221520.800000001</v>
      </c>
      <c r="C709" s="11">
        <v>704000000</v>
      </c>
      <c r="D709" s="12">
        <v>0</v>
      </c>
      <c r="E709" s="13">
        <f t="shared" ref="E709:E772" si="22">D709/10000</f>
        <v>0</v>
      </c>
      <c r="F709" s="13">
        <f t="shared" si="21"/>
        <v>0.99689999999999246</v>
      </c>
    </row>
    <row r="710" spans="1:6" x14ac:dyDescent="0.25">
      <c r="A710" s="56">
        <v>158045276.30000001</v>
      </c>
      <c r="C710" s="11">
        <v>705000000</v>
      </c>
      <c r="D710" s="12">
        <v>1</v>
      </c>
      <c r="E710" s="13">
        <f t="shared" si="22"/>
        <v>1E-4</v>
      </c>
      <c r="F710" s="13">
        <f t="shared" ref="F710:F773" si="23">E710+F709</f>
        <v>0.99699999999999245</v>
      </c>
    </row>
    <row r="711" spans="1:6" x14ac:dyDescent="0.25">
      <c r="A711" s="56">
        <v>7643204.0999999996</v>
      </c>
      <c r="C711" s="11">
        <v>706000000</v>
      </c>
      <c r="D711" s="12">
        <v>0</v>
      </c>
      <c r="E711" s="13">
        <f t="shared" si="22"/>
        <v>0</v>
      </c>
      <c r="F711" s="13">
        <f t="shared" si="23"/>
        <v>0.99699999999999245</v>
      </c>
    </row>
    <row r="712" spans="1:6" x14ac:dyDescent="0.25">
      <c r="A712" s="56">
        <v>24036496.899999999</v>
      </c>
      <c r="C712" s="11">
        <v>707000000</v>
      </c>
      <c r="D712" s="12">
        <v>0</v>
      </c>
      <c r="E712" s="13">
        <f t="shared" si="22"/>
        <v>0</v>
      </c>
      <c r="F712" s="13">
        <f t="shared" si="23"/>
        <v>0.99699999999999245</v>
      </c>
    </row>
    <row r="713" spans="1:6" x14ac:dyDescent="0.25">
      <c r="A713" s="56">
        <v>13732549.1</v>
      </c>
      <c r="C713" s="11">
        <v>708000000</v>
      </c>
      <c r="D713" s="12">
        <v>0</v>
      </c>
      <c r="E713" s="13">
        <f t="shared" si="22"/>
        <v>0</v>
      </c>
      <c r="F713" s="13">
        <f t="shared" si="23"/>
        <v>0.99699999999999245</v>
      </c>
    </row>
    <row r="714" spans="1:6" x14ac:dyDescent="0.25">
      <c r="A714" s="56">
        <v>28720355.600000001</v>
      </c>
      <c r="C714" s="11">
        <v>709000000</v>
      </c>
      <c r="D714" s="12">
        <v>1</v>
      </c>
      <c r="E714" s="13">
        <f t="shared" si="22"/>
        <v>1E-4</v>
      </c>
      <c r="F714" s="13">
        <f t="shared" si="23"/>
        <v>0.99709999999999244</v>
      </c>
    </row>
    <row r="715" spans="1:6" x14ac:dyDescent="0.25">
      <c r="A715" s="56">
        <v>6718070.7999999998</v>
      </c>
      <c r="C715" s="11">
        <v>710000000</v>
      </c>
      <c r="D715" s="12">
        <v>0</v>
      </c>
      <c r="E715" s="13">
        <f t="shared" si="22"/>
        <v>0</v>
      </c>
      <c r="F715" s="13">
        <f t="shared" si="23"/>
        <v>0.99709999999999244</v>
      </c>
    </row>
    <row r="716" spans="1:6" x14ac:dyDescent="0.25">
      <c r="A716" s="56">
        <v>7573648.7999999998</v>
      </c>
      <c r="C716" s="11">
        <v>711000000</v>
      </c>
      <c r="D716" s="12">
        <v>0</v>
      </c>
      <c r="E716" s="13">
        <f t="shared" si="22"/>
        <v>0</v>
      </c>
      <c r="F716" s="13">
        <f t="shared" si="23"/>
        <v>0.99709999999999244</v>
      </c>
    </row>
    <row r="717" spans="1:6" x14ac:dyDescent="0.25">
      <c r="A717" s="56">
        <v>10025975</v>
      </c>
      <c r="C717" s="11">
        <v>712000000</v>
      </c>
      <c r="D717" s="12">
        <v>0</v>
      </c>
      <c r="E717" s="13">
        <f t="shared" si="22"/>
        <v>0</v>
      </c>
      <c r="F717" s="13">
        <f t="shared" si="23"/>
        <v>0.99709999999999244</v>
      </c>
    </row>
    <row r="718" spans="1:6" x14ac:dyDescent="0.25">
      <c r="A718" s="56">
        <v>253087.6</v>
      </c>
      <c r="C718" s="11">
        <v>713000000</v>
      </c>
      <c r="D718" s="12">
        <v>0</v>
      </c>
      <c r="E718" s="13">
        <f t="shared" si="22"/>
        <v>0</v>
      </c>
      <c r="F718" s="13">
        <f t="shared" si="23"/>
        <v>0.99709999999999244</v>
      </c>
    </row>
    <row r="719" spans="1:6" x14ac:dyDescent="0.25">
      <c r="A719" s="56">
        <v>90922194.299999997</v>
      </c>
      <c r="C719" s="11">
        <v>714000000</v>
      </c>
      <c r="D719" s="12">
        <v>0</v>
      </c>
      <c r="E719" s="13">
        <f t="shared" si="22"/>
        <v>0</v>
      </c>
      <c r="F719" s="13">
        <f t="shared" si="23"/>
        <v>0.99709999999999244</v>
      </c>
    </row>
    <row r="720" spans="1:6" x14ac:dyDescent="0.25">
      <c r="A720" s="56">
        <v>49146917.5</v>
      </c>
      <c r="C720" s="11">
        <v>715000000</v>
      </c>
      <c r="D720" s="12">
        <v>0</v>
      </c>
      <c r="E720" s="13">
        <f t="shared" si="22"/>
        <v>0</v>
      </c>
      <c r="F720" s="13">
        <f t="shared" si="23"/>
        <v>0.99709999999999244</v>
      </c>
    </row>
    <row r="721" spans="1:6" x14ac:dyDescent="0.25">
      <c r="A721" s="56">
        <v>0</v>
      </c>
      <c r="C721" s="11">
        <v>716000000</v>
      </c>
      <c r="D721" s="12">
        <v>1</v>
      </c>
      <c r="E721" s="13">
        <f t="shared" si="22"/>
        <v>1E-4</v>
      </c>
      <c r="F721" s="13">
        <f t="shared" si="23"/>
        <v>0.99719999999999243</v>
      </c>
    </row>
    <row r="722" spans="1:6" x14ac:dyDescent="0.25">
      <c r="A722" s="56">
        <v>3143493.6</v>
      </c>
      <c r="C722" s="11">
        <v>717000000</v>
      </c>
      <c r="D722" s="12">
        <v>0</v>
      </c>
      <c r="E722" s="13">
        <f t="shared" si="22"/>
        <v>0</v>
      </c>
      <c r="F722" s="13">
        <f t="shared" si="23"/>
        <v>0.99719999999999243</v>
      </c>
    </row>
    <row r="723" spans="1:6" x14ac:dyDescent="0.25">
      <c r="A723" s="56">
        <v>74287311.099999905</v>
      </c>
      <c r="C723" s="11">
        <v>718000000</v>
      </c>
      <c r="D723" s="12">
        <v>1</v>
      </c>
      <c r="E723" s="13">
        <f t="shared" si="22"/>
        <v>1E-4</v>
      </c>
      <c r="F723" s="13">
        <f t="shared" si="23"/>
        <v>0.99729999999999241</v>
      </c>
    </row>
    <row r="724" spans="1:6" x14ac:dyDescent="0.25">
      <c r="A724" s="56">
        <v>13675015.300000001</v>
      </c>
      <c r="C724" s="11">
        <v>719000000</v>
      </c>
      <c r="D724" s="12">
        <v>1</v>
      </c>
      <c r="E724" s="13">
        <f t="shared" si="22"/>
        <v>1E-4</v>
      </c>
      <c r="F724" s="13">
        <f t="shared" si="23"/>
        <v>0.9973999999999924</v>
      </c>
    </row>
    <row r="725" spans="1:6" x14ac:dyDescent="0.25">
      <c r="A725" s="56">
        <v>403683579.39999998</v>
      </c>
      <c r="C725" s="11">
        <v>720000000</v>
      </c>
      <c r="D725" s="12">
        <v>0</v>
      </c>
      <c r="E725" s="13">
        <f t="shared" si="22"/>
        <v>0</v>
      </c>
      <c r="F725" s="13">
        <f t="shared" si="23"/>
        <v>0.9973999999999924</v>
      </c>
    </row>
    <row r="726" spans="1:6" x14ac:dyDescent="0.25">
      <c r="A726" s="56">
        <v>2419782.6</v>
      </c>
      <c r="C726" s="11">
        <v>721000000</v>
      </c>
      <c r="D726" s="12">
        <v>0</v>
      </c>
      <c r="E726" s="13">
        <f t="shared" si="22"/>
        <v>0</v>
      </c>
      <c r="F726" s="13">
        <f t="shared" si="23"/>
        <v>0.9973999999999924</v>
      </c>
    </row>
    <row r="727" spans="1:6" x14ac:dyDescent="0.25">
      <c r="A727" s="56">
        <v>67536405.5</v>
      </c>
      <c r="C727" s="11">
        <v>722000000</v>
      </c>
      <c r="D727" s="12">
        <v>0</v>
      </c>
      <c r="E727" s="13">
        <f t="shared" si="22"/>
        <v>0</v>
      </c>
      <c r="F727" s="13">
        <f t="shared" si="23"/>
        <v>0.9973999999999924</v>
      </c>
    </row>
    <row r="728" spans="1:6" x14ac:dyDescent="0.25">
      <c r="A728" s="56">
        <v>27097915.399999999</v>
      </c>
      <c r="C728" s="11">
        <v>723000000</v>
      </c>
      <c r="D728" s="12">
        <v>0</v>
      </c>
      <c r="E728" s="13">
        <f t="shared" si="22"/>
        <v>0</v>
      </c>
      <c r="F728" s="13">
        <f t="shared" si="23"/>
        <v>0.9973999999999924</v>
      </c>
    </row>
    <row r="729" spans="1:6" x14ac:dyDescent="0.25">
      <c r="A729" s="56">
        <v>16126144.1</v>
      </c>
      <c r="C729" s="11">
        <v>724000000</v>
      </c>
      <c r="D729" s="12">
        <v>0</v>
      </c>
      <c r="E729" s="13">
        <f t="shared" si="22"/>
        <v>0</v>
      </c>
      <c r="F729" s="13">
        <f t="shared" si="23"/>
        <v>0.9973999999999924</v>
      </c>
    </row>
    <row r="730" spans="1:6" x14ac:dyDescent="0.25">
      <c r="A730" s="56">
        <v>0</v>
      </c>
      <c r="C730" s="11">
        <v>725000000</v>
      </c>
      <c r="D730" s="12">
        <v>0</v>
      </c>
      <c r="E730" s="13">
        <f t="shared" si="22"/>
        <v>0</v>
      </c>
      <c r="F730" s="13">
        <f t="shared" si="23"/>
        <v>0.9973999999999924</v>
      </c>
    </row>
    <row r="731" spans="1:6" x14ac:dyDescent="0.25">
      <c r="A731" s="56">
        <v>17461442.600000001</v>
      </c>
      <c r="C731" s="11">
        <v>726000000</v>
      </c>
      <c r="D731" s="12">
        <v>1</v>
      </c>
      <c r="E731" s="13">
        <f t="shared" si="22"/>
        <v>1E-4</v>
      </c>
      <c r="F731" s="13">
        <f t="shared" si="23"/>
        <v>0.99749999999999239</v>
      </c>
    </row>
    <row r="732" spans="1:6" x14ac:dyDescent="0.25">
      <c r="A732" s="56">
        <v>9309062.7999999896</v>
      </c>
      <c r="C732" s="11">
        <v>727000000</v>
      </c>
      <c r="D732" s="12">
        <v>0</v>
      </c>
      <c r="E732" s="13">
        <f t="shared" si="22"/>
        <v>0</v>
      </c>
      <c r="F732" s="13">
        <f t="shared" si="23"/>
        <v>0.99749999999999239</v>
      </c>
    </row>
    <row r="733" spans="1:6" x14ac:dyDescent="0.25">
      <c r="A733" s="56">
        <v>126877030.3</v>
      </c>
      <c r="C733" s="11">
        <v>728000000</v>
      </c>
      <c r="D733" s="12">
        <v>0</v>
      </c>
      <c r="E733" s="13">
        <f t="shared" si="22"/>
        <v>0</v>
      </c>
      <c r="F733" s="13">
        <f t="shared" si="23"/>
        <v>0.99749999999999239</v>
      </c>
    </row>
    <row r="734" spans="1:6" x14ac:dyDescent="0.25">
      <c r="A734" s="56">
        <v>75160987.5</v>
      </c>
      <c r="C734" s="11">
        <v>729000000</v>
      </c>
      <c r="D734" s="12">
        <v>0</v>
      </c>
      <c r="E734" s="13">
        <f t="shared" si="22"/>
        <v>0</v>
      </c>
      <c r="F734" s="13">
        <f t="shared" si="23"/>
        <v>0.99749999999999239</v>
      </c>
    </row>
    <row r="735" spans="1:6" x14ac:dyDescent="0.25">
      <c r="A735" s="56">
        <v>20543297.699999999</v>
      </c>
      <c r="C735" s="11">
        <v>730000000</v>
      </c>
      <c r="D735" s="12">
        <v>0</v>
      </c>
      <c r="E735" s="13">
        <f t="shared" si="22"/>
        <v>0</v>
      </c>
      <c r="F735" s="13">
        <f t="shared" si="23"/>
        <v>0.99749999999999239</v>
      </c>
    </row>
    <row r="736" spans="1:6" x14ac:dyDescent="0.25">
      <c r="A736" s="56">
        <v>62125924.299999997</v>
      </c>
      <c r="C736" s="11">
        <v>731000000</v>
      </c>
      <c r="D736" s="12">
        <v>0</v>
      </c>
      <c r="E736" s="13">
        <f t="shared" si="22"/>
        <v>0</v>
      </c>
      <c r="F736" s="13">
        <f t="shared" si="23"/>
        <v>0.99749999999999239</v>
      </c>
    </row>
    <row r="737" spans="1:6" x14ac:dyDescent="0.25">
      <c r="A737" s="56">
        <v>31377197.800000001</v>
      </c>
      <c r="C737" s="11">
        <v>732000000</v>
      </c>
      <c r="D737" s="12">
        <v>0</v>
      </c>
      <c r="E737" s="13">
        <f t="shared" si="22"/>
        <v>0</v>
      </c>
      <c r="F737" s="13">
        <f t="shared" si="23"/>
        <v>0.99749999999999239</v>
      </c>
    </row>
    <row r="738" spans="1:6" x14ac:dyDescent="0.25">
      <c r="A738" s="56">
        <v>19180729</v>
      </c>
      <c r="C738" s="11">
        <v>733000000</v>
      </c>
      <c r="D738" s="12">
        <v>0</v>
      </c>
      <c r="E738" s="13">
        <f t="shared" si="22"/>
        <v>0</v>
      </c>
      <c r="F738" s="13">
        <f t="shared" si="23"/>
        <v>0.99749999999999239</v>
      </c>
    </row>
    <row r="739" spans="1:6" x14ac:dyDescent="0.25">
      <c r="A739" s="56">
        <v>86836336.599999905</v>
      </c>
      <c r="C739" s="11">
        <v>734000000</v>
      </c>
      <c r="D739" s="12">
        <v>0</v>
      </c>
      <c r="E739" s="13">
        <f t="shared" si="22"/>
        <v>0</v>
      </c>
      <c r="F739" s="13">
        <f t="shared" si="23"/>
        <v>0.99749999999999239</v>
      </c>
    </row>
    <row r="740" spans="1:6" x14ac:dyDescent="0.25">
      <c r="A740" s="56">
        <v>145501530.40000001</v>
      </c>
      <c r="C740" s="11">
        <v>735000000</v>
      </c>
      <c r="D740" s="12">
        <v>0</v>
      </c>
      <c r="E740" s="13">
        <f t="shared" si="22"/>
        <v>0</v>
      </c>
      <c r="F740" s="13">
        <f t="shared" si="23"/>
        <v>0.99749999999999239</v>
      </c>
    </row>
    <row r="741" spans="1:6" x14ac:dyDescent="0.25">
      <c r="A741" s="56">
        <v>24166004.800000001</v>
      </c>
      <c r="C741" s="11">
        <v>736000000</v>
      </c>
      <c r="D741" s="12">
        <v>0</v>
      </c>
      <c r="E741" s="13">
        <f t="shared" si="22"/>
        <v>0</v>
      </c>
      <c r="F741" s="13">
        <f t="shared" si="23"/>
        <v>0.99749999999999239</v>
      </c>
    </row>
    <row r="742" spans="1:6" x14ac:dyDescent="0.25">
      <c r="A742" s="56">
        <v>12873310</v>
      </c>
      <c r="C742" s="11">
        <v>737000000</v>
      </c>
      <c r="D742" s="12">
        <v>0</v>
      </c>
      <c r="E742" s="13">
        <f t="shared" si="22"/>
        <v>0</v>
      </c>
      <c r="F742" s="13">
        <f t="shared" si="23"/>
        <v>0.99749999999999239</v>
      </c>
    </row>
    <row r="743" spans="1:6" x14ac:dyDescent="0.25">
      <c r="A743" s="56">
        <v>0</v>
      </c>
      <c r="C743" s="11">
        <v>738000000</v>
      </c>
      <c r="D743" s="12">
        <v>0</v>
      </c>
      <c r="E743" s="13">
        <f t="shared" si="22"/>
        <v>0</v>
      </c>
      <c r="F743" s="13">
        <f t="shared" si="23"/>
        <v>0.99749999999999239</v>
      </c>
    </row>
    <row r="744" spans="1:6" x14ac:dyDescent="0.25">
      <c r="A744" s="56">
        <v>0</v>
      </c>
      <c r="C744" s="11">
        <v>739000000</v>
      </c>
      <c r="D744" s="12">
        <v>1</v>
      </c>
      <c r="E744" s="13">
        <f t="shared" si="22"/>
        <v>1E-4</v>
      </c>
      <c r="F744" s="13">
        <f t="shared" si="23"/>
        <v>0.99759999999999238</v>
      </c>
    </row>
    <row r="745" spans="1:6" x14ac:dyDescent="0.25">
      <c r="A745" s="56">
        <v>5595573.8999999901</v>
      </c>
      <c r="C745" s="11">
        <v>740000000</v>
      </c>
      <c r="D745" s="12">
        <v>0</v>
      </c>
      <c r="E745" s="13">
        <f t="shared" si="22"/>
        <v>0</v>
      </c>
      <c r="F745" s="13">
        <f t="shared" si="23"/>
        <v>0.99759999999999238</v>
      </c>
    </row>
    <row r="746" spans="1:6" x14ac:dyDescent="0.25">
      <c r="A746" s="56">
        <v>112809181.40000001</v>
      </c>
      <c r="C746" s="11">
        <v>741000000</v>
      </c>
      <c r="D746" s="12">
        <v>0</v>
      </c>
      <c r="E746" s="13">
        <f t="shared" si="22"/>
        <v>0</v>
      </c>
      <c r="F746" s="13">
        <f t="shared" si="23"/>
        <v>0.99759999999999238</v>
      </c>
    </row>
    <row r="747" spans="1:6" x14ac:dyDescent="0.25">
      <c r="A747" s="56">
        <v>7267033</v>
      </c>
      <c r="C747" s="11">
        <v>742000000</v>
      </c>
      <c r="D747" s="12">
        <v>0</v>
      </c>
      <c r="E747" s="13">
        <f t="shared" si="22"/>
        <v>0</v>
      </c>
      <c r="F747" s="13">
        <f t="shared" si="23"/>
        <v>0.99759999999999238</v>
      </c>
    </row>
    <row r="748" spans="1:6" x14ac:dyDescent="0.25">
      <c r="A748" s="56">
        <v>48437440.299999997</v>
      </c>
      <c r="C748" s="11">
        <v>743000000</v>
      </c>
      <c r="D748" s="12">
        <v>0</v>
      </c>
      <c r="E748" s="13">
        <f t="shared" si="22"/>
        <v>0</v>
      </c>
      <c r="F748" s="13">
        <f t="shared" si="23"/>
        <v>0.99759999999999238</v>
      </c>
    </row>
    <row r="749" spans="1:6" x14ac:dyDescent="0.25">
      <c r="A749" s="56">
        <v>5033965.3</v>
      </c>
      <c r="C749" s="11">
        <v>744000000</v>
      </c>
      <c r="D749" s="12">
        <v>0</v>
      </c>
      <c r="E749" s="13">
        <f t="shared" si="22"/>
        <v>0</v>
      </c>
      <c r="F749" s="13">
        <f t="shared" si="23"/>
        <v>0.99759999999999238</v>
      </c>
    </row>
    <row r="750" spans="1:6" x14ac:dyDescent="0.25">
      <c r="A750" s="56">
        <v>122401061.90000001</v>
      </c>
      <c r="C750" s="11">
        <v>745000000</v>
      </c>
      <c r="D750" s="12">
        <v>0</v>
      </c>
      <c r="E750" s="13">
        <f t="shared" si="22"/>
        <v>0</v>
      </c>
      <c r="F750" s="13">
        <f t="shared" si="23"/>
        <v>0.99759999999999238</v>
      </c>
    </row>
    <row r="751" spans="1:6" x14ac:dyDescent="0.25">
      <c r="A751" s="56">
        <v>0</v>
      </c>
      <c r="C751" s="11">
        <v>746000000</v>
      </c>
      <c r="D751" s="12">
        <v>1</v>
      </c>
      <c r="E751" s="13">
        <f t="shared" si="22"/>
        <v>1E-4</v>
      </c>
      <c r="F751" s="13">
        <f t="shared" si="23"/>
        <v>0.99769999999999237</v>
      </c>
    </row>
    <row r="752" spans="1:6" x14ac:dyDescent="0.25">
      <c r="A752" s="56">
        <v>85244232.200000003</v>
      </c>
      <c r="C752" s="11">
        <v>747000000</v>
      </c>
      <c r="D752" s="12">
        <v>0</v>
      </c>
      <c r="E752" s="13">
        <f t="shared" si="22"/>
        <v>0</v>
      </c>
      <c r="F752" s="13">
        <f t="shared" si="23"/>
        <v>0.99769999999999237</v>
      </c>
    </row>
    <row r="753" spans="1:6" x14ac:dyDescent="0.25">
      <c r="A753" s="56">
        <v>15295997</v>
      </c>
      <c r="C753" s="11">
        <v>748000000</v>
      </c>
      <c r="D753" s="12">
        <v>0</v>
      </c>
      <c r="E753" s="13">
        <f t="shared" si="22"/>
        <v>0</v>
      </c>
      <c r="F753" s="13">
        <f t="shared" si="23"/>
        <v>0.99769999999999237</v>
      </c>
    </row>
    <row r="754" spans="1:6" x14ac:dyDescent="0.25">
      <c r="A754" s="56">
        <v>121246455.09999999</v>
      </c>
      <c r="C754" s="11">
        <v>749000000</v>
      </c>
      <c r="D754" s="12">
        <v>0</v>
      </c>
      <c r="E754" s="13">
        <f t="shared" si="22"/>
        <v>0</v>
      </c>
      <c r="F754" s="13">
        <f t="shared" si="23"/>
        <v>0.99769999999999237</v>
      </c>
    </row>
    <row r="755" spans="1:6" x14ac:dyDescent="0.25">
      <c r="A755" s="56">
        <v>14917973.9</v>
      </c>
      <c r="C755" s="11">
        <v>750000000</v>
      </c>
      <c r="D755" s="12">
        <v>0</v>
      </c>
      <c r="E755" s="13">
        <f t="shared" si="22"/>
        <v>0</v>
      </c>
      <c r="F755" s="13">
        <f t="shared" si="23"/>
        <v>0.99769999999999237</v>
      </c>
    </row>
    <row r="756" spans="1:6" x14ac:dyDescent="0.25">
      <c r="A756" s="56">
        <v>265497.2</v>
      </c>
      <c r="C756" s="11">
        <v>751000000</v>
      </c>
      <c r="D756" s="12">
        <v>1</v>
      </c>
      <c r="E756" s="13">
        <f t="shared" si="22"/>
        <v>1E-4</v>
      </c>
      <c r="F756" s="13">
        <f t="shared" si="23"/>
        <v>0.99779999999999236</v>
      </c>
    </row>
    <row r="757" spans="1:6" x14ac:dyDescent="0.25">
      <c r="A757" s="56">
        <v>289848853.30000001</v>
      </c>
      <c r="C757" s="11">
        <v>752000000</v>
      </c>
      <c r="D757" s="12">
        <v>1</v>
      </c>
      <c r="E757" s="13">
        <f t="shared" si="22"/>
        <v>1E-4</v>
      </c>
      <c r="F757" s="13">
        <f t="shared" si="23"/>
        <v>0.99789999999999235</v>
      </c>
    </row>
    <row r="758" spans="1:6" x14ac:dyDescent="0.25">
      <c r="A758" s="56">
        <v>692321077.29999995</v>
      </c>
      <c r="C758" s="11">
        <v>753000000</v>
      </c>
      <c r="D758" s="12">
        <v>0</v>
      </c>
      <c r="E758" s="13">
        <f t="shared" si="22"/>
        <v>0</v>
      </c>
      <c r="F758" s="13">
        <f t="shared" si="23"/>
        <v>0.99789999999999235</v>
      </c>
    </row>
    <row r="759" spans="1:6" x14ac:dyDescent="0.25">
      <c r="A759" s="56">
        <v>0</v>
      </c>
      <c r="C759" s="11">
        <v>754000000</v>
      </c>
      <c r="D759" s="12">
        <v>1</v>
      </c>
      <c r="E759" s="13">
        <f t="shared" si="22"/>
        <v>1E-4</v>
      </c>
      <c r="F759" s="13">
        <f t="shared" si="23"/>
        <v>0.99799999999999234</v>
      </c>
    </row>
    <row r="760" spans="1:6" x14ac:dyDescent="0.25">
      <c r="A760" s="56">
        <v>212775506.09999999</v>
      </c>
      <c r="C760" s="11">
        <v>755000000</v>
      </c>
      <c r="D760" s="12">
        <v>1</v>
      </c>
      <c r="E760" s="13">
        <f t="shared" si="22"/>
        <v>1E-4</v>
      </c>
      <c r="F760" s="13">
        <f t="shared" si="23"/>
        <v>0.99809999999999233</v>
      </c>
    </row>
    <row r="761" spans="1:6" x14ac:dyDescent="0.25">
      <c r="A761" s="56">
        <v>21080860.100000001</v>
      </c>
      <c r="C761" s="11">
        <v>756000000</v>
      </c>
      <c r="D761" s="12">
        <v>0</v>
      </c>
      <c r="E761" s="13">
        <f t="shared" si="22"/>
        <v>0</v>
      </c>
      <c r="F761" s="13">
        <f t="shared" si="23"/>
        <v>0.99809999999999233</v>
      </c>
    </row>
    <row r="762" spans="1:6" x14ac:dyDescent="0.25">
      <c r="A762" s="56">
        <v>11789016.9</v>
      </c>
      <c r="C762" s="11">
        <v>757000000</v>
      </c>
      <c r="D762" s="12">
        <v>0</v>
      </c>
      <c r="E762" s="13">
        <f t="shared" si="22"/>
        <v>0</v>
      </c>
      <c r="F762" s="13">
        <f t="shared" si="23"/>
        <v>0.99809999999999233</v>
      </c>
    </row>
    <row r="763" spans="1:6" x14ac:dyDescent="0.25">
      <c r="A763" s="56">
        <v>14921961.6</v>
      </c>
      <c r="C763" s="11">
        <v>758000000</v>
      </c>
      <c r="D763" s="12">
        <v>0</v>
      </c>
      <c r="E763" s="13">
        <f t="shared" si="22"/>
        <v>0</v>
      </c>
      <c r="F763" s="13">
        <f t="shared" si="23"/>
        <v>0.99809999999999233</v>
      </c>
    </row>
    <row r="764" spans="1:6" x14ac:dyDescent="0.25">
      <c r="A764" s="56">
        <v>7634148.5999999996</v>
      </c>
      <c r="C764" s="11">
        <v>759000000</v>
      </c>
      <c r="D764" s="12">
        <v>0</v>
      </c>
      <c r="E764" s="13">
        <f t="shared" si="22"/>
        <v>0</v>
      </c>
      <c r="F764" s="13">
        <f t="shared" si="23"/>
        <v>0.99809999999999233</v>
      </c>
    </row>
    <row r="765" spans="1:6" x14ac:dyDescent="0.25">
      <c r="A765" s="56">
        <v>188234624.09999999</v>
      </c>
      <c r="C765" s="11">
        <v>760000000</v>
      </c>
      <c r="D765" s="12">
        <v>0</v>
      </c>
      <c r="E765" s="13">
        <f t="shared" si="22"/>
        <v>0</v>
      </c>
      <c r="F765" s="13">
        <f t="shared" si="23"/>
        <v>0.99809999999999233</v>
      </c>
    </row>
    <row r="766" spans="1:6" x14ac:dyDescent="0.25">
      <c r="A766" s="56">
        <v>3956213.4</v>
      </c>
      <c r="C766" s="11">
        <v>761000000</v>
      </c>
      <c r="D766" s="12">
        <v>0</v>
      </c>
      <c r="E766" s="13">
        <f t="shared" si="22"/>
        <v>0</v>
      </c>
      <c r="F766" s="13">
        <f t="shared" si="23"/>
        <v>0.99809999999999233</v>
      </c>
    </row>
    <row r="767" spans="1:6" x14ac:dyDescent="0.25">
      <c r="A767" s="56">
        <v>15584759.9</v>
      </c>
      <c r="C767" s="11">
        <v>762000000</v>
      </c>
      <c r="D767" s="12">
        <v>1</v>
      </c>
      <c r="E767" s="13">
        <f t="shared" si="22"/>
        <v>1E-4</v>
      </c>
      <c r="F767" s="13">
        <f t="shared" si="23"/>
        <v>0.99819999999999232</v>
      </c>
    </row>
    <row r="768" spans="1:6" x14ac:dyDescent="0.25">
      <c r="A768" s="56">
        <v>4197731.3999999901</v>
      </c>
      <c r="C768" s="11">
        <v>763000000</v>
      </c>
      <c r="D768" s="12">
        <v>0</v>
      </c>
      <c r="E768" s="13">
        <f t="shared" si="22"/>
        <v>0</v>
      </c>
      <c r="F768" s="13">
        <f t="shared" si="23"/>
        <v>0.99819999999999232</v>
      </c>
    </row>
    <row r="769" spans="1:6" x14ac:dyDescent="0.25">
      <c r="A769" s="56">
        <v>126259646.2</v>
      </c>
      <c r="C769" s="11">
        <v>764000000</v>
      </c>
      <c r="D769" s="12">
        <v>0</v>
      </c>
      <c r="E769" s="13">
        <f t="shared" si="22"/>
        <v>0</v>
      </c>
      <c r="F769" s="13">
        <f t="shared" si="23"/>
        <v>0.99819999999999232</v>
      </c>
    </row>
    <row r="770" spans="1:6" x14ac:dyDescent="0.25">
      <c r="A770" s="56">
        <v>0</v>
      </c>
      <c r="C770" s="11">
        <v>765000000</v>
      </c>
      <c r="D770" s="12">
        <v>0</v>
      </c>
      <c r="E770" s="13">
        <f t="shared" si="22"/>
        <v>0</v>
      </c>
      <c r="F770" s="13">
        <f t="shared" si="23"/>
        <v>0.99819999999999232</v>
      </c>
    </row>
    <row r="771" spans="1:6" x14ac:dyDescent="0.25">
      <c r="A771" s="56">
        <v>95118559.099999905</v>
      </c>
      <c r="C771" s="11">
        <v>766000000</v>
      </c>
      <c r="D771" s="12">
        <v>1</v>
      </c>
      <c r="E771" s="13">
        <f t="shared" si="22"/>
        <v>1E-4</v>
      </c>
      <c r="F771" s="13">
        <f t="shared" si="23"/>
        <v>0.9982999999999923</v>
      </c>
    </row>
    <row r="772" spans="1:6" x14ac:dyDescent="0.25">
      <c r="A772" s="56">
        <v>37156494.700000003</v>
      </c>
      <c r="C772" s="11">
        <v>767000000</v>
      </c>
      <c r="D772" s="12">
        <v>1</v>
      </c>
      <c r="E772" s="13">
        <f t="shared" si="22"/>
        <v>1E-4</v>
      </c>
      <c r="F772" s="13">
        <f t="shared" si="23"/>
        <v>0.99839999999999229</v>
      </c>
    </row>
    <row r="773" spans="1:6" x14ac:dyDescent="0.25">
      <c r="A773" s="56">
        <v>961851.2</v>
      </c>
      <c r="C773" s="11">
        <v>768000000</v>
      </c>
      <c r="D773" s="12">
        <v>0</v>
      </c>
      <c r="E773" s="13">
        <f t="shared" ref="E773:E836" si="24">D773/10000</f>
        <v>0</v>
      </c>
      <c r="F773" s="13">
        <f t="shared" si="23"/>
        <v>0.99839999999999229</v>
      </c>
    </row>
    <row r="774" spans="1:6" x14ac:dyDescent="0.25">
      <c r="A774" s="56">
        <v>511261231.99999899</v>
      </c>
      <c r="C774" s="11">
        <v>769000000</v>
      </c>
      <c r="D774" s="12">
        <v>0</v>
      </c>
      <c r="E774" s="13">
        <f t="shared" si="24"/>
        <v>0</v>
      </c>
      <c r="F774" s="13">
        <f t="shared" ref="F774:F837" si="25">E774+F773</f>
        <v>0.99839999999999229</v>
      </c>
    </row>
    <row r="775" spans="1:6" x14ac:dyDescent="0.25">
      <c r="A775" s="56">
        <v>44260744.899999999</v>
      </c>
      <c r="C775" s="11">
        <v>770000000</v>
      </c>
      <c r="D775" s="12">
        <v>0</v>
      </c>
      <c r="E775" s="13">
        <f t="shared" si="24"/>
        <v>0</v>
      </c>
      <c r="F775" s="13">
        <f t="shared" si="25"/>
        <v>0.99839999999999229</v>
      </c>
    </row>
    <row r="776" spans="1:6" x14ac:dyDescent="0.25">
      <c r="A776" s="56">
        <v>31973855.999999899</v>
      </c>
      <c r="C776" s="11">
        <v>771000000</v>
      </c>
      <c r="D776" s="12">
        <v>0</v>
      </c>
      <c r="E776" s="13">
        <f t="shared" si="24"/>
        <v>0</v>
      </c>
      <c r="F776" s="13">
        <f t="shared" si="25"/>
        <v>0.99839999999999229</v>
      </c>
    </row>
    <row r="777" spans="1:6" x14ac:dyDescent="0.25">
      <c r="A777" s="56">
        <v>5565685.2999999998</v>
      </c>
      <c r="C777" s="11">
        <v>772000000</v>
      </c>
      <c r="D777" s="12">
        <v>0</v>
      </c>
      <c r="E777" s="13">
        <f t="shared" si="24"/>
        <v>0</v>
      </c>
      <c r="F777" s="13">
        <f t="shared" si="25"/>
        <v>0.99839999999999229</v>
      </c>
    </row>
    <row r="778" spans="1:6" x14ac:dyDescent="0.25">
      <c r="A778" s="56">
        <v>10604006.800000001</v>
      </c>
      <c r="C778" s="11">
        <v>773000000</v>
      </c>
      <c r="D778" s="12">
        <v>0</v>
      </c>
      <c r="E778" s="13">
        <f t="shared" si="24"/>
        <v>0</v>
      </c>
      <c r="F778" s="13">
        <f t="shared" si="25"/>
        <v>0.99839999999999229</v>
      </c>
    </row>
    <row r="779" spans="1:6" x14ac:dyDescent="0.25">
      <c r="A779" s="56">
        <v>4218519</v>
      </c>
      <c r="C779" s="11">
        <v>774000000</v>
      </c>
      <c r="D779" s="12">
        <v>0</v>
      </c>
      <c r="E779" s="13">
        <f t="shared" si="24"/>
        <v>0</v>
      </c>
      <c r="F779" s="13">
        <f t="shared" si="25"/>
        <v>0.99839999999999229</v>
      </c>
    </row>
    <row r="780" spans="1:6" x14ac:dyDescent="0.25">
      <c r="A780" s="56">
        <v>3060062.6</v>
      </c>
      <c r="C780" s="11">
        <v>775000000</v>
      </c>
      <c r="D780" s="12">
        <v>0</v>
      </c>
      <c r="E780" s="13">
        <f t="shared" si="24"/>
        <v>0</v>
      </c>
      <c r="F780" s="13">
        <f t="shared" si="25"/>
        <v>0.99839999999999229</v>
      </c>
    </row>
    <row r="781" spans="1:6" x14ac:dyDescent="0.25">
      <c r="A781" s="56">
        <v>100325661.3</v>
      </c>
      <c r="C781" s="11">
        <v>776000000</v>
      </c>
      <c r="D781" s="12">
        <v>0</v>
      </c>
      <c r="E781" s="13">
        <f t="shared" si="24"/>
        <v>0</v>
      </c>
      <c r="F781" s="13">
        <f t="shared" si="25"/>
        <v>0.99839999999999229</v>
      </c>
    </row>
    <row r="782" spans="1:6" x14ac:dyDescent="0.25">
      <c r="A782" s="56">
        <v>17506543.800000001</v>
      </c>
      <c r="C782" s="11">
        <v>777000000</v>
      </c>
      <c r="D782" s="12">
        <v>0</v>
      </c>
      <c r="E782" s="13">
        <f t="shared" si="24"/>
        <v>0</v>
      </c>
      <c r="F782" s="13">
        <f t="shared" si="25"/>
        <v>0.99839999999999229</v>
      </c>
    </row>
    <row r="783" spans="1:6" x14ac:dyDescent="0.25">
      <c r="A783" s="56">
        <v>4423110.5999999996</v>
      </c>
      <c r="C783" s="11">
        <v>778000000</v>
      </c>
      <c r="D783" s="12">
        <v>0</v>
      </c>
      <c r="E783" s="13">
        <f t="shared" si="24"/>
        <v>0</v>
      </c>
      <c r="F783" s="13">
        <f t="shared" si="25"/>
        <v>0.99839999999999229</v>
      </c>
    </row>
    <row r="784" spans="1:6" x14ac:dyDescent="0.25">
      <c r="A784" s="56">
        <v>52292348.299999997</v>
      </c>
      <c r="C784" s="11">
        <v>779000000</v>
      </c>
      <c r="D784" s="12">
        <v>1</v>
      </c>
      <c r="E784" s="13">
        <f t="shared" si="24"/>
        <v>1E-4</v>
      </c>
      <c r="F784" s="13">
        <f t="shared" si="25"/>
        <v>0.99849999999999228</v>
      </c>
    </row>
    <row r="785" spans="1:6" x14ac:dyDescent="0.25">
      <c r="A785" s="56">
        <v>6269646.5999999996</v>
      </c>
      <c r="C785" s="11">
        <v>780000000</v>
      </c>
      <c r="D785" s="12">
        <v>1</v>
      </c>
      <c r="E785" s="13">
        <f t="shared" si="24"/>
        <v>1E-4</v>
      </c>
      <c r="F785" s="13">
        <f t="shared" si="25"/>
        <v>0.99859999999999227</v>
      </c>
    </row>
    <row r="786" spans="1:6" x14ac:dyDescent="0.25">
      <c r="A786" s="56">
        <v>15079393.4</v>
      </c>
      <c r="C786" s="11">
        <v>781000000</v>
      </c>
      <c r="D786" s="12">
        <v>0</v>
      </c>
      <c r="E786" s="13">
        <f t="shared" si="24"/>
        <v>0</v>
      </c>
      <c r="F786" s="13">
        <f t="shared" si="25"/>
        <v>0.99859999999999227</v>
      </c>
    </row>
    <row r="787" spans="1:6" x14ac:dyDescent="0.25">
      <c r="A787" s="56">
        <v>15939551.9</v>
      </c>
      <c r="C787" s="11">
        <v>782000000</v>
      </c>
      <c r="D787" s="12">
        <v>0</v>
      </c>
      <c r="E787" s="13">
        <f t="shared" si="24"/>
        <v>0</v>
      </c>
      <c r="F787" s="13">
        <f t="shared" si="25"/>
        <v>0.99859999999999227</v>
      </c>
    </row>
    <row r="788" spans="1:6" x14ac:dyDescent="0.25">
      <c r="A788" s="56">
        <v>134108452.8</v>
      </c>
      <c r="C788" s="11">
        <v>783000000</v>
      </c>
      <c r="D788" s="12">
        <v>0</v>
      </c>
      <c r="E788" s="13">
        <f t="shared" si="24"/>
        <v>0</v>
      </c>
      <c r="F788" s="13">
        <f t="shared" si="25"/>
        <v>0.99859999999999227</v>
      </c>
    </row>
    <row r="789" spans="1:6" x14ac:dyDescent="0.25">
      <c r="A789" s="56">
        <v>49824013.600000001</v>
      </c>
      <c r="C789" s="11">
        <v>784000000</v>
      </c>
      <c r="D789" s="12">
        <v>0</v>
      </c>
      <c r="E789" s="13">
        <f t="shared" si="24"/>
        <v>0</v>
      </c>
      <c r="F789" s="13">
        <f t="shared" si="25"/>
        <v>0.99859999999999227</v>
      </c>
    </row>
    <row r="790" spans="1:6" x14ac:dyDescent="0.25">
      <c r="A790" s="56">
        <v>23259442</v>
      </c>
      <c r="C790" s="11">
        <v>785000000</v>
      </c>
      <c r="D790" s="12">
        <v>0</v>
      </c>
      <c r="E790" s="13">
        <f t="shared" si="24"/>
        <v>0</v>
      </c>
      <c r="F790" s="13">
        <f t="shared" si="25"/>
        <v>0.99859999999999227</v>
      </c>
    </row>
    <row r="791" spans="1:6" x14ac:dyDescent="0.25">
      <c r="A791" s="56">
        <v>4855248.2</v>
      </c>
      <c r="C791" s="11">
        <v>786000000</v>
      </c>
      <c r="D791" s="12">
        <v>0</v>
      </c>
      <c r="E791" s="13">
        <f t="shared" si="24"/>
        <v>0</v>
      </c>
      <c r="F791" s="13">
        <f t="shared" si="25"/>
        <v>0.99859999999999227</v>
      </c>
    </row>
    <row r="792" spans="1:6" x14ac:dyDescent="0.25">
      <c r="A792" s="56">
        <v>25134886.300000001</v>
      </c>
      <c r="C792" s="11">
        <v>787000000</v>
      </c>
      <c r="D792" s="12">
        <v>0</v>
      </c>
      <c r="E792" s="13">
        <f t="shared" si="24"/>
        <v>0</v>
      </c>
      <c r="F792" s="13">
        <f t="shared" si="25"/>
        <v>0.99859999999999227</v>
      </c>
    </row>
    <row r="793" spans="1:6" x14ac:dyDescent="0.25">
      <c r="A793" s="56">
        <v>533385029.10000002</v>
      </c>
      <c r="C793" s="11">
        <v>788000000</v>
      </c>
      <c r="D793" s="12">
        <v>1</v>
      </c>
      <c r="E793" s="13">
        <f t="shared" si="24"/>
        <v>1E-4</v>
      </c>
      <c r="F793" s="13">
        <f t="shared" si="25"/>
        <v>0.99869999999999226</v>
      </c>
    </row>
    <row r="794" spans="1:6" x14ac:dyDescent="0.25">
      <c r="A794" s="56">
        <v>12671886.199999999</v>
      </c>
      <c r="C794" s="11">
        <v>789000000</v>
      </c>
      <c r="D794" s="12">
        <v>0</v>
      </c>
      <c r="E794" s="13">
        <f t="shared" si="24"/>
        <v>0</v>
      </c>
      <c r="F794" s="13">
        <f t="shared" si="25"/>
        <v>0.99869999999999226</v>
      </c>
    </row>
    <row r="795" spans="1:6" x14ac:dyDescent="0.25">
      <c r="A795" s="56">
        <v>6347785.5</v>
      </c>
      <c r="C795" s="11">
        <v>790000000</v>
      </c>
      <c r="D795" s="12">
        <v>0</v>
      </c>
      <c r="E795" s="13">
        <f t="shared" si="24"/>
        <v>0</v>
      </c>
      <c r="F795" s="13">
        <f t="shared" si="25"/>
        <v>0.99869999999999226</v>
      </c>
    </row>
    <row r="796" spans="1:6" x14ac:dyDescent="0.25">
      <c r="A796" s="56">
        <v>56104318.399999999</v>
      </c>
      <c r="C796" s="11">
        <v>791000000</v>
      </c>
      <c r="D796" s="12">
        <v>0</v>
      </c>
      <c r="E796" s="13">
        <f t="shared" si="24"/>
        <v>0</v>
      </c>
      <c r="F796" s="13">
        <f t="shared" si="25"/>
        <v>0.99869999999999226</v>
      </c>
    </row>
    <row r="797" spans="1:6" x14ac:dyDescent="0.25">
      <c r="A797" s="56">
        <v>7487723.4999999898</v>
      </c>
      <c r="C797" s="11">
        <v>792000000</v>
      </c>
      <c r="D797" s="12">
        <v>1</v>
      </c>
      <c r="E797" s="13">
        <f t="shared" si="24"/>
        <v>1E-4</v>
      </c>
      <c r="F797" s="13">
        <f t="shared" si="25"/>
        <v>0.99879999999999225</v>
      </c>
    </row>
    <row r="798" spans="1:6" x14ac:dyDescent="0.25">
      <c r="A798" s="56">
        <v>65239582.799999997</v>
      </c>
      <c r="C798" s="11">
        <v>793000000</v>
      </c>
      <c r="D798" s="12">
        <v>0</v>
      </c>
      <c r="E798" s="13">
        <f t="shared" si="24"/>
        <v>0</v>
      </c>
      <c r="F798" s="13">
        <f t="shared" si="25"/>
        <v>0.99879999999999225</v>
      </c>
    </row>
    <row r="799" spans="1:6" x14ac:dyDescent="0.25">
      <c r="A799" s="56">
        <v>0</v>
      </c>
      <c r="C799" s="11">
        <v>794000000</v>
      </c>
      <c r="D799" s="12">
        <v>0</v>
      </c>
      <c r="E799" s="13">
        <f t="shared" si="24"/>
        <v>0</v>
      </c>
      <c r="F799" s="13">
        <f t="shared" si="25"/>
        <v>0.99879999999999225</v>
      </c>
    </row>
    <row r="800" spans="1:6" x14ac:dyDescent="0.25">
      <c r="A800" s="56">
        <v>133426326.09999999</v>
      </c>
      <c r="C800" s="11">
        <v>795000000</v>
      </c>
      <c r="D800" s="12">
        <v>1</v>
      </c>
      <c r="E800" s="13">
        <f t="shared" si="24"/>
        <v>1E-4</v>
      </c>
      <c r="F800" s="13">
        <f t="shared" si="25"/>
        <v>0.99889999999999224</v>
      </c>
    </row>
    <row r="801" spans="1:6" x14ac:dyDescent="0.25">
      <c r="A801" s="56">
        <v>34067198.999999903</v>
      </c>
      <c r="C801" s="11">
        <v>796000000</v>
      </c>
      <c r="D801" s="12">
        <v>1</v>
      </c>
      <c r="E801" s="13">
        <f t="shared" si="24"/>
        <v>1E-4</v>
      </c>
      <c r="F801" s="13">
        <f t="shared" si="25"/>
        <v>0.99899999999999223</v>
      </c>
    </row>
    <row r="802" spans="1:6" x14ac:dyDescent="0.25">
      <c r="A802" s="56">
        <v>0</v>
      </c>
      <c r="C802" s="11">
        <v>797000000</v>
      </c>
      <c r="D802" s="12">
        <v>0</v>
      </c>
      <c r="E802" s="13">
        <f t="shared" si="24"/>
        <v>0</v>
      </c>
      <c r="F802" s="13">
        <f t="shared" si="25"/>
        <v>0.99899999999999223</v>
      </c>
    </row>
    <row r="803" spans="1:6" x14ac:dyDescent="0.25">
      <c r="A803" s="56">
        <v>282375110.60000002</v>
      </c>
      <c r="C803" s="11">
        <v>798000000</v>
      </c>
      <c r="D803" s="12">
        <v>0</v>
      </c>
      <c r="E803" s="13">
        <f t="shared" si="24"/>
        <v>0</v>
      </c>
      <c r="F803" s="13">
        <f t="shared" si="25"/>
        <v>0.99899999999999223</v>
      </c>
    </row>
    <row r="804" spans="1:6" x14ac:dyDescent="0.25">
      <c r="A804" s="56">
        <v>23498858.399999999</v>
      </c>
      <c r="C804" s="11">
        <v>799000000</v>
      </c>
      <c r="D804" s="12">
        <v>0</v>
      </c>
      <c r="E804" s="13">
        <f t="shared" si="24"/>
        <v>0</v>
      </c>
      <c r="F804" s="13">
        <f t="shared" si="25"/>
        <v>0.99899999999999223</v>
      </c>
    </row>
    <row r="805" spans="1:6" x14ac:dyDescent="0.25">
      <c r="A805" s="56">
        <v>0</v>
      </c>
      <c r="C805" s="11">
        <v>800000000</v>
      </c>
      <c r="D805" s="12">
        <v>0</v>
      </c>
      <c r="E805" s="13">
        <f t="shared" si="24"/>
        <v>0</v>
      </c>
      <c r="F805" s="13">
        <f t="shared" si="25"/>
        <v>0.99899999999999223</v>
      </c>
    </row>
    <row r="806" spans="1:6" x14ac:dyDescent="0.25">
      <c r="A806" s="56">
        <v>58623664.200000003</v>
      </c>
      <c r="C806" s="11">
        <v>801000000</v>
      </c>
      <c r="D806" s="12">
        <v>0</v>
      </c>
      <c r="E806" s="13">
        <f t="shared" si="24"/>
        <v>0</v>
      </c>
      <c r="F806" s="13">
        <f t="shared" si="25"/>
        <v>0.99899999999999223</v>
      </c>
    </row>
    <row r="807" spans="1:6" x14ac:dyDescent="0.25">
      <c r="A807" s="56">
        <v>15789489.1</v>
      </c>
      <c r="C807" s="11">
        <v>802000000</v>
      </c>
      <c r="D807" s="12">
        <v>0</v>
      </c>
      <c r="E807" s="13">
        <f t="shared" si="24"/>
        <v>0</v>
      </c>
      <c r="F807" s="13">
        <f t="shared" si="25"/>
        <v>0.99899999999999223</v>
      </c>
    </row>
    <row r="808" spans="1:6" x14ac:dyDescent="0.25">
      <c r="A808" s="56">
        <v>0</v>
      </c>
      <c r="C808" s="11">
        <v>803000000</v>
      </c>
      <c r="D808" s="12">
        <v>0</v>
      </c>
      <c r="E808" s="13">
        <f t="shared" si="24"/>
        <v>0</v>
      </c>
      <c r="F808" s="13">
        <f t="shared" si="25"/>
        <v>0.99899999999999223</v>
      </c>
    </row>
    <row r="809" spans="1:6" x14ac:dyDescent="0.25">
      <c r="A809" s="56">
        <v>35878678.599999897</v>
      </c>
      <c r="C809" s="11">
        <v>804000000</v>
      </c>
      <c r="D809" s="12">
        <v>0</v>
      </c>
      <c r="E809" s="13">
        <f t="shared" si="24"/>
        <v>0</v>
      </c>
      <c r="F809" s="13">
        <f t="shared" si="25"/>
        <v>0.99899999999999223</v>
      </c>
    </row>
    <row r="810" spans="1:6" x14ac:dyDescent="0.25">
      <c r="A810" s="56">
        <v>4487600.4000000004</v>
      </c>
      <c r="C810" s="11">
        <v>805000000</v>
      </c>
      <c r="D810" s="12">
        <v>0</v>
      </c>
      <c r="E810" s="13">
        <f t="shared" si="24"/>
        <v>0</v>
      </c>
      <c r="F810" s="13">
        <f t="shared" si="25"/>
        <v>0.99899999999999223</v>
      </c>
    </row>
    <row r="811" spans="1:6" x14ac:dyDescent="0.25">
      <c r="A811" s="56">
        <v>0</v>
      </c>
      <c r="C811" s="11">
        <v>806000000</v>
      </c>
      <c r="D811" s="12">
        <v>0</v>
      </c>
      <c r="E811" s="13">
        <f t="shared" si="24"/>
        <v>0</v>
      </c>
      <c r="F811" s="13">
        <f t="shared" si="25"/>
        <v>0.99899999999999223</v>
      </c>
    </row>
    <row r="812" spans="1:6" x14ac:dyDescent="0.25">
      <c r="A812" s="56">
        <v>0</v>
      </c>
      <c r="C812" s="11">
        <v>807000000</v>
      </c>
      <c r="D812" s="12">
        <v>0</v>
      </c>
      <c r="E812" s="13">
        <f t="shared" si="24"/>
        <v>0</v>
      </c>
      <c r="F812" s="13">
        <f t="shared" si="25"/>
        <v>0.99899999999999223</v>
      </c>
    </row>
    <row r="813" spans="1:6" x14ac:dyDescent="0.25">
      <c r="A813" s="56">
        <v>287442301.39999998</v>
      </c>
      <c r="C813" s="11">
        <v>808000000</v>
      </c>
      <c r="D813" s="12">
        <v>0</v>
      </c>
      <c r="E813" s="13">
        <f t="shared" si="24"/>
        <v>0</v>
      </c>
      <c r="F813" s="13">
        <f t="shared" si="25"/>
        <v>0.99899999999999223</v>
      </c>
    </row>
    <row r="814" spans="1:6" x14ac:dyDescent="0.25">
      <c r="A814" s="56">
        <v>18392370</v>
      </c>
      <c r="C814" s="11">
        <v>809000000</v>
      </c>
      <c r="D814" s="12">
        <v>0</v>
      </c>
      <c r="E814" s="13">
        <f t="shared" si="24"/>
        <v>0</v>
      </c>
      <c r="F814" s="13">
        <f t="shared" si="25"/>
        <v>0.99899999999999223</v>
      </c>
    </row>
    <row r="815" spans="1:6" x14ac:dyDescent="0.25">
      <c r="A815" s="56">
        <v>193455461</v>
      </c>
      <c r="C815" s="11">
        <v>810000000</v>
      </c>
      <c r="D815" s="12">
        <v>0</v>
      </c>
      <c r="E815" s="13">
        <f t="shared" si="24"/>
        <v>0</v>
      </c>
      <c r="F815" s="13">
        <f t="shared" si="25"/>
        <v>0.99899999999999223</v>
      </c>
    </row>
    <row r="816" spans="1:6" x14ac:dyDescent="0.25">
      <c r="A816" s="56">
        <v>14174975.4</v>
      </c>
      <c r="C816" s="11">
        <v>811000000</v>
      </c>
      <c r="D816" s="12">
        <v>0</v>
      </c>
      <c r="E816" s="13">
        <f t="shared" si="24"/>
        <v>0</v>
      </c>
      <c r="F816" s="13">
        <f t="shared" si="25"/>
        <v>0.99899999999999223</v>
      </c>
    </row>
    <row r="817" spans="1:6" x14ac:dyDescent="0.25">
      <c r="A817" s="56">
        <v>370248014.99999899</v>
      </c>
      <c r="C817" s="11">
        <v>812000000</v>
      </c>
      <c r="D817" s="12">
        <v>0</v>
      </c>
      <c r="E817" s="13">
        <f t="shared" si="24"/>
        <v>0</v>
      </c>
      <c r="F817" s="13">
        <f t="shared" si="25"/>
        <v>0.99899999999999223</v>
      </c>
    </row>
    <row r="818" spans="1:6" x14ac:dyDescent="0.25">
      <c r="A818" s="56">
        <v>18341232</v>
      </c>
      <c r="C818" s="11">
        <v>813000000</v>
      </c>
      <c r="D818" s="12">
        <v>0</v>
      </c>
      <c r="E818" s="13">
        <f t="shared" si="24"/>
        <v>0</v>
      </c>
      <c r="F818" s="13">
        <f t="shared" si="25"/>
        <v>0.99899999999999223</v>
      </c>
    </row>
    <row r="819" spans="1:6" x14ac:dyDescent="0.25">
      <c r="A819" s="56">
        <v>19254291.899999999</v>
      </c>
      <c r="C819" s="11">
        <v>814000000</v>
      </c>
      <c r="D819" s="12">
        <v>1</v>
      </c>
      <c r="E819" s="13">
        <f t="shared" si="24"/>
        <v>1E-4</v>
      </c>
      <c r="F819" s="13">
        <f t="shared" si="25"/>
        <v>0.99909999999999222</v>
      </c>
    </row>
    <row r="820" spans="1:6" x14ac:dyDescent="0.25">
      <c r="A820" s="56">
        <v>118212782.3</v>
      </c>
      <c r="C820" s="11">
        <v>815000000</v>
      </c>
      <c r="D820" s="12">
        <v>0</v>
      </c>
      <c r="E820" s="13">
        <f t="shared" si="24"/>
        <v>0</v>
      </c>
      <c r="F820" s="13">
        <f t="shared" si="25"/>
        <v>0.99909999999999222</v>
      </c>
    </row>
    <row r="821" spans="1:6" x14ac:dyDescent="0.25">
      <c r="A821" s="56">
        <v>150459958.90000001</v>
      </c>
      <c r="C821" s="11">
        <v>816000000</v>
      </c>
      <c r="D821" s="12">
        <v>0</v>
      </c>
      <c r="E821" s="13">
        <f t="shared" si="24"/>
        <v>0</v>
      </c>
      <c r="F821" s="13">
        <f t="shared" si="25"/>
        <v>0.99909999999999222</v>
      </c>
    </row>
    <row r="822" spans="1:6" x14ac:dyDescent="0.25">
      <c r="A822" s="56">
        <v>194709033.40000001</v>
      </c>
      <c r="C822" s="11">
        <v>817000000</v>
      </c>
      <c r="D822" s="12">
        <v>0</v>
      </c>
      <c r="E822" s="13">
        <f t="shared" si="24"/>
        <v>0</v>
      </c>
      <c r="F822" s="13">
        <f t="shared" si="25"/>
        <v>0.99909999999999222</v>
      </c>
    </row>
    <row r="823" spans="1:6" x14ac:dyDescent="0.25">
      <c r="A823" s="56">
        <v>28297138.300000001</v>
      </c>
      <c r="C823" s="11">
        <v>818000000</v>
      </c>
      <c r="D823" s="12">
        <v>0</v>
      </c>
      <c r="E823" s="13">
        <f t="shared" si="24"/>
        <v>0</v>
      </c>
      <c r="F823" s="13">
        <f t="shared" si="25"/>
        <v>0.99909999999999222</v>
      </c>
    </row>
    <row r="824" spans="1:6" x14ac:dyDescent="0.25">
      <c r="A824" s="56">
        <v>46685549.600000001</v>
      </c>
      <c r="C824" s="11">
        <v>819000000</v>
      </c>
      <c r="D824" s="12">
        <v>0</v>
      </c>
      <c r="E824" s="13">
        <f t="shared" si="24"/>
        <v>0</v>
      </c>
      <c r="F824" s="13">
        <f t="shared" si="25"/>
        <v>0.99909999999999222</v>
      </c>
    </row>
    <row r="825" spans="1:6" x14ac:dyDescent="0.25">
      <c r="A825" s="56">
        <v>0</v>
      </c>
      <c r="C825" s="11">
        <v>820000000</v>
      </c>
      <c r="D825" s="12">
        <v>0</v>
      </c>
      <c r="E825" s="13">
        <f t="shared" si="24"/>
        <v>0</v>
      </c>
      <c r="F825" s="13">
        <f t="shared" si="25"/>
        <v>0.99909999999999222</v>
      </c>
    </row>
    <row r="826" spans="1:6" x14ac:dyDescent="0.25">
      <c r="A826" s="56">
        <v>29643605</v>
      </c>
      <c r="C826" s="11">
        <v>821000000</v>
      </c>
      <c r="D826" s="12">
        <v>0</v>
      </c>
      <c r="E826" s="13">
        <f t="shared" si="24"/>
        <v>0</v>
      </c>
      <c r="F826" s="13">
        <f t="shared" si="25"/>
        <v>0.99909999999999222</v>
      </c>
    </row>
    <row r="827" spans="1:6" x14ac:dyDescent="0.25">
      <c r="A827" s="56">
        <v>166113798.80000001</v>
      </c>
      <c r="C827" s="11">
        <v>822000000</v>
      </c>
      <c r="D827" s="12">
        <v>0</v>
      </c>
      <c r="E827" s="13">
        <f t="shared" si="24"/>
        <v>0</v>
      </c>
      <c r="F827" s="13">
        <f t="shared" si="25"/>
        <v>0.99909999999999222</v>
      </c>
    </row>
    <row r="828" spans="1:6" x14ac:dyDescent="0.25">
      <c r="A828" s="56">
        <v>6744283.5</v>
      </c>
      <c r="C828" s="11">
        <v>823000000</v>
      </c>
      <c r="D828" s="12">
        <v>0</v>
      </c>
      <c r="E828" s="13">
        <f t="shared" si="24"/>
        <v>0</v>
      </c>
      <c r="F828" s="13">
        <f t="shared" si="25"/>
        <v>0.99909999999999222</v>
      </c>
    </row>
    <row r="829" spans="1:6" x14ac:dyDescent="0.25">
      <c r="A829" s="56">
        <v>95235916.099999905</v>
      </c>
      <c r="C829" s="11">
        <v>824000000</v>
      </c>
      <c r="D829" s="12">
        <v>0</v>
      </c>
      <c r="E829" s="13">
        <f t="shared" si="24"/>
        <v>0</v>
      </c>
      <c r="F829" s="13">
        <f t="shared" si="25"/>
        <v>0.99909999999999222</v>
      </c>
    </row>
    <row r="830" spans="1:6" x14ac:dyDescent="0.25">
      <c r="A830" s="56">
        <v>20411624.899999999</v>
      </c>
      <c r="C830" s="11">
        <v>825000000</v>
      </c>
      <c r="D830" s="12">
        <v>0</v>
      </c>
      <c r="E830" s="13">
        <f t="shared" si="24"/>
        <v>0</v>
      </c>
      <c r="F830" s="13">
        <f t="shared" si="25"/>
        <v>0.99909999999999222</v>
      </c>
    </row>
    <row r="831" spans="1:6" x14ac:dyDescent="0.25">
      <c r="A831" s="56">
        <v>50013301.899999999</v>
      </c>
      <c r="C831" s="11">
        <v>826000000</v>
      </c>
      <c r="D831" s="12">
        <v>0</v>
      </c>
      <c r="E831" s="13">
        <f t="shared" si="24"/>
        <v>0</v>
      </c>
      <c r="F831" s="13">
        <f t="shared" si="25"/>
        <v>0.99909999999999222</v>
      </c>
    </row>
    <row r="832" spans="1:6" x14ac:dyDescent="0.25">
      <c r="A832" s="56">
        <v>126340256.7</v>
      </c>
      <c r="C832" s="11">
        <v>827000000</v>
      </c>
      <c r="D832" s="12">
        <v>0</v>
      </c>
      <c r="E832" s="13">
        <f t="shared" si="24"/>
        <v>0</v>
      </c>
      <c r="F832" s="13">
        <f t="shared" si="25"/>
        <v>0.99909999999999222</v>
      </c>
    </row>
    <row r="833" spans="1:6" x14ac:dyDescent="0.25">
      <c r="A833" s="56">
        <v>177007361.40000001</v>
      </c>
      <c r="C833" s="11">
        <v>828000000</v>
      </c>
      <c r="D833" s="12">
        <v>0</v>
      </c>
      <c r="E833" s="13">
        <f t="shared" si="24"/>
        <v>0</v>
      </c>
      <c r="F833" s="13">
        <f t="shared" si="25"/>
        <v>0.99909999999999222</v>
      </c>
    </row>
    <row r="834" spans="1:6" x14ac:dyDescent="0.25">
      <c r="A834" s="56">
        <v>52295020.399999999</v>
      </c>
      <c r="C834" s="11">
        <v>829000000</v>
      </c>
      <c r="D834" s="12">
        <v>0</v>
      </c>
      <c r="E834" s="13">
        <f t="shared" si="24"/>
        <v>0</v>
      </c>
      <c r="F834" s="13">
        <f t="shared" si="25"/>
        <v>0.99909999999999222</v>
      </c>
    </row>
    <row r="835" spans="1:6" x14ac:dyDescent="0.25">
      <c r="A835" s="56">
        <v>859121976.20000005</v>
      </c>
      <c r="C835" s="11">
        <v>830000000</v>
      </c>
      <c r="D835" s="12">
        <v>0</v>
      </c>
      <c r="E835" s="13">
        <f t="shared" si="24"/>
        <v>0</v>
      </c>
      <c r="F835" s="13">
        <f t="shared" si="25"/>
        <v>0.99909999999999222</v>
      </c>
    </row>
    <row r="836" spans="1:6" x14ac:dyDescent="0.25">
      <c r="A836" s="56">
        <v>133014934.5</v>
      </c>
      <c r="C836" s="11">
        <v>831000000</v>
      </c>
      <c r="D836" s="12">
        <v>0</v>
      </c>
      <c r="E836" s="13">
        <f t="shared" si="24"/>
        <v>0</v>
      </c>
      <c r="F836" s="13">
        <f t="shared" si="25"/>
        <v>0.99909999999999222</v>
      </c>
    </row>
    <row r="837" spans="1:6" x14ac:dyDescent="0.25">
      <c r="A837" s="56">
        <v>396824286.39999998</v>
      </c>
      <c r="C837" s="11">
        <v>832000000</v>
      </c>
      <c r="D837" s="12">
        <v>0</v>
      </c>
      <c r="E837" s="13">
        <f t="shared" ref="E837:E900" si="26">D837/10000</f>
        <v>0</v>
      </c>
      <c r="F837" s="13">
        <f t="shared" si="25"/>
        <v>0.99909999999999222</v>
      </c>
    </row>
    <row r="838" spans="1:6" x14ac:dyDescent="0.25">
      <c r="A838" s="56">
        <v>35248376.599999897</v>
      </c>
      <c r="C838" s="11">
        <v>833000000</v>
      </c>
      <c r="D838" s="12">
        <v>0</v>
      </c>
      <c r="E838" s="13">
        <f t="shared" si="26"/>
        <v>0</v>
      </c>
      <c r="F838" s="13">
        <f t="shared" ref="F838:F901" si="27">E838+F837</f>
        <v>0.99909999999999222</v>
      </c>
    </row>
    <row r="839" spans="1:6" x14ac:dyDescent="0.25">
      <c r="A839" s="56">
        <v>197442492</v>
      </c>
      <c r="C839" s="11">
        <v>834000000</v>
      </c>
      <c r="D839" s="12">
        <v>0</v>
      </c>
      <c r="E839" s="13">
        <f t="shared" si="26"/>
        <v>0</v>
      </c>
      <c r="F839" s="13">
        <f t="shared" si="27"/>
        <v>0.99909999999999222</v>
      </c>
    </row>
    <row r="840" spans="1:6" x14ac:dyDescent="0.25">
      <c r="A840" s="56">
        <v>0</v>
      </c>
      <c r="C840" s="11">
        <v>835000000</v>
      </c>
      <c r="D840" s="12">
        <v>0</v>
      </c>
      <c r="E840" s="13">
        <f t="shared" si="26"/>
        <v>0</v>
      </c>
      <c r="F840" s="13">
        <f t="shared" si="27"/>
        <v>0.99909999999999222</v>
      </c>
    </row>
    <row r="841" spans="1:6" x14ac:dyDescent="0.25">
      <c r="A841" s="56">
        <v>23484519.699999999</v>
      </c>
      <c r="C841" s="11">
        <v>836000000</v>
      </c>
      <c r="D841" s="12">
        <v>0</v>
      </c>
      <c r="E841" s="13">
        <f t="shared" si="26"/>
        <v>0</v>
      </c>
      <c r="F841" s="13">
        <f t="shared" si="27"/>
        <v>0.99909999999999222</v>
      </c>
    </row>
    <row r="842" spans="1:6" x14ac:dyDescent="0.25">
      <c r="A842" s="56">
        <v>162272781.30000001</v>
      </c>
      <c r="C842" s="11">
        <v>837000000</v>
      </c>
      <c r="D842" s="12">
        <v>0</v>
      </c>
      <c r="E842" s="13">
        <f t="shared" si="26"/>
        <v>0</v>
      </c>
      <c r="F842" s="13">
        <f t="shared" si="27"/>
        <v>0.99909999999999222</v>
      </c>
    </row>
    <row r="843" spans="1:6" x14ac:dyDescent="0.25">
      <c r="A843" s="56">
        <v>3013401.6</v>
      </c>
      <c r="C843" s="11">
        <v>838000000</v>
      </c>
      <c r="D843" s="12">
        <v>1</v>
      </c>
      <c r="E843" s="13">
        <f t="shared" si="26"/>
        <v>1E-4</v>
      </c>
      <c r="F843" s="13">
        <f t="shared" si="27"/>
        <v>0.99919999999999221</v>
      </c>
    </row>
    <row r="844" spans="1:6" x14ac:dyDescent="0.25">
      <c r="A844" s="56">
        <v>22834285</v>
      </c>
      <c r="C844" s="11">
        <v>839000000</v>
      </c>
      <c r="D844" s="12">
        <v>0</v>
      </c>
      <c r="E844" s="13">
        <f t="shared" si="26"/>
        <v>0</v>
      </c>
      <c r="F844" s="13">
        <f t="shared" si="27"/>
        <v>0.99919999999999221</v>
      </c>
    </row>
    <row r="845" spans="1:6" x14ac:dyDescent="0.25">
      <c r="A845" s="56">
        <v>30118118.5</v>
      </c>
      <c r="C845" s="11">
        <v>840000000</v>
      </c>
      <c r="D845" s="12">
        <v>0</v>
      </c>
      <c r="E845" s="13">
        <f t="shared" si="26"/>
        <v>0</v>
      </c>
      <c r="F845" s="13">
        <f t="shared" si="27"/>
        <v>0.99919999999999221</v>
      </c>
    </row>
    <row r="846" spans="1:6" x14ac:dyDescent="0.25">
      <c r="A846" s="56">
        <v>155234736</v>
      </c>
      <c r="C846" s="11">
        <v>841000000</v>
      </c>
      <c r="D846" s="12">
        <v>0</v>
      </c>
      <c r="E846" s="13">
        <f t="shared" si="26"/>
        <v>0</v>
      </c>
      <c r="F846" s="13">
        <f t="shared" si="27"/>
        <v>0.99919999999999221</v>
      </c>
    </row>
    <row r="847" spans="1:6" x14ac:dyDescent="0.25">
      <c r="A847" s="56">
        <v>51746056.200000003</v>
      </c>
      <c r="C847" s="11">
        <v>842000000</v>
      </c>
      <c r="D847" s="12">
        <v>0</v>
      </c>
      <c r="E847" s="13">
        <f t="shared" si="26"/>
        <v>0</v>
      </c>
      <c r="F847" s="13">
        <f t="shared" si="27"/>
        <v>0.99919999999999221</v>
      </c>
    </row>
    <row r="848" spans="1:6" x14ac:dyDescent="0.25">
      <c r="A848" s="56">
        <v>57194615.399999999</v>
      </c>
      <c r="C848" s="11">
        <v>843000000</v>
      </c>
      <c r="D848" s="12">
        <v>0</v>
      </c>
      <c r="E848" s="13">
        <f t="shared" si="26"/>
        <v>0</v>
      </c>
      <c r="F848" s="13">
        <f t="shared" si="27"/>
        <v>0.99919999999999221</v>
      </c>
    </row>
    <row r="849" spans="1:6" x14ac:dyDescent="0.25">
      <c r="A849" s="56">
        <v>765724965.60000002</v>
      </c>
      <c r="C849" s="11">
        <v>844000000</v>
      </c>
      <c r="D849" s="12">
        <v>0</v>
      </c>
      <c r="E849" s="13">
        <f t="shared" si="26"/>
        <v>0</v>
      </c>
      <c r="F849" s="13">
        <f t="shared" si="27"/>
        <v>0.99919999999999221</v>
      </c>
    </row>
    <row r="850" spans="1:6" x14ac:dyDescent="0.25">
      <c r="A850" s="56">
        <v>43812857.200000003</v>
      </c>
      <c r="C850" s="11">
        <v>845000000</v>
      </c>
      <c r="D850" s="12">
        <v>0</v>
      </c>
      <c r="E850" s="13">
        <f t="shared" si="26"/>
        <v>0</v>
      </c>
      <c r="F850" s="13">
        <f t="shared" si="27"/>
        <v>0.99919999999999221</v>
      </c>
    </row>
    <row r="851" spans="1:6" x14ac:dyDescent="0.25">
      <c r="A851" s="56">
        <v>2596891.7999999998</v>
      </c>
      <c r="C851" s="11">
        <v>846000000</v>
      </c>
      <c r="D851" s="12">
        <v>0</v>
      </c>
      <c r="E851" s="13">
        <f t="shared" si="26"/>
        <v>0</v>
      </c>
      <c r="F851" s="13">
        <f t="shared" si="27"/>
        <v>0.99919999999999221</v>
      </c>
    </row>
    <row r="852" spans="1:6" x14ac:dyDescent="0.25">
      <c r="A852" s="56">
        <v>10168309.1</v>
      </c>
      <c r="C852" s="11">
        <v>847000000</v>
      </c>
      <c r="D852" s="12">
        <v>0</v>
      </c>
      <c r="E852" s="13">
        <f t="shared" si="26"/>
        <v>0</v>
      </c>
      <c r="F852" s="13">
        <f t="shared" si="27"/>
        <v>0.99919999999999221</v>
      </c>
    </row>
    <row r="853" spans="1:6" x14ac:dyDescent="0.25">
      <c r="A853" s="56">
        <v>114083291.3</v>
      </c>
      <c r="C853" s="11">
        <v>848000000</v>
      </c>
      <c r="D853" s="12">
        <v>0</v>
      </c>
      <c r="E853" s="13">
        <f t="shared" si="26"/>
        <v>0</v>
      </c>
      <c r="F853" s="13">
        <f t="shared" si="27"/>
        <v>0.99919999999999221</v>
      </c>
    </row>
    <row r="854" spans="1:6" x14ac:dyDescent="0.25">
      <c r="A854" s="56">
        <v>79869802.199999899</v>
      </c>
      <c r="C854" s="11">
        <v>849000000</v>
      </c>
      <c r="D854" s="12">
        <v>0</v>
      </c>
      <c r="E854" s="13">
        <f t="shared" si="26"/>
        <v>0</v>
      </c>
      <c r="F854" s="13">
        <f t="shared" si="27"/>
        <v>0.99919999999999221</v>
      </c>
    </row>
    <row r="855" spans="1:6" x14ac:dyDescent="0.25">
      <c r="A855" s="56">
        <v>4883790.8</v>
      </c>
      <c r="C855" s="11">
        <v>850000000</v>
      </c>
      <c r="D855" s="12">
        <v>0</v>
      </c>
      <c r="E855" s="13">
        <f t="shared" si="26"/>
        <v>0</v>
      </c>
      <c r="F855" s="13">
        <f t="shared" si="27"/>
        <v>0.99919999999999221</v>
      </c>
    </row>
    <row r="856" spans="1:6" x14ac:dyDescent="0.25">
      <c r="A856" s="56">
        <v>6347785.5</v>
      </c>
      <c r="C856" s="11">
        <v>851000000</v>
      </c>
      <c r="D856" s="12">
        <v>0</v>
      </c>
      <c r="E856" s="13">
        <f t="shared" si="26"/>
        <v>0</v>
      </c>
      <c r="F856" s="13">
        <f t="shared" si="27"/>
        <v>0.99919999999999221</v>
      </c>
    </row>
    <row r="857" spans="1:6" x14ac:dyDescent="0.25">
      <c r="A857" s="56">
        <v>28090753</v>
      </c>
      <c r="C857" s="11">
        <v>852000000</v>
      </c>
      <c r="D857" s="12">
        <v>0</v>
      </c>
      <c r="E857" s="13">
        <f t="shared" si="26"/>
        <v>0</v>
      </c>
      <c r="F857" s="13">
        <f t="shared" si="27"/>
        <v>0.99919999999999221</v>
      </c>
    </row>
    <row r="858" spans="1:6" x14ac:dyDescent="0.25">
      <c r="A858" s="56">
        <v>55907429.799999997</v>
      </c>
      <c r="C858" s="11">
        <v>853000000</v>
      </c>
      <c r="D858" s="12">
        <v>1</v>
      </c>
      <c r="E858" s="13">
        <f t="shared" si="26"/>
        <v>1E-4</v>
      </c>
      <c r="F858" s="13">
        <f t="shared" si="27"/>
        <v>0.99929999999999219</v>
      </c>
    </row>
    <row r="859" spans="1:6" x14ac:dyDescent="0.25">
      <c r="A859" s="56">
        <v>786862.8</v>
      </c>
      <c r="C859" s="11">
        <v>854000000</v>
      </c>
      <c r="D859" s="12">
        <v>0</v>
      </c>
      <c r="E859" s="13">
        <f t="shared" si="26"/>
        <v>0</v>
      </c>
      <c r="F859" s="13">
        <f t="shared" si="27"/>
        <v>0.99929999999999219</v>
      </c>
    </row>
    <row r="860" spans="1:6" x14ac:dyDescent="0.25">
      <c r="A860" s="56">
        <v>24872665.100000001</v>
      </c>
      <c r="C860" s="11">
        <v>855000000</v>
      </c>
      <c r="D860" s="12">
        <v>0</v>
      </c>
      <c r="E860" s="13">
        <f t="shared" si="26"/>
        <v>0</v>
      </c>
      <c r="F860" s="13">
        <f t="shared" si="27"/>
        <v>0.99929999999999219</v>
      </c>
    </row>
    <row r="861" spans="1:6" x14ac:dyDescent="0.25">
      <c r="A861" s="56">
        <v>261535583.69999999</v>
      </c>
      <c r="C861" s="11">
        <v>856000000</v>
      </c>
      <c r="D861" s="12">
        <v>0</v>
      </c>
      <c r="E861" s="13">
        <f t="shared" si="26"/>
        <v>0</v>
      </c>
      <c r="F861" s="13">
        <f t="shared" si="27"/>
        <v>0.99929999999999219</v>
      </c>
    </row>
    <row r="862" spans="1:6" x14ac:dyDescent="0.25">
      <c r="A862" s="56">
        <v>10340002</v>
      </c>
      <c r="C862" s="11">
        <v>857000000</v>
      </c>
      <c r="D862" s="12">
        <v>0</v>
      </c>
      <c r="E862" s="13">
        <f t="shared" si="26"/>
        <v>0</v>
      </c>
      <c r="F862" s="13">
        <f t="shared" si="27"/>
        <v>0.99929999999999219</v>
      </c>
    </row>
    <row r="863" spans="1:6" x14ac:dyDescent="0.25">
      <c r="A863" s="56">
        <v>80917425.299999893</v>
      </c>
      <c r="C863" s="11">
        <v>858000000</v>
      </c>
      <c r="D863" s="12">
        <v>0</v>
      </c>
      <c r="E863" s="13">
        <f t="shared" si="26"/>
        <v>0</v>
      </c>
      <c r="F863" s="13">
        <f t="shared" si="27"/>
        <v>0.99929999999999219</v>
      </c>
    </row>
    <row r="864" spans="1:6" x14ac:dyDescent="0.25">
      <c r="A864" s="56">
        <v>1030421.6</v>
      </c>
      <c r="C864" s="11">
        <v>859000000</v>
      </c>
      <c r="D864" s="12">
        <v>0</v>
      </c>
      <c r="E864" s="13">
        <f t="shared" si="26"/>
        <v>0</v>
      </c>
      <c r="F864" s="13">
        <f t="shared" si="27"/>
        <v>0.99929999999999219</v>
      </c>
    </row>
    <row r="865" spans="1:6" x14ac:dyDescent="0.25">
      <c r="A865" s="56">
        <v>77733567.999999896</v>
      </c>
      <c r="C865" s="11">
        <v>860000000</v>
      </c>
      <c r="D865" s="12">
        <v>1</v>
      </c>
      <c r="E865" s="13">
        <f t="shared" si="26"/>
        <v>1E-4</v>
      </c>
      <c r="F865" s="13">
        <f t="shared" si="27"/>
        <v>0.99939999999999218</v>
      </c>
    </row>
    <row r="866" spans="1:6" x14ac:dyDescent="0.25">
      <c r="A866" s="56">
        <v>147590549.5</v>
      </c>
      <c r="C866" s="11">
        <v>861000000</v>
      </c>
      <c r="D866" s="12">
        <v>0</v>
      </c>
      <c r="E866" s="13">
        <f t="shared" si="26"/>
        <v>0</v>
      </c>
      <c r="F866" s="13">
        <f t="shared" si="27"/>
        <v>0.99939999999999218</v>
      </c>
    </row>
    <row r="867" spans="1:6" x14ac:dyDescent="0.25">
      <c r="A867" s="56">
        <v>309068</v>
      </c>
      <c r="C867" s="11">
        <v>862000000</v>
      </c>
      <c r="D867" s="12">
        <v>0</v>
      </c>
      <c r="E867" s="13">
        <f t="shared" si="26"/>
        <v>0</v>
      </c>
      <c r="F867" s="13">
        <f t="shared" si="27"/>
        <v>0.99939999999999218</v>
      </c>
    </row>
    <row r="868" spans="1:6" x14ac:dyDescent="0.25">
      <c r="A868" s="56">
        <v>11982093.199999999</v>
      </c>
      <c r="C868" s="11">
        <v>863000000</v>
      </c>
      <c r="D868" s="12">
        <v>0</v>
      </c>
      <c r="E868" s="13">
        <f t="shared" si="26"/>
        <v>0</v>
      </c>
      <c r="F868" s="13">
        <f t="shared" si="27"/>
        <v>0.99939999999999218</v>
      </c>
    </row>
    <row r="869" spans="1:6" x14ac:dyDescent="0.25">
      <c r="A869" s="56">
        <v>33883660</v>
      </c>
      <c r="C869" s="11">
        <v>864000000</v>
      </c>
      <c r="D869" s="12">
        <v>0</v>
      </c>
      <c r="E869" s="13">
        <f t="shared" si="26"/>
        <v>0</v>
      </c>
      <c r="F869" s="13">
        <f t="shared" si="27"/>
        <v>0.99939999999999218</v>
      </c>
    </row>
    <row r="870" spans="1:6" x14ac:dyDescent="0.25">
      <c r="A870" s="56">
        <v>0</v>
      </c>
      <c r="C870" s="11">
        <v>865000000</v>
      </c>
      <c r="D870" s="12">
        <v>0</v>
      </c>
      <c r="E870" s="13">
        <f t="shared" si="26"/>
        <v>0</v>
      </c>
      <c r="F870" s="13">
        <f t="shared" si="27"/>
        <v>0.99939999999999218</v>
      </c>
    </row>
    <row r="871" spans="1:6" x14ac:dyDescent="0.25">
      <c r="A871" s="56">
        <v>7455661.5</v>
      </c>
      <c r="C871" s="11">
        <v>866000000</v>
      </c>
      <c r="D871" s="12">
        <v>0</v>
      </c>
      <c r="E871" s="13">
        <f t="shared" si="26"/>
        <v>0</v>
      </c>
      <c r="F871" s="13">
        <f t="shared" si="27"/>
        <v>0.99939999999999218</v>
      </c>
    </row>
    <row r="872" spans="1:6" x14ac:dyDescent="0.25">
      <c r="A872" s="56">
        <v>1948908.6</v>
      </c>
      <c r="C872" s="11">
        <v>867000000</v>
      </c>
      <c r="D872" s="12">
        <v>0</v>
      </c>
      <c r="E872" s="13">
        <f t="shared" si="26"/>
        <v>0</v>
      </c>
      <c r="F872" s="13">
        <f t="shared" si="27"/>
        <v>0.99939999999999218</v>
      </c>
    </row>
    <row r="873" spans="1:6" x14ac:dyDescent="0.25">
      <c r="A873" s="56">
        <v>7135130.4000000004</v>
      </c>
      <c r="C873" s="11">
        <v>868000000</v>
      </c>
      <c r="D873" s="12">
        <v>1</v>
      </c>
      <c r="E873" s="13">
        <f t="shared" si="26"/>
        <v>1E-4</v>
      </c>
      <c r="F873" s="13">
        <f t="shared" si="27"/>
        <v>0.99949999999999217</v>
      </c>
    </row>
    <row r="874" spans="1:6" x14ac:dyDescent="0.25">
      <c r="A874" s="56">
        <v>0</v>
      </c>
      <c r="C874" s="11">
        <v>869000000</v>
      </c>
      <c r="D874" s="12">
        <v>0</v>
      </c>
      <c r="E874" s="13">
        <f t="shared" si="26"/>
        <v>0</v>
      </c>
      <c r="F874" s="13">
        <f t="shared" si="27"/>
        <v>0.99949999999999217</v>
      </c>
    </row>
    <row r="875" spans="1:6" x14ac:dyDescent="0.25">
      <c r="A875" s="56">
        <v>5266863.6999999899</v>
      </c>
      <c r="C875" s="11">
        <v>870000000</v>
      </c>
      <c r="D875" s="12">
        <v>0</v>
      </c>
      <c r="E875" s="13">
        <f t="shared" si="26"/>
        <v>0</v>
      </c>
      <c r="F875" s="13">
        <f t="shared" si="27"/>
        <v>0.99949999999999217</v>
      </c>
    </row>
    <row r="876" spans="1:6" x14ac:dyDescent="0.25">
      <c r="A876" s="56">
        <v>5997324.5999999996</v>
      </c>
      <c r="C876" s="11">
        <v>871000000</v>
      </c>
      <c r="D876" s="12">
        <v>0</v>
      </c>
      <c r="E876" s="13">
        <f t="shared" si="26"/>
        <v>0</v>
      </c>
      <c r="F876" s="13">
        <f t="shared" si="27"/>
        <v>0.99949999999999217</v>
      </c>
    </row>
    <row r="877" spans="1:6" x14ac:dyDescent="0.25">
      <c r="A877" s="56">
        <v>25505525.600000001</v>
      </c>
      <c r="C877" s="11">
        <v>872000000</v>
      </c>
      <c r="D877" s="12">
        <v>0</v>
      </c>
      <c r="E877" s="13">
        <f t="shared" si="26"/>
        <v>0</v>
      </c>
      <c r="F877" s="13">
        <f t="shared" si="27"/>
        <v>0.99949999999999217</v>
      </c>
    </row>
    <row r="878" spans="1:6" x14ac:dyDescent="0.25">
      <c r="A878" s="56">
        <v>36038351.200000003</v>
      </c>
      <c r="C878" s="11">
        <v>873000000</v>
      </c>
      <c r="D878" s="12">
        <v>0</v>
      </c>
      <c r="E878" s="13">
        <f t="shared" si="26"/>
        <v>0</v>
      </c>
      <c r="F878" s="13">
        <f t="shared" si="27"/>
        <v>0.99949999999999217</v>
      </c>
    </row>
    <row r="879" spans="1:6" x14ac:dyDescent="0.25">
      <c r="A879" s="56">
        <v>75504154.700000003</v>
      </c>
      <c r="C879" s="11">
        <v>874000000</v>
      </c>
      <c r="D879" s="12">
        <v>0</v>
      </c>
      <c r="E879" s="13">
        <f t="shared" si="26"/>
        <v>0</v>
      </c>
      <c r="F879" s="13">
        <f t="shared" si="27"/>
        <v>0.99949999999999217</v>
      </c>
    </row>
    <row r="880" spans="1:6" x14ac:dyDescent="0.25">
      <c r="A880" s="56">
        <v>24487173.399999999</v>
      </c>
      <c r="C880" s="11">
        <v>875000000</v>
      </c>
      <c r="D880" s="12">
        <v>0</v>
      </c>
      <c r="E880" s="13">
        <f t="shared" si="26"/>
        <v>0</v>
      </c>
      <c r="F880" s="13">
        <f t="shared" si="27"/>
        <v>0.99949999999999217</v>
      </c>
    </row>
    <row r="881" spans="1:6" x14ac:dyDescent="0.25">
      <c r="A881" s="56">
        <v>22334900.800000001</v>
      </c>
      <c r="C881" s="11">
        <v>876000000</v>
      </c>
      <c r="D881" s="12">
        <v>0</v>
      </c>
      <c r="E881" s="13">
        <f t="shared" si="26"/>
        <v>0</v>
      </c>
      <c r="F881" s="13">
        <f t="shared" si="27"/>
        <v>0.99949999999999217</v>
      </c>
    </row>
    <row r="882" spans="1:6" x14ac:dyDescent="0.25">
      <c r="A882" s="56">
        <v>14128042.4</v>
      </c>
      <c r="C882" s="11">
        <v>877000000</v>
      </c>
      <c r="D882" s="12">
        <v>0</v>
      </c>
      <c r="E882" s="13">
        <f t="shared" si="26"/>
        <v>0</v>
      </c>
      <c r="F882" s="13">
        <f t="shared" si="27"/>
        <v>0.99949999999999217</v>
      </c>
    </row>
    <row r="883" spans="1:6" x14ac:dyDescent="0.25">
      <c r="A883" s="56">
        <v>12247623.1</v>
      </c>
      <c r="C883" s="11">
        <v>878000000</v>
      </c>
      <c r="D883" s="12">
        <v>0</v>
      </c>
      <c r="E883" s="13">
        <f t="shared" si="26"/>
        <v>0</v>
      </c>
      <c r="F883" s="13">
        <f t="shared" si="27"/>
        <v>0.99949999999999217</v>
      </c>
    </row>
    <row r="884" spans="1:6" x14ac:dyDescent="0.25">
      <c r="A884" s="56">
        <v>27810403.899999999</v>
      </c>
      <c r="C884" s="11">
        <v>879000000</v>
      </c>
      <c r="D884" s="12">
        <v>0</v>
      </c>
      <c r="E884" s="13">
        <f t="shared" si="26"/>
        <v>0</v>
      </c>
      <c r="F884" s="13">
        <f t="shared" si="27"/>
        <v>0.99949999999999217</v>
      </c>
    </row>
    <row r="885" spans="1:6" x14ac:dyDescent="0.25">
      <c r="A885" s="56">
        <v>192114253.80000001</v>
      </c>
      <c r="C885" s="11">
        <v>880000000</v>
      </c>
      <c r="D885" s="12">
        <v>0</v>
      </c>
      <c r="E885" s="13">
        <f t="shared" si="26"/>
        <v>0</v>
      </c>
      <c r="F885" s="13">
        <f t="shared" si="27"/>
        <v>0.99949999999999217</v>
      </c>
    </row>
    <row r="886" spans="1:6" x14ac:dyDescent="0.25">
      <c r="A886" s="56">
        <v>197904324.09999999</v>
      </c>
      <c r="C886" s="11">
        <v>881000000</v>
      </c>
      <c r="D886" s="12">
        <v>0</v>
      </c>
      <c r="E886" s="13">
        <f t="shared" si="26"/>
        <v>0</v>
      </c>
      <c r="F886" s="13">
        <f t="shared" si="27"/>
        <v>0.99949999999999217</v>
      </c>
    </row>
    <row r="887" spans="1:6" x14ac:dyDescent="0.25">
      <c r="A887" s="56">
        <v>35452062.700000003</v>
      </c>
      <c r="C887" s="11">
        <v>882000000</v>
      </c>
      <c r="D887" s="12">
        <v>0</v>
      </c>
      <c r="E887" s="13">
        <f t="shared" si="26"/>
        <v>0</v>
      </c>
      <c r="F887" s="13">
        <f t="shared" si="27"/>
        <v>0.99949999999999217</v>
      </c>
    </row>
    <row r="888" spans="1:6" x14ac:dyDescent="0.25">
      <c r="A888" s="56">
        <v>266349238.09999999</v>
      </c>
      <c r="C888" s="11">
        <v>883000000</v>
      </c>
      <c r="D888" s="12">
        <v>1</v>
      </c>
      <c r="E888" s="13">
        <f t="shared" si="26"/>
        <v>1E-4</v>
      </c>
      <c r="F888" s="13">
        <f t="shared" si="27"/>
        <v>0.99959999999999216</v>
      </c>
    </row>
    <row r="889" spans="1:6" x14ac:dyDescent="0.25">
      <c r="A889" s="56">
        <v>70359482</v>
      </c>
      <c r="C889" s="11">
        <v>884000000</v>
      </c>
      <c r="D889" s="12">
        <v>0</v>
      </c>
      <c r="E889" s="13">
        <f t="shared" si="26"/>
        <v>0</v>
      </c>
      <c r="F889" s="13">
        <f t="shared" si="27"/>
        <v>0.99959999999999216</v>
      </c>
    </row>
    <row r="890" spans="1:6" x14ac:dyDescent="0.25">
      <c r="A890" s="56">
        <v>36305589.099999897</v>
      </c>
      <c r="C890" s="11">
        <v>885000000</v>
      </c>
      <c r="D890" s="12">
        <v>1</v>
      </c>
      <c r="E890" s="13">
        <f t="shared" si="26"/>
        <v>1E-4</v>
      </c>
      <c r="F890" s="13">
        <f t="shared" si="27"/>
        <v>0.99969999999999215</v>
      </c>
    </row>
    <row r="891" spans="1:6" x14ac:dyDescent="0.25">
      <c r="A891" s="56">
        <v>205153343.80000001</v>
      </c>
      <c r="C891" s="11">
        <v>886000000</v>
      </c>
      <c r="D891" s="12">
        <v>0</v>
      </c>
      <c r="E891" s="13">
        <f t="shared" si="26"/>
        <v>0</v>
      </c>
      <c r="F891" s="13">
        <f t="shared" si="27"/>
        <v>0.99969999999999215</v>
      </c>
    </row>
    <row r="892" spans="1:6" x14ac:dyDescent="0.25">
      <c r="A892" s="56">
        <v>15588186</v>
      </c>
      <c r="C892" s="11">
        <v>887000000</v>
      </c>
      <c r="D892" s="12">
        <v>0</v>
      </c>
      <c r="E892" s="13">
        <f t="shared" si="26"/>
        <v>0</v>
      </c>
      <c r="F892" s="13">
        <f t="shared" si="27"/>
        <v>0.99969999999999215</v>
      </c>
    </row>
    <row r="893" spans="1:6" x14ac:dyDescent="0.25">
      <c r="A893" s="56">
        <v>270644300.39999998</v>
      </c>
      <c r="C893" s="11">
        <v>888000000</v>
      </c>
      <c r="D893" s="12">
        <v>0</v>
      </c>
      <c r="E893" s="13">
        <f t="shared" si="26"/>
        <v>0</v>
      </c>
      <c r="F893" s="13">
        <f t="shared" si="27"/>
        <v>0.99969999999999215</v>
      </c>
    </row>
    <row r="894" spans="1:6" x14ac:dyDescent="0.25">
      <c r="A894" s="56">
        <v>50498430.999999903</v>
      </c>
      <c r="C894" s="11">
        <v>889000000</v>
      </c>
      <c r="D894" s="12">
        <v>0</v>
      </c>
      <c r="E894" s="13">
        <f t="shared" si="26"/>
        <v>0</v>
      </c>
      <c r="F894" s="13">
        <f t="shared" si="27"/>
        <v>0.99969999999999215</v>
      </c>
    </row>
    <row r="895" spans="1:6" x14ac:dyDescent="0.25">
      <c r="A895" s="56">
        <v>453233131.60000002</v>
      </c>
      <c r="C895" s="11">
        <v>890000000</v>
      </c>
      <c r="D895" s="12">
        <v>0</v>
      </c>
      <c r="E895" s="13">
        <f t="shared" si="26"/>
        <v>0</v>
      </c>
      <c r="F895" s="13">
        <f t="shared" si="27"/>
        <v>0.99969999999999215</v>
      </c>
    </row>
    <row r="896" spans="1:6" x14ac:dyDescent="0.25">
      <c r="A896" s="56">
        <v>128126498.90000001</v>
      </c>
      <c r="C896" s="11">
        <v>891000000</v>
      </c>
      <c r="D896" s="12">
        <v>0</v>
      </c>
      <c r="E896" s="13">
        <f t="shared" si="26"/>
        <v>0</v>
      </c>
      <c r="F896" s="13">
        <f t="shared" si="27"/>
        <v>0.99969999999999215</v>
      </c>
    </row>
    <row r="897" spans="1:6" x14ac:dyDescent="0.25">
      <c r="A897" s="56">
        <v>12177193</v>
      </c>
      <c r="C897" s="11">
        <v>892000000</v>
      </c>
      <c r="D897" s="12">
        <v>0</v>
      </c>
      <c r="E897" s="13">
        <f t="shared" si="26"/>
        <v>0</v>
      </c>
      <c r="F897" s="13">
        <f t="shared" si="27"/>
        <v>0.99969999999999215</v>
      </c>
    </row>
    <row r="898" spans="1:6" x14ac:dyDescent="0.25">
      <c r="A898" s="56">
        <v>406074821.80000001</v>
      </c>
      <c r="C898" s="11">
        <v>893000000</v>
      </c>
      <c r="D898" s="12">
        <v>0</v>
      </c>
      <c r="E898" s="13">
        <f t="shared" si="26"/>
        <v>0</v>
      </c>
      <c r="F898" s="13">
        <f t="shared" si="27"/>
        <v>0.99969999999999215</v>
      </c>
    </row>
    <row r="899" spans="1:6" x14ac:dyDescent="0.25">
      <c r="A899" s="56">
        <v>68061147.099999905</v>
      </c>
      <c r="C899" s="11">
        <v>894000000</v>
      </c>
      <c r="D899" s="12">
        <v>0</v>
      </c>
      <c r="E899" s="13">
        <f t="shared" si="26"/>
        <v>0</v>
      </c>
      <c r="F899" s="13">
        <f t="shared" si="27"/>
        <v>0.99969999999999215</v>
      </c>
    </row>
    <row r="900" spans="1:6" x14ac:dyDescent="0.25">
      <c r="A900" s="56">
        <v>33133722.300000001</v>
      </c>
      <c r="C900" s="11">
        <v>895000000</v>
      </c>
      <c r="D900" s="12">
        <v>0</v>
      </c>
      <c r="E900" s="13">
        <f t="shared" si="26"/>
        <v>0</v>
      </c>
      <c r="F900" s="13">
        <f t="shared" si="27"/>
        <v>0.99969999999999215</v>
      </c>
    </row>
    <row r="901" spans="1:6" x14ac:dyDescent="0.25">
      <c r="A901" s="56">
        <v>8089941.9999999898</v>
      </c>
      <c r="C901" s="11">
        <v>896000000</v>
      </c>
      <c r="D901" s="12">
        <v>0</v>
      </c>
      <c r="E901" s="13">
        <f t="shared" ref="E901:E964" si="28">D901/10000</f>
        <v>0</v>
      </c>
      <c r="F901" s="13">
        <f t="shared" si="27"/>
        <v>0.99969999999999215</v>
      </c>
    </row>
    <row r="902" spans="1:6" x14ac:dyDescent="0.25">
      <c r="A902" s="56">
        <v>175011536.09999999</v>
      </c>
      <c r="C902" s="11">
        <v>897000000</v>
      </c>
      <c r="D902" s="12">
        <v>0</v>
      </c>
      <c r="E902" s="13">
        <f t="shared" si="28"/>
        <v>0</v>
      </c>
      <c r="F902" s="13">
        <f t="shared" ref="F902:F965" si="29">E902+F901</f>
        <v>0.99969999999999215</v>
      </c>
    </row>
    <row r="903" spans="1:6" x14ac:dyDescent="0.25">
      <c r="A903" s="56">
        <v>243092825.19999999</v>
      </c>
      <c r="C903" s="11">
        <v>898000000</v>
      </c>
      <c r="D903" s="12">
        <v>0</v>
      </c>
      <c r="E903" s="13">
        <f t="shared" si="28"/>
        <v>0</v>
      </c>
      <c r="F903" s="13">
        <f t="shared" si="29"/>
        <v>0.99969999999999215</v>
      </c>
    </row>
    <row r="904" spans="1:6" x14ac:dyDescent="0.25">
      <c r="A904" s="56">
        <v>1059340</v>
      </c>
      <c r="C904" s="11">
        <v>899000000</v>
      </c>
      <c r="D904" s="12">
        <v>0</v>
      </c>
      <c r="E904" s="13">
        <f t="shared" si="28"/>
        <v>0</v>
      </c>
      <c r="F904" s="13">
        <f t="shared" si="29"/>
        <v>0.99969999999999215</v>
      </c>
    </row>
    <row r="905" spans="1:6" x14ac:dyDescent="0.25">
      <c r="A905" s="56">
        <v>8577860.8000000007</v>
      </c>
      <c r="C905" s="11">
        <v>900000000</v>
      </c>
      <c r="D905" s="12">
        <v>0</v>
      </c>
      <c r="E905" s="13">
        <f t="shared" si="28"/>
        <v>0</v>
      </c>
      <c r="F905" s="13">
        <f t="shared" si="29"/>
        <v>0.99969999999999215</v>
      </c>
    </row>
    <row r="906" spans="1:6" x14ac:dyDescent="0.25">
      <c r="A906" s="56">
        <v>43423835.200000003</v>
      </c>
      <c r="C906" s="11">
        <v>901000000</v>
      </c>
      <c r="D906" s="12">
        <v>0</v>
      </c>
      <c r="E906" s="13">
        <f t="shared" si="28"/>
        <v>0</v>
      </c>
      <c r="F906" s="13">
        <f t="shared" si="29"/>
        <v>0.99969999999999215</v>
      </c>
    </row>
    <row r="907" spans="1:6" x14ac:dyDescent="0.25">
      <c r="A907" s="56">
        <v>0</v>
      </c>
      <c r="C907" s="11">
        <v>902000000</v>
      </c>
      <c r="D907" s="12">
        <v>0</v>
      </c>
      <c r="E907" s="13">
        <f t="shared" si="28"/>
        <v>0</v>
      </c>
      <c r="F907" s="13">
        <f t="shared" si="29"/>
        <v>0.99969999999999215</v>
      </c>
    </row>
    <row r="908" spans="1:6" x14ac:dyDescent="0.25">
      <c r="A908" s="56">
        <v>13889554.1</v>
      </c>
      <c r="C908" s="11">
        <v>903000000</v>
      </c>
      <c r="D908" s="12">
        <v>0</v>
      </c>
      <c r="E908" s="13">
        <f t="shared" si="28"/>
        <v>0</v>
      </c>
      <c r="F908" s="13">
        <f t="shared" si="29"/>
        <v>0.99969999999999215</v>
      </c>
    </row>
    <row r="909" spans="1:6" x14ac:dyDescent="0.25">
      <c r="A909" s="56">
        <v>51019230.799999997</v>
      </c>
      <c r="C909" s="11">
        <v>904000000</v>
      </c>
      <c r="D909" s="12">
        <v>0</v>
      </c>
      <c r="E909" s="13">
        <f t="shared" si="28"/>
        <v>0</v>
      </c>
      <c r="F909" s="13">
        <f t="shared" si="29"/>
        <v>0.99969999999999215</v>
      </c>
    </row>
    <row r="910" spans="1:6" x14ac:dyDescent="0.25">
      <c r="A910" s="56">
        <v>4222163</v>
      </c>
      <c r="C910" s="11">
        <v>905000000</v>
      </c>
      <c r="D910" s="12">
        <v>0</v>
      </c>
      <c r="E910" s="13">
        <f t="shared" si="28"/>
        <v>0</v>
      </c>
      <c r="F910" s="13">
        <f t="shared" si="29"/>
        <v>0.99969999999999215</v>
      </c>
    </row>
    <row r="911" spans="1:6" x14ac:dyDescent="0.25">
      <c r="A911" s="56">
        <v>7424875.7999999998</v>
      </c>
      <c r="C911" s="11">
        <v>906000000</v>
      </c>
      <c r="D911" s="12">
        <v>0</v>
      </c>
      <c r="E911" s="13">
        <f t="shared" si="28"/>
        <v>0</v>
      </c>
      <c r="F911" s="13">
        <f t="shared" si="29"/>
        <v>0.99969999999999215</v>
      </c>
    </row>
    <row r="912" spans="1:6" x14ac:dyDescent="0.25">
      <c r="A912" s="56">
        <v>11479592.6</v>
      </c>
      <c r="C912" s="11">
        <v>907000000</v>
      </c>
      <c r="D912" s="12">
        <v>0</v>
      </c>
      <c r="E912" s="13">
        <f t="shared" si="28"/>
        <v>0</v>
      </c>
      <c r="F912" s="13">
        <f t="shared" si="29"/>
        <v>0.99969999999999215</v>
      </c>
    </row>
    <row r="913" spans="1:6" x14ac:dyDescent="0.25">
      <c r="A913" s="56">
        <v>5534102.6999999899</v>
      </c>
      <c r="C913" s="11">
        <v>908000000</v>
      </c>
      <c r="D913" s="12">
        <v>1</v>
      </c>
      <c r="E913" s="13">
        <f t="shared" si="28"/>
        <v>1E-4</v>
      </c>
      <c r="F913" s="13">
        <f t="shared" si="29"/>
        <v>0.99979999999999214</v>
      </c>
    </row>
    <row r="914" spans="1:6" x14ac:dyDescent="0.25">
      <c r="A914" s="56">
        <v>120528.4</v>
      </c>
      <c r="C914" s="11">
        <v>909000000</v>
      </c>
      <c r="D914" s="12">
        <v>0</v>
      </c>
      <c r="E914" s="13">
        <f t="shared" si="28"/>
        <v>0</v>
      </c>
      <c r="F914" s="13">
        <f t="shared" si="29"/>
        <v>0.99979999999999214</v>
      </c>
    </row>
    <row r="915" spans="1:6" x14ac:dyDescent="0.25">
      <c r="A915" s="56">
        <v>25440439.800000001</v>
      </c>
      <c r="C915" s="11">
        <v>910000000</v>
      </c>
      <c r="D915" s="12">
        <v>0</v>
      </c>
      <c r="E915" s="13">
        <f t="shared" si="28"/>
        <v>0</v>
      </c>
      <c r="F915" s="13">
        <f t="shared" si="29"/>
        <v>0.99979999999999214</v>
      </c>
    </row>
    <row r="916" spans="1:6" x14ac:dyDescent="0.25">
      <c r="A916" s="56">
        <v>62064209.399999902</v>
      </c>
      <c r="C916" s="11">
        <v>911000000</v>
      </c>
      <c r="D916" s="12">
        <v>0</v>
      </c>
      <c r="E916" s="13">
        <f t="shared" si="28"/>
        <v>0</v>
      </c>
      <c r="F916" s="13">
        <f t="shared" si="29"/>
        <v>0.99979999999999214</v>
      </c>
    </row>
    <row r="917" spans="1:6" x14ac:dyDescent="0.25">
      <c r="A917" s="56">
        <v>308294387.99999899</v>
      </c>
      <c r="C917" s="11">
        <v>912000000</v>
      </c>
      <c r="D917" s="12">
        <v>0</v>
      </c>
      <c r="E917" s="13">
        <f t="shared" si="28"/>
        <v>0</v>
      </c>
      <c r="F917" s="13">
        <f t="shared" si="29"/>
        <v>0.99979999999999214</v>
      </c>
    </row>
    <row r="918" spans="1:6" x14ac:dyDescent="0.25">
      <c r="A918" s="56">
        <v>5874325.0999999996</v>
      </c>
      <c r="C918" s="11">
        <v>913000000</v>
      </c>
      <c r="D918" s="12">
        <v>0</v>
      </c>
      <c r="E918" s="13">
        <f t="shared" si="28"/>
        <v>0</v>
      </c>
      <c r="F918" s="13">
        <f t="shared" si="29"/>
        <v>0.99979999999999214</v>
      </c>
    </row>
    <row r="919" spans="1:6" x14ac:dyDescent="0.25">
      <c r="A919" s="56">
        <v>74368695.200000003</v>
      </c>
      <c r="C919" s="11">
        <v>914000000</v>
      </c>
      <c r="D919" s="12">
        <v>0</v>
      </c>
      <c r="E919" s="13">
        <f t="shared" si="28"/>
        <v>0</v>
      </c>
      <c r="F919" s="13">
        <f t="shared" si="29"/>
        <v>0.99979999999999214</v>
      </c>
    </row>
    <row r="920" spans="1:6" x14ac:dyDescent="0.25">
      <c r="A920" s="56">
        <v>6886738</v>
      </c>
      <c r="C920" s="11">
        <v>915000000</v>
      </c>
      <c r="D920" s="12">
        <v>0</v>
      </c>
      <c r="E920" s="13">
        <f t="shared" si="28"/>
        <v>0</v>
      </c>
      <c r="F920" s="13">
        <f t="shared" si="29"/>
        <v>0.99979999999999214</v>
      </c>
    </row>
    <row r="921" spans="1:6" x14ac:dyDescent="0.25">
      <c r="A921" s="56">
        <v>6361705</v>
      </c>
      <c r="C921" s="11">
        <v>916000000</v>
      </c>
      <c r="D921" s="12">
        <v>0</v>
      </c>
      <c r="E921" s="13">
        <f t="shared" si="28"/>
        <v>0</v>
      </c>
      <c r="F921" s="13">
        <f t="shared" si="29"/>
        <v>0.99979999999999214</v>
      </c>
    </row>
    <row r="922" spans="1:6" x14ac:dyDescent="0.25">
      <c r="A922" s="56">
        <v>3918991.2</v>
      </c>
      <c r="C922" s="11">
        <v>917000000</v>
      </c>
      <c r="D922" s="12">
        <v>0</v>
      </c>
      <c r="E922" s="13">
        <f t="shared" si="28"/>
        <v>0</v>
      </c>
      <c r="F922" s="13">
        <f t="shared" si="29"/>
        <v>0.99979999999999214</v>
      </c>
    </row>
    <row r="923" spans="1:6" x14ac:dyDescent="0.25">
      <c r="A923" s="56">
        <v>34543190.299999997</v>
      </c>
      <c r="C923" s="11">
        <v>918000000</v>
      </c>
      <c r="D923" s="12">
        <v>0</v>
      </c>
      <c r="E923" s="13">
        <f t="shared" si="28"/>
        <v>0</v>
      </c>
      <c r="F923" s="13">
        <f t="shared" si="29"/>
        <v>0.99979999999999214</v>
      </c>
    </row>
    <row r="924" spans="1:6" x14ac:dyDescent="0.25">
      <c r="A924" s="56">
        <v>19625546.899999999</v>
      </c>
      <c r="C924" s="11">
        <v>919000000</v>
      </c>
      <c r="D924" s="12">
        <v>0</v>
      </c>
      <c r="E924" s="13">
        <f t="shared" si="28"/>
        <v>0</v>
      </c>
      <c r="F924" s="13">
        <f t="shared" si="29"/>
        <v>0.99979999999999214</v>
      </c>
    </row>
    <row r="925" spans="1:6" x14ac:dyDescent="0.25">
      <c r="A925" s="56">
        <v>63859237.899999999</v>
      </c>
      <c r="C925" s="11">
        <v>920000000</v>
      </c>
      <c r="D925" s="12">
        <v>0</v>
      </c>
      <c r="E925" s="13">
        <f t="shared" si="28"/>
        <v>0</v>
      </c>
      <c r="F925" s="13">
        <f t="shared" si="29"/>
        <v>0.99979999999999214</v>
      </c>
    </row>
    <row r="926" spans="1:6" x14ac:dyDescent="0.25">
      <c r="A926" s="56">
        <v>77597306.599999905</v>
      </c>
      <c r="C926" s="11">
        <v>921000000</v>
      </c>
      <c r="D926" s="12">
        <v>0</v>
      </c>
      <c r="E926" s="13">
        <f t="shared" si="28"/>
        <v>0</v>
      </c>
      <c r="F926" s="13">
        <f t="shared" si="29"/>
        <v>0.99979999999999214</v>
      </c>
    </row>
    <row r="927" spans="1:6" x14ac:dyDescent="0.25">
      <c r="A927" s="56">
        <v>9014822.5999999996</v>
      </c>
      <c r="C927" s="11">
        <v>922000000</v>
      </c>
      <c r="D927" s="12">
        <v>0</v>
      </c>
      <c r="E927" s="13">
        <f t="shared" si="28"/>
        <v>0</v>
      </c>
      <c r="F927" s="13">
        <f t="shared" si="29"/>
        <v>0.99979999999999214</v>
      </c>
    </row>
    <row r="928" spans="1:6" x14ac:dyDescent="0.25">
      <c r="A928" s="56">
        <v>269631623</v>
      </c>
      <c r="C928" s="11">
        <v>923000000</v>
      </c>
      <c r="D928" s="12">
        <v>0</v>
      </c>
      <c r="E928" s="13">
        <f t="shared" si="28"/>
        <v>0</v>
      </c>
      <c r="F928" s="13">
        <f t="shared" si="29"/>
        <v>0.99979999999999214</v>
      </c>
    </row>
    <row r="929" spans="1:6" x14ac:dyDescent="0.25">
      <c r="A929" s="56">
        <v>28071975.600000001</v>
      </c>
      <c r="C929" s="11">
        <v>924000000</v>
      </c>
      <c r="D929" s="12">
        <v>0</v>
      </c>
      <c r="E929" s="13">
        <f t="shared" si="28"/>
        <v>0</v>
      </c>
      <c r="F929" s="13">
        <f t="shared" si="29"/>
        <v>0.99979999999999214</v>
      </c>
    </row>
    <row r="930" spans="1:6" x14ac:dyDescent="0.25">
      <c r="A930" s="56">
        <v>6800921.2000000002</v>
      </c>
      <c r="C930" s="11">
        <v>925000000</v>
      </c>
      <c r="D930" s="12">
        <v>0</v>
      </c>
      <c r="E930" s="13">
        <f t="shared" si="28"/>
        <v>0</v>
      </c>
      <c r="F930" s="13">
        <f t="shared" si="29"/>
        <v>0.99979999999999214</v>
      </c>
    </row>
    <row r="931" spans="1:6" x14ac:dyDescent="0.25">
      <c r="A931" s="56">
        <v>437876774.19999999</v>
      </c>
      <c r="C931" s="11">
        <v>926000000</v>
      </c>
      <c r="D931" s="12">
        <v>0</v>
      </c>
      <c r="E931" s="13">
        <f t="shared" si="28"/>
        <v>0</v>
      </c>
      <c r="F931" s="13">
        <f t="shared" si="29"/>
        <v>0.99979999999999214</v>
      </c>
    </row>
    <row r="932" spans="1:6" x14ac:dyDescent="0.25">
      <c r="A932" s="56">
        <v>474315641.10000002</v>
      </c>
      <c r="C932" s="11">
        <v>927000000</v>
      </c>
      <c r="D932" s="12">
        <v>0</v>
      </c>
      <c r="E932" s="13">
        <f t="shared" si="28"/>
        <v>0</v>
      </c>
      <c r="F932" s="13">
        <f t="shared" si="29"/>
        <v>0.99979999999999214</v>
      </c>
    </row>
    <row r="933" spans="1:6" x14ac:dyDescent="0.25">
      <c r="A933" s="56">
        <v>59011987.200000003</v>
      </c>
      <c r="C933" s="11">
        <v>928000000</v>
      </c>
      <c r="D933" s="12">
        <v>0</v>
      </c>
      <c r="E933" s="13">
        <f t="shared" si="28"/>
        <v>0</v>
      </c>
      <c r="F933" s="13">
        <f t="shared" si="29"/>
        <v>0.99979999999999214</v>
      </c>
    </row>
    <row r="934" spans="1:6" x14ac:dyDescent="0.25">
      <c r="A934" s="56">
        <v>63789059.100000001</v>
      </c>
      <c r="C934" s="11">
        <v>929000000</v>
      </c>
      <c r="D934" s="12">
        <v>0</v>
      </c>
      <c r="E934" s="13">
        <f t="shared" si="28"/>
        <v>0</v>
      </c>
      <c r="F934" s="13">
        <f t="shared" si="29"/>
        <v>0.99979999999999214</v>
      </c>
    </row>
    <row r="935" spans="1:6" x14ac:dyDescent="0.25">
      <c r="A935" s="56">
        <v>22961561.399999999</v>
      </c>
      <c r="C935" s="11">
        <v>930000000</v>
      </c>
      <c r="D935" s="12">
        <v>0</v>
      </c>
      <c r="E935" s="13">
        <f t="shared" si="28"/>
        <v>0</v>
      </c>
      <c r="F935" s="13">
        <f t="shared" si="29"/>
        <v>0.99979999999999214</v>
      </c>
    </row>
    <row r="936" spans="1:6" x14ac:dyDescent="0.25">
      <c r="A936" s="56">
        <v>20452983.699999999</v>
      </c>
      <c r="C936" s="11">
        <v>931000000</v>
      </c>
      <c r="D936" s="12">
        <v>0</v>
      </c>
      <c r="E936" s="13">
        <f t="shared" si="28"/>
        <v>0</v>
      </c>
      <c r="F936" s="13">
        <f t="shared" si="29"/>
        <v>0.99979999999999214</v>
      </c>
    </row>
    <row r="937" spans="1:6" x14ac:dyDescent="0.25">
      <c r="A937" s="56">
        <v>14471861.699999999</v>
      </c>
      <c r="C937" s="11">
        <v>932000000</v>
      </c>
      <c r="D937" s="12">
        <v>0</v>
      </c>
      <c r="E937" s="13">
        <f t="shared" si="28"/>
        <v>0</v>
      </c>
      <c r="F937" s="13">
        <f t="shared" si="29"/>
        <v>0.99979999999999214</v>
      </c>
    </row>
    <row r="938" spans="1:6" x14ac:dyDescent="0.25">
      <c r="A938" s="56">
        <v>38127466.599999897</v>
      </c>
      <c r="C938" s="11">
        <v>933000000</v>
      </c>
      <c r="D938" s="12">
        <v>0</v>
      </c>
      <c r="E938" s="13">
        <f t="shared" si="28"/>
        <v>0</v>
      </c>
      <c r="F938" s="13">
        <f t="shared" si="29"/>
        <v>0.99979999999999214</v>
      </c>
    </row>
    <row r="939" spans="1:6" x14ac:dyDescent="0.25">
      <c r="A939" s="56">
        <v>1948908.6</v>
      </c>
      <c r="C939" s="11">
        <v>934000000</v>
      </c>
      <c r="D939" s="12">
        <v>0</v>
      </c>
      <c r="E939" s="13">
        <f t="shared" si="28"/>
        <v>0</v>
      </c>
      <c r="F939" s="13">
        <f t="shared" si="29"/>
        <v>0.99979999999999214</v>
      </c>
    </row>
    <row r="940" spans="1:6" x14ac:dyDescent="0.25">
      <c r="A940" s="56">
        <v>26431055.300000001</v>
      </c>
      <c r="C940" s="11">
        <v>935000000</v>
      </c>
      <c r="D940" s="12">
        <v>0</v>
      </c>
      <c r="E940" s="13">
        <f t="shared" si="28"/>
        <v>0</v>
      </c>
      <c r="F940" s="13">
        <f t="shared" si="29"/>
        <v>0.99979999999999214</v>
      </c>
    </row>
    <row r="941" spans="1:6" x14ac:dyDescent="0.25">
      <c r="A941" s="56">
        <v>10459303.199999999</v>
      </c>
      <c r="C941" s="11">
        <v>936000000</v>
      </c>
      <c r="D941" s="12">
        <v>0</v>
      </c>
      <c r="E941" s="13">
        <f t="shared" si="28"/>
        <v>0</v>
      </c>
      <c r="F941" s="13">
        <f t="shared" si="29"/>
        <v>0.99979999999999214</v>
      </c>
    </row>
    <row r="942" spans="1:6" x14ac:dyDescent="0.25">
      <c r="A942" s="56">
        <v>126700015.3</v>
      </c>
      <c r="C942" s="11">
        <v>937000000</v>
      </c>
      <c r="D942" s="12">
        <v>0</v>
      </c>
      <c r="E942" s="13">
        <f t="shared" si="28"/>
        <v>0</v>
      </c>
      <c r="F942" s="13">
        <f t="shared" si="29"/>
        <v>0.99979999999999214</v>
      </c>
    </row>
    <row r="943" spans="1:6" x14ac:dyDescent="0.25">
      <c r="A943" s="56">
        <v>111618155.40000001</v>
      </c>
      <c r="C943" s="11">
        <v>938000000</v>
      </c>
      <c r="D943" s="12">
        <v>1</v>
      </c>
      <c r="E943" s="13">
        <f t="shared" si="28"/>
        <v>1E-4</v>
      </c>
      <c r="F943" s="13">
        <f t="shared" si="29"/>
        <v>0.99989999999999213</v>
      </c>
    </row>
    <row r="944" spans="1:6" x14ac:dyDescent="0.25">
      <c r="A944" s="56">
        <v>18443570.100000001</v>
      </c>
      <c r="C944" s="11">
        <v>939000000</v>
      </c>
      <c r="D944" s="12">
        <v>0</v>
      </c>
      <c r="E944" s="13">
        <f t="shared" si="28"/>
        <v>0</v>
      </c>
      <c r="F944" s="13">
        <f t="shared" si="29"/>
        <v>0.99989999999999213</v>
      </c>
    </row>
    <row r="945" spans="1:6" x14ac:dyDescent="0.25">
      <c r="A945" s="56">
        <v>0</v>
      </c>
      <c r="C945" s="11">
        <v>940000000</v>
      </c>
      <c r="D945" s="12">
        <v>0</v>
      </c>
      <c r="E945" s="13">
        <f t="shared" si="28"/>
        <v>0</v>
      </c>
      <c r="F945" s="13">
        <f t="shared" si="29"/>
        <v>0.99989999999999213</v>
      </c>
    </row>
    <row r="946" spans="1:6" x14ac:dyDescent="0.25">
      <c r="A946" s="56">
        <v>0</v>
      </c>
      <c r="C946" s="11">
        <v>941000000</v>
      </c>
      <c r="D946" s="12">
        <v>0</v>
      </c>
      <c r="E946" s="13">
        <f t="shared" si="28"/>
        <v>0</v>
      </c>
      <c r="F946" s="13">
        <f t="shared" si="29"/>
        <v>0.99989999999999213</v>
      </c>
    </row>
    <row r="947" spans="1:6" x14ac:dyDescent="0.25">
      <c r="A947" s="56">
        <v>12477851.6</v>
      </c>
      <c r="C947" s="11">
        <v>942000000</v>
      </c>
      <c r="D947" s="12">
        <v>0</v>
      </c>
      <c r="E947" s="13">
        <f t="shared" si="28"/>
        <v>0</v>
      </c>
      <c r="F947" s="13">
        <f t="shared" si="29"/>
        <v>0.99989999999999213</v>
      </c>
    </row>
    <row r="948" spans="1:6" x14ac:dyDescent="0.25">
      <c r="A948" s="56">
        <v>97874428.199999899</v>
      </c>
      <c r="C948" s="11">
        <v>943000000</v>
      </c>
      <c r="D948" s="12">
        <v>0</v>
      </c>
      <c r="E948" s="13">
        <f t="shared" si="28"/>
        <v>0</v>
      </c>
      <c r="F948" s="13">
        <f t="shared" si="29"/>
        <v>0.99989999999999213</v>
      </c>
    </row>
    <row r="949" spans="1:6" x14ac:dyDescent="0.25">
      <c r="A949" s="56">
        <v>52671540.700000003</v>
      </c>
      <c r="C949" s="11">
        <v>944000000</v>
      </c>
      <c r="D949" s="12">
        <v>0</v>
      </c>
      <c r="E949" s="13">
        <f t="shared" si="28"/>
        <v>0</v>
      </c>
      <c r="F949" s="13">
        <f t="shared" si="29"/>
        <v>0.99989999999999213</v>
      </c>
    </row>
    <row r="950" spans="1:6" x14ac:dyDescent="0.25">
      <c r="A950" s="56">
        <v>255997922.09999999</v>
      </c>
      <c r="C950" s="11">
        <v>945000000</v>
      </c>
      <c r="D950" s="12">
        <v>0</v>
      </c>
      <c r="E950" s="13">
        <f t="shared" si="28"/>
        <v>0</v>
      </c>
      <c r="F950" s="13">
        <f t="shared" si="29"/>
        <v>0.99989999999999213</v>
      </c>
    </row>
    <row r="951" spans="1:6" x14ac:dyDescent="0.25">
      <c r="A951" s="56">
        <v>55648536.5</v>
      </c>
      <c r="C951" s="11">
        <v>946000000</v>
      </c>
      <c r="D951" s="12">
        <v>0</v>
      </c>
      <c r="E951" s="13">
        <f t="shared" si="28"/>
        <v>0</v>
      </c>
      <c r="F951" s="13">
        <f t="shared" si="29"/>
        <v>0.99989999999999213</v>
      </c>
    </row>
    <row r="952" spans="1:6" x14ac:dyDescent="0.25">
      <c r="A952" s="56">
        <v>5923989.7999999998</v>
      </c>
      <c r="C952" s="11">
        <v>947000000</v>
      </c>
      <c r="D952" s="12">
        <v>0</v>
      </c>
      <c r="E952" s="13">
        <f t="shared" si="28"/>
        <v>0</v>
      </c>
      <c r="F952" s="13">
        <f t="shared" si="29"/>
        <v>0.99989999999999213</v>
      </c>
    </row>
    <row r="953" spans="1:6" x14ac:dyDescent="0.25">
      <c r="A953" s="56">
        <v>5895068.8999999901</v>
      </c>
      <c r="C953" s="11">
        <v>948000000</v>
      </c>
      <c r="D953" s="12">
        <v>0</v>
      </c>
      <c r="E953" s="13">
        <f t="shared" si="28"/>
        <v>0</v>
      </c>
      <c r="F953" s="13">
        <f t="shared" si="29"/>
        <v>0.99989999999999213</v>
      </c>
    </row>
    <row r="954" spans="1:6" x14ac:dyDescent="0.25">
      <c r="A954" s="56">
        <v>41104848.200000003</v>
      </c>
      <c r="C954" s="11">
        <v>949000000</v>
      </c>
      <c r="D954" s="12">
        <v>0</v>
      </c>
      <c r="E954" s="13">
        <f t="shared" si="28"/>
        <v>0</v>
      </c>
      <c r="F954" s="13">
        <f t="shared" si="29"/>
        <v>0.99989999999999213</v>
      </c>
    </row>
    <row r="955" spans="1:6" x14ac:dyDescent="0.25">
      <c r="A955" s="56">
        <v>8401533.1999999899</v>
      </c>
      <c r="C955" s="11">
        <v>950000000</v>
      </c>
      <c r="D955" s="12">
        <v>0</v>
      </c>
      <c r="E955" s="13">
        <f t="shared" si="28"/>
        <v>0</v>
      </c>
      <c r="F955" s="13">
        <f t="shared" si="29"/>
        <v>0.99989999999999213</v>
      </c>
    </row>
    <row r="956" spans="1:6" x14ac:dyDescent="0.25">
      <c r="A956" s="56">
        <v>0</v>
      </c>
      <c r="C956" s="11">
        <v>951000000</v>
      </c>
      <c r="D956" s="12">
        <v>0</v>
      </c>
      <c r="E956" s="13">
        <f t="shared" si="28"/>
        <v>0</v>
      </c>
      <c r="F956" s="13">
        <f t="shared" si="29"/>
        <v>0.99989999999999213</v>
      </c>
    </row>
    <row r="957" spans="1:6" x14ac:dyDescent="0.25">
      <c r="A957" s="56">
        <v>10252718.800000001</v>
      </c>
      <c r="C957" s="11">
        <v>952000000</v>
      </c>
      <c r="D957" s="12">
        <v>0</v>
      </c>
      <c r="E957" s="13">
        <f t="shared" si="28"/>
        <v>0</v>
      </c>
      <c r="F957" s="13">
        <f t="shared" si="29"/>
        <v>0.99989999999999213</v>
      </c>
    </row>
    <row r="958" spans="1:6" x14ac:dyDescent="0.25">
      <c r="A958" s="56">
        <v>171451883.19999999</v>
      </c>
      <c r="C958" s="11">
        <v>953000000</v>
      </c>
      <c r="D958" s="12">
        <v>0</v>
      </c>
      <c r="E958" s="13">
        <f t="shared" si="28"/>
        <v>0</v>
      </c>
      <c r="F958" s="13">
        <f t="shared" si="29"/>
        <v>0.99989999999999213</v>
      </c>
    </row>
    <row r="959" spans="1:6" x14ac:dyDescent="0.25">
      <c r="A959" s="56">
        <v>23190877.199999999</v>
      </c>
      <c r="C959" s="11">
        <v>954000000</v>
      </c>
      <c r="D959" s="12">
        <v>0</v>
      </c>
      <c r="E959" s="13">
        <f t="shared" si="28"/>
        <v>0</v>
      </c>
      <c r="F959" s="13">
        <f t="shared" si="29"/>
        <v>0.99989999999999213</v>
      </c>
    </row>
    <row r="960" spans="1:6" x14ac:dyDescent="0.25">
      <c r="A960" s="56">
        <v>97249207.999999896</v>
      </c>
      <c r="C960" s="11">
        <v>955000000</v>
      </c>
      <c r="D960" s="12">
        <v>0</v>
      </c>
      <c r="E960" s="13">
        <f t="shared" si="28"/>
        <v>0</v>
      </c>
      <c r="F960" s="13">
        <f t="shared" si="29"/>
        <v>0.99989999999999213</v>
      </c>
    </row>
    <row r="961" spans="1:6" x14ac:dyDescent="0.25">
      <c r="A961" s="56">
        <v>13127739.6</v>
      </c>
      <c r="C961" s="11">
        <v>956000000</v>
      </c>
      <c r="D961" s="12">
        <v>0</v>
      </c>
      <c r="E961" s="13">
        <f t="shared" si="28"/>
        <v>0</v>
      </c>
      <c r="F961" s="13">
        <f t="shared" si="29"/>
        <v>0.99989999999999213</v>
      </c>
    </row>
    <row r="962" spans="1:6" x14ac:dyDescent="0.25">
      <c r="A962" s="56">
        <v>9210455.5</v>
      </c>
      <c r="C962" s="11">
        <v>957000000</v>
      </c>
      <c r="D962" s="12">
        <v>0</v>
      </c>
      <c r="E962" s="13">
        <f t="shared" si="28"/>
        <v>0</v>
      </c>
      <c r="F962" s="13">
        <f t="shared" si="29"/>
        <v>0.99989999999999213</v>
      </c>
    </row>
    <row r="963" spans="1:6" x14ac:dyDescent="0.25">
      <c r="A963" s="56">
        <v>17118007.199999999</v>
      </c>
      <c r="C963" s="11">
        <v>958000000</v>
      </c>
      <c r="D963" s="12">
        <v>0</v>
      </c>
      <c r="E963" s="13">
        <f t="shared" si="28"/>
        <v>0</v>
      </c>
      <c r="F963" s="13">
        <f t="shared" si="29"/>
        <v>0.99989999999999213</v>
      </c>
    </row>
    <row r="964" spans="1:6" x14ac:dyDescent="0.25">
      <c r="A964" s="56">
        <v>11558203</v>
      </c>
      <c r="C964" s="11">
        <v>959000000</v>
      </c>
      <c r="D964" s="12">
        <v>0</v>
      </c>
      <c r="E964" s="13">
        <f t="shared" si="28"/>
        <v>0</v>
      </c>
      <c r="F964" s="13">
        <f t="shared" si="29"/>
        <v>0.99989999999999213</v>
      </c>
    </row>
    <row r="965" spans="1:6" x14ac:dyDescent="0.25">
      <c r="A965" s="56">
        <v>17789939.300000001</v>
      </c>
      <c r="C965" s="11">
        <v>960000000</v>
      </c>
      <c r="D965" s="12">
        <v>0</v>
      </c>
      <c r="E965" s="13">
        <f t="shared" ref="E965:E1028" si="30">D965/10000</f>
        <v>0</v>
      </c>
      <c r="F965" s="13">
        <f t="shared" si="29"/>
        <v>0.99989999999999213</v>
      </c>
    </row>
    <row r="966" spans="1:6" x14ac:dyDescent="0.25">
      <c r="A966" s="56">
        <v>0</v>
      </c>
      <c r="C966" s="11">
        <v>961000000</v>
      </c>
      <c r="D966" s="12">
        <v>0</v>
      </c>
      <c r="E966" s="13">
        <f t="shared" si="30"/>
        <v>0</v>
      </c>
      <c r="F966" s="13">
        <f t="shared" ref="F966:F1029" si="31">E966+F965</f>
        <v>0.99989999999999213</v>
      </c>
    </row>
    <row r="967" spans="1:6" x14ac:dyDescent="0.25">
      <c r="A967" s="56">
        <v>112769027.8</v>
      </c>
      <c r="C967" s="11">
        <v>962000000</v>
      </c>
      <c r="D967" s="12">
        <v>0</v>
      </c>
      <c r="E967" s="13">
        <f t="shared" si="30"/>
        <v>0</v>
      </c>
      <c r="F967" s="13">
        <f t="shared" si="31"/>
        <v>0.99989999999999213</v>
      </c>
    </row>
    <row r="968" spans="1:6" x14ac:dyDescent="0.25">
      <c r="A968" s="56">
        <v>0</v>
      </c>
      <c r="C968" s="11">
        <v>963000000</v>
      </c>
      <c r="D968" s="12">
        <v>0</v>
      </c>
      <c r="E968" s="13">
        <f t="shared" si="30"/>
        <v>0</v>
      </c>
      <c r="F968" s="13">
        <f t="shared" si="31"/>
        <v>0.99989999999999213</v>
      </c>
    </row>
    <row r="969" spans="1:6" x14ac:dyDescent="0.25">
      <c r="A969" s="56">
        <v>285657038</v>
      </c>
      <c r="C969" s="11">
        <v>964000000</v>
      </c>
      <c r="D969" s="12">
        <v>0</v>
      </c>
      <c r="E969" s="13">
        <f t="shared" si="30"/>
        <v>0</v>
      </c>
      <c r="F969" s="13">
        <f t="shared" si="31"/>
        <v>0.99989999999999213</v>
      </c>
    </row>
    <row r="970" spans="1:6" x14ac:dyDescent="0.25">
      <c r="A970" s="56">
        <v>18939852.800000001</v>
      </c>
      <c r="C970" s="11">
        <v>965000000</v>
      </c>
      <c r="D970" s="12">
        <v>0</v>
      </c>
      <c r="E970" s="13">
        <f t="shared" si="30"/>
        <v>0</v>
      </c>
      <c r="F970" s="13">
        <f t="shared" si="31"/>
        <v>0.99989999999999213</v>
      </c>
    </row>
    <row r="971" spans="1:6" x14ac:dyDescent="0.25">
      <c r="A971" s="56">
        <v>106411577.3</v>
      </c>
      <c r="C971" s="11">
        <v>966000000</v>
      </c>
      <c r="D971" s="12">
        <v>0</v>
      </c>
      <c r="E971" s="13">
        <f t="shared" si="30"/>
        <v>0</v>
      </c>
      <c r="F971" s="13">
        <f t="shared" si="31"/>
        <v>0.99989999999999213</v>
      </c>
    </row>
    <row r="972" spans="1:6" x14ac:dyDescent="0.25">
      <c r="A972" s="56">
        <v>145421859.30000001</v>
      </c>
      <c r="C972" s="11">
        <v>967000000</v>
      </c>
      <c r="D972" s="12">
        <v>0</v>
      </c>
      <c r="E972" s="13">
        <f t="shared" si="30"/>
        <v>0</v>
      </c>
      <c r="F972" s="13">
        <f t="shared" si="31"/>
        <v>0.99989999999999213</v>
      </c>
    </row>
    <row r="973" spans="1:6" x14ac:dyDescent="0.25">
      <c r="A973" s="56">
        <v>63027199.700000003</v>
      </c>
      <c r="C973" s="11">
        <v>968000000</v>
      </c>
      <c r="D973" s="12">
        <v>0</v>
      </c>
      <c r="E973" s="13">
        <f t="shared" si="30"/>
        <v>0</v>
      </c>
      <c r="F973" s="13">
        <f t="shared" si="31"/>
        <v>0.99989999999999213</v>
      </c>
    </row>
    <row r="974" spans="1:6" x14ac:dyDescent="0.25">
      <c r="A974" s="56">
        <v>22444316.100000001</v>
      </c>
      <c r="C974" s="11">
        <v>969000000</v>
      </c>
      <c r="D974" s="12">
        <v>0</v>
      </c>
      <c r="E974" s="13">
        <f t="shared" si="30"/>
        <v>0</v>
      </c>
      <c r="F974" s="13">
        <f t="shared" si="31"/>
        <v>0.99989999999999213</v>
      </c>
    </row>
    <row r="975" spans="1:6" x14ac:dyDescent="0.25">
      <c r="A975" s="56">
        <v>12912110.699999999</v>
      </c>
      <c r="C975" s="11">
        <v>970000000</v>
      </c>
      <c r="D975" s="12">
        <v>0</v>
      </c>
      <c r="E975" s="13">
        <f t="shared" si="30"/>
        <v>0</v>
      </c>
      <c r="F975" s="13">
        <f t="shared" si="31"/>
        <v>0.99989999999999213</v>
      </c>
    </row>
    <row r="976" spans="1:6" x14ac:dyDescent="0.25">
      <c r="A976" s="56">
        <v>142782706.09999999</v>
      </c>
      <c r="C976" s="11">
        <v>971000000</v>
      </c>
      <c r="D976" s="12">
        <v>0</v>
      </c>
      <c r="E976" s="13">
        <f t="shared" si="30"/>
        <v>0</v>
      </c>
      <c r="F976" s="13">
        <f t="shared" si="31"/>
        <v>0.99989999999999213</v>
      </c>
    </row>
    <row r="977" spans="1:6" x14ac:dyDescent="0.25">
      <c r="A977" s="56">
        <v>15608368.5</v>
      </c>
      <c r="C977" s="11">
        <v>972000000</v>
      </c>
      <c r="D977" s="12">
        <v>0</v>
      </c>
      <c r="E977" s="13">
        <f t="shared" si="30"/>
        <v>0</v>
      </c>
      <c r="F977" s="13">
        <f t="shared" si="31"/>
        <v>0.99989999999999213</v>
      </c>
    </row>
    <row r="978" spans="1:6" x14ac:dyDescent="0.25">
      <c r="A978" s="56">
        <v>0</v>
      </c>
      <c r="C978" s="11">
        <v>973000000</v>
      </c>
      <c r="D978" s="12">
        <v>0</v>
      </c>
      <c r="E978" s="13">
        <f t="shared" si="30"/>
        <v>0</v>
      </c>
      <c r="F978" s="13">
        <f t="shared" si="31"/>
        <v>0.99989999999999213</v>
      </c>
    </row>
    <row r="979" spans="1:6" x14ac:dyDescent="0.25">
      <c r="A979" s="56">
        <v>147408517.09999999</v>
      </c>
      <c r="C979" s="11">
        <v>974000000</v>
      </c>
      <c r="D979" s="12">
        <v>0</v>
      </c>
      <c r="E979" s="13">
        <f t="shared" si="30"/>
        <v>0</v>
      </c>
      <c r="F979" s="13">
        <f t="shared" si="31"/>
        <v>0.99989999999999213</v>
      </c>
    </row>
    <row r="980" spans="1:6" x14ac:dyDescent="0.25">
      <c r="A980" s="56">
        <v>29359738.800000001</v>
      </c>
      <c r="C980" s="11">
        <v>975000000</v>
      </c>
      <c r="D980" s="12">
        <v>0</v>
      </c>
      <c r="E980" s="13">
        <f t="shared" si="30"/>
        <v>0</v>
      </c>
      <c r="F980" s="13">
        <f t="shared" si="31"/>
        <v>0.99989999999999213</v>
      </c>
    </row>
    <row r="981" spans="1:6" x14ac:dyDescent="0.25">
      <c r="A981" s="56">
        <v>48721017.700000003</v>
      </c>
      <c r="C981" s="11">
        <v>976000000</v>
      </c>
      <c r="D981" s="12">
        <v>0</v>
      </c>
      <c r="E981" s="13">
        <f t="shared" si="30"/>
        <v>0</v>
      </c>
      <c r="F981" s="13">
        <f t="shared" si="31"/>
        <v>0.99989999999999213</v>
      </c>
    </row>
    <row r="982" spans="1:6" x14ac:dyDescent="0.25">
      <c r="A982" s="56">
        <v>57169190.799999997</v>
      </c>
      <c r="C982" s="11">
        <v>977000000</v>
      </c>
      <c r="D982" s="12">
        <v>0</v>
      </c>
      <c r="E982" s="13">
        <f t="shared" si="30"/>
        <v>0</v>
      </c>
      <c r="F982" s="13">
        <f t="shared" si="31"/>
        <v>0.99989999999999213</v>
      </c>
    </row>
    <row r="983" spans="1:6" x14ac:dyDescent="0.25">
      <c r="A983" s="56">
        <v>247679152.90000001</v>
      </c>
      <c r="C983" s="11">
        <v>978000000</v>
      </c>
      <c r="D983" s="12">
        <v>0</v>
      </c>
      <c r="E983" s="13">
        <f t="shared" si="30"/>
        <v>0</v>
      </c>
      <c r="F983" s="13">
        <f t="shared" si="31"/>
        <v>0.99989999999999213</v>
      </c>
    </row>
    <row r="984" spans="1:6" x14ac:dyDescent="0.25">
      <c r="A984" s="56">
        <v>101890301.59999999</v>
      </c>
      <c r="C984" s="11">
        <v>979000000</v>
      </c>
      <c r="D984" s="12">
        <v>0</v>
      </c>
      <c r="E984" s="13">
        <f t="shared" si="30"/>
        <v>0</v>
      </c>
      <c r="F984" s="13">
        <f t="shared" si="31"/>
        <v>0.99989999999999213</v>
      </c>
    </row>
    <row r="985" spans="1:6" x14ac:dyDescent="0.25">
      <c r="A985" s="56">
        <v>0</v>
      </c>
      <c r="C985" s="11">
        <v>980000000</v>
      </c>
      <c r="D985" s="12">
        <v>0</v>
      </c>
      <c r="E985" s="13">
        <f t="shared" si="30"/>
        <v>0</v>
      </c>
      <c r="F985" s="13">
        <f t="shared" si="31"/>
        <v>0.99989999999999213</v>
      </c>
    </row>
    <row r="986" spans="1:6" x14ac:dyDescent="0.25">
      <c r="A986" s="56">
        <v>0</v>
      </c>
      <c r="C986" s="11">
        <v>981000000</v>
      </c>
      <c r="D986" s="12">
        <v>0</v>
      </c>
      <c r="E986" s="13">
        <f t="shared" si="30"/>
        <v>0</v>
      </c>
      <c r="F986" s="13">
        <f t="shared" si="31"/>
        <v>0.99989999999999213</v>
      </c>
    </row>
    <row r="987" spans="1:6" x14ac:dyDescent="0.25">
      <c r="A987" s="56">
        <v>229830148.09999999</v>
      </c>
      <c r="C987" s="11">
        <v>982000000</v>
      </c>
      <c r="D987" s="12">
        <v>0</v>
      </c>
      <c r="E987" s="13">
        <f t="shared" si="30"/>
        <v>0</v>
      </c>
      <c r="F987" s="13">
        <f t="shared" si="31"/>
        <v>0.99989999999999213</v>
      </c>
    </row>
    <row r="988" spans="1:6" x14ac:dyDescent="0.25">
      <c r="A988" s="56">
        <v>231938552.40000001</v>
      </c>
      <c r="C988" s="11">
        <v>983000000</v>
      </c>
      <c r="D988" s="12">
        <v>0</v>
      </c>
      <c r="E988" s="13">
        <f t="shared" si="30"/>
        <v>0</v>
      </c>
      <c r="F988" s="13">
        <f t="shared" si="31"/>
        <v>0.99989999999999213</v>
      </c>
    </row>
    <row r="989" spans="1:6" x14ac:dyDescent="0.25">
      <c r="A989" s="56">
        <v>6804188.2999999998</v>
      </c>
      <c r="C989" s="11">
        <v>984000000</v>
      </c>
      <c r="D989" s="12">
        <v>0</v>
      </c>
      <c r="E989" s="13">
        <f t="shared" si="30"/>
        <v>0</v>
      </c>
      <c r="F989" s="13">
        <f t="shared" si="31"/>
        <v>0.99989999999999213</v>
      </c>
    </row>
    <row r="990" spans="1:6" x14ac:dyDescent="0.25">
      <c r="A990" s="56">
        <v>109656620.7</v>
      </c>
      <c r="C990" s="11">
        <v>985000000</v>
      </c>
      <c r="D990" s="12">
        <v>0</v>
      </c>
      <c r="E990" s="13">
        <f t="shared" si="30"/>
        <v>0</v>
      </c>
      <c r="F990" s="13">
        <f t="shared" si="31"/>
        <v>0.99989999999999213</v>
      </c>
    </row>
    <row r="991" spans="1:6" x14ac:dyDescent="0.25">
      <c r="A991" s="56">
        <v>10624417.800000001</v>
      </c>
      <c r="C991" s="11">
        <v>986000000</v>
      </c>
      <c r="D991" s="12">
        <v>0</v>
      </c>
      <c r="E991" s="13">
        <f t="shared" si="30"/>
        <v>0</v>
      </c>
      <c r="F991" s="13">
        <f t="shared" si="31"/>
        <v>0.99989999999999213</v>
      </c>
    </row>
    <row r="992" spans="1:6" x14ac:dyDescent="0.25">
      <c r="A992" s="56">
        <v>19430208.5</v>
      </c>
      <c r="C992" s="11">
        <v>987000000</v>
      </c>
      <c r="D992" s="12">
        <v>0</v>
      </c>
      <c r="E992" s="13">
        <f t="shared" si="30"/>
        <v>0</v>
      </c>
      <c r="F992" s="13">
        <f t="shared" si="31"/>
        <v>0.99989999999999213</v>
      </c>
    </row>
    <row r="993" spans="1:7" x14ac:dyDescent="0.25">
      <c r="A993" s="56">
        <v>308189488.89999998</v>
      </c>
      <c r="C993" s="11">
        <v>988000000</v>
      </c>
      <c r="D993" s="12">
        <v>0</v>
      </c>
      <c r="E993" s="13">
        <f t="shared" si="30"/>
        <v>0</v>
      </c>
      <c r="F993" s="13">
        <f t="shared" si="31"/>
        <v>0.99989999999999213</v>
      </c>
    </row>
    <row r="994" spans="1:7" x14ac:dyDescent="0.25">
      <c r="A994" s="56">
        <v>1135644.3999999999</v>
      </c>
      <c r="C994" s="11">
        <v>989000000</v>
      </c>
      <c r="D994" s="12">
        <v>0</v>
      </c>
      <c r="E994" s="13">
        <f t="shared" si="30"/>
        <v>0</v>
      </c>
      <c r="F994" s="13">
        <f t="shared" si="31"/>
        <v>0.99989999999999213</v>
      </c>
    </row>
    <row r="995" spans="1:7" x14ac:dyDescent="0.25">
      <c r="A995" s="56">
        <v>21196460.5</v>
      </c>
      <c r="C995" s="11">
        <v>990000000</v>
      </c>
      <c r="D995" s="12">
        <v>0</v>
      </c>
      <c r="E995" s="13">
        <f t="shared" si="30"/>
        <v>0</v>
      </c>
      <c r="F995" s="13">
        <f t="shared" si="31"/>
        <v>0.99989999999999213</v>
      </c>
    </row>
    <row r="996" spans="1:7" x14ac:dyDescent="0.25">
      <c r="A996" s="56">
        <v>4785894</v>
      </c>
      <c r="C996" s="11">
        <v>991000000</v>
      </c>
      <c r="D996" s="12">
        <v>0</v>
      </c>
      <c r="E996" s="13">
        <f t="shared" si="30"/>
        <v>0</v>
      </c>
      <c r="F996" s="13">
        <f t="shared" si="31"/>
        <v>0.99989999999999213</v>
      </c>
    </row>
    <row r="997" spans="1:7" x14ac:dyDescent="0.25">
      <c r="A997" s="56">
        <v>4821322</v>
      </c>
      <c r="C997" s="11">
        <v>992000000</v>
      </c>
      <c r="D997" s="12">
        <v>0</v>
      </c>
      <c r="E997" s="13">
        <f t="shared" si="30"/>
        <v>0</v>
      </c>
      <c r="F997" s="13">
        <f t="shared" si="31"/>
        <v>0.99989999999999213</v>
      </c>
    </row>
    <row r="998" spans="1:7" x14ac:dyDescent="0.25">
      <c r="A998" s="56">
        <v>39038420.5</v>
      </c>
      <c r="C998" s="11">
        <v>993000000</v>
      </c>
      <c r="D998" s="12">
        <v>1</v>
      </c>
      <c r="E998" s="13">
        <f t="shared" si="30"/>
        <v>1E-4</v>
      </c>
      <c r="F998" s="13">
        <f t="shared" si="31"/>
        <v>0.99999999999999212</v>
      </c>
      <c r="G998" t="s">
        <v>65</v>
      </c>
    </row>
    <row r="999" spans="1:7" x14ac:dyDescent="0.25">
      <c r="A999" s="56">
        <v>37996514.700000003</v>
      </c>
    </row>
    <row r="1000" spans="1:7" x14ac:dyDescent="0.25">
      <c r="A1000" s="56">
        <v>5737285.3999999901</v>
      </c>
    </row>
    <row r="1001" spans="1:7" x14ac:dyDescent="0.25">
      <c r="A1001" s="56">
        <v>660150454.70000005</v>
      </c>
    </row>
    <row r="1002" spans="1:7" x14ac:dyDescent="0.25">
      <c r="A1002" s="56">
        <v>860590.8</v>
      </c>
    </row>
    <row r="1003" spans="1:7" x14ac:dyDescent="0.25">
      <c r="A1003" s="56">
        <v>8042876.5999999996</v>
      </c>
    </row>
    <row r="1004" spans="1:7" x14ac:dyDescent="0.25">
      <c r="A1004" s="56">
        <v>82704013.199999899</v>
      </c>
    </row>
    <row r="1005" spans="1:7" x14ac:dyDescent="0.25">
      <c r="A1005" s="56">
        <v>23834685.699999999</v>
      </c>
    </row>
    <row r="1006" spans="1:7" x14ac:dyDescent="0.25">
      <c r="A1006" s="56">
        <v>89425835.599999905</v>
      </c>
    </row>
    <row r="1007" spans="1:7" x14ac:dyDescent="0.25">
      <c r="A1007" s="56">
        <v>16177742.6</v>
      </c>
    </row>
    <row r="1008" spans="1:7" x14ac:dyDescent="0.25">
      <c r="A1008" s="56">
        <v>54909163.899999999</v>
      </c>
    </row>
    <row r="1009" spans="1:1" x14ac:dyDescent="0.25">
      <c r="A1009" s="56">
        <v>8624629.2999999896</v>
      </c>
    </row>
    <row r="1010" spans="1:1" x14ac:dyDescent="0.25">
      <c r="A1010" s="56">
        <v>10289850.4</v>
      </c>
    </row>
    <row r="1011" spans="1:1" x14ac:dyDescent="0.25">
      <c r="A1011" s="56">
        <v>0</v>
      </c>
    </row>
    <row r="1012" spans="1:1" x14ac:dyDescent="0.25">
      <c r="A1012" s="56">
        <v>24534803.300000001</v>
      </c>
    </row>
    <row r="1013" spans="1:1" x14ac:dyDescent="0.25">
      <c r="A1013" s="56">
        <v>25423493.300000001</v>
      </c>
    </row>
    <row r="1014" spans="1:1" x14ac:dyDescent="0.25">
      <c r="A1014" s="56">
        <v>0</v>
      </c>
    </row>
    <row r="1015" spans="1:1" x14ac:dyDescent="0.25">
      <c r="A1015" s="56">
        <v>47396141.899999999</v>
      </c>
    </row>
    <row r="1016" spans="1:1" x14ac:dyDescent="0.25">
      <c r="A1016" s="56">
        <v>93807349.799999997</v>
      </c>
    </row>
    <row r="1017" spans="1:1" x14ac:dyDescent="0.25">
      <c r="A1017" s="56">
        <v>92863975.5</v>
      </c>
    </row>
    <row r="1018" spans="1:1" x14ac:dyDescent="0.25">
      <c r="A1018" s="56">
        <v>36583611</v>
      </c>
    </row>
    <row r="1019" spans="1:1" x14ac:dyDescent="0.25">
      <c r="A1019" s="56">
        <v>22245844.600000001</v>
      </c>
    </row>
    <row r="1020" spans="1:1" x14ac:dyDescent="0.25">
      <c r="A1020" s="56">
        <v>8907718.7999999896</v>
      </c>
    </row>
    <row r="1021" spans="1:1" x14ac:dyDescent="0.25">
      <c r="A1021" s="56">
        <v>0</v>
      </c>
    </row>
    <row r="1022" spans="1:1" x14ac:dyDescent="0.25">
      <c r="A1022" s="56">
        <v>0</v>
      </c>
    </row>
    <row r="1023" spans="1:1" x14ac:dyDescent="0.25">
      <c r="A1023" s="56">
        <v>34380701.899999999</v>
      </c>
    </row>
    <row r="1024" spans="1:1" x14ac:dyDescent="0.25">
      <c r="A1024" s="56">
        <v>10238669.300000001</v>
      </c>
    </row>
    <row r="1025" spans="1:1" x14ac:dyDescent="0.25">
      <c r="A1025" s="56">
        <v>31880437.800000001</v>
      </c>
    </row>
    <row r="1026" spans="1:1" x14ac:dyDescent="0.25">
      <c r="A1026" s="56">
        <v>112310699.2</v>
      </c>
    </row>
    <row r="1027" spans="1:1" x14ac:dyDescent="0.25">
      <c r="A1027" s="56">
        <v>0</v>
      </c>
    </row>
    <row r="1028" spans="1:1" x14ac:dyDescent="0.25">
      <c r="A1028" s="56">
        <v>180775283.09999999</v>
      </c>
    </row>
    <row r="1029" spans="1:1" x14ac:dyDescent="0.25">
      <c r="A1029" s="56">
        <v>52652534</v>
      </c>
    </row>
    <row r="1030" spans="1:1" x14ac:dyDescent="0.25">
      <c r="A1030" s="56">
        <v>71493109.699999899</v>
      </c>
    </row>
    <row r="1031" spans="1:1" x14ac:dyDescent="0.25">
      <c r="A1031" s="56">
        <v>214150584.59999999</v>
      </c>
    </row>
    <row r="1032" spans="1:1" x14ac:dyDescent="0.25">
      <c r="A1032" s="56">
        <v>16795299</v>
      </c>
    </row>
    <row r="1033" spans="1:1" x14ac:dyDescent="0.25">
      <c r="A1033" s="56">
        <v>9254233.8000000007</v>
      </c>
    </row>
    <row r="1034" spans="1:1" x14ac:dyDescent="0.25">
      <c r="A1034" s="56">
        <v>25915652</v>
      </c>
    </row>
    <row r="1035" spans="1:1" x14ac:dyDescent="0.25">
      <c r="A1035" s="56">
        <v>230932916.90000001</v>
      </c>
    </row>
    <row r="1036" spans="1:1" x14ac:dyDescent="0.25">
      <c r="A1036" s="56">
        <v>4595670.2</v>
      </c>
    </row>
    <row r="1037" spans="1:1" x14ac:dyDescent="0.25">
      <c r="A1037" s="56">
        <v>137588600.69999999</v>
      </c>
    </row>
    <row r="1038" spans="1:1" x14ac:dyDescent="0.25">
      <c r="A1038" s="56">
        <v>20619536.5</v>
      </c>
    </row>
    <row r="1039" spans="1:1" x14ac:dyDescent="0.25">
      <c r="A1039" s="56">
        <v>0</v>
      </c>
    </row>
    <row r="1040" spans="1:1" x14ac:dyDescent="0.25">
      <c r="A1040" s="56">
        <v>9660207.5</v>
      </c>
    </row>
    <row r="1041" spans="1:1" x14ac:dyDescent="0.25">
      <c r="A1041" s="56">
        <v>8236449.3999999901</v>
      </c>
    </row>
    <row r="1042" spans="1:1" x14ac:dyDescent="0.25">
      <c r="A1042" s="56">
        <v>66533288.5</v>
      </c>
    </row>
    <row r="1043" spans="1:1" x14ac:dyDescent="0.25">
      <c r="A1043" s="56">
        <v>11900392.800000001</v>
      </c>
    </row>
    <row r="1044" spans="1:1" x14ac:dyDescent="0.25">
      <c r="A1044" s="56">
        <v>0</v>
      </c>
    </row>
    <row r="1045" spans="1:1" x14ac:dyDescent="0.25">
      <c r="A1045" s="56">
        <v>578188183.10000002</v>
      </c>
    </row>
    <row r="1046" spans="1:1" x14ac:dyDescent="0.25">
      <c r="A1046" s="56">
        <v>66459837</v>
      </c>
    </row>
    <row r="1047" spans="1:1" x14ac:dyDescent="0.25">
      <c r="A1047" s="56">
        <v>27174037.199999999</v>
      </c>
    </row>
    <row r="1048" spans="1:1" x14ac:dyDescent="0.25">
      <c r="A1048" s="56">
        <v>244609804.49999899</v>
      </c>
    </row>
    <row r="1049" spans="1:1" x14ac:dyDescent="0.25">
      <c r="A1049" s="56">
        <v>20124768.399999999</v>
      </c>
    </row>
    <row r="1050" spans="1:1" x14ac:dyDescent="0.25">
      <c r="A1050" s="56">
        <v>139413226.80000001</v>
      </c>
    </row>
    <row r="1051" spans="1:1" x14ac:dyDescent="0.25">
      <c r="A1051" s="56">
        <v>212014401.40000001</v>
      </c>
    </row>
    <row r="1052" spans="1:1" x14ac:dyDescent="0.25">
      <c r="A1052" s="56">
        <v>16295777.4</v>
      </c>
    </row>
    <row r="1053" spans="1:1" x14ac:dyDescent="0.25">
      <c r="A1053" s="56">
        <v>3212939.2</v>
      </c>
    </row>
    <row r="1054" spans="1:1" x14ac:dyDescent="0.25">
      <c r="A1054" s="56">
        <v>0</v>
      </c>
    </row>
    <row r="1055" spans="1:1" x14ac:dyDescent="0.25">
      <c r="A1055" s="56">
        <v>0</v>
      </c>
    </row>
    <row r="1056" spans="1:1" x14ac:dyDescent="0.25">
      <c r="A1056" s="56">
        <v>137226585.30000001</v>
      </c>
    </row>
    <row r="1057" spans="1:1" x14ac:dyDescent="0.25">
      <c r="A1057" s="56">
        <v>512782929.19999999</v>
      </c>
    </row>
    <row r="1058" spans="1:1" x14ac:dyDescent="0.25">
      <c r="A1058" s="56">
        <v>148423624.19999999</v>
      </c>
    </row>
    <row r="1059" spans="1:1" x14ac:dyDescent="0.25">
      <c r="A1059" s="56">
        <v>0</v>
      </c>
    </row>
    <row r="1060" spans="1:1" x14ac:dyDescent="0.25">
      <c r="A1060" s="56">
        <v>27177064.600000001</v>
      </c>
    </row>
    <row r="1061" spans="1:1" x14ac:dyDescent="0.25">
      <c r="A1061" s="56">
        <v>30491546.5</v>
      </c>
    </row>
    <row r="1062" spans="1:1" x14ac:dyDescent="0.25">
      <c r="A1062" s="56">
        <v>29085090</v>
      </c>
    </row>
    <row r="1063" spans="1:1" x14ac:dyDescent="0.25">
      <c r="A1063" s="56">
        <v>37354847</v>
      </c>
    </row>
    <row r="1064" spans="1:1" x14ac:dyDescent="0.25">
      <c r="A1064" s="56">
        <v>786862.8</v>
      </c>
    </row>
    <row r="1065" spans="1:1" x14ac:dyDescent="0.25">
      <c r="A1065" s="56">
        <v>41640764</v>
      </c>
    </row>
    <row r="1066" spans="1:1" x14ac:dyDescent="0.25">
      <c r="A1066" s="56">
        <v>93254387.299999997</v>
      </c>
    </row>
    <row r="1067" spans="1:1" x14ac:dyDescent="0.25">
      <c r="A1067" s="56">
        <v>599252460</v>
      </c>
    </row>
    <row r="1068" spans="1:1" x14ac:dyDescent="0.25">
      <c r="A1068" s="56">
        <v>0</v>
      </c>
    </row>
    <row r="1069" spans="1:1" x14ac:dyDescent="0.25">
      <c r="A1069" s="56">
        <v>45433133</v>
      </c>
    </row>
    <row r="1070" spans="1:1" x14ac:dyDescent="0.25">
      <c r="A1070" s="56">
        <v>6465793.5999999996</v>
      </c>
    </row>
    <row r="1071" spans="1:1" x14ac:dyDescent="0.25">
      <c r="A1071" s="56">
        <v>38392405.200000003</v>
      </c>
    </row>
    <row r="1072" spans="1:1" x14ac:dyDescent="0.25">
      <c r="A1072" s="56">
        <v>5723057.6999999899</v>
      </c>
    </row>
    <row r="1073" spans="1:1" x14ac:dyDescent="0.25">
      <c r="A1073" s="56">
        <v>171877715.09999999</v>
      </c>
    </row>
    <row r="1074" spans="1:1" x14ac:dyDescent="0.25">
      <c r="A1074" s="56">
        <v>179015874.80000001</v>
      </c>
    </row>
    <row r="1075" spans="1:1" x14ac:dyDescent="0.25">
      <c r="A1075" s="56">
        <v>390202180.09999901</v>
      </c>
    </row>
    <row r="1076" spans="1:1" x14ac:dyDescent="0.25">
      <c r="A1076" s="56">
        <v>56592097.899999999</v>
      </c>
    </row>
    <row r="1077" spans="1:1" x14ac:dyDescent="0.25">
      <c r="A1077" s="56">
        <v>9051480.2999999896</v>
      </c>
    </row>
    <row r="1078" spans="1:1" x14ac:dyDescent="0.25">
      <c r="A1078" s="56">
        <v>69467985.699999899</v>
      </c>
    </row>
    <row r="1079" spans="1:1" x14ac:dyDescent="0.25">
      <c r="A1079" s="56">
        <v>57918474.7999999</v>
      </c>
    </row>
    <row r="1080" spans="1:1" x14ac:dyDescent="0.25">
      <c r="A1080" s="56">
        <v>37576525.999999903</v>
      </c>
    </row>
    <row r="1081" spans="1:1" x14ac:dyDescent="0.25">
      <c r="A1081" s="56">
        <v>10098313</v>
      </c>
    </row>
    <row r="1082" spans="1:1" x14ac:dyDescent="0.25">
      <c r="A1082" s="56">
        <v>5815278.5999999996</v>
      </c>
    </row>
    <row r="1083" spans="1:1" x14ac:dyDescent="0.25">
      <c r="A1083" s="56">
        <v>8926809.0999999996</v>
      </c>
    </row>
    <row r="1084" spans="1:1" x14ac:dyDescent="0.25">
      <c r="A1084" s="56">
        <v>14860007</v>
      </c>
    </row>
    <row r="1085" spans="1:1" x14ac:dyDescent="0.25">
      <c r="A1085" s="56">
        <v>15892155.6</v>
      </c>
    </row>
    <row r="1086" spans="1:1" x14ac:dyDescent="0.25">
      <c r="A1086" s="56">
        <v>9119992.8999999892</v>
      </c>
    </row>
    <row r="1087" spans="1:1" x14ac:dyDescent="0.25">
      <c r="A1087" s="56">
        <v>102137494.3</v>
      </c>
    </row>
    <row r="1088" spans="1:1" x14ac:dyDescent="0.25">
      <c r="A1088" s="56">
        <v>21482956.5</v>
      </c>
    </row>
    <row r="1089" spans="1:1" x14ac:dyDescent="0.25">
      <c r="A1089" s="56">
        <v>9057558.3999999892</v>
      </c>
    </row>
    <row r="1090" spans="1:1" x14ac:dyDescent="0.25">
      <c r="A1090" s="56">
        <v>104413879.40000001</v>
      </c>
    </row>
    <row r="1091" spans="1:1" x14ac:dyDescent="0.25">
      <c r="A1091" s="56">
        <v>40133119.399999999</v>
      </c>
    </row>
    <row r="1092" spans="1:1" x14ac:dyDescent="0.25">
      <c r="A1092" s="56">
        <v>0</v>
      </c>
    </row>
    <row r="1093" spans="1:1" x14ac:dyDescent="0.25">
      <c r="A1093" s="56">
        <v>81281121.900000006</v>
      </c>
    </row>
    <row r="1094" spans="1:1" x14ac:dyDescent="0.25">
      <c r="A1094" s="56">
        <v>50693874.600000001</v>
      </c>
    </row>
    <row r="1095" spans="1:1" x14ac:dyDescent="0.25">
      <c r="A1095" s="56">
        <v>28715301.099999901</v>
      </c>
    </row>
    <row r="1096" spans="1:1" x14ac:dyDescent="0.25">
      <c r="A1096" s="56">
        <v>15389948.9</v>
      </c>
    </row>
    <row r="1097" spans="1:1" x14ac:dyDescent="0.25">
      <c r="A1097" s="56">
        <v>0</v>
      </c>
    </row>
    <row r="1098" spans="1:1" x14ac:dyDescent="0.25">
      <c r="A1098" s="56">
        <v>11530085</v>
      </c>
    </row>
    <row r="1099" spans="1:1" x14ac:dyDescent="0.25">
      <c r="A1099" s="56">
        <v>70628783.099999905</v>
      </c>
    </row>
    <row r="1100" spans="1:1" x14ac:dyDescent="0.25">
      <c r="A1100" s="56">
        <v>18603777</v>
      </c>
    </row>
    <row r="1101" spans="1:1" x14ac:dyDescent="0.25">
      <c r="A1101" s="56">
        <v>39666946.399999999</v>
      </c>
    </row>
    <row r="1102" spans="1:1" x14ac:dyDescent="0.25">
      <c r="A1102" s="56">
        <v>18567594.199999999</v>
      </c>
    </row>
    <row r="1103" spans="1:1" x14ac:dyDescent="0.25">
      <c r="A1103" s="56">
        <v>60942301.099999897</v>
      </c>
    </row>
    <row r="1104" spans="1:1" x14ac:dyDescent="0.25">
      <c r="A1104" s="56">
        <v>0</v>
      </c>
    </row>
    <row r="1105" spans="1:1" x14ac:dyDescent="0.25">
      <c r="A1105" s="56">
        <v>22346962.100000001</v>
      </c>
    </row>
    <row r="1106" spans="1:1" x14ac:dyDescent="0.25">
      <c r="A1106" s="56">
        <v>19590849.800000001</v>
      </c>
    </row>
    <row r="1107" spans="1:1" x14ac:dyDescent="0.25">
      <c r="A1107" s="56">
        <v>52394901.099999897</v>
      </c>
    </row>
    <row r="1108" spans="1:1" x14ac:dyDescent="0.25">
      <c r="A1108" s="56">
        <v>15535249.300000001</v>
      </c>
    </row>
    <row r="1109" spans="1:1" x14ac:dyDescent="0.25">
      <c r="A1109" s="56">
        <v>183263398.80000001</v>
      </c>
    </row>
    <row r="1110" spans="1:1" x14ac:dyDescent="0.25">
      <c r="A1110" s="56">
        <v>28302142.899999999</v>
      </c>
    </row>
    <row r="1111" spans="1:1" x14ac:dyDescent="0.25">
      <c r="A1111" s="56">
        <v>10739355.800000001</v>
      </c>
    </row>
    <row r="1112" spans="1:1" x14ac:dyDescent="0.25">
      <c r="A1112" s="56">
        <v>8015482.1999999899</v>
      </c>
    </row>
    <row r="1113" spans="1:1" x14ac:dyDescent="0.25">
      <c r="A1113" s="56">
        <v>13221151.1</v>
      </c>
    </row>
    <row r="1114" spans="1:1" x14ac:dyDescent="0.25">
      <c r="A1114" s="56">
        <v>155365745.09999999</v>
      </c>
    </row>
    <row r="1115" spans="1:1" x14ac:dyDescent="0.25">
      <c r="A1115" s="56">
        <v>134070575</v>
      </c>
    </row>
    <row r="1116" spans="1:1" x14ac:dyDescent="0.25">
      <c r="A1116" s="56">
        <v>0</v>
      </c>
    </row>
    <row r="1117" spans="1:1" x14ac:dyDescent="0.25">
      <c r="A1117" s="56">
        <v>0</v>
      </c>
    </row>
    <row r="1118" spans="1:1" x14ac:dyDescent="0.25">
      <c r="A1118" s="56">
        <v>10894125.300000001</v>
      </c>
    </row>
    <row r="1119" spans="1:1" x14ac:dyDescent="0.25">
      <c r="A1119" s="56">
        <v>2207620.4</v>
      </c>
    </row>
    <row r="1120" spans="1:1" x14ac:dyDescent="0.25">
      <c r="A1120" s="56">
        <v>66018781.499999903</v>
      </c>
    </row>
    <row r="1121" spans="1:1" x14ac:dyDescent="0.25">
      <c r="A1121" s="56">
        <v>44106877.399999999</v>
      </c>
    </row>
    <row r="1122" spans="1:1" x14ac:dyDescent="0.25">
      <c r="A1122" s="56">
        <v>15230628</v>
      </c>
    </row>
    <row r="1123" spans="1:1" x14ac:dyDescent="0.25">
      <c r="A1123" s="56">
        <v>28834585.800000001</v>
      </c>
    </row>
    <row r="1124" spans="1:1" x14ac:dyDescent="0.25">
      <c r="A1124" s="56">
        <v>303102833.69999999</v>
      </c>
    </row>
    <row r="1125" spans="1:1" x14ac:dyDescent="0.25">
      <c r="A1125" s="56">
        <v>10456039.6</v>
      </c>
    </row>
    <row r="1126" spans="1:1" x14ac:dyDescent="0.25">
      <c r="A1126" s="56">
        <v>35958775.899999999</v>
      </c>
    </row>
    <row r="1127" spans="1:1" x14ac:dyDescent="0.25">
      <c r="A1127" s="56">
        <v>12240150.1</v>
      </c>
    </row>
    <row r="1128" spans="1:1" x14ac:dyDescent="0.25">
      <c r="A1128" s="56">
        <v>189384042.5</v>
      </c>
    </row>
    <row r="1129" spans="1:1" x14ac:dyDescent="0.25">
      <c r="A1129" s="56">
        <v>166141973.19999999</v>
      </c>
    </row>
    <row r="1130" spans="1:1" x14ac:dyDescent="0.25">
      <c r="A1130" s="56">
        <v>31353498.699999999</v>
      </c>
    </row>
    <row r="1131" spans="1:1" x14ac:dyDescent="0.25">
      <c r="A1131" s="56">
        <v>26740987.399999999</v>
      </c>
    </row>
    <row r="1132" spans="1:1" x14ac:dyDescent="0.25">
      <c r="A1132" s="56">
        <v>13532613.5</v>
      </c>
    </row>
    <row r="1133" spans="1:1" x14ac:dyDescent="0.25">
      <c r="A1133" s="56">
        <v>234715754.90000001</v>
      </c>
    </row>
    <row r="1134" spans="1:1" x14ac:dyDescent="0.25">
      <c r="A1134" s="56">
        <v>0</v>
      </c>
    </row>
    <row r="1135" spans="1:1" x14ac:dyDescent="0.25">
      <c r="A1135" s="56">
        <v>0</v>
      </c>
    </row>
    <row r="1136" spans="1:1" x14ac:dyDescent="0.25">
      <c r="A1136" s="56">
        <v>49189557.099999897</v>
      </c>
    </row>
    <row r="1137" spans="1:1" x14ac:dyDescent="0.25">
      <c r="A1137" s="56">
        <v>39479148.799999997</v>
      </c>
    </row>
    <row r="1138" spans="1:1" x14ac:dyDescent="0.25">
      <c r="A1138" s="56">
        <v>33146306</v>
      </c>
    </row>
    <row r="1139" spans="1:1" x14ac:dyDescent="0.25">
      <c r="A1139" s="56">
        <v>25497689.399999999</v>
      </c>
    </row>
    <row r="1140" spans="1:1" x14ac:dyDescent="0.25">
      <c r="A1140" s="56">
        <v>54785645.399999999</v>
      </c>
    </row>
    <row r="1141" spans="1:1" x14ac:dyDescent="0.25">
      <c r="A1141" s="56">
        <v>91954817.399999902</v>
      </c>
    </row>
    <row r="1142" spans="1:1" x14ac:dyDescent="0.25">
      <c r="A1142" s="56">
        <v>83793966.199999899</v>
      </c>
    </row>
    <row r="1143" spans="1:1" x14ac:dyDescent="0.25">
      <c r="A1143" s="56">
        <v>168096697.5</v>
      </c>
    </row>
    <row r="1144" spans="1:1" x14ac:dyDescent="0.25">
      <c r="A1144" s="56">
        <v>15859932.9</v>
      </c>
    </row>
    <row r="1145" spans="1:1" x14ac:dyDescent="0.25">
      <c r="A1145" s="56">
        <v>76371390.099999905</v>
      </c>
    </row>
    <row r="1146" spans="1:1" x14ac:dyDescent="0.25">
      <c r="A1146" s="56">
        <v>0</v>
      </c>
    </row>
    <row r="1147" spans="1:1" x14ac:dyDescent="0.25">
      <c r="A1147" s="56">
        <v>44369338.399999902</v>
      </c>
    </row>
    <row r="1148" spans="1:1" x14ac:dyDescent="0.25">
      <c r="A1148" s="56">
        <v>75238248.700000003</v>
      </c>
    </row>
    <row r="1149" spans="1:1" x14ac:dyDescent="0.25">
      <c r="A1149" s="56">
        <v>0</v>
      </c>
    </row>
    <row r="1150" spans="1:1" x14ac:dyDescent="0.25">
      <c r="A1150" s="56">
        <v>44998858</v>
      </c>
    </row>
    <row r="1151" spans="1:1" x14ac:dyDescent="0.25">
      <c r="A1151" s="56">
        <v>11681478.699999999</v>
      </c>
    </row>
    <row r="1152" spans="1:1" x14ac:dyDescent="0.25">
      <c r="A1152" s="56">
        <v>158151515.19999999</v>
      </c>
    </row>
    <row r="1153" spans="1:1" x14ac:dyDescent="0.25">
      <c r="A1153" s="56">
        <v>19289332.199999999</v>
      </c>
    </row>
    <row r="1154" spans="1:1" x14ac:dyDescent="0.25">
      <c r="A1154" s="56">
        <v>17577193.800000001</v>
      </c>
    </row>
    <row r="1155" spans="1:1" x14ac:dyDescent="0.25">
      <c r="A1155" s="56">
        <v>12862453.5</v>
      </c>
    </row>
    <row r="1156" spans="1:1" x14ac:dyDescent="0.25">
      <c r="A1156" s="56">
        <v>24572884.600000001</v>
      </c>
    </row>
    <row r="1157" spans="1:1" x14ac:dyDescent="0.25">
      <c r="A1157" s="56">
        <v>46597371.700000003</v>
      </c>
    </row>
    <row r="1158" spans="1:1" x14ac:dyDescent="0.25">
      <c r="A1158" s="56">
        <v>15236108.4</v>
      </c>
    </row>
    <row r="1159" spans="1:1" x14ac:dyDescent="0.25">
      <c r="A1159" s="56">
        <v>25438809.800000001</v>
      </c>
    </row>
    <row r="1160" spans="1:1" x14ac:dyDescent="0.25">
      <c r="A1160" s="56">
        <v>12563702.4</v>
      </c>
    </row>
    <row r="1161" spans="1:1" x14ac:dyDescent="0.25">
      <c r="A1161" s="56">
        <v>15104279.1</v>
      </c>
    </row>
    <row r="1162" spans="1:1" x14ac:dyDescent="0.25">
      <c r="A1162" s="56">
        <v>52801673.200000003</v>
      </c>
    </row>
    <row r="1163" spans="1:1" x14ac:dyDescent="0.25">
      <c r="A1163" s="56">
        <v>0</v>
      </c>
    </row>
    <row r="1164" spans="1:1" x14ac:dyDescent="0.25">
      <c r="A1164" s="56">
        <v>3844943.2</v>
      </c>
    </row>
    <row r="1165" spans="1:1" x14ac:dyDescent="0.25">
      <c r="A1165" s="56">
        <v>65443985.399999902</v>
      </c>
    </row>
    <row r="1166" spans="1:1" x14ac:dyDescent="0.25">
      <c r="A1166" s="56">
        <v>79328337.399999902</v>
      </c>
    </row>
    <row r="1167" spans="1:1" x14ac:dyDescent="0.25">
      <c r="A1167" s="56">
        <v>71587550.400000006</v>
      </c>
    </row>
    <row r="1168" spans="1:1" x14ac:dyDescent="0.25">
      <c r="A1168" s="56">
        <v>28313515.300000001</v>
      </c>
    </row>
    <row r="1169" spans="1:1" x14ac:dyDescent="0.25">
      <c r="A1169" s="56">
        <v>114282202.59999999</v>
      </c>
    </row>
    <row r="1170" spans="1:1" x14ac:dyDescent="0.25">
      <c r="A1170" s="56">
        <v>0</v>
      </c>
    </row>
    <row r="1171" spans="1:1" x14ac:dyDescent="0.25">
      <c r="A1171" s="56">
        <v>43688536.499999903</v>
      </c>
    </row>
    <row r="1172" spans="1:1" x14ac:dyDescent="0.25">
      <c r="A1172" s="56">
        <v>29756170.899999999</v>
      </c>
    </row>
    <row r="1173" spans="1:1" x14ac:dyDescent="0.25">
      <c r="A1173" s="56">
        <v>16216455.800000001</v>
      </c>
    </row>
    <row r="1174" spans="1:1" x14ac:dyDescent="0.25">
      <c r="A1174" s="56">
        <v>13821900.5</v>
      </c>
    </row>
    <row r="1175" spans="1:1" x14ac:dyDescent="0.25">
      <c r="A1175" s="56">
        <v>0</v>
      </c>
    </row>
    <row r="1176" spans="1:1" x14ac:dyDescent="0.25">
      <c r="A1176" s="56">
        <v>20010691</v>
      </c>
    </row>
    <row r="1177" spans="1:1" x14ac:dyDescent="0.25">
      <c r="A1177" s="56">
        <v>30020988.800000001</v>
      </c>
    </row>
    <row r="1178" spans="1:1" x14ac:dyDescent="0.25">
      <c r="A1178" s="56">
        <v>1095450.8</v>
      </c>
    </row>
    <row r="1179" spans="1:1" x14ac:dyDescent="0.25">
      <c r="A1179" s="56">
        <v>48357667</v>
      </c>
    </row>
    <row r="1180" spans="1:1" x14ac:dyDescent="0.25">
      <c r="A1180" s="56">
        <v>0</v>
      </c>
    </row>
    <row r="1181" spans="1:1" x14ac:dyDescent="0.25">
      <c r="A1181" s="56">
        <v>197568727.80000001</v>
      </c>
    </row>
    <row r="1182" spans="1:1" x14ac:dyDescent="0.25">
      <c r="A1182" s="56">
        <v>50329252.200000003</v>
      </c>
    </row>
    <row r="1183" spans="1:1" x14ac:dyDescent="0.25">
      <c r="A1183" s="56">
        <v>17932273.699999999</v>
      </c>
    </row>
    <row r="1184" spans="1:1" x14ac:dyDescent="0.25">
      <c r="A1184" s="56">
        <v>5634307.6999999899</v>
      </c>
    </row>
    <row r="1185" spans="1:1" x14ac:dyDescent="0.25">
      <c r="A1185" s="56">
        <v>35867674.700000003</v>
      </c>
    </row>
    <row r="1186" spans="1:1" x14ac:dyDescent="0.25">
      <c r="A1186" s="56">
        <v>49774082</v>
      </c>
    </row>
    <row r="1187" spans="1:1" x14ac:dyDescent="0.25">
      <c r="A1187" s="56">
        <v>10941520.4</v>
      </c>
    </row>
    <row r="1188" spans="1:1" x14ac:dyDescent="0.25">
      <c r="A1188" s="56">
        <v>0</v>
      </c>
    </row>
    <row r="1189" spans="1:1" x14ac:dyDescent="0.25">
      <c r="A1189" s="56">
        <v>70744084.400000006</v>
      </c>
    </row>
    <row r="1190" spans="1:1" x14ac:dyDescent="0.25">
      <c r="A1190" s="56">
        <v>85450940.599999905</v>
      </c>
    </row>
    <row r="1191" spans="1:1" x14ac:dyDescent="0.25">
      <c r="A1191" s="56">
        <v>2126388.6</v>
      </c>
    </row>
    <row r="1192" spans="1:1" x14ac:dyDescent="0.25">
      <c r="A1192" s="56">
        <v>0</v>
      </c>
    </row>
    <row r="1193" spans="1:1" x14ac:dyDescent="0.25">
      <c r="A1193" s="56">
        <v>70475297.199999899</v>
      </c>
    </row>
    <row r="1194" spans="1:1" x14ac:dyDescent="0.25">
      <c r="A1194" s="56">
        <v>11044001.199999999</v>
      </c>
    </row>
    <row r="1195" spans="1:1" x14ac:dyDescent="0.25">
      <c r="A1195" s="56">
        <v>228307789.30000001</v>
      </c>
    </row>
    <row r="1196" spans="1:1" x14ac:dyDescent="0.25">
      <c r="A1196" s="56">
        <v>8994615.5999999996</v>
      </c>
    </row>
    <row r="1197" spans="1:1" x14ac:dyDescent="0.25">
      <c r="A1197" s="56">
        <v>8344419</v>
      </c>
    </row>
    <row r="1198" spans="1:1" x14ac:dyDescent="0.25">
      <c r="A1198" s="56">
        <v>63445591.599999897</v>
      </c>
    </row>
    <row r="1199" spans="1:1" x14ac:dyDescent="0.25">
      <c r="A1199" s="56">
        <v>123128893.90000001</v>
      </c>
    </row>
    <row r="1200" spans="1:1" x14ac:dyDescent="0.25">
      <c r="A1200" s="56">
        <v>35867315.5</v>
      </c>
    </row>
    <row r="1201" spans="1:1" x14ac:dyDescent="0.25">
      <c r="A1201" s="56">
        <v>40520020</v>
      </c>
    </row>
    <row r="1202" spans="1:1" x14ac:dyDescent="0.25">
      <c r="A1202" s="56">
        <v>11178206.5</v>
      </c>
    </row>
    <row r="1203" spans="1:1" x14ac:dyDescent="0.25">
      <c r="A1203" s="56">
        <v>4817092.3999999901</v>
      </c>
    </row>
    <row r="1204" spans="1:1" x14ac:dyDescent="0.25">
      <c r="A1204" s="56">
        <v>1274770</v>
      </c>
    </row>
    <row r="1205" spans="1:1" x14ac:dyDescent="0.25">
      <c r="A1205" s="56">
        <v>0</v>
      </c>
    </row>
    <row r="1206" spans="1:1" x14ac:dyDescent="0.25">
      <c r="A1206" s="56">
        <v>11372839.1</v>
      </c>
    </row>
    <row r="1207" spans="1:1" x14ac:dyDescent="0.25">
      <c r="A1207" s="56">
        <v>860590.8</v>
      </c>
    </row>
    <row r="1208" spans="1:1" x14ac:dyDescent="0.25">
      <c r="A1208" s="56">
        <v>12109972.1</v>
      </c>
    </row>
    <row r="1209" spans="1:1" x14ac:dyDescent="0.25">
      <c r="A1209" s="56">
        <v>0</v>
      </c>
    </row>
    <row r="1210" spans="1:1" x14ac:dyDescent="0.25">
      <c r="A1210" s="56">
        <v>101133277.59999999</v>
      </c>
    </row>
    <row r="1211" spans="1:1" x14ac:dyDescent="0.25">
      <c r="A1211" s="56">
        <v>103992234.2</v>
      </c>
    </row>
    <row r="1212" spans="1:1" x14ac:dyDescent="0.25">
      <c r="A1212" s="56">
        <v>0</v>
      </c>
    </row>
    <row r="1213" spans="1:1" x14ac:dyDescent="0.25">
      <c r="A1213" s="56">
        <v>30514035.399999999</v>
      </c>
    </row>
    <row r="1214" spans="1:1" x14ac:dyDescent="0.25">
      <c r="A1214" s="56">
        <v>21367693.199999999</v>
      </c>
    </row>
    <row r="1215" spans="1:1" x14ac:dyDescent="0.25">
      <c r="A1215" s="56">
        <v>45429648.700000003</v>
      </c>
    </row>
    <row r="1216" spans="1:1" x14ac:dyDescent="0.25">
      <c r="A1216" s="56">
        <v>1077311.6000000001</v>
      </c>
    </row>
    <row r="1217" spans="1:1" x14ac:dyDescent="0.25">
      <c r="A1217" s="56">
        <v>507396</v>
      </c>
    </row>
    <row r="1218" spans="1:1" x14ac:dyDescent="0.25">
      <c r="A1218" s="56">
        <v>27050392.199999999</v>
      </c>
    </row>
    <row r="1219" spans="1:1" x14ac:dyDescent="0.25">
      <c r="A1219" s="56">
        <v>87617327.699999899</v>
      </c>
    </row>
    <row r="1220" spans="1:1" x14ac:dyDescent="0.25">
      <c r="A1220" s="56">
        <v>12725741.9</v>
      </c>
    </row>
    <row r="1221" spans="1:1" x14ac:dyDescent="0.25">
      <c r="A1221" s="56">
        <v>2016957.6</v>
      </c>
    </row>
    <row r="1222" spans="1:1" x14ac:dyDescent="0.25">
      <c r="A1222" s="56">
        <v>27171330.399999999</v>
      </c>
    </row>
    <row r="1223" spans="1:1" x14ac:dyDescent="0.25">
      <c r="A1223" s="56">
        <v>32342486.600000001</v>
      </c>
    </row>
    <row r="1224" spans="1:1" x14ac:dyDescent="0.25">
      <c r="A1224" s="56">
        <v>19019276.699999999</v>
      </c>
    </row>
    <row r="1225" spans="1:1" x14ac:dyDescent="0.25">
      <c r="A1225" s="56">
        <v>17463256.899999999</v>
      </c>
    </row>
    <row r="1226" spans="1:1" x14ac:dyDescent="0.25">
      <c r="A1226" s="56">
        <v>136838836.90000001</v>
      </c>
    </row>
    <row r="1227" spans="1:1" x14ac:dyDescent="0.25">
      <c r="A1227" s="56">
        <v>99441920.199999899</v>
      </c>
    </row>
    <row r="1228" spans="1:1" x14ac:dyDescent="0.25">
      <c r="A1228" s="56">
        <v>82733808.599999905</v>
      </c>
    </row>
    <row r="1229" spans="1:1" x14ac:dyDescent="0.25">
      <c r="A1229" s="56">
        <v>17657384.899999999</v>
      </c>
    </row>
    <row r="1230" spans="1:1" x14ac:dyDescent="0.25">
      <c r="A1230" s="56">
        <v>49046523.099999897</v>
      </c>
    </row>
    <row r="1231" spans="1:1" x14ac:dyDescent="0.25">
      <c r="A1231" s="56">
        <v>17820702.399999999</v>
      </c>
    </row>
    <row r="1232" spans="1:1" x14ac:dyDescent="0.25">
      <c r="A1232" s="56">
        <v>30979416</v>
      </c>
    </row>
    <row r="1233" spans="1:1" x14ac:dyDescent="0.25">
      <c r="A1233" s="56">
        <v>245026476.40000001</v>
      </c>
    </row>
    <row r="1234" spans="1:1" x14ac:dyDescent="0.25">
      <c r="A1234" s="56">
        <v>32048113.999999899</v>
      </c>
    </row>
    <row r="1235" spans="1:1" x14ac:dyDescent="0.25">
      <c r="A1235" s="56">
        <v>0</v>
      </c>
    </row>
    <row r="1236" spans="1:1" x14ac:dyDescent="0.25">
      <c r="A1236" s="56">
        <v>14522396.800000001</v>
      </c>
    </row>
    <row r="1237" spans="1:1" x14ac:dyDescent="0.25">
      <c r="A1237" s="56">
        <v>235442079.59999999</v>
      </c>
    </row>
    <row r="1238" spans="1:1" x14ac:dyDescent="0.25">
      <c r="A1238" s="56">
        <v>53547694.700000003</v>
      </c>
    </row>
    <row r="1239" spans="1:1" x14ac:dyDescent="0.25">
      <c r="A1239" s="56">
        <v>86385932.699999899</v>
      </c>
    </row>
    <row r="1240" spans="1:1" x14ac:dyDescent="0.25">
      <c r="A1240" s="56">
        <v>3473306.2</v>
      </c>
    </row>
    <row r="1241" spans="1:1" x14ac:dyDescent="0.25">
      <c r="A1241" s="56">
        <v>6306805.5999999996</v>
      </c>
    </row>
    <row r="1242" spans="1:1" x14ac:dyDescent="0.25">
      <c r="A1242" s="56">
        <v>426593443.10000002</v>
      </c>
    </row>
    <row r="1243" spans="1:1" x14ac:dyDescent="0.25">
      <c r="A1243" s="56">
        <v>547252619.70000005</v>
      </c>
    </row>
    <row r="1244" spans="1:1" x14ac:dyDescent="0.25">
      <c r="A1244" s="56">
        <v>4920900</v>
      </c>
    </row>
    <row r="1245" spans="1:1" x14ac:dyDescent="0.25">
      <c r="A1245" s="56">
        <v>7796610.5999999996</v>
      </c>
    </row>
    <row r="1246" spans="1:1" x14ac:dyDescent="0.25">
      <c r="A1246" s="56">
        <v>76009841.700000003</v>
      </c>
    </row>
    <row r="1247" spans="1:1" x14ac:dyDescent="0.25">
      <c r="A1247" s="56">
        <v>6470618.4999999898</v>
      </c>
    </row>
    <row r="1248" spans="1:1" x14ac:dyDescent="0.25">
      <c r="A1248" s="56">
        <v>36155966.700000003</v>
      </c>
    </row>
    <row r="1249" spans="1:1" x14ac:dyDescent="0.25">
      <c r="A1249" s="56">
        <v>0</v>
      </c>
    </row>
    <row r="1250" spans="1:1" x14ac:dyDescent="0.25">
      <c r="A1250" s="56">
        <v>10544897.1</v>
      </c>
    </row>
    <row r="1251" spans="1:1" x14ac:dyDescent="0.25">
      <c r="A1251" s="56">
        <v>38115759</v>
      </c>
    </row>
    <row r="1252" spans="1:1" x14ac:dyDescent="0.25">
      <c r="A1252" s="56">
        <v>59394946.999999903</v>
      </c>
    </row>
    <row r="1253" spans="1:1" x14ac:dyDescent="0.25">
      <c r="A1253" s="56">
        <v>8164373.7999999998</v>
      </c>
    </row>
    <row r="1254" spans="1:1" x14ac:dyDescent="0.25">
      <c r="A1254" s="56">
        <v>15340054.699999999</v>
      </c>
    </row>
    <row r="1255" spans="1:1" x14ac:dyDescent="0.25">
      <c r="A1255" s="56">
        <v>91296733.799999997</v>
      </c>
    </row>
    <row r="1256" spans="1:1" x14ac:dyDescent="0.25">
      <c r="A1256" s="56">
        <v>11107489</v>
      </c>
    </row>
    <row r="1257" spans="1:1" x14ac:dyDescent="0.25">
      <c r="A1257" s="56">
        <v>5274926.3</v>
      </c>
    </row>
    <row r="1258" spans="1:1" x14ac:dyDescent="0.25">
      <c r="A1258" s="56">
        <v>14698684.9</v>
      </c>
    </row>
    <row r="1259" spans="1:1" x14ac:dyDescent="0.25">
      <c r="A1259" s="56">
        <v>0</v>
      </c>
    </row>
    <row r="1260" spans="1:1" x14ac:dyDescent="0.25">
      <c r="A1260" s="56">
        <v>16914098.100000001</v>
      </c>
    </row>
    <row r="1261" spans="1:1" x14ac:dyDescent="0.25">
      <c r="A1261" s="56">
        <v>0</v>
      </c>
    </row>
    <row r="1262" spans="1:1" x14ac:dyDescent="0.25">
      <c r="A1262" s="56">
        <v>22964392.5</v>
      </c>
    </row>
    <row r="1263" spans="1:1" x14ac:dyDescent="0.25">
      <c r="A1263" s="56">
        <v>3777781.2</v>
      </c>
    </row>
    <row r="1264" spans="1:1" x14ac:dyDescent="0.25">
      <c r="A1264" s="56">
        <v>129041091.90000001</v>
      </c>
    </row>
    <row r="1265" spans="1:1" x14ac:dyDescent="0.25">
      <c r="A1265" s="56">
        <v>38589048.200000003</v>
      </c>
    </row>
    <row r="1266" spans="1:1" x14ac:dyDescent="0.25">
      <c r="A1266" s="56">
        <v>71779363</v>
      </c>
    </row>
    <row r="1267" spans="1:1" x14ac:dyDescent="0.25">
      <c r="A1267" s="56">
        <v>9275103.5999999996</v>
      </c>
    </row>
    <row r="1268" spans="1:1" x14ac:dyDescent="0.25">
      <c r="A1268" s="56">
        <v>109827778.3</v>
      </c>
    </row>
    <row r="1269" spans="1:1" x14ac:dyDescent="0.25">
      <c r="A1269" s="56">
        <v>15679817.5</v>
      </c>
    </row>
    <row r="1270" spans="1:1" x14ac:dyDescent="0.25">
      <c r="A1270" s="56">
        <v>10749232.9</v>
      </c>
    </row>
    <row r="1271" spans="1:1" x14ac:dyDescent="0.25">
      <c r="A1271" s="56">
        <v>41230053.299999997</v>
      </c>
    </row>
    <row r="1272" spans="1:1" x14ac:dyDescent="0.25">
      <c r="A1272" s="56">
        <v>0</v>
      </c>
    </row>
    <row r="1273" spans="1:1" x14ac:dyDescent="0.25">
      <c r="A1273" s="56">
        <v>69639834.599999905</v>
      </c>
    </row>
    <row r="1274" spans="1:1" x14ac:dyDescent="0.25">
      <c r="A1274" s="56">
        <v>8880089.0999999996</v>
      </c>
    </row>
    <row r="1275" spans="1:1" x14ac:dyDescent="0.25">
      <c r="A1275" s="56">
        <v>40348246.399999999</v>
      </c>
    </row>
    <row r="1276" spans="1:1" x14ac:dyDescent="0.25">
      <c r="A1276" s="56">
        <v>11141120.199999999</v>
      </c>
    </row>
    <row r="1277" spans="1:1" x14ac:dyDescent="0.25">
      <c r="A1277" s="56">
        <v>45216997.499999903</v>
      </c>
    </row>
    <row r="1278" spans="1:1" x14ac:dyDescent="0.25">
      <c r="A1278" s="56">
        <v>11091691.300000001</v>
      </c>
    </row>
    <row r="1279" spans="1:1" x14ac:dyDescent="0.25">
      <c r="A1279" s="56">
        <v>5792287.1999999899</v>
      </c>
    </row>
    <row r="1280" spans="1:1" x14ac:dyDescent="0.25">
      <c r="A1280" s="56">
        <v>6627180.6999999899</v>
      </c>
    </row>
    <row r="1281" spans="1:1" x14ac:dyDescent="0.25">
      <c r="A1281" s="56">
        <v>0</v>
      </c>
    </row>
    <row r="1282" spans="1:1" x14ac:dyDescent="0.25">
      <c r="A1282" s="56">
        <v>193429770.40000001</v>
      </c>
    </row>
    <row r="1283" spans="1:1" x14ac:dyDescent="0.25">
      <c r="A1283" s="56">
        <v>32033170.5</v>
      </c>
    </row>
    <row r="1284" spans="1:1" x14ac:dyDescent="0.25">
      <c r="A1284" s="56">
        <v>0</v>
      </c>
    </row>
    <row r="1285" spans="1:1" x14ac:dyDescent="0.25">
      <c r="A1285" s="56">
        <v>99830649.599999905</v>
      </c>
    </row>
    <row r="1286" spans="1:1" x14ac:dyDescent="0.25">
      <c r="A1286" s="56">
        <v>70407187.299999997</v>
      </c>
    </row>
    <row r="1287" spans="1:1" x14ac:dyDescent="0.25">
      <c r="A1287" s="56">
        <v>132877126.59999999</v>
      </c>
    </row>
    <row r="1288" spans="1:1" x14ac:dyDescent="0.25">
      <c r="A1288" s="56">
        <v>25855093.399999999</v>
      </c>
    </row>
    <row r="1289" spans="1:1" x14ac:dyDescent="0.25">
      <c r="A1289" s="56">
        <v>54902258.299999997</v>
      </c>
    </row>
    <row r="1290" spans="1:1" x14ac:dyDescent="0.25">
      <c r="A1290" s="56">
        <v>18451458.5</v>
      </c>
    </row>
    <row r="1291" spans="1:1" x14ac:dyDescent="0.25">
      <c r="A1291" s="56">
        <v>18825227.300000001</v>
      </c>
    </row>
    <row r="1292" spans="1:1" x14ac:dyDescent="0.25">
      <c r="A1292" s="56">
        <v>0</v>
      </c>
    </row>
    <row r="1293" spans="1:1" x14ac:dyDescent="0.25">
      <c r="A1293" s="56">
        <v>6339422.9999999898</v>
      </c>
    </row>
    <row r="1294" spans="1:1" x14ac:dyDescent="0.25">
      <c r="A1294" s="56">
        <v>6146379</v>
      </c>
    </row>
    <row r="1295" spans="1:1" x14ac:dyDescent="0.25">
      <c r="A1295" s="56">
        <v>38018284.200000003</v>
      </c>
    </row>
    <row r="1296" spans="1:1" x14ac:dyDescent="0.25">
      <c r="A1296" s="56">
        <v>8296694.0999999996</v>
      </c>
    </row>
    <row r="1297" spans="1:1" x14ac:dyDescent="0.25">
      <c r="A1297" s="56">
        <v>75480876.799999997</v>
      </c>
    </row>
    <row r="1298" spans="1:1" x14ac:dyDescent="0.25">
      <c r="A1298" s="56">
        <v>25378235.399999999</v>
      </c>
    </row>
    <row r="1299" spans="1:1" x14ac:dyDescent="0.25">
      <c r="A1299" s="56">
        <v>0</v>
      </c>
    </row>
    <row r="1300" spans="1:1" x14ac:dyDescent="0.25">
      <c r="A1300" s="56">
        <v>107405991.40000001</v>
      </c>
    </row>
    <row r="1301" spans="1:1" x14ac:dyDescent="0.25">
      <c r="A1301" s="56">
        <v>0</v>
      </c>
    </row>
    <row r="1302" spans="1:1" x14ac:dyDescent="0.25">
      <c r="A1302" s="56">
        <v>10304301.4</v>
      </c>
    </row>
    <row r="1303" spans="1:1" x14ac:dyDescent="0.25">
      <c r="A1303" s="56">
        <v>11213726.199999999</v>
      </c>
    </row>
    <row r="1304" spans="1:1" x14ac:dyDescent="0.25">
      <c r="A1304" s="56">
        <v>93850569.5</v>
      </c>
    </row>
    <row r="1305" spans="1:1" x14ac:dyDescent="0.25">
      <c r="A1305" s="56">
        <v>5255415.5999999996</v>
      </c>
    </row>
    <row r="1306" spans="1:1" x14ac:dyDescent="0.25">
      <c r="A1306" s="56">
        <v>4956635.5999999996</v>
      </c>
    </row>
    <row r="1307" spans="1:1" x14ac:dyDescent="0.25">
      <c r="A1307" s="56">
        <v>5120515.3999999901</v>
      </c>
    </row>
    <row r="1308" spans="1:1" x14ac:dyDescent="0.25">
      <c r="A1308" s="56">
        <v>5606111.6999999899</v>
      </c>
    </row>
    <row r="1309" spans="1:1" x14ac:dyDescent="0.25">
      <c r="A1309" s="56">
        <v>66670923.799999997</v>
      </c>
    </row>
    <row r="1310" spans="1:1" x14ac:dyDescent="0.25">
      <c r="A1310" s="56">
        <v>2091318</v>
      </c>
    </row>
    <row r="1311" spans="1:1" x14ac:dyDescent="0.25">
      <c r="A1311" s="56">
        <v>3509304</v>
      </c>
    </row>
    <row r="1312" spans="1:1" x14ac:dyDescent="0.25">
      <c r="A1312" s="56">
        <v>1032426.8</v>
      </c>
    </row>
    <row r="1313" spans="1:1" x14ac:dyDescent="0.25">
      <c r="A1313" s="56">
        <v>22352705.5</v>
      </c>
    </row>
    <row r="1314" spans="1:1" x14ac:dyDescent="0.25">
      <c r="A1314" s="56">
        <v>0</v>
      </c>
    </row>
    <row r="1315" spans="1:1" x14ac:dyDescent="0.25">
      <c r="A1315" s="56">
        <v>21887086.100000001</v>
      </c>
    </row>
    <row r="1316" spans="1:1" x14ac:dyDescent="0.25">
      <c r="A1316" s="56">
        <v>17512973.399999999</v>
      </c>
    </row>
    <row r="1317" spans="1:1" x14ac:dyDescent="0.25">
      <c r="A1317" s="56">
        <v>10753487</v>
      </c>
    </row>
    <row r="1318" spans="1:1" x14ac:dyDescent="0.25">
      <c r="A1318" s="56">
        <v>8017761.9999999898</v>
      </c>
    </row>
    <row r="1319" spans="1:1" x14ac:dyDescent="0.25">
      <c r="A1319" s="56">
        <v>7248585</v>
      </c>
    </row>
    <row r="1320" spans="1:1" x14ac:dyDescent="0.25">
      <c r="A1320" s="56">
        <v>30791831.600000001</v>
      </c>
    </row>
    <row r="1321" spans="1:1" x14ac:dyDescent="0.25">
      <c r="A1321" s="56">
        <v>5800841</v>
      </c>
    </row>
    <row r="1322" spans="1:1" x14ac:dyDescent="0.25">
      <c r="A1322" s="56">
        <v>81677445.400000006</v>
      </c>
    </row>
    <row r="1323" spans="1:1" x14ac:dyDescent="0.25">
      <c r="A1323" s="56">
        <v>31427758.899999999</v>
      </c>
    </row>
    <row r="1324" spans="1:1" x14ac:dyDescent="0.25">
      <c r="A1324" s="56">
        <v>46083216.399999999</v>
      </c>
    </row>
    <row r="1325" spans="1:1" x14ac:dyDescent="0.25">
      <c r="A1325" s="56">
        <v>5595573.8999999901</v>
      </c>
    </row>
    <row r="1326" spans="1:1" x14ac:dyDescent="0.25">
      <c r="A1326" s="56">
        <v>4907843.4000000004</v>
      </c>
    </row>
    <row r="1327" spans="1:1" x14ac:dyDescent="0.25">
      <c r="A1327" s="56">
        <v>6128816.3999999901</v>
      </c>
    </row>
    <row r="1328" spans="1:1" x14ac:dyDescent="0.25">
      <c r="A1328" s="56">
        <v>26151884.099999901</v>
      </c>
    </row>
    <row r="1329" spans="1:1" x14ac:dyDescent="0.25">
      <c r="A1329" s="56">
        <v>6669296.1999999899</v>
      </c>
    </row>
    <row r="1330" spans="1:1" x14ac:dyDescent="0.25">
      <c r="A1330" s="56">
        <v>6627180.6999999899</v>
      </c>
    </row>
    <row r="1331" spans="1:1" x14ac:dyDescent="0.25">
      <c r="A1331" s="56">
        <v>455677500.30000001</v>
      </c>
    </row>
    <row r="1332" spans="1:1" x14ac:dyDescent="0.25">
      <c r="A1332" s="56">
        <v>24237493.100000001</v>
      </c>
    </row>
    <row r="1333" spans="1:1" x14ac:dyDescent="0.25">
      <c r="A1333" s="56">
        <v>12467068.1</v>
      </c>
    </row>
    <row r="1334" spans="1:1" x14ac:dyDescent="0.25">
      <c r="A1334" s="56">
        <v>13033864.1</v>
      </c>
    </row>
    <row r="1335" spans="1:1" x14ac:dyDescent="0.25">
      <c r="A1335" s="56">
        <v>75716150.799999997</v>
      </c>
    </row>
    <row r="1336" spans="1:1" x14ac:dyDescent="0.25">
      <c r="A1336" s="56">
        <v>47436819.100000001</v>
      </c>
    </row>
    <row r="1337" spans="1:1" x14ac:dyDescent="0.25">
      <c r="A1337" s="56">
        <v>19189782.600000001</v>
      </c>
    </row>
    <row r="1338" spans="1:1" x14ac:dyDescent="0.25">
      <c r="A1338" s="56">
        <v>5310546.5999999996</v>
      </c>
    </row>
    <row r="1339" spans="1:1" x14ac:dyDescent="0.25">
      <c r="A1339" s="56">
        <v>36048182.599999897</v>
      </c>
    </row>
    <row r="1340" spans="1:1" x14ac:dyDescent="0.25">
      <c r="A1340" s="56">
        <v>183099061.09999999</v>
      </c>
    </row>
    <row r="1341" spans="1:1" x14ac:dyDescent="0.25">
      <c r="A1341" s="56">
        <v>0</v>
      </c>
    </row>
    <row r="1342" spans="1:1" x14ac:dyDescent="0.25">
      <c r="A1342" s="56">
        <v>41295400.5</v>
      </c>
    </row>
    <row r="1343" spans="1:1" x14ac:dyDescent="0.25">
      <c r="A1343" s="56">
        <v>0</v>
      </c>
    </row>
    <row r="1344" spans="1:1" x14ac:dyDescent="0.25">
      <c r="A1344" s="56">
        <v>60024945.5</v>
      </c>
    </row>
    <row r="1345" spans="1:1" x14ac:dyDescent="0.25">
      <c r="A1345" s="56">
        <v>5237498.4000000004</v>
      </c>
    </row>
    <row r="1346" spans="1:1" x14ac:dyDescent="0.25">
      <c r="A1346" s="56">
        <v>53813110.099999897</v>
      </c>
    </row>
    <row r="1347" spans="1:1" x14ac:dyDescent="0.25">
      <c r="A1347" s="56">
        <v>24661791.5</v>
      </c>
    </row>
    <row r="1348" spans="1:1" x14ac:dyDescent="0.25">
      <c r="A1348" s="56">
        <v>53279002.399999999</v>
      </c>
    </row>
    <row r="1349" spans="1:1" x14ac:dyDescent="0.25">
      <c r="A1349" s="56">
        <v>247252431.59999901</v>
      </c>
    </row>
    <row r="1350" spans="1:1" x14ac:dyDescent="0.25">
      <c r="A1350" s="56">
        <v>122787.6</v>
      </c>
    </row>
    <row r="1351" spans="1:1" x14ac:dyDescent="0.25">
      <c r="A1351" s="56">
        <v>340783274.89999998</v>
      </c>
    </row>
    <row r="1352" spans="1:1" x14ac:dyDescent="0.25">
      <c r="A1352" s="56">
        <v>5841887.7999999896</v>
      </c>
    </row>
    <row r="1353" spans="1:1" x14ac:dyDescent="0.25">
      <c r="A1353" s="56">
        <v>0</v>
      </c>
    </row>
    <row r="1354" spans="1:1" x14ac:dyDescent="0.25">
      <c r="A1354" s="56">
        <v>8671361.0999999996</v>
      </c>
    </row>
    <row r="1355" spans="1:1" x14ac:dyDescent="0.25">
      <c r="A1355" s="56">
        <v>217225211.30000001</v>
      </c>
    </row>
    <row r="1356" spans="1:1" x14ac:dyDescent="0.25">
      <c r="A1356" s="56">
        <v>95691236.099999905</v>
      </c>
    </row>
    <row r="1357" spans="1:1" x14ac:dyDescent="0.25">
      <c r="A1357" s="56">
        <v>7131389.6999999899</v>
      </c>
    </row>
    <row r="1358" spans="1:1" x14ac:dyDescent="0.25">
      <c r="A1358" s="56">
        <v>26282924.699999999</v>
      </c>
    </row>
    <row r="1359" spans="1:1" x14ac:dyDescent="0.25">
      <c r="A1359" s="56">
        <v>5033965.3</v>
      </c>
    </row>
    <row r="1360" spans="1:1" x14ac:dyDescent="0.25">
      <c r="A1360" s="56">
        <v>281741263</v>
      </c>
    </row>
    <row r="1361" spans="1:1" x14ac:dyDescent="0.25">
      <c r="A1361" s="56">
        <v>97746911.5</v>
      </c>
    </row>
    <row r="1362" spans="1:1" x14ac:dyDescent="0.25">
      <c r="A1362" s="56">
        <v>0</v>
      </c>
    </row>
    <row r="1363" spans="1:1" x14ac:dyDescent="0.25">
      <c r="A1363" s="56">
        <v>0</v>
      </c>
    </row>
    <row r="1364" spans="1:1" x14ac:dyDescent="0.25">
      <c r="A1364" s="56">
        <v>7572881.5999999996</v>
      </c>
    </row>
    <row r="1365" spans="1:1" x14ac:dyDescent="0.25">
      <c r="A1365" s="56">
        <v>28291082.699999999</v>
      </c>
    </row>
    <row r="1366" spans="1:1" x14ac:dyDescent="0.25">
      <c r="A1366" s="56">
        <v>7323608.2999999998</v>
      </c>
    </row>
    <row r="1367" spans="1:1" x14ac:dyDescent="0.25">
      <c r="A1367" s="56">
        <v>0</v>
      </c>
    </row>
    <row r="1368" spans="1:1" x14ac:dyDescent="0.25">
      <c r="A1368" s="56">
        <v>10590874</v>
      </c>
    </row>
    <row r="1369" spans="1:1" x14ac:dyDescent="0.25">
      <c r="A1369" s="56">
        <v>12158134.5</v>
      </c>
    </row>
    <row r="1370" spans="1:1" x14ac:dyDescent="0.25">
      <c r="A1370" s="56">
        <v>0</v>
      </c>
    </row>
    <row r="1371" spans="1:1" x14ac:dyDescent="0.25">
      <c r="A1371" s="56">
        <v>0</v>
      </c>
    </row>
    <row r="1372" spans="1:1" x14ac:dyDescent="0.25">
      <c r="A1372" s="56">
        <v>1032426.8</v>
      </c>
    </row>
    <row r="1373" spans="1:1" x14ac:dyDescent="0.25">
      <c r="A1373" s="56">
        <v>144857055.19999999</v>
      </c>
    </row>
    <row r="1374" spans="1:1" x14ac:dyDescent="0.25">
      <c r="A1374" s="56">
        <v>93789628.900000006</v>
      </c>
    </row>
    <row r="1375" spans="1:1" x14ac:dyDescent="0.25">
      <c r="A1375" s="56">
        <v>35300236</v>
      </c>
    </row>
    <row r="1376" spans="1:1" x14ac:dyDescent="0.25">
      <c r="A1376" s="56">
        <v>5825665.2000000002</v>
      </c>
    </row>
    <row r="1377" spans="1:1" x14ac:dyDescent="0.25">
      <c r="A1377" s="56">
        <v>36789252</v>
      </c>
    </row>
    <row r="1378" spans="1:1" x14ac:dyDescent="0.25">
      <c r="A1378" s="56">
        <v>0</v>
      </c>
    </row>
    <row r="1379" spans="1:1" x14ac:dyDescent="0.25">
      <c r="A1379" s="56">
        <v>79469363.599999905</v>
      </c>
    </row>
    <row r="1380" spans="1:1" x14ac:dyDescent="0.25">
      <c r="A1380" s="56">
        <v>14825881.4</v>
      </c>
    </row>
    <row r="1381" spans="1:1" x14ac:dyDescent="0.25">
      <c r="A1381" s="56">
        <v>107093875.90000001</v>
      </c>
    </row>
    <row r="1382" spans="1:1" x14ac:dyDescent="0.25">
      <c r="A1382" s="56">
        <v>455158715</v>
      </c>
    </row>
    <row r="1383" spans="1:1" x14ac:dyDescent="0.25">
      <c r="A1383" s="56">
        <v>29282601.800000001</v>
      </c>
    </row>
    <row r="1384" spans="1:1" x14ac:dyDescent="0.25">
      <c r="A1384" s="56">
        <v>23044715.699999999</v>
      </c>
    </row>
    <row r="1385" spans="1:1" x14ac:dyDescent="0.25">
      <c r="A1385" s="56">
        <v>9150063.1999999899</v>
      </c>
    </row>
    <row r="1386" spans="1:1" x14ac:dyDescent="0.25">
      <c r="A1386" s="56">
        <v>27174919.100000001</v>
      </c>
    </row>
    <row r="1387" spans="1:1" x14ac:dyDescent="0.25">
      <c r="A1387" s="56">
        <v>834741.2</v>
      </c>
    </row>
    <row r="1388" spans="1:1" x14ac:dyDescent="0.25">
      <c r="A1388" s="56">
        <v>151740668.80000001</v>
      </c>
    </row>
    <row r="1389" spans="1:1" x14ac:dyDescent="0.25">
      <c r="A1389" s="56">
        <v>264002365</v>
      </c>
    </row>
    <row r="1390" spans="1:1" x14ac:dyDescent="0.25">
      <c r="A1390" s="56">
        <v>53024189.899999999</v>
      </c>
    </row>
    <row r="1391" spans="1:1" x14ac:dyDescent="0.25">
      <c r="A1391" s="56">
        <v>5274926.3</v>
      </c>
    </row>
    <row r="1392" spans="1:1" x14ac:dyDescent="0.25">
      <c r="A1392" s="56">
        <v>11109588.699999999</v>
      </c>
    </row>
    <row r="1393" spans="1:1" x14ac:dyDescent="0.25">
      <c r="A1393" s="56">
        <v>340399011.60000002</v>
      </c>
    </row>
    <row r="1394" spans="1:1" x14ac:dyDescent="0.25">
      <c r="A1394" s="56">
        <v>31657831.099999901</v>
      </c>
    </row>
    <row r="1395" spans="1:1" x14ac:dyDescent="0.25">
      <c r="A1395" s="56">
        <v>28854583.300000001</v>
      </c>
    </row>
    <row r="1396" spans="1:1" x14ac:dyDescent="0.25">
      <c r="A1396" s="56">
        <v>0</v>
      </c>
    </row>
    <row r="1397" spans="1:1" x14ac:dyDescent="0.25">
      <c r="A1397" s="56">
        <v>40645050.299999997</v>
      </c>
    </row>
    <row r="1398" spans="1:1" x14ac:dyDescent="0.25">
      <c r="A1398" s="56">
        <v>0</v>
      </c>
    </row>
    <row r="1399" spans="1:1" x14ac:dyDescent="0.25">
      <c r="A1399" s="56">
        <v>0</v>
      </c>
    </row>
    <row r="1400" spans="1:1" x14ac:dyDescent="0.25">
      <c r="A1400" s="56">
        <v>260029987.90000001</v>
      </c>
    </row>
    <row r="1401" spans="1:1" x14ac:dyDescent="0.25">
      <c r="A1401" s="56">
        <v>42482734.5</v>
      </c>
    </row>
    <row r="1402" spans="1:1" x14ac:dyDescent="0.25">
      <c r="A1402" s="56">
        <v>7805432.8999999901</v>
      </c>
    </row>
    <row r="1403" spans="1:1" x14ac:dyDescent="0.25">
      <c r="A1403" s="56">
        <v>0</v>
      </c>
    </row>
    <row r="1404" spans="1:1" x14ac:dyDescent="0.25">
      <c r="A1404" s="56">
        <v>0</v>
      </c>
    </row>
    <row r="1405" spans="1:1" x14ac:dyDescent="0.25">
      <c r="A1405" s="56">
        <v>732092.4</v>
      </c>
    </row>
    <row r="1406" spans="1:1" x14ac:dyDescent="0.25">
      <c r="A1406" s="56">
        <v>55619582</v>
      </c>
    </row>
    <row r="1407" spans="1:1" x14ac:dyDescent="0.25">
      <c r="A1407" s="56">
        <v>0</v>
      </c>
    </row>
    <row r="1408" spans="1:1" x14ac:dyDescent="0.25">
      <c r="A1408" s="56">
        <v>9743173.0999999996</v>
      </c>
    </row>
    <row r="1409" spans="1:1" x14ac:dyDescent="0.25">
      <c r="A1409" s="56">
        <v>111555306.5</v>
      </c>
    </row>
    <row r="1410" spans="1:1" x14ac:dyDescent="0.25">
      <c r="A1410" s="56">
        <v>92752369.299999997</v>
      </c>
    </row>
    <row r="1411" spans="1:1" x14ac:dyDescent="0.25">
      <c r="A1411" s="56">
        <v>37350146</v>
      </c>
    </row>
    <row r="1412" spans="1:1" x14ac:dyDescent="0.25">
      <c r="A1412" s="56">
        <v>105468129.09999999</v>
      </c>
    </row>
    <row r="1413" spans="1:1" x14ac:dyDescent="0.25">
      <c r="A1413" s="56">
        <v>48754822.599999897</v>
      </c>
    </row>
    <row r="1414" spans="1:1" x14ac:dyDescent="0.25">
      <c r="A1414" s="56">
        <v>2529421.7999999998</v>
      </c>
    </row>
    <row r="1415" spans="1:1" x14ac:dyDescent="0.25">
      <c r="A1415" s="56">
        <v>203107492.19999999</v>
      </c>
    </row>
    <row r="1416" spans="1:1" x14ac:dyDescent="0.25">
      <c r="A1416" s="56">
        <v>261186114.40000001</v>
      </c>
    </row>
    <row r="1417" spans="1:1" x14ac:dyDescent="0.25">
      <c r="A1417" s="56">
        <v>7067664.1999999899</v>
      </c>
    </row>
    <row r="1418" spans="1:1" x14ac:dyDescent="0.25">
      <c r="A1418" s="56">
        <v>0</v>
      </c>
    </row>
    <row r="1419" spans="1:1" x14ac:dyDescent="0.25">
      <c r="A1419" s="56">
        <v>315445984.69999897</v>
      </c>
    </row>
    <row r="1420" spans="1:1" x14ac:dyDescent="0.25">
      <c r="A1420" s="56">
        <v>77363423.799999997</v>
      </c>
    </row>
    <row r="1421" spans="1:1" x14ac:dyDescent="0.25">
      <c r="A1421" s="56">
        <v>5996285.9999999898</v>
      </c>
    </row>
    <row r="1422" spans="1:1" x14ac:dyDescent="0.25">
      <c r="A1422" s="56">
        <v>8097499</v>
      </c>
    </row>
    <row r="1423" spans="1:1" x14ac:dyDescent="0.25">
      <c r="A1423" s="56">
        <v>46329608.899999999</v>
      </c>
    </row>
    <row r="1424" spans="1:1" x14ac:dyDescent="0.25">
      <c r="A1424" s="56">
        <v>53174259.200000003</v>
      </c>
    </row>
    <row r="1425" spans="1:1" x14ac:dyDescent="0.25">
      <c r="A1425" s="56">
        <v>0</v>
      </c>
    </row>
    <row r="1426" spans="1:1" x14ac:dyDescent="0.25">
      <c r="A1426" s="56">
        <v>82690329.799999997</v>
      </c>
    </row>
    <row r="1427" spans="1:1" x14ac:dyDescent="0.25">
      <c r="A1427" s="56">
        <v>7936012.6999999899</v>
      </c>
    </row>
    <row r="1428" spans="1:1" x14ac:dyDescent="0.25">
      <c r="A1428" s="56">
        <v>21959565.800000001</v>
      </c>
    </row>
    <row r="1429" spans="1:1" x14ac:dyDescent="0.25">
      <c r="A1429" s="56">
        <v>488336606.69999897</v>
      </c>
    </row>
    <row r="1430" spans="1:1" x14ac:dyDescent="0.25">
      <c r="A1430" s="56">
        <v>32368405</v>
      </c>
    </row>
    <row r="1431" spans="1:1" x14ac:dyDescent="0.25">
      <c r="A1431" s="56">
        <v>9944114.8999999892</v>
      </c>
    </row>
    <row r="1432" spans="1:1" x14ac:dyDescent="0.25">
      <c r="A1432" s="56">
        <v>100534974.7</v>
      </c>
    </row>
    <row r="1433" spans="1:1" x14ac:dyDescent="0.25">
      <c r="A1433" s="56">
        <v>46114101.799999997</v>
      </c>
    </row>
    <row r="1434" spans="1:1" x14ac:dyDescent="0.25">
      <c r="A1434" s="56">
        <v>543792376.39999998</v>
      </c>
    </row>
    <row r="1435" spans="1:1" x14ac:dyDescent="0.25">
      <c r="A1435" s="56">
        <v>24614585.899999999</v>
      </c>
    </row>
    <row r="1436" spans="1:1" x14ac:dyDescent="0.25">
      <c r="A1436" s="56">
        <v>10349087.199999999</v>
      </c>
    </row>
    <row r="1437" spans="1:1" x14ac:dyDescent="0.25">
      <c r="A1437" s="56">
        <v>102516238.90000001</v>
      </c>
    </row>
    <row r="1438" spans="1:1" x14ac:dyDescent="0.25">
      <c r="A1438" s="56">
        <v>95461416.599999905</v>
      </c>
    </row>
    <row r="1439" spans="1:1" x14ac:dyDescent="0.25">
      <c r="A1439" s="56">
        <v>17912915</v>
      </c>
    </row>
    <row r="1440" spans="1:1" x14ac:dyDescent="0.25">
      <c r="A1440" s="56">
        <v>65756999.700000003</v>
      </c>
    </row>
    <row r="1441" spans="1:1" x14ac:dyDescent="0.25">
      <c r="A1441" s="56">
        <v>2407338.6</v>
      </c>
    </row>
    <row r="1442" spans="1:1" x14ac:dyDescent="0.25">
      <c r="A1442" s="56">
        <v>19617873.600000001</v>
      </c>
    </row>
    <row r="1443" spans="1:1" x14ac:dyDescent="0.25">
      <c r="A1443" s="56">
        <v>0</v>
      </c>
    </row>
    <row r="1444" spans="1:1" x14ac:dyDescent="0.25">
      <c r="A1444" s="56">
        <v>20516679.399999999</v>
      </c>
    </row>
    <row r="1445" spans="1:1" x14ac:dyDescent="0.25">
      <c r="A1445" s="56">
        <v>14185859.6</v>
      </c>
    </row>
    <row r="1446" spans="1:1" x14ac:dyDescent="0.25">
      <c r="A1446" s="56">
        <v>27613401.100000001</v>
      </c>
    </row>
    <row r="1447" spans="1:1" x14ac:dyDescent="0.25">
      <c r="A1447" s="56">
        <v>1948908.6</v>
      </c>
    </row>
    <row r="1448" spans="1:1" x14ac:dyDescent="0.25">
      <c r="A1448" s="56">
        <v>446164.8</v>
      </c>
    </row>
    <row r="1449" spans="1:1" x14ac:dyDescent="0.25">
      <c r="A1449" s="56">
        <v>36011125.200000003</v>
      </c>
    </row>
    <row r="1450" spans="1:1" x14ac:dyDescent="0.25">
      <c r="A1450" s="56">
        <v>3115431.6</v>
      </c>
    </row>
    <row r="1451" spans="1:1" x14ac:dyDescent="0.25">
      <c r="A1451" s="56">
        <v>0</v>
      </c>
    </row>
    <row r="1452" spans="1:1" x14ac:dyDescent="0.25">
      <c r="A1452" s="56">
        <v>25859100.300000001</v>
      </c>
    </row>
    <row r="1453" spans="1:1" x14ac:dyDescent="0.25">
      <c r="A1453" s="56">
        <v>657356.4</v>
      </c>
    </row>
    <row r="1454" spans="1:1" x14ac:dyDescent="0.25">
      <c r="A1454" s="56">
        <v>0</v>
      </c>
    </row>
    <row r="1455" spans="1:1" x14ac:dyDescent="0.25">
      <c r="A1455" s="56">
        <v>50271022.200000003</v>
      </c>
    </row>
    <row r="1456" spans="1:1" x14ac:dyDescent="0.25">
      <c r="A1456" s="56">
        <v>12966316.6</v>
      </c>
    </row>
    <row r="1457" spans="1:1" x14ac:dyDescent="0.25">
      <c r="A1457" s="56">
        <v>85013802</v>
      </c>
    </row>
    <row r="1458" spans="1:1" x14ac:dyDescent="0.25">
      <c r="A1458" s="56">
        <v>87748235.599999905</v>
      </c>
    </row>
    <row r="1459" spans="1:1" x14ac:dyDescent="0.25">
      <c r="A1459" s="56">
        <v>19645146.399999999</v>
      </c>
    </row>
    <row r="1460" spans="1:1" x14ac:dyDescent="0.25">
      <c r="A1460" s="56">
        <v>14470320.199999999</v>
      </c>
    </row>
    <row r="1461" spans="1:1" x14ac:dyDescent="0.25">
      <c r="A1461" s="56">
        <v>9400887</v>
      </c>
    </row>
    <row r="1462" spans="1:1" x14ac:dyDescent="0.25">
      <c r="A1462" s="56">
        <v>2016957.6</v>
      </c>
    </row>
    <row r="1463" spans="1:1" x14ac:dyDescent="0.25">
      <c r="A1463" s="56">
        <v>25708994.100000001</v>
      </c>
    </row>
    <row r="1464" spans="1:1" x14ac:dyDescent="0.25">
      <c r="A1464" s="56">
        <v>342136696.5</v>
      </c>
    </row>
    <row r="1465" spans="1:1" x14ac:dyDescent="0.25">
      <c r="A1465" s="56">
        <v>74582974</v>
      </c>
    </row>
    <row r="1466" spans="1:1" x14ac:dyDescent="0.25">
      <c r="A1466" s="56">
        <v>8592302.5</v>
      </c>
    </row>
    <row r="1467" spans="1:1" x14ac:dyDescent="0.25">
      <c r="A1467" s="56">
        <v>112335782</v>
      </c>
    </row>
    <row r="1468" spans="1:1" x14ac:dyDescent="0.25">
      <c r="A1468" s="56">
        <v>45309045.799999997</v>
      </c>
    </row>
    <row r="1469" spans="1:1" x14ac:dyDescent="0.25">
      <c r="A1469" s="56">
        <v>97003113</v>
      </c>
    </row>
    <row r="1470" spans="1:1" x14ac:dyDescent="0.25">
      <c r="A1470" s="56">
        <v>0</v>
      </c>
    </row>
    <row r="1471" spans="1:1" x14ac:dyDescent="0.25">
      <c r="A1471" s="56">
        <v>142791187.5</v>
      </c>
    </row>
    <row r="1472" spans="1:1" x14ac:dyDescent="0.25">
      <c r="A1472" s="56">
        <v>4197731.3999999901</v>
      </c>
    </row>
    <row r="1473" spans="1:1" x14ac:dyDescent="0.25">
      <c r="A1473" s="56">
        <v>23600502.800000001</v>
      </c>
    </row>
    <row r="1474" spans="1:1" x14ac:dyDescent="0.25">
      <c r="A1474" s="56">
        <v>15511473</v>
      </c>
    </row>
    <row r="1475" spans="1:1" x14ac:dyDescent="0.25">
      <c r="A1475" s="56">
        <v>122787.6</v>
      </c>
    </row>
    <row r="1476" spans="1:1" x14ac:dyDescent="0.25">
      <c r="A1476" s="56">
        <v>45718472.799999997</v>
      </c>
    </row>
    <row r="1477" spans="1:1" x14ac:dyDescent="0.25">
      <c r="A1477" s="56">
        <v>107191948.09999999</v>
      </c>
    </row>
    <row r="1478" spans="1:1" x14ac:dyDescent="0.25">
      <c r="A1478" s="56">
        <v>491026015.30000001</v>
      </c>
    </row>
    <row r="1479" spans="1:1" x14ac:dyDescent="0.25">
      <c r="A1479" s="56">
        <v>29086086.199999999</v>
      </c>
    </row>
    <row r="1480" spans="1:1" x14ac:dyDescent="0.25">
      <c r="A1480" s="56">
        <v>48717293.599999897</v>
      </c>
    </row>
    <row r="1481" spans="1:1" x14ac:dyDescent="0.25">
      <c r="A1481" s="56">
        <v>158820285.30000001</v>
      </c>
    </row>
    <row r="1482" spans="1:1" x14ac:dyDescent="0.25">
      <c r="A1482" s="56">
        <v>0</v>
      </c>
    </row>
    <row r="1483" spans="1:1" x14ac:dyDescent="0.25">
      <c r="A1483" s="56">
        <v>35080769.399999999</v>
      </c>
    </row>
    <row r="1484" spans="1:1" x14ac:dyDescent="0.25">
      <c r="A1484" s="56">
        <v>40335951.700000003</v>
      </c>
    </row>
    <row r="1485" spans="1:1" x14ac:dyDescent="0.25">
      <c r="A1485" s="56">
        <v>97224076.099999905</v>
      </c>
    </row>
    <row r="1486" spans="1:1" x14ac:dyDescent="0.25">
      <c r="A1486" s="56">
        <v>44712526.099999897</v>
      </c>
    </row>
    <row r="1487" spans="1:1" x14ac:dyDescent="0.25">
      <c r="A1487" s="56">
        <v>140041512.19999999</v>
      </c>
    </row>
    <row r="1488" spans="1:1" x14ac:dyDescent="0.25">
      <c r="A1488" s="56">
        <v>1135644.3999999999</v>
      </c>
    </row>
    <row r="1489" spans="1:1" x14ac:dyDescent="0.25">
      <c r="A1489" s="56">
        <v>15570721.9</v>
      </c>
    </row>
    <row r="1490" spans="1:1" x14ac:dyDescent="0.25">
      <c r="A1490" s="56">
        <v>57546792.399999902</v>
      </c>
    </row>
    <row r="1491" spans="1:1" x14ac:dyDescent="0.25">
      <c r="A1491" s="56">
        <v>4108312.8</v>
      </c>
    </row>
    <row r="1492" spans="1:1" x14ac:dyDescent="0.25">
      <c r="A1492" s="56">
        <v>93290315.899999902</v>
      </c>
    </row>
    <row r="1493" spans="1:1" x14ac:dyDescent="0.25">
      <c r="A1493" s="56">
        <v>0</v>
      </c>
    </row>
    <row r="1494" spans="1:1" x14ac:dyDescent="0.25">
      <c r="A1494" s="56">
        <v>4428373.2</v>
      </c>
    </row>
    <row r="1495" spans="1:1" x14ac:dyDescent="0.25">
      <c r="A1495" s="56">
        <v>97612057.899999902</v>
      </c>
    </row>
    <row r="1496" spans="1:1" x14ac:dyDescent="0.25">
      <c r="A1496" s="56">
        <v>182901644</v>
      </c>
    </row>
    <row r="1497" spans="1:1" x14ac:dyDescent="0.25">
      <c r="A1497" s="56">
        <v>39624687.100000001</v>
      </c>
    </row>
    <row r="1498" spans="1:1" x14ac:dyDescent="0.25">
      <c r="A1498" s="56">
        <v>3509304</v>
      </c>
    </row>
    <row r="1499" spans="1:1" x14ac:dyDescent="0.25">
      <c r="A1499" s="56">
        <v>34540055.299999997</v>
      </c>
    </row>
    <row r="1500" spans="1:1" x14ac:dyDescent="0.25">
      <c r="A1500" s="56">
        <v>18129842.699999999</v>
      </c>
    </row>
    <row r="1501" spans="1:1" x14ac:dyDescent="0.25">
      <c r="A1501" s="56">
        <v>24136407.899999999</v>
      </c>
    </row>
    <row r="1502" spans="1:1" x14ac:dyDescent="0.25">
      <c r="A1502" s="56">
        <v>4619520.8</v>
      </c>
    </row>
    <row r="1503" spans="1:1" x14ac:dyDescent="0.25">
      <c r="A1503" s="56">
        <v>446390387.30000001</v>
      </c>
    </row>
    <row r="1504" spans="1:1" x14ac:dyDescent="0.25">
      <c r="A1504" s="56">
        <v>113669201.40000001</v>
      </c>
    </row>
    <row r="1505" spans="1:1" x14ac:dyDescent="0.25">
      <c r="A1505" s="56">
        <v>102689136.7</v>
      </c>
    </row>
    <row r="1506" spans="1:1" x14ac:dyDescent="0.25">
      <c r="A1506" s="56">
        <v>105610323.59999999</v>
      </c>
    </row>
    <row r="1507" spans="1:1" x14ac:dyDescent="0.25">
      <c r="A1507" s="56">
        <v>12798297.4</v>
      </c>
    </row>
    <row r="1508" spans="1:1" x14ac:dyDescent="0.25">
      <c r="A1508" s="56">
        <v>100167527.2</v>
      </c>
    </row>
    <row r="1509" spans="1:1" x14ac:dyDescent="0.25">
      <c r="A1509" s="56">
        <v>81057682</v>
      </c>
    </row>
    <row r="1510" spans="1:1" x14ac:dyDescent="0.25">
      <c r="A1510" s="56">
        <v>14063519.4</v>
      </c>
    </row>
    <row r="1511" spans="1:1" x14ac:dyDescent="0.25">
      <c r="A1511" s="56">
        <v>2419782.6</v>
      </c>
    </row>
    <row r="1512" spans="1:1" x14ac:dyDescent="0.25">
      <c r="A1512" s="56">
        <v>192349097.5</v>
      </c>
    </row>
    <row r="1513" spans="1:1" x14ac:dyDescent="0.25">
      <c r="A1513" s="56">
        <v>64178198.799999997</v>
      </c>
    </row>
    <row r="1514" spans="1:1" x14ac:dyDescent="0.25">
      <c r="A1514" s="56">
        <v>41752386.599999897</v>
      </c>
    </row>
    <row r="1515" spans="1:1" x14ac:dyDescent="0.25">
      <c r="A1515" s="56">
        <v>96565243.899999902</v>
      </c>
    </row>
    <row r="1516" spans="1:1" x14ac:dyDescent="0.25">
      <c r="A1516" s="56">
        <v>1895609.2</v>
      </c>
    </row>
    <row r="1517" spans="1:1" x14ac:dyDescent="0.25">
      <c r="A1517" s="56">
        <v>19652268</v>
      </c>
    </row>
    <row r="1518" spans="1:1" x14ac:dyDescent="0.25">
      <c r="A1518" s="56">
        <v>11338740.800000001</v>
      </c>
    </row>
    <row r="1519" spans="1:1" x14ac:dyDescent="0.25">
      <c r="A1519" s="56">
        <v>11321985.5</v>
      </c>
    </row>
    <row r="1520" spans="1:1" x14ac:dyDescent="0.25">
      <c r="A1520" s="56">
        <v>0</v>
      </c>
    </row>
    <row r="1521" spans="1:1" x14ac:dyDescent="0.25">
      <c r="A1521" s="56">
        <v>0</v>
      </c>
    </row>
    <row r="1522" spans="1:1" x14ac:dyDescent="0.25">
      <c r="A1522" s="56">
        <v>394351353.10000002</v>
      </c>
    </row>
    <row r="1523" spans="1:1" x14ac:dyDescent="0.25">
      <c r="A1523" s="56">
        <v>7513456.5</v>
      </c>
    </row>
    <row r="1524" spans="1:1" x14ac:dyDescent="0.25">
      <c r="A1524" s="56">
        <v>25396423.300000001</v>
      </c>
    </row>
    <row r="1525" spans="1:1" x14ac:dyDescent="0.25">
      <c r="A1525" s="56">
        <v>91508220.999999896</v>
      </c>
    </row>
    <row r="1526" spans="1:1" x14ac:dyDescent="0.25">
      <c r="A1526" s="56">
        <v>247083492.09999999</v>
      </c>
    </row>
    <row r="1527" spans="1:1" x14ac:dyDescent="0.25">
      <c r="A1527" s="56">
        <v>17721118.699999999</v>
      </c>
    </row>
    <row r="1528" spans="1:1" x14ac:dyDescent="0.25">
      <c r="A1528" s="56">
        <v>14670678.199999999</v>
      </c>
    </row>
    <row r="1529" spans="1:1" x14ac:dyDescent="0.25">
      <c r="A1529" s="56">
        <v>134117397.90000001</v>
      </c>
    </row>
    <row r="1530" spans="1:1" x14ac:dyDescent="0.25">
      <c r="A1530" s="56">
        <v>826311.6</v>
      </c>
    </row>
    <row r="1531" spans="1:1" x14ac:dyDescent="0.25">
      <c r="A1531" s="56">
        <v>304479062.60000002</v>
      </c>
    </row>
    <row r="1532" spans="1:1" x14ac:dyDescent="0.25">
      <c r="A1532" s="56">
        <v>34056933.299999997</v>
      </c>
    </row>
    <row r="1533" spans="1:1" x14ac:dyDescent="0.25">
      <c r="A1533" s="56">
        <v>13662911.4</v>
      </c>
    </row>
    <row r="1534" spans="1:1" x14ac:dyDescent="0.25">
      <c r="A1534" s="56">
        <v>50524053</v>
      </c>
    </row>
    <row r="1535" spans="1:1" x14ac:dyDescent="0.25">
      <c r="A1535" s="56">
        <v>28706952.300000001</v>
      </c>
    </row>
    <row r="1536" spans="1:1" x14ac:dyDescent="0.25">
      <c r="A1536" s="56">
        <v>104698503.8</v>
      </c>
    </row>
    <row r="1537" spans="1:1" x14ac:dyDescent="0.25">
      <c r="A1537" s="56">
        <v>22855146.699999999</v>
      </c>
    </row>
    <row r="1538" spans="1:1" x14ac:dyDescent="0.25">
      <c r="A1538" s="56">
        <v>0</v>
      </c>
    </row>
    <row r="1539" spans="1:1" x14ac:dyDescent="0.25">
      <c r="A1539" s="56">
        <v>96942466.299999997</v>
      </c>
    </row>
    <row r="1540" spans="1:1" x14ac:dyDescent="0.25">
      <c r="A1540" s="56">
        <v>21216027.899999999</v>
      </c>
    </row>
    <row r="1541" spans="1:1" x14ac:dyDescent="0.25">
      <c r="A1541" s="56">
        <v>23369840.699999999</v>
      </c>
    </row>
    <row r="1542" spans="1:1" x14ac:dyDescent="0.25">
      <c r="A1542" s="56">
        <v>530640.80000000005</v>
      </c>
    </row>
    <row r="1543" spans="1:1" x14ac:dyDescent="0.25">
      <c r="A1543" s="56">
        <v>33562410.799999997</v>
      </c>
    </row>
    <row r="1544" spans="1:1" x14ac:dyDescent="0.25">
      <c r="A1544" s="56">
        <v>107410215.59999999</v>
      </c>
    </row>
    <row r="1545" spans="1:1" x14ac:dyDescent="0.25">
      <c r="A1545" s="56">
        <v>110298002.40000001</v>
      </c>
    </row>
    <row r="1546" spans="1:1" x14ac:dyDescent="0.25">
      <c r="A1546" s="56">
        <v>0</v>
      </c>
    </row>
    <row r="1547" spans="1:1" x14ac:dyDescent="0.25">
      <c r="A1547" s="56">
        <v>32458101.300000001</v>
      </c>
    </row>
    <row r="1548" spans="1:1" x14ac:dyDescent="0.25">
      <c r="A1548" s="56">
        <v>41170297.599999897</v>
      </c>
    </row>
    <row r="1549" spans="1:1" x14ac:dyDescent="0.25">
      <c r="A1549" s="56">
        <v>6858087.5999999996</v>
      </c>
    </row>
    <row r="1550" spans="1:1" x14ac:dyDescent="0.25">
      <c r="A1550" s="56">
        <v>85724182.299999997</v>
      </c>
    </row>
    <row r="1551" spans="1:1" x14ac:dyDescent="0.25">
      <c r="A1551" s="56">
        <v>42924650.600000001</v>
      </c>
    </row>
    <row r="1552" spans="1:1" x14ac:dyDescent="0.25">
      <c r="A1552" s="56">
        <v>10242979.199999999</v>
      </c>
    </row>
    <row r="1553" spans="1:1" x14ac:dyDescent="0.25">
      <c r="A1553" s="56">
        <v>6949041.3999999901</v>
      </c>
    </row>
    <row r="1554" spans="1:1" x14ac:dyDescent="0.25">
      <c r="A1554" s="56">
        <v>13541826.4</v>
      </c>
    </row>
    <row r="1555" spans="1:1" x14ac:dyDescent="0.25">
      <c r="A1555" s="56">
        <v>25390157.800000001</v>
      </c>
    </row>
    <row r="1556" spans="1:1" x14ac:dyDescent="0.25">
      <c r="A1556" s="56">
        <v>38220842.799999997</v>
      </c>
    </row>
    <row r="1557" spans="1:1" x14ac:dyDescent="0.25">
      <c r="A1557" s="56">
        <v>4772646</v>
      </c>
    </row>
    <row r="1558" spans="1:1" x14ac:dyDescent="0.25">
      <c r="A1558" s="56">
        <v>55563756.700000003</v>
      </c>
    </row>
    <row r="1559" spans="1:1" x14ac:dyDescent="0.25">
      <c r="A1559" s="56">
        <v>214158283.59999999</v>
      </c>
    </row>
    <row r="1560" spans="1:1" x14ac:dyDescent="0.25">
      <c r="A1560" s="56">
        <v>12239758.300000001</v>
      </c>
    </row>
    <row r="1561" spans="1:1" x14ac:dyDescent="0.25">
      <c r="A1561" s="56">
        <v>0</v>
      </c>
    </row>
    <row r="1562" spans="1:1" x14ac:dyDescent="0.25">
      <c r="A1562" s="56">
        <v>97316027.099999905</v>
      </c>
    </row>
    <row r="1563" spans="1:1" x14ac:dyDescent="0.25">
      <c r="A1563" s="56">
        <v>0</v>
      </c>
    </row>
    <row r="1564" spans="1:1" x14ac:dyDescent="0.25">
      <c r="A1564" s="56">
        <v>40867212.899999999</v>
      </c>
    </row>
    <row r="1565" spans="1:1" x14ac:dyDescent="0.25">
      <c r="A1565" s="56">
        <v>0</v>
      </c>
    </row>
    <row r="1566" spans="1:1" x14ac:dyDescent="0.25">
      <c r="A1566" s="56">
        <v>51884019.700000003</v>
      </c>
    </row>
    <row r="1567" spans="1:1" x14ac:dyDescent="0.25">
      <c r="A1567" s="56">
        <v>0</v>
      </c>
    </row>
    <row r="1568" spans="1:1" x14ac:dyDescent="0.25">
      <c r="A1568" s="56">
        <v>33882432.899999999</v>
      </c>
    </row>
    <row r="1569" spans="1:1" x14ac:dyDescent="0.25">
      <c r="A1569" s="56">
        <v>54688345.599999897</v>
      </c>
    </row>
    <row r="1570" spans="1:1" x14ac:dyDescent="0.25">
      <c r="A1570" s="56">
        <v>625458.4</v>
      </c>
    </row>
    <row r="1571" spans="1:1" x14ac:dyDescent="0.25">
      <c r="A1571" s="56">
        <v>84628598.599999905</v>
      </c>
    </row>
    <row r="1572" spans="1:1" x14ac:dyDescent="0.25">
      <c r="A1572" s="56">
        <v>57299485.5</v>
      </c>
    </row>
    <row r="1573" spans="1:1" x14ac:dyDescent="0.25">
      <c r="A1573" s="56">
        <v>6669296.1999999899</v>
      </c>
    </row>
    <row r="1574" spans="1:1" x14ac:dyDescent="0.25">
      <c r="A1574" s="56">
        <v>22722408.699999999</v>
      </c>
    </row>
    <row r="1575" spans="1:1" x14ac:dyDescent="0.25">
      <c r="A1575" s="56">
        <v>0</v>
      </c>
    </row>
    <row r="1576" spans="1:1" x14ac:dyDescent="0.25">
      <c r="A1576" s="56">
        <v>18649301.199999999</v>
      </c>
    </row>
    <row r="1577" spans="1:1" x14ac:dyDescent="0.25">
      <c r="A1577" s="56">
        <v>7037445.2999999998</v>
      </c>
    </row>
    <row r="1578" spans="1:1" x14ac:dyDescent="0.25">
      <c r="A1578" s="56">
        <v>302280397.80000001</v>
      </c>
    </row>
    <row r="1579" spans="1:1" x14ac:dyDescent="0.25">
      <c r="A1579" s="56">
        <v>23851613.300000001</v>
      </c>
    </row>
    <row r="1580" spans="1:1" x14ac:dyDescent="0.25">
      <c r="A1580" s="56">
        <v>37552084.5</v>
      </c>
    </row>
    <row r="1581" spans="1:1" x14ac:dyDescent="0.25">
      <c r="A1581" s="56">
        <v>5416310.8999999901</v>
      </c>
    </row>
    <row r="1582" spans="1:1" x14ac:dyDescent="0.25">
      <c r="A1582" s="56">
        <v>7100474.5</v>
      </c>
    </row>
    <row r="1583" spans="1:1" x14ac:dyDescent="0.25">
      <c r="A1583" s="56">
        <v>9163405.3999999892</v>
      </c>
    </row>
    <row r="1584" spans="1:1" x14ac:dyDescent="0.25">
      <c r="A1584" s="56">
        <v>196535360.40000001</v>
      </c>
    </row>
    <row r="1585" spans="1:1" x14ac:dyDescent="0.25">
      <c r="A1585" s="56">
        <v>19064279.699999999</v>
      </c>
    </row>
    <row r="1586" spans="1:1" x14ac:dyDescent="0.25">
      <c r="A1586" s="56">
        <v>20842347.199999999</v>
      </c>
    </row>
    <row r="1587" spans="1:1" x14ac:dyDescent="0.25">
      <c r="A1587" s="56">
        <v>7453747.9000000004</v>
      </c>
    </row>
    <row r="1588" spans="1:1" x14ac:dyDescent="0.25">
      <c r="A1588" s="56">
        <v>759643.2</v>
      </c>
    </row>
    <row r="1589" spans="1:1" x14ac:dyDescent="0.25">
      <c r="A1589" s="56">
        <v>68488023</v>
      </c>
    </row>
    <row r="1590" spans="1:1" x14ac:dyDescent="0.25">
      <c r="A1590" s="56">
        <v>49189822.299999997</v>
      </c>
    </row>
    <row r="1591" spans="1:1" x14ac:dyDescent="0.25">
      <c r="A1591" s="56">
        <v>0</v>
      </c>
    </row>
    <row r="1592" spans="1:1" x14ac:dyDescent="0.25">
      <c r="A1592" s="56">
        <v>128804970.7</v>
      </c>
    </row>
    <row r="1593" spans="1:1" x14ac:dyDescent="0.25">
      <c r="A1593" s="56">
        <v>5576138.5999999996</v>
      </c>
    </row>
    <row r="1594" spans="1:1" x14ac:dyDescent="0.25">
      <c r="A1594" s="56">
        <v>431718635.80000001</v>
      </c>
    </row>
    <row r="1595" spans="1:1" x14ac:dyDescent="0.25">
      <c r="A1595" s="56">
        <v>36063095.799999997</v>
      </c>
    </row>
    <row r="1596" spans="1:1" x14ac:dyDescent="0.25">
      <c r="A1596" s="56">
        <v>5073978</v>
      </c>
    </row>
    <row r="1597" spans="1:1" x14ac:dyDescent="0.25">
      <c r="A1597" s="56">
        <v>1948908.6</v>
      </c>
    </row>
    <row r="1598" spans="1:1" x14ac:dyDescent="0.25">
      <c r="A1598" s="56">
        <v>105502918.59999999</v>
      </c>
    </row>
    <row r="1599" spans="1:1" x14ac:dyDescent="0.25">
      <c r="A1599" s="56">
        <v>5120515.3999999901</v>
      </c>
    </row>
    <row r="1600" spans="1:1" x14ac:dyDescent="0.25">
      <c r="A1600" s="56">
        <v>47684992.599999897</v>
      </c>
    </row>
    <row r="1601" spans="1:1" x14ac:dyDescent="0.25">
      <c r="A1601" s="56">
        <v>63417097.399999902</v>
      </c>
    </row>
    <row r="1602" spans="1:1" x14ac:dyDescent="0.25">
      <c r="A1602" s="56">
        <v>124771143.90000001</v>
      </c>
    </row>
    <row r="1603" spans="1:1" x14ac:dyDescent="0.25">
      <c r="A1603" s="56">
        <v>28894959.800000001</v>
      </c>
    </row>
    <row r="1604" spans="1:1" x14ac:dyDescent="0.25">
      <c r="A1604" s="56">
        <v>108637132.5</v>
      </c>
    </row>
    <row r="1605" spans="1:1" x14ac:dyDescent="0.25">
      <c r="A1605" s="56">
        <v>15125286.4</v>
      </c>
    </row>
    <row r="1606" spans="1:1" x14ac:dyDescent="0.25">
      <c r="A1606" s="56">
        <v>23563923.699999999</v>
      </c>
    </row>
    <row r="1607" spans="1:1" x14ac:dyDescent="0.25">
      <c r="A1607" s="56">
        <v>14391993.699999999</v>
      </c>
    </row>
    <row r="1608" spans="1:1" x14ac:dyDescent="0.25">
      <c r="A1608" s="56">
        <v>0</v>
      </c>
    </row>
    <row r="1609" spans="1:1" x14ac:dyDescent="0.25">
      <c r="A1609" s="56">
        <v>0</v>
      </c>
    </row>
    <row r="1610" spans="1:1" x14ac:dyDescent="0.25">
      <c r="A1610" s="56">
        <v>0</v>
      </c>
    </row>
    <row r="1611" spans="1:1" x14ac:dyDescent="0.25">
      <c r="A1611" s="56">
        <v>18003287.899999999</v>
      </c>
    </row>
    <row r="1612" spans="1:1" x14ac:dyDescent="0.25">
      <c r="A1612" s="56">
        <v>1270210</v>
      </c>
    </row>
    <row r="1613" spans="1:1" x14ac:dyDescent="0.25">
      <c r="A1613" s="56">
        <v>9282777.8000000007</v>
      </c>
    </row>
    <row r="1614" spans="1:1" x14ac:dyDescent="0.25">
      <c r="A1614" s="56">
        <v>14030276.300000001</v>
      </c>
    </row>
    <row r="1615" spans="1:1" x14ac:dyDescent="0.25">
      <c r="A1615" s="56">
        <v>44526363.799999997</v>
      </c>
    </row>
    <row r="1616" spans="1:1" x14ac:dyDescent="0.25">
      <c r="A1616" s="56">
        <v>3675664.8</v>
      </c>
    </row>
    <row r="1617" spans="1:1" x14ac:dyDescent="0.25">
      <c r="A1617" s="56">
        <v>5455645.2999999998</v>
      </c>
    </row>
    <row r="1618" spans="1:1" x14ac:dyDescent="0.25">
      <c r="A1618" s="56">
        <v>29081077</v>
      </c>
    </row>
    <row r="1619" spans="1:1" x14ac:dyDescent="0.25">
      <c r="A1619" s="56">
        <v>1973125.2</v>
      </c>
    </row>
    <row r="1620" spans="1:1" x14ac:dyDescent="0.25">
      <c r="A1620" s="56">
        <v>2043994.8</v>
      </c>
    </row>
    <row r="1621" spans="1:1" x14ac:dyDescent="0.25">
      <c r="A1621" s="56">
        <v>15450462.199999999</v>
      </c>
    </row>
    <row r="1622" spans="1:1" x14ac:dyDescent="0.25">
      <c r="A1622" s="56">
        <v>0</v>
      </c>
    </row>
    <row r="1623" spans="1:1" x14ac:dyDescent="0.25">
      <c r="A1623" s="56">
        <v>47058184.100000001</v>
      </c>
    </row>
    <row r="1624" spans="1:1" x14ac:dyDescent="0.25">
      <c r="A1624" s="56">
        <v>58039269.399999999</v>
      </c>
    </row>
    <row r="1625" spans="1:1" x14ac:dyDescent="0.25">
      <c r="A1625" s="56">
        <v>86644751.700000003</v>
      </c>
    </row>
    <row r="1626" spans="1:1" x14ac:dyDescent="0.25">
      <c r="A1626" s="56">
        <v>32385484.800000001</v>
      </c>
    </row>
    <row r="1627" spans="1:1" x14ac:dyDescent="0.25">
      <c r="A1627" s="56">
        <v>3669534.6</v>
      </c>
    </row>
    <row r="1628" spans="1:1" x14ac:dyDescent="0.25">
      <c r="A1628" s="56">
        <v>39139452.399999902</v>
      </c>
    </row>
    <row r="1629" spans="1:1" x14ac:dyDescent="0.25">
      <c r="A1629" s="56">
        <v>139257802.19999999</v>
      </c>
    </row>
    <row r="1630" spans="1:1" x14ac:dyDescent="0.25">
      <c r="A1630" s="56">
        <v>593852543.10000002</v>
      </c>
    </row>
    <row r="1631" spans="1:1" x14ac:dyDescent="0.25">
      <c r="A1631" s="56">
        <v>7669778.2000000002</v>
      </c>
    </row>
    <row r="1632" spans="1:1" x14ac:dyDescent="0.25">
      <c r="A1632" s="56">
        <v>12876557.9</v>
      </c>
    </row>
    <row r="1633" spans="1:1" x14ac:dyDescent="0.25">
      <c r="A1633" s="56">
        <v>12774770.4</v>
      </c>
    </row>
    <row r="1634" spans="1:1" x14ac:dyDescent="0.25">
      <c r="A1634" s="56">
        <v>5874325.0999999996</v>
      </c>
    </row>
    <row r="1635" spans="1:1" x14ac:dyDescent="0.25">
      <c r="A1635" s="56">
        <v>16593276</v>
      </c>
    </row>
    <row r="1636" spans="1:1" x14ac:dyDescent="0.25">
      <c r="A1636" s="56">
        <v>45976025.600000001</v>
      </c>
    </row>
    <row r="1637" spans="1:1" x14ac:dyDescent="0.25">
      <c r="A1637" s="56">
        <v>304441.59999999998</v>
      </c>
    </row>
    <row r="1638" spans="1:1" x14ac:dyDescent="0.25">
      <c r="A1638" s="56">
        <v>0</v>
      </c>
    </row>
    <row r="1639" spans="1:1" x14ac:dyDescent="0.25">
      <c r="A1639" s="56">
        <v>10247155.800000001</v>
      </c>
    </row>
    <row r="1640" spans="1:1" x14ac:dyDescent="0.25">
      <c r="A1640" s="56">
        <v>13376939.4</v>
      </c>
    </row>
    <row r="1641" spans="1:1" x14ac:dyDescent="0.25">
      <c r="A1641" s="56">
        <v>383051555.10000002</v>
      </c>
    </row>
    <row r="1642" spans="1:1" x14ac:dyDescent="0.25">
      <c r="A1642" s="56">
        <v>500267194.99999899</v>
      </c>
    </row>
    <row r="1643" spans="1:1" x14ac:dyDescent="0.25">
      <c r="A1643" s="56">
        <v>115124812.7</v>
      </c>
    </row>
    <row r="1644" spans="1:1" x14ac:dyDescent="0.25">
      <c r="A1644" s="56">
        <v>76202378.400000006</v>
      </c>
    </row>
    <row r="1645" spans="1:1" x14ac:dyDescent="0.25">
      <c r="A1645" s="56">
        <v>31850570.899999999</v>
      </c>
    </row>
    <row r="1646" spans="1:1" x14ac:dyDescent="0.25">
      <c r="A1646" s="56">
        <v>8726829.3999999892</v>
      </c>
    </row>
    <row r="1647" spans="1:1" x14ac:dyDescent="0.25">
      <c r="A1647" s="56">
        <v>12637671.6</v>
      </c>
    </row>
    <row r="1648" spans="1:1" x14ac:dyDescent="0.25">
      <c r="A1648" s="56">
        <v>9005371.9000000004</v>
      </c>
    </row>
    <row r="1649" spans="1:1" x14ac:dyDescent="0.25">
      <c r="A1649" s="56">
        <v>0</v>
      </c>
    </row>
    <row r="1650" spans="1:1" x14ac:dyDescent="0.25">
      <c r="A1650" s="56">
        <v>29660109.199999999</v>
      </c>
    </row>
    <row r="1651" spans="1:1" x14ac:dyDescent="0.25">
      <c r="A1651" s="56">
        <v>3158990.4</v>
      </c>
    </row>
    <row r="1652" spans="1:1" x14ac:dyDescent="0.25">
      <c r="A1652" s="56">
        <v>23305107.199999999</v>
      </c>
    </row>
    <row r="1653" spans="1:1" x14ac:dyDescent="0.25">
      <c r="A1653" s="56">
        <v>33059901.199999999</v>
      </c>
    </row>
    <row r="1654" spans="1:1" x14ac:dyDescent="0.25">
      <c r="A1654" s="56">
        <v>100263372.8</v>
      </c>
    </row>
    <row r="1655" spans="1:1" x14ac:dyDescent="0.25">
      <c r="A1655" s="56">
        <v>99769724.599999905</v>
      </c>
    </row>
    <row r="1656" spans="1:1" x14ac:dyDescent="0.25">
      <c r="A1656" s="56">
        <v>55690766.499999903</v>
      </c>
    </row>
    <row r="1657" spans="1:1" x14ac:dyDescent="0.25">
      <c r="A1657" s="56">
        <v>0</v>
      </c>
    </row>
    <row r="1658" spans="1:1" x14ac:dyDescent="0.25">
      <c r="A1658" s="56">
        <v>650437031</v>
      </c>
    </row>
    <row r="1659" spans="1:1" x14ac:dyDescent="0.25">
      <c r="A1659" s="56">
        <v>122976139.8</v>
      </c>
    </row>
    <row r="1660" spans="1:1" x14ac:dyDescent="0.25">
      <c r="A1660" s="56">
        <v>121540160.59999999</v>
      </c>
    </row>
    <row r="1661" spans="1:1" x14ac:dyDescent="0.25">
      <c r="A1661" s="56">
        <v>8062084</v>
      </c>
    </row>
    <row r="1662" spans="1:1" x14ac:dyDescent="0.25">
      <c r="A1662" s="56">
        <v>28926975</v>
      </c>
    </row>
    <row r="1663" spans="1:1" x14ac:dyDescent="0.25">
      <c r="A1663" s="56">
        <v>102344620.5</v>
      </c>
    </row>
    <row r="1664" spans="1:1" x14ac:dyDescent="0.25">
      <c r="A1664" s="56">
        <v>186156924.69999999</v>
      </c>
    </row>
    <row r="1665" spans="1:1" x14ac:dyDescent="0.25">
      <c r="A1665" s="56">
        <v>33202267.599999901</v>
      </c>
    </row>
    <row r="1666" spans="1:1" x14ac:dyDescent="0.25">
      <c r="A1666" s="56">
        <v>0</v>
      </c>
    </row>
    <row r="1667" spans="1:1" x14ac:dyDescent="0.25">
      <c r="A1667" s="56">
        <v>28198597.699999999</v>
      </c>
    </row>
    <row r="1668" spans="1:1" x14ac:dyDescent="0.25">
      <c r="A1668" s="56">
        <v>19398353</v>
      </c>
    </row>
    <row r="1669" spans="1:1" x14ac:dyDescent="0.25">
      <c r="A1669" s="56">
        <v>204730795.19999999</v>
      </c>
    </row>
    <row r="1670" spans="1:1" x14ac:dyDescent="0.25">
      <c r="A1670" s="56">
        <v>65907021.199999899</v>
      </c>
    </row>
    <row r="1671" spans="1:1" x14ac:dyDescent="0.25">
      <c r="A1671" s="56">
        <v>0</v>
      </c>
    </row>
    <row r="1672" spans="1:1" x14ac:dyDescent="0.25">
      <c r="A1672" s="56">
        <v>0</v>
      </c>
    </row>
    <row r="1673" spans="1:1" x14ac:dyDescent="0.25">
      <c r="A1673" s="56">
        <v>65854327.499999903</v>
      </c>
    </row>
    <row r="1674" spans="1:1" x14ac:dyDescent="0.25">
      <c r="A1674" s="56">
        <v>45852334.299999997</v>
      </c>
    </row>
    <row r="1675" spans="1:1" x14ac:dyDescent="0.25">
      <c r="A1675" s="56">
        <v>625458.4</v>
      </c>
    </row>
    <row r="1676" spans="1:1" x14ac:dyDescent="0.25">
      <c r="A1676" s="56">
        <v>8149396.9000000004</v>
      </c>
    </row>
    <row r="1677" spans="1:1" x14ac:dyDescent="0.25">
      <c r="A1677" s="56">
        <v>42019811.100000001</v>
      </c>
    </row>
    <row r="1678" spans="1:1" x14ac:dyDescent="0.25">
      <c r="A1678" s="56">
        <v>15395393.199999999</v>
      </c>
    </row>
    <row r="1679" spans="1:1" x14ac:dyDescent="0.25">
      <c r="A1679" s="56">
        <v>0</v>
      </c>
    </row>
    <row r="1680" spans="1:1" x14ac:dyDescent="0.25">
      <c r="A1680" s="56">
        <v>373787180.30000001</v>
      </c>
    </row>
    <row r="1681" spans="1:1" x14ac:dyDescent="0.25">
      <c r="A1681" s="56">
        <v>7247826.3999999901</v>
      </c>
    </row>
    <row r="1682" spans="1:1" x14ac:dyDescent="0.25">
      <c r="A1682" s="56">
        <v>289080864.39999998</v>
      </c>
    </row>
    <row r="1683" spans="1:1" x14ac:dyDescent="0.25">
      <c r="A1683" s="56">
        <v>12339484.199999999</v>
      </c>
    </row>
    <row r="1684" spans="1:1" x14ac:dyDescent="0.25">
      <c r="A1684" s="56">
        <v>468234896.60000002</v>
      </c>
    </row>
    <row r="1685" spans="1:1" x14ac:dyDescent="0.25">
      <c r="A1685" s="56">
        <v>1059340</v>
      </c>
    </row>
    <row r="1686" spans="1:1" x14ac:dyDescent="0.25">
      <c r="A1686" s="56">
        <v>7721460</v>
      </c>
    </row>
    <row r="1687" spans="1:1" x14ac:dyDescent="0.25">
      <c r="A1687" s="56">
        <v>5683755.6999999899</v>
      </c>
    </row>
    <row r="1688" spans="1:1" x14ac:dyDescent="0.25">
      <c r="A1688" s="56">
        <v>85500364.599999905</v>
      </c>
    </row>
    <row r="1689" spans="1:1" x14ac:dyDescent="0.25">
      <c r="A1689" s="56">
        <v>164389598</v>
      </c>
    </row>
    <row r="1690" spans="1:1" x14ac:dyDescent="0.25">
      <c r="A1690" s="56">
        <v>98952845.299999893</v>
      </c>
    </row>
    <row r="1691" spans="1:1" x14ac:dyDescent="0.25">
      <c r="A1691" s="56">
        <v>80702269.5</v>
      </c>
    </row>
    <row r="1692" spans="1:1" x14ac:dyDescent="0.25">
      <c r="A1692" s="56">
        <v>1013102.8</v>
      </c>
    </row>
    <row r="1693" spans="1:1" x14ac:dyDescent="0.25">
      <c r="A1693" s="56">
        <v>0</v>
      </c>
    </row>
    <row r="1694" spans="1:1" x14ac:dyDescent="0.25">
      <c r="A1694" s="56">
        <v>52024129.599999897</v>
      </c>
    </row>
    <row r="1695" spans="1:1" x14ac:dyDescent="0.25">
      <c r="A1695" s="56">
        <v>7050922.8999999901</v>
      </c>
    </row>
    <row r="1696" spans="1:1" x14ac:dyDescent="0.25">
      <c r="A1696" s="56">
        <v>221358342.5</v>
      </c>
    </row>
    <row r="1697" spans="1:1" x14ac:dyDescent="0.25">
      <c r="A1697" s="56">
        <v>0</v>
      </c>
    </row>
    <row r="1698" spans="1:1" x14ac:dyDescent="0.25">
      <c r="A1698" s="56">
        <v>146674881.30000001</v>
      </c>
    </row>
    <row r="1699" spans="1:1" x14ac:dyDescent="0.25">
      <c r="A1699" s="56">
        <v>19189377.300000001</v>
      </c>
    </row>
    <row r="1700" spans="1:1" x14ac:dyDescent="0.25">
      <c r="A1700" s="56">
        <v>5040287.8</v>
      </c>
    </row>
    <row r="1701" spans="1:1" x14ac:dyDescent="0.25">
      <c r="A1701" s="56">
        <v>27031814.800000001</v>
      </c>
    </row>
    <row r="1702" spans="1:1" x14ac:dyDescent="0.25">
      <c r="A1702" s="56">
        <v>71493793.799999997</v>
      </c>
    </row>
    <row r="1703" spans="1:1" x14ac:dyDescent="0.25">
      <c r="A1703" s="56">
        <v>252180577.40000001</v>
      </c>
    </row>
    <row r="1704" spans="1:1" x14ac:dyDescent="0.25">
      <c r="A1704" s="56">
        <v>5941787.4000000004</v>
      </c>
    </row>
    <row r="1705" spans="1:1" x14ac:dyDescent="0.25">
      <c r="A1705" s="56">
        <v>28988746.399999999</v>
      </c>
    </row>
    <row r="1706" spans="1:1" x14ac:dyDescent="0.25">
      <c r="A1706" s="56">
        <v>12180309.699999999</v>
      </c>
    </row>
    <row r="1707" spans="1:1" x14ac:dyDescent="0.25">
      <c r="A1707" s="56">
        <v>254957480</v>
      </c>
    </row>
    <row r="1708" spans="1:1" x14ac:dyDescent="0.25">
      <c r="A1708" s="56">
        <v>0</v>
      </c>
    </row>
    <row r="1709" spans="1:1" x14ac:dyDescent="0.25">
      <c r="A1709" s="56">
        <v>9689490.0999999996</v>
      </c>
    </row>
    <row r="1710" spans="1:1" x14ac:dyDescent="0.25">
      <c r="A1710" s="56">
        <v>0</v>
      </c>
    </row>
    <row r="1711" spans="1:1" x14ac:dyDescent="0.25">
      <c r="A1711" s="56">
        <v>0</v>
      </c>
    </row>
    <row r="1712" spans="1:1" x14ac:dyDescent="0.25">
      <c r="A1712" s="56">
        <v>3980947.8</v>
      </c>
    </row>
    <row r="1713" spans="1:1" x14ac:dyDescent="0.25">
      <c r="A1713" s="56">
        <v>14405982.9</v>
      </c>
    </row>
    <row r="1714" spans="1:1" x14ac:dyDescent="0.25">
      <c r="A1714" s="56">
        <v>62423156</v>
      </c>
    </row>
    <row r="1715" spans="1:1" x14ac:dyDescent="0.25">
      <c r="A1715" s="56">
        <v>1272781.6000000001</v>
      </c>
    </row>
    <row r="1716" spans="1:1" x14ac:dyDescent="0.25">
      <c r="A1716" s="56">
        <v>19181538.5</v>
      </c>
    </row>
    <row r="1717" spans="1:1" x14ac:dyDescent="0.25">
      <c r="A1717" s="56">
        <v>25526627.899999999</v>
      </c>
    </row>
    <row r="1718" spans="1:1" x14ac:dyDescent="0.25">
      <c r="A1718" s="56">
        <v>2803820.4</v>
      </c>
    </row>
    <row r="1719" spans="1:1" x14ac:dyDescent="0.25">
      <c r="A1719" s="56">
        <v>0</v>
      </c>
    </row>
    <row r="1720" spans="1:1" x14ac:dyDescent="0.25">
      <c r="A1720" s="56">
        <v>18114877.899999999</v>
      </c>
    </row>
    <row r="1721" spans="1:1" x14ac:dyDescent="0.25">
      <c r="A1721" s="56">
        <v>91259082.400000006</v>
      </c>
    </row>
    <row r="1722" spans="1:1" x14ac:dyDescent="0.25">
      <c r="A1722" s="56">
        <v>9182652.0999999996</v>
      </c>
    </row>
    <row r="1723" spans="1:1" x14ac:dyDescent="0.25">
      <c r="A1723" s="56">
        <v>107254844.2</v>
      </c>
    </row>
    <row r="1724" spans="1:1" x14ac:dyDescent="0.25">
      <c r="A1724" s="56">
        <v>307116951.89999998</v>
      </c>
    </row>
    <row r="1725" spans="1:1" x14ac:dyDescent="0.25">
      <c r="A1725" s="56">
        <v>41412101.299999997</v>
      </c>
    </row>
    <row r="1726" spans="1:1" x14ac:dyDescent="0.25">
      <c r="A1726" s="56">
        <v>16294452.1</v>
      </c>
    </row>
    <row r="1727" spans="1:1" x14ac:dyDescent="0.25">
      <c r="A1727" s="56">
        <v>3042300.6</v>
      </c>
    </row>
    <row r="1728" spans="1:1" x14ac:dyDescent="0.25">
      <c r="A1728" s="56">
        <v>20208407</v>
      </c>
    </row>
    <row r="1729" spans="1:1" x14ac:dyDescent="0.25">
      <c r="A1729" s="56">
        <v>97627219.599999905</v>
      </c>
    </row>
    <row r="1730" spans="1:1" x14ac:dyDescent="0.25">
      <c r="A1730" s="56">
        <v>114498122</v>
      </c>
    </row>
    <row r="1731" spans="1:1" x14ac:dyDescent="0.25">
      <c r="A1731" s="56">
        <v>73747295.199999899</v>
      </c>
    </row>
    <row r="1732" spans="1:1" x14ac:dyDescent="0.25">
      <c r="A1732" s="56">
        <v>67134801.999999896</v>
      </c>
    </row>
    <row r="1733" spans="1:1" x14ac:dyDescent="0.25">
      <c r="A1733" s="56">
        <v>281289401.10000002</v>
      </c>
    </row>
    <row r="1734" spans="1:1" x14ac:dyDescent="0.25">
      <c r="A1734" s="56">
        <v>171729324.59999999</v>
      </c>
    </row>
    <row r="1735" spans="1:1" x14ac:dyDescent="0.25">
      <c r="A1735" s="56">
        <v>6634909.3999999901</v>
      </c>
    </row>
    <row r="1736" spans="1:1" x14ac:dyDescent="0.25">
      <c r="A1736" s="56">
        <v>53723662</v>
      </c>
    </row>
    <row r="1737" spans="1:1" x14ac:dyDescent="0.25">
      <c r="A1737" s="56">
        <v>71601071.900000006</v>
      </c>
    </row>
    <row r="1738" spans="1:1" x14ac:dyDescent="0.25">
      <c r="A1738" s="56">
        <v>23865296.199999999</v>
      </c>
    </row>
    <row r="1739" spans="1:1" x14ac:dyDescent="0.25">
      <c r="A1739" s="56">
        <v>11710546.5</v>
      </c>
    </row>
    <row r="1740" spans="1:1" x14ac:dyDescent="0.25">
      <c r="A1740" s="56">
        <v>28406059.899999999</v>
      </c>
    </row>
    <row r="1741" spans="1:1" x14ac:dyDescent="0.25">
      <c r="A1741" s="56">
        <v>0</v>
      </c>
    </row>
    <row r="1742" spans="1:1" x14ac:dyDescent="0.25">
      <c r="A1742" s="56">
        <v>377113272.39999998</v>
      </c>
    </row>
    <row r="1743" spans="1:1" x14ac:dyDescent="0.25">
      <c r="A1743" s="56">
        <v>744382</v>
      </c>
    </row>
    <row r="1744" spans="1:1" x14ac:dyDescent="0.25">
      <c r="A1744" s="56">
        <v>3305527.8</v>
      </c>
    </row>
    <row r="1745" spans="1:1" x14ac:dyDescent="0.25">
      <c r="A1745" s="56">
        <v>40257990.5</v>
      </c>
    </row>
    <row r="1746" spans="1:1" x14ac:dyDescent="0.25">
      <c r="A1746" s="56">
        <v>0</v>
      </c>
    </row>
    <row r="1747" spans="1:1" x14ac:dyDescent="0.25">
      <c r="A1747" s="56">
        <v>54971559.799999997</v>
      </c>
    </row>
    <row r="1748" spans="1:1" x14ac:dyDescent="0.25">
      <c r="A1748" s="56">
        <v>143185998</v>
      </c>
    </row>
    <row r="1749" spans="1:1" x14ac:dyDescent="0.25">
      <c r="A1749" s="56">
        <v>102709377.40000001</v>
      </c>
    </row>
    <row r="1750" spans="1:1" x14ac:dyDescent="0.25">
      <c r="A1750" s="56">
        <v>10278760.6</v>
      </c>
    </row>
    <row r="1751" spans="1:1" x14ac:dyDescent="0.25">
      <c r="A1751" s="56">
        <v>562748718.29999995</v>
      </c>
    </row>
    <row r="1752" spans="1:1" x14ac:dyDescent="0.25">
      <c r="A1752" s="56">
        <v>41318558.5</v>
      </c>
    </row>
    <row r="1753" spans="1:1" x14ac:dyDescent="0.25">
      <c r="A1753" s="56">
        <v>70235415.299999997</v>
      </c>
    </row>
    <row r="1754" spans="1:1" x14ac:dyDescent="0.25">
      <c r="A1754" s="56">
        <v>1093392</v>
      </c>
    </row>
    <row r="1755" spans="1:1" x14ac:dyDescent="0.25">
      <c r="A1755" s="56">
        <v>12771120.4</v>
      </c>
    </row>
    <row r="1756" spans="1:1" x14ac:dyDescent="0.25">
      <c r="A1756" s="56">
        <v>49493398.100000001</v>
      </c>
    </row>
    <row r="1757" spans="1:1" x14ac:dyDescent="0.25">
      <c r="A1757" s="56">
        <v>10924834.6</v>
      </c>
    </row>
    <row r="1758" spans="1:1" x14ac:dyDescent="0.25">
      <c r="A1758" s="56">
        <v>26283803.800000001</v>
      </c>
    </row>
    <row r="1759" spans="1:1" x14ac:dyDescent="0.25">
      <c r="A1759" s="56">
        <v>145281615.19999999</v>
      </c>
    </row>
    <row r="1760" spans="1:1" x14ac:dyDescent="0.25">
      <c r="A1760" s="56">
        <v>3658479.6</v>
      </c>
    </row>
    <row r="1761" spans="1:1" x14ac:dyDescent="0.25">
      <c r="A1761" s="56">
        <v>195184167.40000001</v>
      </c>
    </row>
    <row r="1762" spans="1:1" x14ac:dyDescent="0.25">
      <c r="A1762" s="56">
        <v>395382073.89999998</v>
      </c>
    </row>
    <row r="1763" spans="1:1" x14ac:dyDescent="0.25">
      <c r="A1763" s="56">
        <v>2126388.6</v>
      </c>
    </row>
    <row r="1764" spans="1:1" x14ac:dyDescent="0.25">
      <c r="A1764" s="56">
        <v>161955919.5</v>
      </c>
    </row>
    <row r="1765" spans="1:1" x14ac:dyDescent="0.25">
      <c r="A1765" s="56">
        <v>45032548.5</v>
      </c>
    </row>
    <row r="1766" spans="1:1" x14ac:dyDescent="0.25">
      <c r="A1766" s="56">
        <v>2948529</v>
      </c>
    </row>
    <row r="1767" spans="1:1" x14ac:dyDescent="0.25">
      <c r="A1767" s="56">
        <v>140748859.80000001</v>
      </c>
    </row>
    <row r="1768" spans="1:1" x14ac:dyDescent="0.25">
      <c r="A1768" s="56">
        <v>22720514.699999999</v>
      </c>
    </row>
    <row r="1769" spans="1:1" x14ac:dyDescent="0.25">
      <c r="A1769" s="56">
        <v>98499055.200000003</v>
      </c>
    </row>
    <row r="1770" spans="1:1" x14ac:dyDescent="0.25">
      <c r="A1770" s="56">
        <v>0</v>
      </c>
    </row>
    <row r="1771" spans="1:1" x14ac:dyDescent="0.25">
      <c r="A1771" s="56">
        <v>0</v>
      </c>
    </row>
    <row r="1772" spans="1:1" x14ac:dyDescent="0.25">
      <c r="A1772" s="56">
        <v>64801156.399999999</v>
      </c>
    </row>
    <row r="1773" spans="1:1" x14ac:dyDescent="0.25">
      <c r="A1773" s="56">
        <v>12460429.1</v>
      </c>
    </row>
    <row r="1774" spans="1:1" x14ac:dyDescent="0.25">
      <c r="A1774" s="56">
        <v>51584727.399999902</v>
      </c>
    </row>
    <row r="1775" spans="1:1" x14ac:dyDescent="0.25">
      <c r="A1775" s="56">
        <v>5595573.8999999901</v>
      </c>
    </row>
    <row r="1776" spans="1:1" x14ac:dyDescent="0.25">
      <c r="A1776" s="56">
        <v>29007125.600000001</v>
      </c>
    </row>
    <row r="1777" spans="1:1" x14ac:dyDescent="0.25">
      <c r="A1777" s="56">
        <v>366243263.59999901</v>
      </c>
    </row>
    <row r="1778" spans="1:1" x14ac:dyDescent="0.25">
      <c r="A1778" s="56">
        <v>58595173.299999997</v>
      </c>
    </row>
    <row r="1779" spans="1:1" x14ac:dyDescent="0.25">
      <c r="A1779" s="56">
        <v>37843822.100000001</v>
      </c>
    </row>
    <row r="1780" spans="1:1" x14ac:dyDescent="0.25">
      <c r="A1780" s="56">
        <v>74659737.900000006</v>
      </c>
    </row>
    <row r="1781" spans="1:1" x14ac:dyDescent="0.25">
      <c r="A1781" s="56">
        <v>151691804.09999999</v>
      </c>
    </row>
    <row r="1782" spans="1:1" x14ac:dyDescent="0.25">
      <c r="A1782" s="56">
        <v>2419782.6</v>
      </c>
    </row>
    <row r="1783" spans="1:1" x14ac:dyDescent="0.25">
      <c r="A1783" s="56">
        <v>88783682.700000003</v>
      </c>
    </row>
    <row r="1784" spans="1:1" x14ac:dyDescent="0.25">
      <c r="A1784" s="56">
        <v>44513430.499999903</v>
      </c>
    </row>
    <row r="1785" spans="1:1" x14ac:dyDescent="0.25">
      <c r="A1785" s="56">
        <v>31822874.100000001</v>
      </c>
    </row>
    <row r="1786" spans="1:1" x14ac:dyDescent="0.25">
      <c r="A1786" s="56">
        <v>13632717.1</v>
      </c>
    </row>
    <row r="1787" spans="1:1" x14ac:dyDescent="0.25">
      <c r="A1787" s="56">
        <v>13194999.300000001</v>
      </c>
    </row>
    <row r="1788" spans="1:1" x14ac:dyDescent="0.25">
      <c r="A1788" s="56">
        <v>0</v>
      </c>
    </row>
    <row r="1789" spans="1:1" x14ac:dyDescent="0.25">
      <c r="A1789" s="56">
        <v>99581392.199999899</v>
      </c>
    </row>
    <row r="1790" spans="1:1" x14ac:dyDescent="0.25">
      <c r="A1790" s="56">
        <v>29365112.300000001</v>
      </c>
    </row>
    <row r="1791" spans="1:1" x14ac:dyDescent="0.25">
      <c r="A1791" s="56">
        <v>57936631.600000001</v>
      </c>
    </row>
    <row r="1792" spans="1:1" x14ac:dyDescent="0.25">
      <c r="A1792" s="56">
        <v>45784820.099999897</v>
      </c>
    </row>
    <row r="1793" spans="1:1" x14ac:dyDescent="0.25">
      <c r="A1793" s="56">
        <v>18997118.199999999</v>
      </c>
    </row>
    <row r="1794" spans="1:1" x14ac:dyDescent="0.25">
      <c r="A1794" s="56">
        <v>172372802.59999999</v>
      </c>
    </row>
    <row r="1795" spans="1:1" x14ac:dyDescent="0.25">
      <c r="A1795" s="56">
        <v>373479931.80000001</v>
      </c>
    </row>
    <row r="1796" spans="1:1" x14ac:dyDescent="0.25">
      <c r="A1796" s="56">
        <v>54191522.799999997</v>
      </c>
    </row>
    <row r="1797" spans="1:1" x14ac:dyDescent="0.25">
      <c r="A1797" s="56">
        <v>1948908.6</v>
      </c>
    </row>
    <row r="1798" spans="1:1" x14ac:dyDescent="0.25">
      <c r="A1798" s="56">
        <v>90168601.5</v>
      </c>
    </row>
    <row r="1799" spans="1:1" x14ac:dyDescent="0.25">
      <c r="A1799" s="56">
        <v>115959821.59999999</v>
      </c>
    </row>
    <row r="1800" spans="1:1" x14ac:dyDescent="0.25">
      <c r="A1800" s="56">
        <v>6521767</v>
      </c>
    </row>
    <row r="1801" spans="1:1" x14ac:dyDescent="0.25">
      <c r="A1801" s="56">
        <v>4129080</v>
      </c>
    </row>
    <row r="1802" spans="1:1" x14ac:dyDescent="0.25">
      <c r="A1802" s="56">
        <v>0</v>
      </c>
    </row>
    <row r="1803" spans="1:1" x14ac:dyDescent="0.25">
      <c r="A1803" s="56">
        <v>78556328.099999905</v>
      </c>
    </row>
    <row r="1804" spans="1:1" x14ac:dyDescent="0.25">
      <c r="A1804" s="56">
        <v>17660676.600000001</v>
      </c>
    </row>
    <row r="1805" spans="1:1" x14ac:dyDescent="0.25">
      <c r="A1805" s="56">
        <v>30580323.100000001</v>
      </c>
    </row>
    <row r="1806" spans="1:1" x14ac:dyDescent="0.25">
      <c r="A1806" s="56">
        <v>2394541.7999999998</v>
      </c>
    </row>
    <row r="1807" spans="1:1" x14ac:dyDescent="0.25">
      <c r="A1807" s="56">
        <v>7013750.8999999901</v>
      </c>
    </row>
    <row r="1808" spans="1:1" x14ac:dyDescent="0.25">
      <c r="A1808" s="56">
        <v>0</v>
      </c>
    </row>
    <row r="1809" spans="1:1" x14ac:dyDescent="0.25">
      <c r="A1809" s="56">
        <v>14023467.1</v>
      </c>
    </row>
    <row r="1810" spans="1:1" x14ac:dyDescent="0.25">
      <c r="A1810" s="56">
        <v>45473980.799999997</v>
      </c>
    </row>
    <row r="1811" spans="1:1" x14ac:dyDescent="0.25">
      <c r="A1811" s="56">
        <v>69818524.299999997</v>
      </c>
    </row>
    <row r="1812" spans="1:1" x14ac:dyDescent="0.25">
      <c r="A1812" s="56">
        <v>260795834.30000001</v>
      </c>
    </row>
    <row r="1813" spans="1:1" x14ac:dyDescent="0.25">
      <c r="A1813" s="56">
        <v>33941650.599999897</v>
      </c>
    </row>
    <row r="1814" spans="1:1" x14ac:dyDescent="0.25">
      <c r="A1814" s="56">
        <v>12287964.6</v>
      </c>
    </row>
    <row r="1815" spans="1:1" x14ac:dyDescent="0.25">
      <c r="A1815" s="56">
        <v>27862602.300000001</v>
      </c>
    </row>
    <row r="1816" spans="1:1" x14ac:dyDescent="0.25">
      <c r="A1816" s="56">
        <v>39653030.600000001</v>
      </c>
    </row>
    <row r="1817" spans="1:1" x14ac:dyDescent="0.25">
      <c r="A1817" s="56">
        <v>0</v>
      </c>
    </row>
    <row r="1818" spans="1:1" x14ac:dyDescent="0.25">
      <c r="A1818" s="56">
        <v>26597988.100000001</v>
      </c>
    </row>
    <row r="1819" spans="1:1" x14ac:dyDescent="0.25">
      <c r="A1819" s="56">
        <v>2463477</v>
      </c>
    </row>
    <row r="1820" spans="1:1" x14ac:dyDescent="0.25">
      <c r="A1820" s="56">
        <v>0</v>
      </c>
    </row>
    <row r="1821" spans="1:1" x14ac:dyDescent="0.25">
      <c r="A1821" s="56">
        <v>0</v>
      </c>
    </row>
    <row r="1822" spans="1:1" x14ac:dyDescent="0.25">
      <c r="A1822" s="56">
        <v>76616189.599999905</v>
      </c>
    </row>
    <row r="1823" spans="1:1" x14ac:dyDescent="0.25">
      <c r="A1823" s="56">
        <v>127146434</v>
      </c>
    </row>
    <row r="1824" spans="1:1" x14ac:dyDescent="0.25">
      <c r="A1824" s="56">
        <v>74287796.099999905</v>
      </c>
    </row>
    <row r="1825" spans="1:1" x14ac:dyDescent="0.25">
      <c r="A1825" s="56">
        <v>55284171.599999897</v>
      </c>
    </row>
    <row r="1826" spans="1:1" x14ac:dyDescent="0.25">
      <c r="A1826" s="56">
        <v>1034119.6</v>
      </c>
    </row>
    <row r="1827" spans="1:1" x14ac:dyDescent="0.25">
      <c r="A1827" s="56">
        <v>23801881.600000001</v>
      </c>
    </row>
    <row r="1828" spans="1:1" x14ac:dyDescent="0.25">
      <c r="A1828" s="56">
        <v>16020645.6</v>
      </c>
    </row>
    <row r="1829" spans="1:1" x14ac:dyDescent="0.25">
      <c r="A1829" s="56">
        <v>44430927.899999999</v>
      </c>
    </row>
    <row r="1830" spans="1:1" x14ac:dyDescent="0.25">
      <c r="A1830" s="56">
        <v>39994070.5</v>
      </c>
    </row>
    <row r="1831" spans="1:1" x14ac:dyDescent="0.25">
      <c r="A1831" s="56">
        <v>11048198.699999999</v>
      </c>
    </row>
    <row r="1832" spans="1:1" x14ac:dyDescent="0.25">
      <c r="A1832" s="56">
        <v>17350958.600000001</v>
      </c>
    </row>
    <row r="1833" spans="1:1" x14ac:dyDescent="0.25">
      <c r="A1833" s="56">
        <v>34222317</v>
      </c>
    </row>
    <row r="1834" spans="1:1" x14ac:dyDescent="0.25">
      <c r="A1834" s="56">
        <v>192771217</v>
      </c>
    </row>
    <row r="1835" spans="1:1" x14ac:dyDescent="0.25">
      <c r="A1835" s="56">
        <v>404668491.80000001</v>
      </c>
    </row>
    <row r="1836" spans="1:1" x14ac:dyDescent="0.25">
      <c r="A1836" s="56">
        <v>19241919.600000001</v>
      </c>
    </row>
    <row r="1837" spans="1:1" x14ac:dyDescent="0.25">
      <c r="A1837" s="56">
        <v>0</v>
      </c>
    </row>
    <row r="1838" spans="1:1" x14ac:dyDescent="0.25">
      <c r="A1838" s="56">
        <v>25931022</v>
      </c>
    </row>
    <row r="1839" spans="1:1" x14ac:dyDescent="0.25">
      <c r="A1839" s="56">
        <v>167217869.30000001</v>
      </c>
    </row>
    <row r="1840" spans="1:1" x14ac:dyDescent="0.25">
      <c r="A1840" s="56">
        <v>125909624</v>
      </c>
    </row>
    <row r="1841" spans="1:1" x14ac:dyDescent="0.25">
      <c r="A1841" s="56">
        <v>5951870.5999999996</v>
      </c>
    </row>
    <row r="1842" spans="1:1" x14ac:dyDescent="0.25">
      <c r="A1842" s="56">
        <v>121720220.3</v>
      </c>
    </row>
    <row r="1843" spans="1:1" x14ac:dyDescent="0.25">
      <c r="A1843" s="56">
        <v>161208747.09999999</v>
      </c>
    </row>
    <row r="1844" spans="1:1" x14ac:dyDescent="0.25">
      <c r="A1844" s="56">
        <v>45158622.599999897</v>
      </c>
    </row>
    <row r="1845" spans="1:1" x14ac:dyDescent="0.25">
      <c r="A1845" s="56">
        <v>35802019.5</v>
      </c>
    </row>
    <row r="1846" spans="1:1" x14ac:dyDescent="0.25">
      <c r="A1846" s="56">
        <v>144027448</v>
      </c>
    </row>
    <row r="1847" spans="1:1" x14ac:dyDescent="0.25">
      <c r="A1847" s="56">
        <v>2551072</v>
      </c>
    </row>
    <row r="1848" spans="1:1" x14ac:dyDescent="0.25">
      <c r="A1848" s="56">
        <v>334225426.89999998</v>
      </c>
    </row>
    <row r="1849" spans="1:1" x14ac:dyDescent="0.25">
      <c r="A1849" s="56">
        <v>2283559.7999999998</v>
      </c>
    </row>
    <row r="1850" spans="1:1" x14ac:dyDescent="0.25">
      <c r="A1850" s="56">
        <v>1088311.6000000001</v>
      </c>
    </row>
    <row r="1851" spans="1:1" x14ac:dyDescent="0.25">
      <c r="A1851" s="56">
        <v>11210436.9</v>
      </c>
    </row>
    <row r="1852" spans="1:1" x14ac:dyDescent="0.25">
      <c r="A1852" s="56">
        <v>0</v>
      </c>
    </row>
    <row r="1853" spans="1:1" x14ac:dyDescent="0.25">
      <c r="A1853" s="56">
        <v>11622711.800000001</v>
      </c>
    </row>
    <row r="1854" spans="1:1" x14ac:dyDescent="0.25">
      <c r="A1854" s="56">
        <v>21951017.800000001</v>
      </c>
    </row>
    <row r="1855" spans="1:1" x14ac:dyDescent="0.25">
      <c r="A1855" s="56">
        <v>155185668.59999999</v>
      </c>
    </row>
    <row r="1856" spans="1:1" x14ac:dyDescent="0.25">
      <c r="A1856" s="56">
        <v>1107876</v>
      </c>
    </row>
    <row r="1857" spans="1:1" x14ac:dyDescent="0.25">
      <c r="A1857" s="56">
        <v>178881706.30000001</v>
      </c>
    </row>
    <row r="1858" spans="1:1" x14ac:dyDescent="0.25">
      <c r="A1858" s="56">
        <v>148559160.69999999</v>
      </c>
    </row>
    <row r="1859" spans="1:1" x14ac:dyDescent="0.25">
      <c r="A1859" s="56">
        <v>0</v>
      </c>
    </row>
    <row r="1860" spans="1:1" x14ac:dyDescent="0.25">
      <c r="A1860" s="56">
        <v>11834980.4</v>
      </c>
    </row>
    <row r="1861" spans="1:1" x14ac:dyDescent="0.25">
      <c r="A1861" s="56">
        <v>25532090.699999999</v>
      </c>
    </row>
    <row r="1862" spans="1:1" x14ac:dyDescent="0.25">
      <c r="A1862" s="56">
        <v>33731665</v>
      </c>
    </row>
    <row r="1863" spans="1:1" x14ac:dyDescent="0.25">
      <c r="A1863" s="56">
        <v>13343157.300000001</v>
      </c>
    </row>
    <row r="1864" spans="1:1" x14ac:dyDescent="0.25">
      <c r="A1864" s="56">
        <v>19166167.800000001</v>
      </c>
    </row>
    <row r="1865" spans="1:1" x14ac:dyDescent="0.25">
      <c r="A1865" s="56">
        <v>0</v>
      </c>
    </row>
    <row r="1866" spans="1:1" x14ac:dyDescent="0.25">
      <c r="A1866" s="56">
        <v>31613204.100000001</v>
      </c>
    </row>
    <row r="1867" spans="1:1" x14ac:dyDescent="0.25">
      <c r="A1867" s="56">
        <v>75831404.400000006</v>
      </c>
    </row>
    <row r="1868" spans="1:1" x14ac:dyDescent="0.25">
      <c r="A1868" s="56">
        <v>281542039.89999998</v>
      </c>
    </row>
    <row r="1869" spans="1:1" x14ac:dyDescent="0.25">
      <c r="A1869" s="56">
        <v>151692446.19999999</v>
      </c>
    </row>
    <row r="1870" spans="1:1" x14ac:dyDescent="0.25">
      <c r="A1870" s="56">
        <v>10345196.4</v>
      </c>
    </row>
    <row r="1871" spans="1:1" x14ac:dyDescent="0.25">
      <c r="A1871" s="56">
        <v>42853111.200000003</v>
      </c>
    </row>
    <row r="1872" spans="1:1" x14ac:dyDescent="0.25">
      <c r="A1872" s="56">
        <v>66123140.799999997</v>
      </c>
    </row>
    <row r="1873" spans="1:1" x14ac:dyDescent="0.25">
      <c r="A1873" s="56">
        <v>26487501.800000001</v>
      </c>
    </row>
    <row r="1874" spans="1:1" x14ac:dyDescent="0.25">
      <c r="A1874" s="56">
        <v>3115431.6</v>
      </c>
    </row>
    <row r="1875" spans="1:1" x14ac:dyDescent="0.25">
      <c r="A1875" s="56">
        <v>38175802.599999897</v>
      </c>
    </row>
    <row r="1876" spans="1:1" x14ac:dyDescent="0.25">
      <c r="A1876" s="56">
        <v>23927171.899999999</v>
      </c>
    </row>
    <row r="1877" spans="1:1" x14ac:dyDescent="0.25">
      <c r="A1877" s="56">
        <v>0</v>
      </c>
    </row>
    <row r="1878" spans="1:1" x14ac:dyDescent="0.25">
      <c r="A1878" s="56">
        <v>136841274.69999999</v>
      </c>
    </row>
    <row r="1879" spans="1:1" x14ac:dyDescent="0.25">
      <c r="A1879" s="56">
        <v>63456583.899999999</v>
      </c>
    </row>
    <row r="1880" spans="1:1" x14ac:dyDescent="0.25">
      <c r="A1880" s="56">
        <v>23793615</v>
      </c>
    </row>
    <row r="1881" spans="1:1" x14ac:dyDescent="0.25">
      <c r="A1881" s="56">
        <v>16825425.199999999</v>
      </c>
    </row>
    <row r="1882" spans="1:1" x14ac:dyDescent="0.25">
      <c r="A1882" s="56">
        <v>10025164.800000001</v>
      </c>
    </row>
    <row r="1883" spans="1:1" x14ac:dyDescent="0.25">
      <c r="A1883" s="56">
        <v>42334585.399999999</v>
      </c>
    </row>
    <row r="1884" spans="1:1" x14ac:dyDescent="0.25">
      <c r="A1884" s="56">
        <v>47556465</v>
      </c>
    </row>
    <row r="1885" spans="1:1" x14ac:dyDescent="0.25">
      <c r="A1885" s="56">
        <v>121478906.2</v>
      </c>
    </row>
    <row r="1886" spans="1:1" x14ac:dyDescent="0.25">
      <c r="A1886" s="56">
        <v>21362497</v>
      </c>
    </row>
    <row r="1887" spans="1:1" x14ac:dyDescent="0.25">
      <c r="A1887" s="56">
        <v>0</v>
      </c>
    </row>
    <row r="1888" spans="1:1" x14ac:dyDescent="0.25">
      <c r="A1888" s="56">
        <v>5874325.0999999996</v>
      </c>
    </row>
    <row r="1889" spans="1:1" x14ac:dyDescent="0.25">
      <c r="A1889" s="56">
        <v>10057941.4</v>
      </c>
    </row>
    <row r="1890" spans="1:1" x14ac:dyDescent="0.25">
      <c r="A1890" s="56">
        <v>8550336.0999999996</v>
      </c>
    </row>
    <row r="1891" spans="1:1" x14ac:dyDescent="0.25">
      <c r="A1891" s="56">
        <v>82991616</v>
      </c>
    </row>
    <row r="1892" spans="1:1" x14ac:dyDescent="0.25">
      <c r="A1892" s="56">
        <v>11368779.800000001</v>
      </c>
    </row>
    <row r="1893" spans="1:1" x14ac:dyDescent="0.25">
      <c r="A1893" s="56">
        <v>603478602.29999995</v>
      </c>
    </row>
    <row r="1894" spans="1:1" x14ac:dyDescent="0.25">
      <c r="A1894" s="56">
        <v>27848637.600000001</v>
      </c>
    </row>
    <row r="1895" spans="1:1" x14ac:dyDescent="0.25">
      <c r="A1895" s="56">
        <v>90773226.799999997</v>
      </c>
    </row>
    <row r="1896" spans="1:1" x14ac:dyDescent="0.25">
      <c r="A1896" s="56">
        <v>48534506.099999897</v>
      </c>
    </row>
    <row r="1897" spans="1:1" x14ac:dyDescent="0.25">
      <c r="A1897" s="56">
        <v>12751071.1</v>
      </c>
    </row>
    <row r="1898" spans="1:1" x14ac:dyDescent="0.25">
      <c r="A1898" s="56">
        <v>211542331.90000001</v>
      </c>
    </row>
    <row r="1899" spans="1:1" x14ac:dyDescent="0.25">
      <c r="A1899" s="56">
        <v>22206667.399999999</v>
      </c>
    </row>
    <row r="1900" spans="1:1" x14ac:dyDescent="0.25">
      <c r="A1900" s="56">
        <v>159752545.30000001</v>
      </c>
    </row>
    <row r="1901" spans="1:1" x14ac:dyDescent="0.25">
      <c r="A1901" s="56">
        <v>14149338.5</v>
      </c>
    </row>
    <row r="1902" spans="1:1" x14ac:dyDescent="0.25">
      <c r="A1902" s="56">
        <v>666977553.79999995</v>
      </c>
    </row>
    <row r="1903" spans="1:1" x14ac:dyDescent="0.25">
      <c r="A1903" s="56">
        <v>2516880.4</v>
      </c>
    </row>
    <row r="1904" spans="1:1" x14ac:dyDescent="0.25">
      <c r="A1904" s="56">
        <v>0</v>
      </c>
    </row>
    <row r="1905" spans="1:1" x14ac:dyDescent="0.25">
      <c r="A1905" s="56">
        <v>74458179.5</v>
      </c>
    </row>
    <row r="1906" spans="1:1" x14ac:dyDescent="0.25">
      <c r="A1906" s="56">
        <v>0</v>
      </c>
    </row>
    <row r="1907" spans="1:1" x14ac:dyDescent="0.25">
      <c r="A1907" s="56">
        <v>11433893.1</v>
      </c>
    </row>
    <row r="1908" spans="1:1" x14ac:dyDescent="0.25">
      <c r="A1908" s="56">
        <v>27912623.300000001</v>
      </c>
    </row>
    <row r="1909" spans="1:1" x14ac:dyDescent="0.25">
      <c r="A1909" s="56">
        <v>66698142.099999897</v>
      </c>
    </row>
    <row r="1910" spans="1:1" x14ac:dyDescent="0.25">
      <c r="A1910" s="56">
        <v>16285546.300000001</v>
      </c>
    </row>
    <row r="1911" spans="1:1" x14ac:dyDescent="0.25">
      <c r="A1911" s="56">
        <v>17932014.899999999</v>
      </c>
    </row>
    <row r="1912" spans="1:1" x14ac:dyDescent="0.25">
      <c r="A1912" s="56">
        <v>95619306.399999902</v>
      </c>
    </row>
    <row r="1913" spans="1:1" x14ac:dyDescent="0.25">
      <c r="A1913" s="56">
        <v>530640.80000000005</v>
      </c>
    </row>
    <row r="1914" spans="1:1" x14ac:dyDescent="0.25">
      <c r="A1914" s="56">
        <v>6809388.5999999996</v>
      </c>
    </row>
    <row r="1915" spans="1:1" x14ac:dyDescent="0.25">
      <c r="A1915" s="56">
        <v>17577678.399999999</v>
      </c>
    </row>
    <row r="1916" spans="1:1" x14ac:dyDescent="0.25">
      <c r="A1916" s="56">
        <v>8648497.4999999907</v>
      </c>
    </row>
    <row r="1917" spans="1:1" x14ac:dyDescent="0.25">
      <c r="A1917" s="56">
        <v>39103998.799999997</v>
      </c>
    </row>
    <row r="1918" spans="1:1" x14ac:dyDescent="0.25">
      <c r="A1918" s="56">
        <v>0</v>
      </c>
    </row>
    <row r="1919" spans="1:1" x14ac:dyDescent="0.25">
      <c r="A1919" s="56">
        <v>1415887.2</v>
      </c>
    </row>
    <row r="1920" spans="1:1" x14ac:dyDescent="0.25">
      <c r="A1920" s="56">
        <v>595312355.59999895</v>
      </c>
    </row>
    <row r="1921" spans="1:1" x14ac:dyDescent="0.25">
      <c r="A1921" s="56">
        <v>0</v>
      </c>
    </row>
    <row r="1922" spans="1:1" x14ac:dyDescent="0.25">
      <c r="A1922" s="56">
        <v>6558741.7000000002</v>
      </c>
    </row>
    <row r="1923" spans="1:1" x14ac:dyDescent="0.25">
      <c r="A1923" s="56">
        <v>343695873.5</v>
      </c>
    </row>
    <row r="1924" spans="1:1" x14ac:dyDescent="0.25">
      <c r="A1924" s="56">
        <v>198700734.80000001</v>
      </c>
    </row>
    <row r="1925" spans="1:1" x14ac:dyDescent="0.25">
      <c r="A1925" s="56">
        <v>38083984.200000003</v>
      </c>
    </row>
    <row r="1926" spans="1:1" x14ac:dyDescent="0.25">
      <c r="A1926" s="56">
        <v>35228267.200000003</v>
      </c>
    </row>
    <row r="1927" spans="1:1" x14ac:dyDescent="0.25">
      <c r="A1927" s="56">
        <v>6234723.5999999996</v>
      </c>
    </row>
    <row r="1928" spans="1:1" x14ac:dyDescent="0.25">
      <c r="A1928" s="56">
        <v>0</v>
      </c>
    </row>
    <row r="1929" spans="1:1" x14ac:dyDescent="0.25">
      <c r="A1929" s="56">
        <v>250657680.40000001</v>
      </c>
    </row>
    <row r="1930" spans="1:1" x14ac:dyDescent="0.25">
      <c r="A1930" s="56">
        <v>0</v>
      </c>
    </row>
    <row r="1931" spans="1:1" x14ac:dyDescent="0.25">
      <c r="A1931" s="56">
        <v>0</v>
      </c>
    </row>
    <row r="1932" spans="1:1" x14ac:dyDescent="0.25">
      <c r="A1932" s="56">
        <v>61457263.200000003</v>
      </c>
    </row>
    <row r="1933" spans="1:1" x14ac:dyDescent="0.25">
      <c r="A1933" s="56">
        <v>73898519.399999902</v>
      </c>
    </row>
    <row r="1934" spans="1:1" x14ac:dyDescent="0.25">
      <c r="A1934" s="56">
        <v>0</v>
      </c>
    </row>
    <row r="1935" spans="1:1" x14ac:dyDescent="0.25">
      <c r="A1935" s="56">
        <v>139575069.5</v>
      </c>
    </row>
    <row r="1936" spans="1:1" x14ac:dyDescent="0.25">
      <c r="A1936" s="56">
        <v>0</v>
      </c>
    </row>
    <row r="1937" spans="1:1" x14ac:dyDescent="0.25">
      <c r="A1937" s="56">
        <v>41228799.399999999</v>
      </c>
    </row>
    <row r="1938" spans="1:1" x14ac:dyDescent="0.25">
      <c r="A1938" s="56">
        <v>78382144.5</v>
      </c>
    </row>
    <row r="1939" spans="1:1" x14ac:dyDescent="0.25">
      <c r="A1939" s="56">
        <v>28096557.600000001</v>
      </c>
    </row>
    <row r="1940" spans="1:1" x14ac:dyDescent="0.25">
      <c r="A1940" s="56">
        <v>6627180.6999999899</v>
      </c>
    </row>
    <row r="1941" spans="1:1" x14ac:dyDescent="0.25">
      <c r="A1941" s="56">
        <v>21000670.399999999</v>
      </c>
    </row>
    <row r="1942" spans="1:1" x14ac:dyDescent="0.25">
      <c r="A1942" s="56">
        <v>20321958.300000001</v>
      </c>
    </row>
    <row r="1943" spans="1:1" x14ac:dyDescent="0.25">
      <c r="A1943" s="56">
        <v>238198153.5</v>
      </c>
    </row>
    <row r="1944" spans="1:1" x14ac:dyDescent="0.25">
      <c r="A1944" s="56">
        <v>26787639.199999999</v>
      </c>
    </row>
    <row r="1945" spans="1:1" x14ac:dyDescent="0.25">
      <c r="A1945" s="56">
        <v>0</v>
      </c>
    </row>
    <row r="1946" spans="1:1" x14ac:dyDescent="0.25">
      <c r="A1946" s="56">
        <v>657356.4</v>
      </c>
    </row>
    <row r="1947" spans="1:1" x14ac:dyDescent="0.25">
      <c r="A1947" s="56">
        <v>84803390.299999997</v>
      </c>
    </row>
    <row r="1948" spans="1:1" x14ac:dyDescent="0.25">
      <c r="A1948" s="56">
        <v>31112065.399999999</v>
      </c>
    </row>
    <row r="1949" spans="1:1" x14ac:dyDescent="0.25">
      <c r="A1949" s="56">
        <v>44558986.299999997</v>
      </c>
    </row>
    <row r="1950" spans="1:1" x14ac:dyDescent="0.25">
      <c r="A1950" s="56">
        <v>3813846.8</v>
      </c>
    </row>
    <row r="1951" spans="1:1" x14ac:dyDescent="0.25">
      <c r="A1951" s="56">
        <v>5617663.7999999998</v>
      </c>
    </row>
    <row r="1952" spans="1:1" x14ac:dyDescent="0.25">
      <c r="A1952" s="56">
        <v>48542031.5</v>
      </c>
    </row>
    <row r="1953" spans="1:1" x14ac:dyDescent="0.25">
      <c r="A1953" s="56">
        <v>44477745.799999997</v>
      </c>
    </row>
    <row r="1954" spans="1:1" x14ac:dyDescent="0.25">
      <c r="A1954" s="56">
        <v>63483911.299999997</v>
      </c>
    </row>
    <row r="1955" spans="1:1" x14ac:dyDescent="0.25">
      <c r="A1955" s="56">
        <v>5634307.6999999899</v>
      </c>
    </row>
    <row r="1956" spans="1:1" x14ac:dyDescent="0.25">
      <c r="A1956" s="56">
        <v>431282322.69999999</v>
      </c>
    </row>
    <row r="1957" spans="1:1" x14ac:dyDescent="0.25">
      <c r="A1957" s="56">
        <v>22138421.899999999</v>
      </c>
    </row>
    <row r="1958" spans="1:1" x14ac:dyDescent="0.25">
      <c r="A1958" s="56">
        <v>47296458.399999999</v>
      </c>
    </row>
    <row r="1959" spans="1:1" x14ac:dyDescent="0.25">
      <c r="A1959" s="56">
        <v>76890112.900000006</v>
      </c>
    </row>
    <row r="1960" spans="1:1" x14ac:dyDescent="0.25">
      <c r="A1960" s="56">
        <v>15499395.6</v>
      </c>
    </row>
    <row r="1961" spans="1:1" x14ac:dyDescent="0.25">
      <c r="A1961" s="56">
        <v>5120515.3999999901</v>
      </c>
    </row>
    <row r="1962" spans="1:1" x14ac:dyDescent="0.25">
      <c r="A1962" s="56">
        <v>48661855.399999999</v>
      </c>
    </row>
    <row r="1963" spans="1:1" x14ac:dyDescent="0.25">
      <c r="A1963" s="56">
        <v>120864064.09999999</v>
      </c>
    </row>
    <row r="1964" spans="1:1" x14ac:dyDescent="0.25">
      <c r="A1964" s="56">
        <v>81130144.200000003</v>
      </c>
    </row>
    <row r="1965" spans="1:1" x14ac:dyDescent="0.25">
      <c r="A1965" s="56">
        <v>53703587.700000003</v>
      </c>
    </row>
    <row r="1966" spans="1:1" x14ac:dyDescent="0.25">
      <c r="A1966" s="56">
        <v>12093811.800000001</v>
      </c>
    </row>
    <row r="1967" spans="1:1" x14ac:dyDescent="0.25">
      <c r="A1967" s="56">
        <v>60584701</v>
      </c>
    </row>
    <row r="1968" spans="1:1" x14ac:dyDescent="0.25">
      <c r="A1968" s="56">
        <v>60421572.700000003</v>
      </c>
    </row>
    <row r="1969" spans="1:1" x14ac:dyDescent="0.25">
      <c r="A1969" s="56">
        <v>7638384</v>
      </c>
    </row>
    <row r="1970" spans="1:1" x14ac:dyDescent="0.25">
      <c r="A1970" s="56">
        <v>5792287.1999999899</v>
      </c>
    </row>
    <row r="1971" spans="1:1" x14ac:dyDescent="0.25">
      <c r="A1971" s="56">
        <v>164497378.5</v>
      </c>
    </row>
    <row r="1972" spans="1:1" x14ac:dyDescent="0.25">
      <c r="A1972" s="56">
        <v>447251135</v>
      </c>
    </row>
    <row r="1973" spans="1:1" x14ac:dyDescent="0.25">
      <c r="A1973" s="56">
        <v>34758364.399999902</v>
      </c>
    </row>
    <row r="1974" spans="1:1" x14ac:dyDescent="0.25">
      <c r="A1974" s="56">
        <v>29264825.199999999</v>
      </c>
    </row>
    <row r="1975" spans="1:1" x14ac:dyDescent="0.25">
      <c r="A1975" s="56">
        <v>13685622.9</v>
      </c>
    </row>
    <row r="1976" spans="1:1" x14ac:dyDescent="0.25">
      <c r="A1976" s="56">
        <v>222535280.5</v>
      </c>
    </row>
    <row r="1977" spans="1:1" x14ac:dyDescent="0.25">
      <c r="A1977" s="56">
        <v>20816646.5</v>
      </c>
    </row>
    <row r="1978" spans="1:1" x14ac:dyDescent="0.25">
      <c r="A1978" s="56">
        <v>0</v>
      </c>
    </row>
    <row r="1979" spans="1:1" x14ac:dyDescent="0.25">
      <c r="A1979" s="56">
        <v>79672993</v>
      </c>
    </row>
    <row r="1980" spans="1:1" x14ac:dyDescent="0.25">
      <c r="A1980" s="56">
        <v>12235158.1</v>
      </c>
    </row>
    <row r="1981" spans="1:1" x14ac:dyDescent="0.25">
      <c r="A1981" s="56">
        <v>19267280.100000001</v>
      </c>
    </row>
    <row r="1982" spans="1:1" x14ac:dyDescent="0.25">
      <c r="A1982" s="56">
        <v>246266491.80000001</v>
      </c>
    </row>
    <row r="1983" spans="1:1" x14ac:dyDescent="0.25">
      <c r="A1983" s="56">
        <v>19287040.300000001</v>
      </c>
    </row>
    <row r="1984" spans="1:1" x14ac:dyDescent="0.25">
      <c r="A1984" s="56">
        <v>115779805.5</v>
      </c>
    </row>
    <row r="1985" spans="1:1" x14ac:dyDescent="0.25">
      <c r="A1985" s="56">
        <v>33602799.200000003</v>
      </c>
    </row>
    <row r="1986" spans="1:1" x14ac:dyDescent="0.25">
      <c r="A1986" s="56">
        <v>309068</v>
      </c>
    </row>
    <row r="1987" spans="1:1" x14ac:dyDescent="0.25">
      <c r="A1987" s="56">
        <v>127535199.90000001</v>
      </c>
    </row>
    <row r="1988" spans="1:1" x14ac:dyDescent="0.25">
      <c r="A1988" s="56">
        <v>89135671.699999899</v>
      </c>
    </row>
    <row r="1989" spans="1:1" x14ac:dyDescent="0.25">
      <c r="A1989" s="56">
        <v>52355959</v>
      </c>
    </row>
    <row r="1990" spans="1:1" x14ac:dyDescent="0.25">
      <c r="A1990" s="56">
        <v>9523440.4000000004</v>
      </c>
    </row>
    <row r="1991" spans="1:1" x14ac:dyDescent="0.25">
      <c r="A1991" s="56">
        <v>30617829.699999999</v>
      </c>
    </row>
    <row r="1992" spans="1:1" x14ac:dyDescent="0.25">
      <c r="A1992" s="56">
        <v>19246098.199999999</v>
      </c>
    </row>
    <row r="1993" spans="1:1" x14ac:dyDescent="0.25">
      <c r="A1993" s="56">
        <v>25624020.5</v>
      </c>
    </row>
    <row r="1994" spans="1:1" x14ac:dyDescent="0.25">
      <c r="A1994" s="56">
        <v>137862805</v>
      </c>
    </row>
    <row r="1995" spans="1:1" x14ac:dyDescent="0.25">
      <c r="A1995" s="56">
        <v>5634307.6999999899</v>
      </c>
    </row>
    <row r="1996" spans="1:1" x14ac:dyDescent="0.25">
      <c r="A1996" s="56">
        <v>5634307.6999999899</v>
      </c>
    </row>
    <row r="1997" spans="1:1" x14ac:dyDescent="0.25">
      <c r="A1997" s="56">
        <v>99179707</v>
      </c>
    </row>
    <row r="1998" spans="1:1" x14ac:dyDescent="0.25">
      <c r="A1998" s="56">
        <v>160151989.90000001</v>
      </c>
    </row>
    <row r="1999" spans="1:1" x14ac:dyDescent="0.25">
      <c r="A1999" s="56">
        <v>96874940.200000003</v>
      </c>
    </row>
    <row r="2000" spans="1:1" x14ac:dyDescent="0.25">
      <c r="A2000" s="56">
        <v>29003248.300000001</v>
      </c>
    </row>
    <row r="2001" spans="1:1" x14ac:dyDescent="0.25">
      <c r="A2001" s="56">
        <v>8223476.2999999896</v>
      </c>
    </row>
    <row r="2002" spans="1:1" x14ac:dyDescent="0.25">
      <c r="A2002" s="56">
        <v>6347785.5</v>
      </c>
    </row>
    <row r="2003" spans="1:1" x14ac:dyDescent="0.25">
      <c r="A2003" s="56">
        <v>178823420.40000001</v>
      </c>
    </row>
    <row r="2004" spans="1:1" x14ac:dyDescent="0.25">
      <c r="A2004" s="56">
        <v>1019768.4</v>
      </c>
    </row>
    <row r="2005" spans="1:1" x14ac:dyDescent="0.25">
      <c r="A2005" s="56">
        <v>198634787.40000001</v>
      </c>
    </row>
    <row r="2006" spans="1:1" x14ac:dyDescent="0.25">
      <c r="A2006" s="56">
        <v>42959366.100000001</v>
      </c>
    </row>
    <row r="2007" spans="1:1" x14ac:dyDescent="0.25">
      <c r="A2007" s="56">
        <v>3026817.6</v>
      </c>
    </row>
    <row r="2008" spans="1:1" x14ac:dyDescent="0.25">
      <c r="A2008" s="56">
        <v>17105017</v>
      </c>
    </row>
    <row r="2009" spans="1:1" x14ac:dyDescent="0.25">
      <c r="A2009" s="56">
        <v>9088542.1999999899</v>
      </c>
    </row>
    <row r="2010" spans="1:1" x14ac:dyDescent="0.25">
      <c r="A2010" s="56">
        <v>472611530.5</v>
      </c>
    </row>
    <row r="2011" spans="1:1" x14ac:dyDescent="0.25">
      <c r="A2011" s="56">
        <v>6166958.6999999899</v>
      </c>
    </row>
    <row r="2012" spans="1:1" x14ac:dyDescent="0.25">
      <c r="A2012" s="56">
        <v>17161376.699999999</v>
      </c>
    </row>
    <row r="2013" spans="1:1" x14ac:dyDescent="0.25">
      <c r="A2013" s="56">
        <v>25496232.600000001</v>
      </c>
    </row>
    <row r="2014" spans="1:1" x14ac:dyDescent="0.25">
      <c r="A2014" s="56">
        <v>154076244.80000001</v>
      </c>
    </row>
    <row r="2015" spans="1:1" x14ac:dyDescent="0.25">
      <c r="A2015" s="56">
        <v>0</v>
      </c>
    </row>
    <row r="2016" spans="1:1" x14ac:dyDescent="0.25">
      <c r="A2016" s="56">
        <v>3687276</v>
      </c>
    </row>
    <row r="2017" spans="1:1" x14ac:dyDescent="0.25">
      <c r="A2017" s="56">
        <v>13266520.699999999</v>
      </c>
    </row>
    <row r="2018" spans="1:1" x14ac:dyDescent="0.25">
      <c r="A2018" s="56">
        <v>167133432.90000001</v>
      </c>
    </row>
    <row r="2019" spans="1:1" x14ac:dyDescent="0.25">
      <c r="A2019" s="56">
        <v>46362503.299999997</v>
      </c>
    </row>
    <row r="2020" spans="1:1" x14ac:dyDescent="0.25">
      <c r="A2020" s="56">
        <v>35243444.299999997</v>
      </c>
    </row>
    <row r="2021" spans="1:1" x14ac:dyDescent="0.25">
      <c r="A2021" s="56">
        <v>12555218.6</v>
      </c>
    </row>
    <row r="2022" spans="1:1" x14ac:dyDescent="0.25">
      <c r="A2022" s="56">
        <v>0</v>
      </c>
    </row>
    <row r="2023" spans="1:1" x14ac:dyDescent="0.25">
      <c r="A2023" s="56">
        <v>284562795.69999999</v>
      </c>
    </row>
    <row r="2024" spans="1:1" x14ac:dyDescent="0.25">
      <c r="A2024" s="56">
        <v>77675373.799999997</v>
      </c>
    </row>
    <row r="2025" spans="1:1" x14ac:dyDescent="0.25">
      <c r="A2025" s="56">
        <v>31513594.100000001</v>
      </c>
    </row>
    <row r="2026" spans="1:1" x14ac:dyDescent="0.25">
      <c r="A2026" s="56">
        <v>48129212.499999903</v>
      </c>
    </row>
    <row r="2027" spans="1:1" x14ac:dyDescent="0.25">
      <c r="A2027" s="56">
        <v>43853847.600000001</v>
      </c>
    </row>
    <row r="2028" spans="1:1" x14ac:dyDescent="0.25">
      <c r="A2028" s="56">
        <v>38392873.399999999</v>
      </c>
    </row>
    <row r="2029" spans="1:1" x14ac:dyDescent="0.25">
      <c r="A2029" s="56">
        <v>8733613.1999999899</v>
      </c>
    </row>
    <row r="2030" spans="1:1" x14ac:dyDescent="0.25">
      <c r="A2030" s="56">
        <v>8811564.5</v>
      </c>
    </row>
    <row r="2031" spans="1:1" x14ac:dyDescent="0.25">
      <c r="A2031" s="56">
        <v>21582657.800000001</v>
      </c>
    </row>
    <row r="2032" spans="1:1" x14ac:dyDescent="0.25">
      <c r="A2032" s="56">
        <v>297649038.60000002</v>
      </c>
    </row>
    <row r="2033" spans="1:1" x14ac:dyDescent="0.25">
      <c r="A2033" s="56">
        <v>48667617.299999997</v>
      </c>
    </row>
    <row r="2034" spans="1:1" x14ac:dyDescent="0.25">
      <c r="A2034" s="56">
        <v>90713589.400000006</v>
      </c>
    </row>
    <row r="2035" spans="1:1" x14ac:dyDescent="0.25">
      <c r="A2035" s="56">
        <v>228032601.69999999</v>
      </c>
    </row>
    <row r="2036" spans="1:1" x14ac:dyDescent="0.25">
      <c r="A2036" s="56">
        <v>654682</v>
      </c>
    </row>
    <row r="2037" spans="1:1" x14ac:dyDescent="0.25">
      <c r="A2037" s="56">
        <v>21206717.899999999</v>
      </c>
    </row>
    <row r="2038" spans="1:1" x14ac:dyDescent="0.25">
      <c r="A2038" s="56">
        <v>119112862.7</v>
      </c>
    </row>
    <row r="2039" spans="1:1" x14ac:dyDescent="0.25">
      <c r="A2039" s="56">
        <v>6347785.5</v>
      </c>
    </row>
    <row r="2040" spans="1:1" x14ac:dyDescent="0.25">
      <c r="A2040" s="56">
        <v>151755684.5</v>
      </c>
    </row>
    <row r="2041" spans="1:1" x14ac:dyDescent="0.25">
      <c r="A2041" s="56">
        <v>6193627.7999999998</v>
      </c>
    </row>
    <row r="2042" spans="1:1" x14ac:dyDescent="0.25">
      <c r="A2042" s="56">
        <v>163570802.80000001</v>
      </c>
    </row>
    <row r="2043" spans="1:1" x14ac:dyDescent="0.25">
      <c r="A2043" s="56">
        <v>273795653.39999998</v>
      </c>
    </row>
    <row r="2044" spans="1:1" x14ac:dyDescent="0.25">
      <c r="A2044" s="56">
        <v>0</v>
      </c>
    </row>
    <row r="2045" spans="1:1" x14ac:dyDescent="0.25">
      <c r="A2045" s="56">
        <v>0</v>
      </c>
    </row>
    <row r="2046" spans="1:1" x14ac:dyDescent="0.25">
      <c r="A2046" s="56">
        <v>120618289.7</v>
      </c>
    </row>
    <row r="2047" spans="1:1" x14ac:dyDescent="0.25">
      <c r="A2047" s="56">
        <v>145721088.90000001</v>
      </c>
    </row>
    <row r="2048" spans="1:1" x14ac:dyDescent="0.25">
      <c r="A2048" s="56">
        <v>23701638.100000001</v>
      </c>
    </row>
    <row r="2049" spans="1:1" x14ac:dyDescent="0.25">
      <c r="A2049" s="56">
        <v>126552858.5</v>
      </c>
    </row>
    <row r="2050" spans="1:1" x14ac:dyDescent="0.25">
      <c r="A2050" s="56">
        <v>25765206.399999999</v>
      </c>
    </row>
    <row r="2051" spans="1:1" x14ac:dyDescent="0.25">
      <c r="A2051" s="56">
        <v>46406741.100000001</v>
      </c>
    </row>
    <row r="2052" spans="1:1" x14ac:dyDescent="0.25">
      <c r="A2052" s="56">
        <v>86570857.599999905</v>
      </c>
    </row>
    <row r="2053" spans="1:1" x14ac:dyDescent="0.25">
      <c r="A2053" s="56">
        <v>44426232.799999997</v>
      </c>
    </row>
    <row r="2054" spans="1:1" x14ac:dyDescent="0.25">
      <c r="A2054" s="56">
        <v>10822219.4</v>
      </c>
    </row>
    <row r="2055" spans="1:1" x14ac:dyDescent="0.25">
      <c r="A2055" s="56">
        <v>255123.6</v>
      </c>
    </row>
    <row r="2056" spans="1:1" x14ac:dyDescent="0.25">
      <c r="A2056" s="56">
        <v>7205400.1999999899</v>
      </c>
    </row>
    <row r="2057" spans="1:1" x14ac:dyDescent="0.25">
      <c r="A2057" s="56">
        <v>16406965.4</v>
      </c>
    </row>
    <row r="2058" spans="1:1" x14ac:dyDescent="0.25">
      <c r="A2058" s="56">
        <v>101296617.3</v>
      </c>
    </row>
    <row r="2059" spans="1:1" x14ac:dyDescent="0.25">
      <c r="A2059" s="56">
        <v>6127406.4999999898</v>
      </c>
    </row>
    <row r="2060" spans="1:1" x14ac:dyDescent="0.25">
      <c r="A2060" s="56">
        <v>65988720.599999897</v>
      </c>
    </row>
    <row r="2061" spans="1:1" x14ac:dyDescent="0.25">
      <c r="A2061" s="56">
        <v>94513503.199999899</v>
      </c>
    </row>
    <row r="2062" spans="1:1" x14ac:dyDescent="0.25">
      <c r="A2062" s="56">
        <v>178021215</v>
      </c>
    </row>
    <row r="2063" spans="1:1" x14ac:dyDescent="0.25">
      <c r="A2063" s="56">
        <v>9936855</v>
      </c>
    </row>
    <row r="2064" spans="1:1" x14ac:dyDescent="0.25">
      <c r="A2064" s="56">
        <v>79743158.599999905</v>
      </c>
    </row>
    <row r="2065" spans="1:1" x14ac:dyDescent="0.25">
      <c r="A2065" s="56">
        <v>27490068.5</v>
      </c>
    </row>
    <row r="2066" spans="1:1" x14ac:dyDescent="0.25">
      <c r="A2066" s="56">
        <v>61432984.5</v>
      </c>
    </row>
    <row r="2067" spans="1:1" x14ac:dyDescent="0.25">
      <c r="A2067" s="56">
        <v>23925595.899999999</v>
      </c>
    </row>
    <row r="2068" spans="1:1" x14ac:dyDescent="0.25">
      <c r="A2068" s="56">
        <v>77509048.199999899</v>
      </c>
    </row>
    <row r="2069" spans="1:1" x14ac:dyDescent="0.25">
      <c r="A2069" s="56">
        <v>6811861.4000000004</v>
      </c>
    </row>
    <row r="2070" spans="1:1" x14ac:dyDescent="0.25">
      <c r="A2070" s="56">
        <v>70838194.099999905</v>
      </c>
    </row>
    <row r="2071" spans="1:1" x14ac:dyDescent="0.25">
      <c r="A2071" s="56">
        <v>342910017.19999999</v>
      </c>
    </row>
    <row r="2072" spans="1:1" x14ac:dyDescent="0.25">
      <c r="A2072" s="56">
        <v>19258246.800000001</v>
      </c>
    </row>
    <row r="2073" spans="1:1" x14ac:dyDescent="0.25">
      <c r="A2073" s="56">
        <v>0</v>
      </c>
    </row>
    <row r="2074" spans="1:1" x14ac:dyDescent="0.25">
      <c r="A2074" s="56">
        <v>42749314.899999999</v>
      </c>
    </row>
    <row r="2075" spans="1:1" x14ac:dyDescent="0.25">
      <c r="A2075" s="56">
        <v>25047614.5</v>
      </c>
    </row>
    <row r="2076" spans="1:1" x14ac:dyDescent="0.25">
      <c r="A2076" s="56">
        <v>24987044</v>
      </c>
    </row>
    <row r="2077" spans="1:1" x14ac:dyDescent="0.25">
      <c r="A2077" s="56">
        <v>350273137.19999999</v>
      </c>
    </row>
    <row r="2078" spans="1:1" x14ac:dyDescent="0.25">
      <c r="A2078" s="56">
        <v>49723725.700000003</v>
      </c>
    </row>
    <row r="2079" spans="1:1" x14ac:dyDescent="0.25">
      <c r="A2079" s="56">
        <v>380469917.89999902</v>
      </c>
    </row>
    <row r="2080" spans="1:1" x14ac:dyDescent="0.25">
      <c r="A2080" s="56">
        <v>26364408</v>
      </c>
    </row>
    <row r="2081" spans="1:1" x14ac:dyDescent="0.25">
      <c r="A2081" s="56">
        <v>6786480.3999999901</v>
      </c>
    </row>
    <row r="2082" spans="1:1" x14ac:dyDescent="0.25">
      <c r="A2082" s="56">
        <v>17258804.100000001</v>
      </c>
    </row>
    <row r="2083" spans="1:1" x14ac:dyDescent="0.25">
      <c r="A2083" s="56">
        <v>57597324.600000001</v>
      </c>
    </row>
    <row r="2084" spans="1:1" x14ac:dyDescent="0.25">
      <c r="A2084" s="56">
        <v>67456602.599999905</v>
      </c>
    </row>
    <row r="2085" spans="1:1" x14ac:dyDescent="0.25">
      <c r="A2085" s="56">
        <v>7842215.7000000002</v>
      </c>
    </row>
    <row r="2086" spans="1:1" x14ac:dyDescent="0.25">
      <c r="A2086" s="56">
        <v>582456202.10000002</v>
      </c>
    </row>
    <row r="2087" spans="1:1" x14ac:dyDescent="0.25">
      <c r="A2087" s="56">
        <v>11835971.4</v>
      </c>
    </row>
    <row r="2088" spans="1:1" x14ac:dyDescent="0.25">
      <c r="A2088" s="56">
        <v>299075510.80000001</v>
      </c>
    </row>
    <row r="2089" spans="1:1" x14ac:dyDescent="0.25">
      <c r="A2089" s="56">
        <v>37864337.5</v>
      </c>
    </row>
    <row r="2090" spans="1:1" x14ac:dyDescent="0.25">
      <c r="A2090" s="56">
        <v>3573161.4</v>
      </c>
    </row>
    <row r="2091" spans="1:1" x14ac:dyDescent="0.25">
      <c r="A2091" s="56">
        <v>16213303.199999999</v>
      </c>
    </row>
    <row r="2092" spans="1:1" x14ac:dyDescent="0.25">
      <c r="A2092" s="56">
        <v>312345555.89999998</v>
      </c>
    </row>
    <row r="2093" spans="1:1" x14ac:dyDescent="0.25">
      <c r="A2093" s="56">
        <v>268581883.39999998</v>
      </c>
    </row>
    <row r="2094" spans="1:1" x14ac:dyDescent="0.25">
      <c r="A2094" s="56">
        <v>71583876.299999997</v>
      </c>
    </row>
    <row r="2095" spans="1:1" x14ac:dyDescent="0.25">
      <c r="A2095" s="56">
        <v>288614714.39999998</v>
      </c>
    </row>
    <row r="2096" spans="1:1" x14ac:dyDescent="0.25">
      <c r="A2096" s="56">
        <v>60196232.599999897</v>
      </c>
    </row>
    <row r="2097" spans="1:1" x14ac:dyDescent="0.25">
      <c r="A2097" s="56">
        <v>1282680.3999999999</v>
      </c>
    </row>
    <row r="2098" spans="1:1" x14ac:dyDescent="0.25">
      <c r="A2098" s="56">
        <v>24408023.399999999</v>
      </c>
    </row>
    <row r="2099" spans="1:1" x14ac:dyDescent="0.25">
      <c r="A2099" s="56">
        <v>546504707.89999902</v>
      </c>
    </row>
    <row r="2100" spans="1:1" x14ac:dyDescent="0.25">
      <c r="A2100" s="56">
        <v>100460433.8</v>
      </c>
    </row>
    <row r="2101" spans="1:1" x14ac:dyDescent="0.25">
      <c r="A2101" s="56">
        <v>162431888.5</v>
      </c>
    </row>
    <row r="2102" spans="1:1" x14ac:dyDescent="0.25">
      <c r="A2102" s="56">
        <v>60364798.399999999</v>
      </c>
    </row>
    <row r="2103" spans="1:1" x14ac:dyDescent="0.25">
      <c r="A2103" s="56">
        <v>121223726</v>
      </c>
    </row>
    <row r="2104" spans="1:1" x14ac:dyDescent="0.25">
      <c r="A2104" s="56">
        <v>287108088.5</v>
      </c>
    </row>
    <row r="2105" spans="1:1" x14ac:dyDescent="0.25">
      <c r="A2105" s="56">
        <v>1133646.8</v>
      </c>
    </row>
    <row r="2106" spans="1:1" x14ac:dyDescent="0.25">
      <c r="A2106" s="56">
        <v>9798290.6999999899</v>
      </c>
    </row>
    <row r="2107" spans="1:1" x14ac:dyDescent="0.25">
      <c r="A2107" s="56">
        <v>2218093.6</v>
      </c>
    </row>
    <row r="2108" spans="1:1" x14ac:dyDescent="0.25">
      <c r="A2108" s="56">
        <v>1948908.6</v>
      </c>
    </row>
    <row r="2109" spans="1:1" x14ac:dyDescent="0.25">
      <c r="A2109" s="56">
        <v>141066392.59999999</v>
      </c>
    </row>
    <row r="2110" spans="1:1" x14ac:dyDescent="0.25">
      <c r="A2110" s="56">
        <v>73434329.200000003</v>
      </c>
    </row>
    <row r="2111" spans="1:1" x14ac:dyDescent="0.25">
      <c r="A2111" s="56">
        <v>146113081.80000001</v>
      </c>
    </row>
    <row r="2112" spans="1:1" x14ac:dyDescent="0.25">
      <c r="A2112" s="56">
        <v>398342044.30000001</v>
      </c>
    </row>
    <row r="2113" spans="1:1" x14ac:dyDescent="0.25">
      <c r="A2113" s="56">
        <v>745031765.79999995</v>
      </c>
    </row>
    <row r="2114" spans="1:1" x14ac:dyDescent="0.25">
      <c r="A2114" s="56">
        <v>104264549.3</v>
      </c>
    </row>
    <row r="2115" spans="1:1" x14ac:dyDescent="0.25">
      <c r="A2115" s="56">
        <v>36299028.200000003</v>
      </c>
    </row>
    <row r="2116" spans="1:1" x14ac:dyDescent="0.25">
      <c r="A2116" s="56">
        <v>10555293.4</v>
      </c>
    </row>
    <row r="2117" spans="1:1" x14ac:dyDescent="0.25">
      <c r="A2117" s="56">
        <v>27930517.399999999</v>
      </c>
    </row>
    <row r="2118" spans="1:1" x14ac:dyDescent="0.25">
      <c r="A2118" s="56">
        <v>180683649.30000001</v>
      </c>
    </row>
    <row r="2119" spans="1:1" x14ac:dyDescent="0.25">
      <c r="A2119" s="56">
        <v>126736089</v>
      </c>
    </row>
    <row r="2120" spans="1:1" x14ac:dyDescent="0.25">
      <c r="A2120" s="56">
        <v>23585738.600000001</v>
      </c>
    </row>
    <row r="2121" spans="1:1" x14ac:dyDescent="0.25">
      <c r="A2121" s="56">
        <v>64775179.099999897</v>
      </c>
    </row>
    <row r="2122" spans="1:1" x14ac:dyDescent="0.25">
      <c r="A2122" s="56">
        <v>71722494.099999905</v>
      </c>
    </row>
    <row r="2123" spans="1:1" x14ac:dyDescent="0.25">
      <c r="A2123" s="56">
        <v>3742966</v>
      </c>
    </row>
    <row r="2124" spans="1:1" x14ac:dyDescent="0.25">
      <c r="A2124" s="56">
        <v>2701075.8</v>
      </c>
    </row>
    <row r="2125" spans="1:1" x14ac:dyDescent="0.25">
      <c r="A2125" s="56">
        <v>5103836</v>
      </c>
    </row>
    <row r="2126" spans="1:1" x14ac:dyDescent="0.25">
      <c r="A2126" s="56">
        <v>32509927.199999999</v>
      </c>
    </row>
    <row r="2127" spans="1:1" x14ac:dyDescent="0.25">
      <c r="A2127" s="56">
        <v>11539509.6</v>
      </c>
    </row>
    <row r="2128" spans="1:1" x14ac:dyDescent="0.25">
      <c r="A2128" s="56">
        <v>11890130.4</v>
      </c>
    </row>
    <row r="2129" spans="1:1" x14ac:dyDescent="0.25">
      <c r="A2129" s="56">
        <v>158580160.09999999</v>
      </c>
    </row>
    <row r="2130" spans="1:1" x14ac:dyDescent="0.25">
      <c r="A2130" s="56">
        <v>4608401.5999999996</v>
      </c>
    </row>
    <row r="2131" spans="1:1" x14ac:dyDescent="0.25">
      <c r="A2131" s="56">
        <v>101941905.3</v>
      </c>
    </row>
    <row r="2132" spans="1:1" x14ac:dyDescent="0.25">
      <c r="A2132" s="56">
        <v>32275169.899999999</v>
      </c>
    </row>
    <row r="2133" spans="1:1" x14ac:dyDescent="0.25">
      <c r="A2133" s="56">
        <v>35053501.899999999</v>
      </c>
    </row>
    <row r="2134" spans="1:1" x14ac:dyDescent="0.25">
      <c r="A2134" s="56">
        <v>33190861.699999999</v>
      </c>
    </row>
    <row r="2135" spans="1:1" x14ac:dyDescent="0.25">
      <c r="A2135" s="56">
        <v>3777781.2</v>
      </c>
    </row>
    <row r="2136" spans="1:1" x14ac:dyDescent="0.25">
      <c r="A2136" s="56">
        <v>3850972.2</v>
      </c>
    </row>
    <row r="2137" spans="1:1" x14ac:dyDescent="0.25">
      <c r="A2137" s="56">
        <v>26419819</v>
      </c>
    </row>
    <row r="2138" spans="1:1" x14ac:dyDescent="0.25">
      <c r="A2138" s="56">
        <v>168524903.5</v>
      </c>
    </row>
    <row r="2139" spans="1:1" x14ac:dyDescent="0.25">
      <c r="A2139" s="56">
        <v>268863275.10000002</v>
      </c>
    </row>
    <row r="2140" spans="1:1" x14ac:dyDescent="0.25">
      <c r="A2140" s="56">
        <v>177047043.69999999</v>
      </c>
    </row>
    <row r="2141" spans="1:1" x14ac:dyDescent="0.25">
      <c r="A2141" s="56">
        <v>10906721.4</v>
      </c>
    </row>
    <row r="2142" spans="1:1" x14ac:dyDescent="0.25">
      <c r="A2142" s="56">
        <v>8901179.3000000007</v>
      </c>
    </row>
    <row r="2143" spans="1:1" x14ac:dyDescent="0.25">
      <c r="A2143" s="56">
        <v>4836565.2</v>
      </c>
    </row>
    <row r="2144" spans="1:1" x14ac:dyDescent="0.25">
      <c r="A2144" s="56">
        <v>83180700.5</v>
      </c>
    </row>
    <row r="2145" spans="1:1" x14ac:dyDescent="0.25">
      <c r="A2145" s="56">
        <v>104948597.7</v>
      </c>
    </row>
    <row r="2146" spans="1:1" x14ac:dyDescent="0.25">
      <c r="A2146" s="56">
        <v>21834744.099999901</v>
      </c>
    </row>
    <row r="2147" spans="1:1" x14ac:dyDescent="0.25">
      <c r="A2147" s="56">
        <v>17491160.699999999</v>
      </c>
    </row>
    <row r="2148" spans="1:1" x14ac:dyDescent="0.25">
      <c r="A2148" s="56">
        <v>21365804.199999999</v>
      </c>
    </row>
    <row r="2149" spans="1:1" x14ac:dyDescent="0.25">
      <c r="A2149" s="56">
        <v>556150</v>
      </c>
    </row>
    <row r="2150" spans="1:1" x14ac:dyDescent="0.25">
      <c r="A2150" s="56">
        <v>19944126.600000001</v>
      </c>
    </row>
    <row r="2151" spans="1:1" x14ac:dyDescent="0.25">
      <c r="A2151" s="56">
        <v>0</v>
      </c>
    </row>
    <row r="2152" spans="1:1" x14ac:dyDescent="0.25">
      <c r="A2152" s="56">
        <v>394562400.30000001</v>
      </c>
    </row>
    <row r="2153" spans="1:1" x14ac:dyDescent="0.25">
      <c r="A2153" s="56">
        <v>10496926.699999999</v>
      </c>
    </row>
    <row r="2154" spans="1:1" x14ac:dyDescent="0.25">
      <c r="A2154" s="56">
        <v>0</v>
      </c>
    </row>
    <row r="2155" spans="1:1" x14ac:dyDescent="0.25">
      <c r="A2155" s="56">
        <v>21859007.100000001</v>
      </c>
    </row>
    <row r="2156" spans="1:1" x14ac:dyDescent="0.25">
      <c r="A2156" s="56">
        <v>0</v>
      </c>
    </row>
    <row r="2157" spans="1:1" x14ac:dyDescent="0.25">
      <c r="A2157" s="56">
        <v>70936342.200000003</v>
      </c>
    </row>
    <row r="2158" spans="1:1" x14ac:dyDescent="0.25">
      <c r="A2158" s="56">
        <v>56656356</v>
      </c>
    </row>
    <row r="2159" spans="1:1" x14ac:dyDescent="0.25">
      <c r="A2159" s="56">
        <v>62670225.5</v>
      </c>
    </row>
    <row r="2160" spans="1:1" x14ac:dyDescent="0.25">
      <c r="A2160" s="56">
        <v>139825115.30000001</v>
      </c>
    </row>
    <row r="2161" spans="1:1" x14ac:dyDescent="0.25">
      <c r="A2161" s="56">
        <v>58264635</v>
      </c>
    </row>
    <row r="2162" spans="1:1" x14ac:dyDescent="0.25">
      <c r="A2162" s="56">
        <v>0</v>
      </c>
    </row>
    <row r="2163" spans="1:1" x14ac:dyDescent="0.25">
      <c r="A2163" s="56">
        <v>57329950.100000001</v>
      </c>
    </row>
    <row r="2164" spans="1:1" x14ac:dyDescent="0.25">
      <c r="A2164" s="56">
        <v>22335305.600000001</v>
      </c>
    </row>
    <row r="2165" spans="1:1" x14ac:dyDescent="0.25">
      <c r="A2165" s="56">
        <v>27346256.800000001</v>
      </c>
    </row>
    <row r="2166" spans="1:1" x14ac:dyDescent="0.25">
      <c r="A2166" s="56">
        <v>127773790.7</v>
      </c>
    </row>
    <row r="2167" spans="1:1" x14ac:dyDescent="0.25">
      <c r="A2167" s="56">
        <v>9960200.8000000007</v>
      </c>
    </row>
    <row r="2168" spans="1:1" x14ac:dyDescent="0.25">
      <c r="A2168" s="56">
        <v>25425506.100000001</v>
      </c>
    </row>
    <row r="2169" spans="1:1" x14ac:dyDescent="0.25">
      <c r="A2169" s="56">
        <v>27769640.5</v>
      </c>
    </row>
    <row r="2170" spans="1:1" x14ac:dyDescent="0.25">
      <c r="A2170" s="56">
        <v>5801623.1999999899</v>
      </c>
    </row>
    <row r="2171" spans="1:1" x14ac:dyDescent="0.25">
      <c r="A2171" s="56">
        <v>67278758.899999902</v>
      </c>
    </row>
    <row r="2172" spans="1:1" x14ac:dyDescent="0.25">
      <c r="A2172" s="56">
        <v>0</v>
      </c>
    </row>
    <row r="2173" spans="1:1" x14ac:dyDescent="0.25">
      <c r="A2173" s="56">
        <v>48126060.399999999</v>
      </c>
    </row>
    <row r="2174" spans="1:1" x14ac:dyDescent="0.25">
      <c r="A2174" s="56">
        <v>481992009.30000001</v>
      </c>
    </row>
    <row r="2175" spans="1:1" x14ac:dyDescent="0.25">
      <c r="A2175" s="56">
        <v>38825388.600000001</v>
      </c>
    </row>
    <row r="2176" spans="1:1" x14ac:dyDescent="0.25">
      <c r="A2176" s="56">
        <v>7236125.7999999998</v>
      </c>
    </row>
    <row r="2177" spans="1:1" x14ac:dyDescent="0.25">
      <c r="A2177" s="56">
        <v>4033170</v>
      </c>
    </row>
    <row r="2178" spans="1:1" x14ac:dyDescent="0.25">
      <c r="A2178" s="56">
        <v>49937456</v>
      </c>
    </row>
    <row r="2179" spans="1:1" x14ac:dyDescent="0.25">
      <c r="A2179" s="56">
        <v>314096830</v>
      </c>
    </row>
    <row r="2180" spans="1:1" x14ac:dyDescent="0.25">
      <c r="A2180" s="56">
        <v>103740184.3</v>
      </c>
    </row>
    <row r="2181" spans="1:1" x14ac:dyDescent="0.25">
      <c r="A2181" s="56">
        <v>6582802.7999999998</v>
      </c>
    </row>
    <row r="2182" spans="1:1" x14ac:dyDescent="0.25">
      <c r="A2182" s="56">
        <v>6174978.5999999996</v>
      </c>
    </row>
    <row r="2183" spans="1:1" x14ac:dyDescent="0.25">
      <c r="A2183" s="56">
        <v>80257813.399999902</v>
      </c>
    </row>
    <row r="2184" spans="1:1" x14ac:dyDescent="0.25">
      <c r="A2184" s="56">
        <v>423769956.80000001</v>
      </c>
    </row>
    <row r="2185" spans="1:1" x14ac:dyDescent="0.25">
      <c r="A2185" s="56">
        <v>34983063.599999897</v>
      </c>
    </row>
    <row r="2186" spans="1:1" x14ac:dyDescent="0.25">
      <c r="A2186" s="56">
        <v>0</v>
      </c>
    </row>
    <row r="2187" spans="1:1" x14ac:dyDescent="0.25">
      <c r="A2187" s="56">
        <v>38831245.399999999</v>
      </c>
    </row>
    <row r="2188" spans="1:1" x14ac:dyDescent="0.25">
      <c r="A2188" s="56">
        <v>18112322.300000001</v>
      </c>
    </row>
    <row r="2189" spans="1:1" x14ac:dyDescent="0.25">
      <c r="A2189" s="56">
        <v>24058878.199999999</v>
      </c>
    </row>
    <row r="2190" spans="1:1" x14ac:dyDescent="0.25">
      <c r="A2190" s="56">
        <v>63794028.700000003</v>
      </c>
    </row>
    <row r="2191" spans="1:1" x14ac:dyDescent="0.25">
      <c r="A2191" s="56">
        <v>17809339.199999999</v>
      </c>
    </row>
    <row r="2192" spans="1:1" x14ac:dyDescent="0.25">
      <c r="A2192" s="56">
        <v>10309644</v>
      </c>
    </row>
    <row r="2193" spans="1:1" x14ac:dyDescent="0.25">
      <c r="A2193" s="56">
        <v>0</v>
      </c>
    </row>
    <row r="2194" spans="1:1" x14ac:dyDescent="0.25">
      <c r="A2194" s="56">
        <v>34101487.600000001</v>
      </c>
    </row>
    <row r="2195" spans="1:1" x14ac:dyDescent="0.25">
      <c r="A2195" s="56">
        <v>88139126</v>
      </c>
    </row>
    <row r="2196" spans="1:1" x14ac:dyDescent="0.25">
      <c r="A2196" s="56">
        <v>0</v>
      </c>
    </row>
    <row r="2197" spans="1:1" x14ac:dyDescent="0.25">
      <c r="A2197" s="56">
        <v>55250077.799999997</v>
      </c>
    </row>
    <row r="2198" spans="1:1" x14ac:dyDescent="0.25">
      <c r="A2198" s="56">
        <v>23162184.5</v>
      </c>
    </row>
    <row r="2199" spans="1:1" x14ac:dyDescent="0.25">
      <c r="A2199" s="56">
        <v>0</v>
      </c>
    </row>
    <row r="2200" spans="1:1" x14ac:dyDescent="0.25">
      <c r="A2200" s="56">
        <v>6644875.2999999998</v>
      </c>
    </row>
    <row r="2201" spans="1:1" x14ac:dyDescent="0.25">
      <c r="A2201" s="56">
        <v>11926152.699999999</v>
      </c>
    </row>
    <row r="2202" spans="1:1" x14ac:dyDescent="0.25">
      <c r="A2202" s="56">
        <v>31171174.600000001</v>
      </c>
    </row>
    <row r="2203" spans="1:1" x14ac:dyDescent="0.25">
      <c r="A2203" s="56">
        <v>5613945.5999999996</v>
      </c>
    </row>
    <row r="2204" spans="1:1" x14ac:dyDescent="0.25">
      <c r="A2204" s="56">
        <v>446164.8</v>
      </c>
    </row>
    <row r="2205" spans="1:1" x14ac:dyDescent="0.25">
      <c r="A2205" s="56">
        <v>24516051.399999999</v>
      </c>
    </row>
    <row r="2206" spans="1:1" x14ac:dyDescent="0.25">
      <c r="A2206" s="56">
        <v>28683370.300000001</v>
      </c>
    </row>
    <row r="2207" spans="1:1" x14ac:dyDescent="0.25">
      <c r="A2207" s="56">
        <v>6949041.3999999901</v>
      </c>
    </row>
    <row r="2208" spans="1:1" x14ac:dyDescent="0.25">
      <c r="A2208" s="56">
        <v>10595815.6</v>
      </c>
    </row>
    <row r="2209" spans="1:1" x14ac:dyDescent="0.25">
      <c r="A2209" s="56">
        <v>5420084.0999999996</v>
      </c>
    </row>
    <row r="2210" spans="1:1" x14ac:dyDescent="0.25">
      <c r="A2210" s="56">
        <v>20188126.199999999</v>
      </c>
    </row>
    <row r="2211" spans="1:1" x14ac:dyDescent="0.25">
      <c r="A2211" s="56">
        <v>115198504.09999999</v>
      </c>
    </row>
    <row r="2212" spans="1:1" x14ac:dyDescent="0.25">
      <c r="A2212" s="56">
        <v>42202377.200000003</v>
      </c>
    </row>
    <row r="2213" spans="1:1" x14ac:dyDescent="0.25">
      <c r="A2213" s="56">
        <v>93612576.699999899</v>
      </c>
    </row>
    <row r="2214" spans="1:1" x14ac:dyDescent="0.25">
      <c r="A2214" s="56">
        <v>56502106.100000001</v>
      </c>
    </row>
    <row r="2215" spans="1:1" x14ac:dyDescent="0.25">
      <c r="A2215" s="56">
        <v>119196109.40000001</v>
      </c>
    </row>
    <row r="2216" spans="1:1" x14ac:dyDescent="0.25">
      <c r="A2216" s="56">
        <v>20966667.5</v>
      </c>
    </row>
    <row r="2217" spans="1:1" x14ac:dyDescent="0.25">
      <c r="A2217" s="56">
        <v>12395744.300000001</v>
      </c>
    </row>
    <row r="2218" spans="1:1" x14ac:dyDescent="0.25">
      <c r="A2218" s="56">
        <v>53406731.599999897</v>
      </c>
    </row>
    <row r="2219" spans="1:1" x14ac:dyDescent="0.25">
      <c r="A2219" s="56">
        <v>19753352.399999999</v>
      </c>
    </row>
    <row r="2220" spans="1:1" x14ac:dyDescent="0.25">
      <c r="A2220" s="56">
        <v>2998043</v>
      </c>
    </row>
    <row r="2221" spans="1:1" x14ac:dyDescent="0.25">
      <c r="A2221" s="56">
        <v>6168135</v>
      </c>
    </row>
    <row r="2222" spans="1:1" x14ac:dyDescent="0.25">
      <c r="A2222" s="56">
        <v>26664490.399999999</v>
      </c>
    </row>
    <row r="2223" spans="1:1" x14ac:dyDescent="0.25">
      <c r="A2223" s="56">
        <v>150623831.09999999</v>
      </c>
    </row>
    <row r="2224" spans="1:1" x14ac:dyDescent="0.25">
      <c r="A2224" s="56">
        <v>0</v>
      </c>
    </row>
    <row r="2225" spans="1:1" x14ac:dyDescent="0.25">
      <c r="A2225" s="56">
        <v>0</v>
      </c>
    </row>
    <row r="2226" spans="1:1" x14ac:dyDescent="0.25">
      <c r="A2226" s="56">
        <v>7809122.5999999996</v>
      </c>
    </row>
    <row r="2227" spans="1:1" x14ac:dyDescent="0.25">
      <c r="A2227" s="56">
        <v>50907188.899999999</v>
      </c>
    </row>
    <row r="2228" spans="1:1" x14ac:dyDescent="0.25">
      <c r="A2228" s="56">
        <v>8949959.8999999892</v>
      </c>
    </row>
    <row r="2229" spans="1:1" x14ac:dyDescent="0.25">
      <c r="A2229" s="56">
        <v>80179273.299999997</v>
      </c>
    </row>
    <row r="2230" spans="1:1" x14ac:dyDescent="0.25">
      <c r="A2230" s="56">
        <v>1948908.6</v>
      </c>
    </row>
    <row r="2231" spans="1:1" x14ac:dyDescent="0.25">
      <c r="A2231" s="56">
        <v>142750575.30000001</v>
      </c>
    </row>
    <row r="2232" spans="1:1" x14ac:dyDescent="0.25">
      <c r="A2232" s="56">
        <v>10758274.199999999</v>
      </c>
    </row>
    <row r="2233" spans="1:1" x14ac:dyDescent="0.25">
      <c r="A2233" s="56">
        <v>42379818.600000001</v>
      </c>
    </row>
    <row r="2234" spans="1:1" x14ac:dyDescent="0.25">
      <c r="A2234" s="56">
        <v>166367898.30000001</v>
      </c>
    </row>
    <row r="2235" spans="1:1" x14ac:dyDescent="0.25">
      <c r="A2235" s="56">
        <v>23064439.399999999</v>
      </c>
    </row>
    <row r="2236" spans="1:1" x14ac:dyDescent="0.25">
      <c r="A2236" s="56">
        <v>51551204.5</v>
      </c>
    </row>
    <row r="2237" spans="1:1" x14ac:dyDescent="0.25">
      <c r="A2237" s="56">
        <v>18992331.800000001</v>
      </c>
    </row>
    <row r="2238" spans="1:1" x14ac:dyDescent="0.25">
      <c r="A2238" s="56">
        <v>34759782.700000003</v>
      </c>
    </row>
    <row r="2239" spans="1:1" x14ac:dyDescent="0.25">
      <c r="A2239" s="56">
        <v>5511307.7999999998</v>
      </c>
    </row>
    <row r="2240" spans="1:1" x14ac:dyDescent="0.25">
      <c r="A2240" s="56">
        <v>10791348.4</v>
      </c>
    </row>
    <row r="2241" spans="1:1" x14ac:dyDescent="0.25">
      <c r="A2241" s="56">
        <v>55160699.299999997</v>
      </c>
    </row>
    <row r="2242" spans="1:1" x14ac:dyDescent="0.25">
      <c r="A2242" s="56">
        <v>4606690</v>
      </c>
    </row>
    <row r="2243" spans="1:1" x14ac:dyDescent="0.25">
      <c r="A2243" s="56">
        <v>78106208.400000006</v>
      </c>
    </row>
    <row r="2244" spans="1:1" x14ac:dyDescent="0.25">
      <c r="A2244" s="56">
        <v>14038149.199999999</v>
      </c>
    </row>
    <row r="2245" spans="1:1" x14ac:dyDescent="0.25">
      <c r="A2245" s="56">
        <v>13452737.199999999</v>
      </c>
    </row>
    <row r="2246" spans="1:1" x14ac:dyDescent="0.25">
      <c r="A2246" s="56">
        <v>96874729.699999899</v>
      </c>
    </row>
    <row r="2247" spans="1:1" x14ac:dyDescent="0.25">
      <c r="A2247" s="56">
        <v>86867453.799999997</v>
      </c>
    </row>
    <row r="2248" spans="1:1" x14ac:dyDescent="0.25">
      <c r="A2248" s="56">
        <v>125967287.3</v>
      </c>
    </row>
    <row r="2249" spans="1:1" x14ac:dyDescent="0.25">
      <c r="A2249" s="56">
        <v>9839758.6999999899</v>
      </c>
    </row>
    <row r="2250" spans="1:1" x14ac:dyDescent="0.25">
      <c r="A2250" s="56">
        <v>27784803.600000001</v>
      </c>
    </row>
    <row r="2251" spans="1:1" x14ac:dyDescent="0.25">
      <c r="A2251" s="56">
        <v>6901330.3999999901</v>
      </c>
    </row>
    <row r="2252" spans="1:1" x14ac:dyDescent="0.25">
      <c r="A2252" s="56">
        <v>110253093.2</v>
      </c>
    </row>
    <row r="2253" spans="1:1" x14ac:dyDescent="0.25">
      <c r="A2253" s="56">
        <v>29168441.399999999</v>
      </c>
    </row>
    <row r="2254" spans="1:1" x14ac:dyDescent="0.25">
      <c r="A2254" s="56">
        <v>0</v>
      </c>
    </row>
    <row r="2255" spans="1:1" x14ac:dyDescent="0.25">
      <c r="A2255" s="56">
        <v>0</v>
      </c>
    </row>
    <row r="2256" spans="1:1" x14ac:dyDescent="0.25">
      <c r="A2256" s="56">
        <v>31524938.699999999</v>
      </c>
    </row>
    <row r="2257" spans="1:1" x14ac:dyDescent="0.25">
      <c r="A2257" s="56">
        <v>114318800.90000001</v>
      </c>
    </row>
    <row r="2258" spans="1:1" x14ac:dyDescent="0.25">
      <c r="A2258" s="56">
        <v>25453744.399999999</v>
      </c>
    </row>
    <row r="2259" spans="1:1" x14ac:dyDescent="0.25">
      <c r="A2259" s="56">
        <v>3784665.6</v>
      </c>
    </row>
    <row r="2260" spans="1:1" x14ac:dyDescent="0.25">
      <c r="A2260" s="56">
        <v>25361711.600000001</v>
      </c>
    </row>
    <row r="2261" spans="1:1" x14ac:dyDescent="0.25">
      <c r="A2261" s="56">
        <v>48717705.700000003</v>
      </c>
    </row>
    <row r="2262" spans="1:1" x14ac:dyDescent="0.25">
      <c r="A2262" s="56">
        <v>14761211</v>
      </c>
    </row>
    <row r="2263" spans="1:1" x14ac:dyDescent="0.25">
      <c r="A2263" s="56">
        <v>303237021.69999999</v>
      </c>
    </row>
    <row r="2264" spans="1:1" x14ac:dyDescent="0.25">
      <c r="A2264" s="56">
        <v>15339167</v>
      </c>
    </row>
    <row r="2265" spans="1:1" x14ac:dyDescent="0.25">
      <c r="A2265" s="56">
        <v>42612050.200000003</v>
      </c>
    </row>
    <row r="2266" spans="1:1" x14ac:dyDescent="0.25">
      <c r="A2266" s="56">
        <v>0</v>
      </c>
    </row>
    <row r="2267" spans="1:1" x14ac:dyDescent="0.25">
      <c r="A2267" s="56">
        <v>0</v>
      </c>
    </row>
    <row r="2268" spans="1:1" x14ac:dyDescent="0.25">
      <c r="A2268" s="56">
        <v>12525049.6</v>
      </c>
    </row>
    <row r="2269" spans="1:1" x14ac:dyDescent="0.25">
      <c r="A2269" s="56">
        <v>75036966.299999997</v>
      </c>
    </row>
    <row r="2270" spans="1:1" x14ac:dyDescent="0.25">
      <c r="A2270" s="56">
        <v>0</v>
      </c>
    </row>
    <row r="2271" spans="1:1" x14ac:dyDescent="0.25">
      <c r="A2271" s="56">
        <v>57522668.200000003</v>
      </c>
    </row>
    <row r="2272" spans="1:1" x14ac:dyDescent="0.25">
      <c r="A2272" s="56">
        <v>45615243.600000001</v>
      </c>
    </row>
    <row r="2273" spans="1:1" x14ac:dyDescent="0.25">
      <c r="A2273" s="56">
        <v>405975992.5</v>
      </c>
    </row>
    <row r="2274" spans="1:1" x14ac:dyDescent="0.25">
      <c r="A2274" s="56">
        <v>71435835.799999997</v>
      </c>
    </row>
    <row r="2275" spans="1:1" x14ac:dyDescent="0.25">
      <c r="A2275" s="56">
        <v>8385707.7999999896</v>
      </c>
    </row>
    <row r="2276" spans="1:1" x14ac:dyDescent="0.25">
      <c r="A2276" s="56">
        <v>2596852.7999999998</v>
      </c>
    </row>
    <row r="2277" spans="1:1" x14ac:dyDescent="0.25">
      <c r="A2277" s="56">
        <v>43737237.299999997</v>
      </c>
    </row>
    <row r="2278" spans="1:1" x14ac:dyDescent="0.25">
      <c r="A2278" s="56">
        <v>33161254.800000001</v>
      </c>
    </row>
    <row r="2279" spans="1:1" x14ac:dyDescent="0.25">
      <c r="A2279" s="56">
        <v>102766222.59999999</v>
      </c>
    </row>
    <row r="2280" spans="1:1" x14ac:dyDescent="0.25">
      <c r="A2280" s="56">
        <v>7207152.9999999898</v>
      </c>
    </row>
    <row r="2281" spans="1:1" x14ac:dyDescent="0.25">
      <c r="A2281" s="56">
        <v>47184718.100000001</v>
      </c>
    </row>
    <row r="2282" spans="1:1" x14ac:dyDescent="0.25">
      <c r="A2282" s="56">
        <v>7613467.1999999899</v>
      </c>
    </row>
    <row r="2283" spans="1:1" x14ac:dyDescent="0.25">
      <c r="A2283" s="56">
        <v>29883226.600000001</v>
      </c>
    </row>
    <row r="2284" spans="1:1" x14ac:dyDescent="0.25">
      <c r="A2284" s="56">
        <v>0</v>
      </c>
    </row>
    <row r="2285" spans="1:1" x14ac:dyDescent="0.25">
      <c r="A2285" s="56">
        <v>26783595</v>
      </c>
    </row>
    <row r="2286" spans="1:1" x14ac:dyDescent="0.25">
      <c r="A2286" s="56">
        <v>48170198.200000003</v>
      </c>
    </row>
    <row r="2287" spans="1:1" x14ac:dyDescent="0.25">
      <c r="A2287" s="56">
        <v>8732642.5</v>
      </c>
    </row>
    <row r="2288" spans="1:1" x14ac:dyDescent="0.25">
      <c r="A2288" s="56">
        <v>12756237.1</v>
      </c>
    </row>
    <row r="2289" spans="1:1" x14ac:dyDescent="0.25">
      <c r="A2289" s="56">
        <v>15062555</v>
      </c>
    </row>
    <row r="2290" spans="1:1" x14ac:dyDescent="0.25">
      <c r="A2290" s="56">
        <v>53672337.499999903</v>
      </c>
    </row>
    <row r="2291" spans="1:1" x14ac:dyDescent="0.25">
      <c r="A2291" s="56">
        <v>3850972.2</v>
      </c>
    </row>
    <row r="2292" spans="1:1" x14ac:dyDescent="0.25">
      <c r="A2292" s="56">
        <v>5043773.6999999899</v>
      </c>
    </row>
    <row r="2293" spans="1:1" x14ac:dyDescent="0.25">
      <c r="A2293" s="56">
        <v>119527294.90000001</v>
      </c>
    </row>
    <row r="2294" spans="1:1" x14ac:dyDescent="0.25">
      <c r="A2294" s="56">
        <v>0</v>
      </c>
    </row>
    <row r="2295" spans="1:1" x14ac:dyDescent="0.25">
      <c r="A2295" s="56">
        <v>7042096</v>
      </c>
    </row>
    <row r="2296" spans="1:1" x14ac:dyDescent="0.25">
      <c r="A2296" s="56">
        <v>32541342.699999999</v>
      </c>
    </row>
    <row r="2297" spans="1:1" x14ac:dyDescent="0.25">
      <c r="A2297" s="56">
        <v>55700710.999999903</v>
      </c>
    </row>
    <row r="2298" spans="1:1" x14ac:dyDescent="0.25">
      <c r="A2298" s="56">
        <v>6826948.0999999996</v>
      </c>
    </row>
    <row r="2299" spans="1:1" x14ac:dyDescent="0.25">
      <c r="A2299" s="56">
        <v>0</v>
      </c>
    </row>
    <row r="2300" spans="1:1" x14ac:dyDescent="0.25">
      <c r="A2300" s="56">
        <v>82936066.999999896</v>
      </c>
    </row>
    <row r="2301" spans="1:1" x14ac:dyDescent="0.25">
      <c r="A2301" s="56">
        <v>13246953.4</v>
      </c>
    </row>
    <row r="2302" spans="1:1" x14ac:dyDescent="0.25">
      <c r="A2302" s="56">
        <v>29522293.599999901</v>
      </c>
    </row>
    <row r="2303" spans="1:1" x14ac:dyDescent="0.25">
      <c r="A2303" s="56">
        <v>787473965.89999998</v>
      </c>
    </row>
    <row r="2304" spans="1:1" x14ac:dyDescent="0.25">
      <c r="A2304" s="56">
        <v>135822335.59999999</v>
      </c>
    </row>
    <row r="2305" spans="1:1" x14ac:dyDescent="0.25">
      <c r="A2305" s="56">
        <v>24673088.600000001</v>
      </c>
    </row>
    <row r="2306" spans="1:1" x14ac:dyDescent="0.25">
      <c r="A2306" s="56">
        <v>9709971.1999999899</v>
      </c>
    </row>
    <row r="2307" spans="1:1" x14ac:dyDescent="0.25">
      <c r="A2307" s="56">
        <v>47838135.600000001</v>
      </c>
    </row>
    <row r="2308" spans="1:1" x14ac:dyDescent="0.25">
      <c r="A2308" s="56">
        <v>109088042.59999999</v>
      </c>
    </row>
    <row r="2309" spans="1:1" x14ac:dyDescent="0.25">
      <c r="A2309" s="56">
        <v>27084432.600000001</v>
      </c>
    </row>
    <row r="2310" spans="1:1" x14ac:dyDescent="0.25">
      <c r="A2310" s="56">
        <v>14280427.199999999</v>
      </c>
    </row>
    <row r="2311" spans="1:1" x14ac:dyDescent="0.25">
      <c r="A2311" s="56">
        <v>144667225.40000001</v>
      </c>
    </row>
    <row r="2312" spans="1:1" x14ac:dyDescent="0.25">
      <c r="A2312" s="56">
        <v>15117113.9</v>
      </c>
    </row>
    <row r="2313" spans="1:1" x14ac:dyDescent="0.25">
      <c r="A2313" s="56">
        <v>74640606.900000006</v>
      </c>
    </row>
    <row r="2314" spans="1:1" x14ac:dyDescent="0.25">
      <c r="A2314" s="56">
        <v>40440146</v>
      </c>
    </row>
    <row r="2315" spans="1:1" x14ac:dyDescent="0.25">
      <c r="A2315" s="56">
        <v>3053169.2</v>
      </c>
    </row>
    <row r="2316" spans="1:1" x14ac:dyDescent="0.25">
      <c r="A2316" s="56">
        <v>14995512.699999999</v>
      </c>
    </row>
    <row r="2317" spans="1:1" x14ac:dyDescent="0.25">
      <c r="A2317" s="56">
        <v>0</v>
      </c>
    </row>
    <row r="2318" spans="1:1" x14ac:dyDescent="0.25">
      <c r="A2318" s="56">
        <v>26608528.600000001</v>
      </c>
    </row>
    <row r="2319" spans="1:1" x14ac:dyDescent="0.25">
      <c r="A2319" s="56">
        <v>230463496.19999999</v>
      </c>
    </row>
    <row r="2320" spans="1:1" x14ac:dyDescent="0.25">
      <c r="A2320" s="56">
        <v>5033965.3</v>
      </c>
    </row>
    <row r="2321" spans="1:1" x14ac:dyDescent="0.25">
      <c r="A2321" s="56">
        <v>4087963.2</v>
      </c>
    </row>
    <row r="2322" spans="1:1" x14ac:dyDescent="0.25">
      <c r="A2322" s="56">
        <v>9829897.4000000004</v>
      </c>
    </row>
    <row r="2323" spans="1:1" x14ac:dyDescent="0.25">
      <c r="A2323" s="56">
        <v>59380861.499999903</v>
      </c>
    </row>
    <row r="2324" spans="1:1" x14ac:dyDescent="0.25">
      <c r="A2324" s="56">
        <v>19123617.800000001</v>
      </c>
    </row>
    <row r="2325" spans="1:1" x14ac:dyDescent="0.25">
      <c r="A2325" s="56">
        <v>45385470.299999997</v>
      </c>
    </row>
    <row r="2326" spans="1:1" x14ac:dyDescent="0.25">
      <c r="A2326" s="56">
        <v>4129080</v>
      </c>
    </row>
    <row r="2327" spans="1:1" x14ac:dyDescent="0.25">
      <c r="A2327" s="56">
        <v>29859920.399999999</v>
      </c>
    </row>
    <row r="2328" spans="1:1" x14ac:dyDescent="0.25">
      <c r="A2328" s="56">
        <v>141450956.59999999</v>
      </c>
    </row>
    <row r="2329" spans="1:1" x14ac:dyDescent="0.25">
      <c r="A2329" s="56">
        <v>3326711.6</v>
      </c>
    </row>
    <row r="2330" spans="1:1" x14ac:dyDescent="0.25">
      <c r="A2330" s="56">
        <v>32095802.100000001</v>
      </c>
    </row>
    <row r="2331" spans="1:1" x14ac:dyDescent="0.25">
      <c r="A2331" s="56">
        <v>18707603.800000001</v>
      </c>
    </row>
    <row r="2332" spans="1:1" x14ac:dyDescent="0.25">
      <c r="A2332" s="56">
        <v>75097081.199999899</v>
      </c>
    </row>
    <row r="2333" spans="1:1" x14ac:dyDescent="0.25">
      <c r="A2333" s="56">
        <v>34898039</v>
      </c>
    </row>
    <row r="2334" spans="1:1" x14ac:dyDescent="0.25">
      <c r="A2334" s="56">
        <v>88815023</v>
      </c>
    </row>
    <row r="2335" spans="1:1" x14ac:dyDescent="0.25">
      <c r="A2335" s="56">
        <v>22007164.399999999</v>
      </c>
    </row>
    <row r="2336" spans="1:1" x14ac:dyDescent="0.25">
      <c r="A2336" s="56">
        <v>117617185</v>
      </c>
    </row>
    <row r="2337" spans="1:1" x14ac:dyDescent="0.25">
      <c r="A2337" s="56">
        <v>12959774.800000001</v>
      </c>
    </row>
    <row r="2338" spans="1:1" x14ac:dyDescent="0.25">
      <c r="A2338" s="56">
        <v>44650705.100000001</v>
      </c>
    </row>
    <row r="2339" spans="1:1" x14ac:dyDescent="0.25">
      <c r="A2339" s="56">
        <v>204831326.5</v>
      </c>
    </row>
    <row r="2340" spans="1:1" x14ac:dyDescent="0.25">
      <c r="A2340" s="56">
        <v>0</v>
      </c>
    </row>
    <row r="2341" spans="1:1" x14ac:dyDescent="0.25">
      <c r="A2341" s="56">
        <v>15898971.699999999</v>
      </c>
    </row>
    <row r="2342" spans="1:1" x14ac:dyDescent="0.25">
      <c r="A2342" s="56">
        <v>158035116.59999999</v>
      </c>
    </row>
    <row r="2343" spans="1:1" x14ac:dyDescent="0.25">
      <c r="A2343" s="56">
        <v>13645004.6</v>
      </c>
    </row>
    <row r="2344" spans="1:1" x14ac:dyDescent="0.25">
      <c r="A2344" s="56">
        <v>123645658.40000001</v>
      </c>
    </row>
    <row r="2345" spans="1:1" x14ac:dyDescent="0.25">
      <c r="A2345" s="56">
        <v>14203764.5</v>
      </c>
    </row>
    <row r="2346" spans="1:1" x14ac:dyDescent="0.25">
      <c r="A2346" s="56">
        <v>32102145.199999999</v>
      </c>
    </row>
    <row r="2347" spans="1:1" x14ac:dyDescent="0.25">
      <c r="A2347" s="56">
        <v>586937499.60000002</v>
      </c>
    </row>
    <row r="2348" spans="1:1" x14ac:dyDescent="0.25">
      <c r="A2348" s="56">
        <v>245297294.40000001</v>
      </c>
    </row>
    <row r="2349" spans="1:1" x14ac:dyDescent="0.25">
      <c r="A2349" s="56">
        <v>0</v>
      </c>
    </row>
    <row r="2350" spans="1:1" x14ac:dyDescent="0.25">
      <c r="A2350" s="56">
        <v>14476654.800000001</v>
      </c>
    </row>
    <row r="2351" spans="1:1" x14ac:dyDescent="0.25">
      <c r="A2351" s="56">
        <v>6338873.7999999998</v>
      </c>
    </row>
    <row r="2352" spans="1:1" x14ac:dyDescent="0.25">
      <c r="A2352" s="56">
        <v>13293725.4</v>
      </c>
    </row>
    <row r="2353" spans="1:1" x14ac:dyDescent="0.25">
      <c r="A2353" s="56">
        <v>7828228.2999999998</v>
      </c>
    </row>
    <row r="2354" spans="1:1" x14ac:dyDescent="0.25">
      <c r="A2354" s="56">
        <v>11991050.300000001</v>
      </c>
    </row>
    <row r="2355" spans="1:1" x14ac:dyDescent="0.25">
      <c r="A2355" s="56">
        <v>12541176.9</v>
      </c>
    </row>
    <row r="2356" spans="1:1" x14ac:dyDescent="0.25">
      <c r="A2356" s="56">
        <v>5266863.6999999899</v>
      </c>
    </row>
    <row r="2357" spans="1:1" x14ac:dyDescent="0.25">
      <c r="A2357" s="56">
        <v>22832100.800000001</v>
      </c>
    </row>
    <row r="2358" spans="1:1" x14ac:dyDescent="0.25">
      <c r="A2358" s="56">
        <v>2419782.6</v>
      </c>
    </row>
    <row r="2359" spans="1:1" x14ac:dyDescent="0.25">
      <c r="A2359" s="56">
        <v>0</v>
      </c>
    </row>
    <row r="2360" spans="1:1" x14ac:dyDescent="0.25">
      <c r="A2360" s="56">
        <v>6627828.7000000002</v>
      </c>
    </row>
    <row r="2361" spans="1:1" x14ac:dyDescent="0.25">
      <c r="A2361" s="56">
        <v>10601088.699999999</v>
      </c>
    </row>
    <row r="2362" spans="1:1" x14ac:dyDescent="0.25">
      <c r="A2362" s="56">
        <v>138021491.30000001</v>
      </c>
    </row>
    <row r="2363" spans="1:1" x14ac:dyDescent="0.25">
      <c r="A2363" s="56">
        <v>36788216.299999997</v>
      </c>
    </row>
    <row r="2364" spans="1:1" x14ac:dyDescent="0.25">
      <c r="A2364" s="56">
        <v>61475444.200000003</v>
      </c>
    </row>
    <row r="2365" spans="1:1" x14ac:dyDescent="0.25">
      <c r="A2365" s="56">
        <v>336863681.80000001</v>
      </c>
    </row>
    <row r="2366" spans="1:1" x14ac:dyDescent="0.25">
      <c r="A2366" s="56">
        <v>2201268</v>
      </c>
    </row>
    <row r="2367" spans="1:1" x14ac:dyDescent="0.25">
      <c r="A2367" s="56">
        <v>8505229.7999999896</v>
      </c>
    </row>
    <row r="2368" spans="1:1" x14ac:dyDescent="0.25">
      <c r="A2368" s="56">
        <v>11489460.5</v>
      </c>
    </row>
    <row r="2369" spans="1:1" x14ac:dyDescent="0.25">
      <c r="A2369" s="56">
        <v>0</v>
      </c>
    </row>
    <row r="2370" spans="1:1" x14ac:dyDescent="0.25">
      <c r="A2370" s="56">
        <v>405393268.10000002</v>
      </c>
    </row>
    <row r="2371" spans="1:1" x14ac:dyDescent="0.25">
      <c r="A2371" s="56">
        <v>33918762.099999897</v>
      </c>
    </row>
    <row r="2372" spans="1:1" x14ac:dyDescent="0.25">
      <c r="A2372" s="56">
        <v>16081170.300000001</v>
      </c>
    </row>
    <row r="2373" spans="1:1" x14ac:dyDescent="0.25">
      <c r="A2373" s="56">
        <v>0</v>
      </c>
    </row>
    <row r="2374" spans="1:1" x14ac:dyDescent="0.25">
      <c r="A2374" s="56">
        <v>0</v>
      </c>
    </row>
    <row r="2375" spans="1:1" x14ac:dyDescent="0.25">
      <c r="A2375" s="56">
        <v>7005141.9000000004</v>
      </c>
    </row>
    <row r="2376" spans="1:1" x14ac:dyDescent="0.25">
      <c r="A2376" s="56">
        <v>6072799.5999999996</v>
      </c>
    </row>
    <row r="2377" spans="1:1" x14ac:dyDescent="0.25">
      <c r="A2377" s="56">
        <v>128075594.40000001</v>
      </c>
    </row>
    <row r="2378" spans="1:1" x14ac:dyDescent="0.25">
      <c r="A2378" s="56">
        <v>82871073.399999902</v>
      </c>
    </row>
    <row r="2379" spans="1:1" x14ac:dyDescent="0.25">
      <c r="A2379" s="56">
        <v>26606096.300000001</v>
      </c>
    </row>
    <row r="2380" spans="1:1" x14ac:dyDescent="0.25">
      <c r="A2380" s="56">
        <v>7326796.0999999996</v>
      </c>
    </row>
    <row r="2381" spans="1:1" x14ac:dyDescent="0.25">
      <c r="A2381" s="56">
        <v>62367668.5</v>
      </c>
    </row>
    <row r="2382" spans="1:1" x14ac:dyDescent="0.25">
      <c r="A2382" s="56">
        <v>137248577</v>
      </c>
    </row>
    <row r="2383" spans="1:1" x14ac:dyDescent="0.25">
      <c r="A2383" s="56">
        <v>4197731.3999999901</v>
      </c>
    </row>
    <row r="2384" spans="1:1" x14ac:dyDescent="0.25">
      <c r="A2384" s="56">
        <v>20094077.899999999</v>
      </c>
    </row>
    <row r="2385" spans="1:1" x14ac:dyDescent="0.25">
      <c r="A2385" s="56">
        <v>22498760</v>
      </c>
    </row>
    <row r="2386" spans="1:1" x14ac:dyDescent="0.25">
      <c r="A2386" s="56">
        <v>5905832.4000000004</v>
      </c>
    </row>
    <row r="2387" spans="1:1" x14ac:dyDescent="0.25">
      <c r="A2387" s="56">
        <v>6234723.5999999996</v>
      </c>
    </row>
    <row r="2388" spans="1:1" x14ac:dyDescent="0.25">
      <c r="A2388" s="56">
        <v>20281472.300000001</v>
      </c>
    </row>
    <row r="2389" spans="1:1" x14ac:dyDescent="0.25">
      <c r="A2389" s="56">
        <v>25931277.899999999</v>
      </c>
    </row>
    <row r="2390" spans="1:1" x14ac:dyDescent="0.25">
      <c r="A2390" s="56">
        <v>333598995</v>
      </c>
    </row>
    <row r="2391" spans="1:1" x14ac:dyDescent="0.25">
      <c r="A2391" s="56">
        <v>85802418.599999905</v>
      </c>
    </row>
    <row r="2392" spans="1:1" x14ac:dyDescent="0.25">
      <c r="A2392" s="56">
        <v>38626968.700000003</v>
      </c>
    </row>
    <row r="2393" spans="1:1" x14ac:dyDescent="0.25">
      <c r="A2393" s="56">
        <v>70426529.099999905</v>
      </c>
    </row>
    <row r="2394" spans="1:1" x14ac:dyDescent="0.25">
      <c r="A2394" s="56">
        <v>101305333.2</v>
      </c>
    </row>
    <row r="2395" spans="1:1" x14ac:dyDescent="0.25">
      <c r="A2395" s="56">
        <v>0</v>
      </c>
    </row>
    <row r="2396" spans="1:1" x14ac:dyDescent="0.25">
      <c r="A2396" s="56">
        <v>48219002.599999897</v>
      </c>
    </row>
    <row r="2397" spans="1:1" x14ac:dyDescent="0.25">
      <c r="A2397" s="56">
        <v>9225168.9000000004</v>
      </c>
    </row>
    <row r="2398" spans="1:1" x14ac:dyDescent="0.25">
      <c r="A2398" s="56">
        <v>10792783.300000001</v>
      </c>
    </row>
    <row r="2399" spans="1:1" x14ac:dyDescent="0.25">
      <c r="A2399" s="56">
        <v>12720064.1</v>
      </c>
    </row>
    <row r="2400" spans="1:1" x14ac:dyDescent="0.25">
      <c r="A2400" s="56">
        <v>237793059.40000001</v>
      </c>
    </row>
    <row r="2401" spans="1:1" x14ac:dyDescent="0.25">
      <c r="A2401" s="56">
        <v>4177830.4</v>
      </c>
    </row>
    <row r="2402" spans="1:1" x14ac:dyDescent="0.25">
      <c r="A2402" s="56">
        <v>113895286.09999999</v>
      </c>
    </row>
    <row r="2403" spans="1:1" x14ac:dyDescent="0.25">
      <c r="A2403" s="56">
        <v>13518286.4</v>
      </c>
    </row>
    <row r="2404" spans="1:1" x14ac:dyDescent="0.25">
      <c r="A2404" s="56">
        <v>4356510</v>
      </c>
    </row>
    <row r="2405" spans="1:1" x14ac:dyDescent="0.25">
      <c r="A2405" s="56">
        <v>66951408.399999999</v>
      </c>
    </row>
    <row r="2406" spans="1:1" x14ac:dyDescent="0.25">
      <c r="A2406" s="56">
        <v>3626253</v>
      </c>
    </row>
    <row r="2407" spans="1:1" x14ac:dyDescent="0.25">
      <c r="A2407" s="56">
        <v>84246238.299999997</v>
      </c>
    </row>
    <row r="2408" spans="1:1" x14ac:dyDescent="0.25">
      <c r="A2408" s="56">
        <v>2091318</v>
      </c>
    </row>
    <row r="2409" spans="1:1" x14ac:dyDescent="0.25">
      <c r="A2409" s="56">
        <v>22612583.800000001</v>
      </c>
    </row>
    <row r="2410" spans="1:1" x14ac:dyDescent="0.25">
      <c r="A2410" s="56">
        <v>35433079.399999999</v>
      </c>
    </row>
    <row r="2411" spans="1:1" x14ac:dyDescent="0.25">
      <c r="A2411" s="56">
        <v>10342438.1</v>
      </c>
    </row>
    <row r="2412" spans="1:1" x14ac:dyDescent="0.25">
      <c r="A2412" s="56">
        <v>23173179.100000001</v>
      </c>
    </row>
    <row r="2413" spans="1:1" x14ac:dyDescent="0.25">
      <c r="A2413" s="56">
        <v>82381733.599999905</v>
      </c>
    </row>
    <row r="2414" spans="1:1" x14ac:dyDescent="0.25">
      <c r="A2414" s="56">
        <v>63519809</v>
      </c>
    </row>
    <row r="2415" spans="1:1" x14ac:dyDescent="0.25">
      <c r="A2415" s="56">
        <v>77776881.299999997</v>
      </c>
    </row>
    <row r="2416" spans="1:1" x14ac:dyDescent="0.25">
      <c r="A2416" s="56">
        <v>33057111.399999999</v>
      </c>
    </row>
    <row r="2417" spans="1:1" x14ac:dyDescent="0.25">
      <c r="A2417" s="56">
        <v>43694.400000000001</v>
      </c>
    </row>
    <row r="2418" spans="1:1" x14ac:dyDescent="0.25">
      <c r="A2418" s="56">
        <v>176885868.09999999</v>
      </c>
    </row>
    <row r="2419" spans="1:1" x14ac:dyDescent="0.25">
      <c r="A2419" s="56">
        <v>11580632.1</v>
      </c>
    </row>
    <row r="2420" spans="1:1" x14ac:dyDescent="0.25">
      <c r="A2420" s="56">
        <v>0</v>
      </c>
    </row>
    <row r="2421" spans="1:1" x14ac:dyDescent="0.25">
      <c r="A2421" s="56">
        <v>304143429.89999998</v>
      </c>
    </row>
    <row r="2422" spans="1:1" x14ac:dyDescent="0.25">
      <c r="A2422" s="56">
        <v>18573911.199999999</v>
      </c>
    </row>
    <row r="2423" spans="1:1" x14ac:dyDescent="0.25">
      <c r="A2423" s="56">
        <v>26632990.600000001</v>
      </c>
    </row>
    <row r="2424" spans="1:1" x14ac:dyDescent="0.25">
      <c r="A2424" s="56">
        <v>31151334.399999902</v>
      </c>
    </row>
    <row r="2425" spans="1:1" x14ac:dyDescent="0.25">
      <c r="A2425" s="56">
        <v>8325025.1999999899</v>
      </c>
    </row>
    <row r="2426" spans="1:1" x14ac:dyDescent="0.25">
      <c r="A2426" s="56">
        <v>47689534.899999999</v>
      </c>
    </row>
    <row r="2427" spans="1:1" x14ac:dyDescent="0.25">
      <c r="A2427" s="56">
        <v>191848600.30000001</v>
      </c>
    </row>
    <row r="2428" spans="1:1" x14ac:dyDescent="0.25">
      <c r="A2428" s="56">
        <v>9657083.5999999996</v>
      </c>
    </row>
    <row r="2429" spans="1:1" x14ac:dyDescent="0.25">
      <c r="A2429" s="56">
        <v>15303953.5</v>
      </c>
    </row>
    <row r="2430" spans="1:1" x14ac:dyDescent="0.25">
      <c r="A2430" s="56">
        <v>132754126.3</v>
      </c>
    </row>
    <row r="2431" spans="1:1" x14ac:dyDescent="0.25">
      <c r="A2431" s="56">
        <v>17009314.899999999</v>
      </c>
    </row>
    <row r="2432" spans="1:1" x14ac:dyDescent="0.25">
      <c r="A2432" s="56">
        <v>104271946.7</v>
      </c>
    </row>
    <row r="2433" spans="1:1" x14ac:dyDescent="0.25">
      <c r="A2433" s="56">
        <v>253984252</v>
      </c>
    </row>
    <row r="2434" spans="1:1" x14ac:dyDescent="0.25">
      <c r="A2434" s="56">
        <v>58358811.700000003</v>
      </c>
    </row>
    <row r="2435" spans="1:1" x14ac:dyDescent="0.25">
      <c r="A2435" s="56">
        <v>1227940</v>
      </c>
    </row>
    <row r="2436" spans="1:1" x14ac:dyDescent="0.25">
      <c r="A2436" s="56">
        <v>120064</v>
      </c>
    </row>
    <row r="2437" spans="1:1" x14ac:dyDescent="0.25">
      <c r="A2437" s="56">
        <v>26170824.100000001</v>
      </c>
    </row>
    <row r="2438" spans="1:1" x14ac:dyDescent="0.25">
      <c r="A2438" s="56">
        <v>638252.80000000005</v>
      </c>
    </row>
    <row r="2439" spans="1:1" x14ac:dyDescent="0.25">
      <c r="A2439" s="56">
        <v>44931656.899999902</v>
      </c>
    </row>
    <row r="2440" spans="1:1" x14ac:dyDescent="0.25">
      <c r="A2440" s="56">
        <v>149601969.09999999</v>
      </c>
    </row>
    <row r="2441" spans="1:1" x14ac:dyDescent="0.25">
      <c r="A2441" s="56">
        <v>11107491</v>
      </c>
    </row>
    <row r="2442" spans="1:1" x14ac:dyDescent="0.25">
      <c r="A2442" s="56">
        <v>5792287.1999999899</v>
      </c>
    </row>
    <row r="2443" spans="1:1" x14ac:dyDescent="0.25">
      <c r="A2443" s="56">
        <v>0</v>
      </c>
    </row>
    <row r="2444" spans="1:1" x14ac:dyDescent="0.25">
      <c r="A2444" s="56">
        <v>41448590.099999897</v>
      </c>
    </row>
    <row r="2445" spans="1:1" x14ac:dyDescent="0.25">
      <c r="A2445" s="56">
        <v>3757995.4</v>
      </c>
    </row>
    <row r="2446" spans="1:1" x14ac:dyDescent="0.25">
      <c r="A2446" s="56">
        <v>35099973.399999999</v>
      </c>
    </row>
    <row r="2447" spans="1:1" x14ac:dyDescent="0.25">
      <c r="A2447" s="56">
        <v>0</v>
      </c>
    </row>
    <row r="2448" spans="1:1" x14ac:dyDescent="0.25">
      <c r="A2448" s="56">
        <v>50937427.599999897</v>
      </c>
    </row>
    <row r="2449" spans="1:1" x14ac:dyDescent="0.25">
      <c r="A2449" s="56">
        <v>7570046.7000000002</v>
      </c>
    </row>
    <row r="2450" spans="1:1" x14ac:dyDescent="0.25">
      <c r="A2450" s="56">
        <v>18852294.100000001</v>
      </c>
    </row>
    <row r="2451" spans="1:1" x14ac:dyDescent="0.25">
      <c r="A2451" s="56">
        <v>38572368.5</v>
      </c>
    </row>
    <row r="2452" spans="1:1" x14ac:dyDescent="0.25">
      <c r="A2452" s="56">
        <v>0</v>
      </c>
    </row>
    <row r="2453" spans="1:1" x14ac:dyDescent="0.25">
      <c r="A2453" s="56">
        <v>17961564.699999999</v>
      </c>
    </row>
    <row r="2454" spans="1:1" x14ac:dyDescent="0.25">
      <c r="A2454" s="56">
        <v>31253425.600000001</v>
      </c>
    </row>
    <row r="2455" spans="1:1" x14ac:dyDescent="0.25">
      <c r="A2455" s="56">
        <v>60432567.599999897</v>
      </c>
    </row>
    <row r="2456" spans="1:1" x14ac:dyDescent="0.25">
      <c r="A2456" s="56">
        <v>51397750.299999997</v>
      </c>
    </row>
    <row r="2457" spans="1:1" x14ac:dyDescent="0.25">
      <c r="A2457" s="56">
        <v>64429398.399999999</v>
      </c>
    </row>
    <row r="2458" spans="1:1" x14ac:dyDescent="0.25">
      <c r="A2458" s="56">
        <v>14421857.300000001</v>
      </c>
    </row>
    <row r="2459" spans="1:1" x14ac:dyDescent="0.25">
      <c r="A2459" s="56">
        <v>59987409.899999999</v>
      </c>
    </row>
    <row r="2460" spans="1:1" x14ac:dyDescent="0.25">
      <c r="A2460" s="56">
        <v>26031632.899999999</v>
      </c>
    </row>
    <row r="2461" spans="1:1" x14ac:dyDescent="0.25">
      <c r="A2461" s="56">
        <v>625458.4</v>
      </c>
    </row>
    <row r="2462" spans="1:1" x14ac:dyDescent="0.25">
      <c r="A2462" s="56">
        <v>58111129.399999999</v>
      </c>
    </row>
    <row r="2463" spans="1:1" x14ac:dyDescent="0.25">
      <c r="A2463" s="56">
        <v>28422279.699999999</v>
      </c>
    </row>
    <row r="2464" spans="1:1" x14ac:dyDescent="0.25">
      <c r="A2464" s="56">
        <v>10621544.699999999</v>
      </c>
    </row>
    <row r="2465" spans="1:1" x14ac:dyDescent="0.25">
      <c r="A2465" s="56">
        <v>17926369.800000001</v>
      </c>
    </row>
    <row r="2466" spans="1:1" x14ac:dyDescent="0.25">
      <c r="A2466" s="56">
        <v>0</v>
      </c>
    </row>
    <row r="2467" spans="1:1" x14ac:dyDescent="0.25">
      <c r="A2467" s="56">
        <v>6792693.7999999998</v>
      </c>
    </row>
    <row r="2468" spans="1:1" x14ac:dyDescent="0.25">
      <c r="A2468" s="56">
        <v>13597090</v>
      </c>
    </row>
    <row r="2469" spans="1:1" x14ac:dyDescent="0.25">
      <c r="A2469" s="56">
        <v>39867425.399999902</v>
      </c>
    </row>
    <row r="2470" spans="1:1" x14ac:dyDescent="0.25">
      <c r="A2470" s="56">
        <v>0</v>
      </c>
    </row>
    <row r="2471" spans="1:1" x14ac:dyDescent="0.25">
      <c r="A2471" s="56">
        <v>12489979</v>
      </c>
    </row>
    <row r="2472" spans="1:1" x14ac:dyDescent="0.25">
      <c r="A2472" s="56">
        <v>25430534.300000001</v>
      </c>
    </row>
    <row r="2473" spans="1:1" x14ac:dyDescent="0.25">
      <c r="A2473" s="56">
        <v>88660338.099999905</v>
      </c>
    </row>
    <row r="2474" spans="1:1" x14ac:dyDescent="0.25">
      <c r="A2474" s="56">
        <v>6421170.4999999898</v>
      </c>
    </row>
    <row r="2475" spans="1:1" x14ac:dyDescent="0.25">
      <c r="A2475" s="56">
        <v>34694179.200000003</v>
      </c>
    </row>
    <row r="2476" spans="1:1" x14ac:dyDescent="0.25">
      <c r="A2476" s="56">
        <v>35628120.599999897</v>
      </c>
    </row>
    <row r="2477" spans="1:1" x14ac:dyDescent="0.25">
      <c r="A2477" s="56">
        <v>13012526.300000001</v>
      </c>
    </row>
    <row r="2478" spans="1:1" x14ac:dyDescent="0.25">
      <c r="A2478" s="56">
        <v>198788541.09999999</v>
      </c>
    </row>
    <row r="2479" spans="1:1" x14ac:dyDescent="0.25">
      <c r="A2479" s="56">
        <v>560944678.39999998</v>
      </c>
    </row>
    <row r="2480" spans="1:1" x14ac:dyDescent="0.25">
      <c r="A2480" s="56">
        <v>150285455.5</v>
      </c>
    </row>
    <row r="2481" spans="1:1" x14ac:dyDescent="0.25">
      <c r="A2481" s="56">
        <v>0</v>
      </c>
    </row>
    <row r="2482" spans="1:1" x14ac:dyDescent="0.25">
      <c r="A2482" s="56">
        <v>5895068.8999999901</v>
      </c>
    </row>
    <row r="2483" spans="1:1" x14ac:dyDescent="0.25">
      <c r="A2483" s="56">
        <v>0</v>
      </c>
    </row>
    <row r="2484" spans="1:1" x14ac:dyDescent="0.25">
      <c r="A2484" s="56">
        <v>240574531.90000001</v>
      </c>
    </row>
    <row r="2485" spans="1:1" x14ac:dyDescent="0.25">
      <c r="A2485" s="56">
        <v>21728601.899999999</v>
      </c>
    </row>
    <row r="2486" spans="1:1" x14ac:dyDescent="0.25">
      <c r="A2486" s="56">
        <v>15221652.300000001</v>
      </c>
    </row>
    <row r="2487" spans="1:1" x14ac:dyDescent="0.25">
      <c r="A2487" s="56">
        <v>32539902.699999999</v>
      </c>
    </row>
    <row r="2488" spans="1:1" x14ac:dyDescent="0.25">
      <c r="A2488" s="56">
        <v>20215702.300000001</v>
      </c>
    </row>
    <row r="2489" spans="1:1" x14ac:dyDescent="0.25">
      <c r="A2489" s="56">
        <v>0</v>
      </c>
    </row>
    <row r="2490" spans="1:1" x14ac:dyDescent="0.25">
      <c r="A2490" s="56">
        <v>154666835.30000001</v>
      </c>
    </row>
    <row r="2491" spans="1:1" x14ac:dyDescent="0.25">
      <c r="A2491" s="56">
        <v>8506945</v>
      </c>
    </row>
    <row r="2492" spans="1:1" x14ac:dyDescent="0.25">
      <c r="A2492" s="56">
        <v>67277962.099999905</v>
      </c>
    </row>
    <row r="2493" spans="1:1" x14ac:dyDescent="0.25">
      <c r="A2493" s="56">
        <v>25537751.300000001</v>
      </c>
    </row>
    <row r="2494" spans="1:1" x14ac:dyDescent="0.25">
      <c r="A2494" s="56">
        <v>362894829.60000002</v>
      </c>
    </row>
    <row r="2495" spans="1:1" x14ac:dyDescent="0.25">
      <c r="A2495" s="56">
        <v>24239135</v>
      </c>
    </row>
    <row r="2496" spans="1:1" x14ac:dyDescent="0.25">
      <c r="A2496" s="56">
        <v>134658942.69999999</v>
      </c>
    </row>
    <row r="2497" spans="1:1" x14ac:dyDescent="0.25">
      <c r="A2497" s="56">
        <v>1011584.8</v>
      </c>
    </row>
    <row r="2498" spans="1:1" x14ac:dyDescent="0.25">
      <c r="A2498" s="56">
        <v>19333752.899999999</v>
      </c>
    </row>
    <row r="2499" spans="1:1" x14ac:dyDescent="0.25">
      <c r="A2499" s="56">
        <v>6568945.5999999996</v>
      </c>
    </row>
    <row r="2500" spans="1:1" x14ac:dyDescent="0.25">
      <c r="A2500" s="56">
        <v>12410322.9</v>
      </c>
    </row>
    <row r="2501" spans="1:1" x14ac:dyDescent="0.25">
      <c r="A2501" s="56">
        <v>222108172.09999999</v>
      </c>
    </row>
    <row r="2502" spans="1:1" x14ac:dyDescent="0.25">
      <c r="A2502" s="56">
        <v>8437630.3000000007</v>
      </c>
    </row>
    <row r="2503" spans="1:1" x14ac:dyDescent="0.25">
      <c r="A2503" s="56">
        <v>19388102.5</v>
      </c>
    </row>
    <row r="2504" spans="1:1" x14ac:dyDescent="0.25">
      <c r="A2504" s="56">
        <v>212234496.19999999</v>
      </c>
    </row>
    <row r="2505" spans="1:1" x14ac:dyDescent="0.25">
      <c r="A2505" s="56">
        <v>12511015.1</v>
      </c>
    </row>
    <row r="2506" spans="1:1" x14ac:dyDescent="0.25">
      <c r="A2506" s="56">
        <v>61678539</v>
      </c>
    </row>
    <row r="2507" spans="1:1" x14ac:dyDescent="0.25">
      <c r="A2507" s="56">
        <v>24027293.5</v>
      </c>
    </row>
    <row r="2508" spans="1:1" x14ac:dyDescent="0.25">
      <c r="A2508" s="56">
        <v>155178963.80000001</v>
      </c>
    </row>
    <row r="2509" spans="1:1" x14ac:dyDescent="0.25">
      <c r="A2509" s="56">
        <v>72778200.400000006</v>
      </c>
    </row>
    <row r="2510" spans="1:1" x14ac:dyDescent="0.25">
      <c r="A2510" s="56">
        <v>0</v>
      </c>
    </row>
    <row r="2511" spans="1:1" x14ac:dyDescent="0.25">
      <c r="A2511" s="56">
        <v>12971794.4</v>
      </c>
    </row>
    <row r="2512" spans="1:1" x14ac:dyDescent="0.25">
      <c r="A2512" s="56">
        <v>7471378.9999999898</v>
      </c>
    </row>
    <row r="2513" spans="1:1" x14ac:dyDescent="0.25">
      <c r="A2513" s="56">
        <v>122746331.5</v>
      </c>
    </row>
    <row r="2514" spans="1:1" x14ac:dyDescent="0.25">
      <c r="A2514" s="56">
        <v>30471519.5</v>
      </c>
    </row>
    <row r="2515" spans="1:1" x14ac:dyDescent="0.25">
      <c r="A2515" s="56">
        <v>37539903.200000003</v>
      </c>
    </row>
    <row r="2516" spans="1:1" x14ac:dyDescent="0.25">
      <c r="A2516" s="56">
        <v>5882889.5999999996</v>
      </c>
    </row>
    <row r="2517" spans="1:1" x14ac:dyDescent="0.25">
      <c r="A2517" s="56">
        <v>460581929.5</v>
      </c>
    </row>
    <row r="2518" spans="1:1" x14ac:dyDescent="0.25">
      <c r="A2518" s="56">
        <v>21975589.199999999</v>
      </c>
    </row>
    <row r="2519" spans="1:1" x14ac:dyDescent="0.25">
      <c r="A2519" s="56">
        <v>39145559.399999999</v>
      </c>
    </row>
    <row r="2520" spans="1:1" x14ac:dyDescent="0.25">
      <c r="A2520" s="56">
        <v>7293152.7999999998</v>
      </c>
    </row>
    <row r="2521" spans="1:1" x14ac:dyDescent="0.25">
      <c r="A2521" s="56">
        <v>271562583.69999999</v>
      </c>
    </row>
    <row r="2522" spans="1:1" x14ac:dyDescent="0.25">
      <c r="A2522" s="56">
        <v>124402389.5</v>
      </c>
    </row>
    <row r="2523" spans="1:1" x14ac:dyDescent="0.25">
      <c r="A2523" s="56">
        <v>3115431.6</v>
      </c>
    </row>
    <row r="2524" spans="1:1" x14ac:dyDescent="0.25">
      <c r="A2524" s="56">
        <v>6676230.8999999901</v>
      </c>
    </row>
    <row r="2525" spans="1:1" x14ac:dyDescent="0.25">
      <c r="A2525" s="56">
        <v>152125969.40000001</v>
      </c>
    </row>
    <row r="2526" spans="1:1" x14ac:dyDescent="0.25">
      <c r="A2526" s="56">
        <v>6900406.5999999996</v>
      </c>
    </row>
    <row r="2527" spans="1:1" x14ac:dyDescent="0.25">
      <c r="A2527" s="56">
        <v>108367313.5</v>
      </c>
    </row>
    <row r="2528" spans="1:1" x14ac:dyDescent="0.25">
      <c r="A2528" s="56">
        <v>0</v>
      </c>
    </row>
    <row r="2529" spans="1:1" x14ac:dyDescent="0.25">
      <c r="A2529" s="56">
        <v>0</v>
      </c>
    </row>
    <row r="2530" spans="1:1" x14ac:dyDescent="0.25">
      <c r="A2530" s="56">
        <v>0</v>
      </c>
    </row>
    <row r="2531" spans="1:1" x14ac:dyDescent="0.25">
      <c r="A2531" s="56">
        <v>13972518.699999999</v>
      </c>
    </row>
    <row r="2532" spans="1:1" x14ac:dyDescent="0.25">
      <c r="A2532" s="56">
        <v>3434481</v>
      </c>
    </row>
    <row r="2533" spans="1:1" x14ac:dyDescent="0.25">
      <c r="A2533" s="56">
        <v>106405465.5</v>
      </c>
    </row>
    <row r="2534" spans="1:1" x14ac:dyDescent="0.25">
      <c r="A2534" s="56">
        <v>2407338.6</v>
      </c>
    </row>
    <row r="2535" spans="1:1" x14ac:dyDescent="0.25">
      <c r="A2535" s="56">
        <v>135131748.40000001</v>
      </c>
    </row>
    <row r="2536" spans="1:1" x14ac:dyDescent="0.25">
      <c r="A2536" s="56">
        <v>115010870.40000001</v>
      </c>
    </row>
    <row r="2537" spans="1:1" x14ac:dyDescent="0.25">
      <c r="A2537" s="56">
        <v>0</v>
      </c>
    </row>
    <row r="2538" spans="1:1" x14ac:dyDescent="0.25">
      <c r="A2538" s="56">
        <v>32125453.699999999</v>
      </c>
    </row>
    <row r="2539" spans="1:1" x14ac:dyDescent="0.25">
      <c r="A2539" s="56">
        <v>9036805.8000000007</v>
      </c>
    </row>
    <row r="2540" spans="1:1" x14ac:dyDescent="0.25">
      <c r="A2540" s="56">
        <v>29101534.399999999</v>
      </c>
    </row>
    <row r="2541" spans="1:1" x14ac:dyDescent="0.25">
      <c r="A2541" s="56">
        <v>217359542.69999999</v>
      </c>
    </row>
    <row r="2542" spans="1:1" x14ac:dyDescent="0.25">
      <c r="A2542" s="56">
        <v>200899033.59999999</v>
      </c>
    </row>
    <row r="2543" spans="1:1" x14ac:dyDescent="0.25">
      <c r="A2543" s="56">
        <v>6072799.5999999996</v>
      </c>
    </row>
    <row r="2544" spans="1:1" x14ac:dyDescent="0.25">
      <c r="A2544" s="56">
        <v>245439322.09999999</v>
      </c>
    </row>
    <row r="2545" spans="1:1" x14ac:dyDescent="0.25">
      <c r="A2545" s="56">
        <v>5683755.6999999899</v>
      </c>
    </row>
    <row r="2546" spans="1:1" x14ac:dyDescent="0.25">
      <c r="A2546" s="56">
        <v>25393383.300000001</v>
      </c>
    </row>
    <row r="2547" spans="1:1" x14ac:dyDescent="0.25">
      <c r="A2547" s="56">
        <v>18388823.800000001</v>
      </c>
    </row>
    <row r="2548" spans="1:1" x14ac:dyDescent="0.25">
      <c r="A2548" s="56">
        <v>203191792.30000001</v>
      </c>
    </row>
    <row r="2549" spans="1:1" x14ac:dyDescent="0.25">
      <c r="A2549" s="56">
        <v>6905289.2999999998</v>
      </c>
    </row>
    <row r="2550" spans="1:1" x14ac:dyDescent="0.25">
      <c r="A2550" s="56">
        <v>1629017.2</v>
      </c>
    </row>
    <row r="2551" spans="1:1" x14ac:dyDescent="0.25">
      <c r="A2551" s="56">
        <v>218162573.59999999</v>
      </c>
    </row>
    <row r="2552" spans="1:1" x14ac:dyDescent="0.25">
      <c r="A2552" s="56">
        <v>11235301.4</v>
      </c>
    </row>
    <row r="2553" spans="1:1" x14ac:dyDescent="0.25">
      <c r="A2553" s="56">
        <v>16270686.5</v>
      </c>
    </row>
    <row r="2554" spans="1:1" x14ac:dyDescent="0.25">
      <c r="A2554" s="56">
        <v>0</v>
      </c>
    </row>
    <row r="2555" spans="1:1" x14ac:dyDescent="0.25">
      <c r="A2555" s="56">
        <v>19178762.5</v>
      </c>
    </row>
    <row r="2556" spans="1:1" x14ac:dyDescent="0.25">
      <c r="A2556" s="56">
        <v>55906728.5</v>
      </c>
    </row>
    <row r="2557" spans="1:1" x14ac:dyDescent="0.25">
      <c r="A2557" s="56">
        <v>548077402.69999897</v>
      </c>
    </row>
    <row r="2558" spans="1:1" x14ac:dyDescent="0.25">
      <c r="A2558" s="56">
        <v>19917371.699999999</v>
      </c>
    </row>
    <row r="2559" spans="1:1" x14ac:dyDescent="0.25">
      <c r="A2559" s="56">
        <v>24318438.600000001</v>
      </c>
    </row>
    <row r="2560" spans="1:1" x14ac:dyDescent="0.25">
      <c r="A2560" s="56">
        <v>8734767.9000000004</v>
      </c>
    </row>
    <row r="2561" spans="1:1" x14ac:dyDescent="0.25">
      <c r="A2561" s="56">
        <v>158430221.69999999</v>
      </c>
    </row>
    <row r="2562" spans="1:1" x14ac:dyDescent="0.25">
      <c r="A2562" s="56">
        <v>24429739.199999999</v>
      </c>
    </row>
    <row r="2563" spans="1:1" x14ac:dyDescent="0.25">
      <c r="A2563" s="56">
        <v>5606111.6999999899</v>
      </c>
    </row>
    <row r="2564" spans="1:1" x14ac:dyDescent="0.25">
      <c r="A2564" s="56">
        <v>39561361.799999997</v>
      </c>
    </row>
    <row r="2565" spans="1:1" x14ac:dyDescent="0.25">
      <c r="A2565" s="56">
        <v>10434682.9</v>
      </c>
    </row>
    <row r="2566" spans="1:1" x14ac:dyDescent="0.25">
      <c r="A2566" s="56">
        <v>0</v>
      </c>
    </row>
    <row r="2567" spans="1:1" x14ac:dyDescent="0.25">
      <c r="A2567" s="56">
        <v>860542.8</v>
      </c>
    </row>
    <row r="2568" spans="1:1" x14ac:dyDescent="0.25">
      <c r="A2568" s="56">
        <v>238842716.59999999</v>
      </c>
    </row>
    <row r="2569" spans="1:1" x14ac:dyDescent="0.25">
      <c r="A2569" s="56">
        <v>26247620.600000001</v>
      </c>
    </row>
    <row r="2570" spans="1:1" x14ac:dyDescent="0.25">
      <c r="A2570" s="56">
        <v>21525045.300000001</v>
      </c>
    </row>
    <row r="2571" spans="1:1" x14ac:dyDescent="0.25">
      <c r="A2571" s="56">
        <v>6627180.6999999899</v>
      </c>
    </row>
    <row r="2572" spans="1:1" x14ac:dyDescent="0.25">
      <c r="A2572" s="56">
        <v>9548584.5999999996</v>
      </c>
    </row>
    <row r="2573" spans="1:1" x14ac:dyDescent="0.25">
      <c r="A2573" s="56">
        <v>195718381.5</v>
      </c>
    </row>
    <row r="2574" spans="1:1" x14ac:dyDescent="0.25">
      <c r="A2574" s="56">
        <v>59796758.599999897</v>
      </c>
    </row>
    <row r="2575" spans="1:1" x14ac:dyDescent="0.25">
      <c r="A2575" s="56">
        <v>19336423</v>
      </c>
    </row>
    <row r="2576" spans="1:1" x14ac:dyDescent="0.25">
      <c r="A2576" s="56">
        <v>30095740.100000001</v>
      </c>
    </row>
    <row r="2577" spans="1:1" x14ac:dyDescent="0.25">
      <c r="A2577" s="56">
        <v>53681076.399999999</v>
      </c>
    </row>
    <row r="2578" spans="1:1" x14ac:dyDescent="0.25">
      <c r="A2578" s="56">
        <v>53954986.100000001</v>
      </c>
    </row>
    <row r="2579" spans="1:1" x14ac:dyDescent="0.25">
      <c r="A2579" s="56">
        <v>143106242.90000001</v>
      </c>
    </row>
    <row r="2580" spans="1:1" x14ac:dyDescent="0.25">
      <c r="A2580" s="56">
        <v>6439533</v>
      </c>
    </row>
    <row r="2581" spans="1:1" x14ac:dyDescent="0.25">
      <c r="A2581" s="56">
        <v>47534522.799999997</v>
      </c>
    </row>
    <row r="2582" spans="1:1" x14ac:dyDescent="0.25">
      <c r="A2582" s="56">
        <v>19714657.199999999</v>
      </c>
    </row>
    <row r="2583" spans="1:1" x14ac:dyDescent="0.25">
      <c r="A2583" s="56">
        <v>96163908.400000006</v>
      </c>
    </row>
    <row r="2584" spans="1:1" x14ac:dyDescent="0.25">
      <c r="A2584" s="56">
        <v>172078163</v>
      </c>
    </row>
    <row r="2585" spans="1:1" x14ac:dyDescent="0.25">
      <c r="A2585" s="56">
        <v>7340585.3999999901</v>
      </c>
    </row>
    <row r="2586" spans="1:1" x14ac:dyDescent="0.25">
      <c r="A2586" s="56">
        <v>0</v>
      </c>
    </row>
    <row r="2587" spans="1:1" x14ac:dyDescent="0.25">
      <c r="A2587" s="56">
        <v>9975097.5999999996</v>
      </c>
    </row>
    <row r="2588" spans="1:1" x14ac:dyDescent="0.25">
      <c r="A2588" s="56">
        <v>19484127</v>
      </c>
    </row>
    <row r="2589" spans="1:1" x14ac:dyDescent="0.25">
      <c r="A2589" s="56">
        <v>17924153.800000001</v>
      </c>
    </row>
    <row r="2590" spans="1:1" x14ac:dyDescent="0.25">
      <c r="A2590" s="56">
        <v>52565592.700000003</v>
      </c>
    </row>
    <row r="2591" spans="1:1" x14ac:dyDescent="0.25">
      <c r="A2591" s="56">
        <v>34057588.899999999</v>
      </c>
    </row>
    <row r="2592" spans="1:1" x14ac:dyDescent="0.25">
      <c r="A2592" s="56">
        <v>0</v>
      </c>
    </row>
    <row r="2593" spans="1:1" x14ac:dyDescent="0.25">
      <c r="A2593" s="56">
        <v>191361771.09999999</v>
      </c>
    </row>
    <row r="2594" spans="1:1" x14ac:dyDescent="0.25">
      <c r="A2594" s="56">
        <v>22047563.5</v>
      </c>
    </row>
    <row r="2595" spans="1:1" x14ac:dyDescent="0.25">
      <c r="A2595" s="56">
        <v>82415342.099999994</v>
      </c>
    </row>
    <row r="2596" spans="1:1" x14ac:dyDescent="0.25">
      <c r="A2596" s="56">
        <v>0</v>
      </c>
    </row>
    <row r="2597" spans="1:1" x14ac:dyDescent="0.25">
      <c r="A2597" s="56">
        <v>95589805</v>
      </c>
    </row>
    <row r="2598" spans="1:1" x14ac:dyDescent="0.25">
      <c r="A2598" s="56">
        <v>9350155.1999999899</v>
      </c>
    </row>
    <row r="2599" spans="1:1" x14ac:dyDescent="0.25">
      <c r="A2599" s="56">
        <v>0</v>
      </c>
    </row>
    <row r="2600" spans="1:1" x14ac:dyDescent="0.25">
      <c r="A2600" s="56">
        <v>12049293.1</v>
      </c>
    </row>
    <row r="2601" spans="1:1" x14ac:dyDescent="0.25">
      <c r="A2601" s="56">
        <v>21681495.600000001</v>
      </c>
    </row>
    <row r="2602" spans="1:1" x14ac:dyDescent="0.25">
      <c r="A2602" s="56">
        <v>58017622.700000003</v>
      </c>
    </row>
    <row r="2603" spans="1:1" x14ac:dyDescent="0.25">
      <c r="A2603" s="56">
        <v>27106422.199999899</v>
      </c>
    </row>
    <row r="2604" spans="1:1" x14ac:dyDescent="0.25">
      <c r="A2604" s="56">
        <v>0</v>
      </c>
    </row>
    <row r="2605" spans="1:1" x14ac:dyDescent="0.25">
      <c r="A2605" s="56">
        <v>95082718</v>
      </c>
    </row>
    <row r="2606" spans="1:1" x14ac:dyDescent="0.25">
      <c r="A2606" s="56">
        <v>45235722.5</v>
      </c>
    </row>
    <row r="2607" spans="1:1" x14ac:dyDescent="0.25">
      <c r="A2607" s="56">
        <v>4197731.3999999901</v>
      </c>
    </row>
    <row r="2608" spans="1:1" x14ac:dyDescent="0.25">
      <c r="A2608" s="56">
        <v>236827605.19999999</v>
      </c>
    </row>
    <row r="2609" spans="1:1" x14ac:dyDescent="0.25">
      <c r="A2609" s="56">
        <v>64891794.899999999</v>
      </c>
    </row>
    <row r="2610" spans="1:1" x14ac:dyDescent="0.25">
      <c r="A2610" s="56">
        <v>0</v>
      </c>
    </row>
    <row r="2611" spans="1:1" x14ac:dyDescent="0.25">
      <c r="A2611" s="56">
        <v>33995662</v>
      </c>
    </row>
    <row r="2612" spans="1:1" x14ac:dyDescent="0.25">
      <c r="A2612" s="56">
        <v>3956213.4</v>
      </c>
    </row>
    <row r="2613" spans="1:1" x14ac:dyDescent="0.25">
      <c r="A2613" s="56">
        <v>9349731.6999999899</v>
      </c>
    </row>
    <row r="2614" spans="1:1" x14ac:dyDescent="0.25">
      <c r="A2614" s="56">
        <v>309068</v>
      </c>
    </row>
    <row r="2615" spans="1:1" x14ac:dyDescent="0.25">
      <c r="A2615" s="56">
        <v>67744163.199999899</v>
      </c>
    </row>
    <row r="2616" spans="1:1" x14ac:dyDescent="0.25">
      <c r="A2616" s="56">
        <v>24849974.5</v>
      </c>
    </row>
    <row r="2617" spans="1:1" x14ac:dyDescent="0.25">
      <c r="A2617" s="56">
        <v>94007250.199999899</v>
      </c>
    </row>
    <row r="2618" spans="1:1" x14ac:dyDescent="0.25">
      <c r="A2618" s="56">
        <v>8966507.2999999896</v>
      </c>
    </row>
    <row r="2619" spans="1:1" x14ac:dyDescent="0.25">
      <c r="A2619" s="56">
        <v>94833826.799999997</v>
      </c>
    </row>
    <row r="2620" spans="1:1" x14ac:dyDescent="0.25">
      <c r="A2620" s="56">
        <v>6631120.2999999896</v>
      </c>
    </row>
    <row r="2621" spans="1:1" x14ac:dyDescent="0.25">
      <c r="A2621" s="56">
        <v>252562102</v>
      </c>
    </row>
    <row r="2622" spans="1:1" x14ac:dyDescent="0.25">
      <c r="A2622" s="56">
        <v>0</v>
      </c>
    </row>
    <row r="2623" spans="1:1" x14ac:dyDescent="0.25">
      <c r="A2623" s="56">
        <v>2016957.6</v>
      </c>
    </row>
    <row r="2624" spans="1:1" x14ac:dyDescent="0.25">
      <c r="A2624" s="56">
        <v>4151345.6</v>
      </c>
    </row>
    <row r="2625" spans="1:1" x14ac:dyDescent="0.25">
      <c r="A2625" s="56">
        <v>56566684.899999999</v>
      </c>
    </row>
    <row r="2626" spans="1:1" x14ac:dyDescent="0.25">
      <c r="A2626" s="56">
        <v>364855429.69999999</v>
      </c>
    </row>
    <row r="2627" spans="1:1" x14ac:dyDescent="0.25">
      <c r="A2627" s="56">
        <v>152026404.19999999</v>
      </c>
    </row>
    <row r="2628" spans="1:1" x14ac:dyDescent="0.25">
      <c r="A2628" s="56">
        <v>44785600</v>
      </c>
    </row>
    <row r="2629" spans="1:1" x14ac:dyDescent="0.25">
      <c r="A2629" s="56">
        <v>5740461.0999999996</v>
      </c>
    </row>
    <row r="2630" spans="1:1" x14ac:dyDescent="0.25">
      <c r="A2630" s="56">
        <v>852052962</v>
      </c>
    </row>
    <row r="2631" spans="1:1" x14ac:dyDescent="0.25">
      <c r="A2631" s="56">
        <v>5274926.3</v>
      </c>
    </row>
    <row r="2632" spans="1:1" x14ac:dyDescent="0.25">
      <c r="A2632" s="56">
        <v>97030133.200000003</v>
      </c>
    </row>
    <row r="2633" spans="1:1" x14ac:dyDescent="0.25">
      <c r="A2633" s="56">
        <v>31999701.199999999</v>
      </c>
    </row>
    <row r="2634" spans="1:1" x14ac:dyDescent="0.25">
      <c r="A2634" s="56">
        <v>24131804.300000001</v>
      </c>
    </row>
    <row r="2635" spans="1:1" x14ac:dyDescent="0.25">
      <c r="A2635" s="56">
        <v>9280756.2999999896</v>
      </c>
    </row>
    <row r="2636" spans="1:1" x14ac:dyDescent="0.25">
      <c r="A2636" s="56">
        <v>2421234.7999999998</v>
      </c>
    </row>
    <row r="2637" spans="1:1" x14ac:dyDescent="0.25">
      <c r="A2637" s="56">
        <v>85409850.099999905</v>
      </c>
    </row>
    <row r="2638" spans="1:1" x14ac:dyDescent="0.25">
      <c r="A2638" s="56">
        <v>1657245.6</v>
      </c>
    </row>
    <row r="2639" spans="1:1" x14ac:dyDescent="0.25">
      <c r="A2639" s="56">
        <v>10049869.9</v>
      </c>
    </row>
    <row r="2640" spans="1:1" x14ac:dyDescent="0.25">
      <c r="A2640" s="56">
        <v>87143582.5</v>
      </c>
    </row>
    <row r="2641" spans="1:1" x14ac:dyDescent="0.25">
      <c r="A2641" s="56">
        <v>20105962.699999999</v>
      </c>
    </row>
    <row r="2642" spans="1:1" x14ac:dyDescent="0.25">
      <c r="A2642" s="56">
        <v>13578979.300000001</v>
      </c>
    </row>
    <row r="2643" spans="1:1" x14ac:dyDescent="0.25">
      <c r="A2643" s="56">
        <v>2477086.2000000002</v>
      </c>
    </row>
    <row r="2644" spans="1:1" x14ac:dyDescent="0.25">
      <c r="A2644" s="56">
        <v>30652587.5</v>
      </c>
    </row>
    <row r="2645" spans="1:1" x14ac:dyDescent="0.25">
      <c r="A2645" s="56">
        <v>4435463.2</v>
      </c>
    </row>
    <row r="2646" spans="1:1" x14ac:dyDescent="0.25">
      <c r="A2646" s="56">
        <v>2091318</v>
      </c>
    </row>
    <row r="2647" spans="1:1" x14ac:dyDescent="0.25">
      <c r="A2647" s="56">
        <v>42291688.299999997</v>
      </c>
    </row>
    <row r="2648" spans="1:1" x14ac:dyDescent="0.25">
      <c r="A2648" s="56">
        <v>6506290</v>
      </c>
    </row>
    <row r="2649" spans="1:1" x14ac:dyDescent="0.25">
      <c r="A2649" s="56">
        <v>23268629.899999999</v>
      </c>
    </row>
    <row r="2650" spans="1:1" x14ac:dyDescent="0.25">
      <c r="A2650" s="56">
        <v>16209653.199999999</v>
      </c>
    </row>
    <row r="2651" spans="1:1" x14ac:dyDescent="0.25">
      <c r="A2651" s="56">
        <v>8234040.1999999899</v>
      </c>
    </row>
    <row r="2652" spans="1:1" x14ac:dyDescent="0.25">
      <c r="A2652" s="56">
        <v>34647101.299999997</v>
      </c>
    </row>
    <row r="2653" spans="1:1" x14ac:dyDescent="0.25">
      <c r="A2653" s="56">
        <v>0</v>
      </c>
    </row>
    <row r="2654" spans="1:1" x14ac:dyDescent="0.25">
      <c r="A2654" s="56">
        <v>273252864.60000002</v>
      </c>
    </row>
    <row r="2655" spans="1:1" x14ac:dyDescent="0.25">
      <c r="A2655" s="56">
        <v>67177627.899999902</v>
      </c>
    </row>
    <row r="2656" spans="1:1" x14ac:dyDescent="0.25">
      <c r="A2656" s="56">
        <v>5634307.6999999899</v>
      </c>
    </row>
    <row r="2657" spans="1:1" x14ac:dyDescent="0.25">
      <c r="A2657" s="56">
        <v>6830174.7999999998</v>
      </c>
    </row>
    <row r="2658" spans="1:1" x14ac:dyDescent="0.25">
      <c r="A2658" s="56">
        <v>7781433.4999999898</v>
      </c>
    </row>
    <row r="2659" spans="1:1" x14ac:dyDescent="0.25">
      <c r="A2659" s="56">
        <v>75469122.599999905</v>
      </c>
    </row>
    <row r="2660" spans="1:1" x14ac:dyDescent="0.25">
      <c r="A2660" s="56">
        <v>19541852.699999999</v>
      </c>
    </row>
    <row r="2661" spans="1:1" x14ac:dyDescent="0.25">
      <c r="A2661" s="56">
        <v>72285389.700000003</v>
      </c>
    </row>
    <row r="2662" spans="1:1" x14ac:dyDescent="0.25">
      <c r="A2662" s="56">
        <v>5706324.8999999901</v>
      </c>
    </row>
    <row r="2663" spans="1:1" x14ac:dyDescent="0.25">
      <c r="A2663" s="56">
        <v>4021761.6</v>
      </c>
    </row>
    <row r="2664" spans="1:1" x14ac:dyDescent="0.25">
      <c r="A2664" s="56">
        <v>63934060.700000003</v>
      </c>
    </row>
    <row r="2665" spans="1:1" x14ac:dyDescent="0.25">
      <c r="A2665" s="56">
        <v>136737989.19999999</v>
      </c>
    </row>
    <row r="2666" spans="1:1" x14ac:dyDescent="0.25">
      <c r="A2666" s="56">
        <v>0</v>
      </c>
    </row>
    <row r="2667" spans="1:1" x14ac:dyDescent="0.25">
      <c r="A2667" s="56">
        <v>19849854.899999999</v>
      </c>
    </row>
    <row r="2668" spans="1:1" x14ac:dyDescent="0.25">
      <c r="A2668" s="56">
        <v>0</v>
      </c>
    </row>
    <row r="2669" spans="1:1" x14ac:dyDescent="0.25">
      <c r="A2669" s="56">
        <v>43902347.599999897</v>
      </c>
    </row>
    <row r="2670" spans="1:1" x14ac:dyDescent="0.25">
      <c r="A2670" s="56">
        <v>4358819.2</v>
      </c>
    </row>
    <row r="2671" spans="1:1" x14ac:dyDescent="0.25">
      <c r="A2671" s="56">
        <v>13899025.4</v>
      </c>
    </row>
    <row r="2672" spans="1:1" x14ac:dyDescent="0.25">
      <c r="A2672" s="56">
        <v>0</v>
      </c>
    </row>
    <row r="2673" spans="1:1" x14ac:dyDescent="0.25">
      <c r="A2673" s="56">
        <v>41959003.100000001</v>
      </c>
    </row>
    <row r="2674" spans="1:1" x14ac:dyDescent="0.25">
      <c r="A2674" s="56">
        <v>14771676.1</v>
      </c>
    </row>
    <row r="2675" spans="1:1" x14ac:dyDescent="0.25">
      <c r="A2675" s="56">
        <v>0</v>
      </c>
    </row>
    <row r="2676" spans="1:1" x14ac:dyDescent="0.25">
      <c r="A2676" s="56">
        <v>22063501.600000001</v>
      </c>
    </row>
    <row r="2677" spans="1:1" x14ac:dyDescent="0.25">
      <c r="A2677" s="56">
        <v>20540880.899999999</v>
      </c>
    </row>
    <row r="2678" spans="1:1" x14ac:dyDescent="0.25">
      <c r="A2678" s="56">
        <v>39753966.299999997</v>
      </c>
    </row>
    <row r="2679" spans="1:1" x14ac:dyDescent="0.25">
      <c r="A2679" s="56">
        <v>88537074.799999997</v>
      </c>
    </row>
    <row r="2680" spans="1:1" x14ac:dyDescent="0.25">
      <c r="A2680" s="56">
        <v>14745825.800000001</v>
      </c>
    </row>
    <row r="2681" spans="1:1" x14ac:dyDescent="0.25">
      <c r="A2681" s="56">
        <v>42687912.100000001</v>
      </c>
    </row>
    <row r="2682" spans="1:1" x14ac:dyDescent="0.25">
      <c r="A2682" s="56">
        <v>11911605.9</v>
      </c>
    </row>
    <row r="2683" spans="1:1" x14ac:dyDescent="0.25">
      <c r="A2683" s="56">
        <v>5617663.7999999998</v>
      </c>
    </row>
    <row r="2684" spans="1:1" x14ac:dyDescent="0.25">
      <c r="A2684" s="56">
        <v>14647849.199999999</v>
      </c>
    </row>
    <row r="2685" spans="1:1" x14ac:dyDescent="0.25">
      <c r="A2685" s="56">
        <v>2678472</v>
      </c>
    </row>
    <row r="2686" spans="1:1" x14ac:dyDescent="0.25">
      <c r="A2686" s="56">
        <v>3189736.2</v>
      </c>
    </row>
    <row r="2687" spans="1:1" x14ac:dyDescent="0.25">
      <c r="A2687" s="56">
        <v>0</v>
      </c>
    </row>
    <row r="2688" spans="1:1" x14ac:dyDescent="0.25">
      <c r="A2688" s="56">
        <v>57701449.299999997</v>
      </c>
    </row>
    <row r="2689" spans="1:1" x14ac:dyDescent="0.25">
      <c r="A2689" s="56">
        <v>172741591.09999999</v>
      </c>
    </row>
    <row r="2690" spans="1:1" x14ac:dyDescent="0.25">
      <c r="A2690" s="56">
        <v>0</v>
      </c>
    </row>
    <row r="2691" spans="1:1" x14ac:dyDescent="0.25">
      <c r="A2691" s="56">
        <v>18902403</v>
      </c>
    </row>
    <row r="2692" spans="1:1" x14ac:dyDescent="0.25">
      <c r="A2692" s="56">
        <v>32818157.199999999</v>
      </c>
    </row>
    <row r="2693" spans="1:1" x14ac:dyDescent="0.25">
      <c r="A2693" s="56">
        <v>11441842.300000001</v>
      </c>
    </row>
    <row r="2694" spans="1:1" x14ac:dyDescent="0.25">
      <c r="A2694" s="56">
        <v>7638929.5</v>
      </c>
    </row>
    <row r="2695" spans="1:1" x14ac:dyDescent="0.25">
      <c r="A2695" s="56">
        <v>33858624.899999999</v>
      </c>
    </row>
    <row r="2696" spans="1:1" x14ac:dyDescent="0.25">
      <c r="A2696" s="56">
        <v>25324302.899999999</v>
      </c>
    </row>
    <row r="2697" spans="1:1" x14ac:dyDescent="0.25">
      <c r="A2697" s="56">
        <v>2708098.2</v>
      </c>
    </row>
    <row r="2698" spans="1:1" x14ac:dyDescent="0.25">
      <c r="A2698" s="56">
        <v>53112250.5</v>
      </c>
    </row>
    <row r="2699" spans="1:1" x14ac:dyDescent="0.25">
      <c r="A2699" s="56">
        <v>15607836.1</v>
      </c>
    </row>
    <row r="2700" spans="1:1" x14ac:dyDescent="0.25">
      <c r="A2700" s="56">
        <v>15757643.9</v>
      </c>
    </row>
    <row r="2701" spans="1:1" x14ac:dyDescent="0.25">
      <c r="A2701" s="56">
        <v>173801089.90000001</v>
      </c>
    </row>
    <row r="2702" spans="1:1" x14ac:dyDescent="0.25">
      <c r="A2702" s="56">
        <v>115772259.5</v>
      </c>
    </row>
    <row r="2703" spans="1:1" x14ac:dyDescent="0.25">
      <c r="A2703" s="56">
        <v>9816646.6999999899</v>
      </c>
    </row>
    <row r="2704" spans="1:1" x14ac:dyDescent="0.25">
      <c r="A2704" s="56">
        <v>36053205</v>
      </c>
    </row>
    <row r="2705" spans="1:1" x14ac:dyDescent="0.25">
      <c r="A2705" s="56">
        <v>35609572.700000003</v>
      </c>
    </row>
    <row r="2706" spans="1:1" x14ac:dyDescent="0.25">
      <c r="A2706" s="56">
        <v>315910707.89999998</v>
      </c>
    </row>
    <row r="2707" spans="1:1" x14ac:dyDescent="0.25">
      <c r="A2707" s="56">
        <v>65438571.5</v>
      </c>
    </row>
    <row r="2708" spans="1:1" x14ac:dyDescent="0.25">
      <c r="A2708" s="56">
        <v>26200970</v>
      </c>
    </row>
    <row r="2709" spans="1:1" x14ac:dyDescent="0.25">
      <c r="A2709" s="56">
        <v>4918198.4000000004</v>
      </c>
    </row>
    <row r="2710" spans="1:1" x14ac:dyDescent="0.25">
      <c r="A2710" s="56">
        <v>0</v>
      </c>
    </row>
    <row r="2711" spans="1:1" x14ac:dyDescent="0.25">
      <c r="A2711" s="56">
        <v>7557296.5999999996</v>
      </c>
    </row>
    <row r="2712" spans="1:1" x14ac:dyDescent="0.25">
      <c r="A2712" s="56">
        <v>13180029.6</v>
      </c>
    </row>
    <row r="2713" spans="1:1" x14ac:dyDescent="0.25">
      <c r="A2713" s="56">
        <v>16553192.1</v>
      </c>
    </row>
    <row r="2714" spans="1:1" x14ac:dyDescent="0.25">
      <c r="A2714" s="56">
        <v>0</v>
      </c>
    </row>
    <row r="2715" spans="1:1" x14ac:dyDescent="0.25">
      <c r="A2715" s="56">
        <v>76467284.199999899</v>
      </c>
    </row>
    <row r="2716" spans="1:1" x14ac:dyDescent="0.25">
      <c r="A2716" s="56">
        <v>11333545.5</v>
      </c>
    </row>
    <row r="2717" spans="1:1" x14ac:dyDescent="0.25">
      <c r="A2717" s="56">
        <v>13220717.1</v>
      </c>
    </row>
    <row r="2718" spans="1:1" x14ac:dyDescent="0.25">
      <c r="A2718" s="56">
        <v>8971487.5999999996</v>
      </c>
    </row>
    <row r="2719" spans="1:1" x14ac:dyDescent="0.25">
      <c r="A2719" s="56">
        <v>13573583.4</v>
      </c>
    </row>
    <row r="2720" spans="1:1" x14ac:dyDescent="0.25">
      <c r="A2720" s="56">
        <v>23579173.100000001</v>
      </c>
    </row>
    <row r="2721" spans="1:1" x14ac:dyDescent="0.25">
      <c r="A2721" s="56">
        <v>3509304</v>
      </c>
    </row>
    <row r="2722" spans="1:1" x14ac:dyDescent="0.25">
      <c r="A2722" s="56">
        <v>25528485.5</v>
      </c>
    </row>
    <row r="2723" spans="1:1" x14ac:dyDescent="0.25">
      <c r="A2723" s="56">
        <v>339397928.30000001</v>
      </c>
    </row>
    <row r="2724" spans="1:1" x14ac:dyDescent="0.25">
      <c r="A2724" s="56">
        <v>7187690.3999999901</v>
      </c>
    </row>
    <row r="2725" spans="1:1" x14ac:dyDescent="0.25">
      <c r="A2725" s="56">
        <v>103015891</v>
      </c>
    </row>
    <row r="2726" spans="1:1" x14ac:dyDescent="0.25">
      <c r="A2726" s="56">
        <v>23709538.100000001</v>
      </c>
    </row>
    <row r="2727" spans="1:1" x14ac:dyDescent="0.25">
      <c r="A2727" s="56">
        <v>24880159</v>
      </c>
    </row>
    <row r="2728" spans="1:1" x14ac:dyDescent="0.25">
      <c r="A2728" s="56">
        <v>76339231.900000006</v>
      </c>
    </row>
    <row r="2729" spans="1:1" x14ac:dyDescent="0.25">
      <c r="A2729" s="56">
        <v>28985799.399999999</v>
      </c>
    </row>
    <row r="2730" spans="1:1" x14ac:dyDescent="0.25">
      <c r="A2730" s="56">
        <v>0</v>
      </c>
    </row>
    <row r="2731" spans="1:1" x14ac:dyDescent="0.25">
      <c r="A2731" s="56">
        <v>0</v>
      </c>
    </row>
    <row r="2732" spans="1:1" x14ac:dyDescent="0.25">
      <c r="A2732" s="56">
        <v>4645899.2</v>
      </c>
    </row>
    <row r="2733" spans="1:1" x14ac:dyDescent="0.25">
      <c r="A2733" s="56">
        <v>0</v>
      </c>
    </row>
    <row r="2734" spans="1:1" x14ac:dyDescent="0.25">
      <c r="A2734" s="56">
        <v>25741249.600000001</v>
      </c>
    </row>
    <row r="2735" spans="1:1" x14ac:dyDescent="0.25">
      <c r="A2735" s="56">
        <v>312347044.10000002</v>
      </c>
    </row>
    <row r="2736" spans="1:1" x14ac:dyDescent="0.25">
      <c r="A2736" s="56">
        <v>9156348.1999999899</v>
      </c>
    </row>
    <row r="2737" spans="1:1" x14ac:dyDescent="0.25">
      <c r="A2737" s="56">
        <v>91359419.899999902</v>
      </c>
    </row>
    <row r="2738" spans="1:1" x14ac:dyDescent="0.25">
      <c r="A2738" s="56">
        <v>49436065.399999999</v>
      </c>
    </row>
    <row r="2739" spans="1:1" x14ac:dyDescent="0.25">
      <c r="A2739" s="56">
        <v>73320402.099999994</v>
      </c>
    </row>
    <row r="2740" spans="1:1" x14ac:dyDescent="0.25">
      <c r="A2740" s="56">
        <v>171690928.30000001</v>
      </c>
    </row>
    <row r="2741" spans="1:1" x14ac:dyDescent="0.25">
      <c r="A2741" s="56">
        <v>276176094.80000001</v>
      </c>
    </row>
    <row r="2742" spans="1:1" x14ac:dyDescent="0.25">
      <c r="A2742" s="56">
        <v>24635465.399999999</v>
      </c>
    </row>
    <row r="2743" spans="1:1" x14ac:dyDescent="0.25">
      <c r="A2743" s="56">
        <v>73611551.799999997</v>
      </c>
    </row>
    <row r="2744" spans="1:1" x14ac:dyDescent="0.25">
      <c r="A2744" s="56">
        <v>5838319.1999999899</v>
      </c>
    </row>
    <row r="2745" spans="1:1" x14ac:dyDescent="0.25">
      <c r="A2745" s="56">
        <v>31238088.199999999</v>
      </c>
    </row>
    <row r="2746" spans="1:1" x14ac:dyDescent="0.25">
      <c r="A2746" s="56">
        <v>54788082.799999997</v>
      </c>
    </row>
    <row r="2747" spans="1:1" x14ac:dyDescent="0.25">
      <c r="A2747" s="56">
        <v>64955667.799999997</v>
      </c>
    </row>
    <row r="2748" spans="1:1" x14ac:dyDescent="0.25">
      <c r="A2748" s="56">
        <v>95585766.599999905</v>
      </c>
    </row>
    <row r="2749" spans="1:1" x14ac:dyDescent="0.25">
      <c r="A2749" s="56">
        <v>4423942.2</v>
      </c>
    </row>
    <row r="2750" spans="1:1" x14ac:dyDescent="0.25">
      <c r="A2750" s="56">
        <v>105638519.40000001</v>
      </c>
    </row>
    <row r="2751" spans="1:1" x14ac:dyDescent="0.25">
      <c r="A2751" s="56">
        <v>38880412.799999997</v>
      </c>
    </row>
    <row r="2752" spans="1:1" x14ac:dyDescent="0.25">
      <c r="A2752" s="56">
        <v>170142183</v>
      </c>
    </row>
    <row r="2753" spans="1:1" x14ac:dyDescent="0.25">
      <c r="A2753" s="56">
        <v>26243973.5</v>
      </c>
    </row>
    <row r="2754" spans="1:1" x14ac:dyDescent="0.25">
      <c r="A2754" s="56">
        <v>141588128.5</v>
      </c>
    </row>
    <row r="2755" spans="1:1" x14ac:dyDescent="0.25">
      <c r="A2755" s="56">
        <v>0</v>
      </c>
    </row>
    <row r="2756" spans="1:1" x14ac:dyDescent="0.25">
      <c r="A2756" s="56">
        <v>3735898.2</v>
      </c>
    </row>
    <row r="2757" spans="1:1" x14ac:dyDescent="0.25">
      <c r="A2757" s="56">
        <v>17521790.100000001</v>
      </c>
    </row>
    <row r="2758" spans="1:1" x14ac:dyDescent="0.25">
      <c r="A2758" s="56">
        <v>33386522.800000001</v>
      </c>
    </row>
    <row r="2759" spans="1:1" x14ac:dyDescent="0.25">
      <c r="A2759" s="56">
        <v>14883210.800000001</v>
      </c>
    </row>
    <row r="2760" spans="1:1" x14ac:dyDescent="0.25">
      <c r="A2760" s="56">
        <v>0</v>
      </c>
    </row>
    <row r="2761" spans="1:1" x14ac:dyDescent="0.25">
      <c r="A2761" s="56">
        <v>44243350.899999999</v>
      </c>
    </row>
    <row r="2762" spans="1:1" x14ac:dyDescent="0.25">
      <c r="A2762" s="56">
        <v>44537969.600000001</v>
      </c>
    </row>
    <row r="2763" spans="1:1" x14ac:dyDescent="0.25">
      <c r="A2763" s="56">
        <v>79131579.200000003</v>
      </c>
    </row>
    <row r="2764" spans="1:1" x14ac:dyDescent="0.25">
      <c r="A2764" s="56">
        <v>296804886.60000002</v>
      </c>
    </row>
    <row r="2765" spans="1:1" x14ac:dyDescent="0.25">
      <c r="A2765" s="56">
        <v>125569996.3</v>
      </c>
    </row>
    <row r="2766" spans="1:1" x14ac:dyDescent="0.25">
      <c r="A2766" s="56">
        <v>59698610.600000001</v>
      </c>
    </row>
    <row r="2767" spans="1:1" x14ac:dyDescent="0.25">
      <c r="A2767" s="56">
        <v>141682129.69999999</v>
      </c>
    </row>
    <row r="2768" spans="1:1" x14ac:dyDescent="0.25">
      <c r="A2768" s="56">
        <v>204229794.59999999</v>
      </c>
    </row>
    <row r="2769" spans="1:1" x14ac:dyDescent="0.25">
      <c r="A2769" s="56">
        <v>2981335.4</v>
      </c>
    </row>
    <row r="2770" spans="1:1" x14ac:dyDescent="0.25">
      <c r="A2770" s="56">
        <v>12767934.9</v>
      </c>
    </row>
    <row r="2771" spans="1:1" x14ac:dyDescent="0.25">
      <c r="A2771" s="56">
        <v>3189736.2</v>
      </c>
    </row>
    <row r="2772" spans="1:1" x14ac:dyDescent="0.25">
      <c r="A2772" s="56">
        <v>0</v>
      </c>
    </row>
    <row r="2773" spans="1:1" x14ac:dyDescent="0.25">
      <c r="A2773" s="56">
        <v>17907167.699999999</v>
      </c>
    </row>
    <row r="2774" spans="1:1" x14ac:dyDescent="0.25">
      <c r="A2774" s="56">
        <v>22193573.699999999</v>
      </c>
    </row>
    <row r="2775" spans="1:1" x14ac:dyDescent="0.25">
      <c r="A2775" s="56">
        <v>15270503.199999999</v>
      </c>
    </row>
    <row r="2776" spans="1:1" x14ac:dyDescent="0.25">
      <c r="A2776" s="56">
        <v>0</v>
      </c>
    </row>
    <row r="2777" spans="1:1" x14ac:dyDescent="0.25">
      <c r="A2777" s="56">
        <v>93651101.599999994</v>
      </c>
    </row>
    <row r="2778" spans="1:1" x14ac:dyDescent="0.25">
      <c r="A2778" s="56">
        <v>28032712.100000001</v>
      </c>
    </row>
    <row r="2779" spans="1:1" x14ac:dyDescent="0.25">
      <c r="A2779" s="56">
        <v>12033851.9</v>
      </c>
    </row>
    <row r="2780" spans="1:1" x14ac:dyDescent="0.25">
      <c r="A2780" s="56">
        <v>98821707.899999902</v>
      </c>
    </row>
    <row r="2781" spans="1:1" x14ac:dyDescent="0.25">
      <c r="A2781" s="56">
        <v>70309957.099999905</v>
      </c>
    </row>
    <row r="2782" spans="1:1" x14ac:dyDescent="0.25">
      <c r="A2782" s="56">
        <v>6347785.5</v>
      </c>
    </row>
    <row r="2783" spans="1:1" x14ac:dyDescent="0.25">
      <c r="A2783" s="56">
        <v>0</v>
      </c>
    </row>
    <row r="2784" spans="1:1" x14ac:dyDescent="0.25">
      <c r="A2784" s="56">
        <v>125398888.59999999</v>
      </c>
    </row>
    <row r="2785" spans="1:1" x14ac:dyDescent="0.25">
      <c r="A2785" s="56">
        <v>59136262.299999997</v>
      </c>
    </row>
    <row r="2786" spans="1:1" x14ac:dyDescent="0.25">
      <c r="A2786" s="56">
        <v>630590.4</v>
      </c>
    </row>
    <row r="2787" spans="1:1" x14ac:dyDescent="0.25">
      <c r="A2787" s="56">
        <v>136085877.40000001</v>
      </c>
    </row>
    <row r="2788" spans="1:1" x14ac:dyDescent="0.25">
      <c r="A2788" s="56">
        <v>0</v>
      </c>
    </row>
    <row r="2789" spans="1:1" x14ac:dyDescent="0.25">
      <c r="A2789" s="56">
        <v>6989368.0999999996</v>
      </c>
    </row>
    <row r="2790" spans="1:1" x14ac:dyDescent="0.25">
      <c r="A2790" s="56">
        <v>4955700</v>
      </c>
    </row>
    <row r="2791" spans="1:1" x14ac:dyDescent="0.25">
      <c r="A2791" s="56">
        <v>1059340</v>
      </c>
    </row>
    <row r="2792" spans="1:1" x14ac:dyDescent="0.25">
      <c r="A2792" s="56">
        <v>923586</v>
      </c>
    </row>
    <row r="2793" spans="1:1" x14ac:dyDescent="0.25">
      <c r="A2793" s="56">
        <v>151544958.19999999</v>
      </c>
    </row>
    <row r="2794" spans="1:1" x14ac:dyDescent="0.25">
      <c r="A2794" s="56">
        <v>860590.8</v>
      </c>
    </row>
    <row r="2795" spans="1:1" x14ac:dyDescent="0.25">
      <c r="A2795" s="56">
        <v>104653718.7</v>
      </c>
    </row>
    <row r="2796" spans="1:1" x14ac:dyDescent="0.25">
      <c r="A2796" s="56">
        <v>13889960.199999999</v>
      </c>
    </row>
    <row r="2797" spans="1:1" x14ac:dyDescent="0.25">
      <c r="A2797" s="56">
        <v>545856969</v>
      </c>
    </row>
    <row r="2798" spans="1:1" x14ac:dyDescent="0.25">
      <c r="A2798" s="56">
        <v>5578673.0999999996</v>
      </c>
    </row>
    <row r="2799" spans="1:1" x14ac:dyDescent="0.25">
      <c r="A2799" s="56">
        <v>4148686.8</v>
      </c>
    </row>
    <row r="2800" spans="1:1" x14ac:dyDescent="0.25">
      <c r="A2800" s="56">
        <v>0</v>
      </c>
    </row>
    <row r="2801" spans="1:1" x14ac:dyDescent="0.25">
      <c r="A2801" s="56">
        <v>80380248.5</v>
      </c>
    </row>
    <row r="2802" spans="1:1" x14ac:dyDescent="0.25">
      <c r="A2802" s="56">
        <v>115509122.5</v>
      </c>
    </row>
    <row r="2803" spans="1:1" x14ac:dyDescent="0.25">
      <c r="A2803" s="56">
        <v>24631711.199999999</v>
      </c>
    </row>
    <row r="2804" spans="1:1" x14ac:dyDescent="0.25">
      <c r="A2804" s="56">
        <v>29802684.100000001</v>
      </c>
    </row>
    <row r="2805" spans="1:1" x14ac:dyDescent="0.25">
      <c r="A2805" s="56">
        <v>0</v>
      </c>
    </row>
    <row r="2806" spans="1:1" x14ac:dyDescent="0.25">
      <c r="A2806" s="56">
        <v>10043989.1</v>
      </c>
    </row>
    <row r="2807" spans="1:1" x14ac:dyDescent="0.25">
      <c r="A2807" s="56">
        <v>221498468.5</v>
      </c>
    </row>
    <row r="2808" spans="1:1" x14ac:dyDescent="0.25">
      <c r="A2808" s="56">
        <v>17352360.899999999</v>
      </c>
    </row>
    <row r="2809" spans="1:1" x14ac:dyDescent="0.25">
      <c r="A2809" s="56">
        <v>6174978.5999999996</v>
      </c>
    </row>
    <row r="2810" spans="1:1" x14ac:dyDescent="0.25">
      <c r="A2810" s="56">
        <v>26754204.100000001</v>
      </c>
    </row>
    <row r="2811" spans="1:1" x14ac:dyDescent="0.25">
      <c r="A2811" s="56">
        <v>0</v>
      </c>
    </row>
    <row r="2812" spans="1:1" x14ac:dyDescent="0.25">
      <c r="A2812" s="56">
        <v>0</v>
      </c>
    </row>
    <row r="2813" spans="1:1" x14ac:dyDescent="0.25">
      <c r="A2813" s="56">
        <v>69007567</v>
      </c>
    </row>
    <row r="2814" spans="1:1" x14ac:dyDescent="0.25">
      <c r="A2814" s="56">
        <v>52753755.399999999</v>
      </c>
    </row>
    <row r="2815" spans="1:1" x14ac:dyDescent="0.25">
      <c r="A2815" s="56">
        <v>106854416.3</v>
      </c>
    </row>
    <row r="2816" spans="1:1" x14ac:dyDescent="0.25">
      <c r="A2816" s="56">
        <v>53065147.099999897</v>
      </c>
    </row>
    <row r="2817" spans="1:1" x14ac:dyDescent="0.25">
      <c r="A2817" s="56">
        <v>5534102.6999999899</v>
      </c>
    </row>
    <row r="2818" spans="1:1" x14ac:dyDescent="0.25">
      <c r="A2818" s="56">
        <v>221264142</v>
      </c>
    </row>
    <row r="2819" spans="1:1" x14ac:dyDescent="0.25">
      <c r="A2819" s="56">
        <v>6329917.2999999998</v>
      </c>
    </row>
    <row r="2820" spans="1:1" x14ac:dyDescent="0.25">
      <c r="A2820" s="56">
        <v>190646196.09999999</v>
      </c>
    </row>
    <row r="2821" spans="1:1" x14ac:dyDescent="0.25">
      <c r="A2821" s="56">
        <v>78317881.099999905</v>
      </c>
    </row>
    <row r="2822" spans="1:1" x14ac:dyDescent="0.25">
      <c r="A2822" s="56">
        <v>168151555.59999999</v>
      </c>
    </row>
    <row r="2823" spans="1:1" x14ac:dyDescent="0.25">
      <c r="A2823" s="56">
        <v>16257656.4</v>
      </c>
    </row>
    <row r="2824" spans="1:1" x14ac:dyDescent="0.25">
      <c r="A2824" s="56">
        <v>45866300.899999902</v>
      </c>
    </row>
    <row r="2825" spans="1:1" x14ac:dyDescent="0.25">
      <c r="A2825" s="56">
        <v>4958333.3999999901</v>
      </c>
    </row>
    <row r="2826" spans="1:1" x14ac:dyDescent="0.25">
      <c r="A2826" s="56">
        <v>137533848.69999999</v>
      </c>
    </row>
    <row r="2827" spans="1:1" x14ac:dyDescent="0.25">
      <c r="A2827" s="56">
        <v>7268024.7999999896</v>
      </c>
    </row>
    <row r="2828" spans="1:1" x14ac:dyDescent="0.25">
      <c r="A2828" s="56">
        <v>251612477.69999999</v>
      </c>
    </row>
    <row r="2829" spans="1:1" x14ac:dyDescent="0.25">
      <c r="A2829" s="56">
        <v>1689930.4</v>
      </c>
    </row>
    <row r="2830" spans="1:1" x14ac:dyDescent="0.25">
      <c r="A2830" s="56">
        <v>37097480.600000001</v>
      </c>
    </row>
    <row r="2831" spans="1:1" x14ac:dyDescent="0.25">
      <c r="A2831" s="56">
        <v>77373510.299999893</v>
      </c>
    </row>
    <row r="2832" spans="1:1" x14ac:dyDescent="0.25">
      <c r="A2832" s="56">
        <v>10564108.199999999</v>
      </c>
    </row>
    <row r="2833" spans="1:1" x14ac:dyDescent="0.25">
      <c r="A2833" s="56">
        <v>350611803.80000001</v>
      </c>
    </row>
    <row r="2834" spans="1:1" x14ac:dyDescent="0.25">
      <c r="A2834" s="56">
        <v>0</v>
      </c>
    </row>
    <row r="2835" spans="1:1" x14ac:dyDescent="0.25">
      <c r="A2835" s="56">
        <v>6549304.2999999896</v>
      </c>
    </row>
    <row r="2836" spans="1:1" x14ac:dyDescent="0.25">
      <c r="A2836" s="56">
        <v>15598695.6</v>
      </c>
    </row>
    <row r="2837" spans="1:1" x14ac:dyDescent="0.25">
      <c r="A2837" s="56">
        <v>55760399</v>
      </c>
    </row>
    <row r="2838" spans="1:1" x14ac:dyDescent="0.25">
      <c r="A2838" s="56">
        <v>14129003.300000001</v>
      </c>
    </row>
    <row r="2839" spans="1:1" x14ac:dyDescent="0.25">
      <c r="A2839" s="56">
        <v>41380118.100000001</v>
      </c>
    </row>
    <row r="2840" spans="1:1" x14ac:dyDescent="0.25">
      <c r="A2840" s="56">
        <v>3514045</v>
      </c>
    </row>
    <row r="2841" spans="1:1" x14ac:dyDescent="0.25">
      <c r="A2841" s="56">
        <v>56059967.700000003</v>
      </c>
    </row>
    <row r="2842" spans="1:1" x14ac:dyDescent="0.25">
      <c r="A2842" s="56">
        <v>54993816.700000003</v>
      </c>
    </row>
    <row r="2843" spans="1:1" x14ac:dyDescent="0.25">
      <c r="A2843" s="56">
        <v>5961930.5999999996</v>
      </c>
    </row>
    <row r="2844" spans="1:1" x14ac:dyDescent="0.25">
      <c r="A2844" s="56">
        <v>278332208</v>
      </c>
    </row>
    <row r="2845" spans="1:1" x14ac:dyDescent="0.25">
      <c r="A2845" s="56">
        <v>6446298.7000000002</v>
      </c>
    </row>
    <row r="2846" spans="1:1" x14ac:dyDescent="0.25">
      <c r="A2846" s="56">
        <v>198449301.19999999</v>
      </c>
    </row>
    <row r="2847" spans="1:1" x14ac:dyDescent="0.25">
      <c r="A2847" s="56">
        <v>16114742.5</v>
      </c>
    </row>
    <row r="2848" spans="1:1" x14ac:dyDescent="0.25">
      <c r="A2848" s="56">
        <v>0</v>
      </c>
    </row>
    <row r="2849" spans="1:1" x14ac:dyDescent="0.25">
      <c r="A2849" s="56">
        <v>6353814.5999999996</v>
      </c>
    </row>
    <row r="2850" spans="1:1" x14ac:dyDescent="0.25">
      <c r="A2850" s="56">
        <v>419685072.5</v>
      </c>
    </row>
    <row r="2851" spans="1:1" x14ac:dyDescent="0.25">
      <c r="A2851" s="56">
        <v>149699920.5</v>
      </c>
    </row>
    <row r="2852" spans="1:1" x14ac:dyDescent="0.25">
      <c r="A2852" s="56">
        <v>14417582.4</v>
      </c>
    </row>
    <row r="2853" spans="1:1" x14ac:dyDescent="0.25">
      <c r="A2853" s="56">
        <v>104457197.59999999</v>
      </c>
    </row>
    <row r="2854" spans="1:1" x14ac:dyDescent="0.25">
      <c r="A2854" s="56">
        <v>5606111.6999999899</v>
      </c>
    </row>
    <row r="2855" spans="1:1" x14ac:dyDescent="0.25">
      <c r="A2855" s="56">
        <v>0</v>
      </c>
    </row>
    <row r="2856" spans="1:1" x14ac:dyDescent="0.25">
      <c r="A2856" s="56">
        <v>33869615.5</v>
      </c>
    </row>
    <row r="2857" spans="1:1" x14ac:dyDescent="0.25">
      <c r="A2857" s="56">
        <v>10779477.199999999</v>
      </c>
    </row>
    <row r="2858" spans="1:1" x14ac:dyDescent="0.25">
      <c r="A2858" s="56">
        <v>139797813</v>
      </c>
    </row>
    <row r="2859" spans="1:1" x14ac:dyDescent="0.25">
      <c r="A2859" s="56">
        <v>69075245.700000003</v>
      </c>
    </row>
    <row r="2860" spans="1:1" x14ac:dyDescent="0.25">
      <c r="A2860" s="56">
        <v>0</v>
      </c>
    </row>
    <row r="2861" spans="1:1" x14ac:dyDescent="0.25">
      <c r="A2861" s="56">
        <v>17402820.5</v>
      </c>
    </row>
    <row r="2862" spans="1:1" x14ac:dyDescent="0.25">
      <c r="A2862" s="56">
        <v>5064688.7</v>
      </c>
    </row>
    <row r="2863" spans="1:1" x14ac:dyDescent="0.25">
      <c r="A2863" s="56">
        <v>202916023.59999999</v>
      </c>
    </row>
    <row r="2864" spans="1:1" x14ac:dyDescent="0.25">
      <c r="A2864" s="56">
        <v>276288023.19999999</v>
      </c>
    </row>
    <row r="2865" spans="1:1" x14ac:dyDescent="0.25">
      <c r="A2865" s="56">
        <v>13075058.1</v>
      </c>
    </row>
    <row r="2866" spans="1:1" x14ac:dyDescent="0.25">
      <c r="A2866" s="56">
        <v>424430826.60000002</v>
      </c>
    </row>
    <row r="2867" spans="1:1" x14ac:dyDescent="0.25">
      <c r="A2867" s="56">
        <v>17908465.600000001</v>
      </c>
    </row>
    <row r="2868" spans="1:1" x14ac:dyDescent="0.25">
      <c r="A2868" s="56">
        <v>9501069</v>
      </c>
    </row>
    <row r="2869" spans="1:1" x14ac:dyDescent="0.25">
      <c r="A2869" s="56">
        <v>11767526.699999999</v>
      </c>
    </row>
    <row r="2870" spans="1:1" x14ac:dyDescent="0.25">
      <c r="A2870" s="56">
        <v>31417315.800000001</v>
      </c>
    </row>
    <row r="2871" spans="1:1" x14ac:dyDescent="0.25">
      <c r="A2871" s="56">
        <v>91492871.400000006</v>
      </c>
    </row>
    <row r="2872" spans="1:1" x14ac:dyDescent="0.25">
      <c r="A2872" s="56">
        <v>40241151.799999997</v>
      </c>
    </row>
    <row r="2873" spans="1:1" x14ac:dyDescent="0.25">
      <c r="A2873" s="56">
        <v>1107876</v>
      </c>
    </row>
    <row r="2874" spans="1:1" x14ac:dyDescent="0.25">
      <c r="A2874" s="56">
        <v>23642863.800000001</v>
      </c>
    </row>
    <row r="2875" spans="1:1" x14ac:dyDescent="0.25">
      <c r="A2875" s="56">
        <v>209628744.40000001</v>
      </c>
    </row>
    <row r="2876" spans="1:1" x14ac:dyDescent="0.25">
      <c r="A2876" s="56">
        <v>35480118.099999897</v>
      </c>
    </row>
    <row r="2877" spans="1:1" x14ac:dyDescent="0.25">
      <c r="A2877" s="56">
        <v>6347785.5</v>
      </c>
    </row>
    <row r="2878" spans="1:1" x14ac:dyDescent="0.25">
      <c r="A2878" s="56">
        <v>139446379.80000001</v>
      </c>
    </row>
    <row r="2879" spans="1:1" x14ac:dyDescent="0.25">
      <c r="A2879" s="56">
        <v>0</v>
      </c>
    </row>
    <row r="2880" spans="1:1" x14ac:dyDescent="0.25">
      <c r="A2880" s="56">
        <v>491543088.60000002</v>
      </c>
    </row>
    <row r="2881" spans="1:1" x14ac:dyDescent="0.25">
      <c r="A2881" s="56">
        <v>74980534.799999997</v>
      </c>
    </row>
    <row r="2882" spans="1:1" x14ac:dyDescent="0.25">
      <c r="A2882" s="56">
        <v>0</v>
      </c>
    </row>
    <row r="2883" spans="1:1" x14ac:dyDescent="0.25">
      <c r="A2883" s="56">
        <v>0</v>
      </c>
    </row>
    <row r="2884" spans="1:1" x14ac:dyDescent="0.25">
      <c r="A2884" s="56">
        <v>105773520.5</v>
      </c>
    </row>
    <row r="2885" spans="1:1" x14ac:dyDescent="0.25">
      <c r="A2885" s="56">
        <v>14461470.5</v>
      </c>
    </row>
    <row r="2886" spans="1:1" x14ac:dyDescent="0.25">
      <c r="A2886" s="56">
        <v>57612859.399999999</v>
      </c>
    </row>
    <row r="2887" spans="1:1" x14ac:dyDescent="0.25">
      <c r="A2887" s="56">
        <v>13838313.699999999</v>
      </c>
    </row>
    <row r="2888" spans="1:1" x14ac:dyDescent="0.25">
      <c r="A2888" s="56">
        <v>65875922.200000003</v>
      </c>
    </row>
    <row r="2889" spans="1:1" x14ac:dyDescent="0.25">
      <c r="A2889" s="56">
        <v>3680550.8</v>
      </c>
    </row>
    <row r="2890" spans="1:1" x14ac:dyDescent="0.25">
      <c r="A2890" s="56">
        <v>24310614.800000001</v>
      </c>
    </row>
    <row r="2891" spans="1:1" x14ac:dyDescent="0.25">
      <c r="A2891" s="56">
        <v>0</v>
      </c>
    </row>
    <row r="2892" spans="1:1" x14ac:dyDescent="0.25">
      <c r="A2892" s="56">
        <v>23053541.899999999</v>
      </c>
    </row>
    <row r="2893" spans="1:1" x14ac:dyDescent="0.25">
      <c r="A2893" s="56">
        <v>0</v>
      </c>
    </row>
    <row r="2894" spans="1:1" x14ac:dyDescent="0.25">
      <c r="A2894" s="56">
        <v>16138928.4</v>
      </c>
    </row>
    <row r="2895" spans="1:1" x14ac:dyDescent="0.25">
      <c r="A2895" s="56">
        <v>366032507.60000002</v>
      </c>
    </row>
    <row r="2896" spans="1:1" x14ac:dyDescent="0.25">
      <c r="A2896" s="56">
        <v>2419782.6</v>
      </c>
    </row>
    <row r="2897" spans="1:1" x14ac:dyDescent="0.25">
      <c r="A2897" s="56">
        <v>311693725.49999899</v>
      </c>
    </row>
    <row r="2898" spans="1:1" x14ac:dyDescent="0.25">
      <c r="A2898" s="56">
        <v>102045151.59999999</v>
      </c>
    </row>
    <row r="2899" spans="1:1" x14ac:dyDescent="0.25">
      <c r="A2899" s="56">
        <v>4971657.5999999996</v>
      </c>
    </row>
    <row r="2900" spans="1:1" x14ac:dyDescent="0.25">
      <c r="A2900" s="56">
        <v>90908686.999999896</v>
      </c>
    </row>
    <row r="2901" spans="1:1" x14ac:dyDescent="0.25">
      <c r="A2901" s="56">
        <v>15766653.6</v>
      </c>
    </row>
    <row r="2902" spans="1:1" x14ac:dyDescent="0.25">
      <c r="A2902" s="56">
        <v>5093673.8999999901</v>
      </c>
    </row>
    <row r="2903" spans="1:1" x14ac:dyDescent="0.25">
      <c r="A2903" s="56">
        <v>14373221.800000001</v>
      </c>
    </row>
    <row r="2904" spans="1:1" x14ac:dyDescent="0.25">
      <c r="A2904" s="56">
        <v>339692349.30000001</v>
      </c>
    </row>
    <row r="2905" spans="1:1" x14ac:dyDescent="0.25">
      <c r="A2905" s="56">
        <v>0</v>
      </c>
    </row>
    <row r="2906" spans="1:1" x14ac:dyDescent="0.25">
      <c r="A2906" s="56">
        <v>108257948.40000001</v>
      </c>
    </row>
    <row r="2907" spans="1:1" x14ac:dyDescent="0.25">
      <c r="A2907" s="56">
        <v>21048641.899999999</v>
      </c>
    </row>
    <row r="2908" spans="1:1" x14ac:dyDescent="0.25">
      <c r="A2908" s="56">
        <v>0</v>
      </c>
    </row>
    <row r="2909" spans="1:1" x14ac:dyDescent="0.25">
      <c r="A2909" s="56">
        <v>11837710.5</v>
      </c>
    </row>
    <row r="2910" spans="1:1" x14ac:dyDescent="0.25">
      <c r="A2910" s="56">
        <v>23624976.399999999</v>
      </c>
    </row>
    <row r="2911" spans="1:1" x14ac:dyDescent="0.25">
      <c r="A2911" s="56">
        <v>18952536.399999999</v>
      </c>
    </row>
    <row r="2912" spans="1:1" x14ac:dyDescent="0.25">
      <c r="A2912" s="56">
        <v>27606343.399999999</v>
      </c>
    </row>
    <row r="2913" spans="1:1" x14ac:dyDescent="0.25">
      <c r="A2913" s="56">
        <v>91755187.299999997</v>
      </c>
    </row>
    <row r="2914" spans="1:1" x14ac:dyDescent="0.25">
      <c r="A2914" s="56">
        <v>22119469.5</v>
      </c>
    </row>
    <row r="2915" spans="1:1" x14ac:dyDescent="0.25">
      <c r="A2915" s="56">
        <v>67568518.299999997</v>
      </c>
    </row>
    <row r="2916" spans="1:1" x14ac:dyDescent="0.25">
      <c r="A2916" s="56">
        <v>7206742.5999999996</v>
      </c>
    </row>
    <row r="2917" spans="1:1" x14ac:dyDescent="0.25">
      <c r="A2917" s="56">
        <v>99457417.099999905</v>
      </c>
    </row>
    <row r="2918" spans="1:1" x14ac:dyDescent="0.25">
      <c r="A2918" s="56">
        <v>31838109.699999999</v>
      </c>
    </row>
    <row r="2919" spans="1:1" x14ac:dyDescent="0.25">
      <c r="A2919" s="56">
        <v>18705202.600000001</v>
      </c>
    </row>
    <row r="2920" spans="1:1" x14ac:dyDescent="0.25">
      <c r="A2920" s="56">
        <v>25710637.199999999</v>
      </c>
    </row>
    <row r="2921" spans="1:1" x14ac:dyDescent="0.25">
      <c r="A2921" s="56">
        <v>141626676.19999999</v>
      </c>
    </row>
    <row r="2922" spans="1:1" x14ac:dyDescent="0.25">
      <c r="A2922" s="56">
        <v>19993385.399999999</v>
      </c>
    </row>
    <row r="2923" spans="1:1" x14ac:dyDescent="0.25">
      <c r="A2923" s="56">
        <v>23762021.800000001</v>
      </c>
    </row>
    <row r="2924" spans="1:1" x14ac:dyDescent="0.25">
      <c r="A2924" s="56">
        <v>0</v>
      </c>
    </row>
    <row r="2925" spans="1:1" x14ac:dyDescent="0.25">
      <c r="A2925" s="56">
        <v>46205988.700000003</v>
      </c>
    </row>
    <row r="2926" spans="1:1" x14ac:dyDescent="0.25">
      <c r="A2926" s="56">
        <v>22450952.199999999</v>
      </c>
    </row>
    <row r="2927" spans="1:1" x14ac:dyDescent="0.25">
      <c r="A2927" s="56">
        <v>49891061.799999997</v>
      </c>
    </row>
    <row r="2928" spans="1:1" x14ac:dyDescent="0.25">
      <c r="A2928" s="56">
        <v>0</v>
      </c>
    </row>
    <row r="2929" spans="1:1" x14ac:dyDescent="0.25">
      <c r="A2929" s="56">
        <v>37752919.600000001</v>
      </c>
    </row>
    <row r="2930" spans="1:1" x14ac:dyDescent="0.25">
      <c r="A2930" s="56">
        <v>70770328</v>
      </c>
    </row>
    <row r="2931" spans="1:1" x14ac:dyDescent="0.25">
      <c r="A2931" s="56">
        <v>39620582.5</v>
      </c>
    </row>
    <row r="2932" spans="1:1" x14ac:dyDescent="0.25">
      <c r="A2932" s="56">
        <v>9873580.4000000004</v>
      </c>
    </row>
    <row r="2933" spans="1:1" x14ac:dyDescent="0.25">
      <c r="A2933" s="56">
        <v>28822704</v>
      </c>
    </row>
    <row r="2934" spans="1:1" x14ac:dyDescent="0.25">
      <c r="A2934" s="56">
        <v>4990383.2</v>
      </c>
    </row>
    <row r="2935" spans="1:1" x14ac:dyDescent="0.25">
      <c r="A2935" s="56">
        <v>0</v>
      </c>
    </row>
    <row r="2936" spans="1:1" x14ac:dyDescent="0.25">
      <c r="A2936" s="56">
        <v>117425040.90000001</v>
      </c>
    </row>
    <row r="2937" spans="1:1" x14ac:dyDescent="0.25">
      <c r="A2937" s="56">
        <v>6174978.5999999996</v>
      </c>
    </row>
    <row r="2938" spans="1:1" x14ac:dyDescent="0.25">
      <c r="A2938" s="56">
        <v>6347785.5</v>
      </c>
    </row>
    <row r="2939" spans="1:1" x14ac:dyDescent="0.25">
      <c r="A2939" s="56">
        <v>17315959.699999999</v>
      </c>
    </row>
    <row r="2940" spans="1:1" x14ac:dyDescent="0.25">
      <c r="A2940" s="56">
        <v>45298977.700000003</v>
      </c>
    </row>
    <row r="2941" spans="1:1" x14ac:dyDescent="0.25">
      <c r="A2941" s="56">
        <v>4400978.5999999996</v>
      </c>
    </row>
    <row r="2942" spans="1:1" x14ac:dyDescent="0.25">
      <c r="A2942" s="56">
        <v>17306005.699999999</v>
      </c>
    </row>
    <row r="2943" spans="1:1" x14ac:dyDescent="0.25">
      <c r="A2943" s="56">
        <v>93809760</v>
      </c>
    </row>
    <row r="2944" spans="1:1" x14ac:dyDescent="0.25">
      <c r="A2944" s="56">
        <v>12653146.300000001</v>
      </c>
    </row>
    <row r="2945" spans="1:1" x14ac:dyDescent="0.25">
      <c r="A2945" s="56">
        <v>4335949.4000000004</v>
      </c>
    </row>
    <row r="2946" spans="1:1" x14ac:dyDescent="0.25">
      <c r="A2946" s="56">
        <v>11330324</v>
      </c>
    </row>
    <row r="2947" spans="1:1" x14ac:dyDescent="0.25">
      <c r="A2947" s="56">
        <v>19217376.399999999</v>
      </c>
    </row>
    <row r="2948" spans="1:1" x14ac:dyDescent="0.25">
      <c r="A2948" s="56">
        <v>826311.6</v>
      </c>
    </row>
    <row r="2949" spans="1:1" x14ac:dyDescent="0.25">
      <c r="A2949" s="56">
        <v>15233177.1</v>
      </c>
    </row>
    <row r="2950" spans="1:1" x14ac:dyDescent="0.25">
      <c r="A2950" s="56">
        <v>3301137</v>
      </c>
    </row>
    <row r="2951" spans="1:1" x14ac:dyDescent="0.25">
      <c r="A2951" s="56">
        <v>46045841.599999897</v>
      </c>
    </row>
    <row r="2952" spans="1:1" x14ac:dyDescent="0.25">
      <c r="A2952" s="56">
        <v>1032426.8</v>
      </c>
    </row>
    <row r="2953" spans="1:1" x14ac:dyDescent="0.25">
      <c r="A2953" s="56">
        <v>136606263.19999999</v>
      </c>
    </row>
    <row r="2954" spans="1:1" x14ac:dyDescent="0.25">
      <c r="A2954" s="56">
        <v>4935549.5999999996</v>
      </c>
    </row>
    <row r="2955" spans="1:1" x14ac:dyDescent="0.25">
      <c r="A2955" s="56">
        <v>125776677.5</v>
      </c>
    </row>
    <row r="2956" spans="1:1" x14ac:dyDescent="0.25">
      <c r="A2956" s="56">
        <v>37866144.399999999</v>
      </c>
    </row>
    <row r="2957" spans="1:1" x14ac:dyDescent="0.25">
      <c r="A2957" s="56">
        <v>0</v>
      </c>
    </row>
    <row r="2958" spans="1:1" x14ac:dyDescent="0.25">
      <c r="A2958" s="56">
        <v>48027573.100000001</v>
      </c>
    </row>
    <row r="2959" spans="1:1" x14ac:dyDescent="0.25">
      <c r="A2959" s="56">
        <v>16900359.899999999</v>
      </c>
    </row>
    <row r="2960" spans="1:1" x14ac:dyDescent="0.25">
      <c r="A2960" s="56">
        <v>6883112.0999999996</v>
      </c>
    </row>
    <row r="2961" spans="1:1" x14ac:dyDescent="0.25">
      <c r="A2961" s="56">
        <v>90413330.299999997</v>
      </c>
    </row>
    <row r="2962" spans="1:1" x14ac:dyDescent="0.25">
      <c r="A2962" s="56">
        <v>97750822.5</v>
      </c>
    </row>
    <row r="2963" spans="1:1" x14ac:dyDescent="0.25">
      <c r="A2963" s="56">
        <v>43473173.099999897</v>
      </c>
    </row>
    <row r="2964" spans="1:1" x14ac:dyDescent="0.25">
      <c r="A2964" s="56">
        <v>5595573.8999999901</v>
      </c>
    </row>
    <row r="2965" spans="1:1" x14ac:dyDescent="0.25">
      <c r="A2965" s="56">
        <v>10414593.300000001</v>
      </c>
    </row>
    <row r="2966" spans="1:1" x14ac:dyDescent="0.25">
      <c r="A2966" s="56">
        <v>124811130.40000001</v>
      </c>
    </row>
    <row r="2967" spans="1:1" x14ac:dyDescent="0.25">
      <c r="A2967" s="56">
        <v>66588006.5</v>
      </c>
    </row>
    <row r="2968" spans="1:1" x14ac:dyDescent="0.25">
      <c r="A2968" s="56">
        <v>14673933.9</v>
      </c>
    </row>
    <row r="2969" spans="1:1" x14ac:dyDescent="0.25">
      <c r="A2969" s="56">
        <v>324803613.19999999</v>
      </c>
    </row>
    <row r="2970" spans="1:1" x14ac:dyDescent="0.25">
      <c r="A2970" s="56">
        <v>24762441.899999999</v>
      </c>
    </row>
    <row r="2971" spans="1:1" x14ac:dyDescent="0.25">
      <c r="A2971" s="56">
        <v>75481862.799999997</v>
      </c>
    </row>
    <row r="2972" spans="1:1" x14ac:dyDescent="0.25">
      <c r="A2972" s="56">
        <v>16176748.199999999</v>
      </c>
    </row>
    <row r="2973" spans="1:1" x14ac:dyDescent="0.25">
      <c r="A2973" s="56">
        <v>0</v>
      </c>
    </row>
    <row r="2974" spans="1:1" x14ac:dyDescent="0.25">
      <c r="A2974" s="56">
        <v>106934180.7</v>
      </c>
    </row>
    <row r="2975" spans="1:1" x14ac:dyDescent="0.25">
      <c r="A2975" s="56">
        <v>3115431.6</v>
      </c>
    </row>
    <row r="2976" spans="1:1" x14ac:dyDescent="0.25">
      <c r="A2976" s="56">
        <v>6031825.8999999901</v>
      </c>
    </row>
    <row r="2977" spans="1:1" x14ac:dyDescent="0.25">
      <c r="A2977" s="56">
        <v>5033965.3</v>
      </c>
    </row>
    <row r="2978" spans="1:1" x14ac:dyDescent="0.25">
      <c r="A2978" s="56">
        <v>34145157.799999997</v>
      </c>
    </row>
    <row r="2979" spans="1:1" x14ac:dyDescent="0.25">
      <c r="A2979" s="56">
        <v>12461229</v>
      </c>
    </row>
    <row r="2980" spans="1:1" x14ac:dyDescent="0.25">
      <c r="A2980" s="56">
        <v>16985767</v>
      </c>
    </row>
    <row r="2981" spans="1:1" x14ac:dyDescent="0.25">
      <c r="A2981" s="56">
        <v>13069114.300000001</v>
      </c>
    </row>
    <row r="2982" spans="1:1" x14ac:dyDescent="0.25">
      <c r="A2982" s="56">
        <v>19228682</v>
      </c>
    </row>
    <row r="2983" spans="1:1" x14ac:dyDescent="0.25">
      <c r="A2983" s="56">
        <v>8652011.0999999996</v>
      </c>
    </row>
    <row r="2984" spans="1:1" x14ac:dyDescent="0.25">
      <c r="A2984" s="56">
        <v>6248774.6999999899</v>
      </c>
    </row>
    <row r="2985" spans="1:1" x14ac:dyDescent="0.25">
      <c r="A2985" s="56">
        <v>69272217.699999899</v>
      </c>
    </row>
    <row r="2986" spans="1:1" x14ac:dyDescent="0.25">
      <c r="A2986" s="56">
        <v>12577172.800000001</v>
      </c>
    </row>
    <row r="2987" spans="1:1" x14ac:dyDescent="0.25">
      <c r="A2987" s="56">
        <v>19158572.100000001</v>
      </c>
    </row>
    <row r="2988" spans="1:1" x14ac:dyDescent="0.25">
      <c r="A2988" s="56">
        <v>18102659.399999999</v>
      </c>
    </row>
    <row r="2989" spans="1:1" x14ac:dyDescent="0.25">
      <c r="A2989" s="56">
        <v>65596520.299999997</v>
      </c>
    </row>
    <row r="2990" spans="1:1" x14ac:dyDescent="0.25">
      <c r="A2990" s="56">
        <v>49584951.299999997</v>
      </c>
    </row>
    <row r="2991" spans="1:1" x14ac:dyDescent="0.25">
      <c r="A2991" s="56">
        <v>113191597.8</v>
      </c>
    </row>
    <row r="2992" spans="1:1" x14ac:dyDescent="0.25">
      <c r="A2992" s="56">
        <v>20576341.399999999</v>
      </c>
    </row>
    <row r="2993" spans="1:1" x14ac:dyDescent="0.25">
      <c r="A2993" s="56">
        <v>227407211.19999999</v>
      </c>
    </row>
    <row r="2994" spans="1:1" x14ac:dyDescent="0.25">
      <c r="A2994" s="56">
        <v>84354385.099999905</v>
      </c>
    </row>
    <row r="2995" spans="1:1" x14ac:dyDescent="0.25">
      <c r="A2995" s="56">
        <v>22470283.5</v>
      </c>
    </row>
    <row r="2996" spans="1:1" x14ac:dyDescent="0.25">
      <c r="A2996" s="56">
        <v>1033511.2</v>
      </c>
    </row>
    <row r="2997" spans="1:1" x14ac:dyDescent="0.25">
      <c r="A2997" s="56">
        <v>23214289.300000001</v>
      </c>
    </row>
    <row r="2998" spans="1:1" x14ac:dyDescent="0.25">
      <c r="A2998" s="56">
        <v>15568533.4</v>
      </c>
    </row>
    <row r="2999" spans="1:1" x14ac:dyDescent="0.25">
      <c r="A2999" s="56">
        <v>269647364.89999998</v>
      </c>
    </row>
    <row r="3000" spans="1:1" x14ac:dyDescent="0.25">
      <c r="A3000" s="56">
        <v>45347731.700000003</v>
      </c>
    </row>
    <row r="3001" spans="1:1" x14ac:dyDescent="0.25">
      <c r="A3001" s="56">
        <v>2064547.8</v>
      </c>
    </row>
    <row r="3002" spans="1:1" x14ac:dyDescent="0.25">
      <c r="A3002" s="56">
        <v>120607884.90000001</v>
      </c>
    </row>
    <row r="3003" spans="1:1" x14ac:dyDescent="0.25">
      <c r="A3003" s="56">
        <v>47210106.399999902</v>
      </c>
    </row>
    <row r="3004" spans="1:1" x14ac:dyDescent="0.25">
      <c r="A3004" s="56">
        <v>69530268.200000003</v>
      </c>
    </row>
    <row r="3005" spans="1:1" x14ac:dyDescent="0.25">
      <c r="A3005" s="56">
        <v>5322485.3999999901</v>
      </c>
    </row>
    <row r="3006" spans="1:1" x14ac:dyDescent="0.25">
      <c r="A3006" s="56">
        <v>0</v>
      </c>
    </row>
    <row r="3007" spans="1:1" x14ac:dyDescent="0.25">
      <c r="A3007" s="56">
        <v>2091318</v>
      </c>
    </row>
    <row r="3008" spans="1:1" x14ac:dyDescent="0.25">
      <c r="A3008" s="56">
        <v>8746054.8000000007</v>
      </c>
    </row>
    <row r="3009" spans="1:1" x14ac:dyDescent="0.25">
      <c r="A3009" s="56">
        <v>80990632.199999899</v>
      </c>
    </row>
    <row r="3010" spans="1:1" x14ac:dyDescent="0.25">
      <c r="A3010" s="56">
        <v>6066101.2999999896</v>
      </c>
    </row>
    <row r="3011" spans="1:1" x14ac:dyDescent="0.25">
      <c r="A3011" s="56">
        <v>68874264.899999902</v>
      </c>
    </row>
    <row r="3012" spans="1:1" x14ac:dyDescent="0.25">
      <c r="A3012" s="56">
        <v>173876686.80000001</v>
      </c>
    </row>
    <row r="3013" spans="1:1" x14ac:dyDescent="0.25">
      <c r="A3013" s="56">
        <v>49233184.799999997</v>
      </c>
    </row>
    <row r="3014" spans="1:1" x14ac:dyDescent="0.25">
      <c r="A3014" s="56">
        <v>5771211</v>
      </c>
    </row>
    <row r="3015" spans="1:1" x14ac:dyDescent="0.25">
      <c r="A3015" s="56">
        <v>42510353.899999902</v>
      </c>
    </row>
    <row r="3016" spans="1:1" x14ac:dyDescent="0.25">
      <c r="A3016" s="56">
        <v>2106506.4</v>
      </c>
    </row>
    <row r="3017" spans="1:1" x14ac:dyDescent="0.25">
      <c r="A3017" s="56">
        <v>18672669.300000001</v>
      </c>
    </row>
    <row r="3018" spans="1:1" x14ac:dyDescent="0.25">
      <c r="A3018" s="56">
        <v>10351209.9</v>
      </c>
    </row>
    <row r="3019" spans="1:1" x14ac:dyDescent="0.25">
      <c r="A3019" s="56">
        <v>25269902.300000001</v>
      </c>
    </row>
    <row r="3020" spans="1:1" x14ac:dyDescent="0.25">
      <c r="A3020" s="56">
        <v>5211944.5</v>
      </c>
    </row>
    <row r="3021" spans="1:1" x14ac:dyDescent="0.25">
      <c r="A3021" s="56">
        <v>7033680</v>
      </c>
    </row>
    <row r="3022" spans="1:1" x14ac:dyDescent="0.25">
      <c r="A3022" s="56">
        <v>25785197.5</v>
      </c>
    </row>
    <row r="3023" spans="1:1" x14ac:dyDescent="0.25">
      <c r="A3023" s="56">
        <v>56485711.5</v>
      </c>
    </row>
    <row r="3024" spans="1:1" x14ac:dyDescent="0.25">
      <c r="A3024" s="56">
        <v>99357384.199999899</v>
      </c>
    </row>
    <row r="3025" spans="1:1" x14ac:dyDescent="0.25">
      <c r="A3025" s="56">
        <v>6504205.3999999901</v>
      </c>
    </row>
    <row r="3026" spans="1:1" x14ac:dyDescent="0.25">
      <c r="A3026" s="56">
        <v>5534102.6999999899</v>
      </c>
    </row>
    <row r="3027" spans="1:1" x14ac:dyDescent="0.25">
      <c r="A3027" s="56">
        <v>21998426.100000001</v>
      </c>
    </row>
    <row r="3028" spans="1:1" x14ac:dyDescent="0.25">
      <c r="A3028" s="56">
        <v>130914556.40000001</v>
      </c>
    </row>
    <row r="3029" spans="1:1" x14ac:dyDescent="0.25">
      <c r="A3029" s="56">
        <v>166961417.19999999</v>
      </c>
    </row>
    <row r="3030" spans="1:1" x14ac:dyDescent="0.25">
      <c r="A3030" s="56">
        <v>169172460.30000001</v>
      </c>
    </row>
    <row r="3031" spans="1:1" x14ac:dyDescent="0.25">
      <c r="A3031" s="56">
        <v>34658299.799999997</v>
      </c>
    </row>
    <row r="3032" spans="1:1" x14ac:dyDescent="0.25">
      <c r="A3032" s="56">
        <v>0</v>
      </c>
    </row>
    <row r="3033" spans="1:1" x14ac:dyDescent="0.25">
      <c r="A3033" s="56">
        <v>17582734.600000001</v>
      </c>
    </row>
    <row r="3034" spans="1:1" x14ac:dyDescent="0.25">
      <c r="A3034" s="56">
        <v>21857656.899999999</v>
      </c>
    </row>
    <row r="3035" spans="1:1" x14ac:dyDescent="0.25">
      <c r="A3035" s="56">
        <v>37173666.899999999</v>
      </c>
    </row>
    <row r="3036" spans="1:1" x14ac:dyDescent="0.25">
      <c r="A3036" s="56">
        <v>67610946.599999905</v>
      </c>
    </row>
    <row r="3037" spans="1:1" x14ac:dyDescent="0.25">
      <c r="A3037" s="56">
        <v>0</v>
      </c>
    </row>
    <row r="3038" spans="1:1" x14ac:dyDescent="0.25">
      <c r="A3038" s="56">
        <v>28577804.600000001</v>
      </c>
    </row>
    <row r="3039" spans="1:1" x14ac:dyDescent="0.25">
      <c r="A3039" s="56">
        <v>9423364.6999999899</v>
      </c>
    </row>
    <row r="3040" spans="1:1" x14ac:dyDescent="0.25">
      <c r="A3040" s="56">
        <v>230723096.19999999</v>
      </c>
    </row>
    <row r="3041" spans="1:1" x14ac:dyDescent="0.25">
      <c r="A3041" s="56">
        <v>14420275.800000001</v>
      </c>
    </row>
    <row r="3042" spans="1:1" x14ac:dyDescent="0.25">
      <c r="A3042" s="56">
        <v>33605364</v>
      </c>
    </row>
    <row r="3043" spans="1:1" x14ac:dyDescent="0.25">
      <c r="A3043" s="56">
        <v>68029309.599999905</v>
      </c>
    </row>
    <row r="3044" spans="1:1" x14ac:dyDescent="0.25">
      <c r="A3044" s="56">
        <v>0</v>
      </c>
    </row>
    <row r="3045" spans="1:1" x14ac:dyDescent="0.25">
      <c r="A3045" s="56">
        <v>14176167.1</v>
      </c>
    </row>
    <row r="3046" spans="1:1" x14ac:dyDescent="0.25">
      <c r="A3046" s="56">
        <v>13664892.699999999</v>
      </c>
    </row>
    <row r="3047" spans="1:1" x14ac:dyDescent="0.25">
      <c r="A3047" s="56">
        <v>140720313.90000001</v>
      </c>
    </row>
    <row r="3048" spans="1:1" x14ac:dyDescent="0.25">
      <c r="A3048" s="56">
        <v>35843935.599999897</v>
      </c>
    </row>
    <row r="3049" spans="1:1" x14ac:dyDescent="0.25">
      <c r="A3049" s="56">
        <v>51676076.799999997</v>
      </c>
    </row>
    <row r="3050" spans="1:1" x14ac:dyDescent="0.25">
      <c r="A3050" s="56">
        <v>35890975</v>
      </c>
    </row>
    <row r="3051" spans="1:1" x14ac:dyDescent="0.25">
      <c r="A3051" s="56">
        <v>0</v>
      </c>
    </row>
    <row r="3052" spans="1:1" x14ac:dyDescent="0.25">
      <c r="A3052" s="56">
        <v>15328315.199999999</v>
      </c>
    </row>
    <row r="3053" spans="1:1" x14ac:dyDescent="0.25">
      <c r="A3053" s="56">
        <v>202531370.90000001</v>
      </c>
    </row>
    <row r="3054" spans="1:1" x14ac:dyDescent="0.25">
      <c r="A3054" s="56">
        <v>0</v>
      </c>
    </row>
    <row r="3055" spans="1:1" x14ac:dyDescent="0.25">
      <c r="A3055" s="56">
        <v>15062577.6</v>
      </c>
    </row>
    <row r="3056" spans="1:1" x14ac:dyDescent="0.25">
      <c r="A3056" s="56">
        <v>34993871.200000003</v>
      </c>
    </row>
    <row r="3057" spans="1:1" x14ac:dyDescent="0.25">
      <c r="A3057" s="56">
        <v>33473401.5</v>
      </c>
    </row>
    <row r="3058" spans="1:1" x14ac:dyDescent="0.25">
      <c r="A3058" s="56">
        <v>32070789.600000001</v>
      </c>
    </row>
    <row r="3059" spans="1:1" x14ac:dyDescent="0.25">
      <c r="A3059" s="56">
        <v>10639347.6</v>
      </c>
    </row>
    <row r="3060" spans="1:1" x14ac:dyDescent="0.25">
      <c r="A3060" s="56">
        <v>6533211.2999999998</v>
      </c>
    </row>
    <row r="3061" spans="1:1" x14ac:dyDescent="0.25">
      <c r="A3061" s="56">
        <v>0</v>
      </c>
    </row>
    <row r="3062" spans="1:1" x14ac:dyDescent="0.25">
      <c r="A3062" s="56">
        <v>35295910.899999999</v>
      </c>
    </row>
    <row r="3063" spans="1:1" x14ac:dyDescent="0.25">
      <c r="A3063" s="56">
        <v>36785711.5</v>
      </c>
    </row>
    <row r="3064" spans="1:1" x14ac:dyDescent="0.25">
      <c r="A3064" s="56">
        <v>42650831.299999997</v>
      </c>
    </row>
    <row r="3065" spans="1:1" x14ac:dyDescent="0.25">
      <c r="A3065" s="56">
        <v>107612</v>
      </c>
    </row>
    <row r="3066" spans="1:1" x14ac:dyDescent="0.25">
      <c r="A3066" s="56">
        <v>6506290</v>
      </c>
    </row>
    <row r="3067" spans="1:1" x14ac:dyDescent="0.25">
      <c r="A3067" s="56">
        <v>6616117.8999999901</v>
      </c>
    </row>
    <row r="3068" spans="1:1" x14ac:dyDescent="0.25">
      <c r="A3068" s="56">
        <v>18579722</v>
      </c>
    </row>
    <row r="3069" spans="1:1" x14ac:dyDescent="0.25">
      <c r="A3069" s="56">
        <v>56097837.799999997</v>
      </c>
    </row>
    <row r="3070" spans="1:1" x14ac:dyDescent="0.25">
      <c r="A3070" s="56">
        <v>254805952.80000001</v>
      </c>
    </row>
    <row r="3071" spans="1:1" x14ac:dyDescent="0.25">
      <c r="A3071" s="56">
        <v>10538086.800000001</v>
      </c>
    </row>
    <row r="3072" spans="1:1" x14ac:dyDescent="0.25">
      <c r="A3072" s="56">
        <v>14338435.699999999</v>
      </c>
    </row>
    <row r="3073" spans="1:1" x14ac:dyDescent="0.25">
      <c r="A3073" s="56">
        <v>34978874.099999897</v>
      </c>
    </row>
    <row r="3074" spans="1:1" x14ac:dyDescent="0.25">
      <c r="A3074" s="56">
        <v>11061854.800000001</v>
      </c>
    </row>
    <row r="3075" spans="1:1" x14ac:dyDescent="0.25">
      <c r="A3075" s="56">
        <v>71363058.599999905</v>
      </c>
    </row>
    <row r="3076" spans="1:1" x14ac:dyDescent="0.25">
      <c r="A3076" s="56">
        <v>24766032.100000001</v>
      </c>
    </row>
    <row r="3077" spans="1:1" x14ac:dyDescent="0.25">
      <c r="A3077" s="56">
        <v>0</v>
      </c>
    </row>
    <row r="3078" spans="1:1" x14ac:dyDescent="0.25">
      <c r="A3078" s="56">
        <v>97809981.699999899</v>
      </c>
    </row>
    <row r="3079" spans="1:1" x14ac:dyDescent="0.25">
      <c r="A3079" s="56">
        <v>9804502.1999999899</v>
      </c>
    </row>
    <row r="3080" spans="1:1" x14ac:dyDescent="0.25">
      <c r="A3080" s="56">
        <v>80031789.400000006</v>
      </c>
    </row>
    <row r="3081" spans="1:1" x14ac:dyDescent="0.25">
      <c r="A3081" s="56">
        <v>21393549</v>
      </c>
    </row>
    <row r="3082" spans="1:1" x14ac:dyDescent="0.25">
      <c r="A3082" s="56">
        <v>744382</v>
      </c>
    </row>
    <row r="3083" spans="1:1" x14ac:dyDescent="0.25">
      <c r="A3083" s="56">
        <v>11529637.6</v>
      </c>
    </row>
    <row r="3084" spans="1:1" x14ac:dyDescent="0.25">
      <c r="A3084" s="56">
        <v>11151348.1</v>
      </c>
    </row>
    <row r="3085" spans="1:1" x14ac:dyDescent="0.25">
      <c r="A3085" s="56">
        <v>14856501</v>
      </c>
    </row>
    <row r="3086" spans="1:1" x14ac:dyDescent="0.25">
      <c r="A3086" s="56">
        <v>5807726.1999999899</v>
      </c>
    </row>
    <row r="3087" spans="1:1" x14ac:dyDescent="0.25">
      <c r="A3087" s="56">
        <v>60163683.700000003</v>
      </c>
    </row>
    <row r="3088" spans="1:1" x14ac:dyDescent="0.25">
      <c r="A3088" s="56">
        <v>3552372</v>
      </c>
    </row>
    <row r="3089" spans="1:1" x14ac:dyDescent="0.25">
      <c r="A3089" s="56">
        <v>11808137.6</v>
      </c>
    </row>
    <row r="3090" spans="1:1" x14ac:dyDescent="0.25">
      <c r="A3090" s="56">
        <v>9195341.7999999896</v>
      </c>
    </row>
    <row r="3091" spans="1:1" x14ac:dyDescent="0.25">
      <c r="A3091" s="56">
        <v>5606111.6999999899</v>
      </c>
    </row>
    <row r="3092" spans="1:1" x14ac:dyDescent="0.25">
      <c r="A3092" s="56">
        <v>119545446</v>
      </c>
    </row>
    <row r="3093" spans="1:1" x14ac:dyDescent="0.25">
      <c r="A3093" s="56">
        <v>52485718.200000003</v>
      </c>
    </row>
    <row r="3094" spans="1:1" x14ac:dyDescent="0.25">
      <c r="A3094" s="56">
        <v>197851114.5</v>
      </c>
    </row>
    <row r="3095" spans="1:1" x14ac:dyDescent="0.25">
      <c r="A3095" s="56">
        <v>101399420.3</v>
      </c>
    </row>
    <row r="3096" spans="1:1" x14ac:dyDescent="0.25">
      <c r="A3096" s="56">
        <v>17454343.100000001</v>
      </c>
    </row>
    <row r="3097" spans="1:1" x14ac:dyDescent="0.25">
      <c r="A3097" s="56">
        <v>9642419.4000000004</v>
      </c>
    </row>
    <row r="3098" spans="1:1" x14ac:dyDescent="0.25">
      <c r="A3098" s="56">
        <v>17242243.199999999</v>
      </c>
    </row>
    <row r="3099" spans="1:1" x14ac:dyDescent="0.25">
      <c r="A3099" s="56">
        <v>0</v>
      </c>
    </row>
    <row r="3100" spans="1:1" x14ac:dyDescent="0.25">
      <c r="A3100" s="56">
        <v>31620675.300000001</v>
      </c>
    </row>
    <row r="3101" spans="1:1" x14ac:dyDescent="0.25">
      <c r="A3101" s="56">
        <v>4148686.8</v>
      </c>
    </row>
    <row r="3102" spans="1:1" x14ac:dyDescent="0.25">
      <c r="A3102" s="56">
        <v>0</v>
      </c>
    </row>
    <row r="3103" spans="1:1" x14ac:dyDescent="0.25">
      <c r="A3103" s="56">
        <v>24111866</v>
      </c>
    </row>
    <row r="3104" spans="1:1" x14ac:dyDescent="0.25">
      <c r="A3104" s="56">
        <v>20052033</v>
      </c>
    </row>
    <row r="3105" spans="1:1" x14ac:dyDescent="0.25">
      <c r="A3105" s="56">
        <v>5602502.5</v>
      </c>
    </row>
    <row r="3106" spans="1:1" x14ac:dyDescent="0.25">
      <c r="A3106" s="56">
        <v>59810574</v>
      </c>
    </row>
    <row r="3107" spans="1:1" x14ac:dyDescent="0.25">
      <c r="A3107" s="56">
        <v>1088311.6000000001</v>
      </c>
    </row>
    <row r="3108" spans="1:1" x14ac:dyDescent="0.25">
      <c r="A3108" s="56">
        <v>7668465</v>
      </c>
    </row>
    <row r="3109" spans="1:1" x14ac:dyDescent="0.25">
      <c r="A3109" s="56">
        <v>58317209.399999999</v>
      </c>
    </row>
    <row r="3110" spans="1:1" x14ac:dyDescent="0.25">
      <c r="A3110" s="56">
        <v>122039157.90000001</v>
      </c>
    </row>
    <row r="3111" spans="1:1" x14ac:dyDescent="0.25">
      <c r="A3111" s="56">
        <v>105807342.59999999</v>
      </c>
    </row>
    <row r="3112" spans="1:1" x14ac:dyDescent="0.25">
      <c r="A3112" s="56">
        <v>276750019.10000002</v>
      </c>
    </row>
    <row r="3113" spans="1:1" x14ac:dyDescent="0.25">
      <c r="A3113" s="56">
        <v>49325163.100000001</v>
      </c>
    </row>
    <row r="3114" spans="1:1" x14ac:dyDescent="0.25">
      <c r="A3114" s="56">
        <v>19624505.600000001</v>
      </c>
    </row>
    <row r="3115" spans="1:1" x14ac:dyDescent="0.25">
      <c r="A3115" s="56">
        <v>64590489.200000003</v>
      </c>
    </row>
    <row r="3116" spans="1:1" x14ac:dyDescent="0.25">
      <c r="A3116" s="56">
        <v>66513120.899999902</v>
      </c>
    </row>
    <row r="3117" spans="1:1" x14ac:dyDescent="0.25">
      <c r="A3117" s="56">
        <v>186526900.40000001</v>
      </c>
    </row>
    <row r="3118" spans="1:1" x14ac:dyDescent="0.25">
      <c r="A3118" s="56">
        <v>7600564.4000000004</v>
      </c>
    </row>
    <row r="3119" spans="1:1" x14ac:dyDescent="0.25">
      <c r="A3119" s="56">
        <v>17236370.5</v>
      </c>
    </row>
    <row r="3120" spans="1:1" x14ac:dyDescent="0.25">
      <c r="A3120" s="56">
        <v>7097365.7999999998</v>
      </c>
    </row>
    <row r="3121" spans="1:1" x14ac:dyDescent="0.25">
      <c r="A3121" s="56">
        <v>0</v>
      </c>
    </row>
    <row r="3122" spans="1:1" x14ac:dyDescent="0.25">
      <c r="A3122" s="56">
        <v>4658466.4000000004</v>
      </c>
    </row>
    <row r="3123" spans="1:1" x14ac:dyDescent="0.25">
      <c r="A3123" s="56">
        <v>31711581.099999901</v>
      </c>
    </row>
    <row r="3124" spans="1:1" x14ac:dyDescent="0.25">
      <c r="A3124" s="56">
        <v>11677523.300000001</v>
      </c>
    </row>
    <row r="3125" spans="1:1" x14ac:dyDescent="0.25">
      <c r="A3125" s="56">
        <v>10253254.199999999</v>
      </c>
    </row>
    <row r="3126" spans="1:1" x14ac:dyDescent="0.25">
      <c r="A3126" s="56">
        <v>1474191.2</v>
      </c>
    </row>
    <row r="3127" spans="1:1" x14ac:dyDescent="0.25">
      <c r="A3127" s="56">
        <v>94835119.299999997</v>
      </c>
    </row>
    <row r="3128" spans="1:1" x14ac:dyDescent="0.25">
      <c r="A3128" s="56">
        <v>0</v>
      </c>
    </row>
    <row r="3129" spans="1:1" x14ac:dyDescent="0.25">
      <c r="A3129" s="56">
        <v>0</v>
      </c>
    </row>
    <row r="3130" spans="1:1" x14ac:dyDescent="0.25">
      <c r="A3130" s="56">
        <v>118113086</v>
      </c>
    </row>
    <row r="3131" spans="1:1" x14ac:dyDescent="0.25">
      <c r="A3131" s="56">
        <v>96615175.399999902</v>
      </c>
    </row>
    <row r="3132" spans="1:1" x14ac:dyDescent="0.25">
      <c r="A3132" s="56">
        <v>169161110.59999999</v>
      </c>
    </row>
    <row r="3133" spans="1:1" x14ac:dyDescent="0.25">
      <c r="A3133" s="56">
        <v>8894270.0999999996</v>
      </c>
    </row>
    <row r="3134" spans="1:1" x14ac:dyDescent="0.25">
      <c r="A3134" s="56">
        <v>20953782.699999999</v>
      </c>
    </row>
    <row r="3135" spans="1:1" x14ac:dyDescent="0.25">
      <c r="A3135" s="56">
        <v>35046289.700000003</v>
      </c>
    </row>
    <row r="3136" spans="1:1" x14ac:dyDescent="0.25">
      <c r="A3136" s="56">
        <v>35238098.700000003</v>
      </c>
    </row>
    <row r="3137" spans="1:1" x14ac:dyDescent="0.25">
      <c r="A3137" s="56">
        <v>217331078.90000001</v>
      </c>
    </row>
    <row r="3138" spans="1:1" x14ac:dyDescent="0.25">
      <c r="A3138" s="56">
        <v>184353414.40000001</v>
      </c>
    </row>
    <row r="3139" spans="1:1" x14ac:dyDescent="0.25">
      <c r="A3139" s="56">
        <v>1235040.8</v>
      </c>
    </row>
    <row r="3140" spans="1:1" x14ac:dyDescent="0.25">
      <c r="A3140" s="56">
        <v>11404785.699999999</v>
      </c>
    </row>
    <row r="3141" spans="1:1" x14ac:dyDescent="0.25">
      <c r="A3141" s="56">
        <v>56149716.799999997</v>
      </c>
    </row>
    <row r="3142" spans="1:1" x14ac:dyDescent="0.25">
      <c r="A3142" s="56">
        <v>25709131.399999999</v>
      </c>
    </row>
    <row r="3143" spans="1:1" x14ac:dyDescent="0.25">
      <c r="A3143" s="56">
        <v>31190910.699999999</v>
      </c>
    </row>
    <row r="3144" spans="1:1" x14ac:dyDescent="0.25">
      <c r="A3144" s="56">
        <v>12951018.4</v>
      </c>
    </row>
    <row r="3145" spans="1:1" x14ac:dyDescent="0.25">
      <c r="A3145" s="56">
        <v>1186486.3999999999</v>
      </c>
    </row>
    <row r="3146" spans="1:1" x14ac:dyDescent="0.25">
      <c r="A3146" s="56">
        <v>6081556.5999999996</v>
      </c>
    </row>
    <row r="3147" spans="1:1" x14ac:dyDescent="0.25">
      <c r="A3147" s="56">
        <v>122192696.90000001</v>
      </c>
    </row>
    <row r="3148" spans="1:1" x14ac:dyDescent="0.25">
      <c r="A3148" s="56">
        <v>0</v>
      </c>
    </row>
    <row r="3149" spans="1:1" x14ac:dyDescent="0.25">
      <c r="A3149" s="56">
        <v>3426131.4</v>
      </c>
    </row>
    <row r="3150" spans="1:1" x14ac:dyDescent="0.25">
      <c r="A3150" s="56">
        <v>42440979.299999997</v>
      </c>
    </row>
    <row r="3151" spans="1:1" x14ac:dyDescent="0.25">
      <c r="A3151" s="56">
        <v>11527914.699999999</v>
      </c>
    </row>
    <row r="3152" spans="1:1" x14ac:dyDescent="0.25">
      <c r="A3152" s="56">
        <v>139699954.90000001</v>
      </c>
    </row>
    <row r="3153" spans="1:1" x14ac:dyDescent="0.25">
      <c r="A3153" s="56">
        <v>40775434.700000003</v>
      </c>
    </row>
    <row r="3154" spans="1:1" x14ac:dyDescent="0.25">
      <c r="A3154" s="56">
        <v>85660545.699999899</v>
      </c>
    </row>
    <row r="3155" spans="1:1" x14ac:dyDescent="0.25">
      <c r="A3155" s="56">
        <v>3935229.4</v>
      </c>
    </row>
    <row r="3156" spans="1:1" x14ac:dyDescent="0.25">
      <c r="A3156" s="56">
        <v>136737289.30000001</v>
      </c>
    </row>
    <row r="3157" spans="1:1" x14ac:dyDescent="0.25">
      <c r="A3157" s="56">
        <v>34823507.599999897</v>
      </c>
    </row>
    <row r="3158" spans="1:1" x14ac:dyDescent="0.25">
      <c r="A3158" s="56">
        <v>82416193.900000006</v>
      </c>
    </row>
    <row r="3159" spans="1:1" x14ac:dyDescent="0.25">
      <c r="A3159" s="56">
        <v>0</v>
      </c>
    </row>
    <row r="3160" spans="1:1" x14ac:dyDescent="0.25">
      <c r="A3160" s="56">
        <v>13200701.6</v>
      </c>
    </row>
    <row r="3161" spans="1:1" x14ac:dyDescent="0.25">
      <c r="A3161" s="56">
        <v>11948163.300000001</v>
      </c>
    </row>
    <row r="3162" spans="1:1" x14ac:dyDescent="0.25">
      <c r="A3162" s="56">
        <v>16753161.800000001</v>
      </c>
    </row>
    <row r="3163" spans="1:1" x14ac:dyDescent="0.25">
      <c r="A3163" s="56">
        <v>44028657</v>
      </c>
    </row>
    <row r="3164" spans="1:1" x14ac:dyDescent="0.25">
      <c r="A3164" s="56">
        <v>14863567.300000001</v>
      </c>
    </row>
    <row r="3165" spans="1:1" x14ac:dyDescent="0.25">
      <c r="A3165" s="56">
        <v>14071448.300000001</v>
      </c>
    </row>
    <row r="3166" spans="1:1" x14ac:dyDescent="0.25">
      <c r="A3166" s="56">
        <v>127722560</v>
      </c>
    </row>
    <row r="3167" spans="1:1" x14ac:dyDescent="0.25">
      <c r="A3167" s="56">
        <v>28091109.699999999</v>
      </c>
    </row>
    <row r="3168" spans="1:1" x14ac:dyDescent="0.25">
      <c r="A3168" s="56">
        <v>81237047</v>
      </c>
    </row>
    <row r="3169" spans="1:1" x14ac:dyDescent="0.25">
      <c r="A3169" s="56">
        <v>13702114.6</v>
      </c>
    </row>
    <row r="3170" spans="1:1" x14ac:dyDescent="0.25">
      <c r="A3170" s="56">
        <v>87578768.099999905</v>
      </c>
    </row>
    <row r="3171" spans="1:1" x14ac:dyDescent="0.25">
      <c r="A3171" s="56">
        <v>68756364.899999902</v>
      </c>
    </row>
    <row r="3172" spans="1:1" x14ac:dyDescent="0.25">
      <c r="A3172" s="56">
        <v>44635160.899999999</v>
      </c>
    </row>
    <row r="3173" spans="1:1" x14ac:dyDescent="0.25">
      <c r="A3173" s="56">
        <v>5652663.3999999901</v>
      </c>
    </row>
    <row r="3174" spans="1:1" x14ac:dyDescent="0.25">
      <c r="A3174" s="56">
        <v>77346218.399999902</v>
      </c>
    </row>
    <row r="3175" spans="1:1" x14ac:dyDescent="0.25">
      <c r="A3175" s="56">
        <v>3766854.4</v>
      </c>
    </row>
    <row r="3176" spans="1:1" x14ac:dyDescent="0.25">
      <c r="A3176" s="56">
        <v>16815955.800000001</v>
      </c>
    </row>
    <row r="3177" spans="1:1" x14ac:dyDescent="0.25">
      <c r="A3177" s="56">
        <v>115598115.5</v>
      </c>
    </row>
    <row r="3178" spans="1:1" x14ac:dyDescent="0.25">
      <c r="A3178" s="56">
        <v>217840504.40000001</v>
      </c>
    </row>
    <row r="3179" spans="1:1" x14ac:dyDescent="0.25">
      <c r="A3179" s="56">
        <v>9659256.2999999896</v>
      </c>
    </row>
    <row r="3180" spans="1:1" x14ac:dyDescent="0.25">
      <c r="A3180" s="56">
        <v>0</v>
      </c>
    </row>
    <row r="3181" spans="1:1" x14ac:dyDescent="0.25">
      <c r="A3181" s="56">
        <v>14377861.199999999</v>
      </c>
    </row>
    <row r="3182" spans="1:1" x14ac:dyDescent="0.25">
      <c r="A3182" s="56">
        <v>11245160.6</v>
      </c>
    </row>
    <row r="3183" spans="1:1" x14ac:dyDescent="0.25">
      <c r="A3183" s="56">
        <v>165085322</v>
      </c>
    </row>
    <row r="3184" spans="1:1" x14ac:dyDescent="0.25">
      <c r="A3184" s="56">
        <v>59675328.399999999</v>
      </c>
    </row>
    <row r="3185" spans="1:1" x14ac:dyDescent="0.25">
      <c r="A3185" s="56">
        <v>0</v>
      </c>
    </row>
    <row r="3186" spans="1:1" x14ac:dyDescent="0.25">
      <c r="A3186" s="56">
        <v>22057453.699999999</v>
      </c>
    </row>
    <row r="3187" spans="1:1" x14ac:dyDescent="0.25">
      <c r="A3187" s="56">
        <v>76651682.699999899</v>
      </c>
    </row>
    <row r="3188" spans="1:1" x14ac:dyDescent="0.25">
      <c r="A3188" s="56">
        <v>0</v>
      </c>
    </row>
    <row r="3189" spans="1:1" x14ac:dyDescent="0.25">
      <c r="A3189" s="56">
        <v>10752146.800000001</v>
      </c>
    </row>
    <row r="3190" spans="1:1" x14ac:dyDescent="0.25">
      <c r="A3190" s="56">
        <v>83000199.399999902</v>
      </c>
    </row>
    <row r="3191" spans="1:1" x14ac:dyDescent="0.25">
      <c r="A3191" s="56">
        <v>10334253.300000001</v>
      </c>
    </row>
    <row r="3192" spans="1:1" x14ac:dyDescent="0.25">
      <c r="A3192" s="56">
        <v>172457139.09999999</v>
      </c>
    </row>
    <row r="3193" spans="1:1" x14ac:dyDescent="0.25">
      <c r="A3193" s="56">
        <v>3558337.2</v>
      </c>
    </row>
    <row r="3194" spans="1:1" x14ac:dyDescent="0.25">
      <c r="A3194" s="56">
        <v>65817503.600000001</v>
      </c>
    </row>
    <row r="3195" spans="1:1" x14ac:dyDescent="0.25">
      <c r="A3195" s="56">
        <v>6347785.5</v>
      </c>
    </row>
    <row r="3196" spans="1:1" x14ac:dyDescent="0.25">
      <c r="A3196" s="56">
        <v>103290863.2</v>
      </c>
    </row>
    <row r="3197" spans="1:1" x14ac:dyDescent="0.25">
      <c r="A3197" s="56">
        <v>53036593.299999997</v>
      </c>
    </row>
    <row r="3198" spans="1:1" x14ac:dyDescent="0.25">
      <c r="A3198" s="56">
        <v>5792287.1999999899</v>
      </c>
    </row>
    <row r="3199" spans="1:1" x14ac:dyDescent="0.25">
      <c r="A3199" s="56">
        <v>7765613.3999999901</v>
      </c>
    </row>
    <row r="3200" spans="1:1" x14ac:dyDescent="0.25">
      <c r="A3200" s="56">
        <v>95978248.400000006</v>
      </c>
    </row>
    <row r="3201" spans="1:1" x14ac:dyDescent="0.25">
      <c r="A3201" s="56">
        <v>49651202</v>
      </c>
    </row>
    <row r="3202" spans="1:1" x14ac:dyDescent="0.25">
      <c r="A3202" s="56">
        <v>365921437.80000001</v>
      </c>
    </row>
    <row r="3203" spans="1:1" x14ac:dyDescent="0.25">
      <c r="A3203" s="56">
        <v>0</v>
      </c>
    </row>
    <row r="3204" spans="1:1" x14ac:dyDescent="0.25">
      <c r="A3204" s="56">
        <v>450768199.5</v>
      </c>
    </row>
    <row r="3205" spans="1:1" x14ac:dyDescent="0.25">
      <c r="A3205" s="56">
        <v>32137853.199999999</v>
      </c>
    </row>
    <row r="3206" spans="1:1" x14ac:dyDescent="0.25">
      <c r="A3206" s="56">
        <v>33678296.099999897</v>
      </c>
    </row>
    <row r="3207" spans="1:1" x14ac:dyDescent="0.25">
      <c r="A3207" s="56">
        <v>786862.8</v>
      </c>
    </row>
    <row r="3208" spans="1:1" x14ac:dyDescent="0.25">
      <c r="A3208" s="56">
        <v>8908955.8999999892</v>
      </c>
    </row>
    <row r="3209" spans="1:1" x14ac:dyDescent="0.25">
      <c r="A3209" s="56">
        <v>21090267.199999999</v>
      </c>
    </row>
    <row r="3210" spans="1:1" x14ac:dyDescent="0.25">
      <c r="A3210" s="56">
        <v>10080805.1</v>
      </c>
    </row>
    <row r="3211" spans="1:1" x14ac:dyDescent="0.25">
      <c r="A3211" s="56">
        <v>26633587.699999999</v>
      </c>
    </row>
    <row r="3212" spans="1:1" x14ac:dyDescent="0.25">
      <c r="A3212" s="56">
        <v>76486664</v>
      </c>
    </row>
    <row r="3213" spans="1:1" x14ac:dyDescent="0.25">
      <c r="A3213" s="56">
        <v>31433452.300000001</v>
      </c>
    </row>
    <row r="3214" spans="1:1" x14ac:dyDescent="0.25">
      <c r="A3214" s="56">
        <v>457429741.39999998</v>
      </c>
    </row>
    <row r="3215" spans="1:1" x14ac:dyDescent="0.25">
      <c r="A3215" s="56">
        <v>22105038.5</v>
      </c>
    </row>
    <row r="3216" spans="1:1" x14ac:dyDescent="0.25">
      <c r="A3216" s="56">
        <v>70208274.299999997</v>
      </c>
    </row>
    <row r="3217" spans="1:1" x14ac:dyDescent="0.25">
      <c r="A3217" s="56">
        <v>548018.4</v>
      </c>
    </row>
    <row r="3218" spans="1:1" x14ac:dyDescent="0.25">
      <c r="A3218" s="56">
        <v>197394916.90000001</v>
      </c>
    </row>
    <row r="3219" spans="1:1" x14ac:dyDescent="0.25">
      <c r="A3219" s="56">
        <v>826311.6</v>
      </c>
    </row>
    <row r="3220" spans="1:1" x14ac:dyDescent="0.25">
      <c r="A3220" s="56">
        <v>153707154.19999999</v>
      </c>
    </row>
    <row r="3221" spans="1:1" x14ac:dyDescent="0.25">
      <c r="A3221" s="56">
        <v>270633683.80000001</v>
      </c>
    </row>
    <row r="3222" spans="1:1" x14ac:dyDescent="0.25">
      <c r="A3222" s="56">
        <v>77775565</v>
      </c>
    </row>
    <row r="3223" spans="1:1" x14ac:dyDescent="0.25">
      <c r="A3223" s="56">
        <v>328692020.19999999</v>
      </c>
    </row>
    <row r="3224" spans="1:1" x14ac:dyDescent="0.25">
      <c r="A3224" s="56">
        <v>22550781.699999999</v>
      </c>
    </row>
    <row r="3225" spans="1:1" x14ac:dyDescent="0.25">
      <c r="A3225" s="56">
        <v>0</v>
      </c>
    </row>
    <row r="3226" spans="1:1" x14ac:dyDescent="0.25">
      <c r="A3226" s="56">
        <v>53426507</v>
      </c>
    </row>
    <row r="3227" spans="1:1" x14ac:dyDescent="0.25">
      <c r="A3227" s="56">
        <v>55123853.200000003</v>
      </c>
    </row>
    <row r="3228" spans="1:1" x14ac:dyDescent="0.25">
      <c r="A3228" s="56">
        <v>51320088.399999999</v>
      </c>
    </row>
    <row r="3229" spans="1:1" x14ac:dyDescent="0.25">
      <c r="A3229" s="56">
        <v>67305471.099999905</v>
      </c>
    </row>
    <row r="3230" spans="1:1" x14ac:dyDescent="0.25">
      <c r="A3230" s="56">
        <v>71112188</v>
      </c>
    </row>
    <row r="3231" spans="1:1" x14ac:dyDescent="0.25">
      <c r="A3231" s="56">
        <v>219955953.69999999</v>
      </c>
    </row>
    <row r="3232" spans="1:1" x14ac:dyDescent="0.25">
      <c r="A3232" s="56">
        <v>0</v>
      </c>
    </row>
    <row r="3233" spans="1:1" x14ac:dyDescent="0.25">
      <c r="A3233" s="56">
        <v>3395605.4</v>
      </c>
    </row>
    <row r="3234" spans="1:1" x14ac:dyDescent="0.25">
      <c r="A3234" s="56">
        <v>4603767</v>
      </c>
    </row>
    <row r="3235" spans="1:1" x14ac:dyDescent="0.25">
      <c r="A3235" s="56">
        <v>6814831.7999999998</v>
      </c>
    </row>
    <row r="3236" spans="1:1" x14ac:dyDescent="0.25">
      <c r="A3236" s="56">
        <v>36404813.099999897</v>
      </c>
    </row>
    <row r="3237" spans="1:1" x14ac:dyDescent="0.25">
      <c r="A3237" s="56">
        <v>62013667.299999997</v>
      </c>
    </row>
    <row r="3238" spans="1:1" x14ac:dyDescent="0.25">
      <c r="A3238" s="56">
        <v>261683367</v>
      </c>
    </row>
    <row r="3239" spans="1:1" x14ac:dyDescent="0.25">
      <c r="A3239" s="56">
        <v>39952165.799999997</v>
      </c>
    </row>
    <row r="3240" spans="1:1" x14ac:dyDescent="0.25">
      <c r="A3240" s="56">
        <v>60372374.399999902</v>
      </c>
    </row>
    <row r="3241" spans="1:1" x14ac:dyDescent="0.25">
      <c r="A3241" s="56">
        <v>8998853.1999999899</v>
      </c>
    </row>
    <row r="3242" spans="1:1" x14ac:dyDescent="0.25">
      <c r="A3242" s="56">
        <v>17545274.300000001</v>
      </c>
    </row>
    <row r="3243" spans="1:1" x14ac:dyDescent="0.25">
      <c r="A3243" s="56">
        <v>7923221</v>
      </c>
    </row>
    <row r="3244" spans="1:1" x14ac:dyDescent="0.25">
      <c r="A3244" s="56">
        <v>401100920.5</v>
      </c>
    </row>
    <row r="3245" spans="1:1" x14ac:dyDescent="0.25">
      <c r="A3245" s="56">
        <v>0</v>
      </c>
    </row>
    <row r="3246" spans="1:1" x14ac:dyDescent="0.25">
      <c r="A3246" s="56">
        <v>5078535.7</v>
      </c>
    </row>
    <row r="3247" spans="1:1" x14ac:dyDescent="0.25">
      <c r="A3247" s="56">
        <v>327150.40000000002</v>
      </c>
    </row>
    <row r="3248" spans="1:1" x14ac:dyDescent="0.25">
      <c r="A3248" s="56">
        <v>174670079.40000001</v>
      </c>
    </row>
    <row r="3249" spans="1:1" x14ac:dyDescent="0.25">
      <c r="A3249" s="56">
        <v>12328706.300000001</v>
      </c>
    </row>
    <row r="3250" spans="1:1" x14ac:dyDescent="0.25">
      <c r="A3250" s="56">
        <v>428063693.80000001</v>
      </c>
    </row>
    <row r="3251" spans="1:1" x14ac:dyDescent="0.25">
      <c r="A3251" s="56">
        <v>11383065.1</v>
      </c>
    </row>
    <row r="3252" spans="1:1" x14ac:dyDescent="0.25">
      <c r="A3252" s="56">
        <v>99459572.399999902</v>
      </c>
    </row>
    <row r="3253" spans="1:1" x14ac:dyDescent="0.25">
      <c r="A3253" s="56">
        <v>99454175.200000003</v>
      </c>
    </row>
    <row r="3254" spans="1:1" x14ac:dyDescent="0.25">
      <c r="A3254" s="56">
        <v>3467346.8</v>
      </c>
    </row>
    <row r="3255" spans="1:1" x14ac:dyDescent="0.25">
      <c r="A3255" s="56">
        <v>116814542.2</v>
      </c>
    </row>
    <row r="3256" spans="1:1" x14ac:dyDescent="0.25">
      <c r="A3256" s="56">
        <v>21706780.699999999</v>
      </c>
    </row>
    <row r="3257" spans="1:1" x14ac:dyDescent="0.25">
      <c r="A3257" s="56">
        <v>152905783.09999999</v>
      </c>
    </row>
    <row r="3258" spans="1:1" x14ac:dyDescent="0.25">
      <c r="A3258" s="56">
        <v>23268503.199999999</v>
      </c>
    </row>
    <row r="3259" spans="1:1" x14ac:dyDescent="0.25">
      <c r="A3259" s="56">
        <v>32746552.699999999</v>
      </c>
    </row>
    <row r="3260" spans="1:1" x14ac:dyDescent="0.25">
      <c r="A3260" s="56">
        <v>13183383.800000001</v>
      </c>
    </row>
    <row r="3261" spans="1:1" x14ac:dyDescent="0.25">
      <c r="A3261" s="56">
        <v>69474519</v>
      </c>
    </row>
    <row r="3262" spans="1:1" x14ac:dyDescent="0.25">
      <c r="A3262" s="56">
        <v>79623560.599999905</v>
      </c>
    </row>
    <row r="3263" spans="1:1" x14ac:dyDescent="0.25">
      <c r="A3263" s="56">
        <v>10123310.800000001</v>
      </c>
    </row>
    <row r="3264" spans="1:1" x14ac:dyDescent="0.25">
      <c r="A3264" s="56">
        <v>257656625.5</v>
      </c>
    </row>
    <row r="3265" spans="1:1" x14ac:dyDescent="0.25">
      <c r="A3265" s="56">
        <v>4084842.6</v>
      </c>
    </row>
    <row r="3266" spans="1:1" x14ac:dyDescent="0.25">
      <c r="A3266" s="56">
        <v>299435014.69999897</v>
      </c>
    </row>
    <row r="3267" spans="1:1" x14ac:dyDescent="0.25">
      <c r="A3267" s="56">
        <v>335426205.19999999</v>
      </c>
    </row>
    <row r="3268" spans="1:1" x14ac:dyDescent="0.25">
      <c r="A3268" s="56">
        <v>138189389.5</v>
      </c>
    </row>
    <row r="3269" spans="1:1" x14ac:dyDescent="0.25">
      <c r="A3269" s="56">
        <v>26844503.199999999</v>
      </c>
    </row>
    <row r="3270" spans="1:1" x14ac:dyDescent="0.25">
      <c r="A3270" s="56">
        <v>2432236.7999999998</v>
      </c>
    </row>
    <row r="3271" spans="1:1" x14ac:dyDescent="0.25">
      <c r="A3271" s="56">
        <v>28136835.199999999</v>
      </c>
    </row>
    <row r="3272" spans="1:1" x14ac:dyDescent="0.25">
      <c r="A3272" s="56">
        <v>599373401.39999902</v>
      </c>
    </row>
    <row r="3273" spans="1:1" x14ac:dyDescent="0.25">
      <c r="A3273" s="56">
        <v>7722108.4000000004</v>
      </c>
    </row>
    <row r="3274" spans="1:1" x14ac:dyDescent="0.25">
      <c r="A3274" s="56">
        <v>295633956.89999998</v>
      </c>
    </row>
    <row r="3275" spans="1:1" x14ac:dyDescent="0.25">
      <c r="A3275" s="56">
        <v>18735001.5</v>
      </c>
    </row>
    <row r="3276" spans="1:1" x14ac:dyDescent="0.25">
      <c r="A3276" s="56">
        <v>0</v>
      </c>
    </row>
    <row r="3277" spans="1:1" x14ac:dyDescent="0.25">
      <c r="A3277" s="56">
        <v>8164117.5999999996</v>
      </c>
    </row>
    <row r="3278" spans="1:1" x14ac:dyDescent="0.25">
      <c r="A3278" s="56">
        <v>6581987.4000000004</v>
      </c>
    </row>
    <row r="3279" spans="1:1" x14ac:dyDescent="0.25">
      <c r="A3279" s="56">
        <v>135093266.90000001</v>
      </c>
    </row>
    <row r="3280" spans="1:1" x14ac:dyDescent="0.25">
      <c r="A3280" s="56">
        <v>28913337.600000001</v>
      </c>
    </row>
    <row r="3281" spans="1:1" x14ac:dyDescent="0.25">
      <c r="A3281" s="56">
        <v>8546954.0999999996</v>
      </c>
    </row>
    <row r="3282" spans="1:1" x14ac:dyDescent="0.25">
      <c r="A3282" s="56">
        <v>20795226.899999999</v>
      </c>
    </row>
    <row r="3283" spans="1:1" x14ac:dyDescent="0.25">
      <c r="A3283" s="56">
        <v>12555584.9</v>
      </c>
    </row>
    <row r="3284" spans="1:1" x14ac:dyDescent="0.25">
      <c r="A3284" s="56">
        <v>3784665.6</v>
      </c>
    </row>
    <row r="3285" spans="1:1" x14ac:dyDescent="0.25">
      <c r="A3285" s="56">
        <v>22326765.300000001</v>
      </c>
    </row>
    <row r="3286" spans="1:1" x14ac:dyDescent="0.25">
      <c r="A3286" s="56">
        <v>45617347.200000003</v>
      </c>
    </row>
    <row r="3287" spans="1:1" x14ac:dyDescent="0.25">
      <c r="A3287" s="56">
        <v>89488617.399999902</v>
      </c>
    </row>
    <row r="3288" spans="1:1" x14ac:dyDescent="0.25">
      <c r="A3288" s="56">
        <v>39506992.5</v>
      </c>
    </row>
    <row r="3289" spans="1:1" x14ac:dyDescent="0.25">
      <c r="A3289" s="56">
        <v>9913605.7999999896</v>
      </c>
    </row>
    <row r="3290" spans="1:1" x14ac:dyDescent="0.25">
      <c r="A3290" s="56">
        <v>96279156.400000006</v>
      </c>
    </row>
    <row r="3291" spans="1:1" x14ac:dyDescent="0.25">
      <c r="A3291" s="56">
        <v>143666810.30000001</v>
      </c>
    </row>
    <row r="3292" spans="1:1" x14ac:dyDescent="0.25">
      <c r="A3292" s="56">
        <v>1093392</v>
      </c>
    </row>
    <row r="3293" spans="1:1" x14ac:dyDescent="0.25">
      <c r="A3293" s="56">
        <v>73401409.5</v>
      </c>
    </row>
    <row r="3294" spans="1:1" x14ac:dyDescent="0.25">
      <c r="A3294" s="56">
        <v>98420638.599999905</v>
      </c>
    </row>
    <row r="3295" spans="1:1" x14ac:dyDescent="0.25">
      <c r="A3295" s="56">
        <v>0</v>
      </c>
    </row>
    <row r="3296" spans="1:1" x14ac:dyDescent="0.25">
      <c r="A3296" s="56">
        <v>50230048.499999903</v>
      </c>
    </row>
    <row r="3297" spans="1:1" x14ac:dyDescent="0.25">
      <c r="A3297" s="56">
        <v>10287054</v>
      </c>
    </row>
    <row r="3298" spans="1:1" x14ac:dyDescent="0.25">
      <c r="A3298" s="56">
        <v>5808949.1999999899</v>
      </c>
    </row>
    <row r="3299" spans="1:1" x14ac:dyDescent="0.25">
      <c r="A3299" s="56">
        <v>17574169.600000001</v>
      </c>
    </row>
    <row r="3300" spans="1:1" x14ac:dyDescent="0.25">
      <c r="A3300" s="56">
        <v>457881812.49999899</v>
      </c>
    </row>
    <row r="3301" spans="1:1" x14ac:dyDescent="0.25">
      <c r="A3301" s="56">
        <v>0</v>
      </c>
    </row>
    <row r="3302" spans="1:1" x14ac:dyDescent="0.25">
      <c r="A3302" s="56">
        <v>41241488.299999997</v>
      </c>
    </row>
    <row r="3303" spans="1:1" x14ac:dyDescent="0.25">
      <c r="A3303" s="56">
        <v>0</v>
      </c>
    </row>
    <row r="3304" spans="1:1" x14ac:dyDescent="0.25">
      <c r="A3304" s="56">
        <v>0</v>
      </c>
    </row>
    <row r="3305" spans="1:1" x14ac:dyDescent="0.25">
      <c r="A3305" s="56">
        <v>5120515.3999999901</v>
      </c>
    </row>
    <row r="3306" spans="1:1" x14ac:dyDescent="0.25">
      <c r="A3306" s="56">
        <v>0</v>
      </c>
    </row>
    <row r="3307" spans="1:1" x14ac:dyDescent="0.25">
      <c r="A3307" s="56">
        <v>71798624.799999893</v>
      </c>
    </row>
    <row r="3308" spans="1:1" x14ac:dyDescent="0.25">
      <c r="A3308" s="56">
        <v>60492809.599999897</v>
      </c>
    </row>
    <row r="3309" spans="1:1" x14ac:dyDescent="0.25">
      <c r="A3309" s="56">
        <v>5126313.5999999996</v>
      </c>
    </row>
    <row r="3310" spans="1:1" x14ac:dyDescent="0.25">
      <c r="A3310" s="56">
        <v>23665935.300000001</v>
      </c>
    </row>
    <row r="3311" spans="1:1" x14ac:dyDescent="0.25">
      <c r="A3311" s="56">
        <v>465810807.5</v>
      </c>
    </row>
    <row r="3312" spans="1:1" x14ac:dyDescent="0.25">
      <c r="A3312" s="56">
        <v>105639289.3</v>
      </c>
    </row>
    <row r="3313" spans="1:1" x14ac:dyDescent="0.25">
      <c r="A3313" s="56">
        <v>6995585.0999999996</v>
      </c>
    </row>
    <row r="3314" spans="1:1" x14ac:dyDescent="0.25">
      <c r="A3314" s="56">
        <v>89846936.899999902</v>
      </c>
    </row>
    <row r="3315" spans="1:1" x14ac:dyDescent="0.25">
      <c r="A3315" s="56">
        <v>0</v>
      </c>
    </row>
    <row r="3316" spans="1:1" x14ac:dyDescent="0.25">
      <c r="A3316" s="56">
        <v>10446053.300000001</v>
      </c>
    </row>
    <row r="3317" spans="1:1" x14ac:dyDescent="0.25">
      <c r="A3317" s="56">
        <v>37028428.099999897</v>
      </c>
    </row>
    <row r="3318" spans="1:1" x14ac:dyDescent="0.25">
      <c r="A3318" s="56">
        <v>25807508.899999999</v>
      </c>
    </row>
    <row r="3319" spans="1:1" x14ac:dyDescent="0.25">
      <c r="A3319" s="56">
        <v>175971774.90000001</v>
      </c>
    </row>
    <row r="3320" spans="1:1" x14ac:dyDescent="0.25">
      <c r="A3320" s="56">
        <v>30572137.199999999</v>
      </c>
    </row>
    <row r="3321" spans="1:1" x14ac:dyDescent="0.25">
      <c r="A3321" s="56">
        <v>0</v>
      </c>
    </row>
    <row r="3322" spans="1:1" x14ac:dyDescent="0.25">
      <c r="A3322" s="56">
        <v>45711905.600000001</v>
      </c>
    </row>
    <row r="3323" spans="1:1" x14ac:dyDescent="0.25">
      <c r="A3323" s="56">
        <v>20716617.5</v>
      </c>
    </row>
    <row r="3324" spans="1:1" x14ac:dyDescent="0.25">
      <c r="A3324" s="56">
        <v>225735520.30000001</v>
      </c>
    </row>
    <row r="3325" spans="1:1" x14ac:dyDescent="0.25">
      <c r="A3325" s="56">
        <v>1121621.2</v>
      </c>
    </row>
    <row r="3326" spans="1:1" x14ac:dyDescent="0.25">
      <c r="A3326" s="56">
        <v>15160273.9</v>
      </c>
    </row>
    <row r="3327" spans="1:1" x14ac:dyDescent="0.25">
      <c r="A3327" s="56">
        <v>15892193.5</v>
      </c>
    </row>
    <row r="3328" spans="1:1" x14ac:dyDescent="0.25">
      <c r="A3328" s="56">
        <v>8184910</v>
      </c>
    </row>
    <row r="3329" spans="1:1" x14ac:dyDescent="0.25">
      <c r="A3329" s="56">
        <v>37733056.799999997</v>
      </c>
    </row>
    <row r="3330" spans="1:1" x14ac:dyDescent="0.25">
      <c r="A3330" s="56">
        <v>99558306.699999899</v>
      </c>
    </row>
    <row r="3331" spans="1:1" x14ac:dyDescent="0.25">
      <c r="A3331" s="56">
        <v>48938622.299999997</v>
      </c>
    </row>
    <row r="3332" spans="1:1" x14ac:dyDescent="0.25">
      <c r="A3332" s="56">
        <v>293641127.99999899</v>
      </c>
    </row>
    <row r="3333" spans="1:1" x14ac:dyDescent="0.25">
      <c r="A3333" s="56">
        <v>17662151</v>
      </c>
    </row>
    <row r="3334" spans="1:1" x14ac:dyDescent="0.25">
      <c r="A3334" s="56">
        <v>97541148.899999902</v>
      </c>
    </row>
    <row r="3335" spans="1:1" x14ac:dyDescent="0.25">
      <c r="A3335" s="56">
        <v>0</v>
      </c>
    </row>
    <row r="3336" spans="1:1" x14ac:dyDescent="0.25">
      <c r="A3336" s="56">
        <v>0</v>
      </c>
    </row>
    <row r="3337" spans="1:1" x14ac:dyDescent="0.25">
      <c r="A3337" s="56">
        <v>11967555.9</v>
      </c>
    </row>
    <row r="3338" spans="1:1" x14ac:dyDescent="0.25">
      <c r="A3338" s="56">
        <v>35286250.5</v>
      </c>
    </row>
    <row r="3339" spans="1:1" x14ac:dyDescent="0.25">
      <c r="A3339" s="56">
        <v>38935797.5</v>
      </c>
    </row>
    <row r="3340" spans="1:1" x14ac:dyDescent="0.25">
      <c r="A3340" s="56">
        <v>72505618.399999902</v>
      </c>
    </row>
    <row r="3341" spans="1:1" x14ac:dyDescent="0.25">
      <c r="A3341" s="56">
        <v>38840239.599999897</v>
      </c>
    </row>
    <row r="3342" spans="1:1" x14ac:dyDescent="0.25">
      <c r="A3342" s="56">
        <v>657356.4</v>
      </c>
    </row>
    <row r="3343" spans="1:1" x14ac:dyDescent="0.25">
      <c r="A3343" s="56">
        <v>16341951.5</v>
      </c>
    </row>
    <row r="3344" spans="1:1" x14ac:dyDescent="0.25">
      <c r="A3344" s="56">
        <v>7649888.4999999898</v>
      </c>
    </row>
    <row r="3345" spans="1:1" x14ac:dyDescent="0.25">
      <c r="A3345" s="56">
        <v>24926902.699999999</v>
      </c>
    </row>
    <row r="3346" spans="1:1" x14ac:dyDescent="0.25">
      <c r="A3346" s="56">
        <v>11619694.699999999</v>
      </c>
    </row>
    <row r="3347" spans="1:1" x14ac:dyDescent="0.25">
      <c r="A3347" s="56">
        <v>18906596.399999999</v>
      </c>
    </row>
    <row r="3348" spans="1:1" x14ac:dyDescent="0.25">
      <c r="A3348" s="56">
        <v>247973954.69999999</v>
      </c>
    </row>
    <row r="3349" spans="1:1" x14ac:dyDescent="0.25">
      <c r="A3349" s="56">
        <v>110945400.2</v>
      </c>
    </row>
    <row r="3350" spans="1:1" x14ac:dyDescent="0.25">
      <c r="A3350" s="56">
        <v>10451267.300000001</v>
      </c>
    </row>
    <row r="3351" spans="1:1" x14ac:dyDescent="0.25">
      <c r="A3351" s="56">
        <v>232355037</v>
      </c>
    </row>
    <row r="3352" spans="1:1" x14ac:dyDescent="0.25">
      <c r="A3352" s="56">
        <v>0</v>
      </c>
    </row>
    <row r="3353" spans="1:1" x14ac:dyDescent="0.25">
      <c r="A3353" s="56">
        <v>9705803.7999999896</v>
      </c>
    </row>
    <row r="3354" spans="1:1" x14ac:dyDescent="0.25">
      <c r="A3354" s="56">
        <v>57208858.299999997</v>
      </c>
    </row>
    <row r="3355" spans="1:1" x14ac:dyDescent="0.25">
      <c r="A3355" s="56">
        <v>0</v>
      </c>
    </row>
    <row r="3356" spans="1:1" x14ac:dyDescent="0.25">
      <c r="A3356" s="56">
        <v>5595573.8999999901</v>
      </c>
    </row>
    <row r="3357" spans="1:1" x14ac:dyDescent="0.25">
      <c r="A3357" s="56">
        <v>23277301.5</v>
      </c>
    </row>
    <row r="3358" spans="1:1" x14ac:dyDescent="0.25">
      <c r="A3358" s="56">
        <v>81440480.899999902</v>
      </c>
    </row>
    <row r="3359" spans="1:1" x14ac:dyDescent="0.25">
      <c r="A3359" s="56">
        <v>61106608.399999902</v>
      </c>
    </row>
    <row r="3360" spans="1:1" x14ac:dyDescent="0.25">
      <c r="A3360" s="56">
        <v>110870973.90000001</v>
      </c>
    </row>
    <row r="3361" spans="1:1" x14ac:dyDescent="0.25">
      <c r="A3361" s="56">
        <v>19668888.100000001</v>
      </c>
    </row>
    <row r="3362" spans="1:1" x14ac:dyDescent="0.25">
      <c r="A3362" s="56">
        <v>10779769</v>
      </c>
    </row>
    <row r="3363" spans="1:1" x14ac:dyDescent="0.25">
      <c r="A3363" s="56">
        <v>65296874.099999897</v>
      </c>
    </row>
    <row r="3364" spans="1:1" x14ac:dyDescent="0.25">
      <c r="A3364" s="56">
        <v>0</v>
      </c>
    </row>
    <row r="3365" spans="1:1" x14ac:dyDescent="0.25">
      <c r="A3365" s="56">
        <v>57794500.899999999</v>
      </c>
    </row>
    <row r="3366" spans="1:1" x14ac:dyDescent="0.25">
      <c r="A3366" s="56">
        <v>45105401.299999997</v>
      </c>
    </row>
    <row r="3367" spans="1:1" x14ac:dyDescent="0.25">
      <c r="A3367" s="56">
        <v>0</v>
      </c>
    </row>
    <row r="3368" spans="1:1" x14ac:dyDescent="0.25">
      <c r="A3368" s="56">
        <v>472968639.19999897</v>
      </c>
    </row>
    <row r="3369" spans="1:1" x14ac:dyDescent="0.25">
      <c r="A3369" s="56">
        <v>86945550.899999902</v>
      </c>
    </row>
    <row r="3370" spans="1:1" x14ac:dyDescent="0.25">
      <c r="A3370" s="56">
        <v>5279414.6999999899</v>
      </c>
    </row>
    <row r="3371" spans="1:1" x14ac:dyDescent="0.25">
      <c r="A3371" s="56">
        <v>0</v>
      </c>
    </row>
    <row r="3372" spans="1:1" x14ac:dyDescent="0.25">
      <c r="A3372" s="56">
        <v>8342121.2000000002</v>
      </c>
    </row>
    <row r="3373" spans="1:1" x14ac:dyDescent="0.25">
      <c r="A3373" s="56">
        <v>6533211.2999999998</v>
      </c>
    </row>
    <row r="3374" spans="1:1" x14ac:dyDescent="0.25">
      <c r="A3374" s="56">
        <v>10245901.6</v>
      </c>
    </row>
    <row r="3375" spans="1:1" x14ac:dyDescent="0.25">
      <c r="A3375" s="56">
        <v>0</v>
      </c>
    </row>
    <row r="3376" spans="1:1" x14ac:dyDescent="0.25">
      <c r="A3376" s="56">
        <v>7778919.0999999996</v>
      </c>
    </row>
    <row r="3377" spans="1:1" x14ac:dyDescent="0.25">
      <c r="A3377" s="56">
        <v>20797278.399999999</v>
      </c>
    </row>
    <row r="3378" spans="1:1" x14ac:dyDescent="0.25">
      <c r="A3378" s="56">
        <v>164238033</v>
      </c>
    </row>
    <row r="3379" spans="1:1" x14ac:dyDescent="0.25">
      <c r="A3379" s="56">
        <v>32783545.100000001</v>
      </c>
    </row>
    <row r="3380" spans="1:1" x14ac:dyDescent="0.25">
      <c r="A3380" s="56">
        <v>156242824.5</v>
      </c>
    </row>
    <row r="3381" spans="1:1" x14ac:dyDescent="0.25">
      <c r="A3381" s="56">
        <v>312372731.19999999</v>
      </c>
    </row>
    <row r="3382" spans="1:1" x14ac:dyDescent="0.25">
      <c r="A3382" s="56">
        <v>122070084.7</v>
      </c>
    </row>
    <row r="3383" spans="1:1" x14ac:dyDescent="0.25">
      <c r="A3383" s="56">
        <v>2331254.2000000002</v>
      </c>
    </row>
    <row r="3384" spans="1:1" x14ac:dyDescent="0.25">
      <c r="A3384" s="56">
        <v>0</v>
      </c>
    </row>
    <row r="3385" spans="1:1" x14ac:dyDescent="0.25">
      <c r="A3385" s="56">
        <v>0</v>
      </c>
    </row>
    <row r="3386" spans="1:1" x14ac:dyDescent="0.25">
      <c r="A3386" s="56">
        <v>0</v>
      </c>
    </row>
    <row r="3387" spans="1:1" x14ac:dyDescent="0.25">
      <c r="A3387" s="56">
        <v>5595573.8999999901</v>
      </c>
    </row>
    <row r="3388" spans="1:1" x14ac:dyDescent="0.25">
      <c r="A3388" s="56">
        <v>167201223.09999999</v>
      </c>
    </row>
    <row r="3389" spans="1:1" x14ac:dyDescent="0.25">
      <c r="A3389" s="56">
        <v>48933786</v>
      </c>
    </row>
    <row r="3390" spans="1:1" x14ac:dyDescent="0.25">
      <c r="A3390" s="56">
        <v>24152881.600000001</v>
      </c>
    </row>
    <row r="3391" spans="1:1" x14ac:dyDescent="0.25">
      <c r="A3391" s="56">
        <v>6636533.2999999896</v>
      </c>
    </row>
    <row r="3392" spans="1:1" x14ac:dyDescent="0.25">
      <c r="A3392" s="56">
        <v>16702627.300000001</v>
      </c>
    </row>
    <row r="3393" spans="1:1" x14ac:dyDescent="0.25">
      <c r="A3393" s="56">
        <v>62388715.600000001</v>
      </c>
    </row>
    <row r="3394" spans="1:1" x14ac:dyDescent="0.25">
      <c r="A3394" s="56">
        <v>3115431.6</v>
      </c>
    </row>
    <row r="3395" spans="1:1" x14ac:dyDescent="0.25">
      <c r="A3395" s="56">
        <v>732092.4</v>
      </c>
    </row>
    <row r="3396" spans="1:1" x14ac:dyDescent="0.25">
      <c r="A3396" s="56">
        <v>14887268.1</v>
      </c>
    </row>
    <row r="3397" spans="1:1" x14ac:dyDescent="0.25">
      <c r="A3397" s="56">
        <v>457671.2</v>
      </c>
    </row>
    <row r="3398" spans="1:1" x14ac:dyDescent="0.25">
      <c r="A3398" s="56">
        <v>361478974.5</v>
      </c>
    </row>
    <row r="3399" spans="1:1" x14ac:dyDescent="0.25">
      <c r="A3399" s="56">
        <v>476064794.60000002</v>
      </c>
    </row>
    <row r="3400" spans="1:1" x14ac:dyDescent="0.25">
      <c r="A3400" s="56">
        <v>17394932.899999999</v>
      </c>
    </row>
    <row r="3401" spans="1:1" x14ac:dyDescent="0.25">
      <c r="A3401" s="56">
        <v>12983749.1</v>
      </c>
    </row>
    <row r="3402" spans="1:1" x14ac:dyDescent="0.25">
      <c r="A3402" s="56">
        <v>23931740.399999999</v>
      </c>
    </row>
    <row r="3403" spans="1:1" x14ac:dyDescent="0.25">
      <c r="A3403" s="56">
        <v>0</v>
      </c>
    </row>
    <row r="3404" spans="1:1" x14ac:dyDescent="0.25">
      <c r="A3404" s="56">
        <v>17783415.600000001</v>
      </c>
    </row>
    <row r="3405" spans="1:1" x14ac:dyDescent="0.25">
      <c r="A3405" s="56">
        <v>7917351.3999999901</v>
      </c>
    </row>
    <row r="3406" spans="1:1" x14ac:dyDescent="0.25">
      <c r="A3406" s="56">
        <v>968160.4</v>
      </c>
    </row>
    <row r="3407" spans="1:1" x14ac:dyDescent="0.25">
      <c r="A3407" s="56">
        <v>0</v>
      </c>
    </row>
    <row r="3408" spans="1:1" x14ac:dyDescent="0.25">
      <c r="A3408" s="56">
        <v>6347785.5</v>
      </c>
    </row>
    <row r="3409" spans="1:1" x14ac:dyDescent="0.25">
      <c r="A3409" s="56">
        <v>0</v>
      </c>
    </row>
    <row r="3410" spans="1:1" x14ac:dyDescent="0.25">
      <c r="A3410" s="56">
        <v>258609534.09999999</v>
      </c>
    </row>
    <row r="3411" spans="1:1" x14ac:dyDescent="0.25">
      <c r="A3411" s="56">
        <v>48583142.200000003</v>
      </c>
    </row>
    <row r="3412" spans="1:1" x14ac:dyDescent="0.25">
      <c r="A3412" s="56">
        <v>56221641.600000001</v>
      </c>
    </row>
    <row r="3413" spans="1:1" x14ac:dyDescent="0.25">
      <c r="A3413" s="56">
        <v>0</v>
      </c>
    </row>
    <row r="3414" spans="1:1" x14ac:dyDescent="0.25">
      <c r="A3414" s="56">
        <v>305289314.5</v>
      </c>
    </row>
    <row r="3415" spans="1:1" x14ac:dyDescent="0.25">
      <c r="A3415" s="56">
        <v>46180207.899999999</v>
      </c>
    </row>
    <row r="3416" spans="1:1" x14ac:dyDescent="0.25">
      <c r="A3416" s="56">
        <v>657356.4</v>
      </c>
    </row>
    <row r="3417" spans="1:1" x14ac:dyDescent="0.25">
      <c r="A3417" s="56">
        <v>5952057</v>
      </c>
    </row>
    <row r="3418" spans="1:1" x14ac:dyDescent="0.25">
      <c r="A3418" s="56">
        <v>31801736.199999999</v>
      </c>
    </row>
    <row r="3419" spans="1:1" x14ac:dyDescent="0.25">
      <c r="A3419" s="56">
        <v>0</v>
      </c>
    </row>
    <row r="3420" spans="1:1" x14ac:dyDescent="0.25">
      <c r="A3420" s="56">
        <v>240435359.199999</v>
      </c>
    </row>
    <row r="3421" spans="1:1" x14ac:dyDescent="0.25">
      <c r="A3421" s="56">
        <v>2173492.4</v>
      </c>
    </row>
    <row r="3422" spans="1:1" x14ac:dyDescent="0.25">
      <c r="A3422" s="56">
        <v>105215619.5</v>
      </c>
    </row>
    <row r="3423" spans="1:1" x14ac:dyDescent="0.25">
      <c r="A3423" s="56">
        <v>5565685.2999999998</v>
      </c>
    </row>
    <row r="3424" spans="1:1" x14ac:dyDescent="0.25">
      <c r="A3424" s="56">
        <v>0</v>
      </c>
    </row>
    <row r="3425" spans="1:1" x14ac:dyDescent="0.25">
      <c r="A3425" s="56">
        <v>12673809.9</v>
      </c>
    </row>
    <row r="3426" spans="1:1" x14ac:dyDescent="0.25">
      <c r="A3426" s="56">
        <v>31114497.5</v>
      </c>
    </row>
    <row r="3427" spans="1:1" x14ac:dyDescent="0.25">
      <c r="A3427" s="56">
        <v>22761488.699999999</v>
      </c>
    </row>
    <row r="3428" spans="1:1" x14ac:dyDescent="0.25">
      <c r="A3428" s="56">
        <v>124268850.09999999</v>
      </c>
    </row>
    <row r="3429" spans="1:1" x14ac:dyDescent="0.25">
      <c r="A3429" s="56">
        <v>15950121.9</v>
      </c>
    </row>
    <row r="3430" spans="1:1" x14ac:dyDescent="0.25">
      <c r="A3430" s="56">
        <v>65973972.700000003</v>
      </c>
    </row>
    <row r="3431" spans="1:1" x14ac:dyDescent="0.25">
      <c r="A3431" s="56">
        <v>183355117.5</v>
      </c>
    </row>
    <row r="3432" spans="1:1" x14ac:dyDescent="0.25">
      <c r="A3432" s="56">
        <v>226773468.40000001</v>
      </c>
    </row>
    <row r="3433" spans="1:1" x14ac:dyDescent="0.25">
      <c r="A3433" s="56">
        <v>38279700.700000003</v>
      </c>
    </row>
    <row r="3434" spans="1:1" x14ac:dyDescent="0.25">
      <c r="A3434" s="56">
        <v>542588366.39999998</v>
      </c>
    </row>
    <row r="3435" spans="1:1" x14ac:dyDescent="0.25">
      <c r="A3435" s="56">
        <v>0</v>
      </c>
    </row>
    <row r="3436" spans="1:1" x14ac:dyDescent="0.25">
      <c r="A3436" s="56">
        <v>318695320.5</v>
      </c>
    </row>
    <row r="3437" spans="1:1" x14ac:dyDescent="0.25">
      <c r="A3437" s="56">
        <v>5972695.3999999901</v>
      </c>
    </row>
    <row r="3438" spans="1:1" x14ac:dyDescent="0.25">
      <c r="A3438" s="56">
        <v>7179822.9999999898</v>
      </c>
    </row>
    <row r="3439" spans="1:1" x14ac:dyDescent="0.25">
      <c r="A3439" s="56">
        <v>113165249.7</v>
      </c>
    </row>
    <row r="3440" spans="1:1" x14ac:dyDescent="0.25">
      <c r="A3440" s="56">
        <v>8628584</v>
      </c>
    </row>
    <row r="3441" spans="1:1" x14ac:dyDescent="0.25">
      <c r="A3441" s="56">
        <v>22206228.300000001</v>
      </c>
    </row>
    <row r="3442" spans="1:1" x14ac:dyDescent="0.25">
      <c r="A3442" s="56">
        <v>20199052.600000001</v>
      </c>
    </row>
    <row r="3443" spans="1:1" x14ac:dyDescent="0.25">
      <c r="A3443" s="56">
        <v>10454417.4</v>
      </c>
    </row>
    <row r="3444" spans="1:1" x14ac:dyDescent="0.25">
      <c r="A3444" s="56">
        <v>51620817.099999897</v>
      </c>
    </row>
    <row r="3445" spans="1:1" x14ac:dyDescent="0.25">
      <c r="A3445" s="56">
        <v>28512526.899999999</v>
      </c>
    </row>
    <row r="3446" spans="1:1" x14ac:dyDescent="0.25">
      <c r="A3446" s="56">
        <v>0</v>
      </c>
    </row>
    <row r="3447" spans="1:1" x14ac:dyDescent="0.25">
      <c r="A3447" s="56">
        <v>128557254</v>
      </c>
    </row>
    <row r="3448" spans="1:1" x14ac:dyDescent="0.25">
      <c r="A3448" s="56">
        <v>176500966.80000001</v>
      </c>
    </row>
    <row r="3449" spans="1:1" x14ac:dyDescent="0.25">
      <c r="A3449" s="56">
        <v>68235917</v>
      </c>
    </row>
    <row r="3450" spans="1:1" x14ac:dyDescent="0.25">
      <c r="A3450" s="56">
        <v>6248774.6999999899</v>
      </c>
    </row>
    <row r="3451" spans="1:1" x14ac:dyDescent="0.25">
      <c r="A3451" s="56">
        <v>26011018.800000001</v>
      </c>
    </row>
    <row r="3452" spans="1:1" x14ac:dyDescent="0.25">
      <c r="A3452" s="56">
        <v>24050753.399999999</v>
      </c>
    </row>
    <row r="3453" spans="1:1" x14ac:dyDescent="0.25">
      <c r="A3453" s="56">
        <v>7832428.6999999899</v>
      </c>
    </row>
    <row r="3454" spans="1:1" x14ac:dyDescent="0.25">
      <c r="A3454" s="56">
        <v>24838379.100000001</v>
      </c>
    </row>
    <row r="3455" spans="1:1" x14ac:dyDescent="0.25">
      <c r="A3455" s="56">
        <v>112379580.5</v>
      </c>
    </row>
    <row r="3456" spans="1:1" x14ac:dyDescent="0.25">
      <c r="A3456" s="56">
        <v>106559353.7</v>
      </c>
    </row>
    <row r="3457" spans="1:1" x14ac:dyDescent="0.25">
      <c r="A3457" s="56">
        <v>6338873.7999999998</v>
      </c>
    </row>
    <row r="3458" spans="1:1" x14ac:dyDescent="0.25">
      <c r="A3458" s="56">
        <v>0</v>
      </c>
    </row>
    <row r="3459" spans="1:1" x14ac:dyDescent="0.25">
      <c r="A3459" s="56">
        <v>113587492.90000001</v>
      </c>
    </row>
    <row r="3460" spans="1:1" x14ac:dyDescent="0.25">
      <c r="A3460" s="56">
        <v>63591495.599999897</v>
      </c>
    </row>
    <row r="3461" spans="1:1" x14ac:dyDescent="0.25">
      <c r="A3461" s="56">
        <v>24126712.600000001</v>
      </c>
    </row>
    <row r="3462" spans="1:1" x14ac:dyDescent="0.25">
      <c r="A3462" s="56">
        <v>5443089</v>
      </c>
    </row>
    <row r="3463" spans="1:1" x14ac:dyDescent="0.25">
      <c r="A3463" s="56">
        <v>253207821.5</v>
      </c>
    </row>
    <row r="3464" spans="1:1" x14ac:dyDescent="0.25">
      <c r="A3464" s="56">
        <v>0</v>
      </c>
    </row>
    <row r="3465" spans="1:1" x14ac:dyDescent="0.25">
      <c r="A3465" s="56">
        <v>63255984.200000003</v>
      </c>
    </row>
    <row r="3466" spans="1:1" x14ac:dyDescent="0.25">
      <c r="A3466" s="56">
        <v>30146550.5</v>
      </c>
    </row>
    <row r="3467" spans="1:1" x14ac:dyDescent="0.25">
      <c r="A3467" s="56">
        <v>31690085.800000001</v>
      </c>
    </row>
    <row r="3468" spans="1:1" x14ac:dyDescent="0.25">
      <c r="A3468" s="56">
        <v>7108803.7999999998</v>
      </c>
    </row>
    <row r="3469" spans="1:1" x14ac:dyDescent="0.25">
      <c r="A3469" s="56">
        <v>46264062.5</v>
      </c>
    </row>
    <row r="3470" spans="1:1" x14ac:dyDescent="0.25">
      <c r="A3470" s="56">
        <v>34647539.200000003</v>
      </c>
    </row>
    <row r="3471" spans="1:1" x14ac:dyDescent="0.25">
      <c r="A3471" s="56">
        <v>120160811.09999999</v>
      </c>
    </row>
    <row r="3472" spans="1:1" x14ac:dyDescent="0.25">
      <c r="A3472" s="56">
        <v>4129080</v>
      </c>
    </row>
    <row r="3473" spans="1:1" x14ac:dyDescent="0.25">
      <c r="A3473" s="56">
        <v>40646955.5</v>
      </c>
    </row>
    <row r="3474" spans="1:1" x14ac:dyDescent="0.25">
      <c r="A3474" s="56">
        <v>32590081.800000001</v>
      </c>
    </row>
    <row r="3475" spans="1:1" x14ac:dyDescent="0.25">
      <c r="A3475" s="56">
        <v>0</v>
      </c>
    </row>
    <row r="3476" spans="1:1" x14ac:dyDescent="0.25">
      <c r="A3476" s="56">
        <v>421115229</v>
      </c>
    </row>
    <row r="3477" spans="1:1" x14ac:dyDescent="0.25">
      <c r="A3477" s="56">
        <v>40529322.700000003</v>
      </c>
    </row>
    <row r="3478" spans="1:1" x14ac:dyDescent="0.25">
      <c r="A3478" s="56">
        <v>0</v>
      </c>
    </row>
    <row r="3479" spans="1:1" x14ac:dyDescent="0.25">
      <c r="A3479" s="56">
        <v>1954814</v>
      </c>
    </row>
    <row r="3480" spans="1:1" x14ac:dyDescent="0.25">
      <c r="A3480" s="56">
        <v>51589669.200000003</v>
      </c>
    </row>
    <row r="3481" spans="1:1" x14ac:dyDescent="0.25">
      <c r="A3481" s="56">
        <v>47147646.200000003</v>
      </c>
    </row>
    <row r="3482" spans="1:1" x14ac:dyDescent="0.25">
      <c r="A3482" s="56">
        <v>17499148</v>
      </c>
    </row>
    <row r="3483" spans="1:1" x14ac:dyDescent="0.25">
      <c r="A3483" s="56">
        <v>23800913.399999999</v>
      </c>
    </row>
    <row r="3484" spans="1:1" x14ac:dyDescent="0.25">
      <c r="A3484" s="56">
        <v>34501189.700000003</v>
      </c>
    </row>
    <row r="3485" spans="1:1" x14ac:dyDescent="0.25">
      <c r="A3485" s="56">
        <v>11275308.1</v>
      </c>
    </row>
    <row r="3486" spans="1:1" x14ac:dyDescent="0.25">
      <c r="A3486" s="56">
        <v>22765771.600000001</v>
      </c>
    </row>
    <row r="3487" spans="1:1" x14ac:dyDescent="0.25">
      <c r="A3487" s="56">
        <v>15070696.6</v>
      </c>
    </row>
    <row r="3488" spans="1:1" x14ac:dyDescent="0.25">
      <c r="A3488" s="56">
        <v>208517.2</v>
      </c>
    </row>
    <row r="3489" spans="1:1" x14ac:dyDescent="0.25">
      <c r="A3489" s="56">
        <v>30025496</v>
      </c>
    </row>
    <row r="3490" spans="1:1" x14ac:dyDescent="0.25">
      <c r="A3490" s="56">
        <v>6064353.2000000002</v>
      </c>
    </row>
    <row r="3491" spans="1:1" x14ac:dyDescent="0.25">
      <c r="A3491" s="56">
        <v>25644039.5</v>
      </c>
    </row>
    <row r="3492" spans="1:1" x14ac:dyDescent="0.25">
      <c r="A3492" s="56">
        <v>6189634.7999999998</v>
      </c>
    </row>
    <row r="3493" spans="1:1" x14ac:dyDescent="0.25">
      <c r="A3493" s="56">
        <v>74893498.999999896</v>
      </c>
    </row>
    <row r="3494" spans="1:1" x14ac:dyDescent="0.25">
      <c r="A3494" s="56">
        <v>0</v>
      </c>
    </row>
    <row r="3495" spans="1:1" x14ac:dyDescent="0.25">
      <c r="A3495" s="56">
        <v>160434308.09999999</v>
      </c>
    </row>
    <row r="3496" spans="1:1" x14ac:dyDescent="0.25">
      <c r="A3496" s="56">
        <v>25791907.300000001</v>
      </c>
    </row>
    <row r="3497" spans="1:1" x14ac:dyDescent="0.25">
      <c r="A3497" s="56">
        <v>55262509.600000001</v>
      </c>
    </row>
    <row r="3498" spans="1:1" x14ac:dyDescent="0.25">
      <c r="A3498" s="56">
        <v>26408394.5</v>
      </c>
    </row>
    <row r="3499" spans="1:1" x14ac:dyDescent="0.25">
      <c r="A3499" s="56">
        <v>46706595.899999999</v>
      </c>
    </row>
    <row r="3500" spans="1:1" x14ac:dyDescent="0.25">
      <c r="A3500" s="56">
        <v>10006061.9</v>
      </c>
    </row>
    <row r="3501" spans="1:1" x14ac:dyDescent="0.25">
      <c r="A3501" s="56">
        <v>2127644.4</v>
      </c>
    </row>
    <row r="3502" spans="1:1" x14ac:dyDescent="0.25">
      <c r="A3502" s="56">
        <v>48959186.099999897</v>
      </c>
    </row>
    <row r="3503" spans="1:1" x14ac:dyDescent="0.25">
      <c r="A3503" s="56">
        <v>268497527.5</v>
      </c>
    </row>
    <row r="3504" spans="1:1" x14ac:dyDescent="0.25">
      <c r="A3504" s="56">
        <v>6644875.2999999998</v>
      </c>
    </row>
    <row r="3505" spans="1:1" x14ac:dyDescent="0.25">
      <c r="A3505" s="56">
        <v>16951589.399999999</v>
      </c>
    </row>
    <row r="3506" spans="1:1" x14ac:dyDescent="0.25">
      <c r="A3506" s="56">
        <v>27118709.199999999</v>
      </c>
    </row>
    <row r="3507" spans="1:1" x14ac:dyDescent="0.25">
      <c r="A3507" s="56">
        <v>113438158.5</v>
      </c>
    </row>
    <row r="3508" spans="1:1" x14ac:dyDescent="0.25">
      <c r="A3508" s="56">
        <v>18768777.399999999</v>
      </c>
    </row>
    <row r="3509" spans="1:1" x14ac:dyDescent="0.25">
      <c r="A3509" s="56">
        <v>0</v>
      </c>
    </row>
    <row r="3510" spans="1:1" x14ac:dyDescent="0.25">
      <c r="A3510" s="56">
        <v>42307112.399999999</v>
      </c>
    </row>
    <row r="3511" spans="1:1" x14ac:dyDescent="0.25">
      <c r="A3511" s="56">
        <v>44336471.200000003</v>
      </c>
    </row>
    <row r="3512" spans="1:1" x14ac:dyDescent="0.25">
      <c r="A3512" s="56">
        <v>56292970.899999902</v>
      </c>
    </row>
    <row r="3513" spans="1:1" x14ac:dyDescent="0.25">
      <c r="A3513" s="56">
        <v>4122052.2</v>
      </c>
    </row>
    <row r="3514" spans="1:1" x14ac:dyDescent="0.25">
      <c r="A3514" s="56">
        <v>365216107.60000002</v>
      </c>
    </row>
    <row r="3515" spans="1:1" x14ac:dyDescent="0.25">
      <c r="A3515" s="56">
        <v>86957001.299999997</v>
      </c>
    </row>
    <row r="3516" spans="1:1" x14ac:dyDescent="0.25">
      <c r="A3516" s="56">
        <v>0</v>
      </c>
    </row>
    <row r="3517" spans="1:1" x14ac:dyDescent="0.25">
      <c r="A3517" s="56">
        <v>13680444.699999999</v>
      </c>
    </row>
    <row r="3518" spans="1:1" x14ac:dyDescent="0.25">
      <c r="A3518" s="56">
        <v>10037442</v>
      </c>
    </row>
    <row r="3519" spans="1:1" x14ac:dyDescent="0.25">
      <c r="A3519" s="56">
        <v>13624490.199999999</v>
      </c>
    </row>
    <row r="3520" spans="1:1" x14ac:dyDescent="0.25">
      <c r="A3520" s="56">
        <v>19333104.600000001</v>
      </c>
    </row>
    <row r="3521" spans="1:1" x14ac:dyDescent="0.25">
      <c r="A3521" s="56">
        <v>21494661.300000001</v>
      </c>
    </row>
    <row r="3522" spans="1:1" x14ac:dyDescent="0.25">
      <c r="A3522" s="56">
        <v>2394541.7999999998</v>
      </c>
    </row>
    <row r="3523" spans="1:1" x14ac:dyDescent="0.25">
      <c r="A3523" s="56">
        <v>158968616.30000001</v>
      </c>
    </row>
    <row r="3524" spans="1:1" x14ac:dyDescent="0.25">
      <c r="A3524" s="56">
        <v>6248774.6999999899</v>
      </c>
    </row>
    <row r="3525" spans="1:1" x14ac:dyDescent="0.25">
      <c r="A3525" s="56">
        <v>5634307.6999999899</v>
      </c>
    </row>
    <row r="3526" spans="1:1" x14ac:dyDescent="0.25">
      <c r="A3526" s="56">
        <v>153220.4</v>
      </c>
    </row>
    <row r="3527" spans="1:1" x14ac:dyDescent="0.25">
      <c r="A3527" s="56">
        <v>17002992.899999999</v>
      </c>
    </row>
    <row r="3528" spans="1:1" x14ac:dyDescent="0.25">
      <c r="A3528" s="56">
        <v>5093673.8999999901</v>
      </c>
    </row>
    <row r="3529" spans="1:1" x14ac:dyDescent="0.25">
      <c r="A3529" s="56">
        <v>17060270.800000001</v>
      </c>
    </row>
    <row r="3530" spans="1:1" x14ac:dyDescent="0.25">
      <c r="A3530" s="56">
        <v>744382</v>
      </c>
    </row>
    <row r="3531" spans="1:1" x14ac:dyDescent="0.25">
      <c r="A3531" s="56">
        <v>0</v>
      </c>
    </row>
    <row r="3532" spans="1:1" x14ac:dyDescent="0.25">
      <c r="A3532" s="56">
        <v>1059340</v>
      </c>
    </row>
    <row r="3533" spans="1:1" x14ac:dyDescent="0.25">
      <c r="A3533" s="56">
        <v>47261540.899999999</v>
      </c>
    </row>
    <row r="3534" spans="1:1" x14ac:dyDescent="0.25">
      <c r="A3534" s="56">
        <v>44784455.899999999</v>
      </c>
    </row>
    <row r="3535" spans="1:1" x14ac:dyDescent="0.25">
      <c r="A3535" s="56">
        <v>78920329</v>
      </c>
    </row>
    <row r="3536" spans="1:1" x14ac:dyDescent="0.25">
      <c r="A3536" s="56">
        <v>66863263.5</v>
      </c>
    </row>
    <row r="3537" spans="1:1" x14ac:dyDescent="0.25">
      <c r="A3537" s="56">
        <v>29067296.600000001</v>
      </c>
    </row>
    <row r="3538" spans="1:1" x14ac:dyDescent="0.25">
      <c r="A3538" s="56">
        <v>5847895.8999999901</v>
      </c>
    </row>
    <row r="3539" spans="1:1" x14ac:dyDescent="0.25">
      <c r="A3539" s="56">
        <v>43404755.899999999</v>
      </c>
    </row>
    <row r="3540" spans="1:1" x14ac:dyDescent="0.25">
      <c r="A3540" s="56">
        <v>30373350.899999999</v>
      </c>
    </row>
    <row r="3541" spans="1:1" x14ac:dyDescent="0.25">
      <c r="A3541" s="56">
        <v>125664509.09999999</v>
      </c>
    </row>
    <row r="3542" spans="1:1" x14ac:dyDescent="0.25">
      <c r="A3542" s="56">
        <v>6981476.3999999901</v>
      </c>
    </row>
    <row r="3543" spans="1:1" x14ac:dyDescent="0.25">
      <c r="A3543" s="56">
        <v>39397047.399999999</v>
      </c>
    </row>
    <row r="3544" spans="1:1" x14ac:dyDescent="0.25">
      <c r="A3544" s="56">
        <v>0</v>
      </c>
    </row>
    <row r="3545" spans="1:1" x14ac:dyDescent="0.25">
      <c r="A3545" s="56">
        <v>24886706.899999999</v>
      </c>
    </row>
    <row r="3546" spans="1:1" x14ac:dyDescent="0.25">
      <c r="A3546" s="56">
        <v>0</v>
      </c>
    </row>
    <row r="3547" spans="1:1" x14ac:dyDescent="0.25">
      <c r="A3547" s="56">
        <v>0</v>
      </c>
    </row>
    <row r="3548" spans="1:1" x14ac:dyDescent="0.25">
      <c r="A3548" s="56">
        <v>20396400</v>
      </c>
    </row>
    <row r="3549" spans="1:1" x14ac:dyDescent="0.25">
      <c r="A3549" s="56">
        <v>17011874.899999999</v>
      </c>
    </row>
    <row r="3550" spans="1:1" x14ac:dyDescent="0.25">
      <c r="A3550" s="56">
        <v>36553382.399999999</v>
      </c>
    </row>
    <row r="3551" spans="1:1" x14ac:dyDescent="0.25">
      <c r="A3551" s="56">
        <v>14002515.199999999</v>
      </c>
    </row>
    <row r="3552" spans="1:1" x14ac:dyDescent="0.25">
      <c r="A3552" s="56">
        <v>337509790.39999998</v>
      </c>
    </row>
    <row r="3553" spans="1:1" x14ac:dyDescent="0.25">
      <c r="A3553" s="56">
        <v>463318261.30000001</v>
      </c>
    </row>
    <row r="3554" spans="1:1" x14ac:dyDescent="0.25">
      <c r="A3554" s="56">
        <v>350520762.69999999</v>
      </c>
    </row>
    <row r="3555" spans="1:1" x14ac:dyDescent="0.25">
      <c r="A3555" s="56">
        <v>22934757.100000001</v>
      </c>
    </row>
    <row r="3556" spans="1:1" x14ac:dyDescent="0.25">
      <c r="A3556" s="56">
        <v>101956795.5</v>
      </c>
    </row>
    <row r="3557" spans="1:1" x14ac:dyDescent="0.25">
      <c r="A3557" s="56">
        <v>11536429.6</v>
      </c>
    </row>
    <row r="3558" spans="1:1" x14ac:dyDescent="0.25">
      <c r="A3558" s="56">
        <v>32894790.699999999</v>
      </c>
    </row>
    <row r="3559" spans="1:1" x14ac:dyDescent="0.25">
      <c r="A3559" s="56">
        <v>9624383.0999999996</v>
      </c>
    </row>
    <row r="3560" spans="1:1" x14ac:dyDescent="0.25">
      <c r="A3560" s="56">
        <v>115967395.7</v>
      </c>
    </row>
    <row r="3561" spans="1:1" x14ac:dyDescent="0.25">
      <c r="A3561" s="56">
        <v>62658207.700000003</v>
      </c>
    </row>
    <row r="3562" spans="1:1" x14ac:dyDescent="0.25">
      <c r="A3562" s="56">
        <v>30564320.199999999</v>
      </c>
    </row>
    <row r="3563" spans="1:1" x14ac:dyDescent="0.25">
      <c r="A3563" s="56">
        <v>0</v>
      </c>
    </row>
    <row r="3564" spans="1:1" x14ac:dyDescent="0.25">
      <c r="A3564" s="56">
        <v>3557933</v>
      </c>
    </row>
    <row r="3565" spans="1:1" x14ac:dyDescent="0.25">
      <c r="A3565" s="56">
        <v>86027509.899999902</v>
      </c>
    </row>
    <row r="3566" spans="1:1" x14ac:dyDescent="0.25">
      <c r="A3566" s="56">
        <v>205887302</v>
      </c>
    </row>
    <row r="3567" spans="1:1" x14ac:dyDescent="0.25">
      <c r="A3567" s="56">
        <v>37771860.600000001</v>
      </c>
    </row>
    <row r="3568" spans="1:1" x14ac:dyDescent="0.25">
      <c r="A3568" s="56">
        <v>36761726.799999997</v>
      </c>
    </row>
    <row r="3569" spans="1:1" x14ac:dyDescent="0.25">
      <c r="A3569" s="56">
        <v>64966012.599999897</v>
      </c>
    </row>
    <row r="3570" spans="1:1" x14ac:dyDescent="0.25">
      <c r="A3570" s="56">
        <v>109687049.2</v>
      </c>
    </row>
    <row r="3571" spans="1:1" x14ac:dyDescent="0.25">
      <c r="A3571" s="56">
        <v>20291675.5</v>
      </c>
    </row>
    <row r="3572" spans="1:1" x14ac:dyDescent="0.25">
      <c r="A3572" s="56">
        <v>193221289.40000001</v>
      </c>
    </row>
    <row r="3573" spans="1:1" x14ac:dyDescent="0.25">
      <c r="A3573" s="56">
        <v>34567656.399999999</v>
      </c>
    </row>
    <row r="3574" spans="1:1" x14ac:dyDescent="0.25">
      <c r="A3574" s="56">
        <v>0</v>
      </c>
    </row>
    <row r="3575" spans="1:1" x14ac:dyDescent="0.25">
      <c r="A3575" s="56">
        <v>24854800.600000001</v>
      </c>
    </row>
    <row r="3576" spans="1:1" x14ac:dyDescent="0.25">
      <c r="A3576" s="56">
        <v>189282008</v>
      </c>
    </row>
    <row r="3577" spans="1:1" x14ac:dyDescent="0.25">
      <c r="A3577" s="56">
        <v>9383239.0999999996</v>
      </c>
    </row>
    <row r="3578" spans="1:1" x14ac:dyDescent="0.25">
      <c r="A3578" s="56">
        <v>29622213.899999999</v>
      </c>
    </row>
    <row r="3579" spans="1:1" x14ac:dyDescent="0.25">
      <c r="A3579" s="56">
        <v>3305527.8</v>
      </c>
    </row>
    <row r="3580" spans="1:1" x14ac:dyDescent="0.25">
      <c r="A3580" s="56">
        <v>0</v>
      </c>
    </row>
    <row r="3581" spans="1:1" x14ac:dyDescent="0.25">
      <c r="A3581" s="56">
        <v>150035947</v>
      </c>
    </row>
    <row r="3582" spans="1:1" x14ac:dyDescent="0.25">
      <c r="A3582" s="56">
        <v>5507245.7999999998</v>
      </c>
    </row>
    <row r="3583" spans="1:1" x14ac:dyDescent="0.25">
      <c r="A3583" s="56">
        <v>19536121.100000001</v>
      </c>
    </row>
    <row r="3584" spans="1:1" x14ac:dyDescent="0.25">
      <c r="A3584" s="56">
        <v>48562854.299999997</v>
      </c>
    </row>
    <row r="3585" spans="1:1" x14ac:dyDescent="0.25">
      <c r="A3585" s="56">
        <v>8749131.3999999892</v>
      </c>
    </row>
    <row r="3586" spans="1:1" x14ac:dyDescent="0.25">
      <c r="A3586" s="56">
        <v>12765646.4</v>
      </c>
    </row>
    <row r="3587" spans="1:1" x14ac:dyDescent="0.25">
      <c r="A3587" s="56">
        <v>48883780.5</v>
      </c>
    </row>
    <row r="3588" spans="1:1" x14ac:dyDescent="0.25">
      <c r="A3588" s="56">
        <v>146985110.59999999</v>
      </c>
    </row>
    <row r="3589" spans="1:1" x14ac:dyDescent="0.25">
      <c r="A3589" s="56">
        <v>86966902.199999899</v>
      </c>
    </row>
    <row r="3590" spans="1:1" x14ac:dyDescent="0.25">
      <c r="A3590" s="56">
        <v>266175667.09999999</v>
      </c>
    </row>
    <row r="3591" spans="1:1" x14ac:dyDescent="0.25">
      <c r="A3591" s="56">
        <v>5168048.1999999899</v>
      </c>
    </row>
    <row r="3592" spans="1:1" x14ac:dyDescent="0.25">
      <c r="A3592" s="56">
        <v>18518530.199999999</v>
      </c>
    </row>
    <row r="3593" spans="1:1" x14ac:dyDescent="0.25">
      <c r="A3593" s="56">
        <v>23291820</v>
      </c>
    </row>
    <row r="3594" spans="1:1" x14ac:dyDescent="0.25">
      <c r="A3594" s="56">
        <v>860542.8</v>
      </c>
    </row>
    <row r="3595" spans="1:1" x14ac:dyDescent="0.25">
      <c r="A3595" s="56">
        <v>0</v>
      </c>
    </row>
    <row r="3596" spans="1:1" x14ac:dyDescent="0.25">
      <c r="A3596" s="56">
        <v>9910974.0999999996</v>
      </c>
    </row>
    <row r="3597" spans="1:1" x14ac:dyDescent="0.25">
      <c r="A3597" s="56">
        <v>3434481</v>
      </c>
    </row>
    <row r="3598" spans="1:1" x14ac:dyDescent="0.25">
      <c r="A3598" s="56">
        <v>122787.6</v>
      </c>
    </row>
    <row r="3599" spans="1:1" x14ac:dyDescent="0.25">
      <c r="A3599" s="56">
        <v>41503156</v>
      </c>
    </row>
    <row r="3600" spans="1:1" x14ac:dyDescent="0.25">
      <c r="A3600" s="56">
        <v>49460226.799999997</v>
      </c>
    </row>
    <row r="3601" spans="1:1" x14ac:dyDescent="0.25">
      <c r="A3601" s="56">
        <v>5497167.5999999996</v>
      </c>
    </row>
    <row r="3602" spans="1:1" x14ac:dyDescent="0.25">
      <c r="A3602" s="56">
        <v>16861554.199999999</v>
      </c>
    </row>
    <row r="3603" spans="1:1" x14ac:dyDescent="0.25">
      <c r="A3603" s="56">
        <v>9022099.5</v>
      </c>
    </row>
    <row r="3604" spans="1:1" x14ac:dyDescent="0.25">
      <c r="A3604" s="56">
        <v>19021589.800000001</v>
      </c>
    </row>
    <row r="3605" spans="1:1" x14ac:dyDescent="0.25">
      <c r="A3605" s="56">
        <v>112862856.90000001</v>
      </c>
    </row>
    <row r="3606" spans="1:1" x14ac:dyDescent="0.25">
      <c r="A3606" s="56">
        <v>0</v>
      </c>
    </row>
    <row r="3607" spans="1:1" x14ac:dyDescent="0.25">
      <c r="A3607" s="56">
        <v>17408503.199999999</v>
      </c>
    </row>
    <row r="3608" spans="1:1" x14ac:dyDescent="0.25">
      <c r="A3608" s="56">
        <v>0</v>
      </c>
    </row>
    <row r="3609" spans="1:1" x14ac:dyDescent="0.25">
      <c r="A3609" s="56">
        <v>46927927.299999997</v>
      </c>
    </row>
    <row r="3610" spans="1:1" x14ac:dyDescent="0.25">
      <c r="A3610" s="56">
        <v>386682283.60000002</v>
      </c>
    </row>
    <row r="3611" spans="1:1" x14ac:dyDescent="0.25">
      <c r="A3611" s="56">
        <v>6080472.4999999898</v>
      </c>
    </row>
    <row r="3612" spans="1:1" x14ac:dyDescent="0.25">
      <c r="A3612" s="56">
        <v>10030821.4</v>
      </c>
    </row>
    <row r="3613" spans="1:1" x14ac:dyDescent="0.25">
      <c r="A3613" s="56">
        <v>166999326</v>
      </c>
    </row>
    <row r="3614" spans="1:1" x14ac:dyDescent="0.25">
      <c r="A3614" s="56">
        <v>9144557.6999999899</v>
      </c>
    </row>
    <row r="3615" spans="1:1" x14ac:dyDescent="0.25">
      <c r="A3615" s="56">
        <v>101208561.09999999</v>
      </c>
    </row>
    <row r="3616" spans="1:1" x14ac:dyDescent="0.25">
      <c r="A3616" s="56">
        <v>111609285.5</v>
      </c>
    </row>
    <row r="3617" spans="1:1" x14ac:dyDescent="0.25">
      <c r="A3617" s="56">
        <v>397503717.89999998</v>
      </c>
    </row>
    <row r="3618" spans="1:1" x14ac:dyDescent="0.25">
      <c r="A3618" s="56">
        <v>670568368.99999905</v>
      </c>
    </row>
    <row r="3619" spans="1:1" x14ac:dyDescent="0.25">
      <c r="A3619" s="56">
        <v>2596891.7999999998</v>
      </c>
    </row>
    <row r="3620" spans="1:1" x14ac:dyDescent="0.25">
      <c r="A3620" s="56">
        <v>92309078.199999899</v>
      </c>
    </row>
    <row r="3621" spans="1:1" x14ac:dyDescent="0.25">
      <c r="A3621" s="56">
        <v>45070259.600000001</v>
      </c>
    </row>
    <row r="3622" spans="1:1" x14ac:dyDescent="0.25">
      <c r="A3622" s="56">
        <v>27580419.300000001</v>
      </c>
    </row>
    <row r="3623" spans="1:1" x14ac:dyDescent="0.25">
      <c r="A3623" s="56">
        <v>11340305.9</v>
      </c>
    </row>
    <row r="3624" spans="1:1" x14ac:dyDescent="0.25">
      <c r="A3624" s="56">
        <v>4622589.5999999996</v>
      </c>
    </row>
    <row r="3625" spans="1:1" x14ac:dyDescent="0.25">
      <c r="A3625" s="56">
        <v>715980</v>
      </c>
    </row>
    <row r="3626" spans="1:1" x14ac:dyDescent="0.25">
      <c r="A3626" s="56">
        <v>5978853.2999999998</v>
      </c>
    </row>
    <row r="3627" spans="1:1" x14ac:dyDescent="0.25">
      <c r="A3627" s="56">
        <v>32580668.699999999</v>
      </c>
    </row>
    <row r="3628" spans="1:1" x14ac:dyDescent="0.25">
      <c r="A3628" s="56">
        <v>17250025.699999999</v>
      </c>
    </row>
    <row r="3629" spans="1:1" x14ac:dyDescent="0.25">
      <c r="A3629" s="56">
        <v>547213682.59999895</v>
      </c>
    </row>
    <row r="3630" spans="1:1" x14ac:dyDescent="0.25">
      <c r="A3630" s="56">
        <v>5938822.1999999899</v>
      </c>
    </row>
    <row r="3631" spans="1:1" x14ac:dyDescent="0.25">
      <c r="A3631" s="56">
        <v>0</v>
      </c>
    </row>
    <row r="3632" spans="1:1" x14ac:dyDescent="0.25">
      <c r="A3632" s="56">
        <v>19990277</v>
      </c>
    </row>
    <row r="3633" spans="1:1" x14ac:dyDescent="0.25">
      <c r="A3633" s="56">
        <v>0</v>
      </c>
    </row>
    <row r="3634" spans="1:1" x14ac:dyDescent="0.25">
      <c r="A3634" s="56">
        <v>0</v>
      </c>
    </row>
    <row r="3635" spans="1:1" x14ac:dyDescent="0.25">
      <c r="A3635" s="56">
        <v>72983441.899999902</v>
      </c>
    </row>
    <row r="3636" spans="1:1" x14ac:dyDescent="0.25">
      <c r="A3636" s="56">
        <v>5043773.6999999899</v>
      </c>
    </row>
    <row r="3637" spans="1:1" x14ac:dyDescent="0.25">
      <c r="A3637" s="56">
        <v>0</v>
      </c>
    </row>
    <row r="3638" spans="1:1" x14ac:dyDescent="0.25">
      <c r="A3638" s="56">
        <v>13575638.6</v>
      </c>
    </row>
    <row r="3639" spans="1:1" x14ac:dyDescent="0.25">
      <c r="A3639" s="56">
        <v>29588787.100000001</v>
      </c>
    </row>
    <row r="3640" spans="1:1" x14ac:dyDescent="0.25">
      <c r="A3640" s="56">
        <v>0</v>
      </c>
    </row>
    <row r="3641" spans="1:1" x14ac:dyDescent="0.25">
      <c r="A3641" s="56">
        <v>490185867.19999999</v>
      </c>
    </row>
    <row r="3642" spans="1:1" x14ac:dyDescent="0.25">
      <c r="A3642" s="56">
        <v>70357776.799999997</v>
      </c>
    </row>
    <row r="3643" spans="1:1" x14ac:dyDescent="0.25">
      <c r="A3643" s="56">
        <v>4692946</v>
      </c>
    </row>
    <row r="3644" spans="1:1" x14ac:dyDescent="0.25">
      <c r="A3644" s="56">
        <v>76161035.599999905</v>
      </c>
    </row>
    <row r="3645" spans="1:1" x14ac:dyDescent="0.25">
      <c r="A3645" s="56">
        <v>79868875.399999902</v>
      </c>
    </row>
    <row r="3646" spans="1:1" x14ac:dyDescent="0.25">
      <c r="A3646" s="56">
        <v>28201748.800000001</v>
      </c>
    </row>
    <row r="3647" spans="1:1" x14ac:dyDescent="0.25">
      <c r="A3647" s="56">
        <v>154591511.19999999</v>
      </c>
    </row>
    <row r="3648" spans="1:1" x14ac:dyDescent="0.25">
      <c r="A3648" s="56">
        <v>18304827.199999999</v>
      </c>
    </row>
    <row r="3649" spans="1:1" x14ac:dyDescent="0.25">
      <c r="A3649" s="56">
        <v>143644925.90000001</v>
      </c>
    </row>
    <row r="3650" spans="1:1" x14ac:dyDescent="0.25">
      <c r="A3650" s="56">
        <v>40073725.399999999</v>
      </c>
    </row>
    <row r="3651" spans="1:1" x14ac:dyDescent="0.25">
      <c r="A3651" s="56">
        <v>20281829.899999999</v>
      </c>
    </row>
    <row r="3652" spans="1:1" x14ac:dyDescent="0.25">
      <c r="A3652" s="56">
        <v>34623561.899999999</v>
      </c>
    </row>
    <row r="3653" spans="1:1" x14ac:dyDescent="0.25">
      <c r="A3653" s="56">
        <v>36041978.599999897</v>
      </c>
    </row>
    <row r="3654" spans="1:1" x14ac:dyDescent="0.25">
      <c r="A3654" s="56">
        <v>8582423.2999999896</v>
      </c>
    </row>
    <row r="3655" spans="1:1" x14ac:dyDescent="0.25">
      <c r="A3655" s="56">
        <v>22983980.699999999</v>
      </c>
    </row>
    <row r="3656" spans="1:1" x14ac:dyDescent="0.25">
      <c r="A3656" s="56">
        <v>169819337.19999999</v>
      </c>
    </row>
    <row r="3657" spans="1:1" x14ac:dyDescent="0.25">
      <c r="A3657" s="56">
        <v>15814817.1</v>
      </c>
    </row>
    <row r="3658" spans="1:1" x14ac:dyDescent="0.25">
      <c r="A3658" s="56">
        <v>2685027</v>
      </c>
    </row>
    <row r="3659" spans="1:1" x14ac:dyDescent="0.25">
      <c r="A3659" s="56">
        <v>24558416.600000001</v>
      </c>
    </row>
    <row r="3660" spans="1:1" x14ac:dyDescent="0.25">
      <c r="A3660" s="56">
        <v>0</v>
      </c>
    </row>
    <row r="3661" spans="1:1" x14ac:dyDescent="0.25">
      <c r="A3661" s="56">
        <v>89180272.299999997</v>
      </c>
    </row>
    <row r="3662" spans="1:1" x14ac:dyDescent="0.25">
      <c r="A3662" s="56">
        <v>9740007.4000000004</v>
      </c>
    </row>
    <row r="3663" spans="1:1" x14ac:dyDescent="0.25">
      <c r="A3663" s="56">
        <v>99112380.199999899</v>
      </c>
    </row>
    <row r="3664" spans="1:1" x14ac:dyDescent="0.25">
      <c r="A3664" s="56">
        <v>14458259.9</v>
      </c>
    </row>
    <row r="3665" spans="1:1" x14ac:dyDescent="0.25">
      <c r="A3665" s="56">
        <v>7055557.7999999896</v>
      </c>
    </row>
    <row r="3666" spans="1:1" x14ac:dyDescent="0.25">
      <c r="A3666" s="56">
        <v>67429218.599999905</v>
      </c>
    </row>
    <row r="3667" spans="1:1" x14ac:dyDescent="0.25">
      <c r="A3667" s="56">
        <v>9284917.5999999996</v>
      </c>
    </row>
    <row r="3668" spans="1:1" x14ac:dyDescent="0.25">
      <c r="A3668" s="56">
        <v>18459877.600000001</v>
      </c>
    </row>
    <row r="3669" spans="1:1" x14ac:dyDescent="0.25">
      <c r="A3669" s="56">
        <v>8585177.4999999907</v>
      </c>
    </row>
    <row r="3670" spans="1:1" x14ac:dyDescent="0.25">
      <c r="A3670" s="56">
        <v>16497184</v>
      </c>
    </row>
    <row r="3671" spans="1:1" x14ac:dyDescent="0.25">
      <c r="A3671" s="56">
        <v>6949041.3999999901</v>
      </c>
    </row>
    <row r="3672" spans="1:1" x14ac:dyDescent="0.25">
      <c r="A3672" s="56">
        <v>68323542.200000003</v>
      </c>
    </row>
    <row r="3673" spans="1:1" x14ac:dyDescent="0.25">
      <c r="A3673" s="56">
        <v>11918773.1</v>
      </c>
    </row>
    <row r="3674" spans="1:1" x14ac:dyDescent="0.25">
      <c r="A3674" s="56">
        <v>70337398</v>
      </c>
    </row>
    <row r="3675" spans="1:1" x14ac:dyDescent="0.25">
      <c r="A3675" s="56">
        <v>28903453.699999999</v>
      </c>
    </row>
    <row r="3676" spans="1:1" x14ac:dyDescent="0.25">
      <c r="A3676" s="56">
        <v>657356.4</v>
      </c>
    </row>
    <row r="3677" spans="1:1" x14ac:dyDescent="0.25">
      <c r="A3677" s="56">
        <v>410309158.69999999</v>
      </c>
    </row>
    <row r="3678" spans="1:1" x14ac:dyDescent="0.25">
      <c r="A3678" s="56">
        <v>58841411.799999997</v>
      </c>
    </row>
    <row r="3679" spans="1:1" x14ac:dyDescent="0.25">
      <c r="A3679" s="56">
        <v>127045020.5</v>
      </c>
    </row>
    <row r="3680" spans="1:1" x14ac:dyDescent="0.25">
      <c r="A3680" s="56">
        <v>357893334.30000001</v>
      </c>
    </row>
    <row r="3681" spans="1:1" x14ac:dyDescent="0.25">
      <c r="A3681" s="56">
        <v>12681814</v>
      </c>
    </row>
    <row r="3682" spans="1:1" x14ac:dyDescent="0.25">
      <c r="A3682" s="56">
        <v>11704442.9</v>
      </c>
    </row>
    <row r="3683" spans="1:1" x14ac:dyDescent="0.25">
      <c r="A3683" s="56">
        <v>1948908.6</v>
      </c>
    </row>
    <row r="3684" spans="1:1" x14ac:dyDescent="0.25">
      <c r="A3684" s="56">
        <v>111183246.90000001</v>
      </c>
    </row>
    <row r="3685" spans="1:1" x14ac:dyDescent="0.25">
      <c r="A3685" s="56">
        <v>44419281.100000001</v>
      </c>
    </row>
    <row r="3686" spans="1:1" x14ac:dyDescent="0.25">
      <c r="A3686" s="56">
        <v>103640064.7</v>
      </c>
    </row>
    <row r="3687" spans="1:1" x14ac:dyDescent="0.25">
      <c r="A3687" s="56">
        <v>0</v>
      </c>
    </row>
    <row r="3688" spans="1:1" x14ac:dyDescent="0.25">
      <c r="A3688" s="56">
        <v>10663715</v>
      </c>
    </row>
    <row r="3689" spans="1:1" x14ac:dyDescent="0.25">
      <c r="A3689" s="56">
        <v>13543453.800000001</v>
      </c>
    </row>
    <row r="3690" spans="1:1" x14ac:dyDescent="0.25">
      <c r="A3690" s="56">
        <v>0</v>
      </c>
    </row>
    <row r="3691" spans="1:1" x14ac:dyDescent="0.25">
      <c r="A3691" s="56">
        <v>64006356</v>
      </c>
    </row>
    <row r="3692" spans="1:1" x14ac:dyDescent="0.25">
      <c r="A3692" s="56">
        <v>0</v>
      </c>
    </row>
    <row r="3693" spans="1:1" x14ac:dyDescent="0.25">
      <c r="A3693" s="56">
        <v>111528618.2</v>
      </c>
    </row>
    <row r="3694" spans="1:1" x14ac:dyDescent="0.25">
      <c r="A3694" s="56">
        <v>178071539.80000001</v>
      </c>
    </row>
    <row r="3695" spans="1:1" x14ac:dyDescent="0.25">
      <c r="A3695" s="56">
        <v>17780310</v>
      </c>
    </row>
    <row r="3696" spans="1:1" x14ac:dyDescent="0.25">
      <c r="A3696" s="56">
        <v>5083093.3999999901</v>
      </c>
    </row>
    <row r="3697" spans="1:1" x14ac:dyDescent="0.25">
      <c r="A3697" s="56">
        <v>66323626.700000003</v>
      </c>
    </row>
    <row r="3698" spans="1:1" x14ac:dyDescent="0.25">
      <c r="A3698" s="56">
        <v>11370884.300000001</v>
      </c>
    </row>
    <row r="3699" spans="1:1" x14ac:dyDescent="0.25">
      <c r="A3699" s="56">
        <v>38423032.299999997</v>
      </c>
    </row>
    <row r="3700" spans="1:1" x14ac:dyDescent="0.25">
      <c r="A3700" s="56">
        <v>191043480.09999999</v>
      </c>
    </row>
    <row r="3701" spans="1:1" x14ac:dyDescent="0.25">
      <c r="A3701" s="56">
        <v>10793808.5</v>
      </c>
    </row>
    <row r="3702" spans="1:1" x14ac:dyDescent="0.25">
      <c r="A3702" s="56">
        <v>11460285.699999999</v>
      </c>
    </row>
    <row r="3703" spans="1:1" x14ac:dyDescent="0.25">
      <c r="A3703" s="56">
        <v>2283559.7999999998</v>
      </c>
    </row>
    <row r="3704" spans="1:1" x14ac:dyDescent="0.25">
      <c r="A3704" s="56">
        <v>0</v>
      </c>
    </row>
    <row r="3705" spans="1:1" x14ac:dyDescent="0.25">
      <c r="A3705" s="56">
        <v>16918725.699999999</v>
      </c>
    </row>
    <row r="3706" spans="1:1" x14ac:dyDescent="0.25">
      <c r="A3706" s="56">
        <v>232856613.40000001</v>
      </c>
    </row>
    <row r="3707" spans="1:1" x14ac:dyDescent="0.25">
      <c r="A3707" s="56">
        <v>10627640.4</v>
      </c>
    </row>
    <row r="3708" spans="1:1" x14ac:dyDescent="0.25">
      <c r="A3708" s="56">
        <v>14671051.300000001</v>
      </c>
    </row>
    <row r="3709" spans="1:1" x14ac:dyDescent="0.25">
      <c r="A3709" s="56">
        <v>61653552.599999897</v>
      </c>
    </row>
    <row r="3710" spans="1:1" x14ac:dyDescent="0.25">
      <c r="A3710" s="56">
        <v>28168775.2999999</v>
      </c>
    </row>
    <row r="3711" spans="1:1" x14ac:dyDescent="0.25">
      <c r="A3711" s="56">
        <v>69787929.299999997</v>
      </c>
    </row>
    <row r="3712" spans="1:1" x14ac:dyDescent="0.25">
      <c r="A3712" s="56">
        <v>13154064</v>
      </c>
    </row>
    <row r="3713" spans="1:1" x14ac:dyDescent="0.25">
      <c r="A3713" s="56">
        <v>59277543.100000001</v>
      </c>
    </row>
    <row r="3714" spans="1:1" x14ac:dyDescent="0.25">
      <c r="A3714" s="56">
        <v>23529431.300000001</v>
      </c>
    </row>
    <row r="3715" spans="1:1" x14ac:dyDescent="0.25">
      <c r="A3715" s="56">
        <v>181530031.09999999</v>
      </c>
    </row>
    <row r="3716" spans="1:1" x14ac:dyDescent="0.25">
      <c r="A3716" s="56">
        <v>116345379.8</v>
      </c>
    </row>
    <row r="3717" spans="1:1" x14ac:dyDescent="0.25">
      <c r="A3717" s="56">
        <v>1621604</v>
      </c>
    </row>
    <row r="3718" spans="1:1" x14ac:dyDescent="0.25">
      <c r="A3718" s="56">
        <v>9793075.3000000007</v>
      </c>
    </row>
    <row r="3719" spans="1:1" x14ac:dyDescent="0.25">
      <c r="A3719" s="56">
        <v>19816393.399999999</v>
      </c>
    </row>
    <row r="3720" spans="1:1" x14ac:dyDescent="0.25">
      <c r="A3720" s="56">
        <v>12344609.199999999</v>
      </c>
    </row>
    <row r="3721" spans="1:1" x14ac:dyDescent="0.25">
      <c r="A3721" s="56">
        <v>82461540</v>
      </c>
    </row>
    <row r="3722" spans="1:1" x14ac:dyDescent="0.25">
      <c r="A3722" s="56">
        <v>80388374.700000003</v>
      </c>
    </row>
    <row r="3723" spans="1:1" x14ac:dyDescent="0.25">
      <c r="A3723" s="56">
        <v>105895904.3</v>
      </c>
    </row>
    <row r="3724" spans="1:1" x14ac:dyDescent="0.25">
      <c r="A3724" s="56">
        <v>23525783.699999999</v>
      </c>
    </row>
    <row r="3725" spans="1:1" x14ac:dyDescent="0.25">
      <c r="A3725" s="56">
        <v>6741459.5999999996</v>
      </c>
    </row>
    <row r="3726" spans="1:1" x14ac:dyDescent="0.25">
      <c r="A3726" s="56">
        <v>45357701.799999997</v>
      </c>
    </row>
    <row r="3727" spans="1:1" x14ac:dyDescent="0.25">
      <c r="A3727" s="56">
        <v>0</v>
      </c>
    </row>
    <row r="3728" spans="1:1" x14ac:dyDescent="0.25">
      <c r="A3728" s="56">
        <v>20555793.300000001</v>
      </c>
    </row>
    <row r="3729" spans="1:1" x14ac:dyDescent="0.25">
      <c r="A3729" s="56">
        <v>28481965.5</v>
      </c>
    </row>
    <row r="3730" spans="1:1" x14ac:dyDescent="0.25">
      <c r="A3730" s="56">
        <v>10759660.199999999</v>
      </c>
    </row>
    <row r="3731" spans="1:1" x14ac:dyDescent="0.25">
      <c r="A3731" s="56">
        <v>36949709</v>
      </c>
    </row>
    <row r="3732" spans="1:1" x14ac:dyDescent="0.25">
      <c r="A3732" s="56">
        <v>10603988.4</v>
      </c>
    </row>
    <row r="3733" spans="1:1" x14ac:dyDescent="0.25">
      <c r="A3733" s="56">
        <v>42101137.399999999</v>
      </c>
    </row>
    <row r="3734" spans="1:1" x14ac:dyDescent="0.25">
      <c r="A3734" s="56">
        <v>14256128.9</v>
      </c>
    </row>
    <row r="3735" spans="1:1" x14ac:dyDescent="0.25">
      <c r="A3735" s="56">
        <v>143873514</v>
      </c>
    </row>
    <row r="3736" spans="1:1" x14ac:dyDescent="0.25">
      <c r="A3736" s="56">
        <v>0</v>
      </c>
    </row>
    <row r="3737" spans="1:1" x14ac:dyDescent="0.25">
      <c r="A3737" s="56">
        <v>141367111.30000001</v>
      </c>
    </row>
    <row r="3738" spans="1:1" x14ac:dyDescent="0.25">
      <c r="A3738" s="56">
        <v>13735383.9</v>
      </c>
    </row>
    <row r="3739" spans="1:1" x14ac:dyDescent="0.25">
      <c r="A3739" s="56">
        <v>26208894.5</v>
      </c>
    </row>
    <row r="3740" spans="1:1" x14ac:dyDescent="0.25">
      <c r="A3740" s="56">
        <v>34949107.299999997</v>
      </c>
    </row>
    <row r="3741" spans="1:1" x14ac:dyDescent="0.25">
      <c r="A3741" s="56">
        <v>24471732.899999999</v>
      </c>
    </row>
    <row r="3742" spans="1:1" x14ac:dyDescent="0.25">
      <c r="A3742" s="56">
        <v>1954318.4</v>
      </c>
    </row>
    <row r="3743" spans="1:1" x14ac:dyDescent="0.25">
      <c r="A3743" s="56">
        <v>11095440.800000001</v>
      </c>
    </row>
    <row r="3744" spans="1:1" x14ac:dyDescent="0.25">
      <c r="A3744" s="56">
        <v>759643.2</v>
      </c>
    </row>
    <row r="3745" spans="1:1" x14ac:dyDescent="0.25">
      <c r="A3745" s="56">
        <v>2477086.2000000002</v>
      </c>
    </row>
    <row r="3746" spans="1:1" x14ac:dyDescent="0.25">
      <c r="A3746" s="56">
        <v>2854846.6</v>
      </c>
    </row>
    <row r="3747" spans="1:1" x14ac:dyDescent="0.25">
      <c r="A3747" s="56">
        <v>7471761.5</v>
      </c>
    </row>
    <row r="3748" spans="1:1" x14ac:dyDescent="0.25">
      <c r="A3748" s="56">
        <v>5617663.7999999998</v>
      </c>
    </row>
    <row r="3749" spans="1:1" x14ac:dyDescent="0.25">
      <c r="A3749" s="56">
        <v>165088380.80000001</v>
      </c>
    </row>
    <row r="3750" spans="1:1" x14ac:dyDescent="0.25">
      <c r="A3750" s="56">
        <v>6773088.6999999899</v>
      </c>
    </row>
    <row r="3751" spans="1:1" x14ac:dyDescent="0.25">
      <c r="A3751" s="56">
        <v>29773848</v>
      </c>
    </row>
    <row r="3752" spans="1:1" x14ac:dyDescent="0.25">
      <c r="A3752" s="56">
        <v>160909986.30000001</v>
      </c>
    </row>
    <row r="3753" spans="1:1" x14ac:dyDescent="0.25">
      <c r="A3753" s="56">
        <v>19963556.699999999</v>
      </c>
    </row>
    <row r="3754" spans="1:1" x14ac:dyDescent="0.25">
      <c r="A3754" s="56">
        <v>0</v>
      </c>
    </row>
    <row r="3755" spans="1:1" x14ac:dyDescent="0.25">
      <c r="A3755" s="56">
        <v>102602552.5</v>
      </c>
    </row>
    <row r="3756" spans="1:1" x14ac:dyDescent="0.25">
      <c r="A3756" s="56">
        <v>538947431.79999995</v>
      </c>
    </row>
    <row r="3757" spans="1:1" x14ac:dyDescent="0.25">
      <c r="A3757" s="56">
        <v>50064610.599999897</v>
      </c>
    </row>
    <row r="3758" spans="1:1" x14ac:dyDescent="0.25">
      <c r="A3758" s="56">
        <v>10810231.6</v>
      </c>
    </row>
    <row r="3759" spans="1:1" x14ac:dyDescent="0.25">
      <c r="A3759" s="56">
        <v>139323472.5</v>
      </c>
    </row>
    <row r="3760" spans="1:1" x14ac:dyDescent="0.25">
      <c r="A3760" s="56">
        <v>22948697.800000001</v>
      </c>
    </row>
    <row r="3761" spans="1:1" x14ac:dyDescent="0.25">
      <c r="A3761" s="56">
        <v>10259700.1</v>
      </c>
    </row>
    <row r="3762" spans="1:1" x14ac:dyDescent="0.25">
      <c r="A3762" s="56">
        <v>113426333.3</v>
      </c>
    </row>
    <row r="3763" spans="1:1" x14ac:dyDescent="0.25">
      <c r="A3763" s="56">
        <v>46555273.299999997</v>
      </c>
    </row>
    <row r="3764" spans="1:1" x14ac:dyDescent="0.25">
      <c r="A3764" s="56">
        <v>179575811.5</v>
      </c>
    </row>
    <row r="3765" spans="1:1" x14ac:dyDescent="0.25">
      <c r="A3765" s="56">
        <v>5691321.7000000002</v>
      </c>
    </row>
    <row r="3766" spans="1:1" x14ac:dyDescent="0.25">
      <c r="A3766" s="56">
        <v>9391428.1999999899</v>
      </c>
    </row>
    <row r="3767" spans="1:1" x14ac:dyDescent="0.25">
      <c r="A3767" s="56">
        <v>11287400.5</v>
      </c>
    </row>
    <row r="3768" spans="1:1" x14ac:dyDescent="0.25">
      <c r="A3768" s="56">
        <v>2407338.6</v>
      </c>
    </row>
    <row r="3769" spans="1:1" x14ac:dyDescent="0.25">
      <c r="A3769" s="56">
        <v>214305825.5</v>
      </c>
    </row>
    <row r="3770" spans="1:1" x14ac:dyDescent="0.25">
      <c r="A3770" s="56">
        <v>0</v>
      </c>
    </row>
    <row r="3771" spans="1:1" x14ac:dyDescent="0.25">
      <c r="A3771" s="56">
        <v>39293601.399999999</v>
      </c>
    </row>
    <row r="3772" spans="1:1" x14ac:dyDescent="0.25">
      <c r="A3772" s="56">
        <v>6607529.6999999899</v>
      </c>
    </row>
    <row r="3773" spans="1:1" x14ac:dyDescent="0.25">
      <c r="A3773" s="56">
        <v>271434590.30000001</v>
      </c>
    </row>
    <row r="3774" spans="1:1" x14ac:dyDescent="0.25">
      <c r="A3774" s="56">
        <v>76950361.799999893</v>
      </c>
    </row>
    <row r="3775" spans="1:1" x14ac:dyDescent="0.25">
      <c r="A3775" s="56">
        <v>188019642.59999999</v>
      </c>
    </row>
    <row r="3776" spans="1:1" x14ac:dyDescent="0.25">
      <c r="A3776" s="56">
        <v>0</v>
      </c>
    </row>
    <row r="3777" spans="1:1" x14ac:dyDescent="0.25">
      <c r="A3777" s="56">
        <v>6613792.7999999998</v>
      </c>
    </row>
    <row r="3778" spans="1:1" x14ac:dyDescent="0.25">
      <c r="A3778" s="56">
        <v>42530367.399999999</v>
      </c>
    </row>
    <row r="3779" spans="1:1" x14ac:dyDescent="0.25">
      <c r="A3779" s="56">
        <v>0</v>
      </c>
    </row>
    <row r="3780" spans="1:1" x14ac:dyDescent="0.25">
      <c r="A3780" s="56">
        <v>0</v>
      </c>
    </row>
    <row r="3781" spans="1:1" x14ac:dyDescent="0.25">
      <c r="A3781" s="56">
        <v>20151415.199999999</v>
      </c>
    </row>
    <row r="3782" spans="1:1" x14ac:dyDescent="0.25">
      <c r="A3782" s="56">
        <v>38147464.899999999</v>
      </c>
    </row>
    <row r="3783" spans="1:1" x14ac:dyDescent="0.25">
      <c r="A3783" s="56">
        <v>496406097.19999897</v>
      </c>
    </row>
    <row r="3784" spans="1:1" x14ac:dyDescent="0.25">
      <c r="A3784" s="56">
        <v>34283988</v>
      </c>
    </row>
    <row r="3785" spans="1:1" x14ac:dyDescent="0.25">
      <c r="A3785" s="56">
        <v>31784284.399999999</v>
      </c>
    </row>
    <row r="3786" spans="1:1" x14ac:dyDescent="0.25">
      <c r="A3786" s="56">
        <v>3189736.2</v>
      </c>
    </row>
    <row r="3787" spans="1:1" x14ac:dyDescent="0.25">
      <c r="A3787" s="56">
        <v>8792702</v>
      </c>
    </row>
    <row r="3788" spans="1:1" x14ac:dyDescent="0.25">
      <c r="A3788" s="56">
        <v>26337429.800000001</v>
      </c>
    </row>
    <row r="3789" spans="1:1" x14ac:dyDescent="0.25">
      <c r="A3789" s="56">
        <v>47209697.399999999</v>
      </c>
    </row>
    <row r="3790" spans="1:1" x14ac:dyDescent="0.25">
      <c r="A3790" s="56">
        <v>18720152</v>
      </c>
    </row>
    <row r="3791" spans="1:1" x14ac:dyDescent="0.25">
      <c r="A3791" s="56">
        <v>75153619.199999899</v>
      </c>
    </row>
    <row r="3792" spans="1:1" x14ac:dyDescent="0.25">
      <c r="A3792" s="56">
        <v>34114855.299999997</v>
      </c>
    </row>
    <row r="3793" spans="1:1" x14ac:dyDescent="0.25">
      <c r="A3793" s="56">
        <v>8163565.5999999996</v>
      </c>
    </row>
    <row r="3794" spans="1:1" x14ac:dyDescent="0.25">
      <c r="A3794" s="56">
        <v>103997092.09999999</v>
      </c>
    </row>
    <row r="3795" spans="1:1" x14ac:dyDescent="0.25">
      <c r="A3795" s="56">
        <v>0</v>
      </c>
    </row>
    <row r="3796" spans="1:1" x14ac:dyDescent="0.25">
      <c r="A3796" s="56">
        <v>3115431.6</v>
      </c>
    </row>
    <row r="3797" spans="1:1" x14ac:dyDescent="0.25">
      <c r="A3797" s="56">
        <v>394215308.39999998</v>
      </c>
    </row>
    <row r="3798" spans="1:1" x14ac:dyDescent="0.25">
      <c r="A3798" s="56">
        <v>153745988.09999999</v>
      </c>
    </row>
    <row r="3799" spans="1:1" x14ac:dyDescent="0.25">
      <c r="A3799" s="56">
        <v>42556821.299999997</v>
      </c>
    </row>
    <row r="3800" spans="1:1" x14ac:dyDescent="0.25">
      <c r="A3800" s="56">
        <v>105801100.09999999</v>
      </c>
    </row>
    <row r="3801" spans="1:1" x14ac:dyDescent="0.25">
      <c r="A3801" s="56">
        <v>73831010.299999997</v>
      </c>
    </row>
    <row r="3802" spans="1:1" x14ac:dyDescent="0.25">
      <c r="A3802" s="56">
        <v>25127477.699999999</v>
      </c>
    </row>
    <row r="3803" spans="1:1" x14ac:dyDescent="0.25">
      <c r="A3803" s="56">
        <v>20860721</v>
      </c>
    </row>
    <row r="3804" spans="1:1" x14ac:dyDescent="0.25">
      <c r="A3804" s="56">
        <v>210801085.30000001</v>
      </c>
    </row>
    <row r="3805" spans="1:1" x14ac:dyDescent="0.25">
      <c r="A3805" s="56">
        <v>70435429.200000003</v>
      </c>
    </row>
    <row r="3806" spans="1:1" x14ac:dyDescent="0.25">
      <c r="A3806" s="56">
        <v>306219346.5</v>
      </c>
    </row>
    <row r="3807" spans="1:1" x14ac:dyDescent="0.25">
      <c r="A3807" s="56">
        <v>1948908.6</v>
      </c>
    </row>
    <row r="3808" spans="1:1" x14ac:dyDescent="0.25">
      <c r="A3808" s="56">
        <v>6897572.5</v>
      </c>
    </row>
    <row r="3809" spans="1:1" x14ac:dyDescent="0.25">
      <c r="A3809" s="56">
        <v>125189068.59999999</v>
      </c>
    </row>
    <row r="3810" spans="1:1" x14ac:dyDescent="0.25">
      <c r="A3810" s="56">
        <v>35816688.299999997</v>
      </c>
    </row>
    <row r="3811" spans="1:1" x14ac:dyDescent="0.25">
      <c r="A3811" s="56">
        <v>67811789.399999902</v>
      </c>
    </row>
    <row r="3812" spans="1:1" x14ac:dyDescent="0.25">
      <c r="A3812" s="56">
        <v>6462154.2999999998</v>
      </c>
    </row>
    <row r="3813" spans="1:1" x14ac:dyDescent="0.25">
      <c r="A3813" s="56">
        <v>64820020.899999902</v>
      </c>
    </row>
    <row r="3814" spans="1:1" x14ac:dyDescent="0.25">
      <c r="A3814" s="56">
        <v>71982124.499999896</v>
      </c>
    </row>
    <row r="3815" spans="1:1" x14ac:dyDescent="0.25">
      <c r="A3815" s="56">
        <v>21245336.199999999</v>
      </c>
    </row>
    <row r="3816" spans="1:1" x14ac:dyDescent="0.25">
      <c r="A3816" s="56">
        <v>0</v>
      </c>
    </row>
    <row r="3817" spans="1:1" x14ac:dyDescent="0.25">
      <c r="A3817" s="56">
        <v>74815191.5</v>
      </c>
    </row>
    <row r="3818" spans="1:1" x14ac:dyDescent="0.25">
      <c r="A3818" s="56">
        <v>113846020.5</v>
      </c>
    </row>
    <row r="3819" spans="1:1" x14ac:dyDescent="0.25">
      <c r="A3819" s="56">
        <v>97196847.299999893</v>
      </c>
    </row>
    <row r="3820" spans="1:1" x14ac:dyDescent="0.25">
      <c r="A3820" s="56">
        <v>460275865.69999999</v>
      </c>
    </row>
    <row r="3821" spans="1:1" x14ac:dyDescent="0.25">
      <c r="A3821" s="56">
        <v>46863408.599999897</v>
      </c>
    </row>
    <row r="3822" spans="1:1" x14ac:dyDescent="0.25">
      <c r="A3822" s="56">
        <v>0</v>
      </c>
    </row>
    <row r="3823" spans="1:1" x14ac:dyDescent="0.25">
      <c r="A3823" s="56">
        <v>48564697.200000003</v>
      </c>
    </row>
    <row r="3824" spans="1:1" x14ac:dyDescent="0.25">
      <c r="A3824" s="56">
        <v>9273639.0999999996</v>
      </c>
    </row>
    <row r="3825" spans="1:1" x14ac:dyDescent="0.25">
      <c r="A3825" s="56">
        <v>3531750.6</v>
      </c>
    </row>
    <row r="3826" spans="1:1" x14ac:dyDescent="0.25">
      <c r="A3826" s="56">
        <v>4406961.8</v>
      </c>
    </row>
    <row r="3827" spans="1:1" x14ac:dyDescent="0.25">
      <c r="A3827" s="56">
        <v>0</v>
      </c>
    </row>
    <row r="3828" spans="1:1" x14ac:dyDescent="0.25">
      <c r="A3828" s="56">
        <v>33367797.199999999</v>
      </c>
    </row>
    <row r="3829" spans="1:1" x14ac:dyDescent="0.25">
      <c r="A3829" s="56">
        <v>34062844.099999897</v>
      </c>
    </row>
    <row r="3830" spans="1:1" x14ac:dyDescent="0.25">
      <c r="A3830" s="56">
        <v>202166417.5</v>
      </c>
    </row>
    <row r="3831" spans="1:1" x14ac:dyDescent="0.25">
      <c r="A3831" s="56">
        <v>73124866.5</v>
      </c>
    </row>
    <row r="3832" spans="1:1" x14ac:dyDescent="0.25">
      <c r="A3832" s="56">
        <v>1948908.6</v>
      </c>
    </row>
    <row r="3833" spans="1:1" x14ac:dyDescent="0.25">
      <c r="A3833" s="56">
        <v>6905289.2999999998</v>
      </c>
    </row>
    <row r="3834" spans="1:1" x14ac:dyDescent="0.25">
      <c r="A3834" s="56">
        <v>16178750.699999999</v>
      </c>
    </row>
    <row r="3835" spans="1:1" x14ac:dyDescent="0.25">
      <c r="A3835" s="56">
        <v>42740057.100000001</v>
      </c>
    </row>
    <row r="3836" spans="1:1" x14ac:dyDescent="0.25">
      <c r="A3836" s="56">
        <v>67613446</v>
      </c>
    </row>
    <row r="3837" spans="1:1" x14ac:dyDescent="0.25">
      <c r="A3837" s="56">
        <v>14328099.699999999</v>
      </c>
    </row>
    <row r="3838" spans="1:1" x14ac:dyDescent="0.25">
      <c r="A3838" s="56">
        <v>0</v>
      </c>
    </row>
    <row r="3839" spans="1:1" x14ac:dyDescent="0.25">
      <c r="A3839" s="56">
        <v>33090480.399999999</v>
      </c>
    </row>
    <row r="3840" spans="1:1" x14ac:dyDescent="0.25">
      <c r="A3840" s="56">
        <v>94756811.5</v>
      </c>
    </row>
    <row r="3841" spans="1:1" x14ac:dyDescent="0.25">
      <c r="A3841" s="56">
        <v>98914428.299999893</v>
      </c>
    </row>
    <row r="3842" spans="1:1" x14ac:dyDescent="0.25">
      <c r="A3842" s="56">
        <v>120007510</v>
      </c>
    </row>
    <row r="3843" spans="1:1" x14ac:dyDescent="0.25">
      <c r="A3843" s="56">
        <v>46955438</v>
      </c>
    </row>
    <row r="3844" spans="1:1" x14ac:dyDescent="0.25">
      <c r="A3844" s="56">
        <v>31089251.199999999</v>
      </c>
    </row>
    <row r="3845" spans="1:1" x14ac:dyDescent="0.25">
      <c r="A3845" s="56">
        <v>668397.6</v>
      </c>
    </row>
    <row r="3846" spans="1:1" x14ac:dyDescent="0.25">
      <c r="A3846" s="56">
        <v>47406666.199999899</v>
      </c>
    </row>
    <row r="3847" spans="1:1" x14ac:dyDescent="0.25">
      <c r="A3847" s="56">
        <v>94027991.700000003</v>
      </c>
    </row>
    <row r="3848" spans="1:1" x14ac:dyDescent="0.25">
      <c r="A3848" s="56">
        <v>12431684.1</v>
      </c>
    </row>
    <row r="3849" spans="1:1" x14ac:dyDescent="0.25">
      <c r="A3849" s="56">
        <v>4197731.3999999901</v>
      </c>
    </row>
    <row r="3850" spans="1:1" x14ac:dyDescent="0.25">
      <c r="A3850" s="56">
        <v>226056573.40000001</v>
      </c>
    </row>
    <row r="3851" spans="1:1" x14ac:dyDescent="0.25">
      <c r="A3851" s="56">
        <v>468721654</v>
      </c>
    </row>
    <row r="3852" spans="1:1" x14ac:dyDescent="0.25">
      <c r="A3852" s="56">
        <v>22276945.100000001</v>
      </c>
    </row>
    <row r="3853" spans="1:1" x14ac:dyDescent="0.25">
      <c r="A3853" s="56">
        <v>1107876</v>
      </c>
    </row>
    <row r="3854" spans="1:1" x14ac:dyDescent="0.25">
      <c r="A3854" s="56">
        <v>31887042.100000001</v>
      </c>
    </row>
    <row r="3855" spans="1:1" x14ac:dyDescent="0.25">
      <c r="A3855" s="56">
        <v>21659185.5</v>
      </c>
    </row>
    <row r="3856" spans="1:1" x14ac:dyDescent="0.25">
      <c r="A3856" s="56">
        <v>7131256.4999999898</v>
      </c>
    </row>
    <row r="3857" spans="1:1" x14ac:dyDescent="0.25">
      <c r="A3857" s="56">
        <v>5274926.3</v>
      </c>
    </row>
    <row r="3858" spans="1:1" x14ac:dyDescent="0.25">
      <c r="A3858" s="56">
        <v>18483041.199999999</v>
      </c>
    </row>
    <row r="3859" spans="1:1" x14ac:dyDescent="0.25">
      <c r="A3859" s="56">
        <v>37462217.700000003</v>
      </c>
    </row>
    <row r="3860" spans="1:1" x14ac:dyDescent="0.25">
      <c r="A3860" s="56">
        <v>580402511.39999998</v>
      </c>
    </row>
    <row r="3861" spans="1:1" x14ac:dyDescent="0.25">
      <c r="A3861" s="56">
        <v>31214508.300000001</v>
      </c>
    </row>
    <row r="3862" spans="1:1" x14ac:dyDescent="0.25">
      <c r="A3862" s="56">
        <v>68173444.799999997</v>
      </c>
    </row>
    <row r="3863" spans="1:1" x14ac:dyDescent="0.25">
      <c r="A3863" s="56">
        <v>15013983.1</v>
      </c>
    </row>
    <row r="3864" spans="1:1" x14ac:dyDescent="0.25">
      <c r="A3864" s="56">
        <v>7736335.5999999996</v>
      </c>
    </row>
    <row r="3865" spans="1:1" x14ac:dyDescent="0.25">
      <c r="A3865" s="56">
        <v>11187459</v>
      </c>
    </row>
    <row r="3866" spans="1:1" x14ac:dyDescent="0.25">
      <c r="A3866" s="56">
        <v>11775706.1</v>
      </c>
    </row>
    <row r="3867" spans="1:1" x14ac:dyDescent="0.25">
      <c r="A3867" s="56">
        <v>8261096.1999999899</v>
      </c>
    </row>
    <row r="3868" spans="1:1" x14ac:dyDescent="0.25">
      <c r="A3868" s="56">
        <v>30565337.899999999</v>
      </c>
    </row>
    <row r="3869" spans="1:1" x14ac:dyDescent="0.25">
      <c r="A3869" s="56">
        <v>0</v>
      </c>
    </row>
    <row r="3870" spans="1:1" x14ac:dyDescent="0.25">
      <c r="A3870" s="56">
        <v>0</v>
      </c>
    </row>
    <row r="3871" spans="1:1" x14ac:dyDescent="0.25">
      <c r="A3871" s="56">
        <v>38754801.200000003</v>
      </c>
    </row>
    <row r="3872" spans="1:1" x14ac:dyDescent="0.25">
      <c r="A3872" s="56">
        <v>0</v>
      </c>
    </row>
    <row r="3873" spans="1:1" x14ac:dyDescent="0.25">
      <c r="A3873" s="56">
        <v>144923749.80000001</v>
      </c>
    </row>
    <row r="3874" spans="1:1" x14ac:dyDescent="0.25">
      <c r="A3874" s="56">
        <v>50061318.799999997</v>
      </c>
    </row>
    <row r="3875" spans="1:1" x14ac:dyDescent="0.25">
      <c r="A3875" s="56">
        <v>15506726</v>
      </c>
    </row>
    <row r="3876" spans="1:1" x14ac:dyDescent="0.25">
      <c r="A3876" s="56">
        <v>34390184.599999897</v>
      </c>
    </row>
    <row r="3877" spans="1:1" x14ac:dyDescent="0.25">
      <c r="A3877" s="56">
        <v>208800998.69999999</v>
      </c>
    </row>
    <row r="3878" spans="1:1" x14ac:dyDescent="0.25">
      <c r="A3878" s="56">
        <v>0</v>
      </c>
    </row>
    <row r="3879" spans="1:1" x14ac:dyDescent="0.25">
      <c r="A3879" s="56">
        <v>54611631.099999897</v>
      </c>
    </row>
    <row r="3880" spans="1:1" x14ac:dyDescent="0.25">
      <c r="A3880" s="56">
        <v>579874050.20000005</v>
      </c>
    </row>
    <row r="3881" spans="1:1" x14ac:dyDescent="0.25">
      <c r="A3881" s="56">
        <v>22294553.199999999</v>
      </c>
    </row>
    <row r="3882" spans="1:1" x14ac:dyDescent="0.25">
      <c r="A3882" s="56">
        <v>306114483.80000001</v>
      </c>
    </row>
    <row r="3883" spans="1:1" x14ac:dyDescent="0.25">
      <c r="A3883" s="56">
        <v>37560877.200000003</v>
      </c>
    </row>
    <row r="3884" spans="1:1" x14ac:dyDescent="0.25">
      <c r="A3884" s="56">
        <v>33344359.100000001</v>
      </c>
    </row>
    <row r="3885" spans="1:1" x14ac:dyDescent="0.25">
      <c r="A3885" s="56">
        <v>223146970.5</v>
      </c>
    </row>
    <row r="3886" spans="1:1" x14ac:dyDescent="0.25">
      <c r="A3886" s="56">
        <v>9442142.3000000007</v>
      </c>
    </row>
    <row r="3887" spans="1:1" x14ac:dyDescent="0.25">
      <c r="A3887" s="56">
        <v>12133245.800000001</v>
      </c>
    </row>
    <row r="3888" spans="1:1" x14ac:dyDescent="0.25">
      <c r="A3888" s="56">
        <v>59427023.5</v>
      </c>
    </row>
    <row r="3889" spans="1:1" x14ac:dyDescent="0.25">
      <c r="A3889" s="56">
        <v>2035898.4</v>
      </c>
    </row>
    <row r="3890" spans="1:1" x14ac:dyDescent="0.25">
      <c r="A3890" s="56">
        <v>0</v>
      </c>
    </row>
    <row r="3891" spans="1:1" x14ac:dyDescent="0.25">
      <c r="A3891" s="56">
        <v>3969322.2</v>
      </c>
    </row>
    <row r="3892" spans="1:1" x14ac:dyDescent="0.25">
      <c r="A3892" s="56">
        <v>28290497.399999999</v>
      </c>
    </row>
    <row r="3893" spans="1:1" x14ac:dyDescent="0.25">
      <c r="A3893" s="56">
        <v>7687417.1999999899</v>
      </c>
    </row>
    <row r="3894" spans="1:1" x14ac:dyDescent="0.25">
      <c r="A3894" s="56">
        <v>8657865.0999999996</v>
      </c>
    </row>
    <row r="3895" spans="1:1" x14ac:dyDescent="0.25">
      <c r="A3895" s="56">
        <v>133042088.90000001</v>
      </c>
    </row>
    <row r="3896" spans="1:1" x14ac:dyDescent="0.25">
      <c r="A3896" s="56">
        <v>0</v>
      </c>
    </row>
    <row r="3897" spans="1:1" x14ac:dyDescent="0.25">
      <c r="A3897" s="56">
        <v>30894546.699999999</v>
      </c>
    </row>
    <row r="3898" spans="1:1" x14ac:dyDescent="0.25">
      <c r="A3898" s="56">
        <v>278142767.89999998</v>
      </c>
    </row>
    <row r="3899" spans="1:1" x14ac:dyDescent="0.25">
      <c r="A3899" s="56">
        <v>21016154.899999999</v>
      </c>
    </row>
    <row r="3900" spans="1:1" x14ac:dyDescent="0.25">
      <c r="A3900" s="56">
        <v>42196531.200000003</v>
      </c>
    </row>
    <row r="3901" spans="1:1" x14ac:dyDescent="0.25">
      <c r="A3901" s="56">
        <v>18247134.199999999</v>
      </c>
    </row>
    <row r="3902" spans="1:1" x14ac:dyDescent="0.25">
      <c r="A3902" s="56">
        <v>32324247.600000001</v>
      </c>
    </row>
    <row r="3903" spans="1:1" x14ac:dyDescent="0.25">
      <c r="A3903" s="56">
        <v>13566348.4</v>
      </c>
    </row>
    <row r="3904" spans="1:1" x14ac:dyDescent="0.25">
      <c r="A3904" s="56">
        <v>19125575.199999999</v>
      </c>
    </row>
    <row r="3905" spans="1:1" x14ac:dyDescent="0.25">
      <c r="A3905" s="56">
        <v>44188336.600000001</v>
      </c>
    </row>
    <row r="3906" spans="1:1" x14ac:dyDescent="0.25">
      <c r="A3906" s="56">
        <v>62383234.899999999</v>
      </c>
    </row>
    <row r="3907" spans="1:1" x14ac:dyDescent="0.25">
      <c r="A3907" s="56">
        <v>91289753.199999899</v>
      </c>
    </row>
    <row r="3908" spans="1:1" x14ac:dyDescent="0.25">
      <c r="A3908" s="56">
        <v>25953489</v>
      </c>
    </row>
    <row r="3909" spans="1:1" x14ac:dyDescent="0.25">
      <c r="A3909" s="56">
        <v>0</v>
      </c>
    </row>
    <row r="3910" spans="1:1" x14ac:dyDescent="0.25">
      <c r="A3910" s="56">
        <v>13005880.800000001</v>
      </c>
    </row>
    <row r="3911" spans="1:1" x14ac:dyDescent="0.25">
      <c r="A3911" s="56">
        <v>11598578.199999999</v>
      </c>
    </row>
    <row r="3912" spans="1:1" x14ac:dyDescent="0.25">
      <c r="A3912" s="56">
        <v>0</v>
      </c>
    </row>
    <row r="3913" spans="1:1" x14ac:dyDescent="0.25">
      <c r="A3913" s="56">
        <v>3900177.4</v>
      </c>
    </row>
    <row r="3914" spans="1:1" x14ac:dyDescent="0.25">
      <c r="A3914" s="56">
        <v>3836168.6</v>
      </c>
    </row>
    <row r="3915" spans="1:1" x14ac:dyDescent="0.25">
      <c r="A3915" s="56">
        <v>433386735.10000002</v>
      </c>
    </row>
    <row r="3916" spans="1:1" x14ac:dyDescent="0.25">
      <c r="A3916" s="56">
        <v>174014002.69999999</v>
      </c>
    </row>
    <row r="3917" spans="1:1" x14ac:dyDescent="0.25">
      <c r="A3917" s="56">
        <v>8372031.5999999996</v>
      </c>
    </row>
    <row r="3918" spans="1:1" x14ac:dyDescent="0.25">
      <c r="A3918" s="56">
        <v>12861904.300000001</v>
      </c>
    </row>
    <row r="3919" spans="1:1" x14ac:dyDescent="0.25">
      <c r="A3919" s="56">
        <v>45698964.700000003</v>
      </c>
    </row>
    <row r="3920" spans="1:1" x14ac:dyDescent="0.25">
      <c r="A3920" s="56">
        <v>6165632</v>
      </c>
    </row>
    <row r="3921" spans="1:1" x14ac:dyDescent="0.25">
      <c r="A3921" s="56">
        <v>6905289.2999999998</v>
      </c>
    </row>
    <row r="3922" spans="1:1" x14ac:dyDescent="0.25">
      <c r="A3922" s="56">
        <v>190376786.30000001</v>
      </c>
    </row>
    <row r="3923" spans="1:1" x14ac:dyDescent="0.25">
      <c r="A3923" s="56">
        <v>12935199.800000001</v>
      </c>
    </row>
    <row r="3924" spans="1:1" x14ac:dyDescent="0.25">
      <c r="A3924" s="56">
        <v>399965255</v>
      </c>
    </row>
    <row r="3925" spans="1:1" x14ac:dyDescent="0.25">
      <c r="A3925" s="56">
        <v>6634909.3999999901</v>
      </c>
    </row>
    <row r="3926" spans="1:1" x14ac:dyDescent="0.25">
      <c r="A3926" s="56">
        <v>2862142</v>
      </c>
    </row>
    <row r="3927" spans="1:1" x14ac:dyDescent="0.25">
      <c r="A3927" s="56">
        <v>12579276.699999999</v>
      </c>
    </row>
    <row r="3928" spans="1:1" x14ac:dyDescent="0.25">
      <c r="A3928" s="56">
        <v>1095450.8</v>
      </c>
    </row>
    <row r="3929" spans="1:1" x14ac:dyDescent="0.25">
      <c r="A3929" s="56">
        <v>16233108.6</v>
      </c>
    </row>
    <row r="3930" spans="1:1" x14ac:dyDescent="0.25">
      <c r="A3930" s="56">
        <v>32780269.600000001</v>
      </c>
    </row>
    <row r="3931" spans="1:1" x14ac:dyDescent="0.25">
      <c r="A3931" s="56">
        <v>56016.800000000003</v>
      </c>
    </row>
    <row r="3932" spans="1:1" x14ac:dyDescent="0.25">
      <c r="A3932" s="56">
        <v>5634307.6999999899</v>
      </c>
    </row>
    <row r="3933" spans="1:1" x14ac:dyDescent="0.25">
      <c r="A3933" s="56">
        <v>0</v>
      </c>
    </row>
    <row r="3934" spans="1:1" x14ac:dyDescent="0.25">
      <c r="A3934" s="56">
        <v>240443389.69999999</v>
      </c>
    </row>
    <row r="3935" spans="1:1" x14ac:dyDescent="0.25">
      <c r="A3935" s="56">
        <v>0</v>
      </c>
    </row>
    <row r="3936" spans="1:1" x14ac:dyDescent="0.25">
      <c r="A3936" s="56">
        <v>42322075.599999897</v>
      </c>
    </row>
    <row r="3937" spans="1:1" x14ac:dyDescent="0.25">
      <c r="A3937" s="56">
        <v>166622819.80000001</v>
      </c>
    </row>
    <row r="3938" spans="1:1" x14ac:dyDescent="0.25">
      <c r="A3938" s="56">
        <v>52310081.5</v>
      </c>
    </row>
    <row r="3939" spans="1:1" x14ac:dyDescent="0.25">
      <c r="A3939" s="56">
        <v>106699298.5</v>
      </c>
    </row>
    <row r="3940" spans="1:1" x14ac:dyDescent="0.25">
      <c r="A3940" s="56">
        <v>211266714</v>
      </c>
    </row>
    <row r="3941" spans="1:1" x14ac:dyDescent="0.25">
      <c r="A3941" s="56">
        <v>24903662</v>
      </c>
    </row>
    <row r="3942" spans="1:1" x14ac:dyDescent="0.25">
      <c r="A3942" s="56">
        <v>374897945.80000001</v>
      </c>
    </row>
    <row r="3943" spans="1:1" x14ac:dyDescent="0.25">
      <c r="A3943" s="56">
        <v>34686980.399999999</v>
      </c>
    </row>
    <row r="3944" spans="1:1" x14ac:dyDescent="0.25">
      <c r="A3944" s="56">
        <v>122787.6</v>
      </c>
    </row>
    <row r="3945" spans="1:1" x14ac:dyDescent="0.25">
      <c r="A3945" s="56">
        <v>31073077.399999902</v>
      </c>
    </row>
    <row r="3946" spans="1:1" x14ac:dyDescent="0.25">
      <c r="A3946" s="56">
        <v>55660337.999999903</v>
      </c>
    </row>
    <row r="3947" spans="1:1" x14ac:dyDescent="0.25">
      <c r="A3947" s="56">
        <v>33544484.399999999</v>
      </c>
    </row>
    <row r="3948" spans="1:1" x14ac:dyDescent="0.25">
      <c r="A3948" s="56">
        <v>17102146.100000001</v>
      </c>
    </row>
    <row r="3949" spans="1:1" x14ac:dyDescent="0.25">
      <c r="A3949" s="56">
        <v>32717786</v>
      </c>
    </row>
    <row r="3950" spans="1:1" x14ac:dyDescent="0.25">
      <c r="A3950" s="56">
        <v>761944029</v>
      </c>
    </row>
    <row r="3951" spans="1:1" x14ac:dyDescent="0.25">
      <c r="A3951" s="56">
        <v>91466352.400000006</v>
      </c>
    </row>
    <row r="3952" spans="1:1" x14ac:dyDescent="0.25">
      <c r="A3952" s="56">
        <v>18531739.800000001</v>
      </c>
    </row>
    <row r="3953" spans="1:1" x14ac:dyDescent="0.25">
      <c r="A3953" s="56">
        <v>8756682.4000000004</v>
      </c>
    </row>
    <row r="3954" spans="1:1" x14ac:dyDescent="0.25">
      <c r="A3954" s="56">
        <v>0</v>
      </c>
    </row>
    <row r="3955" spans="1:1" x14ac:dyDescent="0.25">
      <c r="A3955" s="56">
        <v>5634307.6999999899</v>
      </c>
    </row>
    <row r="3956" spans="1:1" x14ac:dyDescent="0.25">
      <c r="A3956" s="56">
        <v>4101011.8</v>
      </c>
    </row>
    <row r="3957" spans="1:1" x14ac:dyDescent="0.25">
      <c r="A3957" s="56">
        <v>171942728.40000001</v>
      </c>
    </row>
    <row r="3958" spans="1:1" x14ac:dyDescent="0.25">
      <c r="A3958" s="56">
        <v>142495823.40000001</v>
      </c>
    </row>
    <row r="3959" spans="1:1" x14ac:dyDescent="0.25">
      <c r="A3959" s="56">
        <v>12855529.5</v>
      </c>
    </row>
    <row r="3960" spans="1:1" x14ac:dyDescent="0.25">
      <c r="A3960" s="56">
        <v>123016922.40000001</v>
      </c>
    </row>
    <row r="3961" spans="1:1" x14ac:dyDescent="0.25">
      <c r="A3961" s="56">
        <v>37252465</v>
      </c>
    </row>
    <row r="3962" spans="1:1" x14ac:dyDescent="0.25">
      <c r="A3962" s="56">
        <v>14595702.5</v>
      </c>
    </row>
    <row r="3963" spans="1:1" x14ac:dyDescent="0.25">
      <c r="A3963" s="56">
        <v>0</v>
      </c>
    </row>
    <row r="3964" spans="1:1" x14ac:dyDescent="0.25">
      <c r="A3964" s="56">
        <v>393349262.19999897</v>
      </c>
    </row>
    <row r="3965" spans="1:1" x14ac:dyDescent="0.25">
      <c r="A3965" s="56">
        <v>40285963.600000001</v>
      </c>
    </row>
    <row r="3966" spans="1:1" x14ac:dyDescent="0.25">
      <c r="A3966" s="56">
        <v>49880814.999999903</v>
      </c>
    </row>
    <row r="3967" spans="1:1" x14ac:dyDescent="0.25">
      <c r="A3967" s="56">
        <v>38715121.599999897</v>
      </c>
    </row>
    <row r="3968" spans="1:1" x14ac:dyDescent="0.25">
      <c r="A3968" s="56">
        <v>66190505.599999897</v>
      </c>
    </row>
    <row r="3969" spans="1:1" x14ac:dyDescent="0.25">
      <c r="A3969" s="56">
        <v>15580106.800000001</v>
      </c>
    </row>
    <row r="3970" spans="1:1" x14ac:dyDescent="0.25">
      <c r="A3970" s="56">
        <v>5774202.5</v>
      </c>
    </row>
    <row r="3971" spans="1:1" x14ac:dyDescent="0.25">
      <c r="A3971" s="56">
        <v>14725503.5</v>
      </c>
    </row>
    <row r="3972" spans="1:1" x14ac:dyDescent="0.25">
      <c r="A3972" s="56">
        <v>29848904.199999999</v>
      </c>
    </row>
    <row r="3973" spans="1:1" x14ac:dyDescent="0.25">
      <c r="A3973" s="56">
        <v>55459090.399999999</v>
      </c>
    </row>
    <row r="3974" spans="1:1" x14ac:dyDescent="0.25">
      <c r="A3974" s="56">
        <v>6524231.5999999996</v>
      </c>
    </row>
    <row r="3975" spans="1:1" x14ac:dyDescent="0.25">
      <c r="A3975" s="56">
        <v>216973329.19999999</v>
      </c>
    </row>
    <row r="3976" spans="1:1" x14ac:dyDescent="0.25">
      <c r="A3976" s="56">
        <v>0</v>
      </c>
    </row>
    <row r="3977" spans="1:1" x14ac:dyDescent="0.25">
      <c r="A3977" s="56">
        <v>14400337</v>
      </c>
    </row>
    <row r="3978" spans="1:1" x14ac:dyDescent="0.25">
      <c r="A3978" s="56">
        <v>657302912.60000002</v>
      </c>
    </row>
    <row r="3979" spans="1:1" x14ac:dyDescent="0.25">
      <c r="A3979" s="56">
        <v>0</v>
      </c>
    </row>
    <row r="3980" spans="1:1" x14ac:dyDescent="0.25">
      <c r="A3980" s="56">
        <v>0</v>
      </c>
    </row>
    <row r="3981" spans="1:1" x14ac:dyDescent="0.25">
      <c r="A3981" s="56">
        <v>19302827.5</v>
      </c>
    </row>
    <row r="3982" spans="1:1" x14ac:dyDescent="0.25">
      <c r="A3982" s="56">
        <v>0</v>
      </c>
    </row>
    <row r="3983" spans="1:1" x14ac:dyDescent="0.25">
      <c r="A3983" s="56">
        <v>31062447.800000001</v>
      </c>
    </row>
    <row r="3984" spans="1:1" x14ac:dyDescent="0.25">
      <c r="A3984" s="56">
        <v>14706584.1</v>
      </c>
    </row>
    <row r="3985" spans="1:1" x14ac:dyDescent="0.25">
      <c r="A3985" s="56">
        <v>0</v>
      </c>
    </row>
    <row r="3986" spans="1:1" x14ac:dyDescent="0.25">
      <c r="A3986" s="56">
        <v>0</v>
      </c>
    </row>
    <row r="3987" spans="1:1" x14ac:dyDescent="0.25">
      <c r="A3987" s="56">
        <v>61064218.099999897</v>
      </c>
    </row>
    <row r="3988" spans="1:1" x14ac:dyDescent="0.25">
      <c r="A3988" s="56">
        <v>1948908.6</v>
      </c>
    </row>
    <row r="3989" spans="1:1" x14ac:dyDescent="0.25">
      <c r="A3989" s="56">
        <v>107225748.59999999</v>
      </c>
    </row>
    <row r="3990" spans="1:1" x14ac:dyDescent="0.25">
      <c r="A3990" s="56">
        <v>57144562.200000003</v>
      </c>
    </row>
    <row r="3991" spans="1:1" x14ac:dyDescent="0.25">
      <c r="A3991" s="56">
        <v>444472418.80000001</v>
      </c>
    </row>
    <row r="3992" spans="1:1" x14ac:dyDescent="0.25">
      <c r="A3992" s="56">
        <v>237912950.40000001</v>
      </c>
    </row>
    <row r="3993" spans="1:1" x14ac:dyDescent="0.25">
      <c r="A3993" s="56">
        <v>30351002.899999999</v>
      </c>
    </row>
    <row r="3994" spans="1:1" x14ac:dyDescent="0.25">
      <c r="A3994" s="56">
        <v>120504523.3</v>
      </c>
    </row>
    <row r="3995" spans="1:1" x14ac:dyDescent="0.25">
      <c r="A3995" s="56">
        <v>51175080.599999897</v>
      </c>
    </row>
    <row r="3996" spans="1:1" x14ac:dyDescent="0.25">
      <c r="A3996" s="56">
        <v>46311706.399999999</v>
      </c>
    </row>
    <row r="3997" spans="1:1" x14ac:dyDescent="0.25">
      <c r="A3997" s="56">
        <v>65443149</v>
      </c>
    </row>
    <row r="3998" spans="1:1" x14ac:dyDescent="0.25">
      <c r="A3998" s="56">
        <v>9516081.6999999899</v>
      </c>
    </row>
    <row r="3999" spans="1:1" x14ac:dyDescent="0.25">
      <c r="A3999" s="56">
        <v>19842077.699999999</v>
      </c>
    </row>
    <row r="4000" spans="1:1" x14ac:dyDescent="0.25">
      <c r="A4000" s="56">
        <v>48849338.299999997</v>
      </c>
    </row>
    <row r="4001" spans="1:1" x14ac:dyDescent="0.25">
      <c r="A4001" s="56">
        <v>42405828.399999902</v>
      </c>
    </row>
    <row r="4002" spans="1:1" x14ac:dyDescent="0.25">
      <c r="A4002" s="56">
        <v>24357936.899999999</v>
      </c>
    </row>
    <row r="4003" spans="1:1" x14ac:dyDescent="0.25">
      <c r="A4003" s="56">
        <v>2529531.6</v>
      </c>
    </row>
    <row r="4004" spans="1:1" x14ac:dyDescent="0.25">
      <c r="A4004" s="56">
        <v>1030421.6</v>
      </c>
    </row>
    <row r="4005" spans="1:1" x14ac:dyDescent="0.25">
      <c r="A4005" s="56">
        <v>14906091.4</v>
      </c>
    </row>
    <row r="4006" spans="1:1" x14ac:dyDescent="0.25">
      <c r="A4006" s="56">
        <v>271830368.30000001</v>
      </c>
    </row>
    <row r="4007" spans="1:1" x14ac:dyDescent="0.25">
      <c r="A4007" s="56">
        <v>31164496.100000001</v>
      </c>
    </row>
    <row r="4008" spans="1:1" x14ac:dyDescent="0.25">
      <c r="A4008" s="56">
        <v>259962693.19999999</v>
      </c>
    </row>
    <row r="4009" spans="1:1" x14ac:dyDescent="0.25">
      <c r="A4009" s="56">
        <v>0</v>
      </c>
    </row>
    <row r="4010" spans="1:1" x14ac:dyDescent="0.25">
      <c r="A4010" s="56">
        <v>25518826.399999999</v>
      </c>
    </row>
    <row r="4011" spans="1:1" x14ac:dyDescent="0.25">
      <c r="A4011" s="56">
        <v>118592486.40000001</v>
      </c>
    </row>
    <row r="4012" spans="1:1" x14ac:dyDescent="0.25">
      <c r="A4012" s="56">
        <v>83413887.5</v>
      </c>
    </row>
    <row r="4013" spans="1:1" x14ac:dyDescent="0.25">
      <c r="A4013" s="56">
        <v>4351840.4000000004</v>
      </c>
    </row>
    <row r="4014" spans="1:1" x14ac:dyDescent="0.25">
      <c r="A4014" s="56">
        <v>23365170.899999999</v>
      </c>
    </row>
    <row r="4015" spans="1:1" x14ac:dyDescent="0.25">
      <c r="A4015" s="56">
        <v>19151084.5</v>
      </c>
    </row>
    <row r="4016" spans="1:1" x14ac:dyDescent="0.25">
      <c r="A4016" s="56">
        <v>3516370.8</v>
      </c>
    </row>
    <row r="4017" spans="1:1" x14ac:dyDescent="0.25">
      <c r="A4017" s="56">
        <v>116601644.90000001</v>
      </c>
    </row>
    <row r="4018" spans="1:1" x14ac:dyDescent="0.25">
      <c r="A4018" s="56">
        <v>88904559</v>
      </c>
    </row>
    <row r="4019" spans="1:1" x14ac:dyDescent="0.25">
      <c r="A4019" s="56">
        <v>0</v>
      </c>
    </row>
    <row r="4020" spans="1:1" x14ac:dyDescent="0.25">
      <c r="A4020" s="56">
        <v>14023797</v>
      </c>
    </row>
    <row r="4021" spans="1:1" x14ac:dyDescent="0.25">
      <c r="A4021" s="56">
        <v>20833961.600000001</v>
      </c>
    </row>
    <row r="4022" spans="1:1" x14ac:dyDescent="0.25">
      <c r="A4022" s="56">
        <v>14971582.5</v>
      </c>
    </row>
    <row r="4023" spans="1:1" x14ac:dyDescent="0.25">
      <c r="A4023" s="56">
        <v>29733365.5</v>
      </c>
    </row>
    <row r="4024" spans="1:1" x14ac:dyDescent="0.25">
      <c r="A4024" s="56">
        <v>5741919.6999999899</v>
      </c>
    </row>
    <row r="4025" spans="1:1" x14ac:dyDescent="0.25">
      <c r="A4025" s="56">
        <v>778619611.10000002</v>
      </c>
    </row>
    <row r="4026" spans="1:1" x14ac:dyDescent="0.25">
      <c r="A4026" s="56">
        <v>69077147.299999997</v>
      </c>
    </row>
    <row r="4027" spans="1:1" x14ac:dyDescent="0.25">
      <c r="A4027" s="56">
        <v>37966046.099999897</v>
      </c>
    </row>
    <row r="4028" spans="1:1" x14ac:dyDescent="0.25">
      <c r="A4028" s="56">
        <v>14696027.5</v>
      </c>
    </row>
    <row r="4029" spans="1:1" x14ac:dyDescent="0.25">
      <c r="A4029" s="56">
        <v>138180674.19999999</v>
      </c>
    </row>
    <row r="4030" spans="1:1" x14ac:dyDescent="0.25">
      <c r="A4030" s="56">
        <v>317158482.89999998</v>
      </c>
    </row>
    <row r="4031" spans="1:1" x14ac:dyDescent="0.25">
      <c r="A4031" s="56">
        <v>28320869.5</v>
      </c>
    </row>
    <row r="4032" spans="1:1" x14ac:dyDescent="0.25">
      <c r="A4032" s="56">
        <v>140636268.30000001</v>
      </c>
    </row>
    <row r="4033" spans="1:1" x14ac:dyDescent="0.25">
      <c r="A4033" s="56">
        <v>11654933</v>
      </c>
    </row>
    <row r="4034" spans="1:1" x14ac:dyDescent="0.25">
      <c r="A4034" s="56">
        <v>55698146.899999902</v>
      </c>
    </row>
    <row r="4035" spans="1:1" x14ac:dyDescent="0.25">
      <c r="A4035" s="56">
        <v>103313002</v>
      </c>
    </row>
    <row r="4036" spans="1:1" x14ac:dyDescent="0.25">
      <c r="A4036" s="56">
        <v>5634307.6999999899</v>
      </c>
    </row>
    <row r="4037" spans="1:1" x14ac:dyDescent="0.25">
      <c r="A4037" s="56">
        <v>39285833.899999999</v>
      </c>
    </row>
    <row r="4038" spans="1:1" x14ac:dyDescent="0.25">
      <c r="A4038" s="56">
        <v>115180591.7</v>
      </c>
    </row>
    <row r="4039" spans="1:1" x14ac:dyDescent="0.25">
      <c r="A4039" s="56">
        <v>13013572</v>
      </c>
    </row>
    <row r="4040" spans="1:1" x14ac:dyDescent="0.25">
      <c r="A4040" s="56">
        <v>14753885.5</v>
      </c>
    </row>
    <row r="4041" spans="1:1" x14ac:dyDescent="0.25">
      <c r="A4041" s="56">
        <v>7249745</v>
      </c>
    </row>
    <row r="4042" spans="1:1" x14ac:dyDescent="0.25">
      <c r="A4042" s="56">
        <v>10472348.199999999</v>
      </c>
    </row>
    <row r="4043" spans="1:1" x14ac:dyDescent="0.25">
      <c r="A4043" s="56">
        <v>121225665.90000001</v>
      </c>
    </row>
    <row r="4044" spans="1:1" x14ac:dyDescent="0.25">
      <c r="A4044" s="56">
        <v>42540395</v>
      </c>
    </row>
    <row r="4045" spans="1:1" x14ac:dyDescent="0.25">
      <c r="A4045" s="56">
        <v>21756007.600000001</v>
      </c>
    </row>
    <row r="4046" spans="1:1" x14ac:dyDescent="0.25">
      <c r="A4046" s="56">
        <v>149290357.59999999</v>
      </c>
    </row>
    <row r="4047" spans="1:1" x14ac:dyDescent="0.25">
      <c r="A4047" s="56">
        <v>55224279.299999997</v>
      </c>
    </row>
    <row r="4048" spans="1:1" x14ac:dyDescent="0.25">
      <c r="A4048" s="56">
        <v>0</v>
      </c>
    </row>
    <row r="4049" spans="1:1" x14ac:dyDescent="0.25">
      <c r="A4049" s="56">
        <v>170826026.59999999</v>
      </c>
    </row>
    <row r="4050" spans="1:1" x14ac:dyDescent="0.25">
      <c r="A4050" s="56">
        <v>48108791.700000003</v>
      </c>
    </row>
    <row r="4051" spans="1:1" x14ac:dyDescent="0.25">
      <c r="A4051" s="56">
        <v>439336129.60000002</v>
      </c>
    </row>
    <row r="4052" spans="1:1" x14ac:dyDescent="0.25">
      <c r="A4052" s="56">
        <v>5020994.3</v>
      </c>
    </row>
    <row r="4053" spans="1:1" x14ac:dyDescent="0.25">
      <c r="A4053" s="56">
        <v>254990155.40000001</v>
      </c>
    </row>
    <row r="4054" spans="1:1" x14ac:dyDescent="0.25">
      <c r="A4054" s="56">
        <v>97135704.599999905</v>
      </c>
    </row>
    <row r="4055" spans="1:1" x14ac:dyDescent="0.25">
      <c r="A4055" s="56">
        <v>148754659.59999999</v>
      </c>
    </row>
    <row r="4056" spans="1:1" x14ac:dyDescent="0.25">
      <c r="A4056" s="56">
        <v>45658008</v>
      </c>
    </row>
    <row r="4057" spans="1:1" x14ac:dyDescent="0.25">
      <c r="A4057" s="56">
        <v>0</v>
      </c>
    </row>
    <row r="4058" spans="1:1" x14ac:dyDescent="0.25">
      <c r="A4058" s="56">
        <v>10006061.9</v>
      </c>
    </row>
    <row r="4059" spans="1:1" x14ac:dyDescent="0.25">
      <c r="A4059" s="56">
        <v>15121688.199999999</v>
      </c>
    </row>
    <row r="4060" spans="1:1" x14ac:dyDescent="0.25">
      <c r="A4060" s="56">
        <v>30368259.800000001</v>
      </c>
    </row>
    <row r="4061" spans="1:1" x14ac:dyDescent="0.25">
      <c r="A4061" s="56">
        <v>5144571</v>
      </c>
    </row>
    <row r="4062" spans="1:1" x14ac:dyDescent="0.25">
      <c r="A4062" s="56">
        <v>20038644.5</v>
      </c>
    </row>
    <row r="4063" spans="1:1" x14ac:dyDescent="0.25">
      <c r="A4063" s="56">
        <v>293643634.39999998</v>
      </c>
    </row>
    <row r="4064" spans="1:1" x14ac:dyDescent="0.25">
      <c r="A4064" s="56">
        <v>393942518.5</v>
      </c>
    </row>
    <row r="4065" spans="1:1" x14ac:dyDescent="0.25">
      <c r="A4065" s="56">
        <v>0</v>
      </c>
    </row>
    <row r="4066" spans="1:1" x14ac:dyDescent="0.25">
      <c r="A4066" s="56">
        <v>20632057.800000001</v>
      </c>
    </row>
    <row r="4067" spans="1:1" x14ac:dyDescent="0.25">
      <c r="A4067" s="56">
        <v>24024678.699999999</v>
      </c>
    </row>
    <row r="4068" spans="1:1" x14ac:dyDescent="0.25">
      <c r="A4068" s="56">
        <v>25255976.100000001</v>
      </c>
    </row>
    <row r="4069" spans="1:1" x14ac:dyDescent="0.25">
      <c r="A4069" s="56">
        <v>90068257.5</v>
      </c>
    </row>
    <row r="4070" spans="1:1" x14ac:dyDescent="0.25">
      <c r="A4070" s="56">
        <v>65713830.899999902</v>
      </c>
    </row>
    <row r="4071" spans="1:1" x14ac:dyDescent="0.25">
      <c r="A4071" s="56">
        <v>41334220.799999997</v>
      </c>
    </row>
    <row r="4072" spans="1:1" x14ac:dyDescent="0.25">
      <c r="A4072" s="56">
        <v>97202566.799999997</v>
      </c>
    </row>
    <row r="4073" spans="1:1" x14ac:dyDescent="0.25">
      <c r="A4073" s="56">
        <v>0</v>
      </c>
    </row>
    <row r="4074" spans="1:1" x14ac:dyDescent="0.25">
      <c r="A4074" s="56">
        <v>8178414.5999999996</v>
      </c>
    </row>
    <row r="4075" spans="1:1" x14ac:dyDescent="0.25">
      <c r="A4075" s="56">
        <v>73960585.099999905</v>
      </c>
    </row>
    <row r="4076" spans="1:1" x14ac:dyDescent="0.25">
      <c r="A4076" s="56">
        <v>20135730.100000001</v>
      </c>
    </row>
    <row r="4077" spans="1:1" x14ac:dyDescent="0.25">
      <c r="A4077" s="56">
        <v>117359059.90000001</v>
      </c>
    </row>
    <row r="4078" spans="1:1" x14ac:dyDescent="0.25">
      <c r="A4078" s="56">
        <v>556343679.5</v>
      </c>
    </row>
    <row r="4079" spans="1:1" x14ac:dyDescent="0.25">
      <c r="A4079" s="56">
        <v>15026837.300000001</v>
      </c>
    </row>
    <row r="4080" spans="1:1" x14ac:dyDescent="0.25">
      <c r="A4080" s="56">
        <v>51026364.799999997</v>
      </c>
    </row>
    <row r="4081" spans="1:1" x14ac:dyDescent="0.25">
      <c r="A4081" s="56">
        <v>5895068.8999999901</v>
      </c>
    </row>
    <row r="4082" spans="1:1" x14ac:dyDescent="0.25">
      <c r="A4082" s="56">
        <v>7460715.5999999996</v>
      </c>
    </row>
    <row r="4083" spans="1:1" x14ac:dyDescent="0.25">
      <c r="A4083" s="56">
        <v>0</v>
      </c>
    </row>
    <row r="4084" spans="1:1" x14ac:dyDescent="0.25">
      <c r="A4084" s="56">
        <v>8797337.3999999892</v>
      </c>
    </row>
    <row r="4085" spans="1:1" x14ac:dyDescent="0.25">
      <c r="A4085" s="56">
        <v>41715257.700000003</v>
      </c>
    </row>
    <row r="4086" spans="1:1" x14ac:dyDescent="0.25">
      <c r="A4086" s="56">
        <v>44958683.299999997</v>
      </c>
    </row>
    <row r="4087" spans="1:1" x14ac:dyDescent="0.25">
      <c r="A4087" s="56">
        <v>74345751.900000006</v>
      </c>
    </row>
    <row r="4088" spans="1:1" x14ac:dyDescent="0.25">
      <c r="A4088" s="56">
        <v>87132377.699999899</v>
      </c>
    </row>
    <row r="4089" spans="1:1" x14ac:dyDescent="0.25">
      <c r="A4089" s="56">
        <v>6485886.5999999996</v>
      </c>
    </row>
    <row r="4090" spans="1:1" x14ac:dyDescent="0.25">
      <c r="A4090" s="56">
        <v>0</v>
      </c>
    </row>
    <row r="4091" spans="1:1" x14ac:dyDescent="0.25">
      <c r="A4091" s="56">
        <v>0</v>
      </c>
    </row>
    <row r="4092" spans="1:1" x14ac:dyDescent="0.25">
      <c r="A4092" s="56">
        <v>225330713.40000001</v>
      </c>
    </row>
    <row r="4093" spans="1:1" x14ac:dyDescent="0.25">
      <c r="A4093" s="56">
        <v>0</v>
      </c>
    </row>
    <row r="4094" spans="1:1" x14ac:dyDescent="0.25">
      <c r="A4094" s="56">
        <v>0</v>
      </c>
    </row>
    <row r="4095" spans="1:1" x14ac:dyDescent="0.25">
      <c r="A4095" s="56">
        <v>0</v>
      </c>
    </row>
    <row r="4096" spans="1:1" x14ac:dyDescent="0.25">
      <c r="A4096" s="56">
        <v>88625700.400000006</v>
      </c>
    </row>
    <row r="4097" spans="1:1" x14ac:dyDescent="0.25">
      <c r="A4097" s="56">
        <v>6234723.5999999996</v>
      </c>
    </row>
    <row r="4098" spans="1:1" x14ac:dyDescent="0.25">
      <c r="A4098" s="56">
        <v>31456268.5</v>
      </c>
    </row>
    <row r="4099" spans="1:1" x14ac:dyDescent="0.25">
      <c r="A4099" s="56">
        <v>57315960.899999902</v>
      </c>
    </row>
    <row r="4100" spans="1:1" x14ac:dyDescent="0.25">
      <c r="A4100" s="56">
        <v>0</v>
      </c>
    </row>
    <row r="4101" spans="1:1" x14ac:dyDescent="0.25">
      <c r="A4101" s="56">
        <v>24210488.899999999</v>
      </c>
    </row>
    <row r="4102" spans="1:1" x14ac:dyDescent="0.25">
      <c r="A4102" s="56">
        <v>29323525.699999999</v>
      </c>
    </row>
    <row r="4103" spans="1:1" x14ac:dyDescent="0.25">
      <c r="A4103" s="56">
        <v>64533355.200000003</v>
      </c>
    </row>
    <row r="4104" spans="1:1" x14ac:dyDescent="0.25">
      <c r="A4104" s="56">
        <v>24869247.699999999</v>
      </c>
    </row>
    <row r="4105" spans="1:1" x14ac:dyDescent="0.25">
      <c r="A4105" s="56">
        <v>245251137.40000001</v>
      </c>
    </row>
    <row r="4106" spans="1:1" x14ac:dyDescent="0.25">
      <c r="A4106" s="56">
        <v>46646355.099999897</v>
      </c>
    </row>
    <row r="4107" spans="1:1" x14ac:dyDescent="0.25">
      <c r="A4107" s="56">
        <v>19868079.300000001</v>
      </c>
    </row>
    <row r="4108" spans="1:1" x14ac:dyDescent="0.25">
      <c r="A4108" s="56">
        <v>961851.2</v>
      </c>
    </row>
    <row r="4109" spans="1:1" x14ac:dyDescent="0.25">
      <c r="A4109" s="56">
        <v>2606265</v>
      </c>
    </row>
    <row r="4110" spans="1:1" x14ac:dyDescent="0.25">
      <c r="A4110" s="56">
        <v>54897910.700000003</v>
      </c>
    </row>
    <row r="4111" spans="1:1" x14ac:dyDescent="0.25">
      <c r="A4111" s="56">
        <v>218949290.40000001</v>
      </c>
    </row>
    <row r="4112" spans="1:1" x14ac:dyDescent="0.25">
      <c r="A4112" s="56">
        <v>0</v>
      </c>
    </row>
    <row r="4113" spans="1:1" x14ac:dyDescent="0.25">
      <c r="A4113" s="56">
        <v>46102942.399999999</v>
      </c>
    </row>
    <row r="4114" spans="1:1" x14ac:dyDescent="0.25">
      <c r="A4114" s="56">
        <v>37221736.5</v>
      </c>
    </row>
    <row r="4115" spans="1:1" x14ac:dyDescent="0.25">
      <c r="A4115" s="56">
        <v>57319350</v>
      </c>
    </row>
    <row r="4116" spans="1:1" x14ac:dyDescent="0.25">
      <c r="A4116" s="56">
        <v>2775153</v>
      </c>
    </row>
    <row r="4117" spans="1:1" x14ac:dyDescent="0.25">
      <c r="A4117" s="56">
        <v>94671006.799999997</v>
      </c>
    </row>
    <row r="4118" spans="1:1" x14ac:dyDescent="0.25">
      <c r="A4118" s="56">
        <v>177656244.69999999</v>
      </c>
    </row>
    <row r="4119" spans="1:1" x14ac:dyDescent="0.25">
      <c r="A4119" s="56">
        <v>52465961.5</v>
      </c>
    </row>
    <row r="4120" spans="1:1" x14ac:dyDescent="0.25">
      <c r="A4120" s="56">
        <v>45985513.799999997</v>
      </c>
    </row>
    <row r="4121" spans="1:1" x14ac:dyDescent="0.25">
      <c r="A4121" s="56">
        <v>6338873.7999999998</v>
      </c>
    </row>
    <row r="4122" spans="1:1" x14ac:dyDescent="0.25">
      <c r="A4122" s="56">
        <v>20168117.800000001</v>
      </c>
    </row>
    <row r="4123" spans="1:1" x14ac:dyDescent="0.25">
      <c r="A4123" s="56">
        <v>8550638</v>
      </c>
    </row>
    <row r="4124" spans="1:1" x14ac:dyDescent="0.25">
      <c r="A4124" s="56">
        <v>1107876</v>
      </c>
    </row>
    <row r="4125" spans="1:1" x14ac:dyDescent="0.25">
      <c r="A4125" s="56">
        <v>221674877.40000001</v>
      </c>
    </row>
    <row r="4126" spans="1:1" x14ac:dyDescent="0.25">
      <c r="A4126" s="56">
        <v>14155823.4</v>
      </c>
    </row>
    <row r="4127" spans="1:1" x14ac:dyDescent="0.25">
      <c r="A4127" s="56">
        <v>52525897</v>
      </c>
    </row>
    <row r="4128" spans="1:1" x14ac:dyDescent="0.25">
      <c r="A4128" s="56">
        <v>0</v>
      </c>
    </row>
    <row r="4129" spans="1:1" x14ac:dyDescent="0.25">
      <c r="A4129" s="56">
        <v>5274926.3</v>
      </c>
    </row>
    <row r="4130" spans="1:1" x14ac:dyDescent="0.25">
      <c r="A4130" s="56">
        <v>9735758</v>
      </c>
    </row>
    <row r="4131" spans="1:1" x14ac:dyDescent="0.25">
      <c r="A4131" s="56">
        <v>39844835.599999897</v>
      </c>
    </row>
    <row r="4132" spans="1:1" x14ac:dyDescent="0.25">
      <c r="A4132" s="56">
        <v>54494524.999999903</v>
      </c>
    </row>
    <row r="4133" spans="1:1" x14ac:dyDescent="0.25">
      <c r="A4133" s="56">
        <v>632828895.5</v>
      </c>
    </row>
    <row r="4134" spans="1:1" x14ac:dyDescent="0.25">
      <c r="A4134" s="56">
        <v>0</v>
      </c>
    </row>
    <row r="4135" spans="1:1" x14ac:dyDescent="0.25">
      <c r="A4135" s="56">
        <v>24048401.800000001</v>
      </c>
    </row>
    <row r="4136" spans="1:1" x14ac:dyDescent="0.25">
      <c r="A4136" s="56">
        <v>59579483.299999997</v>
      </c>
    </row>
    <row r="4137" spans="1:1" x14ac:dyDescent="0.25">
      <c r="A4137" s="56">
        <v>11159752.1</v>
      </c>
    </row>
    <row r="4138" spans="1:1" x14ac:dyDescent="0.25">
      <c r="A4138" s="56">
        <v>34116091.399999902</v>
      </c>
    </row>
    <row r="4139" spans="1:1" x14ac:dyDescent="0.25">
      <c r="A4139" s="56">
        <v>0</v>
      </c>
    </row>
    <row r="4140" spans="1:1" x14ac:dyDescent="0.25">
      <c r="A4140" s="56">
        <v>11364032</v>
      </c>
    </row>
    <row r="4141" spans="1:1" x14ac:dyDescent="0.25">
      <c r="A4141" s="56">
        <v>7314696.5999999996</v>
      </c>
    </row>
    <row r="4142" spans="1:1" x14ac:dyDescent="0.25">
      <c r="A4142" s="56">
        <v>83685588.199999899</v>
      </c>
    </row>
    <row r="4143" spans="1:1" x14ac:dyDescent="0.25">
      <c r="A4143" s="56">
        <v>68202923</v>
      </c>
    </row>
    <row r="4144" spans="1:1" x14ac:dyDescent="0.25">
      <c r="A4144" s="56">
        <v>507396</v>
      </c>
    </row>
    <row r="4145" spans="1:1" x14ac:dyDescent="0.25">
      <c r="A4145" s="56">
        <v>54305669.099999897</v>
      </c>
    </row>
    <row r="4146" spans="1:1" x14ac:dyDescent="0.25">
      <c r="A4146" s="56">
        <v>7429046</v>
      </c>
    </row>
    <row r="4147" spans="1:1" x14ac:dyDescent="0.25">
      <c r="A4147" s="56">
        <v>15940692.1</v>
      </c>
    </row>
    <row r="4148" spans="1:1" x14ac:dyDescent="0.25">
      <c r="A4148" s="56">
        <v>0</v>
      </c>
    </row>
    <row r="4149" spans="1:1" x14ac:dyDescent="0.25">
      <c r="A4149" s="56">
        <v>5874325.0999999996</v>
      </c>
    </row>
    <row r="4150" spans="1:1" x14ac:dyDescent="0.25">
      <c r="A4150" s="56">
        <v>0</v>
      </c>
    </row>
    <row r="4151" spans="1:1" x14ac:dyDescent="0.25">
      <c r="A4151" s="56">
        <v>41585847.299999997</v>
      </c>
    </row>
    <row r="4152" spans="1:1" x14ac:dyDescent="0.25">
      <c r="A4152" s="56">
        <v>1632234.8</v>
      </c>
    </row>
    <row r="4153" spans="1:1" x14ac:dyDescent="0.25">
      <c r="A4153" s="56">
        <v>32694162.800000001</v>
      </c>
    </row>
    <row r="4154" spans="1:1" x14ac:dyDescent="0.25">
      <c r="A4154" s="56">
        <v>268601871.80000001</v>
      </c>
    </row>
    <row r="4155" spans="1:1" x14ac:dyDescent="0.25">
      <c r="A4155" s="56">
        <v>1998848.8</v>
      </c>
    </row>
    <row r="4156" spans="1:1" x14ac:dyDescent="0.25">
      <c r="A4156" s="56">
        <v>52662244.700000003</v>
      </c>
    </row>
    <row r="4157" spans="1:1" x14ac:dyDescent="0.25">
      <c r="A4157" s="56">
        <v>112536955.90000001</v>
      </c>
    </row>
    <row r="4158" spans="1:1" x14ac:dyDescent="0.25">
      <c r="A4158" s="56">
        <v>481815377.69999999</v>
      </c>
    </row>
    <row r="4159" spans="1:1" x14ac:dyDescent="0.25">
      <c r="A4159" s="56">
        <v>16836716.699999999</v>
      </c>
    </row>
    <row r="4160" spans="1:1" x14ac:dyDescent="0.25">
      <c r="A4160" s="56">
        <v>0</v>
      </c>
    </row>
    <row r="4161" spans="1:1" x14ac:dyDescent="0.25">
      <c r="A4161" s="56">
        <v>3862308</v>
      </c>
    </row>
    <row r="4162" spans="1:1" x14ac:dyDescent="0.25">
      <c r="A4162" s="56">
        <v>17785545.800000001</v>
      </c>
    </row>
    <row r="4163" spans="1:1" x14ac:dyDescent="0.25">
      <c r="A4163" s="56">
        <v>10061661.699999999</v>
      </c>
    </row>
    <row r="4164" spans="1:1" x14ac:dyDescent="0.25">
      <c r="A4164" s="56">
        <v>117407752.8</v>
      </c>
    </row>
    <row r="4165" spans="1:1" x14ac:dyDescent="0.25">
      <c r="A4165" s="56">
        <v>9901301.3999999892</v>
      </c>
    </row>
    <row r="4166" spans="1:1" x14ac:dyDescent="0.25">
      <c r="A4166" s="56">
        <v>229658137.90000001</v>
      </c>
    </row>
    <row r="4167" spans="1:1" x14ac:dyDescent="0.25">
      <c r="A4167" s="56">
        <v>122026347.09999999</v>
      </c>
    </row>
    <row r="4168" spans="1:1" x14ac:dyDescent="0.25">
      <c r="A4168" s="56">
        <v>21626057.100000001</v>
      </c>
    </row>
    <row r="4169" spans="1:1" x14ac:dyDescent="0.25">
      <c r="A4169" s="56">
        <v>236410074.80000001</v>
      </c>
    </row>
    <row r="4170" spans="1:1" x14ac:dyDescent="0.25">
      <c r="A4170" s="56">
        <v>10952200.300000001</v>
      </c>
    </row>
    <row r="4171" spans="1:1" x14ac:dyDescent="0.25">
      <c r="A4171" s="56">
        <v>24179005.399999999</v>
      </c>
    </row>
    <row r="4172" spans="1:1" x14ac:dyDescent="0.25">
      <c r="A4172" s="56">
        <v>19533134.699999999</v>
      </c>
    </row>
    <row r="4173" spans="1:1" x14ac:dyDescent="0.25">
      <c r="A4173" s="56">
        <v>15328783</v>
      </c>
    </row>
    <row r="4174" spans="1:1" x14ac:dyDescent="0.25">
      <c r="A4174" s="56">
        <v>15630654.9</v>
      </c>
    </row>
    <row r="4175" spans="1:1" x14ac:dyDescent="0.25">
      <c r="A4175" s="56">
        <v>2695653.6</v>
      </c>
    </row>
    <row r="4176" spans="1:1" x14ac:dyDescent="0.25">
      <c r="A4176" s="56">
        <v>23328650.199999999</v>
      </c>
    </row>
    <row r="4177" spans="1:1" x14ac:dyDescent="0.25">
      <c r="A4177" s="56">
        <v>507396</v>
      </c>
    </row>
    <row r="4178" spans="1:1" x14ac:dyDescent="0.25">
      <c r="A4178" s="56">
        <v>67102561.200000003</v>
      </c>
    </row>
    <row r="4179" spans="1:1" x14ac:dyDescent="0.25">
      <c r="A4179" s="56">
        <v>0</v>
      </c>
    </row>
    <row r="4180" spans="1:1" x14ac:dyDescent="0.25">
      <c r="A4180" s="56">
        <v>46220213.899999999</v>
      </c>
    </row>
    <row r="4181" spans="1:1" x14ac:dyDescent="0.25">
      <c r="A4181" s="56">
        <v>10604962.9</v>
      </c>
    </row>
    <row r="4182" spans="1:1" x14ac:dyDescent="0.25">
      <c r="A4182" s="56">
        <v>6174978.5999999996</v>
      </c>
    </row>
    <row r="4183" spans="1:1" x14ac:dyDescent="0.25">
      <c r="A4183" s="56">
        <v>36660765.399999999</v>
      </c>
    </row>
    <row r="4184" spans="1:1" x14ac:dyDescent="0.25">
      <c r="A4184" s="56">
        <v>4470116.8</v>
      </c>
    </row>
    <row r="4185" spans="1:1" x14ac:dyDescent="0.25">
      <c r="A4185" s="56">
        <v>262252649.19999999</v>
      </c>
    </row>
    <row r="4186" spans="1:1" x14ac:dyDescent="0.25">
      <c r="A4186" s="56">
        <v>5704543.4000000004</v>
      </c>
    </row>
    <row r="4187" spans="1:1" x14ac:dyDescent="0.25">
      <c r="A4187" s="56">
        <v>162465308.69999999</v>
      </c>
    </row>
    <row r="4188" spans="1:1" x14ac:dyDescent="0.25">
      <c r="A4188" s="56">
        <v>142068462.59999999</v>
      </c>
    </row>
    <row r="4189" spans="1:1" x14ac:dyDescent="0.25">
      <c r="A4189" s="56">
        <v>29556553.600000001</v>
      </c>
    </row>
    <row r="4190" spans="1:1" x14ac:dyDescent="0.25">
      <c r="A4190" s="56">
        <v>25475763.600000001</v>
      </c>
    </row>
    <row r="4191" spans="1:1" x14ac:dyDescent="0.25">
      <c r="A4191" s="56">
        <v>26712018.800000001</v>
      </c>
    </row>
    <row r="4192" spans="1:1" x14ac:dyDescent="0.25">
      <c r="A4192" s="56">
        <v>0</v>
      </c>
    </row>
    <row r="4193" spans="1:1" x14ac:dyDescent="0.25">
      <c r="A4193" s="56">
        <v>43694.400000000001</v>
      </c>
    </row>
    <row r="4194" spans="1:1" x14ac:dyDescent="0.25">
      <c r="A4194" s="56">
        <v>0</v>
      </c>
    </row>
    <row r="4195" spans="1:1" x14ac:dyDescent="0.25">
      <c r="A4195" s="56">
        <v>17989300.699999999</v>
      </c>
    </row>
    <row r="4196" spans="1:1" x14ac:dyDescent="0.25">
      <c r="A4196" s="56">
        <v>83509112.599999905</v>
      </c>
    </row>
    <row r="4197" spans="1:1" x14ac:dyDescent="0.25">
      <c r="A4197" s="56">
        <v>327915270.39999998</v>
      </c>
    </row>
    <row r="4198" spans="1:1" x14ac:dyDescent="0.25">
      <c r="A4198" s="56">
        <v>24539561.699999999</v>
      </c>
    </row>
    <row r="4199" spans="1:1" x14ac:dyDescent="0.25">
      <c r="A4199" s="56">
        <v>15830262.5</v>
      </c>
    </row>
    <row r="4200" spans="1:1" x14ac:dyDescent="0.25">
      <c r="A4200" s="56">
        <v>4240388.5999999996</v>
      </c>
    </row>
    <row r="4201" spans="1:1" x14ac:dyDescent="0.25">
      <c r="A4201" s="56">
        <v>52331972.200000003</v>
      </c>
    </row>
    <row r="4202" spans="1:1" x14ac:dyDescent="0.25">
      <c r="A4202" s="56">
        <v>13062722.800000001</v>
      </c>
    </row>
    <row r="4203" spans="1:1" x14ac:dyDescent="0.25">
      <c r="A4203" s="56">
        <v>75872945</v>
      </c>
    </row>
    <row r="4204" spans="1:1" x14ac:dyDescent="0.25">
      <c r="A4204" s="56">
        <v>24232460.800000001</v>
      </c>
    </row>
    <row r="4205" spans="1:1" x14ac:dyDescent="0.25">
      <c r="A4205" s="56">
        <v>0</v>
      </c>
    </row>
    <row r="4206" spans="1:1" x14ac:dyDescent="0.25">
      <c r="A4206" s="56">
        <v>148141319.40000001</v>
      </c>
    </row>
    <row r="4207" spans="1:1" x14ac:dyDescent="0.25">
      <c r="A4207" s="56">
        <v>44269289.5</v>
      </c>
    </row>
    <row r="4208" spans="1:1" x14ac:dyDescent="0.25">
      <c r="A4208" s="56">
        <v>88606894.299999997</v>
      </c>
    </row>
    <row r="4209" spans="1:1" x14ac:dyDescent="0.25">
      <c r="A4209" s="56">
        <v>961851.2</v>
      </c>
    </row>
    <row r="4210" spans="1:1" x14ac:dyDescent="0.25">
      <c r="A4210" s="56">
        <v>42028865</v>
      </c>
    </row>
    <row r="4211" spans="1:1" x14ac:dyDescent="0.25">
      <c r="A4211" s="56">
        <v>38492435.600000001</v>
      </c>
    </row>
    <row r="4212" spans="1:1" x14ac:dyDescent="0.25">
      <c r="A4212" s="56">
        <v>51595304.700000003</v>
      </c>
    </row>
    <row r="4213" spans="1:1" x14ac:dyDescent="0.25">
      <c r="A4213" s="56">
        <v>363639962.80000001</v>
      </c>
    </row>
    <row r="4214" spans="1:1" x14ac:dyDescent="0.25">
      <c r="A4214" s="56">
        <v>18843188.300000001</v>
      </c>
    </row>
    <row r="4215" spans="1:1" x14ac:dyDescent="0.25">
      <c r="A4215" s="56">
        <v>20023670.600000001</v>
      </c>
    </row>
    <row r="4216" spans="1:1" x14ac:dyDescent="0.25">
      <c r="A4216" s="56">
        <v>31405273.199999999</v>
      </c>
    </row>
    <row r="4217" spans="1:1" x14ac:dyDescent="0.25">
      <c r="A4217" s="56">
        <v>0</v>
      </c>
    </row>
    <row r="4218" spans="1:1" x14ac:dyDescent="0.25">
      <c r="A4218" s="56">
        <v>273244799</v>
      </c>
    </row>
    <row r="4219" spans="1:1" x14ac:dyDescent="0.25">
      <c r="A4219" s="56">
        <v>65104146.700000003</v>
      </c>
    </row>
    <row r="4220" spans="1:1" x14ac:dyDescent="0.25">
      <c r="A4220" s="56">
        <v>77654432.400000006</v>
      </c>
    </row>
    <row r="4221" spans="1:1" x14ac:dyDescent="0.25">
      <c r="A4221" s="56">
        <v>744382</v>
      </c>
    </row>
    <row r="4222" spans="1:1" x14ac:dyDescent="0.25">
      <c r="A4222" s="56">
        <v>11125433.1</v>
      </c>
    </row>
    <row r="4223" spans="1:1" x14ac:dyDescent="0.25">
      <c r="A4223" s="56">
        <v>14543475.199999999</v>
      </c>
    </row>
    <row r="4224" spans="1:1" x14ac:dyDescent="0.25">
      <c r="A4224" s="56">
        <v>36479664.799999997</v>
      </c>
    </row>
    <row r="4225" spans="1:1" x14ac:dyDescent="0.25">
      <c r="A4225" s="56">
        <v>50200504.799999997</v>
      </c>
    </row>
    <row r="4226" spans="1:1" x14ac:dyDescent="0.25">
      <c r="A4226" s="56">
        <v>119767267.09999999</v>
      </c>
    </row>
    <row r="4227" spans="1:1" x14ac:dyDescent="0.25">
      <c r="A4227" s="56">
        <v>8147333</v>
      </c>
    </row>
    <row r="4228" spans="1:1" x14ac:dyDescent="0.25">
      <c r="A4228" s="56">
        <v>44344607.799999997</v>
      </c>
    </row>
    <row r="4229" spans="1:1" x14ac:dyDescent="0.25">
      <c r="A4229" s="56">
        <v>145736027.69999999</v>
      </c>
    </row>
    <row r="4230" spans="1:1" x14ac:dyDescent="0.25">
      <c r="A4230" s="56">
        <v>16277595.5</v>
      </c>
    </row>
    <row r="4231" spans="1:1" x14ac:dyDescent="0.25">
      <c r="A4231" s="56">
        <v>246437742.80000001</v>
      </c>
    </row>
    <row r="4232" spans="1:1" x14ac:dyDescent="0.25">
      <c r="A4232" s="56">
        <v>1032426.8</v>
      </c>
    </row>
    <row r="4233" spans="1:1" x14ac:dyDescent="0.25">
      <c r="A4233" s="56">
        <v>35001259.700000003</v>
      </c>
    </row>
    <row r="4234" spans="1:1" x14ac:dyDescent="0.25">
      <c r="A4234" s="56">
        <v>0</v>
      </c>
    </row>
    <row r="4235" spans="1:1" x14ac:dyDescent="0.25">
      <c r="A4235" s="56">
        <v>3743916.8</v>
      </c>
    </row>
    <row r="4236" spans="1:1" x14ac:dyDescent="0.25">
      <c r="A4236" s="56">
        <v>10027683.1</v>
      </c>
    </row>
    <row r="4237" spans="1:1" x14ac:dyDescent="0.25">
      <c r="A4237" s="56">
        <v>15611180.5</v>
      </c>
    </row>
    <row r="4238" spans="1:1" x14ac:dyDescent="0.25">
      <c r="A4238" s="56">
        <v>5594177.2000000002</v>
      </c>
    </row>
    <row r="4239" spans="1:1" x14ac:dyDescent="0.25">
      <c r="A4239" s="56">
        <v>155610902.30000001</v>
      </c>
    </row>
    <row r="4240" spans="1:1" x14ac:dyDescent="0.25">
      <c r="A4240" s="56">
        <v>361172913.5</v>
      </c>
    </row>
    <row r="4241" spans="1:1" x14ac:dyDescent="0.25">
      <c r="A4241" s="56">
        <v>0</v>
      </c>
    </row>
    <row r="4242" spans="1:1" x14ac:dyDescent="0.25">
      <c r="A4242" s="56">
        <v>68469551.199999899</v>
      </c>
    </row>
    <row r="4243" spans="1:1" x14ac:dyDescent="0.25">
      <c r="A4243" s="56">
        <v>1747079.6</v>
      </c>
    </row>
    <row r="4244" spans="1:1" x14ac:dyDescent="0.25">
      <c r="A4244" s="56">
        <v>2682538.6</v>
      </c>
    </row>
    <row r="4245" spans="1:1" x14ac:dyDescent="0.25">
      <c r="A4245" s="56">
        <v>0</v>
      </c>
    </row>
    <row r="4246" spans="1:1" x14ac:dyDescent="0.25">
      <c r="A4246" s="56">
        <v>10945954.199999999</v>
      </c>
    </row>
    <row r="4247" spans="1:1" x14ac:dyDescent="0.25">
      <c r="A4247" s="56">
        <v>8574730.9000000004</v>
      </c>
    </row>
    <row r="4248" spans="1:1" x14ac:dyDescent="0.25">
      <c r="A4248" s="56">
        <v>41481968.5</v>
      </c>
    </row>
    <row r="4249" spans="1:1" x14ac:dyDescent="0.25">
      <c r="A4249" s="56">
        <v>2701075.8</v>
      </c>
    </row>
    <row r="4250" spans="1:1" x14ac:dyDescent="0.25">
      <c r="A4250" s="56">
        <v>8231199.4999999898</v>
      </c>
    </row>
    <row r="4251" spans="1:1" x14ac:dyDescent="0.25">
      <c r="A4251" s="56">
        <v>9174813</v>
      </c>
    </row>
    <row r="4252" spans="1:1" x14ac:dyDescent="0.25">
      <c r="A4252" s="56">
        <v>8430227.8000000007</v>
      </c>
    </row>
    <row r="4253" spans="1:1" x14ac:dyDescent="0.25">
      <c r="A4253" s="56">
        <v>13609948.300000001</v>
      </c>
    </row>
    <row r="4254" spans="1:1" x14ac:dyDescent="0.25">
      <c r="A4254" s="56">
        <v>4612438.2</v>
      </c>
    </row>
    <row r="4255" spans="1:1" x14ac:dyDescent="0.25">
      <c r="A4255" s="56">
        <v>105954257</v>
      </c>
    </row>
    <row r="4256" spans="1:1" x14ac:dyDescent="0.25">
      <c r="A4256" s="56">
        <v>24644740.800000001</v>
      </c>
    </row>
    <row r="4257" spans="1:1" x14ac:dyDescent="0.25">
      <c r="A4257" s="56">
        <v>86543932.399999902</v>
      </c>
    </row>
    <row r="4258" spans="1:1" x14ac:dyDescent="0.25">
      <c r="A4258" s="56">
        <v>1032426.8</v>
      </c>
    </row>
    <row r="4259" spans="1:1" x14ac:dyDescent="0.25">
      <c r="A4259" s="56">
        <v>12152753.199999999</v>
      </c>
    </row>
    <row r="4260" spans="1:1" x14ac:dyDescent="0.25">
      <c r="A4260" s="56">
        <v>5838319.1999999899</v>
      </c>
    </row>
    <row r="4261" spans="1:1" x14ac:dyDescent="0.25">
      <c r="A4261" s="56">
        <v>155183181.19999999</v>
      </c>
    </row>
    <row r="4262" spans="1:1" x14ac:dyDescent="0.25">
      <c r="A4262" s="56">
        <v>0</v>
      </c>
    </row>
    <row r="4263" spans="1:1" x14ac:dyDescent="0.25">
      <c r="A4263" s="56">
        <v>118011290.59999999</v>
      </c>
    </row>
    <row r="4264" spans="1:1" x14ac:dyDescent="0.25">
      <c r="A4264" s="56">
        <v>57127063</v>
      </c>
    </row>
    <row r="4265" spans="1:1" x14ac:dyDescent="0.25">
      <c r="A4265" s="56">
        <v>80199914.699999899</v>
      </c>
    </row>
    <row r="4266" spans="1:1" x14ac:dyDescent="0.25">
      <c r="A4266" s="56">
        <v>20606636.899999999</v>
      </c>
    </row>
    <row r="4267" spans="1:1" x14ac:dyDescent="0.25">
      <c r="A4267" s="56">
        <v>11079798.4</v>
      </c>
    </row>
    <row r="4268" spans="1:1" x14ac:dyDescent="0.25">
      <c r="A4268" s="56">
        <v>16813452.300000001</v>
      </c>
    </row>
    <row r="4269" spans="1:1" x14ac:dyDescent="0.25">
      <c r="A4269" s="56">
        <v>44854650.399999999</v>
      </c>
    </row>
    <row r="4270" spans="1:1" x14ac:dyDescent="0.25">
      <c r="A4270" s="56">
        <v>78459643.699999899</v>
      </c>
    </row>
    <row r="4271" spans="1:1" x14ac:dyDescent="0.25">
      <c r="A4271" s="56">
        <v>0</v>
      </c>
    </row>
    <row r="4272" spans="1:1" x14ac:dyDescent="0.25">
      <c r="A4272" s="56">
        <v>17281847.5</v>
      </c>
    </row>
    <row r="4273" spans="1:1" x14ac:dyDescent="0.25">
      <c r="A4273" s="56">
        <v>9805078.5</v>
      </c>
    </row>
    <row r="4274" spans="1:1" x14ac:dyDescent="0.25">
      <c r="A4274" s="56">
        <v>101381707.3</v>
      </c>
    </row>
    <row r="4275" spans="1:1" x14ac:dyDescent="0.25">
      <c r="A4275" s="56">
        <v>0</v>
      </c>
    </row>
    <row r="4276" spans="1:1" x14ac:dyDescent="0.25">
      <c r="A4276" s="56">
        <v>0</v>
      </c>
    </row>
    <row r="4277" spans="1:1" x14ac:dyDescent="0.25">
      <c r="A4277" s="56">
        <v>82694031.299999997</v>
      </c>
    </row>
    <row r="4278" spans="1:1" x14ac:dyDescent="0.25">
      <c r="A4278" s="56">
        <v>14256990.4</v>
      </c>
    </row>
    <row r="4279" spans="1:1" x14ac:dyDescent="0.25">
      <c r="A4279" s="56">
        <v>961436.4</v>
      </c>
    </row>
    <row r="4280" spans="1:1" x14ac:dyDescent="0.25">
      <c r="A4280" s="56">
        <v>39813927.099999897</v>
      </c>
    </row>
    <row r="4281" spans="1:1" x14ac:dyDescent="0.25">
      <c r="A4281" s="56">
        <v>4207131.2</v>
      </c>
    </row>
    <row r="4282" spans="1:1" x14ac:dyDescent="0.25">
      <c r="A4282" s="56">
        <v>6465793.5999999996</v>
      </c>
    </row>
    <row r="4283" spans="1:1" x14ac:dyDescent="0.25">
      <c r="A4283" s="56">
        <v>8608975.5</v>
      </c>
    </row>
    <row r="4284" spans="1:1" x14ac:dyDescent="0.25">
      <c r="A4284" s="56">
        <v>193610238.90000001</v>
      </c>
    </row>
    <row r="4285" spans="1:1" x14ac:dyDescent="0.25">
      <c r="A4285" s="56">
        <v>3735550.8</v>
      </c>
    </row>
    <row r="4286" spans="1:1" x14ac:dyDescent="0.25">
      <c r="A4286" s="56">
        <v>20509958.699999999</v>
      </c>
    </row>
    <row r="4287" spans="1:1" x14ac:dyDescent="0.25">
      <c r="A4287" s="56">
        <v>0</v>
      </c>
    </row>
    <row r="4288" spans="1:1" x14ac:dyDescent="0.25">
      <c r="A4288" s="56">
        <v>97537568.299999997</v>
      </c>
    </row>
    <row r="4289" spans="1:1" x14ac:dyDescent="0.25">
      <c r="A4289" s="56">
        <v>370076100.19999897</v>
      </c>
    </row>
    <row r="4290" spans="1:1" x14ac:dyDescent="0.25">
      <c r="A4290" s="56">
        <v>5996644.5</v>
      </c>
    </row>
    <row r="4291" spans="1:1" x14ac:dyDescent="0.25">
      <c r="A4291" s="56">
        <v>60052439.600000001</v>
      </c>
    </row>
    <row r="4292" spans="1:1" x14ac:dyDescent="0.25">
      <c r="A4292" s="56">
        <v>6669296.1999999899</v>
      </c>
    </row>
    <row r="4293" spans="1:1" x14ac:dyDescent="0.25">
      <c r="A4293" s="56">
        <v>14648258.6</v>
      </c>
    </row>
    <row r="4294" spans="1:1" x14ac:dyDescent="0.25">
      <c r="A4294" s="56">
        <v>3509304</v>
      </c>
    </row>
    <row r="4295" spans="1:1" x14ac:dyDescent="0.25">
      <c r="A4295" s="56">
        <v>5581428</v>
      </c>
    </row>
    <row r="4296" spans="1:1" x14ac:dyDescent="0.25">
      <c r="A4296" s="56">
        <v>13674467.6</v>
      </c>
    </row>
    <row r="4297" spans="1:1" x14ac:dyDescent="0.25">
      <c r="A4297" s="56">
        <v>7720748.9000000004</v>
      </c>
    </row>
    <row r="4298" spans="1:1" x14ac:dyDescent="0.25">
      <c r="A4298" s="56">
        <v>0</v>
      </c>
    </row>
    <row r="4299" spans="1:1" x14ac:dyDescent="0.25">
      <c r="A4299" s="56">
        <v>34832555.600000001</v>
      </c>
    </row>
    <row r="4300" spans="1:1" x14ac:dyDescent="0.25">
      <c r="A4300" s="56">
        <v>16773410.699999999</v>
      </c>
    </row>
    <row r="4301" spans="1:1" x14ac:dyDescent="0.25">
      <c r="A4301" s="56">
        <v>0</v>
      </c>
    </row>
    <row r="4302" spans="1:1" x14ac:dyDescent="0.25">
      <c r="A4302" s="56">
        <v>23191499.100000001</v>
      </c>
    </row>
    <row r="4303" spans="1:1" x14ac:dyDescent="0.25">
      <c r="A4303" s="56">
        <v>336901537</v>
      </c>
    </row>
    <row r="4304" spans="1:1" x14ac:dyDescent="0.25">
      <c r="A4304" s="56">
        <v>57953253.799999997</v>
      </c>
    </row>
    <row r="4305" spans="1:1" x14ac:dyDescent="0.25">
      <c r="A4305" s="56">
        <v>2111438</v>
      </c>
    </row>
    <row r="4306" spans="1:1" x14ac:dyDescent="0.25">
      <c r="A4306" s="56">
        <v>114995136.7</v>
      </c>
    </row>
    <row r="4307" spans="1:1" x14ac:dyDescent="0.25">
      <c r="A4307" s="56">
        <v>32406578.5</v>
      </c>
    </row>
    <row r="4308" spans="1:1" x14ac:dyDescent="0.25">
      <c r="A4308" s="56">
        <v>19082726.399999999</v>
      </c>
    </row>
    <row r="4309" spans="1:1" x14ac:dyDescent="0.25">
      <c r="A4309" s="56">
        <v>10281944.699999999</v>
      </c>
    </row>
    <row r="4310" spans="1:1" x14ac:dyDescent="0.25">
      <c r="A4310" s="56">
        <v>22179417.300000001</v>
      </c>
    </row>
    <row r="4311" spans="1:1" x14ac:dyDescent="0.25">
      <c r="A4311" s="56">
        <v>10433418</v>
      </c>
    </row>
    <row r="4312" spans="1:1" x14ac:dyDescent="0.25">
      <c r="A4312" s="56">
        <v>34105128.799999997</v>
      </c>
    </row>
    <row r="4313" spans="1:1" x14ac:dyDescent="0.25">
      <c r="A4313" s="56">
        <v>12279183</v>
      </c>
    </row>
    <row r="4314" spans="1:1" x14ac:dyDescent="0.25">
      <c r="A4314" s="56">
        <v>4488593.5999999996</v>
      </c>
    </row>
    <row r="4315" spans="1:1" x14ac:dyDescent="0.25">
      <c r="A4315" s="56">
        <v>0</v>
      </c>
    </row>
    <row r="4316" spans="1:1" x14ac:dyDescent="0.25">
      <c r="A4316" s="56">
        <v>46707367.099999897</v>
      </c>
    </row>
    <row r="4317" spans="1:1" x14ac:dyDescent="0.25">
      <c r="A4317" s="56">
        <v>975822.8</v>
      </c>
    </row>
    <row r="4318" spans="1:1" x14ac:dyDescent="0.25">
      <c r="A4318" s="56">
        <v>31453312.699999999</v>
      </c>
    </row>
    <row r="4319" spans="1:1" x14ac:dyDescent="0.25">
      <c r="A4319" s="56">
        <v>34074625.299999997</v>
      </c>
    </row>
    <row r="4320" spans="1:1" x14ac:dyDescent="0.25">
      <c r="A4320" s="56">
        <v>52437847.700000003</v>
      </c>
    </row>
    <row r="4321" spans="1:1" x14ac:dyDescent="0.25">
      <c r="A4321" s="56">
        <v>24502361.399999999</v>
      </c>
    </row>
    <row r="4322" spans="1:1" x14ac:dyDescent="0.25">
      <c r="A4322" s="56">
        <v>54719091</v>
      </c>
    </row>
    <row r="4323" spans="1:1" x14ac:dyDescent="0.25">
      <c r="A4323" s="56">
        <v>9096528.8999999892</v>
      </c>
    </row>
    <row r="4324" spans="1:1" x14ac:dyDescent="0.25">
      <c r="A4324" s="56">
        <v>2596891.7999999998</v>
      </c>
    </row>
    <row r="4325" spans="1:1" x14ac:dyDescent="0.25">
      <c r="A4325" s="56">
        <v>4385182.5999999996</v>
      </c>
    </row>
    <row r="4326" spans="1:1" x14ac:dyDescent="0.25">
      <c r="A4326" s="56">
        <v>5838870.6999999899</v>
      </c>
    </row>
    <row r="4327" spans="1:1" x14ac:dyDescent="0.25">
      <c r="A4327" s="56">
        <v>203554527.40000001</v>
      </c>
    </row>
    <row r="4328" spans="1:1" x14ac:dyDescent="0.25">
      <c r="A4328" s="56">
        <v>0</v>
      </c>
    </row>
    <row r="4329" spans="1:1" x14ac:dyDescent="0.25">
      <c r="A4329" s="56">
        <v>2808300.4</v>
      </c>
    </row>
    <row r="4330" spans="1:1" x14ac:dyDescent="0.25">
      <c r="A4330" s="56">
        <v>0</v>
      </c>
    </row>
    <row r="4331" spans="1:1" x14ac:dyDescent="0.25">
      <c r="A4331" s="56">
        <v>5093673.8999999901</v>
      </c>
    </row>
    <row r="4332" spans="1:1" x14ac:dyDescent="0.25">
      <c r="A4332" s="56">
        <v>67497113.700000003</v>
      </c>
    </row>
    <row r="4333" spans="1:1" x14ac:dyDescent="0.25">
      <c r="A4333" s="56">
        <v>2708098.2</v>
      </c>
    </row>
    <row r="4334" spans="1:1" x14ac:dyDescent="0.25">
      <c r="A4334" s="56">
        <v>24801042.300000001</v>
      </c>
    </row>
    <row r="4335" spans="1:1" x14ac:dyDescent="0.25">
      <c r="A4335" s="56">
        <v>18157359</v>
      </c>
    </row>
    <row r="4336" spans="1:1" x14ac:dyDescent="0.25">
      <c r="A4336" s="56">
        <v>19701299.600000001</v>
      </c>
    </row>
    <row r="4337" spans="1:1" x14ac:dyDescent="0.25">
      <c r="A4337" s="56">
        <v>5105014.5999999996</v>
      </c>
    </row>
    <row r="4338" spans="1:1" x14ac:dyDescent="0.25">
      <c r="A4338" s="56">
        <v>76923787</v>
      </c>
    </row>
    <row r="4339" spans="1:1" x14ac:dyDescent="0.25">
      <c r="A4339" s="56">
        <v>140461312.30000001</v>
      </c>
    </row>
    <row r="4340" spans="1:1" x14ac:dyDescent="0.25">
      <c r="A4340" s="56">
        <v>145016459</v>
      </c>
    </row>
    <row r="4341" spans="1:1" x14ac:dyDescent="0.25">
      <c r="A4341" s="56">
        <v>201712390.40000001</v>
      </c>
    </row>
    <row r="4342" spans="1:1" x14ac:dyDescent="0.25">
      <c r="A4342" s="56">
        <v>8450316</v>
      </c>
    </row>
    <row r="4343" spans="1:1" x14ac:dyDescent="0.25">
      <c r="A4343" s="56">
        <v>73711879.199999899</v>
      </c>
    </row>
    <row r="4344" spans="1:1" x14ac:dyDescent="0.25">
      <c r="A4344" s="56">
        <v>0</v>
      </c>
    </row>
    <row r="4345" spans="1:1" x14ac:dyDescent="0.25">
      <c r="A4345" s="56">
        <v>138081391.09999999</v>
      </c>
    </row>
    <row r="4346" spans="1:1" x14ac:dyDescent="0.25">
      <c r="A4346" s="56">
        <v>433010634.30000001</v>
      </c>
    </row>
    <row r="4347" spans="1:1" x14ac:dyDescent="0.25">
      <c r="A4347" s="56">
        <v>12061605</v>
      </c>
    </row>
    <row r="4348" spans="1:1" x14ac:dyDescent="0.25">
      <c r="A4348" s="56">
        <v>182804458.5</v>
      </c>
    </row>
    <row r="4349" spans="1:1" x14ac:dyDescent="0.25">
      <c r="A4349" s="56">
        <v>45996816.899999999</v>
      </c>
    </row>
    <row r="4350" spans="1:1" x14ac:dyDescent="0.25">
      <c r="A4350" s="56">
        <v>61560845.599999897</v>
      </c>
    </row>
    <row r="4351" spans="1:1" x14ac:dyDescent="0.25">
      <c r="A4351" s="56">
        <v>100179589.2</v>
      </c>
    </row>
    <row r="4352" spans="1:1" x14ac:dyDescent="0.25">
      <c r="A4352" s="56">
        <v>32011078.100000001</v>
      </c>
    </row>
    <row r="4353" spans="1:1" x14ac:dyDescent="0.25">
      <c r="A4353" s="56">
        <v>203180432.5</v>
      </c>
    </row>
    <row r="4354" spans="1:1" x14ac:dyDescent="0.25">
      <c r="A4354" s="56">
        <v>28772178</v>
      </c>
    </row>
    <row r="4355" spans="1:1" x14ac:dyDescent="0.25">
      <c r="A4355" s="56">
        <v>47423806.099999897</v>
      </c>
    </row>
    <row r="4356" spans="1:1" x14ac:dyDescent="0.25">
      <c r="A4356" s="56">
        <v>39332923.099999897</v>
      </c>
    </row>
    <row r="4357" spans="1:1" x14ac:dyDescent="0.25">
      <c r="A4357" s="56">
        <v>17109885.899999999</v>
      </c>
    </row>
    <row r="4358" spans="1:1" x14ac:dyDescent="0.25">
      <c r="A4358" s="56">
        <v>10429811.1</v>
      </c>
    </row>
    <row r="4359" spans="1:1" x14ac:dyDescent="0.25">
      <c r="A4359" s="56">
        <v>44005162.799999997</v>
      </c>
    </row>
    <row r="4360" spans="1:1" x14ac:dyDescent="0.25">
      <c r="A4360" s="56">
        <v>36702231.099999897</v>
      </c>
    </row>
    <row r="4361" spans="1:1" x14ac:dyDescent="0.25">
      <c r="A4361" s="56">
        <v>6262180.6999999899</v>
      </c>
    </row>
    <row r="4362" spans="1:1" x14ac:dyDescent="0.25">
      <c r="A4362" s="56">
        <v>3305527.8</v>
      </c>
    </row>
    <row r="4363" spans="1:1" x14ac:dyDescent="0.25">
      <c r="A4363" s="56">
        <v>0</v>
      </c>
    </row>
    <row r="4364" spans="1:1" x14ac:dyDescent="0.25">
      <c r="A4364" s="56">
        <v>26247806.399999999</v>
      </c>
    </row>
    <row r="4365" spans="1:1" x14ac:dyDescent="0.25">
      <c r="A4365" s="56">
        <v>300104976.69999897</v>
      </c>
    </row>
    <row r="4366" spans="1:1" x14ac:dyDescent="0.25">
      <c r="A4366" s="56">
        <v>28262358</v>
      </c>
    </row>
    <row r="4367" spans="1:1" x14ac:dyDescent="0.25">
      <c r="A4367" s="56">
        <v>33846352.100000001</v>
      </c>
    </row>
    <row r="4368" spans="1:1" x14ac:dyDescent="0.25">
      <c r="A4368" s="56">
        <v>53328191.5</v>
      </c>
    </row>
    <row r="4369" spans="1:1" x14ac:dyDescent="0.25">
      <c r="A4369" s="56">
        <v>92038621.700000003</v>
      </c>
    </row>
    <row r="4370" spans="1:1" x14ac:dyDescent="0.25">
      <c r="A4370" s="56">
        <v>20635906.600000001</v>
      </c>
    </row>
    <row r="4371" spans="1:1" x14ac:dyDescent="0.25">
      <c r="A4371" s="56">
        <v>51742563.899999999</v>
      </c>
    </row>
    <row r="4372" spans="1:1" x14ac:dyDescent="0.25">
      <c r="A4372" s="56">
        <v>125037810</v>
      </c>
    </row>
    <row r="4373" spans="1:1" x14ac:dyDescent="0.25">
      <c r="A4373" s="56">
        <v>744382</v>
      </c>
    </row>
    <row r="4374" spans="1:1" x14ac:dyDescent="0.25">
      <c r="A4374" s="56">
        <v>5898789.3999999901</v>
      </c>
    </row>
    <row r="4375" spans="1:1" x14ac:dyDescent="0.25">
      <c r="A4375" s="56">
        <v>10071478.199999999</v>
      </c>
    </row>
    <row r="4376" spans="1:1" x14ac:dyDescent="0.25">
      <c r="A4376" s="56">
        <v>5483666.2999999998</v>
      </c>
    </row>
    <row r="4377" spans="1:1" x14ac:dyDescent="0.25">
      <c r="A4377" s="56">
        <v>50277686.5</v>
      </c>
    </row>
    <row r="4378" spans="1:1" x14ac:dyDescent="0.25">
      <c r="A4378" s="56">
        <v>29796726.5</v>
      </c>
    </row>
    <row r="4379" spans="1:1" x14ac:dyDescent="0.25">
      <c r="A4379" s="56">
        <v>18265813.300000001</v>
      </c>
    </row>
    <row r="4380" spans="1:1" x14ac:dyDescent="0.25">
      <c r="A4380" s="56">
        <v>260316513.80000001</v>
      </c>
    </row>
    <row r="4381" spans="1:1" x14ac:dyDescent="0.25">
      <c r="A4381" s="56">
        <v>38509693</v>
      </c>
    </row>
    <row r="4382" spans="1:1" x14ac:dyDescent="0.25">
      <c r="A4382" s="56">
        <v>47688018.399999999</v>
      </c>
    </row>
    <row r="4383" spans="1:1" x14ac:dyDescent="0.25">
      <c r="A4383" s="56">
        <v>137419189.59999999</v>
      </c>
    </row>
    <row r="4384" spans="1:1" x14ac:dyDescent="0.25">
      <c r="A4384" s="56">
        <v>29252494.300000001</v>
      </c>
    </row>
    <row r="4385" spans="1:1" x14ac:dyDescent="0.25">
      <c r="A4385" s="56">
        <v>0</v>
      </c>
    </row>
    <row r="4386" spans="1:1" x14ac:dyDescent="0.25">
      <c r="A4386" s="56">
        <v>0</v>
      </c>
    </row>
    <row r="4387" spans="1:1" x14ac:dyDescent="0.25">
      <c r="A4387" s="56">
        <v>47591440.099999897</v>
      </c>
    </row>
    <row r="4388" spans="1:1" x14ac:dyDescent="0.25">
      <c r="A4388" s="56">
        <v>73358570.700000003</v>
      </c>
    </row>
    <row r="4389" spans="1:1" x14ac:dyDescent="0.25">
      <c r="A4389" s="56">
        <v>64127969.799999997</v>
      </c>
    </row>
    <row r="4390" spans="1:1" x14ac:dyDescent="0.25">
      <c r="A4390" s="56">
        <v>62776702.199999899</v>
      </c>
    </row>
    <row r="4391" spans="1:1" x14ac:dyDescent="0.25">
      <c r="A4391" s="56">
        <v>15244362.800000001</v>
      </c>
    </row>
    <row r="4392" spans="1:1" x14ac:dyDescent="0.25">
      <c r="A4392" s="56">
        <v>43098250.200000003</v>
      </c>
    </row>
    <row r="4393" spans="1:1" x14ac:dyDescent="0.25">
      <c r="A4393" s="56">
        <v>56627645.899999902</v>
      </c>
    </row>
    <row r="4394" spans="1:1" x14ac:dyDescent="0.25">
      <c r="A4394" s="56">
        <v>162017864.19999999</v>
      </c>
    </row>
    <row r="4395" spans="1:1" x14ac:dyDescent="0.25">
      <c r="A4395" s="56">
        <v>131922932</v>
      </c>
    </row>
    <row r="4396" spans="1:1" x14ac:dyDescent="0.25">
      <c r="A4396" s="56">
        <v>5033965.3</v>
      </c>
    </row>
    <row r="4397" spans="1:1" x14ac:dyDescent="0.25">
      <c r="A4397" s="56">
        <v>5595573.8999999901</v>
      </c>
    </row>
    <row r="4398" spans="1:1" x14ac:dyDescent="0.25">
      <c r="A4398" s="56">
        <v>15094406.800000001</v>
      </c>
    </row>
    <row r="4399" spans="1:1" x14ac:dyDescent="0.25">
      <c r="A4399" s="56">
        <v>20666628</v>
      </c>
    </row>
    <row r="4400" spans="1:1" x14ac:dyDescent="0.25">
      <c r="A4400" s="56">
        <v>831541.6</v>
      </c>
    </row>
    <row r="4401" spans="1:1" x14ac:dyDescent="0.25">
      <c r="A4401" s="56">
        <v>41969925.700000003</v>
      </c>
    </row>
    <row r="4402" spans="1:1" x14ac:dyDescent="0.25">
      <c r="A4402" s="56">
        <v>12218118.1</v>
      </c>
    </row>
    <row r="4403" spans="1:1" x14ac:dyDescent="0.25">
      <c r="A4403" s="56">
        <v>106551636.3</v>
      </c>
    </row>
    <row r="4404" spans="1:1" x14ac:dyDescent="0.25">
      <c r="A4404" s="56">
        <v>9086883</v>
      </c>
    </row>
    <row r="4405" spans="1:1" x14ac:dyDescent="0.25">
      <c r="A4405" s="56">
        <v>1948908.6</v>
      </c>
    </row>
    <row r="4406" spans="1:1" x14ac:dyDescent="0.25">
      <c r="A4406" s="56">
        <v>5074731.8</v>
      </c>
    </row>
    <row r="4407" spans="1:1" x14ac:dyDescent="0.25">
      <c r="A4407" s="56">
        <v>12769921</v>
      </c>
    </row>
    <row r="4408" spans="1:1" x14ac:dyDescent="0.25">
      <c r="A4408" s="56">
        <v>606420157</v>
      </c>
    </row>
    <row r="4409" spans="1:1" x14ac:dyDescent="0.25">
      <c r="A4409" s="56">
        <v>161223989.80000001</v>
      </c>
    </row>
    <row r="4410" spans="1:1" x14ac:dyDescent="0.25">
      <c r="A4410" s="56">
        <v>20117678</v>
      </c>
    </row>
    <row r="4411" spans="1:1" x14ac:dyDescent="0.25">
      <c r="A4411" s="56">
        <v>5206749.5999999996</v>
      </c>
    </row>
    <row r="4412" spans="1:1" x14ac:dyDescent="0.25">
      <c r="A4412" s="56">
        <v>7167835.7999999998</v>
      </c>
    </row>
    <row r="4413" spans="1:1" x14ac:dyDescent="0.25">
      <c r="A4413" s="56">
        <v>7742063.5</v>
      </c>
    </row>
    <row r="4414" spans="1:1" x14ac:dyDescent="0.25">
      <c r="A4414" s="56">
        <v>831541.6</v>
      </c>
    </row>
    <row r="4415" spans="1:1" x14ac:dyDescent="0.25">
      <c r="A4415" s="56">
        <v>50699045.599999897</v>
      </c>
    </row>
    <row r="4416" spans="1:1" x14ac:dyDescent="0.25">
      <c r="A4416" s="56">
        <v>11942299.6</v>
      </c>
    </row>
    <row r="4417" spans="1:1" x14ac:dyDescent="0.25">
      <c r="A4417" s="56">
        <v>73464817.900000006</v>
      </c>
    </row>
    <row r="4418" spans="1:1" x14ac:dyDescent="0.25">
      <c r="A4418" s="56">
        <v>66814766.700000003</v>
      </c>
    </row>
    <row r="4419" spans="1:1" x14ac:dyDescent="0.25">
      <c r="A4419" s="56">
        <v>17550344.800000001</v>
      </c>
    </row>
    <row r="4420" spans="1:1" x14ac:dyDescent="0.25">
      <c r="A4420" s="56">
        <v>31436583.899999999</v>
      </c>
    </row>
    <row r="4421" spans="1:1" x14ac:dyDescent="0.25">
      <c r="A4421" s="56">
        <v>5093673.8999999901</v>
      </c>
    </row>
    <row r="4422" spans="1:1" x14ac:dyDescent="0.25">
      <c r="A4422" s="56">
        <v>100526601.40000001</v>
      </c>
    </row>
    <row r="4423" spans="1:1" x14ac:dyDescent="0.25">
      <c r="A4423" s="56">
        <v>9120556</v>
      </c>
    </row>
    <row r="4424" spans="1:1" x14ac:dyDescent="0.25">
      <c r="A4424" s="56">
        <v>149747014.59999999</v>
      </c>
    </row>
    <row r="4425" spans="1:1" x14ac:dyDescent="0.25">
      <c r="A4425" s="56">
        <v>288684505.19999999</v>
      </c>
    </row>
    <row r="4426" spans="1:1" x14ac:dyDescent="0.25">
      <c r="A4426" s="56">
        <v>215125314.80000001</v>
      </c>
    </row>
    <row r="4427" spans="1:1" x14ac:dyDescent="0.25">
      <c r="A4427" s="56">
        <v>0</v>
      </c>
    </row>
    <row r="4428" spans="1:1" x14ac:dyDescent="0.25">
      <c r="A4428" s="56">
        <v>21186665.199999999</v>
      </c>
    </row>
    <row r="4429" spans="1:1" x14ac:dyDescent="0.25">
      <c r="A4429" s="56">
        <v>52448992.199999899</v>
      </c>
    </row>
    <row r="4430" spans="1:1" x14ac:dyDescent="0.25">
      <c r="A4430" s="56">
        <v>14516973.6</v>
      </c>
    </row>
    <row r="4431" spans="1:1" x14ac:dyDescent="0.25">
      <c r="A4431" s="56">
        <v>42099744.299999997</v>
      </c>
    </row>
    <row r="4432" spans="1:1" x14ac:dyDescent="0.25">
      <c r="A4432" s="56">
        <v>59816368.200000003</v>
      </c>
    </row>
    <row r="4433" spans="1:1" x14ac:dyDescent="0.25">
      <c r="A4433" s="56">
        <v>21398813.800000001</v>
      </c>
    </row>
    <row r="4434" spans="1:1" x14ac:dyDescent="0.25">
      <c r="A4434" s="56">
        <v>110609738.40000001</v>
      </c>
    </row>
    <row r="4435" spans="1:1" x14ac:dyDescent="0.25">
      <c r="A4435" s="56">
        <v>33339869.199999999</v>
      </c>
    </row>
    <row r="4436" spans="1:1" x14ac:dyDescent="0.25">
      <c r="A4436" s="56">
        <v>9238631.0999999996</v>
      </c>
    </row>
    <row r="4437" spans="1:1" x14ac:dyDescent="0.25">
      <c r="A4437" s="56">
        <v>103300890.7</v>
      </c>
    </row>
    <row r="4438" spans="1:1" x14ac:dyDescent="0.25">
      <c r="A4438" s="56">
        <v>21471748.100000001</v>
      </c>
    </row>
    <row r="4439" spans="1:1" x14ac:dyDescent="0.25">
      <c r="A4439" s="56">
        <v>171733962.80000001</v>
      </c>
    </row>
    <row r="4440" spans="1:1" x14ac:dyDescent="0.25">
      <c r="A4440" s="56">
        <v>18561054.300000001</v>
      </c>
    </row>
    <row r="4441" spans="1:1" x14ac:dyDescent="0.25">
      <c r="A4441" s="56">
        <v>127895686.59999999</v>
      </c>
    </row>
    <row r="4442" spans="1:1" x14ac:dyDescent="0.25">
      <c r="A4442" s="56">
        <v>31153656</v>
      </c>
    </row>
    <row r="4443" spans="1:1" x14ac:dyDescent="0.25">
      <c r="A4443" s="56">
        <v>54990856.599999897</v>
      </c>
    </row>
    <row r="4444" spans="1:1" x14ac:dyDescent="0.25">
      <c r="A4444" s="56">
        <v>15247793</v>
      </c>
    </row>
    <row r="4445" spans="1:1" x14ac:dyDescent="0.25">
      <c r="A4445" s="56">
        <v>332624706.80000001</v>
      </c>
    </row>
    <row r="4446" spans="1:1" x14ac:dyDescent="0.25">
      <c r="A4446" s="56">
        <v>31160913.199999999</v>
      </c>
    </row>
    <row r="4447" spans="1:1" x14ac:dyDescent="0.25">
      <c r="A4447" s="56">
        <v>13057737</v>
      </c>
    </row>
    <row r="4448" spans="1:1" x14ac:dyDescent="0.25">
      <c r="A4448" s="56">
        <v>332840292</v>
      </c>
    </row>
    <row r="4449" spans="1:1" x14ac:dyDescent="0.25">
      <c r="A4449" s="56">
        <v>29330288.800000001</v>
      </c>
    </row>
    <row r="4450" spans="1:1" x14ac:dyDescent="0.25">
      <c r="A4450" s="56">
        <v>34289200.200000003</v>
      </c>
    </row>
    <row r="4451" spans="1:1" x14ac:dyDescent="0.25">
      <c r="A4451" s="56">
        <v>27261995.699999999</v>
      </c>
    </row>
    <row r="4452" spans="1:1" x14ac:dyDescent="0.25">
      <c r="A4452" s="56">
        <v>13486542.5</v>
      </c>
    </row>
    <row r="4453" spans="1:1" x14ac:dyDescent="0.25">
      <c r="A4453" s="56">
        <v>7458980.4000000004</v>
      </c>
    </row>
    <row r="4454" spans="1:1" x14ac:dyDescent="0.25">
      <c r="A4454" s="56">
        <v>17635952.600000001</v>
      </c>
    </row>
    <row r="4455" spans="1:1" x14ac:dyDescent="0.25">
      <c r="A4455" s="56">
        <v>23187040.699999999</v>
      </c>
    </row>
    <row r="4456" spans="1:1" x14ac:dyDescent="0.25">
      <c r="A4456" s="56">
        <v>0</v>
      </c>
    </row>
    <row r="4457" spans="1:1" x14ac:dyDescent="0.25">
      <c r="A4457" s="56">
        <v>21905921.300000001</v>
      </c>
    </row>
    <row r="4458" spans="1:1" x14ac:dyDescent="0.25">
      <c r="A4458" s="56">
        <v>36977012.899999999</v>
      </c>
    </row>
    <row r="4459" spans="1:1" x14ac:dyDescent="0.25">
      <c r="A4459" s="56">
        <v>8084107.1999999899</v>
      </c>
    </row>
    <row r="4460" spans="1:1" x14ac:dyDescent="0.25">
      <c r="A4460" s="56">
        <v>61455009.200000003</v>
      </c>
    </row>
    <row r="4461" spans="1:1" x14ac:dyDescent="0.25">
      <c r="A4461" s="56">
        <v>3067387.2</v>
      </c>
    </row>
    <row r="4462" spans="1:1" x14ac:dyDescent="0.25">
      <c r="A4462" s="56">
        <v>47987983.699999899</v>
      </c>
    </row>
    <row r="4463" spans="1:1" x14ac:dyDescent="0.25">
      <c r="A4463" s="56">
        <v>219769424.09999999</v>
      </c>
    </row>
    <row r="4464" spans="1:1" x14ac:dyDescent="0.25">
      <c r="A4464" s="56">
        <v>6352740.0999999996</v>
      </c>
    </row>
    <row r="4465" spans="1:1" x14ac:dyDescent="0.25">
      <c r="A4465" s="56">
        <v>0</v>
      </c>
    </row>
    <row r="4466" spans="1:1" x14ac:dyDescent="0.25">
      <c r="A4466" s="56">
        <v>19314292.800000001</v>
      </c>
    </row>
    <row r="4467" spans="1:1" x14ac:dyDescent="0.25">
      <c r="A4467" s="56">
        <v>8812027.5999999996</v>
      </c>
    </row>
    <row r="4468" spans="1:1" x14ac:dyDescent="0.25">
      <c r="A4468" s="56">
        <v>29792925.399999999</v>
      </c>
    </row>
    <row r="4469" spans="1:1" x14ac:dyDescent="0.25">
      <c r="A4469" s="56">
        <v>8279009</v>
      </c>
    </row>
    <row r="4470" spans="1:1" x14ac:dyDescent="0.25">
      <c r="A4470" s="56">
        <v>25447763.899999902</v>
      </c>
    </row>
    <row r="4471" spans="1:1" x14ac:dyDescent="0.25">
      <c r="A4471" s="56">
        <v>112279671.40000001</v>
      </c>
    </row>
    <row r="4472" spans="1:1" x14ac:dyDescent="0.25">
      <c r="A4472" s="56">
        <v>5266863.6999999899</v>
      </c>
    </row>
    <row r="4473" spans="1:1" x14ac:dyDescent="0.25">
      <c r="A4473" s="56">
        <v>178240788.40000001</v>
      </c>
    </row>
    <row r="4474" spans="1:1" x14ac:dyDescent="0.25">
      <c r="A4474" s="56">
        <v>0</v>
      </c>
    </row>
    <row r="4475" spans="1:1" x14ac:dyDescent="0.25">
      <c r="A4475" s="56">
        <v>3861440</v>
      </c>
    </row>
    <row r="4476" spans="1:1" x14ac:dyDescent="0.25">
      <c r="A4476" s="56">
        <v>47753348.299999997</v>
      </c>
    </row>
    <row r="4477" spans="1:1" x14ac:dyDescent="0.25">
      <c r="A4477" s="56">
        <v>316719607.80000001</v>
      </c>
    </row>
    <row r="4478" spans="1:1" x14ac:dyDescent="0.25">
      <c r="A4478" s="56">
        <v>21690395.5</v>
      </c>
    </row>
    <row r="4479" spans="1:1" x14ac:dyDescent="0.25">
      <c r="A4479" s="56">
        <v>382345.6</v>
      </c>
    </row>
    <row r="4480" spans="1:1" x14ac:dyDescent="0.25">
      <c r="A4480" s="56">
        <v>36394467.700000003</v>
      </c>
    </row>
    <row r="4481" spans="1:1" x14ac:dyDescent="0.25">
      <c r="A4481" s="56">
        <v>4969019.3</v>
      </c>
    </row>
    <row r="4482" spans="1:1" x14ac:dyDescent="0.25">
      <c r="A4482" s="56">
        <v>16168341.199999999</v>
      </c>
    </row>
    <row r="4483" spans="1:1" x14ac:dyDescent="0.25">
      <c r="A4483" s="56">
        <v>106492081.8</v>
      </c>
    </row>
    <row r="4484" spans="1:1" x14ac:dyDescent="0.25">
      <c r="A4484" s="56">
        <v>100142637.40000001</v>
      </c>
    </row>
    <row r="4485" spans="1:1" x14ac:dyDescent="0.25">
      <c r="A4485" s="56">
        <v>9136561.5999999996</v>
      </c>
    </row>
    <row r="4486" spans="1:1" x14ac:dyDescent="0.25">
      <c r="A4486" s="56">
        <v>69601250.599999905</v>
      </c>
    </row>
    <row r="4487" spans="1:1" x14ac:dyDescent="0.25">
      <c r="A4487" s="56">
        <v>211834685.19999999</v>
      </c>
    </row>
    <row r="4488" spans="1:1" x14ac:dyDescent="0.25">
      <c r="A4488" s="56">
        <v>12058300.9</v>
      </c>
    </row>
    <row r="4489" spans="1:1" x14ac:dyDescent="0.25">
      <c r="A4489" s="56">
        <v>15512395.800000001</v>
      </c>
    </row>
    <row r="4490" spans="1:1" x14ac:dyDescent="0.25">
      <c r="A4490" s="56">
        <v>3192057.4</v>
      </c>
    </row>
    <row r="4491" spans="1:1" x14ac:dyDescent="0.25">
      <c r="A4491" s="56">
        <v>30692332.600000001</v>
      </c>
    </row>
    <row r="4492" spans="1:1" x14ac:dyDescent="0.25">
      <c r="A4492" s="56">
        <v>15477820.5</v>
      </c>
    </row>
    <row r="4493" spans="1:1" x14ac:dyDescent="0.25">
      <c r="A4493" s="56">
        <v>9654358.8000000007</v>
      </c>
    </row>
    <row r="4494" spans="1:1" x14ac:dyDescent="0.25">
      <c r="A4494" s="56">
        <v>19962353.600000001</v>
      </c>
    </row>
    <row r="4495" spans="1:1" x14ac:dyDescent="0.25">
      <c r="A4495" s="56">
        <v>23964152.399999999</v>
      </c>
    </row>
    <row r="4496" spans="1:1" x14ac:dyDescent="0.25">
      <c r="A4496" s="56">
        <v>26851854</v>
      </c>
    </row>
    <row r="4497" spans="1:1" x14ac:dyDescent="0.25">
      <c r="A4497" s="56">
        <v>0</v>
      </c>
    </row>
    <row r="4498" spans="1:1" x14ac:dyDescent="0.25">
      <c r="A4498" s="56">
        <v>37595953.899999999</v>
      </c>
    </row>
    <row r="4499" spans="1:1" x14ac:dyDescent="0.25">
      <c r="A4499" s="56">
        <v>6905596.5999999996</v>
      </c>
    </row>
    <row r="4500" spans="1:1" x14ac:dyDescent="0.25">
      <c r="A4500" s="56">
        <v>279470642</v>
      </c>
    </row>
    <row r="4501" spans="1:1" x14ac:dyDescent="0.25">
      <c r="A4501" s="56">
        <v>45956403.999999903</v>
      </c>
    </row>
    <row r="4502" spans="1:1" x14ac:dyDescent="0.25">
      <c r="A4502" s="56">
        <v>18987123.699999999</v>
      </c>
    </row>
    <row r="4503" spans="1:1" x14ac:dyDescent="0.25">
      <c r="A4503" s="56">
        <v>530640.80000000005</v>
      </c>
    </row>
    <row r="4504" spans="1:1" x14ac:dyDescent="0.25">
      <c r="A4504" s="56">
        <v>3409400.4</v>
      </c>
    </row>
    <row r="4505" spans="1:1" x14ac:dyDescent="0.25">
      <c r="A4505" s="56">
        <v>561407529.70000005</v>
      </c>
    </row>
    <row r="4506" spans="1:1" x14ac:dyDescent="0.25">
      <c r="A4506" s="56">
        <v>16584767.9</v>
      </c>
    </row>
    <row r="4507" spans="1:1" x14ac:dyDescent="0.25">
      <c r="A4507" s="56">
        <v>77565746.700000003</v>
      </c>
    </row>
    <row r="4508" spans="1:1" x14ac:dyDescent="0.25">
      <c r="A4508" s="56">
        <v>24084190.800000001</v>
      </c>
    </row>
    <row r="4509" spans="1:1" x14ac:dyDescent="0.25">
      <c r="A4509" s="56">
        <v>17402225.100000001</v>
      </c>
    </row>
    <row r="4510" spans="1:1" x14ac:dyDescent="0.25">
      <c r="A4510" s="56">
        <v>187047350.19999999</v>
      </c>
    </row>
    <row r="4511" spans="1:1" x14ac:dyDescent="0.25">
      <c r="A4511" s="56">
        <v>19070246.100000001</v>
      </c>
    </row>
    <row r="4512" spans="1:1" x14ac:dyDescent="0.25">
      <c r="A4512" s="56">
        <v>6174978.5999999996</v>
      </c>
    </row>
    <row r="4513" spans="1:1" x14ac:dyDescent="0.25">
      <c r="A4513" s="56">
        <v>304441.59999999998</v>
      </c>
    </row>
    <row r="4514" spans="1:1" x14ac:dyDescent="0.25">
      <c r="A4514" s="56">
        <v>46321416.799999997</v>
      </c>
    </row>
    <row r="4515" spans="1:1" x14ac:dyDescent="0.25">
      <c r="A4515" s="56">
        <v>5120515.3999999901</v>
      </c>
    </row>
    <row r="4516" spans="1:1" x14ac:dyDescent="0.25">
      <c r="A4516" s="56">
        <v>12594247.1</v>
      </c>
    </row>
    <row r="4517" spans="1:1" x14ac:dyDescent="0.25">
      <c r="A4517" s="56">
        <v>2812263.6</v>
      </c>
    </row>
    <row r="4518" spans="1:1" x14ac:dyDescent="0.25">
      <c r="A4518" s="56">
        <v>17464489</v>
      </c>
    </row>
    <row r="4519" spans="1:1" x14ac:dyDescent="0.25">
      <c r="A4519" s="56">
        <v>29989348.300000001</v>
      </c>
    </row>
    <row r="4520" spans="1:1" x14ac:dyDescent="0.25">
      <c r="A4520" s="56">
        <v>31058361.100000001</v>
      </c>
    </row>
    <row r="4521" spans="1:1" x14ac:dyDescent="0.25">
      <c r="A4521" s="56">
        <v>3013401.6</v>
      </c>
    </row>
    <row r="4522" spans="1:1" x14ac:dyDescent="0.25">
      <c r="A4522" s="56">
        <v>99143995.599999905</v>
      </c>
    </row>
    <row r="4523" spans="1:1" x14ac:dyDescent="0.25">
      <c r="A4523" s="56">
        <v>14030791.9</v>
      </c>
    </row>
    <row r="4524" spans="1:1" x14ac:dyDescent="0.25">
      <c r="A4524" s="56">
        <v>11432547.699999999</v>
      </c>
    </row>
    <row r="4525" spans="1:1" x14ac:dyDescent="0.25">
      <c r="A4525" s="56">
        <v>5838319.1999999899</v>
      </c>
    </row>
    <row r="4526" spans="1:1" x14ac:dyDescent="0.25">
      <c r="A4526" s="56">
        <v>5751030.2999999998</v>
      </c>
    </row>
    <row r="4527" spans="1:1" x14ac:dyDescent="0.25">
      <c r="A4527" s="56">
        <v>124067596.2</v>
      </c>
    </row>
    <row r="4528" spans="1:1" x14ac:dyDescent="0.25">
      <c r="A4528" s="56">
        <v>33560218.299999997</v>
      </c>
    </row>
    <row r="4529" spans="1:1" x14ac:dyDescent="0.25">
      <c r="A4529" s="56">
        <v>13464734.199999999</v>
      </c>
    </row>
    <row r="4530" spans="1:1" x14ac:dyDescent="0.25">
      <c r="A4530" s="56">
        <v>3509304</v>
      </c>
    </row>
    <row r="4531" spans="1:1" x14ac:dyDescent="0.25">
      <c r="A4531" s="56">
        <v>0</v>
      </c>
    </row>
    <row r="4532" spans="1:1" x14ac:dyDescent="0.25">
      <c r="A4532" s="56">
        <v>23673782.199999999</v>
      </c>
    </row>
    <row r="4533" spans="1:1" x14ac:dyDescent="0.25">
      <c r="A4533" s="56">
        <v>0</v>
      </c>
    </row>
    <row r="4534" spans="1:1" x14ac:dyDescent="0.25">
      <c r="A4534" s="56">
        <v>32196901.800000001</v>
      </c>
    </row>
    <row r="4535" spans="1:1" x14ac:dyDescent="0.25">
      <c r="A4535" s="56">
        <v>17766847.899999999</v>
      </c>
    </row>
    <row r="4536" spans="1:1" x14ac:dyDescent="0.25">
      <c r="A4536" s="56">
        <v>3384640.1999999899</v>
      </c>
    </row>
    <row r="4537" spans="1:1" x14ac:dyDescent="0.25">
      <c r="A4537" s="56">
        <v>907093370.79999995</v>
      </c>
    </row>
    <row r="4538" spans="1:1" x14ac:dyDescent="0.25">
      <c r="A4538" s="56">
        <v>37782931.299999997</v>
      </c>
    </row>
    <row r="4539" spans="1:1" x14ac:dyDescent="0.25">
      <c r="A4539" s="56">
        <v>7197522.3999999901</v>
      </c>
    </row>
    <row r="4540" spans="1:1" x14ac:dyDescent="0.25">
      <c r="A4540" s="56">
        <v>6644875.2999999998</v>
      </c>
    </row>
    <row r="4541" spans="1:1" x14ac:dyDescent="0.25">
      <c r="A4541" s="56">
        <v>4148686.8</v>
      </c>
    </row>
    <row r="4542" spans="1:1" x14ac:dyDescent="0.25">
      <c r="A4542" s="56">
        <v>7393979.4000000004</v>
      </c>
    </row>
    <row r="4543" spans="1:1" x14ac:dyDescent="0.25">
      <c r="A4543" s="56">
        <v>0</v>
      </c>
    </row>
    <row r="4544" spans="1:1" x14ac:dyDescent="0.25">
      <c r="A4544" s="56">
        <v>23621236.600000001</v>
      </c>
    </row>
    <row r="4545" spans="1:1" x14ac:dyDescent="0.25">
      <c r="A4545" s="56">
        <v>16418287.5</v>
      </c>
    </row>
    <row r="4546" spans="1:1" x14ac:dyDescent="0.25">
      <c r="A4546" s="56">
        <v>315030476.19999999</v>
      </c>
    </row>
    <row r="4547" spans="1:1" x14ac:dyDescent="0.25">
      <c r="A4547" s="56">
        <v>7369295.4000000004</v>
      </c>
    </row>
    <row r="4548" spans="1:1" x14ac:dyDescent="0.25">
      <c r="A4548" s="56">
        <v>0</v>
      </c>
    </row>
    <row r="4549" spans="1:1" x14ac:dyDescent="0.25">
      <c r="A4549" s="56">
        <v>7425700.0999999996</v>
      </c>
    </row>
    <row r="4550" spans="1:1" x14ac:dyDescent="0.25">
      <c r="A4550" s="56">
        <v>20942323.600000001</v>
      </c>
    </row>
    <row r="4551" spans="1:1" x14ac:dyDescent="0.25">
      <c r="A4551" s="56">
        <v>22067439.300000001</v>
      </c>
    </row>
    <row r="4552" spans="1:1" x14ac:dyDescent="0.25">
      <c r="A4552" s="56">
        <v>515068160.19999999</v>
      </c>
    </row>
    <row r="4553" spans="1:1" x14ac:dyDescent="0.25">
      <c r="A4553" s="56">
        <v>5337408</v>
      </c>
    </row>
    <row r="4554" spans="1:1" x14ac:dyDescent="0.25">
      <c r="A4554" s="56">
        <v>98439445.699999899</v>
      </c>
    </row>
    <row r="4555" spans="1:1" x14ac:dyDescent="0.25">
      <c r="A4555" s="56">
        <v>59261464</v>
      </c>
    </row>
    <row r="4556" spans="1:1" x14ac:dyDescent="0.25">
      <c r="A4556" s="56">
        <v>5558935</v>
      </c>
    </row>
    <row r="4557" spans="1:1" x14ac:dyDescent="0.25">
      <c r="A4557" s="56">
        <v>4249076.1999999899</v>
      </c>
    </row>
    <row r="4558" spans="1:1" x14ac:dyDescent="0.25">
      <c r="A4558" s="56">
        <v>16543333.4</v>
      </c>
    </row>
    <row r="4559" spans="1:1" x14ac:dyDescent="0.25">
      <c r="A4559" s="56">
        <v>0</v>
      </c>
    </row>
    <row r="4560" spans="1:1" x14ac:dyDescent="0.25">
      <c r="A4560" s="56">
        <v>220268567.09999999</v>
      </c>
    </row>
    <row r="4561" spans="1:1" x14ac:dyDescent="0.25">
      <c r="A4561" s="56">
        <v>1041923.2</v>
      </c>
    </row>
    <row r="4562" spans="1:1" x14ac:dyDescent="0.25">
      <c r="A4562" s="56">
        <v>2708098.2</v>
      </c>
    </row>
    <row r="4563" spans="1:1" x14ac:dyDescent="0.25">
      <c r="A4563" s="56">
        <v>99551649.700000003</v>
      </c>
    </row>
    <row r="4564" spans="1:1" x14ac:dyDescent="0.25">
      <c r="A4564" s="56">
        <v>86970587.799999997</v>
      </c>
    </row>
    <row r="4565" spans="1:1" x14ac:dyDescent="0.25">
      <c r="A4565" s="56">
        <v>8391708.5</v>
      </c>
    </row>
    <row r="4566" spans="1:1" x14ac:dyDescent="0.25">
      <c r="A4566" s="56">
        <v>309068</v>
      </c>
    </row>
    <row r="4567" spans="1:1" x14ac:dyDescent="0.25">
      <c r="A4567" s="56">
        <v>165751575.19999999</v>
      </c>
    </row>
    <row r="4568" spans="1:1" x14ac:dyDescent="0.25">
      <c r="A4568" s="56">
        <v>108426678.09999999</v>
      </c>
    </row>
    <row r="4569" spans="1:1" x14ac:dyDescent="0.25">
      <c r="A4569" s="56">
        <v>61772129.600000001</v>
      </c>
    </row>
    <row r="4570" spans="1:1" x14ac:dyDescent="0.25">
      <c r="A4570" s="56">
        <v>35620163.200000003</v>
      </c>
    </row>
    <row r="4571" spans="1:1" x14ac:dyDescent="0.25">
      <c r="A4571" s="56">
        <v>27629055.800000001</v>
      </c>
    </row>
    <row r="4572" spans="1:1" x14ac:dyDescent="0.25">
      <c r="A4572" s="56">
        <v>13542083.800000001</v>
      </c>
    </row>
    <row r="4573" spans="1:1" x14ac:dyDescent="0.25">
      <c r="A4573" s="56">
        <v>576491291.5</v>
      </c>
    </row>
    <row r="4574" spans="1:1" x14ac:dyDescent="0.25">
      <c r="A4574" s="56">
        <v>12974114.5</v>
      </c>
    </row>
    <row r="4575" spans="1:1" x14ac:dyDescent="0.25">
      <c r="A4575" s="56">
        <v>18204144.100000001</v>
      </c>
    </row>
    <row r="4576" spans="1:1" x14ac:dyDescent="0.25">
      <c r="A4576" s="56">
        <v>89279789.400000006</v>
      </c>
    </row>
    <row r="4577" spans="1:1" x14ac:dyDescent="0.25">
      <c r="A4577" s="56">
        <v>786862.8</v>
      </c>
    </row>
    <row r="4578" spans="1:1" x14ac:dyDescent="0.25">
      <c r="A4578" s="56">
        <v>79193812.699999899</v>
      </c>
    </row>
    <row r="4579" spans="1:1" x14ac:dyDescent="0.25">
      <c r="A4579" s="56">
        <v>177038499.40000001</v>
      </c>
    </row>
    <row r="4580" spans="1:1" x14ac:dyDescent="0.25">
      <c r="A4580" s="56">
        <v>441159919.5</v>
      </c>
    </row>
    <row r="4581" spans="1:1" x14ac:dyDescent="0.25">
      <c r="A4581" s="56">
        <v>79094771.299999997</v>
      </c>
    </row>
    <row r="4582" spans="1:1" x14ac:dyDescent="0.25">
      <c r="A4582" s="56">
        <v>0</v>
      </c>
    </row>
    <row r="4583" spans="1:1" x14ac:dyDescent="0.25">
      <c r="A4583" s="56">
        <v>25746381.800000001</v>
      </c>
    </row>
    <row r="4584" spans="1:1" x14ac:dyDescent="0.25">
      <c r="A4584" s="56">
        <v>10508627.800000001</v>
      </c>
    </row>
    <row r="4585" spans="1:1" x14ac:dyDescent="0.25">
      <c r="A4585" s="56">
        <v>136695075</v>
      </c>
    </row>
    <row r="4586" spans="1:1" x14ac:dyDescent="0.25">
      <c r="A4586" s="56">
        <v>8659599.9000000004</v>
      </c>
    </row>
    <row r="4587" spans="1:1" x14ac:dyDescent="0.25">
      <c r="A4587" s="56">
        <v>309728506.99999899</v>
      </c>
    </row>
    <row r="4588" spans="1:1" x14ac:dyDescent="0.25">
      <c r="A4588" s="56">
        <v>24103232.100000001</v>
      </c>
    </row>
    <row r="4589" spans="1:1" x14ac:dyDescent="0.25">
      <c r="A4589" s="56">
        <v>9659692.3999999892</v>
      </c>
    </row>
    <row r="4590" spans="1:1" x14ac:dyDescent="0.25">
      <c r="A4590" s="56">
        <v>11800617.6</v>
      </c>
    </row>
    <row r="4591" spans="1:1" x14ac:dyDescent="0.25">
      <c r="A4591" s="56">
        <v>15726552.1</v>
      </c>
    </row>
    <row r="4592" spans="1:1" x14ac:dyDescent="0.25">
      <c r="A4592" s="56">
        <v>28648765.300000001</v>
      </c>
    </row>
    <row r="4593" spans="1:1" x14ac:dyDescent="0.25">
      <c r="A4593" s="56">
        <v>82668809.5</v>
      </c>
    </row>
    <row r="4594" spans="1:1" x14ac:dyDescent="0.25">
      <c r="A4594" s="56">
        <v>9627583.5</v>
      </c>
    </row>
    <row r="4595" spans="1:1" x14ac:dyDescent="0.25">
      <c r="A4595" s="56">
        <v>10670453.800000001</v>
      </c>
    </row>
    <row r="4596" spans="1:1" x14ac:dyDescent="0.25">
      <c r="A4596" s="56">
        <v>24592749.600000001</v>
      </c>
    </row>
    <row r="4597" spans="1:1" x14ac:dyDescent="0.25">
      <c r="A4597" s="56">
        <v>16002363</v>
      </c>
    </row>
    <row r="4598" spans="1:1" x14ac:dyDescent="0.25">
      <c r="A4598" s="56">
        <v>48250885.799999997</v>
      </c>
    </row>
    <row r="4599" spans="1:1" x14ac:dyDescent="0.25">
      <c r="A4599" s="56">
        <v>2818175.6</v>
      </c>
    </row>
    <row r="4600" spans="1:1" x14ac:dyDescent="0.25">
      <c r="A4600" s="56">
        <v>0</v>
      </c>
    </row>
    <row r="4601" spans="1:1" x14ac:dyDescent="0.25">
      <c r="A4601" s="56">
        <v>2419782.6</v>
      </c>
    </row>
    <row r="4602" spans="1:1" x14ac:dyDescent="0.25">
      <c r="A4602" s="56">
        <v>151034764.09999999</v>
      </c>
    </row>
    <row r="4603" spans="1:1" x14ac:dyDescent="0.25">
      <c r="A4603" s="56">
        <v>87587022.099999905</v>
      </c>
    </row>
    <row r="4604" spans="1:1" x14ac:dyDescent="0.25">
      <c r="A4604" s="56">
        <v>11114203.4</v>
      </c>
    </row>
    <row r="4605" spans="1:1" x14ac:dyDescent="0.25">
      <c r="A4605" s="56">
        <v>52462152.399999902</v>
      </c>
    </row>
    <row r="4606" spans="1:1" x14ac:dyDescent="0.25">
      <c r="A4606" s="56">
        <v>11844348.6</v>
      </c>
    </row>
    <row r="4607" spans="1:1" x14ac:dyDescent="0.25">
      <c r="A4607" s="56">
        <v>0</v>
      </c>
    </row>
    <row r="4608" spans="1:1" x14ac:dyDescent="0.25">
      <c r="A4608" s="56">
        <v>1460199.6</v>
      </c>
    </row>
    <row r="4609" spans="1:1" x14ac:dyDescent="0.25">
      <c r="A4609" s="56">
        <v>44570.400000000001</v>
      </c>
    </row>
    <row r="4610" spans="1:1" x14ac:dyDescent="0.25">
      <c r="A4610" s="56">
        <v>367059557.60000002</v>
      </c>
    </row>
    <row r="4611" spans="1:1" x14ac:dyDescent="0.25">
      <c r="A4611" s="56">
        <v>70718938</v>
      </c>
    </row>
    <row r="4612" spans="1:1" x14ac:dyDescent="0.25">
      <c r="A4612" s="56">
        <v>260216212.80000001</v>
      </c>
    </row>
    <row r="4613" spans="1:1" x14ac:dyDescent="0.25">
      <c r="A4613" s="56">
        <v>0</v>
      </c>
    </row>
    <row r="4614" spans="1:1" x14ac:dyDescent="0.25">
      <c r="A4614" s="56">
        <v>11311013.199999999</v>
      </c>
    </row>
    <row r="4615" spans="1:1" x14ac:dyDescent="0.25">
      <c r="A4615" s="56">
        <v>56381770.799999997</v>
      </c>
    </row>
    <row r="4616" spans="1:1" x14ac:dyDescent="0.25">
      <c r="A4616" s="56">
        <v>4200823.2</v>
      </c>
    </row>
    <row r="4617" spans="1:1" x14ac:dyDescent="0.25">
      <c r="A4617" s="56">
        <v>620769393.10000002</v>
      </c>
    </row>
    <row r="4618" spans="1:1" x14ac:dyDescent="0.25">
      <c r="A4618" s="56">
        <v>40315290.199999899</v>
      </c>
    </row>
    <row r="4619" spans="1:1" x14ac:dyDescent="0.25">
      <c r="A4619" s="56">
        <v>0</v>
      </c>
    </row>
    <row r="4620" spans="1:1" x14ac:dyDescent="0.25">
      <c r="A4620" s="56">
        <v>9513822.2999999896</v>
      </c>
    </row>
    <row r="4621" spans="1:1" x14ac:dyDescent="0.25">
      <c r="A4621" s="56">
        <v>78323817.799999997</v>
      </c>
    </row>
    <row r="4622" spans="1:1" x14ac:dyDescent="0.25">
      <c r="A4622" s="56">
        <v>167881772</v>
      </c>
    </row>
    <row r="4623" spans="1:1" x14ac:dyDescent="0.25">
      <c r="A4623" s="56">
        <v>106651336.2</v>
      </c>
    </row>
    <row r="4624" spans="1:1" x14ac:dyDescent="0.25">
      <c r="A4624" s="56">
        <v>0</v>
      </c>
    </row>
    <row r="4625" spans="1:1" x14ac:dyDescent="0.25">
      <c r="A4625" s="56">
        <v>11457316.6</v>
      </c>
    </row>
    <row r="4626" spans="1:1" x14ac:dyDescent="0.25">
      <c r="A4626" s="56">
        <v>0</v>
      </c>
    </row>
    <row r="4627" spans="1:1" x14ac:dyDescent="0.25">
      <c r="A4627" s="56">
        <v>53716878.999999903</v>
      </c>
    </row>
    <row r="4628" spans="1:1" x14ac:dyDescent="0.25">
      <c r="A4628" s="56">
        <v>46166300.899999999</v>
      </c>
    </row>
    <row r="4629" spans="1:1" x14ac:dyDescent="0.25">
      <c r="A4629" s="56">
        <v>14802984.4</v>
      </c>
    </row>
    <row r="4630" spans="1:1" x14ac:dyDescent="0.25">
      <c r="A4630" s="56">
        <v>37830325.299999997</v>
      </c>
    </row>
    <row r="4631" spans="1:1" x14ac:dyDescent="0.25">
      <c r="A4631" s="56">
        <v>19109970.300000001</v>
      </c>
    </row>
    <row r="4632" spans="1:1" x14ac:dyDescent="0.25">
      <c r="A4632" s="56">
        <v>6721878.4000000004</v>
      </c>
    </row>
    <row r="4633" spans="1:1" x14ac:dyDescent="0.25">
      <c r="A4633" s="56">
        <v>373140086.09999901</v>
      </c>
    </row>
    <row r="4634" spans="1:1" x14ac:dyDescent="0.25">
      <c r="A4634" s="56">
        <v>6347785.5</v>
      </c>
    </row>
    <row r="4635" spans="1:1" x14ac:dyDescent="0.25">
      <c r="A4635" s="56">
        <v>20694629</v>
      </c>
    </row>
    <row r="4636" spans="1:1" x14ac:dyDescent="0.25">
      <c r="A4636" s="56">
        <v>235743704</v>
      </c>
    </row>
    <row r="4637" spans="1:1" x14ac:dyDescent="0.25">
      <c r="A4637" s="56">
        <v>78598518.699999899</v>
      </c>
    </row>
    <row r="4638" spans="1:1" x14ac:dyDescent="0.25">
      <c r="A4638" s="56">
        <v>190287744.69999999</v>
      </c>
    </row>
    <row r="4639" spans="1:1" x14ac:dyDescent="0.25">
      <c r="A4639" s="56">
        <v>7449246.0999999996</v>
      </c>
    </row>
    <row r="4640" spans="1:1" x14ac:dyDescent="0.25">
      <c r="A4640" s="56">
        <v>6669296.1999999899</v>
      </c>
    </row>
    <row r="4641" spans="1:1" x14ac:dyDescent="0.25">
      <c r="A4641" s="56">
        <v>146111117.80000001</v>
      </c>
    </row>
    <row r="4642" spans="1:1" x14ac:dyDescent="0.25">
      <c r="A4642" s="56">
        <v>124379726.3</v>
      </c>
    </row>
    <row r="4643" spans="1:1" x14ac:dyDescent="0.25">
      <c r="A4643" s="56">
        <v>70377963.299999997</v>
      </c>
    </row>
    <row r="4644" spans="1:1" x14ac:dyDescent="0.25">
      <c r="A4644" s="56">
        <v>180157432.09999999</v>
      </c>
    </row>
    <row r="4645" spans="1:1" x14ac:dyDescent="0.25">
      <c r="A4645" s="56">
        <v>39008740.099999897</v>
      </c>
    </row>
    <row r="4646" spans="1:1" x14ac:dyDescent="0.25">
      <c r="A4646" s="56">
        <v>5545591.7999999998</v>
      </c>
    </row>
    <row r="4647" spans="1:1" x14ac:dyDescent="0.25">
      <c r="A4647" s="56">
        <v>7491420.7999999998</v>
      </c>
    </row>
    <row r="4648" spans="1:1" x14ac:dyDescent="0.25">
      <c r="A4648" s="56">
        <v>8583818</v>
      </c>
    </row>
    <row r="4649" spans="1:1" x14ac:dyDescent="0.25">
      <c r="A4649" s="56">
        <v>39912771.600000001</v>
      </c>
    </row>
    <row r="4650" spans="1:1" x14ac:dyDescent="0.25">
      <c r="A4650" s="56">
        <v>209718628</v>
      </c>
    </row>
    <row r="4651" spans="1:1" x14ac:dyDescent="0.25">
      <c r="A4651" s="56">
        <v>2685027</v>
      </c>
    </row>
    <row r="4652" spans="1:1" x14ac:dyDescent="0.25">
      <c r="A4652" s="56">
        <v>124591220.90000001</v>
      </c>
    </row>
    <row r="4653" spans="1:1" x14ac:dyDescent="0.25">
      <c r="A4653" s="56">
        <v>0</v>
      </c>
    </row>
    <row r="4654" spans="1:1" x14ac:dyDescent="0.25">
      <c r="A4654" s="56">
        <v>8975085.6999999899</v>
      </c>
    </row>
    <row r="4655" spans="1:1" x14ac:dyDescent="0.25">
      <c r="A4655" s="56">
        <v>36873519.099999897</v>
      </c>
    </row>
    <row r="4656" spans="1:1" x14ac:dyDescent="0.25">
      <c r="A4656" s="56">
        <v>46933591.700000003</v>
      </c>
    </row>
    <row r="4657" spans="1:1" x14ac:dyDescent="0.25">
      <c r="A4657" s="56">
        <v>3064695</v>
      </c>
    </row>
    <row r="4658" spans="1:1" x14ac:dyDescent="0.25">
      <c r="A4658" s="56">
        <v>109384350.7</v>
      </c>
    </row>
    <row r="4659" spans="1:1" x14ac:dyDescent="0.25">
      <c r="A4659" s="56">
        <v>33496064.399999999</v>
      </c>
    </row>
    <row r="4660" spans="1:1" x14ac:dyDescent="0.25">
      <c r="A4660" s="56">
        <v>5695787.0999999996</v>
      </c>
    </row>
    <row r="4661" spans="1:1" x14ac:dyDescent="0.25">
      <c r="A4661" s="56">
        <v>217400216.40000001</v>
      </c>
    </row>
    <row r="4662" spans="1:1" x14ac:dyDescent="0.25">
      <c r="A4662" s="56">
        <v>16855000.600000001</v>
      </c>
    </row>
    <row r="4663" spans="1:1" x14ac:dyDescent="0.25">
      <c r="A4663" s="56">
        <v>0</v>
      </c>
    </row>
    <row r="4664" spans="1:1" x14ac:dyDescent="0.25">
      <c r="A4664" s="56">
        <v>493143719.69999999</v>
      </c>
    </row>
    <row r="4665" spans="1:1" x14ac:dyDescent="0.25">
      <c r="A4665" s="56">
        <v>238390225.19999999</v>
      </c>
    </row>
    <row r="4666" spans="1:1" x14ac:dyDescent="0.25">
      <c r="A4666" s="56">
        <v>19716804.300000001</v>
      </c>
    </row>
    <row r="4667" spans="1:1" x14ac:dyDescent="0.25">
      <c r="A4667" s="56">
        <v>13243932.199999999</v>
      </c>
    </row>
    <row r="4668" spans="1:1" x14ac:dyDescent="0.25">
      <c r="A4668" s="56">
        <v>86474410.099999905</v>
      </c>
    </row>
    <row r="4669" spans="1:1" x14ac:dyDescent="0.25">
      <c r="A4669" s="56">
        <v>161177087</v>
      </c>
    </row>
    <row r="4670" spans="1:1" x14ac:dyDescent="0.25">
      <c r="A4670" s="56">
        <v>13507672.800000001</v>
      </c>
    </row>
    <row r="4671" spans="1:1" x14ac:dyDescent="0.25">
      <c r="A4671" s="56">
        <v>4910977.3999999901</v>
      </c>
    </row>
    <row r="4672" spans="1:1" x14ac:dyDescent="0.25">
      <c r="A4672" s="56">
        <v>9585354.3000000007</v>
      </c>
    </row>
    <row r="4673" spans="1:1" x14ac:dyDescent="0.25">
      <c r="A4673" s="56">
        <v>0</v>
      </c>
    </row>
    <row r="4674" spans="1:1" x14ac:dyDescent="0.25">
      <c r="A4674" s="56">
        <v>4743467.2</v>
      </c>
    </row>
    <row r="4675" spans="1:1" x14ac:dyDescent="0.25">
      <c r="A4675" s="56">
        <v>5428146.7000000002</v>
      </c>
    </row>
    <row r="4676" spans="1:1" x14ac:dyDescent="0.25">
      <c r="A4676" s="56">
        <v>86550413</v>
      </c>
    </row>
    <row r="4677" spans="1:1" x14ac:dyDescent="0.25">
      <c r="A4677" s="56">
        <v>14174310.300000001</v>
      </c>
    </row>
    <row r="4678" spans="1:1" x14ac:dyDescent="0.25">
      <c r="A4678" s="56">
        <v>0</v>
      </c>
    </row>
    <row r="4679" spans="1:1" x14ac:dyDescent="0.25">
      <c r="A4679" s="56">
        <v>112091689.3</v>
      </c>
    </row>
    <row r="4680" spans="1:1" x14ac:dyDescent="0.25">
      <c r="A4680" s="56">
        <v>112505900.40000001</v>
      </c>
    </row>
    <row r="4681" spans="1:1" x14ac:dyDescent="0.25">
      <c r="A4681" s="56">
        <v>47229652.799999997</v>
      </c>
    </row>
    <row r="4682" spans="1:1" x14ac:dyDescent="0.25">
      <c r="A4682" s="56">
        <v>0</v>
      </c>
    </row>
    <row r="4683" spans="1:1" x14ac:dyDescent="0.25">
      <c r="A4683" s="56">
        <v>31322587.199999999</v>
      </c>
    </row>
    <row r="4684" spans="1:1" x14ac:dyDescent="0.25">
      <c r="A4684" s="56">
        <v>13112571</v>
      </c>
    </row>
    <row r="4685" spans="1:1" x14ac:dyDescent="0.25">
      <c r="A4685" s="56">
        <v>25874504.300000001</v>
      </c>
    </row>
    <row r="4686" spans="1:1" x14ac:dyDescent="0.25">
      <c r="A4686" s="56">
        <v>57206286.299999997</v>
      </c>
    </row>
    <row r="4687" spans="1:1" x14ac:dyDescent="0.25">
      <c r="A4687" s="56">
        <v>17683806</v>
      </c>
    </row>
    <row r="4688" spans="1:1" x14ac:dyDescent="0.25">
      <c r="A4688" s="56">
        <v>3274648.2</v>
      </c>
    </row>
    <row r="4689" spans="1:1" x14ac:dyDescent="0.25">
      <c r="A4689" s="56">
        <v>158604845</v>
      </c>
    </row>
    <row r="4690" spans="1:1" x14ac:dyDescent="0.25">
      <c r="A4690" s="56">
        <v>7141668.7999999998</v>
      </c>
    </row>
    <row r="4691" spans="1:1" x14ac:dyDescent="0.25">
      <c r="A4691" s="56">
        <v>183436555.09999999</v>
      </c>
    </row>
    <row r="4692" spans="1:1" x14ac:dyDescent="0.25">
      <c r="A4692" s="56">
        <v>64431364.899999999</v>
      </c>
    </row>
    <row r="4693" spans="1:1" x14ac:dyDescent="0.25">
      <c r="A4693" s="56">
        <v>173543041.69999999</v>
      </c>
    </row>
    <row r="4694" spans="1:1" x14ac:dyDescent="0.25">
      <c r="A4694" s="56">
        <v>10017739.4</v>
      </c>
    </row>
    <row r="4695" spans="1:1" x14ac:dyDescent="0.25">
      <c r="A4695" s="56">
        <v>3375107.2</v>
      </c>
    </row>
    <row r="4696" spans="1:1" x14ac:dyDescent="0.25">
      <c r="A4696" s="56">
        <v>6249002.3999999901</v>
      </c>
    </row>
    <row r="4697" spans="1:1" x14ac:dyDescent="0.25">
      <c r="A4697" s="56">
        <v>0</v>
      </c>
    </row>
    <row r="4698" spans="1:1" x14ac:dyDescent="0.25">
      <c r="A4698" s="56">
        <v>0</v>
      </c>
    </row>
    <row r="4699" spans="1:1" x14ac:dyDescent="0.25">
      <c r="A4699" s="56">
        <v>0</v>
      </c>
    </row>
    <row r="4700" spans="1:1" x14ac:dyDescent="0.25">
      <c r="A4700" s="56">
        <v>0</v>
      </c>
    </row>
    <row r="4701" spans="1:1" x14ac:dyDescent="0.25">
      <c r="A4701" s="56">
        <v>22576396.600000001</v>
      </c>
    </row>
    <row r="4702" spans="1:1" x14ac:dyDescent="0.25">
      <c r="A4702" s="56">
        <v>552374309.10000002</v>
      </c>
    </row>
    <row r="4703" spans="1:1" x14ac:dyDescent="0.25">
      <c r="A4703" s="56">
        <v>187862719.40000001</v>
      </c>
    </row>
    <row r="4704" spans="1:1" x14ac:dyDescent="0.25">
      <c r="A4704" s="56">
        <v>352677326.30000001</v>
      </c>
    </row>
    <row r="4705" spans="1:1" x14ac:dyDescent="0.25">
      <c r="A4705" s="56">
        <v>116409638.40000001</v>
      </c>
    </row>
    <row r="4706" spans="1:1" x14ac:dyDescent="0.25">
      <c r="A4706" s="56">
        <v>593458202.39999998</v>
      </c>
    </row>
    <row r="4707" spans="1:1" x14ac:dyDescent="0.25">
      <c r="A4707" s="56">
        <v>26298646</v>
      </c>
    </row>
    <row r="4708" spans="1:1" x14ac:dyDescent="0.25">
      <c r="A4708" s="56">
        <v>324372324</v>
      </c>
    </row>
    <row r="4709" spans="1:1" x14ac:dyDescent="0.25">
      <c r="A4709" s="56">
        <v>118465560</v>
      </c>
    </row>
    <row r="4710" spans="1:1" x14ac:dyDescent="0.25">
      <c r="A4710" s="56">
        <v>98827698.5</v>
      </c>
    </row>
    <row r="4711" spans="1:1" x14ac:dyDescent="0.25">
      <c r="A4711" s="56">
        <v>7392995</v>
      </c>
    </row>
    <row r="4712" spans="1:1" x14ac:dyDescent="0.25">
      <c r="A4712" s="56">
        <v>30239209.300000001</v>
      </c>
    </row>
    <row r="4713" spans="1:1" x14ac:dyDescent="0.25">
      <c r="A4713" s="56">
        <v>283112861.10000002</v>
      </c>
    </row>
    <row r="4714" spans="1:1" x14ac:dyDescent="0.25">
      <c r="A4714" s="56">
        <v>12262539.1</v>
      </c>
    </row>
    <row r="4715" spans="1:1" x14ac:dyDescent="0.25">
      <c r="A4715" s="56">
        <v>12052463.199999999</v>
      </c>
    </row>
    <row r="4716" spans="1:1" x14ac:dyDescent="0.25">
      <c r="A4716" s="56">
        <v>64168724.7999999</v>
      </c>
    </row>
    <row r="4717" spans="1:1" x14ac:dyDescent="0.25">
      <c r="A4717" s="56">
        <v>86550595.299999997</v>
      </c>
    </row>
    <row r="4718" spans="1:1" x14ac:dyDescent="0.25">
      <c r="A4718" s="56">
        <v>202314687.90000001</v>
      </c>
    </row>
    <row r="4719" spans="1:1" x14ac:dyDescent="0.25">
      <c r="A4719" s="56">
        <v>377749988.5</v>
      </c>
    </row>
    <row r="4720" spans="1:1" x14ac:dyDescent="0.25">
      <c r="A4720" s="56">
        <v>137367418.30000001</v>
      </c>
    </row>
    <row r="4721" spans="1:1" x14ac:dyDescent="0.25">
      <c r="A4721" s="56">
        <v>0</v>
      </c>
    </row>
    <row r="4722" spans="1:1" x14ac:dyDescent="0.25">
      <c r="A4722" s="56">
        <v>21465453</v>
      </c>
    </row>
    <row r="4723" spans="1:1" x14ac:dyDescent="0.25">
      <c r="A4723" s="56">
        <v>441764.4</v>
      </c>
    </row>
    <row r="4724" spans="1:1" x14ac:dyDescent="0.25">
      <c r="A4724" s="56">
        <v>15465405.1</v>
      </c>
    </row>
    <row r="4725" spans="1:1" x14ac:dyDescent="0.25">
      <c r="A4725" s="56">
        <v>6767208.4999999898</v>
      </c>
    </row>
    <row r="4726" spans="1:1" x14ac:dyDescent="0.25">
      <c r="A4726" s="56">
        <v>38976123.399999999</v>
      </c>
    </row>
    <row r="4727" spans="1:1" x14ac:dyDescent="0.25">
      <c r="A4727" s="56">
        <v>860590.8</v>
      </c>
    </row>
    <row r="4728" spans="1:1" x14ac:dyDescent="0.25">
      <c r="A4728" s="56">
        <v>35358567.299999997</v>
      </c>
    </row>
    <row r="4729" spans="1:1" x14ac:dyDescent="0.25">
      <c r="A4729" s="56">
        <v>9224164.9000000004</v>
      </c>
    </row>
    <row r="4730" spans="1:1" x14ac:dyDescent="0.25">
      <c r="A4730" s="56">
        <v>7681530.0999999996</v>
      </c>
    </row>
    <row r="4731" spans="1:1" x14ac:dyDescent="0.25">
      <c r="A4731" s="56">
        <v>146501917.09999999</v>
      </c>
    </row>
    <row r="4732" spans="1:1" x14ac:dyDescent="0.25">
      <c r="A4732" s="56">
        <v>6944369.9999999898</v>
      </c>
    </row>
    <row r="4733" spans="1:1" x14ac:dyDescent="0.25">
      <c r="A4733" s="56">
        <v>20275258.600000001</v>
      </c>
    </row>
    <row r="4734" spans="1:1" x14ac:dyDescent="0.25">
      <c r="A4734" s="56">
        <v>161123667</v>
      </c>
    </row>
    <row r="4735" spans="1:1" x14ac:dyDescent="0.25">
      <c r="A4735" s="56">
        <v>8201751.5999999996</v>
      </c>
    </row>
    <row r="4736" spans="1:1" x14ac:dyDescent="0.25">
      <c r="A4736" s="56">
        <v>776662.8</v>
      </c>
    </row>
    <row r="4737" spans="1:1" x14ac:dyDescent="0.25">
      <c r="A4737" s="56">
        <v>24351891.100000001</v>
      </c>
    </row>
    <row r="4738" spans="1:1" x14ac:dyDescent="0.25">
      <c r="A4738" s="56">
        <v>46408962.299999997</v>
      </c>
    </row>
    <row r="4739" spans="1:1" x14ac:dyDescent="0.25">
      <c r="A4739" s="56">
        <v>33537490.699999999</v>
      </c>
    </row>
    <row r="4740" spans="1:1" x14ac:dyDescent="0.25">
      <c r="A4740" s="56">
        <v>14774959</v>
      </c>
    </row>
    <row r="4741" spans="1:1" x14ac:dyDescent="0.25">
      <c r="A4741" s="56">
        <v>0</v>
      </c>
    </row>
    <row r="4742" spans="1:1" x14ac:dyDescent="0.25">
      <c r="A4742" s="56">
        <v>56991009.100000001</v>
      </c>
    </row>
    <row r="4743" spans="1:1" x14ac:dyDescent="0.25">
      <c r="A4743" s="56">
        <v>405440749.49999899</v>
      </c>
    </row>
    <row r="4744" spans="1:1" x14ac:dyDescent="0.25">
      <c r="A4744" s="56">
        <v>23964973.899999999</v>
      </c>
    </row>
    <row r="4745" spans="1:1" x14ac:dyDescent="0.25">
      <c r="A4745" s="56">
        <v>148483274.40000001</v>
      </c>
    </row>
    <row r="4746" spans="1:1" x14ac:dyDescent="0.25">
      <c r="A4746" s="56">
        <v>43245938.200000003</v>
      </c>
    </row>
    <row r="4747" spans="1:1" x14ac:dyDescent="0.25">
      <c r="A4747" s="56">
        <v>302329.59999999998</v>
      </c>
    </row>
    <row r="4748" spans="1:1" x14ac:dyDescent="0.25">
      <c r="A4748" s="56">
        <v>15416515.300000001</v>
      </c>
    </row>
    <row r="4749" spans="1:1" x14ac:dyDescent="0.25">
      <c r="A4749" s="56">
        <v>67871707.699999899</v>
      </c>
    </row>
    <row r="4750" spans="1:1" x14ac:dyDescent="0.25">
      <c r="A4750" s="56">
        <v>5640522.4000000004</v>
      </c>
    </row>
    <row r="4751" spans="1:1" x14ac:dyDescent="0.25">
      <c r="A4751" s="56">
        <v>55805722.200000003</v>
      </c>
    </row>
    <row r="4752" spans="1:1" x14ac:dyDescent="0.25">
      <c r="A4752" s="56">
        <v>20839883.800000001</v>
      </c>
    </row>
    <row r="4753" spans="1:1" x14ac:dyDescent="0.25">
      <c r="A4753" s="56">
        <v>16724867.1</v>
      </c>
    </row>
    <row r="4754" spans="1:1" x14ac:dyDescent="0.25">
      <c r="A4754" s="56">
        <v>17538282.399999999</v>
      </c>
    </row>
    <row r="4755" spans="1:1" x14ac:dyDescent="0.25">
      <c r="A4755" s="56">
        <v>0</v>
      </c>
    </row>
    <row r="4756" spans="1:1" x14ac:dyDescent="0.25">
      <c r="A4756" s="56">
        <v>85659949.599999905</v>
      </c>
    </row>
    <row r="4757" spans="1:1" x14ac:dyDescent="0.25">
      <c r="A4757" s="56">
        <v>48148721.899999999</v>
      </c>
    </row>
    <row r="4758" spans="1:1" x14ac:dyDescent="0.25">
      <c r="A4758" s="56">
        <v>17395647.899999999</v>
      </c>
    </row>
    <row r="4759" spans="1:1" x14ac:dyDescent="0.25">
      <c r="A4759" s="56">
        <v>3956213.4</v>
      </c>
    </row>
    <row r="4760" spans="1:1" x14ac:dyDescent="0.25">
      <c r="A4760" s="56">
        <v>5891463.9999999898</v>
      </c>
    </row>
    <row r="4761" spans="1:1" x14ac:dyDescent="0.25">
      <c r="A4761" s="56">
        <v>127919066.59999999</v>
      </c>
    </row>
    <row r="4762" spans="1:1" x14ac:dyDescent="0.25">
      <c r="A4762" s="56">
        <v>211496328.59999999</v>
      </c>
    </row>
    <row r="4763" spans="1:1" x14ac:dyDescent="0.25">
      <c r="A4763" s="56">
        <v>47039298.5</v>
      </c>
    </row>
    <row r="4764" spans="1:1" x14ac:dyDescent="0.25">
      <c r="A4764" s="56">
        <v>10723753.800000001</v>
      </c>
    </row>
    <row r="4765" spans="1:1" x14ac:dyDescent="0.25">
      <c r="A4765" s="56">
        <v>7778200</v>
      </c>
    </row>
    <row r="4766" spans="1:1" x14ac:dyDescent="0.25">
      <c r="A4766" s="56">
        <v>5028662.1999999899</v>
      </c>
    </row>
    <row r="4767" spans="1:1" x14ac:dyDescent="0.25">
      <c r="A4767" s="56">
        <v>38610311.600000001</v>
      </c>
    </row>
    <row r="4768" spans="1:1" x14ac:dyDescent="0.25">
      <c r="A4768" s="56">
        <v>29548957.800000001</v>
      </c>
    </row>
    <row r="4769" spans="1:1" x14ac:dyDescent="0.25">
      <c r="A4769" s="56">
        <v>203624472.59999999</v>
      </c>
    </row>
    <row r="4770" spans="1:1" x14ac:dyDescent="0.25">
      <c r="A4770" s="56">
        <v>117181741.90000001</v>
      </c>
    </row>
    <row r="4771" spans="1:1" x14ac:dyDescent="0.25">
      <c r="A4771" s="56">
        <v>0</v>
      </c>
    </row>
    <row r="4772" spans="1:1" x14ac:dyDescent="0.25">
      <c r="A4772" s="56">
        <v>42406736.200000003</v>
      </c>
    </row>
    <row r="4773" spans="1:1" x14ac:dyDescent="0.25">
      <c r="A4773" s="56">
        <v>16490051.6</v>
      </c>
    </row>
    <row r="4774" spans="1:1" x14ac:dyDescent="0.25">
      <c r="A4774" s="56">
        <v>21269765.199999999</v>
      </c>
    </row>
    <row r="4775" spans="1:1" x14ac:dyDescent="0.25">
      <c r="A4775" s="56">
        <v>5634307.6999999899</v>
      </c>
    </row>
    <row r="4776" spans="1:1" x14ac:dyDescent="0.25">
      <c r="A4776" s="56">
        <v>40761691.799999997</v>
      </c>
    </row>
    <row r="4777" spans="1:1" x14ac:dyDescent="0.25">
      <c r="A4777" s="56">
        <v>0</v>
      </c>
    </row>
    <row r="4778" spans="1:1" x14ac:dyDescent="0.25">
      <c r="A4778" s="56">
        <v>29781663.600000001</v>
      </c>
    </row>
    <row r="4779" spans="1:1" x14ac:dyDescent="0.25">
      <c r="A4779" s="56">
        <v>281312201.5</v>
      </c>
    </row>
    <row r="4780" spans="1:1" x14ac:dyDescent="0.25">
      <c r="A4780" s="56">
        <v>212802299.40000001</v>
      </c>
    </row>
    <row r="4781" spans="1:1" x14ac:dyDescent="0.25">
      <c r="A4781" s="56">
        <v>48070339.700000003</v>
      </c>
    </row>
    <row r="4782" spans="1:1" x14ac:dyDescent="0.25">
      <c r="A4782" s="56">
        <v>12083854.4</v>
      </c>
    </row>
    <row r="4783" spans="1:1" x14ac:dyDescent="0.25">
      <c r="A4783" s="56">
        <v>195822194.80000001</v>
      </c>
    </row>
    <row r="4784" spans="1:1" x14ac:dyDescent="0.25">
      <c r="A4784" s="56">
        <v>26480632</v>
      </c>
    </row>
    <row r="4785" spans="1:1" x14ac:dyDescent="0.25">
      <c r="A4785" s="56">
        <v>11971632.6</v>
      </c>
    </row>
    <row r="4786" spans="1:1" x14ac:dyDescent="0.25">
      <c r="A4786" s="56">
        <v>208517.2</v>
      </c>
    </row>
    <row r="4787" spans="1:1" x14ac:dyDescent="0.25">
      <c r="A4787" s="56">
        <v>350529879</v>
      </c>
    </row>
    <row r="4788" spans="1:1" x14ac:dyDescent="0.25">
      <c r="A4788" s="56">
        <v>0</v>
      </c>
    </row>
    <row r="4789" spans="1:1" x14ac:dyDescent="0.25">
      <c r="A4789" s="56">
        <v>10705992.4</v>
      </c>
    </row>
    <row r="4790" spans="1:1" x14ac:dyDescent="0.25">
      <c r="A4790" s="56">
        <v>0</v>
      </c>
    </row>
    <row r="4791" spans="1:1" x14ac:dyDescent="0.25">
      <c r="A4791" s="56">
        <v>30069338.600000001</v>
      </c>
    </row>
    <row r="4792" spans="1:1" x14ac:dyDescent="0.25">
      <c r="A4792" s="56">
        <v>65253307.5</v>
      </c>
    </row>
    <row r="4793" spans="1:1" x14ac:dyDescent="0.25">
      <c r="A4793" s="56">
        <v>5043773.6999999899</v>
      </c>
    </row>
    <row r="4794" spans="1:1" x14ac:dyDescent="0.25">
      <c r="A4794" s="56">
        <v>23073943</v>
      </c>
    </row>
    <row r="4795" spans="1:1" x14ac:dyDescent="0.25">
      <c r="A4795" s="56">
        <v>28943587.100000001</v>
      </c>
    </row>
    <row r="4796" spans="1:1" x14ac:dyDescent="0.25">
      <c r="A4796" s="56">
        <v>8687185.0999999996</v>
      </c>
    </row>
    <row r="4797" spans="1:1" x14ac:dyDescent="0.25">
      <c r="A4797" s="56">
        <v>23656720.899999999</v>
      </c>
    </row>
    <row r="4798" spans="1:1" x14ac:dyDescent="0.25">
      <c r="A4798" s="56">
        <v>318207438.60000002</v>
      </c>
    </row>
    <row r="4799" spans="1:1" x14ac:dyDescent="0.25">
      <c r="A4799" s="56">
        <v>0</v>
      </c>
    </row>
    <row r="4800" spans="1:1" x14ac:dyDescent="0.25">
      <c r="A4800" s="56">
        <v>11076719.800000001</v>
      </c>
    </row>
    <row r="4801" spans="1:1" x14ac:dyDescent="0.25">
      <c r="A4801" s="56">
        <v>21165530.699999999</v>
      </c>
    </row>
    <row r="4802" spans="1:1" x14ac:dyDescent="0.25">
      <c r="A4802" s="56">
        <v>10536771.800000001</v>
      </c>
    </row>
    <row r="4803" spans="1:1" x14ac:dyDescent="0.25">
      <c r="A4803" s="56">
        <v>16550991.199999999</v>
      </c>
    </row>
    <row r="4804" spans="1:1" x14ac:dyDescent="0.25">
      <c r="A4804" s="56">
        <v>882581662.29999995</v>
      </c>
    </row>
    <row r="4805" spans="1:1" x14ac:dyDescent="0.25">
      <c r="A4805" s="56">
        <v>36506422.5</v>
      </c>
    </row>
    <row r="4806" spans="1:1" x14ac:dyDescent="0.25">
      <c r="A4806" s="56">
        <v>49607003.700000003</v>
      </c>
    </row>
    <row r="4807" spans="1:1" x14ac:dyDescent="0.25">
      <c r="A4807" s="56">
        <v>20192206.100000001</v>
      </c>
    </row>
    <row r="4808" spans="1:1" x14ac:dyDescent="0.25">
      <c r="A4808" s="56">
        <v>127087844.90000001</v>
      </c>
    </row>
    <row r="4809" spans="1:1" x14ac:dyDescent="0.25">
      <c r="A4809" s="56">
        <v>56358141.399999999</v>
      </c>
    </row>
    <row r="4810" spans="1:1" x14ac:dyDescent="0.25">
      <c r="A4810" s="56">
        <v>44570.400000000001</v>
      </c>
    </row>
    <row r="4811" spans="1:1" x14ac:dyDescent="0.25">
      <c r="A4811" s="56">
        <v>118671579.2</v>
      </c>
    </row>
    <row r="4812" spans="1:1" x14ac:dyDescent="0.25">
      <c r="A4812" s="56">
        <v>4645899.2</v>
      </c>
    </row>
    <row r="4813" spans="1:1" x14ac:dyDescent="0.25">
      <c r="A4813" s="56">
        <v>30918580</v>
      </c>
    </row>
    <row r="4814" spans="1:1" x14ac:dyDescent="0.25">
      <c r="A4814" s="56">
        <v>0</v>
      </c>
    </row>
    <row r="4815" spans="1:1" x14ac:dyDescent="0.25">
      <c r="A4815" s="56">
        <v>50533089.299999997</v>
      </c>
    </row>
    <row r="4816" spans="1:1" x14ac:dyDescent="0.25">
      <c r="A4816" s="56">
        <v>12172021.9</v>
      </c>
    </row>
    <row r="4817" spans="1:1" x14ac:dyDescent="0.25">
      <c r="A4817" s="56">
        <v>36101604.899999999</v>
      </c>
    </row>
    <row r="4818" spans="1:1" x14ac:dyDescent="0.25">
      <c r="A4818" s="56">
        <v>10906985.5</v>
      </c>
    </row>
    <row r="4819" spans="1:1" x14ac:dyDescent="0.25">
      <c r="A4819" s="56">
        <v>40626339.5</v>
      </c>
    </row>
    <row r="4820" spans="1:1" x14ac:dyDescent="0.25">
      <c r="A4820" s="56">
        <v>240382738.30000001</v>
      </c>
    </row>
    <row r="4821" spans="1:1" x14ac:dyDescent="0.25">
      <c r="A4821" s="56">
        <v>27813963.199999999</v>
      </c>
    </row>
    <row r="4822" spans="1:1" x14ac:dyDescent="0.25">
      <c r="A4822" s="56">
        <v>10487684.300000001</v>
      </c>
    </row>
    <row r="4823" spans="1:1" x14ac:dyDescent="0.25">
      <c r="A4823" s="56">
        <v>49375936.700000003</v>
      </c>
    </row>
    <row r="4824" spans="1:1" x14ac:dyDescent="0.25">
      <c r="A4824" s="56">
        <v>12731373.199999999</v>
      </c>
    </row>
    <row r="4825" spans="1:1" x14ac:dyDescent="0.25">
      <c r="A4825" s="56">
        <v>52052747.399999902</v>
      </c>
    </row>
    <row r="4826" spans="1:1" x14ac:dyDescent="0.25">
      <c r="A4826" s="56">
        <v>5634307.6999999899</v>
      </c>
    </row>
    <row r="4827" spans="1:1" x14ac:dyDescent="0.25">
      <c r="A4827" s="56">
        <v>105861077</v>
      </c>
    </row>
    <row r="4828" spans="1:1" x14ac:dyDescent="0.25">
      <c r="A4828" s="56">
        <v>44955711.799999997</v>
      </c>
    </row>
    <row r="4829" spans="1:1" x14ac:dyDescent="0.25">
      <c r="A4829" s="56">
        <v>41840856.799999997</v>
      </c>
    </row>
    <row r="4830" spans="1:1" x14ac:dyDescent="0.25">
      <c r="A4830" s="56">
        <v>237286737</v>
      </c>
    </row>
    <row r="4831" spans="1:1" x14ac:dyDescent="0.25">
      <c r="A4831" s="56">
        <v>67909654.400000006</v>
      </c>
    </row>
    <row r="4832" spans="1:1" x14ac:dyDescent="0.25">
      <c r="A4832" s="56">
        <v>5978853.2999999998</v>
      </c>
    </row>
    <row r="4833" spans="1:1" x14ac:dyDescent="0.25">
      <c r="A4833" s="56">
        <v>3013401.6</v>
      </c>
    </row>
    <row r="4834" spans="1:1" x14ac:dyDescent="0.25">
      <c r="A4834" s="56">
        <v>17765971</v>
      </c>
    </row>
    <row r="4835" spans="1:1" x14ac:dyDescent="0.25">
      <c r="A4835" s="56">
        <v>0</v>
      </c>
    </row>
    <row r="4836" spans="1:1" x14ac:dyDescent="0.25">
      <c r="A4836" s="56">
        <v>28184279</v>
      </c>
    </row>
    <row r="4837" spans="1:1" x14ac:dyDescent="0.25">
      <c r="A4837" s="56">
        <v>14429239.699999999</v>
      </c>
    </row>
    <row r="4838" spans="1:1" x14ac:dyDescent="0.25">
      <c r="A4838" s="56">
        <v>3558337.2</v>
      </c>
    </row>
    <row r="4839" spans="1:1" x14ac:dyDescent="0.25">
      <c r="A4839" s="56">
        <v>0</v>
      </c>
    </row>
    <row r="4840" spans="1:1" x14ac:dyDescent="0.25">
      <c r="A4840" s="56">
        <v>473922164.30000001</v>
      </c>
    </row>
    <row r="4841" spans="1:1" x14ac:dyDescent="0.25">
      <c r="A4841" s="56">
        <v>7206742.5999999996</v>
      </c>
    </row>
    <row r="4842" spans="1:1" x14ac:dyDescent="0.25">
      <c r="A4842" s="56">
        <v>6984857</v>
      </c>
    </row>
    <row r="4843" spans="1:1" x14ac:dyDescent="0.25">
      <c r="A4843" s="56">
        <v>88259769.900000006</v>
      </c>
    </row>
    <row r="4844" spans="1:1" x14ac:dyDescent="0.25">
      <c r="A4844" s="56">
        <v>9747491.9000000004</v>
      </c>
    </row>
    <row r="4845" spans="1:1" x14ac:dyDescent="0.25">
      <c r="A4845" s="56">
        <v>73876357.5</v>
      </c>
    </row>
    <row r="4846" spans="1:1" x14ac:dyDescent="0.25">
      <c r="A4846" s="56">
        <v>5362204.2</v>
      </c>
    </row>
    <row r="4847" spans="1:1" x14ac:dyDescent="0.25">
      <c r="A4847" s="56">
        <v>76458587.599999905</v>
      </c>
    </row>
    <row r="4848" spans="1:1" x14ac:dyDescent="0.25">
      <c r="A4848" s="56">
        <v>18360466.899999999</v>
      </c>
    </row>
    <row r="4849" spans="1:1" x14ac:dyDescent="0.25">
      <c r="A4849" s="56">
        <v>9510843.3000000007</v>
      </c>
    </row>
    <row r="4850" spans="1:1" x14ac:dyDescent="0.25">
      <c r="A4850" s="56">
        <v>160537158.09999999</v>
      </c>
    </row>
    <row r="4851" spans="1:1" x14ac:dyDescent="0.25">
      <c r="A4851" s="56">
        <v>7199800.2000000002</v>
      </c>
    </row>
    <row r="4852" spans="1:1" x14ac:dyDescent="0.25">
      <c r="A4852" s="56">
        <v>203190549</v>
      </c>
    </row>
    <row r="4853" spans="1:1" x14ac:dyDescent="0.25">
      <c r="A4853" s="56">
        <v>9797255.5</v>
      </c>
    </row>
    <row r="4854" spans="1:1" x14ac:dyDescent="0.25">
      <c r="A4854" s="56">
        <v>147275699.80000001</v>
      </c>
    </row>
    <row r="4855" spans="1:1" x14ac:dyDescent="0.25">
      <c r="A4855" s="56">
        <v>159200880.09999999</v>
      </c>
    </row>
    <row r="4856" spans="1:1" x14ac:dyDescent="0.25">
      <c r="A4856" s="56">
        <v>25804524.800000001</v>
      </c>
    </row>
    <row r="4857" spans="1:1" x14ac:dyDescent="0.25">
      <c r="A4857" s="56">
        <v>12613762.699999999</v>
      </c>
    </row>
    <row r="4858" spans="1:1" x14ac:dyDescent="0.25">
      <c r="A4858" s="56">
        <v>55438834.899999999</v>
      </c>
    </row>
    <row r="4859" spans="1:1" x14ac:dyDescent="0.25">
      <c r="A4859" s="56">
        <v>0</v>
      </c>
    </row>
    <row r="4860" spans="1:1" x14ac:dyDescent="0.25">
      <c r="A4860" s="56">
        <v>126955755.40000001</v>
      </c>
    </row>
    <row r="4861" spans="1:1" x14ac:dyDescent="0.25">
      <c r="A4861" s="56">
        <v>348710788.60000002</v>
      </c>
    </row>
    <row r="4862" spans="1:1" x14ac:dyDescent="0.25">
      <c r="A4862" s="56">
        <v>283852470.89999998</v>
      </c>
    </row>
    <row r="4863" spans="1:1" x14ac:dyDescent="0.25">
      <c r="A4863" s="56">
        <v>91656472.799999893</v>
      </c>
    </row>
    <row r="4864" spans="1:1" x14ac:dyDescent="0.25">
      <c r="A4864" s="56">
        <v>102387682.8</v>
      </c>
    </row>
    <row r="4865" spans="1:1" x14ac:dyDescent="0.25">
      <c r="A4865" s="56">
        <v>59741328.799999997</v>
      </c>
    </row>
    <row r="4866" spans="1:1" x14ac:dyDescent="0.25">
      <c r="A4866" s="56">
        <v>139740797.09999999</v>
      </c>
    </row>
    <row r="4867" spans="1:1" x14ac:dyDescent="0.25">
      <c r="A4867" s="56">
        <v>25641979.199999999</v>
      </c>
    </row>
    <row r="4868" spans="1:1" x14ac:dyDescent="0.25">
      <c r="A4868" s="56">
        <v>50806361</v>
      </c>
    </row>
    <row r="4869" spans="1:1" x14ac:dyDescent="0.25">
      <c r="A4869" s="56">
        <v>25734689.5</v>
      </c>
    </row>
    <row r="4870" spans="1:1" x14ac:dyDescent="0.25">
      <c r="A4870" s="56">
        <v>66531386.299999997</v>
      </c>
    </row>
    <row r="4871" spans="1:1" x14ac:dyDescent="0.25">
      <c r="A4871" s="56">
        <v>54351062.100000001</v>
      </c>
    </row>
    <row r="4872" spans="1:1" x14ac:dyDescent="0.25">
      <c r="A4872" s="56">
        <v>110259533.5</v>
      </c>
    </row>
    <row r="4873" spans="1:1" x14ac:dyDescent="0.25">
      <c r="A4873" s="56">
        <v>27483855</v>
      </c>
    </row>
    <row r="4874" spans="1:1" x14ac:dyDescent="0.25">
      <c r="A4874" s="56">
        <v>563564463</v>
      </c>
    </row>
    <row r="4875" spans="1:1" x14ac:dyDescent="0.25">
      <c r="A4875" s="56">
        <v>368895642.60000002</v>
      </c>
    </row>
    <row r="4876" spans="1:1" x14ac:dyDescent="0.25">
      <c r="A4876" s="56">
        <v>0</v>
      </c>
    </row>
    <row r="4877" spans="1:1" x14ac:dyDescent="0.25">
      <c r="A4877" s="56">
        <v>58259163.099999897</v>
      </c>
    </row>
    <row r="4878" spans="1:1" x14ac:dyDescent="0.25">
      <c r="A4878" s="56">
        <v>0</v>
      </c>
    </row>
    <row r="4879" spans="1:1" x14ac:dyDescent="0.25">
      <c r="A4879" s="56">
        <v>107042229.5</v>
      </c>
    </row>
    <row r="4880" spans="1:1" x14ac:dyDescent="0.25">
      <c r="A4880" s="56">
        <v>115055905.59999999</v>
      </c>
    </row>
    <row r="4881" spans="1:1" x14ac:dyDescent="0.25">
      <c r="A4881" s="56">
        <v>3921577.8</v>
      </c>
    </row>
    <row r="4882" spans="1:1" x14ac:dyDescent="0.25">
      <c r="A4882" s="56">
        <v>99023167.299999997</v>
      </c>
    </row>
    <row r="4883" spans="1:1" x14ac:dyDescent="0.25">
      <c r="A4883" s="56">
        <v>13490367.199999999</v>
      </c>
    </row>
    <row r="4884" spans="1:1" x14ac:dyDescent="0.25">
      <c r="A4884" s="56">
        <v>371652436.80000001</v>
      </c>
    </row>
    <row r="4885" spans="1:1" x14ac:dyDescent="0.25">
      <c r="A4885" s="56">
        <v>32560668.899999999</v>
      </c>
    </row>
    <row r="4886" spans="1:1" x14ac:dyDescent="0.25">
      <c r="A4886" s="56">
        <v>3910524.6</v>
      </c>
    </row>
    <row r="4887" spans="1:1" x14ac:dyDescent="0.25">
      <c r="A4887" s="56">
        <v>0</v>
      </c>
    </row>
    <row r="4888" spans="1:1" x14ac:dyDescent="0.25">
      <c r="A4888" s="56">
        <v>0</v>
      </c>
    </row>
    <row r="4889" spans="1:1" x14ac:dyDescent="0.25">
      <c r="A4889" s="56">
        <v>8427723.0999999996</v>
      </c>
    </row>
    <row r="4890" spans="1:1" x14ac:dyDescent="0.25">
      <c r="A4890" s="56">
        <v>15561209.699999999</v>
      </c>
    </row>
    <row r="4891" spans="1:1" x14ac:dyDescent="0.25">
      <c r="A4891" s="56">
        <v>11346505</v>
      </c>
    </row>
    <row r="4892" spans="1:1" x14ac:dyDescent="0.25">
      <c r="A4892" s="56">
        <v>291966897.5</v>
      </c>
    </row>
    <row r="4893" spans="1:1" x14ac:dyDescent="0.25">
      <c r="A4893" s="56">
        <v>420648228.19999897</v>
      </c>
    </row>
    <row r="4894" spans="1:1" x14ac:dyDescent="0.25">
      <c r="A4894" s="56">
        <v>5043773.6999999899</v>
      </c>
    </row>
    <row r="4895" spans="1:1" x14ac:dyDescent="0.25">
      <c r="A4895" s="56">
        <v>159427557.40000001</v>
      </c>
    </row>
    <row r="4896" spans="1:1" x14ac:dyDescent="0.25">
      <c r="A4896" s="56">
        <v>165414869.5</v>
      </c>
    </row>
    <row r="4897" spans="1:1" x14ac:dyDescent="0.25">
      <c r="A4897" s="56">
        <v>10581663.4</v>
      </c>
    </row>
    <row r="4898" spans="1:1" x14ac:dyDescent="0.25">
      <c r="A4898" s="56">
        <v>33936529.399999999</v>
      </c>
    </row>
    <row r="4899" spans="1:1" x14ac:dyDescent="0.25">
      <c r="A4899" s="56">
        <v>5978853.2999999998</v>
      </c>
    </row>
    <row r="4900" spans="1:1" x14ac:dyDescent="0.25">
      <c r="A4900" s="56">
        <v>9000166.3000000007</v>
      </c>
    </row>
    <row r="4901" spans="1:1" x14ac:dyDescent="0.25">
      <c r="A4901" s="56">
        <v>9118236.6999999899</v>
      </c>
    </row>
    <row r="4902" spans="1:1" x14ac:dyDescent="0.25">
      <c r="A4902" s="56">
        <v>41844601.5</v>
      </c>
    </row>
    <row r="4903" spans="1:1" x14ac:dyDescent="0.25">
      <c r="A4903" s="56">
        <v>0</v>
      </c>
    </row>
    <row r="4904" spans="1:1" x14ac:dyDescent="0.25">
      <c r="A4904" s="56">
        <v>0</v>
      </c>
    </row>
    <row r="4905" spans="1:1" x14ac:dyDescent="0.25">
      <c r="A4905" s="56">
        <v>105885932.40000001</v>
      </c>
    </row>
    <row r="4906" spans="1:1" x14ac:dyDescent="0.25">
      <c r="A4906" s="56">
        <v>0</v>
      </c>
    </row>
    <row r="4907" spans="1:1" x14ac:dyDescent="0.25">
      <c r="A4907" s="56">
        <v>17590360.399999999</v>
      </c>
    </row>
    <row r="4908" spans="1:1" x14ac:dyDescent="0.25">
      <c r="A4908" s="56">
        <v>77233315.599999905</v>
      </c>
    </row>
    <row r="4909" spans="1:1" x14ac:dyDescent="0.25">
      <c r="A4909" s="56">
        <v>33694120.700000003</v>
      </c>
    </row>
    <row r="4910" spans="1:1" x14ac:dyDescent="0.25">
      <c r="A4910" s="56">
        <v>6361705</v>
      </c>
    </row>
    <row r="4911" spans="1:1" x14ac:dyDescent="0.25">
      <c r="A4911" s="56">
        <v>3801006.8</v>
      </c>
    </row>
    <row r="4912" spans="1:1" x14ac:dyDescent="0.25">
      <c r="A4912" s="56">
        <v>7894882.2999999896</v>
      </c>
    </row>
    <row r="4913" spans="1:1" x14ac:dyDescent="0.25">
      <c r="A4913" s="56">
        <v>19135210.199999999</v>
      </c>
    </row>
    <row r="4914" spans="1:1" x14ac:dyDescent="0.25">
      <c r="A4914" s="56">
        <v>1689783.2</v>
      </c>
    </row>
    <row r="4915" spans="1:1" x14ac:dyDescent="0.25">
      <c r="A4915" s="56">
        <v>43473833.200000003</v>
      </c>
    </row>
    <row r="4916" spans="1:1" x14ac:dyDescent="0.25">
      <c r="A4916" s="56">
        <v>49385668.200000003</v>
      </c>
    </row>
    <row r="4917" spans="1:1" x14ac:dyDescent="0.25">
      <c r="A4917" s="56">
        <v>80458700.400000006</v>
      </c>
    </row>
    <row r="4918" spans="1:1" x14ac:dyDescent="0.25">
      <c r="A4918" s="56">
        <v>479017108.39999902</v>
      </c>
    </row>
    <row r="4919" spans="1:1" x14ac:dyDescent="0.25">
      <c r="A4919" s="56">
        <v>31295434.5</v>
      </c>
    </row>
    <row r="4920" spans="1:1" x14ac:dyDescent="0.25">
      <c r="A4920" s="56">
        <v>15442974.300000001</v>
      </c>
    </row>
    <row r="4921" spans="1:1" x14ac:dyDescent="0.25">
      <c r="A4921" s="56">
        <v>3256389.6</v>
      </c>
    </row>
    <row r="4922" spans="1:1" x14ac:dyDescent="0.25">
      <c r="A4922" s="56">
        <v>17025662.100000001</v>
      </c>
    </row>
    <row r="4923" spans="1:1" x14ac:dyDescent="0.25">
      <c r="A4923" s="56">
        <v>45441750</v>
      </c>
    </row>
    <row r="4924" spans="1:1" x14ac:dyDescent="0.25">
      <c r="A4924" s="56">
        <v>2479549.4</v>
      </c>
    </row>
    <row r="4925" spans="1:1" x14ac:dyDescent="0.25">
      <c r="A4925" s="56">
        <v>0</v>
      </c>
    </row>
    <row r="4926" spans="1:1" x14ac:dyDescent="0.25">
      <c r="A4926" s="56">
        <v>116016931.09999999</v>
      </c>
    </row>
    <row r="4927" spans="1:1" x14ac:dyDescent="0.25">
      <c r="A4927" s="56">
        <v>143018555.59999999</v>
      </c>
    </row>
    <row r="4928" spans="1:1" x14ac:dyDescent="0.25">
      <c r="A4928" s="56">
        <v>58222887.700000003</v>
      </c>
    </row>
    <row r="4929" spans="1:1" x14ac:dyDescent="0.25">
      <c r="A4929" s="56">
        <v>64829160.599999897</v>
      </c>
    </row>
    <row r="4930" spans="1:1" x14ac:dyDescent="0.25">
      <c r="A4930" s="56">
        <v>98507138.399999902</v>
      </c>
    </row>
    <row r="4931" spans="1:1" x14ac:dyDescent="0.25">
      <c r="A4931" s="56">
        <v>25394355.600000001</v>
      </c>
    </row>
    <row r="4932" spans="1:1" x14ac:dyDescent="0.25">
      <c r="A4932" s="56">
        <v>61812280.200000003</v>
      </c>
    </row>
    <row r="4933" spans="1:1" x14ac:dyDescent="0.25">
      <c r="A4933" s="56">
        <v>33322398.399999999</v>
      </c>
    </row>
    <row r="4934" spans="1:1" x14ac:dyDescent="0.25">
      <c r="A4934" s="56">
        <v>32675863</v>
      </c>
    </row>
    <row r="4935" spans="1:1" x14ac:dyDescent="0.25">
      <c r="A4935" s="56">
        <v>6644875.2999999998</v>
      </c>
    </row>
    <row r="4936" spans="1:1" x14ac:dyDescent="0.25">
      <c r="A4936" s="56">
        <v>13144487.699999999</v>
      </c>
    </row>
    <row r="4937" spans="1:1" x14ac:dyDescent="0.25">
      <c r="A4937" s="56">
        <v>29423243.899999999</v>
      </c>
    </row>
    <row r="4938" spans="1:1" x14ac:dyDescent="0.25">
      <c r="A4938" s="56">
        <v>0</v>
      </c>
    </row>
    <row r="4939" spans="1:1" x14ac:dyDescent="0.25">
      <c r="A4939" s="56">
        <v>7801501.3999999901</v>
      </c>
    </row>
    <row r="4940" spans="1:1" x14ac:dyDescent="0.25">
      <c r="A4940" s="56">
        <v>30577383.800000001</v>
      </c>
    </row>
    <row r="4941" spans="1:1" x14ac:dyDescent="0.25">
      <c r="A4941" s="56">
        <v>106195887.2</v>
      </c>
    </row>
    <row r="4942" spans="1:1" x14ac:dyDescent="0.25">
      <c r="A4942" s="56">
        <v>13638873.199999999</v>
      </c>
    </row>
    <row r="4943" spans="1:1" x14ac:dyDescent="0.25">
      <c r="A4943" s="56">
        <v>0</v>
      </c>
    </row>
    <row r="4944" spans="1:1" x14ac:dyDescent="0.25">
      <c r="A4944" s="56">
        <v>0</v>
      </c>
    </row>
    <row r="4945" spans="1:1" x14ac:dyDescent="0.25">
      <c r="A4945" s="56">
        <v>289037.59999999998</v>
      </c>
    </row>
    <row r="4946" spans="1:1" x14ac:dyDescent="0.25">
      <c r="A4946" s="56">
        <v>0</v>
      </c>
    </row>
    <row r="4947" spans="1:1" x14ac:dyDescent="0.25">
      <c r="A4947" s="56">
        <v>192906497.09999999</v>
      </c>
    </row>
    <row r="4948" spans="1:1" x14ac:dyDescent="0.25">
      <c r="A4948" s="56">
        <v>0</v>
      </c>
    </row>
    <row r="4949" spans="1:1" x14ac:dyDescent="0.25">
      <c r="A4949" s="56">
        <v>26855593.600000001</v>
      </c>
    </row>
    <row r="4950" spans="1:1" x14ac:dyDescent="0.25">
      <c r="A4950" s="56">
        <v>500409772.89999998</v>
      </c>
    </row>
    <row r="4951" spans="1:1" x14ac:dyDescent="0.25">
      <c r="A4951" s="56">
        <v>164314008.80000001</v>
      </c>
    </row>
    <row r="4952" spans="1:1" x14ac:dyDescent="0.25">
      <c r="A4952" s="56">
        <v>56790486.099999897</v>
      </c>
    </row>
    <row r="4953" spans="1:1" x14ac:dyDescent="0.25">
      <c r="A4953" s="56">
        <v>12621464.4</v>
      </c>
    </row>
    <row r="4954" spans="1:1" x14ac:dyDescent="0.25">
      <c r="A4954" s="56">
        <v>6930851.1999999899</v>
      </c>
    </row>
    <row r="4955" spans="1:1" x14ac:dyDescent="0.25">
      <c r="A4955" s="56">
        <v>53218790.899999902</v>
      </c>
    </row>
    <row r="4956" spans="1:1" x14ac:dyDescent="0.25">
      <c r="A4956" s="56">
        <v>42162043.700000003</v>
      </c>
    </row>
    <row r="4957" spans="1:1" x14ac:dyDescent="0.25">
      <c r="A4957" s="56">
        <v>18760867.800000001</v>
      </c>
    </row>
    <row r="4958" spans="1:1" x14ac:dyDescent="0.25">
      <c r="A4958" s="56">
        <v>78850295.099999905</v>
      </c>
    </row>
    <row r="4959" spans="1:1" x14ac:dyDescent="0.25">
      <c r="A4959" s="56">
        <v>5602502.5</v>
      </c>
    </row>
    <row r="4960" spans="1:1" x14ac:dyDescent="0.25">
      <c r="A4960" s="56">
        <v>26890674.300000001</v>
      </c>
    </row>
    <row r="4961" spans="1:1" x14ac:dyDescent="0.25">
      <c r="A4961" s="56">
        <v>4488343.8</v>
      </c>
    </row>
    <row r="4962" spans="1:1" x14ac:dyDescent="0.25">
      <c r="A4962" s="56">
        <v>20781067.199999999</v>
      </c>
    </row>
    <row r="4963" spans="1:1" x14ac:dyDescent="0.25">
      <c r="A4963" s="56">
        <v>246997620.09999999</v>
      </c>
    </row>
    <row r="4964" spans="1:1" x14ac:dyDescent="0.25">
      <c r="A4964" s="56">
        <v>172422071.19999999</v>
      </c>
    </row>
    <row r="4965" spans="1:1" x14ac:dyDescent="0.25">
      <c r="A4965" s="56">
        <v>92414748.199999899</v>
      </c>
    </row>
    <row r="4966" spans="1:1" x14ac:dyDescent="0.25">
      <c r="A4966" s="56">
        <v>0</v>
      </c>
    </row>
    <row r="4967" spans="1:1" x14ac:dyDescent="0.25">
      <c r="A4967" s="56">
        <v>1852765.8</v>
      </c>
    </row>
    <row r="4968" spans="1:1" x14ac:dyDescent="0.25">
      <c r="A4968" s="56">
        <v>18317583.899999999</v>
      </c>
    </row>
    <row r="4969" spans="1:1" x14ac:dyDescent="0.25">
      <c r="A4969" s="56">
        <v>0</v>
      </c>
    </row>
    <row r="4970" spans="1:1" x14ac:dyDescent="0.25">
      <c r="A4970" s="56">
        <v>149283984.19999999</v>
      </c>
    </row>
    <row r="4971" spans="1:1" x14ac:dyDescent="0.25">
      <c r="A4971" s="56">
        <v>24540779.199999999</v>
      </c>
    </row>
    <row r="4972" spans="1:1" x14ac:dyDescent="0.25">
      <c r="A4972" s="56">
        <v>224066609.09999999</v>
      </c>
    </row>
    <row r="4973" spans="1:1" x14ac:dyDescent="0.25">
      <c r="A4973" s="56">
        <v>4792842.5999999996</v>
      </c>
    </row>
    <row r="4974" spans="1:1" x14ac:dyDescent="0.25">
      <c r="A4974" s="56">
        <v>320527673.30000001</v>
      </c>
    </row>
    <row r="4975" spans="1:1" x14ac:dyDescent="0.25">
      <c r="A4975" s="56">
        <v>6533211.2999999998</v>
      </c>
    </row>
    <row r="4976" spans="1:1" x14ac:dyDescent="0.25">
      <c r="A4976" s="56">
        <v>47915668.299999997</v>
      </c>
    </row>
    <row r="4977" spans="1:1" x14ac:dyDescent="0.25">
      <c r="A4977" s="56">
        <v>24470599.100000001</v>
      </c>
    </row>
    <row r="4978" spans="1:1" x14ac:dyDescent="0.25">
      <c r="A4978" s="56">
        <v>1013322.4</v>
      </c>
    </row>
    <row r="4979" spans="1:1" x14ac:dyDescent="0.25">
      <c r="A4979" s="56">
        <v>22716377.699999999</v>
      </c>
    </row>
    <row r="4980" spans="1:1" x14ac:dyDescent="0.25">
      <c r="A4980" s="56">
        <v>335566114</v>
      </c>
    </row>
    <row r="4981" spans="1:1" x14ac:dyDescent="0.25">
      <c r="A4981" s="56">
        <v>0</v>
      </c>
    </row>
    <row r="4982" spans="1:1" x14ac:dyDescent="0.25">
      <c r="A4982" s="56">
        <v>20162094.300000001</v>
      </c>
    </row>
    <row r="4983" spans="1:1" x14ac:dyDescent="0.25">
      <c r="A4983" s="56">
        <v>4882087.5999999996</v>
      </c>
    </row>
    <row r="4984" spans="1:1" x14ac:dyDescent="0.25">
      <c r="A4984" s="56">
        <v>23582602</v>
      </c>
    </row>
    <row r="4985" spans="1:1" x14ac:dyDescent="0.25">
      <c r="A4985" s="56">
        <v>408451386.80000001</v>
      </c>
    </row>
    <row r="4986" spans="1:1" x14ac:dyDescent="0.25">
      <c r="A4986" s="56">
        <v>0</v>
      </c>
    </row>
    <row r="4987" spans="1:1" x14ac:dyDescent="0.25">
      <c r="A4987" s="56">
        <v>0</v>
      </c>
    </row>
    <row r="4988" spans="1:1" x14ac:dyDescent="0.25">
      <c r="A4988" s="56">
        <v>0</v>
      </c>
    </row>
    <row r="4989" spans="1:1" x14ac:dyDescent="0.25">
      <c r="A4989" s="56">
        <v>38295558.899999999</v>
      </c>
    </row>
    <row r="4990" spans="1:1" x14ac:dyDescent="0.25">
      <c r="A4990" s="56">
        <v>6011850.0999999996</v>
      </c>
    </row>
    <row r="4991" spans="1:1" x14ac:dyDescent="0.25">
      <c r="A4991" s="56">
        <v>507396</v>
      </c>
    </row>
    <row r="4992" spans="1:1" x14ac:dyDescent="0.25">
      <c r="A4992" s="56">
        <v>12376494.800000001</v>
      </c>
    </row>
    <row r="4993" spans="1:1" x14ac:dyDescent="0.25">
      <c r="A4993" s="56">
        <v>2655896.4</v>
      </c>
    </row>
    <row r="4994" spans="1:1" x14ac:dyDescent="0.25">
      <c r="A4994" s="56">
        <v>10142651.6</v>
      </c>
    </row>
    <row r="4995" spans="1:1" x14ac:dyDescent="0.25">
      <c r="A4995" s="56">
        <v>321886498.69999999</v>
      </c>
    </row>
    <row r="4996" spans="1:1" x14ac:dyDescent="0.25">
      <c r="A4996" s="56">
        <v>548018.4</v>
      </c>
    </row>
    <row r="4997" spans="1:1" x14ac:dyDescent="0.25">
      <c r="A4997" s="56">
        <v>26757810.899999999</v>
      </c>
    </row>
    <row r="4998" spans="1:1" x14ac:dyDescent="0.25">
      <c r="A4998" s="56">
        <v>131616587.7</v>
      </c>
    </row>
    <row r="4999" spans="1:1" x14ac:dyDescent="0.25">
      <c r="A4999" s="56">
        <v>5794738.7999999998</v>
      </c>
    </row>
    <row r="5000" spans="1:1" x14ac:dyDescent="0.25">
      <c r="A5000" s="56">
        <v>27758745.800000001</v>
      </c>
    </row>
    <row r="5001" spans="1:1" x14ac:dyDescent="0.25">
      <c r="A5001" s="56">
        <v>56236565.200000003</v>
      </c>
    </row>
    <row r="5002" spans="1:1" x14ac:dyDescent="0.25">
      <c r="A5002" s="56">
        <v>48414457.899999999</v>
      </c>
    </row>
    <row r="5003" spans="1:1" x14ac:dyDescent="0.25">
      <c r="A5003" s="56">
        <v>148373832.59999999</v>
      </c>
    </row>
    <row r="5004" spans="1:1" x14ac:dyDescent="0.25">
      <c r="A5004" s="56">
        <v>45273577.099999897</v>
      </c>
    </row>
    <row r="5005" spans="1:1" x14ac:dyDescent="0.25">
      <c r="A5005" s="56">
        <v>5387214.5999999996</v>
      </c>
    </row>
    <row r="5006" spans="1:1" x14ac:dyDescent="0.25">
      <c r="A5006" s="56">
        <v>6097060.5999999996</v>
      </c>
    </row>
    <row r="5007" spans="1:1" x14ac:dyDescent="0.25">
      <c r="A5007" s="56">
        <v>20172535.300000001</v>
      </c>
    </row>
    <row r="5008" spans="1:1" x14ac:dyDescent="0.25">
      <c r="A5008" s="56">
        <v>3632519.4</v>
      </c>
    </row>
    <row r="5009" spans="1:1" x14ac:dyDescent="0.25">
      <c r="A5009" s="56">
        <v>18724005.899999999</v>
      </c>
    </row>
    <row r="5010" spans="1:1" x14ac:dyDescent="0.25">
      <c r="A5010" s="56">
        <v>32319984.899999999</v>
      </c>
    </row>
    <row r="5011" spans="1:1" x14ac:dyDescent="0.25">
      <c r="A5011" s="56">
        <v>36766394</v>
      </c>
    </row>
    <row r="5012" spans="1:1" x14ac:dyDescent="0.25">
      <c r="A5012" s="56">
        <v>12934070.800000001</v>
      </c>
    </row>
    <row r="5013" spans="1:1" x14ac:dyDescent="0.25">
      <c r="A5013" s="56">
        <v>26056371.5</v>
      </c>
    </row>
    <row r="5014" spans="1:1" x14ac:dyDescent="0.25">
      <c r="A5014" s="56">
        <v>148658234.40000001</v>
      </c>
    </row>
    <row r="5015" spans="1:1" x14ac:dyDescent="0.25">
      <c r="A5015" s="56">
        <v>55775312.600000001</v>
      </c>
    </row>
    <row r="5016" spans="1:1" x14ac:dyDescent="0.25">
      <c r="A5016" s="56">
        <v>55486411.5</v>
      </c>
    </row>
    <row r="5017" spans="1:1" x14ac:dyDescent="0.25">
      <c r="A5017" s="56">
        <v>3115431.6</v>
      </c>
    </row>
    <row r="5018" spans="1:1" x14ac:dyDescent="0.25">
      <c r="A5018" s="56">
        <v>99435174.099999905</v>
      </c>
    </row>
    <row r="5019" spans="1:1" x14ac:dyDescent="0.25">
      <c r="A5019" s="56">
        <v>48916454.399999902</v>
      </c>
    </row>
    <row r="5020" spans="1:1" x14ac:dyDescent="0.25">
      <c r="A5020" s="56">
        <v>0</v>
      </c>
    </row>
    <row r="5021" spans="1:1" x14ac:dyDescent="0.25">
      <c r="A5021" s="56">
        <v>15399711.699999999</v>
      </c>
    </row>
    <row r="5022" spans="1:1" x14ac:dyDescent="0.25">
      <c r="A5022" s="56">
        <v>24984464.5</v>
      </c>
    </row>
    <row r="5023" spans="1:1" x14ac:dyDescent="0.25">
      <c r="A5023" s="56">
        <v>485290867.19999999</v>
      </c>
    </row>
    <row r="5024" spans="1:1" x14ac:dyDescent="0.25">
      <c r="A5024" s="56">
        <v>1991858</v>
      </c>
    </row>
    <row r="5025" spans="1:1" x14ac:dyDescent="0.25">
      <c r="A5025" s="56">
        <v>100201209.8</v>
      </c>
    </row>
    <row r="5026" spans="1:1" x14ac:dyDescent="0.25">
      <c r="A5026" s="56">
        <v>38135482.700000003</v>
      </c>
    </row>
    <row r="5027" spans="1:1" x14ac:dyDescent="0.25">
      <c r="A5027" s="56">
        <v>10300409</v>
      </c>
    </row>
    <row r="5028" spans="1:1" x14ac:dyDescent="0.25">
      <c r="A5028" s="56">
        <v>9236185.8999999892</v>
      </c>
    </row>
    <row r="5029" spans="1:1" x14ac:dyDescent="0.25">
      <c r="A5029" s="56">
        <v>153220.4</v>
      </c>
    </row>
    <row r="5030" spans="1:1" x14ac:dyDescent="0.25">
      <c r="A5030" s="56">
        <v>66979331.700000003</v>
      </c>
    </row>
    <row r="5031" spans="1:1" x14ac:dyDescent="0.25">
      <c r="A5031" s="56">
        <v>29946423.600000001</v>
      </c>
    </row>
    <row r="5032" spans="1:1" x14ac:dyDescent="0.25">
      <c r="A5032" s="56">
        <v>142829450.30000001</v>
      </c>
    </row>
    <row r="5033" spans="1:1" x14ac:dyDescent="0.25">
      <c r="A5033" s="56">
        <v>0</v>
      </c>
    </row>
    <row r="5034" spans="1:1" x14ac:dyDescent="0.25">
      <c r="A5034" s="56">
        <v>19448018.199999999</v>
      </c>
    </row>
    <row r="5035" spans="1:1" x14ac:dyDescent="0.25">
      <c r="A5035" s="56">
        <v>15175925.800000001</v>
      </c>
    </row>
    <row r="5036" spans="1:1" x14ac:dyDescent="0.25">
      <c r="A5036" s="56">
        <v>6185119.7999999998</v>
      </c>
    </row>
    <row r="5037" spans="1:1" x14ac:dyDescent="0.25">
      <c r="A5037" s="56">
        <v>165472227.80000001</v>
      </c>
    </row>
    <row r="5038" spans="1:1" x14ac:dyDescent="0.25">
      <c r="A5038" s="56">
        <v>33362274.100000001</v>
      </c>
    </row>
    <row r="5039" spans="1:1" x14ac:dyDescent="0.25">
      <c r="A5039" s="56">
        <v>24320730.699999999</v>
      </c>
    </row>
    <row r="5040" spans="1:1" x14ac:dyDescent="0.25">
      <c r="A5040" s="56">
        <v>17355013.5</v>
      </c>
    </row>
    <row r="5041" spans="1:1" x14ac:dyDescent="0.25">
      <c r="A5041" s="56">
        <v>167514359.80000001</v>
      </c>
    </row>
    <row r="5042" spans="1:1" x14ac:dyDescent="0.25">
      <c r="A5042" s="56">
        <v>0</v>
      </c>
    </row>
    <row r="5043" spans="1:1" x14ac:dyDescent="0.25">
      <c r="A5043" s="56">
        <v>0</v>
      </c>
    </row>
    <row r="5044" spans="1:1" x14ac:dyDescent="0.25">
      <c r="A5044" s="56">
        <v>0</v>
      </c>
    </row>
    <row r="5045" spans="1:1" x14ac:dyDescent="0.25">
      <c r="A5045" s="56">
        <v>64874343.200000003</v>
      </c>
    </row>
    <row r="5046" spans="1:1" x14ac:dyDescent="0.25">
      <c r="A5046" s="56">
        <v>3935823.8</v>
      </c>
    </row>
    <row r="5047" spans="1:1" x14ac:dyDescent="0.25">
      <c r="A5047" s="56">
        <v>40306503.299999997</v>
      </c>
    </row>
    <row r="5048" spans="1:1" x14ac:dyDescent="0.25">
      <c r="A5048" s="56">
        <v>10648102.300000001</v>
      </c>
    </row>
    <row r="5049" spans="1:1" x14ac:dyDescent="0.25">
      <c r="A5049" s="56">
        <v>443481882.39999998</v>
      </c>
    </row>
    <row r="5050" spans="1:1" x14ac:dyDescent="0.25">
      <c r="A5050" s="56">
        <v>142220344</v>
      </c>
    </row>
    <row r="5051" spans="1:1" x14ac:dyDescent="0.25">
      <c r="A5051" s="56">
        <v>36680353.599999897</v>
      </c>
    </row>
    <row r="5052" spans="1:1" x14ac:dyDescent="0.25">
      <c r="A5052" s="56">
        <v>34460803.599999897</v>
      </c>
    </row>
    <row r="5053" spans="1:1" x14ac:dyDescent="0.25">
      <c r="A5053" s="56">
        <v>6329917.2999999998</v>
      </c>
    </row>
    <row r="5054" spans="1:1" x14ac:dyDescent="0.25">
      <c r="A5054" s="56">
        <v>40478075.399999902</v>
      </c>
    </row>
    <row r="5055" spans="1:1" x14ac:dyDescent="0.25">
      <c r="A5055" s="56">
        <v>13908468.199999999</v>
      </c>
    </row>
    <row r="5056" spans="1:1" x14ac:dyDescent="0.25">
      <c r="A5056" s="56">
        <v>150284821.5</v>
      </c>
    </row>
    <row r="5057" spans="1:1" x14ac:dyDescent="0.25">
      <c r="A5057" s="56">
        <v>346839911.69999897</v>
      </c>
    </row>
    <row r="5058" spans="1:1" x14ac:dyDescent="0.25">
      <c r="A5058" s="56">
        <v>45340483.200000003</v>
      </c>
    </row>
    <row r="5059" spans="1:1" x14ac:dyDescent="0.25">
      <c r="A5059" s="56">
        <v>14778930.4</v>
      </c>
    </row>
    <row r="5060" spans="1:1" x14ac:dyDescent="0.25">
      <c r="A5060" s="56">
        <v>457571.2</v>
      </c>
    </row>
    <row r="5061" spans="1:1" x14ac:dyDescent="0.25">
      <c r="A5061" s="56">
        <v>23957977.300000001</v>
      </c>
    </row>
    <row r="5062" spans="1:1" x14ac:dyDescent="0.25">
      <c r="A5062" s="56">
        <v>345050665.89999998</v>
      </c>
    </row>
    <row r="5063" spans="1:1" x14ac:dyDescent="0.25">
      <c r="A5063" s="56">
        <v>3875395.4</v>
      </c>
    </row>
    <row r="5064" spans="1:1" x14ac:dyDescent="0.25">
      <c r="A5064" s="56">
        <v>57423618.899999902</v>
      </c>
    </row>
    <row r="5065" spans="1:1" x14ac:dyDescent="0.25">
      <c r="A5065" s="56">
        <v>9672834.2999999896</v>
      </c>
    </row>
    <row r="5066" spans="1:1" x14ac:dyDescent="0.25">
      <c r="A5066" s="56">
        <v>378289529.89999998</v>
      </c>
    </row>
    <row r="5067" spans="1:1" x14ac:dyDescent="0.25">
      <c r="A5067" s="56">
        <v>25803356.5</v>
      </c>
    </row>
    <row r="5068" spans="1:1" x14ac:dyDescent="0.25">
      <c r="A5068" s="56">
        <v>20814211.300000001</v>
      </c>
    </row>
    <row r="5069" spans="1:1" x14ac:dyDescent="0.25">
      <c r="A5069" s="56">
        <v>16773248.300000001</v>
      </c>
    </row>
    <row r="5070" spans="1:1" x14ac:dyDescent="0.25">
      <c r="A5070" s="56">
        <v>0</v>
      </c>
    </row>
    <row r="5071" spans="1:1" x14ac:dyDescent="0.25">
      <c r="A5071" s="56">
        <v>19881589.300000001</v>
      </c>
    </row>
    <row r="5072" spans="1:1" x14ac:dyDescent="0.25">
      <c r="A5072" s="56">
        <v>94098119.700000003</v>
      </c>
    </row>
    <row r="5073" spans="1:1" x14ac:dyDescent="0.25">
      <c r="A5073" s="56">
        <v>2331254.2000000002</v>
      </c>
    </row>
    <row r="5074" spans="1:1" x14ac:dyDescent="0.25">
      <c r="A5074" s="56">
        <v>170320927.09999999</v>
      </c>
    </row>
    <row r="5075" spans="1:1" x14ac:dyDescent="0.25">
      <c r="A5075" s="56">
        <v>31756668</v>
      </c>
    </row>
    <row r="5076" spans="1:1" x14ac:dyDescent="0.25">
      <c r="A5076" s="56">
        <v>115196291.90000001</v>
      </c>
    </row>
    <row r="5077" spans="1:1" x14ac:dyDescent="0.25">
      <c r="A5077" s="56">
        <v>47190132.799999997</v>
      </c>
    </row>
    <row r="5078" spans="1:1" x14ac:dyDescent="0.25">
      <c r="A5078" s="56">
        <v>110447616.09999999</v>
      </c>
    </row>
    <row r="5079" spans="1:1" x14ac:dyDescent="0.25">
      <c r="A5079" s="56">
        <v>2345104.2000000002</v>
      </c>
    </row>
    <row r="5080" spans="1:1" x14ac:dyDescent="0.25">
      <c r="A5080" s="56">
        <v>14171459.9</v>
      </c>
    </row>
    <row r="5081" spans="1:1" x14ac:dyDescent="0.25">
      <c r="A5081" s="56">
        <v>53565191.700000003</v>
      </c>
    </row>
    <row r="5082" spans="1:1" x14ac:dyDescent="0.25">
      <c r="A5082" s="56">
        <v>15315303.199999999</v>
      </c>
    </row>
    <row r="5083" spans="1:1" x14ac:dyDescent="0.25">
      <c r="A5083" s="56">
        <v>10072638.5</v>
      </c>
    </row>
    <row r="5084" spans="1:1" x14ac:dyDescent="0.25">
      <c r="A5084" s="56">
        <v>7485543.8999999901</v>
      </c>
    </row>
    <row r="5085" spans="1:1" x14ac:dyDescent="0.25">
      <c r="A5085" s="56">
        <v>21852221.199999999</v>
      </c>
    </row>
    <row r="5086" spans="1:1" x14ac:dyDescent="0.25">
      <c r="A5086" s="56">
        <v>71632388.5</v>
      </c>
    </row>
    <row r="5087" spans="1:1" x14ac:dyDescent="0.25">
      <c r="A5087" s="56">
        <v>29152738.300000001</v>
      </c>
    </row>
    <row r="5088" spans="1:1" x14ac:dyDescent="0.25">
      <c r="A5088" s="56">
        <v>27525073.300000001</v>
      </c>
    </row>
    <row r="5089" spans="1:1" x14ac:dyDescent="0.25">
      <c r="A5089" s="56">
        <v>450491307.39999998</v>
      </c>
    </row>
    <row r="5090" spans="1:1" x14ac:dyDescent="0.25">
      <c r="A5090" s="56">
        <v>173756626.69999999</v>
      </c>
    </row>
    <row r="5091" spans="1:1" x14ac:dyDescent="0.25">
      <c r="A5091" s="56">
        <v>48116636.100000001</v>
      </c>
    </row>
    <row r="5092" spans="1:1" x14ac:dyDescent="0.25">
      <c r="A5092" s="56">
        <v>46187946</v>
      </c>
    </row>
    <row r="5093" spans="1:1" x14ac:dyDescent="0.25">
      <c r="A5093" s="56">
        <v>255123.6</v>
      </c>
    </row>
    <row r="5094" spans="1:1" x14ac:dyDescent="0.25">
      <c r="A5094" s="56">
        <v>3115431.6</v>
      </c>
    </row>
    <row r="5095" spans="1:1" x14ac:dyDescent="0.25">
      <c r="A5095" s="56">
        <v>122787.6</v>
      </c>
    </row>
    <row r="5096" spans="1:1" x14ac:dyDescent="0.25">
      <c r="A5096" s="56">
        <v>8365803.3999999901</v>
      </c>
    </row>
    <row r="5097" spans="1:1" x14ac:dyDescent="0.25">
      <c r="A5097" s="56">
        <v>31519386.600000001</v>
      </c>
    </row>
    <row r="5098" spans="1:1" x14ac:dyDescent="0.25">
      <c r="A5098" s="56">
        <v>39869680.100000001</v>
      </c>
    </row>
    <row r="5099" spans="1:1" x14ac:dyDescent="0.25">
      <c r="A5099" s="56">
        <v>32931816.600000001</v>
      </c>
    </row>
    <row r="5100" spans="1:1" x14ac:dyDescent="0.25">
      <c r="A5100" s="56">
        <v>16008460.1</v>
      </c>
    </row>
    <row r="5101" spans="1:1" x14ac:dyDescent="0.25">
      <c r="A5101" s="56">
        <v>123765546.90000001</v>
      </c>
    </row>
    <row r="5102" spans="1:1" x14ac:dyDescent="0.25">
      <c r="A5102" s="56">
        <v>90171743.299999893</v>
      </c>
    </row>
    <row r="5103" spans="1:1" x14ac:dyDescent="0.25">
      <c r="A5103" s="56">
        <v>7829151.5999999996</v>
      </c>
    </row>
    <row r="5104" spans="1:1" x14ac:dyDescent="0.25">
      <c r="A5104" s="56">
        <v>53440731.600000001</v>
      </c>
    </row>
    <row r="5105" spans="1:1" x14ac:dyDescent="0.25">
      <c r="A5105" s="56">
        <v>12188589.800000001</v>
      </c>
    </row>
    <row r="5106" spans="1:1" x14ac:dyDescent="0.25">
      <c r="A5106" s="56">
        <v>18505565.300000001</v>
      </c>
    </row>
    <row r="5107" spans="1:1" x14ac:dyDescent="0.25">
      <c r="A5107" s="56">
        <v>12753352.9</v>
      </c>
    </row>
    <row r="5108" spans="1:1" x14ac:dyDescent="0.25">
      <c r="A5108" s="56">
        <v>9176172.6999999899</v>
      </c>
    </row>
    <row r="5109" spans="1:1" x14ac:dyDescent="0.25">
      <c r="A5109" s="56">
        <v>8707347.5</v>
      </c>
    </row>
    <row r="5110" spans="1:1" x14ac:dyDescent="0.25">
      <c r="A5110" s="56">
        <v>105312289.90000001</v>
      </c>
    </row>
    <row r="5111" spans="1:1" x14ac:dyDescent="0.25">
      <c r="A5111" s="56">
        <v>47149836.200000003</v>
      </c>
    </row>
    <row r="5112" spans="1:1" x14ac:dyDescent="0.25">
      <c r="A5112" s="56">
        <v>15058568.300000001</v>
      </c>
    </row>
    <row r="5113" spans="1:1" x14ac:dyDescent="0.25">
      <c r="A5113" s="56">
        <v>77288448.999999896</v>
      </c>
    </row>
    <row r="5114" spans="1:1" x14ac:dyDescent="0.25">
      <c r="A5114" s="56">
        <v>9689291.3999999892</v>
      </c>
    </row>
    <row r="5115" spans="1:1" x14ac:dyDescent="0.25">
      <c r="A5115" s="56">
        <v>288810870</v>
      </c>
    </row>
    <row r="5116" spans="1:1" x14ac:dyDescent="0.25">
      <c r="A5116" s="56">
        <v>7507686.7999999998</v>
      </c>
    </row>
    <row r="5117" spans="1:1" x14ac:dyDescent="0.25">
      <c r="A5117" s="56">
        <v>16241283.300000001</v>
      </c>
    </row>
    <row r="5118" spans="1:1" x14ac:dyDescent="0.25">
      <c r="A5118" s="56">
        <v>556150</v>
      </c>
    </row>
    <row r="5119" spans="1:1" x14ac:dyDescent="0.25">
      <c r="A5119" s="56">
        <v>17936745.600000001</v>
      </c>
    </row>
    <row r="5120" spans="1:1" x14ac:dyDescent="0.25">
      <c r="A5120" s="56">
        <v>202916615.09999999</v>
      </c>
    </row>
    <row r="5121" spans="1:1" x14ac:dyDescent="0.25">
      <c r="A5121" s="56">
        <v>44232898</v>
      </c>
    </row>
    <row r="5122" spans="1:1" x14ac:dyDescent="0.25">
      <c r="A5122" s="56">
        <v>396717322.30000001</v>
      </c>
    </row>
    <row r="5123" spans="1:1" x14ac:dyDescent="0.25">
      <c r="A5123" s="56">
        <v>183530541.30000001</v>
      </c>
    </row>
    <row r="5124" spans="1:1" x14ac:dyDescent="0.25">
      <c r="A5124" s="56">
        <v>31225543</v>
      </c>
    </row>
    <row r="5125" spans="1:1" x14ac:dyDescent="0.25">
      <c r="A5125" s="56">
        <v>3373040.2</v>
      </c>
    </row>
    <row r="5126" spans="1:1" x14ac:dyDescent="0.25">
      <c r="A5126" s="56">
        <v>6568469.4000000004</v>
      </c>
    </row>
    <row r="5127" spans="1:1" x14ac:dyDescent="0.25">
      <c r="A5127" s="56">
        <v>17334801</v>
      </c>
    </row>
    <row r="5128" spans="1:1" x14ac:dyDescent="0.25">
      <c r="A5128" s="56">
        <v>5617663.7999999998</v>
      </c>
    </row>
    <row r="5129" spans="1:1" x14ac:dyDescent="0.25">
      <c r="A5129" s="56">
        <v>101712121.8</v>
      </c>
    </row>
    <row r="5130" spans="1:1" x14ac:dyDescent="0.25">
      <c r="A5130" s="56">
        <v>38297092.599999897</v>
      </c>
    </row>
    <row r="5131" spans="1:1" x14ac:dyDescent="0.25">
      <c r="A5131" s="56">
        <v>216852278.69999999</v>
      </c>
    </row>
    <row r="5132" spans="1:1" x14ac:dyDescent="0.25">
      <c r="A5132" s="56">
        <v>50316393.799999997</v>
      </c>
    </row>
    <row r="5133" spans="1:1" x14ac:dyDescent="0.25">
      <c r="A5133" s="56">
        <v>141306555.5</v>
      </c>
    </row>
    <row r="5134" spans="1:1" x14ac:dyDescent="0.25">
      <c r="A5134" s="56">
        <v>112148010.59999999</v>
      </c>
    </row>
    <row r="5135" spans="1:1" x14ac:dyDescent="0.25">
      <c r="A5135" s="56">
        <v>23701530.699999999</v>
      </c>
    </row>
    <row r="5136" spans="1:1" x14ac:dyDescent="0.25">
      <c r="A5136" s="56">
        <v>90925211.899999902</v>
      </c>
    </row>
    <row r="5137" spans="1:1" x14ac:dyDescent="0.25">
      <c r="A5137" s="56">
        <v>62510819</v>
      </c>
    </row>
    <row r="5138" spans="1:1" x14ac:dyDescent="0.25">
      <c r="A5138" s="56">
        <v>29112189.199999999</v>
      </c>
    </row>
    <row r="5139" spans="1:1" x14ac:dyDescent="0.25">
      <c r="A5139" s="56">
        <v>11919888.5</v>
      </c>
    </row>
    <row r="5140" spans="1:1" x14ac:dyDescent="0.25">
      <c r="A5140" s="56">
        <v>6782966.9999999898</v>
      </c>
    </row>
    <row r="5141" spans="1:1" x14ac:dyDescent="0.25">
      <c r="A5141" s="56">
        <v>69203695.699999899</v>
      </c>
    </row>
    <row r="5142" spans="1:1" x14ac:dyDescent="0.25">
      <c r="A5142" s="56">
        <v>0</v>
      </c>
    </row>
    <row r="5143" spans="1:1" x14ac:dyDescent="0.25">
      <c r="A5143" s="56">
        <v>79160421.700000003</v>
      </c>
    </row>
    <row r="5144" spans="1:1" x14ac:dyDescent="0.25">
      <c r="A5144" s="56">
        <v>178314407.90000001</v>
      </c>
    </row>
    <row r="5145" spans="1:1" x14ac:dyDescent="0.25">
      <c r="A5145" s="56">
        <v>54742153</v>
      </c>
    </row>
    <row r="5146" spans="1:1" x14ac:dyDescent="0.25">
      <c r="A5146" s="56">
        <v>30243621.300000001</v>
      </c>
    </row>
    <row r="5147" spans="1:1" x14ac:dyDescent="0.25">
      <c r="A5147" s="56">
        <v>0</v>
      </c>
    </row>
    <row r="5148" spans="1:1" x14ac:dyDescent="0.25">
      <c r="A5148" s="56">
        <v>754248866.39999998</v>
      </c>
    </row>
    <row r="5149" spans="1:1" x14ac:dyDescent="0.25">
      <c r="A5149" s="56">
        <v>10152583.9</v>
      </c>
    </row>
    <row r="5150" spans="1:1" x14ac:dyDescent="0.25">
      <c r="A5150" s="56">
        <v>224631223.30000001</v>
      </c>
    </row>
    <row r="5151" spans="1:1" x14ac:dyDescent="0.25">
      <c r="A5151" s="56">
        <v>5606111.6999999899</v>
      </c>
    </row>
    <row r="5152" spans="1:1" x14ac:dyDescent="0.25">
      <c r="A5152" s="56">
        <v>2417540</v>
      </c>
    </row>
    <row r="5153" spans="1:1" x14ac:dyDescent="0.25">
      <c r="A5153" s="56">
        <v>16578839</v>
      </c>
    </row>
    <row r="5154" spans="1:1" x14ac:dyDescent="0.25">
      <c r="A5154" s="56">
        <v>30059696.699999999</v>
      </c>
    </row>
    <row r="5155" spans="1:1" x14ac:dyDescent="0.25">
      <c r="A5155" s="56">
        <v>7709058.1999999899</v>
      </c>
    </row>
    <row r="5156" spans="1:1" x14ac:dyDescent="0.25">
      <c r="A5156" s="56">
        <v>25475938.5</v>
      </c>
    </row>
    <row r="5157" spans="1:1" x14ac:dyDescent="0.25">
      <c r="A5157" s="56">
        <v>366508399.89999902</v>
      </c>
    </row>
    <row r="5158" spans="1:1" x14ac:dyDescent="0.25">
      <c r="A5158" s="56">
        <v>29430368.399999999</v>
      </c>
    </row>
    <row r="5159" spans="1:1" x14ac:dyDescent="0.25">
      <c r="A5159" s="56">
        <v>331241549</v>
      </c>
    </row>
    <row r="5160" spans="1:1" x14ac:dyDescent="0.25">
      <c r="A5160" s="56">
        <v>7510969.2000000002</v>
      </c>
    </row>
    <row r="5161" spans="1:1" x14ac:dyDescent="0.25">
      <c r="A5161" s="56">
        <v>122787.6</v>
      </c>
    </row>
    <row r="5162" spans="1:1" x14ac:dyDescent="0.25">
      <c r="A5162" s="56">
        <v>35772822.599999897</v>
      </c>
    </row>
    <row r="5163" spans="1:1" x14ac:dyDescent="0.25">
      <c r="A5163" s="56">
        <v>62036489.700000003</v>
      </c>
    </row>
    <row r="5164" spans="1:1" x14ac:dyDescent="0.25">
      <c r="A5164" s="56">
        <v>8547285.5999999996</v>
      </c>
    </row>
    <row r="5165" spans="1:1" x14ac:dyDescent="0.25">
      <c r="A5165" s="56">
        <v>8359175.2999999998</v>
      </c>
    </row>
    <row r="5166" spans="1:1" x14ac:dyDescent="0.25">
      <c r="A5166" s="56">
        <v>352234267.19999999</v>
      </c>
    </row>
    <row r="5167" spans="1:1" x14ac:dyDescent="0.25">
      <c r="A5167" s="56">
        <v>108781794</v>
      </c>
    </row>
    <row r="5168" spans="1:1" x14ac:dyDescent="0.25">
      <c r="A5168" s="56">
        <v>5792287.1999999899</v>
      </c>
    </row>
    <row r="5169" spans="1:1" x14ac:dyDescent="0.25">
      <c r="A5169" s="56">
        <v>41080420</v>
      </c>
    </row>
    <row r="5170" spans="1:1" x14ac:dyDescent="0.25">
      <c r="A5170" s="56">
        <v>0</v>
      </c>
    </row>
    <row r="5171" spans="1:1" x14ac:dyDescent="0.25">
      <c r="A5171" s="56">
        <v>7901914.5999999996</v>
      </c>
    </row>
    <row r="5172" spans="1:1" x14ac:dyDescent="0.25">
      <c r="A5172" s="56">
        <v>116100040.90000001</v>
      </c>
    </row>
    <row r="5173" spans="1:1" x14ac:dyDescent="0.25">
      <c r="A5173" s="56">
        <v>16824468.699999999</v>
      </c>
    </row>
    <row r="5174" spans="1:1" x14ac:dyDescent="0.25">
      <c r="A5174" s="56">
        <v>0</v>
      </c>
    </row>
    <row r="5175" spans="1:1" x14ac:dyDescent="0.25">
      <c r="A5175" s="56">
        <v>33998747.599999897</v>
      </c>
    </row>
    <row r="5176" spans="1:1" x14ac:dyDescent="0.25">
      <c r="A5176" s="56">
        <v>59111313.399999999</v>
      </c>
    </row>
    <row r="5177" spans="1:1" x14ac:dyDescent="0.25">
      <c r="A5177" s="56">
        <v>104546624.7</v>
      </c>
    </row>
    <row r="5178" spans="1:1" x14ac:dyDescent="0.25">
      <c r="A5178" s="56">
        <v>10531729.800000001</v>
      </c>
    </row>
    <row r="5179" spans="1:1" x14ac:dyDescent="0.25">
      <c r="A5179" s="56">
        <v>30495142.699999999</v>
      </c>
    </row>
    <row r="5180" spans="1:1" x14ac:dyDescent="0.25">
      <c r="A5180" s="56">
        <v>6694423.2999999896</v>
      </c>
    </row>
    <row r="5181" spans="1:1" x14ac:dyDescent="0.25">
      <c r="A5181" s="56">
        <v>0</v>
      </c>
    </row>
    <row r="5182" spans="1:1" x14ac:dyDescent="0.25">
      <c r="A5182" s="56">
        <v>51116684.200000003</v>
      </c>
    </row>
    <row r="5183" spans="1:1" x14ac:dyDescent="0.25">
      <c r="A5183" s="56">
        <v>25682195</v>
      </c>
    </row>
    <row r="5184" spans="1:1" x14ac:dyDescent="0.25">
      <c r="A5184" s="56">
        <v>318590737</v>
      </c>
    </row>
    <row r="5185" spans="1:1" x14ac:dyDescent="0.25">
      <c r="A5185" s="56">
        <v>0</v>
      </c>
    </row>
    <row r="5186" spans="1:1" x14ac:dyDescent="0.25">
      <c r="A5186" s="56">
        <v>109732368.8</v>
      </c>
    </row>
    <row r="5187" spans="1:1" x14ac:dyDescent="0.25">
      <c r="A5187" s="56">
        <v>310262835.5</v>
      </c>
    </row>
    <row r="5188" spans="1:1" x14ac:dyDescent="0.25">
      <c r="A5188" s="56">
        <v>58482930.200000003</v>
      </c>
    </row>
    <row r="5189" spans="1:1" x14ac:dyDescent="0.25">
      <c r="A5189" s="56">
        <v>56220493.099999897</v>
      </c>
    </row>
    <row r="5190" spans="1:1" x14ac:dyDescent="0.25">
      <c r="A5190" s="56">
        <v>2596891.7999999998</v>
      </c>
    </row>
    <row r="5191" spans="1:1" x14ac:dyDescent="0.25">
      <c r="A5191" s="56">
        <v>8146201.4000000004</v>
      </c>
    </row>
    <row r="5192" spans="1:1" x14ac:dyDescent="0.25">
      <c r="A5192" s="56">
        <v>35798512.100000001</v>
      </c>
    </row>
    <row r="5193" spans="1:1" x14ac:dyDescent="0.25">
      <c r="A5193" s="56">
        <v>19499849.399999999</v>
      </c>
    </row>
    <row r="5194" spans="1:1" x14ac:dyDescent="0.25">
      <c r="A5194" s="56">
        <v>337912933.89999998</v>
      </c>
    </row>
    <row r="5195" spans="1:1" x14ac:dyDescent="0.25">
      <c r="A5195" s="56">
        <v>64494955.099999897</v>
      </c>
    </row>
    <row r="5196" spans="1:1" x14ac:dyDescent="0.25">
      <c r="A5196" s="56">
        <v>23019311.300000001</v>
      </c>
    </row>
    <row r="5197" spans="1:1" x14ac:dyDescent="0.25">
      <c r="A5197" s="56">
        <v>13032237.300000001</v>
      </c>
    </row>
    <row r="5198" spans="1:1" x14ac:dyDescent="0.25">
      <c r="A5198" s="56">
        <v>33282919.199999999</v>
      </c>
    </row>
    <row r="5199" spans="1:1" x14ac:dyDescent="0.25">
      <c r="A5199" s="56">
        <v>19783151.300000001</v>
      </c>
    </row>
    <row r="5200" spans="1:1" x14ac:dyDescent="0.25">
      <c r="A5200" s="56">
        <v>66783436.899999999</v>
      </c>
    </row>
    <row r="5201" spans="1:1" x14ac:dyDescent="0.25">
      <c r="A5201" s="56">
        <v>0</v>
      </c>
    </row>
    <row r="5202" spans="1:1" x14ac:dyDescent="0.25">
      <c r="A5202" s="56">
        <v>44607290.399999999</v>
      </c>
    </row>
    <row r="5203" spans="1:1" x14ac:dyDescent="0.25">
      <c r="A5203" s="56">
        <v>183959092.90000001</v>
      </c>
    </row>
    <row r="5204" spans="1:1" x14ac:dyDescent="0.25">
      <c r="A5204" s="56">
        <v>142295538</v>
      </c>
    </row>
    <row r="5205" spans="1:1" x14ac:dyDescent="0.25">
      <c r="A5205" s="56">
        <v>11795777.300000001</v>
      </c>
    </row>
    <row r="5206" spans="1:1" x14ac:dyDescent="0.25">
      <c r="A5206" s="56">
        <v>11932213.300000001</v>
      </c>
    </row>
    <row r="5207" spans="1:1" x14ac:dyDescent="0.25">
      <c r="A5207" s="56">
        <v>19270656.600000001</v>
      </c>
    </row>
    <row r="5208" spans="1:1" x14ac:dyDescent="0.25">
      <c r="A5208" s="56">
        <v>41146893.799999997</v>
      </c>
    </row>
    <row r="5209" spans="1:1" x14ac:dyDescent="0.25">
      <c r="A5209" s="56">
        <v>16361492.4</v>
      </c>
    </row>
    <row r="5210" spans="1:1" x14ac:dyDescent="0.25">
      <c r="A5210" s="56">
        <v>73783444.900000006</v>
      </c>
    </row>
    <row r="5211" spans="1:1" x14ac:dyDescent="0.25">
      <c r="A5211" s="56">
        <v>39996060.799999997</v>
      </c>
    </row>
    <row r="5212" spans="1:1" x14ac:dyDescent="0.25">
      <c r="A5212" s="56">
        <v>10739869.6</v>
      </c>
    </row>
    <row r="5213" spans="1:1" x14ac:dyDescent="0.25">
      <c r="A5213" s="56">
        <v>12814615.4</v>
      </c>
    </row>
    <row r="5214" spans="1:1" x14ac:dyDescent="0.25">
      <c r="A5214" s="56">
        <v>1948908.6</v>
      </c>
    </row>
    <row r="5215" spans="1:1" x14ac:dyDescent="0.25">
      <c r="A5215" s="56">
        <v>177099036.59999999</v>
      </c>
    </row>
    <row r="5216" spans="1:1" x14ac:dyDescent="0.25">
      <c r="A5216" s="56">
        <v>10242370.9</v>
      </c>
    </row>
    <row r="5217" spans="1:1" x14ac:dyDescent="0.25">
      <c r="A5217" s="56">
        <v>80255783.599999905</v>
      </c>
    </row>
    <row r="5218" spans="1:1" x14ac:dyDescent="0.25">
      <c r="A5218" s="56">
        <v>17854892.600000001</v>
      </c>
    </row>
    <row r="5219" spans="1:1" x14ac:dyDescent="0.25">
      <c r="A5219" s="56">
        <v>10690950.699999999</v>
      </c>
    </row>
    <row r="5220" spans="1:1" x14ac:dyDescent="0.25">
      <c r="A5220" s="56">
        <v>0</v>
      </c>
    </row>
    <row r="5221" spans="1:1" x14ac:dyDescent="0.25">
      <c r="A5221" s="56">
        <v>3409400.4</v>
      </c>
    </row>
    <row r="5222" spans="1:1" x14ac:dyDescent="0.25">
      <c r="A5222" s="56">
        <v>16555819.6</v>
      </c>
    </row>
    <row r="5223" spans="1:1" x14ac:dyDescent="0.25">
      <c r="A5223" s="56">
        <v>120093005.8</v>
      </c>
    </row>
    <row r="5224" spans="1:1" x14ac:dyDescent="0.25">
      <c r="A5224" s="56">
        <v>2062579.4</v>
      </c>
    </row>
    <row r="5225" spans="1:1" x14ac:dyDescent="0.25">
      <c r="A5225" s="56">
        <v>6826948.0999999996</v>
      </c>
    </row>
    <row r="5226" spans="1:1" x14ac:dyDescent="0.25">
      <c r="A5226" s="56">
        <v>56282627.399999999</v>
      </c>
    </row>
    <row r="5227" spans="1:1" x14ac:dyDescent="0.25">
      <c r="A5227" s="56">
        <v>8638310.3999999892</v>
      </c>
    </row>
    <row r="5228" spans="1:1" x14ac:dyDescent="0.25">
      <c r="A5228" s="56">
        <v>2152042.7999999998</v>
      </c>
    </row>
    <row r="5229" spans="1:1" x14ac:dyDescent="0.25">
      <c r="A5229" s="56">
        <v>18926567.399999999</v>
      </c>
    </row>
    <row r="5230" spans="1:1" x14ac:dyDescent="0.25">
      <c r="A5230" s="56">
        <v>46283159.899999999</v>
      </c>
    </row>
    <row r="5231" spans="1:1" x14ac:dyDescent="0.25">
      <c r="A5231" s="56">
        <v>14833355.800000001</v>
      </c>
    </row>
    <row r="5232" spans="1:1" x14ac:dyDescent="0.25">
      <c r="A5232" s="56">
        <v>6644875.2999999998</v>
      </c>
    </row>
    <row r="5233" spans="1:1" x14ac:dyDescent="0.25">
      <c r="A5233" s="56">
        <v>17802373.699999999</v>
      </c>
    </row>
    <row r="5234" spans="1:1" x14ac:dyDescent="0.25">
      <c r="A5234" s="56">
        <v>93826853.799999997</v>
      </c>
    </row>
    <row r="5235" spans="1:1" x14ac:dyDescent="0.25">
      <c r="A5235" s="56">
        <v>407818780</v>
      </c>
    </row>
    <row r="5236" spans="1:1" x14ac:dyDescent="0.25">
      <c r="A5236" s="56">
        <v>162071677.69999999</v>
      </c>
    </row>
    <row r="5237" spans="1:1" x14ac:dyDescent="0.25">
      <c r="A5237" s="56">
        <v>12005277.9</v>
      </c>
    </row>
    <row r="5238" spans="1:1" x14ac:dyDescent="0.25">
      <c r="A5238" s="56">
        <v>11352556.800000001</v>
      </c>
    </row>
    <row r="5239" spans="1:1" x14ac:dyDescent="0.25">
      <c r="A5239" s="56">
        <v>185023051.09999999</v>
      </c>
    </row>
    <row r="5240" spans="1:1" x14ac:dyDescent="0.25">
      <c r="A5240" s="56">
        <v>42024514.499999903</v>
      </c>
    </row>
    <row r="5241" spans="1:1" x14ac:dyDescent="0.25">
      <c r="A5241" s="56">
        <v>35453464.700000003</v>
      </c>
    </row>
    <row r="5242" spans="1:1" x14ac:dyDescent="0.25">
      <c r="A5242" s="56">
        <v>0</v>
      </c>
    </row>
    <row r="5243" spans="1:1" x14ac:dyDescent="0.25">
      <c r="A5243" s="56">
        <v>0</v>
      </c>
    </row>
    <row r="5244" spans="1:1" x14ac:dyDescent="0.25">
      <c r="A5244" s="56">
        <v>3918248.4</v>
      </c>
    </row>
    <row r="5245" spans="1:1" x14ac:dyDescent="0.25">
      <c r="A5245" s="56">
        <v>20202978.800000001</v>
      </c>
    </row>
    <row r="5246" spans="1:1" x14ac:dyDescent="0.25">
      <c r="A5246" s="56">
        <v>116491959.3</v>
      </c>
    </row>
    <row r="5247" spans="1:1" x14ac:dyDescent="0.25">
      <c r="A5247" s="56">
        <v>1041923.2</v>
      </c>
    </row>
    <row r="5248" spans="1:1" x14ac:dyDescent="0.25">
      <c r="A5248" s="56">
        <v>51693497.700000003</v>
      </c>
    </row>
    <row r="5249" spans="1:1" x14ac:dyDescent="0.25">
      <c r="A5249" s="56">
        <v>152604653.19999999</v>
      </c>
    </row>
    <row r="5250" spans="1:1" x14ac:dyDescent="0.25">
      <c r="A5250" s="56">
        <v>9480061.5999999996</v>
      </c>
    </row>
    <row r="5251" spans="1:1" x14ac:dyDescent="0.25">
      <c r="A5251" s="56">
        <v>3803052</v>
      </c>
    </row>
    <row r="5252" spans="1:1" x14ac:dyDescent="0.25">
      <c r="A5252" s="56">
        <v>11493165.9</v>
      </c>
    </row>
    <row r="5253" spans="1:1" x14ac:dyDescent="0.25">
      <c r="A5253" s="56">
        <v>0</v>
      </c>
    </row>
    <row r="5254" spans="1:1" x14ac:dyDescent="0.25">
      <c r="A5254" s="56">
        <v>13800215.699999999</v>
      </c>
    </row>
    <row r="5255" spans="1:1" x14ac:dyDescent="0.25">
      <c r="A5255" s="56">
        <v>3558337.2</v>
      </c>
    </row>
    <row r="5256" spans="1:1" x14ac:dyDescent="0.25">
      <c r="A5256" s="56">
        <v>34684274.899999999</v>
      </c>
    </row>
    <row r="5257" spans="1:1" x14ac:dyDescent="0.25">
      <c r="A5257" s="56">
        <v>20588965</v>
      </c>
    </row>
    <row r="5258" spans="1:1" x14ac:dyDescent="0.25">
      <c r="A5258" s="56">
        <v>87312066.499999896</v>
      </c>
    </row>
    <row r="5259" spans="1:1" x14ac:dyDescent="0.25">
      <c r="A5259" s="56">
        <v>103540743</v>
      </c>
    </row>
    <row r="5260" spans="1:1" x14ac:dyDescent="0.25">
      <c r="A5260" s="56">
        <v>15749174.199999999</v>
      </c>
    </row>
    <row r="5261" spans="1:1" x14ac:dyDescent="0.25">
      <c r="A5261" s="56">
        <v>31075071.300000001</v>
      </c>
    </row>
    <row r="5262" spans="1:1" x14ac:dyDescent="0.25">
      <c r="A5262" s="56">
        <v>0</v>
      </c>
    </row>
    <row r="5263" spans="1:1" x14ac:dyDescent="0.25">
      <c r="A5263" s="56">
        <v>89002205.699999899</v>
      </c>
    </row>
    <row r="5264" spans="1:1" x14ac:dyDescent="0.25">
      <c r="A5264" s="56">
        <v>1280110.8</v>
      </c>
    </row>
    <row r="5265" spans="1:1" x14ac:dyDescent="0.25">
      <c r="A5265" s="56">
        <v>25132474.899999999</v>
      </c>
    </row>
    <row r="5266" spans="1:1" x14ac:dyDescent="0.25">
      <c r="A5266" s="56">
        <v>9156761.4000000004</v>
      </c>
    </row>
    <row r="5267" spans="1:1" x14ac:dyDescent="0.25">
      <c r="A5267" s="56">
        <v>140605057.40000001</v>
      </c>
    </row>
    <row r="5268" spans="1:1" x14ac:dyDescent="0.25">
      <c r="A5268" s="56">
        <v>4959231.4000000004</v>
      </c>
    </row>
    <row r="5269" spans="1:1" x14ac:dyDescent="0.25">
      <c r="A5269" s="56">
        <v>0</v>
      </c>
    </row>
    <row r="5270" spans="1:1" x14ac:dyDescent="0.25">
      <c r="A5270" s="56">
        <v>0</v>
      </c>
    </row>
    <row r="5271" spans="1:1" x14ac:dyDescent="0.25">
      <c r="A5271" s="56">
        <v>304494542.5</v>
      </c>
    </row>
    <row r="5272" spans="1:1" x14ac:dyDescent="0.25">
      <c r="A5272" s="56">
        <v>7565050.1999999899</v>
      </c>
    </row>
    <row r="5273" spans="1:1" x14ac:dyDescent="0.25">
      <c r="A5273" s="56">
        <v>101153859.3</v>
      </c>
    </row>
    <row r="5274" spans="1:1" x14ac:dyDescent="0.25">
      <c r="A5274" s="56">
        <v>5895068.8999999901</v>
      </c>
    </row>
    <row r="5275" spans="1:1" x14ac:dyDescent="0.25">
      <c r="A5275" s="56">
        <v>21880646.600000001</v>
      </c>
    </row>
    <row r="5276" spans="1:1" x14ac:dyDescent="0.25">
      <c r="A5276" s="56">
        <v>10242211.6</v>
      </c>
    </row>
    <row r="5277" spans="1:1" x14ac:dyDescent="0.25">
      <c r="A5277" s="56">
        <v>14668556</v>
      </c>
    </row>
    <row r="5278" spans="1:1" x14ac:dyDescent="0.25">
      <c r="A5278" s="56">
        <v>114323308.40000001</v>
      </c>
    </row>
    <row r="5279" spans="1:1" x14ac:dyDescent="0.25">
      <c r="A5279" s="56">
        <v>25342226.100000001</v>
      </c>
    </row>
    <row r="5280" spans="1:1" x14ac:dyDescent="0.25">
      <c r="A5280" s="56">
        <v>234437459.09999999</v>
      </c>
    </row>
    <row r="5281" spans="1:1" x14ac:dyDescent="0.25">
      <c r="A5281" s="56">
        <v>34483068.200000003</v>
      </c>
    </row>
    <row r="5282" spans="1:1" x14ac:dyDescent="0.25">
      <c r="A5282" s="56">
        <v>157909426</v>
      </c>
    </row>
    <row r="5283" spans="1:1" x14ac:dyDescent="0.25">
      <c r="A5283" s="56">
        <v>275937171.5</v>
      </c>
    </row>
    <row r="5284" spans="1:1" x14ac:dyDescent="0.25">
      <c r="A5284" s="56">
        <v>0</v>
      </c>
    </row>
    <row r="5285" spans="1:1" x14ac:dyDescent="0.25">
      <c r="A5285" s="56">
        <v>27567625.5</v>
      </c>
    </row>
    <row r="5286" spans="1:1" x14ac:dyDescent="0.25">
      <c r="A5286" s="56">
        <v>5565685.2999999998</v>
      </c>
    </row>
    <row r="5287" spans="1:1" x14ac:dyDescent="0.25">
      <c r="A5287" s="56">
        <v>10076465.1</v>
      </c>
    </row>
    <row r="5288" spans="1:1" x14ac:dyDescent="0.25">
      <c r="A5288" s="56">
        <v>19915218.5</v>
      </c>
    </row>
    <row r="5289" spans="1:1" x14ac:dyDescent="0.25">
      <c r="A5289" s="56">
        <v>41966445.799999997</v>
      </c>
    </row>
    <row r="5290" spans="1:1" x14ac:dyDescent="0.25">
      <c r="A5290" s="56">
        <v>0</v>
      </c>
    </row>
    <row r="5291" spans="1:1" x14ac:dyDescent="0.25">
      <c r="A5291" s="56">
        <v>40573884.700000003</v>
      </c>
    </row>
    <row r="5292" spans="1:1" x14ac:dyDescent="0.25">
      <c r="A5292" s="56">
        <v>46353194.299999997</v>
      </c>
    </row>
    <row r="5293" spans="1:1" x14ac:dyDescent="0.25">
      <c r="A5293" s="56">
        <v>22124781.199999999</v>
      </c>
    </row>
    <row r="5294" spans="1:1" x14ac:dyDescent="0.25">
      <c r="A5294" s="56">
        <v>22946867.199999999</v>
      </c>
    </row>
    <row r="5295" spans="1:1" x14ac:dyDescent="0.25">
      <c r="A5295" s="56">
        <v>30955428.699999999</v>
      </c>
    </row>
    <row r="5296" spans="1:1" x14ac:dyDescent="0.25">
      <c r="A5296" s="56">
        <v>36738492.5</v>
      </c>
    </row>
    <row r="5297" spans="1:1" x14ac:dyDescent="0.25">
      <c r="A5297" s="56">
        <v>28652899.699999999</v>
      </c>
    </row>
    <row r="5298" spans="1:1" x14ac:dyDescent="0.25">
      <c r="A5298" s="56">
        <v>18323400.399999999</v>
      </c>
    </row>
    <row r="5299" spans="1:1" x14ac:dyDescent="0.25">
      <c r="A5299" s="56">
        <v>129063368</v>
      </c>
    </row>
    <row r="5300" spans="1:1" x14ac:dyDescent="0.25">
      <c r="A5300" s="56">
        <v>52734843.299999997</v>
      </c>
    </row>
    <row r="5301" spans="1:1" x14ac:dyDescent="0.25">
      <c r="A5301" s="56">
        <v>40091169.899999902</v>
      </c>
    </row>
    <row r="5302" spans="1:1" x14ac:dyDescent="0.25">
      <c r="A5302" s="56">
        <v>22829983.600000001</v>
      </c>
    </row>
    <row r="5303" spans="1:1" x14ac:dyDescent="0.25">
      <c r="A5303" s="56">
        <v>24869055.600000001</v>
      </c>
    </row>
    <row r="5304" spans="1:1" x14ac:dyDescent="0.25">
      <c r="A5304" s="56">
        <v>41203522.299999997</v>
      </c>
    </row>
    <row r="5305" spans="1:1" x14ac:dyDescent="0.25">
      <c r="A5305" s="56">
        <v>153578252.59999999</v>
      </c>
    </row>
    <row r="5306" spans="1:1" x14ac:dyDescent="0.25">
      <c r="A5306" s="56">
        <v>183986626.5</v>
      </c>
    </row>
    <row r="5307" spans="1:1" x14ac:dyDescent="0.25">
      <c r="A5307" s="56">
        <v>113005013.59999999</v>
      </c>
    </row>
    <row r="5308" spans="1:1" x14ac:dyDescent="0.25">
      <c r="A5308" s="56">
        <v>12890892.9</v>
      </c>
    </row>
    <row r="5309" spans="1:1" x14ac:dyDescent="0.25">
      <c r="A5309" s="56">
        <v>22369022.600000001</v>
      </c>
    </row>
    <row r="5310" spans="1:1" x14ac:dyDescent="0.25">
      <c r="A5310" s="56">
        <v>23121951.800000001</v>
      </c>
    </row>
    <row r="5311" spans="1:1" x14ac:dyDescent="0.25">
      <c r="A5311" s="56">
        <v>20421179.899999999</v>
      </c>
    </row>
    <row r="5312" spans="1:1" x14ac:dyDescent="0.25">
      <c r="A5312" s="56">
        <v>15194449.800000001</v>
      </c>
    </row>
    <row r="5313" spans="1:1" x14ac:dyDescent="0.25">
      <c r="A5313" s="56">
        <v>0</v>
      </c>
    </row>
    <row r="5314" spans="1:1" x14ac:dyDescent="0.25">
      <c r="A5314" s="56">
        <v>37431035.299999997</v>
      </c>
    </row>
    <row r="5315" spans="1:1" x14ac:dyDescent="0.25">
      <c r="A5315" s="56">
        <v>116535881.8</v>
      </c>
    </row>
    <row r="5316" spans="1:1" x14ac:dyDescent="0.25">
      <c r="A5316" s="56">
        <v>0</v>
      </c>
    </row>
    <row r="5317" spans="1:1" x14ac:dyDescent="0.25">
      <c r="A5317" s="56">
        <v>51358123.700000003</v>
      </c>
    </row>
    <row r="5318" spans="1:1" x14ac:dyDescent="0.25">
      <c r="A5318" s="56">
        <v>41371147.200000003</v>
      </c>
    </row>
    <row r="5319" spans="1:1" x14ac:dyDescent="0.25">
      <c r="A5319" s="56">
        <v>175066372.90000001</v>
      </c>
    </row>
    <row r="5320" spans="1:1" x14ac:dyDescent="0.25">
      <c r="A5320" s="56">
        <v>27911191.199999999</v>
      </c>
    </row>
    <row r="5321" spans="1:1" x14ac:dyDescent="0.25">
      <c r="A5321" s="56">
        <v>6771681.7000000002</v>
      </c>
    </row>
    <row r="5322" spans="1:1" x14ac:dyDescent="0.25">
      <c r="A5322" s="56">
        <v>7269827.5999999996</v>
      </c>
    </row>
    <row r="5323" spans="1:1" x14ac:dyDescent="0.25">
      <c r="A5323" s="56">
        <v>55404781.799999997</v>
      </c>
    </row>
    <row r="5324" spans="1:1" x14ac:dyDescent="0.25">
      <c r="A5324" s="56">
        <v>16183050.699999999</v>
      </c>
    </row>
    <row r="5325" spans="1:1" x14ac:dyDescent="0.25">
      <c r="A5325" s="56">
        <v>12568383.800000001</v>
      </c>
    </row>
    <row r="5326" spans="1:1" x14ac:dyDescent="0.25">
      <c r="A5326" s="56">
        <v>0</v>
      </c>
    </row>
    <row r="5327" spans="1:1" x14ac:dyDescent="0.25">
      <c r="A5327" s="56">
        <v>63705881.599999897</v>
      </c>
    </row>
    <row r="5328" spans="1:1" x14ac:dyDescent="0.25">
      <c r="A5328" s="56">
        <v>3632519.4</v>
      </c>
    </row>
    <row r="5329" spans="1:1" x14ac:dyDescent="0.25">
      <c r="A5329" s="56">
        <v>71094324</v>
      </c>
    </row>
    <row r="5330" spans="1:1" x14ac:dyDescent="0.25">
      <c r="A5330" s="56">
        <v>1019768.4</v>
      </c>
    </row>
    <row r="5331" spans="1:1" x14ac:dyDescent="0.25">
      <c r="A5331" s="56">
        <v>12539597</v>
      </c>
    </row>
    <row r="5332" spans="1:1" x14ac:dyDescent="0.25">
      <c r="A5332" s="56">
        <v>53713034.399999999</v>
      </c>
    </row>
    <row r="5333" spans="1:1" x14ac:dyDescent="0.25">
      <c r="A5333" s="56">
        <v>54704210.600000001</v>
      </c>
    </row>
    <row r="5334" spans="1:1" x14ac:dyDescent="0.25">
      <c r="A5334" s="56">
        <v>38107903.399999999</v>
      </c>
    </row>
    <row r="5335" spans="1:1" x14ac:dyDescent="0.25">
      <c r="A5335" s="56">
        <v>10031664.9</v>
      </c>
    </row>
    <row r="5336" spans="1:1" x14ac:dyDescent="0.25">
      <c r="A5336" s="56">
        <v>426846666.39999998</v>
      </c>
    </row>
    <row r="5337" spans="1:1" x14ac:dyDescent="0.25">
      <c r="A5337" s="56">
        <v>14249761.5</v>
      </c>
    </row>
    <row r="5338" spans="1:1" x14ac:dyDescent="0.25">
      <c r="A5338" s="56">
        <v>3115431.6</v>
      </c>
    </row>
    <row r="5339" spans="1:1" x14ac:dyDescent="0.25">
      <c r="A5339" s="56">
        <v>0</v>
      </c>
    </row>
    <row r="5340" spans="1:1" x14ac:dyDescent="0.25">
      <c r="A5340" s="56">
        <v>0</v>
      </c>
    </row>
    <row r="5341" spans="1:1" x14ac:dyDescent="0.25">
      <c r="A5341" s="56">
        <v>85239422.899999902</v>
      </c>
    </row>
    <row r="5342" spans="1:1" x14ac:dyDescent="0.25">
      <c r="A5342" s="56">
        <v>5617663.7999999998</v>
      </c>
    </row>
    <row r="5343" spans="1:1" x14ac:dyDescent="0.25">
      <c r="A5343" s="56">
        <v>58328802.299999997</v>
      </c>
    </row>
    <row r="5344" spans="1:1" x14ac:dyDescent="0.25">
      <c r="A5344" s="56">
        <v>0</v>
      </c>
    </row>
    <row r="5345" spans="1:1" x14ac:dyDescent="0.25">
      <c r="A5345" s="56">
        <v>3013401.6</v>
      </c>
    </row>
    <row r="5346" spans="1:1" x14ac:dyDescent="0.25">
      <c r="A5346" s="56">
        <v>27515885.800000001</v>
      </c>
    </row>
    <row r="5347" spans="1:1" x14ac:dyDescent="0.25">
      <c r="A5347" s="56">
        <v>76336263.499999896</v>
      </c>
    </row>
    <row r="5348" spans="1:1" x14ac:dyDescent="0.25">
      <c r="A5348" s="56">
        <v>12576391.1</v>
      </c>
    </row>
    <row r="5349" spans="1:1" x14ac:dyDescent="0.25">
      <c r="A5349" s="56">
        <v>12698234.5</v>
      </c>
    </row>
    <row r="5350" spans="1:1" x14ac:dyDescent="0.25">
      <c r="A5350" s="56">
        <v>0</v>
      </c>
    </row>
    <row r="5351" spans="1:1" x14ac:dyDescent="0.25">
      <c r="A5351" s="56">
        <v>24645045.899999999</v>
      </c>
    </row>
    <row r="5352" spans="1:1" x14ac:dyDescent="0.25">
      <c r="A5352" s="56">
        <v>306869768.19999897</v>
      </c>
    </row>
    <row r="5353" spans="1:1" x14ac:dyDescent="0.25">
      <c r="A5353" s="56">
        <v>5792287.1999999899</v>
      </c>
    </row>
    <row r="5354" spans="1:1" x14ac:dyDescent="0.25">
      <c r="A5354" s="56">
        <v>340508756.30000001</v>
      </c>
    </row>
    <row r="5355" spans="1:1" x14ac:dyDescent="0.25">
      <c r="A5355" s="56">
        <v>7083294.4000000004</v>
      </c>
    </row>
    <row r="5356" spans="1:1" x14ac:dyDescent="0.25">
      <c r="A5356" s="56">
        <v>176148767</v>
      </c>
    </row>
    <row r="5357" spans="1:1" x14ac:dyDescent="0.25">
      <c r="A5357" s="56">
        <v>519365760.69999897</v>
      </c>
    </row>
    <row r="5358" spans="1:1" x14ac:dyDescent="0.25">
      <c r="A5358" s="56">
        <v>5713507.2000000002</v>
      </c>
    </row>
    <row r="5359" spans="1:1" x14ac:dyDescent="0.25">
      <c r="A5359" s="56">
        <v>37288856</v>
      </c>
    </row>
    <row r="5360" spans="1:1" x14ac:dyDescent="0.25">
      <c r="A5360" s="56">
        <v>85427580.799999997</v>
      </c>
    </row>
    <row r="5361" spans="1:1" x14ac:dyDescent="0.25">
      <c r="A5361" s="56">
        <v>28621710.399999999</v>
      </c>
    </row>
    <row r="5362" spans="1:1" x14ac:dyDescent="0.25">
      <c r="A5362" s="56">
        <v>27088309.300000001</v>
      </c>
    </row>
    <row r="5363" spans="1:1" x14ac:dyDescent="0.25">
      <c r="A5363" s="56">
        <v>27016189.5</v>
      </c>
    </row>
    <row r="5364" spans="1:1" x14ac:dyDescent="0.25">
      <c r="A5364" s="56">
        <v>83611214.399999902</v>
      </c>
    </row>
    <row r="5365" spans="1:1" x14ac:dyDescent="0.25">
      <c r="A5365" s="56">
        <v>214062201.19999999</v>
      </c>
    </row>
    <row r="5366" spans="1:1" x14ac:dyDescent="0.25">
      <c r="A5366" s="56">
        <v>6060792.2000000002</v>
      </c>
    </row>
    <row r="5367" spans="1:1" x14ac:dyDescent="0.25">
      <c r="A5367" s="56">
        <v>71801849.899999902</v>
      </c>
    </row>
    <row r="5368" spans="1:1" x14ac:dyDescent="0.25">
      <c r="A5368" s="56">
        <v>11315796.1</v>
      </c>
    </row>
    <row r="5369" spans="1:1" x14ac:dyDescent="0.25">
      <c r="A5369" s="56">
        <v>40657737.899999999</v>
      </c>
    </row>
    <row r="5370" spans="1:1" x14ac:dyDescent="0.25">
      <c r="A5370" s="56">
        <v>26108709.699999999</v>
      </c>
    </row>
    <row r="5371" spans="1:1" x14ac:dyDescent="0.25">
      <c r="A5371" s="56">
        <v>66018372.799999997</v>
      </c>
    </row>
    <row r="5372" spans="1:1" x14ac:dyDescent="0.25">
      <c r="A5372" s="56">
        <v>38949567.5</v>
      </c>
    </row>
    <row r="5373" spans="1:1" x14ac:dyDescent="0.25">
      <c r="A5373" s="56">
        <v>50355725.599999897</v>
      </c>
    </row>
    <row r="5374" spans="1:1" x14ac:dyDescent="0.25">
      <c r="A5374" s="56">
        <v>8642062.1999999899</v>
      </c>
    </row>
    <row r="5375" spans="1:1" x14ac:dyDescent="0.25">
      <c r="A5375" s="56">
        <v>34804058</v>
      </c>
    </row>
    <row r="5376" spans="1:1" x14ac:dyDescent="0.25">
      <c r="A5376" s="56">
        <v>17513501.600000001</v>
      </c>
    </row>
    <row r="5377" spans="1:1" x14ac:dyDescent="0.25">
      <c r="A5377" s="56">
        <v>20366153.899999999</v>
      </c>
    </row>
    <row r="5378" spans="1:1" x14ac:dyDescent="0.25">
      <c r="A5378" s="56">
        <v>0</v>
      </c>
    </row>
    <row r="5379" spans="1:1" x14ac:dyDescent="0.25">
      <c r="A5379" s="56">
        <v>27069595.399999999</v>
      </c>
    </row>
    <row r="5380" spans="1:1" x14ac:dyDescent="0.25">
      <c r="A5380" s="56">
        <v>0</v>
      </c>
    </row>
    <row r="5381" spans="1:1" x14ac:dyDescent="0.25">
      <c r="A5381" s="56">
        <v>16790374.800000001</v>
      </c>
    </row>
    <row r="5382" spans="1:1" x14ac:dyDescent="0.25">
      <c r="A5382" s="56">
        <v>138626777.69999999</v>
      </c>
    </row>
    <row r="5383" spans="1:1" x14ac:dyDescent="0.25">
      <c r="A5383" s="56">
        <v>1095450.8</v>
      </c>
    </row>
    <row r="5384" spans="1:1" x14ac:dyDescent="0.25">
      <c r="A5384" s="56">
        <v>6347785.5</v>
      </c>
    </row>
    <row r="5385" spans="1:1" x14ac:dyDescent="0.25">
      <c r="A5385" s="56">
        <v>23748421.800000001</v>
      </c>
    </row>
    <row r="5386" spans="1:1" x14ac:dyDescent="0.25">
      <c r="A5386" s="56">
        <v>85836017.200000003</v>
      </c>
    </row>
    <row r="5387" spans="1:1" x14ac:dyDescent="0.25">
      <c r="A5387" s="56">
        <v>60955766.099999897</v>
      </c>
    </row>
    <row r="5388" spans="1:1" x14ac:dyDescent="0.25">
      <c r="A5388" s="56">
        <v>10302727.199999999</v>
      </c>
    </row>
    <row r="5389" spans="1:1" x14ac:dyDescent="0.25">
      <c r="A5389" s="56">
        <v>432496519.60000002</v>
      </c>
    </row>
    <row r="5390" spans="1:1" x14ac:dyDescent="0.25">
      <c r="A5390" s="56">
        <v>3733502.6</v>
      </c>
    </row>
    <row r="5391" spans="1:1" x14ac:dyDescent="0.25">
      <c r="A5391" s="56">
        <v>501184913.19999999</v>
      </c>
    </row>
    <row r="5392" spans="1:1" x14ac:dyDescent="0.25">
      <c r="A5392" s="56">
        <v>308124756.69999999</v>
      </c>
    </row>
    <row r="5393" spans="1:1" x14ac:dyDescent="0.25">
      <c r="A5393" s="56">
        <v>166100940.40000001</v>
      </c>
    </row>
    <row r="5394" spans="1:1" x14ac:dyDescent="0.25">
      <c r="A5394" s="56">
        <v>283782283.69999999</v>
      </c>
    </row>
    <row r="5395" spans="1:1" x14ac:dyDescent="0.25">
      <c r="A5395" s="56">
        <v>3628287.4</v>
      </c>
    </row>
    <row r="5396" spans="1:1" x14ac:dyDescent="0.25">
      <c r="A5396" s="56">
        <v>86398811.099999905</v>
      </c>
    </row>
    <row r="5397" spans="1:1" x14ac:dyDescent="0.25">
      <c r="A5397" s="56">
        <v>25765546.100000001</v>
      </c>
    </row>
    <row r="5398" spans="1:1" x14ac:dyDescent="0.25">
      <c r="A5398" s="56">
        <v>786862.8</v>
      </c>
    </row>
    <row r="5399" spans="1:1" x14ac:dyDescent="0.25">
      <c r="A5399" s="56">
        <v>46762695.5</v>
      </c>
    </row>
    <row r="5400" spans="1:1" x14ac:dyDescent="0.25">
      <c r="A5400" s="56">
        <v>91043292</v>
      </c>
    </row>
    <row r="5401" spans="1:1" x14ac:dyDescent="0.25">
      <c r="A5401" s="56">
        <v>42600068.099999897</v>
      </c>
    </row>
    <row r="5402" spans="1:1" x14ac:dyDescent="0.25">
      <c r="A5402" s="56">
        <v>24787942.300000001</v>
      </c>
    </row>
    <row r="5403" spans="1:1" x14ac:dyDescent="0.25">
      <c r="A5403" s="56">
        <v>8111830.1999999899</v>
      </c>
    </row>
    <row r="5404" spans="1:1" x14ac:dyDescent="0.25">
      <c r="A5404" s="56">
        <v>0</v>
      </c>
    </row>
    <row r="5405" spans="1:1" x14ac:dyDescent="0.25">
      <c r="A5405" s="56">
        <v>56076729.299999997</v>
      </c>
    </row>
    <row r="5406" spans="1:1" x14ac:dyDescent="0.25">
      <c r="A5406" s="56">
        <v>292587129.60000002</v>
      </c>
    </row>
    <row r="5407" spans="1:1" x14ac:dyDescent="0.25">
      <c r="A5407" s="56">
        <v>3377895</v>
      </c>
    </row>
    <row r="5408" spans="1:1" x14ac:dyDescent="0.25">
      <c r="A5408" s="56">
        <v>14623051.800000001</v>
      </c>
    </row>
    <row r="5409" spans="1:1" x14ac:dyDescent="0.25">
      <c r="A5409" s="56">
        <v>16046869.1</v>
      </c>
    </row>
    <row r="5410" spans="1:1" x14ac:dyDescent="0.25">
      <c r="A5410" s="56">
        <v>127975059.90000001</v>
      </c>
    </row>
    <row r="5411" spans="1:1" x14ac:dyDescent="0.25">
      <c r="A5411" s="56">
        <v>14145864.800000001</v>
      </c>
    </row>
    <row r="5412" spans="1:1" x14ac:dyDescent="0.25">
      <c r="A5412" s="56">
        <v>48937829.100000001</v>
      </c>
    </row>
    <row r="5413" spans="1:1" x14ac:dyDescent="0.25">
      <c r="A5413" s="56">
        <v>3980947.8</v>
      </c>
    </row>
    <row r="5414" spans="1:1" x14ac:dyDescent="0.25">
      <c r="A5414" s="56">
        <v>0</v>
      </c>
    </row>
    <row r="5415" spans="1:1" x14ac:dyDescent="0.25">
      <c r="A5415" s="56">
        <v>0</v>
      </c>
    </row>
    <row r="5416" spans="1:1" x14ac:dyDescent="0.25">
      <c r="A5416" s="56">
        <v>117095196.90000001</v>
      </c>
    </row>
    <row r="5417" spans="1:1" x14ac:dyDescent="0.25">
      <c r="A5417" s="56">
        <v>101709587.5</v>
      </c>
    </row>
    <row r="5418" spans="1:1" x14ac:dyDescent="0.25">
      <c r="A5418" s="56">
        <v>24066404.600000001</v>
      </c>
    </row>
    <row r="5419" spans="1:1" x14ac:dyDescent="0.25">
      <c r="A5419" s="56">
        <v>213965768.40000001</v>
      </c>
    </row>
    <row r="5420" spans="1:1" x14ac:dyDescent="0.25">
      <c r="A5420" s="56">
        <v>44962429.799999997</v>
      </c>
    </row>
    <row r="5421" spans="1:1" x14ac:dyDescent="0.25">
      <c r="A5421" s="56">
        <v>20522286.300000001</v>
      </c>
    </row>
    <row r="5422" spans="1:1" x14ac:dyDescent="0.25">
      <c r="A5422" s="56">
        <v>93622997.799999997</v>
      </c>
    </row>
    <row r="5423" spans="1:1" x14ac:dyDescent="0.25">
      <c r="A5423" s="56">
        <v>540132425.79999995</v>
      </c>
    </row>
    <row r="5424" spans="1:1" x14ac:dyDescent="0.25">
      <c r="A5424" s="56">
        <v>483165404.19999999</v>
      </c>
    </row>
    <row r="5425" spans="1:1" x14ac:dyDescent="0.25">
      <c r="A5425" s="56">
        <v>13168120.699999999</v>
      </c>
    </row>
    <row r="5426" spans="1:1" x14ac:dyDescent="0.25">
      <c r="A5426" s="56">
        <v>67281531.400000006</v>
      </c>
    </row>
    <row r="5427" spans="1:1" x14ac:dyDescent="0.25">
      <c r="A5427" s="56">
        <v>89585543.699999899</v>
      </c>
    </row>
    <row r="5428" spans="1:1" x14ac:dyDescent="0.25">
      <c r="A5428" s="56">
        <v>0</v>
      </c>
    </row>
    <row r="5429" spans="1:1" x14ac:dyDescent="0.25">
      <c r="A5429" s="56">
        <v>10539872.199999999</v>
      </c>
    </row>
    <row r="5430" spans="1:1" x14ac:dyDescent="0.25">
      <c r="A5430" s="56">
        <v>7617886.0999999996</v>
      </c>
    </row>
    <row r="5431" spans="1:1" x14ac:dyDescent="0.25">
      <c r="A5431" s="56">
        <v>122667719.5</v>
      </c>
    </row>
    <row r="5432" spans="1:1" x14ac:dyDescent="0.25">
      <c r="A5432" s="56">
        <v>786862.8</v>
      </c>
    </row>
    <row r="5433" spans="1:1" x14ac:dyDescent="0.25">
      <c r="A5433" s="56">
        <v>0</v>
      </c>
    </row>
    <row r="5434" spans="1:1" x14ac:dyDescent="0.25">
      <c r="A5434" s="56">
        <v>51890850</v>
      </c>
    </row>
    <row r="5435" spans="1:1" x14ac:dyDescent="0.25">
      <c r="A5435" s="56">
        <v>0</v>
      </c>
    </row>
    <row r="5436" spans="1:1" x14ac:dyDescent="0.25">
      <c r="A5436" s="56">
        <v>11144457.1</v>
      </c>
    </row>
    <row r="5437" spans="1:1" x14ac:dyDescent="0.25">
      <c r="A5437" s="56">
        <v>244381536.49999899</v>
      </c>
    </row>
    <row r="5438" spans="1:1" x14ac:dyDescent="0.25">
      <c r="A5438" s="56">
        <v>23284012.100000001</v>
      </c>
    </row>
    <row r="5439" spans="1:1" x14ac:dyDescent="0.25">
      <c r="A5439" s="56">
        <v>39381847.200000003</v>
      </c>
    </row>
    <row r="5440" spans="1:1" x14ac:dyDescent="0.25">
      <c r="A5440" s="56">
        <v>185215946.89999899</v>
      </c>
    </row>
    <row r="5441" spans="1:1" x14ac:dyDescent="0.25">
      <c r="A5441" s="56">
        <v>21500766.600000001</v>
      </c>
    </row>
    <row r="5442" spans="1:1" x14ac:dyDescent="0.25">
      <c r="A5442" s="56">
        <v>184935506.09999999</v>
      </c>
    </row>
    <row r="5443" spans="1:1" x14ac:dyDescent="0.25">
      <c r="A5443" s="56">
        <v>15371059</v>
      </c>
    </row>
    <row r="5444" spans="1:1" x14ac:dyDescent="0.25">
      <c r="A5444" s="56">
        <v>0</v>
      </c>
    </row>
    <row r="5445" spans="1:1" x14ac:dyDescent="0.25">
      <c r="A5445" s="56">
        <v>90405208.099999905</v>
      </c>
    </row>
    <row r="5446" spans="1:1" x14ac:dyDescent="0.25">
      <c r="A5446" s="56">
        <v>196074004</v>
      </c>
    </row>
    <row r="5447" spans="1:1" x14ac:dyDescent="0.25">
      <c r="A5447" s="56">
        <v>3409400.4</v>
      </c>
    </row>
    <row r="5448" spans="1:1" x14ac:dyDescent="0.25">
      <c r="A5448" s="56">
        <v>70232405.900000006</v>
      </c>
    </row>
    <row r="5449" spans="1:1" x14ac:dyDescent="0.25">
      <c r="A5449" s="56">
        <v>167598102.40000001</v>
      </c>
    </row>
    <row r="5450" spans="1:1" x14ac:dyDescent="0.25">
      <c r="A5450" s="56">
        <v>0</v>
      </c>
    </row>
    <row r="5451" spans="1:1" x14ac:dyDescent="0.25">
      <c r="A5451" s="56">
        <v>153242857.90000001</v>
      </c>
    </row>
    <row r="5452" spans="1:1" x14ac:dyDescent="0.25">
      <c r="A5452" s="56">
        <v>38384650.299999997</v>
      </c>
    </row>
    <row r="5453" spans="1:1" x14ac:dyDescent="0.25">
      <c r="A5453" s="56">
        <v>1058592</v>
      </c>
    </row>
    <row r="5454" spans="1:1" x14ac:dyDescent="0.25">
      <c r="A5454" s="56">
        <v>24071575.100000001</v>
      </c>
    </row>
    <row r="5455" spans="1:1" x14ac:dyDescent="0.25">
      <c r="A5455" s="56">
        <v>1107876</v>
      </c>
    </row>
    <row r="5456" spans="1:1" x14ac:dyDescent="0.25">
      <c r="A5456" s="56">
        <v>128250140.7</v>
      </c>
    </row>
    <row r="5457" spans="1:1" x14ac:dyDescent="0.25">
      <c r="A5457" s="56">
        <v>625458.4</v>
      </c>
    </row>
    <row r="5458" spans="1:1" x14ac:dyDescent="0.25">
      <c r="A5458" s="56">
        <v>11298672.699999999</v>
      </c>
    </row>
    <row r="5459" spans="1:1" x14ac:dyDescent="0.25">
      <c r="A5459" s="56">
        <v>26318881</v>
      </c>
    </row>
    <row r="5460" spans="1:1" x14ac:dyDescent="0.25">
      <c r="A5460" s="56">
        <v>834741.2</v>
      </c>
    </row>
    <row r="5461" spans="1:1" x14ac:dyDescent="0.25">
      <c r="A5461" s="56">
        <v>334361420.80000001</v>
      </c>
    </row>
    <row r="5462" spans="1:1" x14ac:dyDescent="0.25">
      <c r="A5462" s="56">
        <v>5432317.4000000004</v>
      </c>
    </row>
    <row r="5463" spans="1:1" x14ac:dyDescent="0.25">
      <c r="A5463" s="56">
        <v>9380283.6999999899</v>
      </c>
    </row>
    <row r="5464" spans="1:1" x14ac:dyDescent="0.25">
      <c r="A5464" s="56">
        <v>33021207.199999999</v>
      </c>
    </row>
    <row r="5465" spans="1:1" x14ac:dyDescent="0.25">
      <c r="A5465" s="56">
        <v>0</v>
      </c>
    </row>
    <row r="5466" spans="1:1" x14ac:dyDescent="0.25">
      <c r="A5466" s="56">
        <v>112080785.8</v>
      </c>
    </row>
    <row r="5467" spans="1:1" x14ac:dyDescent="0.25">
      <c r="A5467" s="56">
        <v>8859390</v>
      </c>
    </row>
    <row r="5468" spans="1:1" x14ac:dyDescent="0.25">
      <c r="A5468" s="56">
        <v>19538932.699999999</v>
      </c>
    </row>
    <row r="5469" spans="1:1" x14ac:dyDescent="0.25">
      <c r="A5469" s="56">
        <v>7445353</v>
      </c>
    </row>
    <row r="5470" spans="1:1" x14ac:dyDescent="0.25">
      <c r="A5470" s="56">
        <v>41145397.299999997</v>
      </c>
    </row>
    <row r="5471" spans="1:1" x14ac:dyDescent="0.25">
      <c r="A5471" s="56">
        <v>8278825.8999999901</v>
      </c>
    </row>
    <row r="5472" spans="1:1" x14ac:dyDescent="0.25">
      <c r="A5472" s="56">
        <v>13856066</v>
      </c>
    </row>
    <row r="5473" spans="1:1" x14ac:dyDescent="0.25">
      <c r="A5473" s="56">
        <v>6033591.5999999996</v>
      </c>
    </row>
    <row r="5474" spans="1:1" x14ac:dyDescent="0.25">
      <c r="A5474" s="56">
        <v>0</v>
      </c>
    </row>
    <row r="5475" spans="1:1" x14ac:dyDescent="0.25">
      <c r="A5475" s="56">
        <v>23313547</v>
      </c>
    </row>
    <row r="5476" spans="1:1" x14ac:dyDescent="0.25">
      <c r="A5476" s="56">
        <v>27613813.399999999</v>
      </c>
    </row>
    <row r="5477" spans="1:1" x14ac:dyDescent="0.25">
      <c r="A5477" s="56">
        <v>6166958.6999999899</v>
      </c>
    </row>
    <row r="5478" spans="1:1" x14ac:dyDescent="0.25">
      <c r="A5478" s="56">
        <v>0</v>
      </c>
    </row>
    <row r="5479" spans="1:1" x14ac:dyDescent="0.25">
      <c r="A5479" s="56">
        <v>81137549.899999902</v>
      </c>
    </row>
    <row r="5480" spans="1:1" x14ac:dyDescent="0.25">
      <c r="A5480" s="56">
        <v>3692342.6</v>
      </c>
    </row>
    <row r="5481" spans="1:1" x14ac:dyDescent="0.25">
      <c r="A5481" s="56">
        <v>76260822.099999905</v>
      </c>
    </row>
    <row r="5482" spans="1:1" x14ac:dyDescent="0.25">
      <c r="A5482" s="56">
        <v>15608158.699999999</v>
      </c>
    </row>
    <row r="5483" spans="1:1" x14ac:dyDescent="0.25">
      <c r="A5483" s="56">
        <v>26090468.899999999</v>
      </c>
    </row>
    <row r="5484" spans="1:1" x14ac:dyDescent="0.25">
      <c r="A5484" s="56">
        <v>7400957.4000000004</v>
      </c>
    </row>
    <row r="5485" spans="1:1" x14ac:dyDescent="0.25">
      <c r="A5485" s="56">
        <v>171497096</v>
      </c>
    </row>
    <row r="5486" spans="1:1" x14ac:dyDescent="0.25">
      <c r="A5486" s="56">
        <v>2701075.8</v>
      </c>
    </row>
    <row r="5487" spans="1:1" x14ac:dyDescent="0.25">
      <c r="A5487" s="56">
        <v>25466068.699999999</v>
      </c>
    </row>
    <row r="5488" spans="1:1" x14ac:dyDescent="0.25">
      <c r="A5488" s="56">
        <v>38164248.200000003</v>
      </c>
    </row>
    <row r="5489" spans="1:1" x14ac:dyDescent="0.25">
      <c r="A5489" s="56">
        <v>18873178.300000001</v>
      </c>
    </row>
    <row r="5490" spans="1:1" x14ac:dyDescent="0.25">
      <c r="A5490" s="56">
        <v>8268861.2999999998</v>
      </c>
    </row>
    <row r="5491" spans="1:1" x14ac:dyDescent="0.25">
      <c r="A5491" s="56">
        <v>63459660.399999999</v>
      </c>
    </row>
    <row r="5492" spans="1:1" x14ac:dyDescent="0.25">
      <c r="A5492" s="56">
        <v>24349674.5</v>
      </c>
    </row>
    <row r="5493" spans="1:1" x14ac:dyDescent="0.25">
      <c r="A5493" s="56">
        <v>114169659.7</v>
      </c>
    </row>
    <row r="5494" spans="1:1" x14ac:dyDescent="0.25">
      <c r="A5494" s="56">
        <v>117374270</v>
      </c>
    </row>
    <row r="5495" spans="1:1" x14ac:dyDescent="0.25">
      <c r="A5495" s="56">
        <v>43358724.399999999</v>
      </c>
    </row>
    <row r="5496" spans="1:1" x14ac:dyDescent="0.25">
      <c r="A5496" s="56">
        <v>9383892.8999999892</v>
      </c>
    </row>
    <row r="5497" spans="1:1" x14ac:dyDescent="0.25">
      <c r="A5497" s="56">
        <v>72783820.599999905</v>
      </c>
    </row>
    <row r="5498" spans="1:1" x14ac:dyDescent="0.25">
      <c r="A5498" s="56">
        <v>12035077.300000001</v>
      </c>
    </row>
    <row r="5499" spans="1:1" x14ac:dyDescent="0.25">
      <c r="A5499" s="56">
        <v>7430866.5999999996</v>
      </c>
    </row>
    <row r="5500" spans="1:1" x14ac:dyDescent="0.25">
      <c r="A5500" s="56">
        <v>58833635.299999997</v>
      </c>
    </row>
    <row r="5501" spans="1:1" x14ac:dyDescent="0.25">
      <c r="A5501" s="56">
        <v>12874803.300000001</v>
      </c>
    </row>
    <row r="5502" spans="1:1" x14ac:dyDescent="0.25">
      <c r="A5502" s="56">
        <v>15384257.300000001</v>
      </c>
    </row>
    <row r="5503" spans="1:1" x14ac:dyDescent="0.25">
      <c r="A5503" s="56">
        <v>342805606.39999998</v>
      </c>
    </row>
    <row r="5504" spans="1:1" x14ac:dyDescent="0.25">
      <c r="A5504" s="56">
        <v>29136345.399999999</v>
      </c>
    </row>
    <row r="5505" spans="1:1" x14ac:dyDescent="0.25">
      <c r="A5505" s="56">
        <v>0</v>
      </c>
    </row>
    <row r="5506" spans="1:1" x14ac:dyDescent="0.25">
      <c r="A5506" s="56">
        <v>0</v>
      </c>
    </row>
    <row r="5507" spans="1:1" x14ac:dyDescent="0.25">
      <c r="A5507" s="56">
        <v>184605447.80000001</v>
      </c>
    </row>
    <row r="5508" spans="1:1" x14ac:dyDescent="0.25">
      <c r="A5508" s="56">
        <v>5824520.0999999996</v>
      </c>
    </row>
    <row r="5509" spans="1:1" x14ac:dyDescent="0.25">
      <c r="A5509" s="56">
        <v>31235628.399999999</v>
      </c>
    </row>
    <row r="5510" spans="1:1" x14ac:dyDescent="0.25">
      <c r="A5510" s="56">
        <v>0</v>
      </c>
    </row>
    <row r="5511" spans="1:1" x14ac:dyDescent="0.25">
      <c r="A5511" s="56">
        <v>11867677.5</v>
      </c>
    </row>
    <row r="5512" spans="1:1" x14ac:dyDescent="0.25">
      <c r="A5512" s="56">
        <v>14447160.9</v>
      </c>
    </row>
    <row r="5513" spans="1:1" x14ac:dyDescent="0.25">
      <c r="A5513" s="56">
        <v>17933865.199999999</v>
      </c>
    </row>
    <row r="5514" spans="1:1" x14ac:dyDescent="0.25">
      <c r="A5514" s="56">
        <v>69322260.099999905</v>
      </c>
    </row>
    <row r="5515" spans="1:1" x14ac:dyDescent="0.25">
      <c r="A5515" s="56">
        <v>4188228</v>
      </c>
    </row>
    <row r="5516" spans="1:1" x14ac:dyDescent="0.25">
      <c r="A5516" s="56">
        <v>19608546.399999999</v>
      </c>
    </row>
    <row r="5517" spans="1:1" x14ac:dyDescent="0.25">
      <c r="A5517" s="56">
        <v>74441966.599999905</v>
      </c>
    </row>
    <row r="5518" spans="1:1" x14ac:dyDescent="0.25">
      <c r="A5518" s="56">
        <v>26497579.199999999</v>
      </c>
    </row>
    <row r="5519" spans="1:1" x14ac:dyDescent="0.25">
      <c r="A5519" s="56">
        <v>215606048.69999999</v>
      </c>
    </row>
    <row r="5520" spans="1:1" x14ac:dyDescent="0.25">
      <c r="A5520" s="56">
        <v>376805432</v>
      </c>
    </row>
    <row r="5521" spans="1:1" x14ac:dyDescent="0.25">
      <c r="A5521" s="56">
        <v>5728643</v>
      </c>
    </row>
    <row r="5522" spans="1:1" x14ac:dyDescent="0.25">
      <c r="A5522" s="56">
        <v>6019596.4999999898</v>
      </c>
    </row>
    <row r="5523" spans="1:1" x14ac:dyDescent="0.25">
      <c r="A5523" s="56">
        <v>1121621.2</v>
      </c>
    </row>
    <row r="5524" spans="1:1" x14ac:dyDescent="0.25">
      <c r="A5524" s="56">
        <v>31383590.199999999</v>
      </c>
    </row>
    <row r="5525" spans="1:1" x14ac:dyDescent="0.25">
      <c r="A5525" s="56">
        <v>8416780.5999999996</v>
      </c>
    </row>
    <row r="5526" spans="1:1" x14ac:dyDescent="0.25">
      <c r="A5526" s="56">
        <v>23284234.5</v>
      </c>
    </row>
    <row r="5527" spans="1:1" x14ac:dyDescent="0.25">
      <c r="A5527" s="56">
        <v>1391183.6</v>
      </c>
    </row>
    <row r="5528" spans="1:1" x14ac:dyDescent="0.25">
      <c r="A5528" s="56">
        <v>460990138.30000001</v>
      </c>
    </row>
    <row r="5529" spans="1:1" x14ac:dyDescent="0.25">
      <c r="A5529" s="56">
        <v>585549819.39999998</v>
      </c>
    </row>
    <row r="5530" spans="1:1" x14ac:dyDescent="0.25">
      <c r="A5530" s="56">
        <v>13394585.300000001</v>
      </c>
    </row>
    <row r="5531" spans="1:1" x14ac:dyDescent="0.25">
      <c r="A5531" s="56">
        <v>34661973.099999897</v>
      </c>
    </row>
    <row r="5532" spans="1:1" x14ac:dyDescent="0.25">
      <c r="A5532" s="56">
        <v>29446047.300000001</v>
      </c>
    </row>
    <row r="5533" spans="1:1" x14ac:dyDescent="0.25">
      <c r="A5533" s="56">
        <v>66908926.799999997</v>
      </c>
    </row>
    <row r="5534" spans="1:1" x14ac:dyDescent="0.25">
      <c r="A5534" s="56">
        <v>178281593.90000001</v>
      </c>
    </row>
    <row r="5535" spans="1:1" x14ac:dyDescent="0.25">
      <c r="A5535" s="56">
        <v>0</v>
      </c>
    </row>
    <row r="5536" spans="1:1" x14ac:dyDescent="0.25">
      <c r="A5536" s="56">
        <v>24431855.699999999</v>
      </c>
    </row>
    <row r="5537" spans="1:1" x14ac:dyDescent="0.25">
      <c r="A5537" s="56">
        <v>6826948.0999999996</v>
      </c>
    </row>
    <row r="5538" spans="1:1" x14ac:dyDescent="0.25">
      <c r="A5538" s="56">
        <v>6329917.2999999998</v>
      </c>
    </row>
    <row r="5539" spans="1:1" x14ac:dyDescent="0.25">
      <c r="A5539" s="56">
        <v>60436040.700000003</v>
      </c>
    </row>
    <row r="5540" spans="1:1" x14ac:dyDescent="0.25">
      <c r="A5540" s="56">
        <v>24551134.800000001</v>
      </c>
    </row>
    <row r="5541" spans="1:1" x14ac:dyDescent="0.25">
      <c r="A5541" s="56">
        <v>5634307.6999999899</v>
      </c>
    </row>
    <row r="5542" spans="1:1" x14ac:dyDescent="0.25">
      <c r="A5542" s="56">
        <v>12481171.199999999</v>
      </c>
    </row>
    <row r="5543" spans="1:1" x14ac:dyDescent="0.25">
      <c r="A5543" s="56">
        <v>58879327.899999999</v>
      </c>
    </row>
    <row r="5544" spans="1:1" x14ac:dyDescent="0.25">
      <c r="A5544" s="56">
        <v>33803826.5</v>
      </c>
    </row>
    <row r="5545" spans="1:1" x14ac:dyDescent="0.25">
      <c r="A5545" s="56">
        <v>21979934.5</v>
      </c>
    </row>
    <row r="5546" spans="1:1" x14ac:dyDescent="0.25">
      <c r="A5546" s="56">
        <v>0</v>
      </c>
    </row>
    <row r="5547" spans="1:1" x14ac:dyDescent="0.25">
      <c r="A5547" s="56">
        <v>4799454</v>
      </c>
    </row>
    <row r="5548" spans="1:1" x14ac:dyDescent="0.25">
      <c r="A5548" s="56">
        <v>28281438.199999999</v>
      </c>
    </row>
    <row r="5549" spans="1:1" x14ac:dyDescent="0.25">
      <c r="A5549" s="56">
        <v>2596852.7999999998</v>
      </c>
    </row>
    <row r="5550" spans="1:1" x14ac:dyDescent="0.25">
      <c r="A5550" s="56">
        <v>0</v>
      </c>
    </row>
    <row r="5551" spans="1:1" x14ac:dyDescent="0.25">
      <c r="A5551" s="56">
        <v>20979961.399999999</v>
      </c>
    </row>
    <row r="5552" spans="1:1" x14ac:dyDescent="0.25">
      <c r="A5552" s="56">
        <v>0</v>
      </c>
    </row>
    <row r="5553" spans="1:1" x14ac:dyDescent="0.25">
      <c r="A5553" s="56">
        <v>166569894.30000001</v>
      </c>
    </row>
    <row r="5554" spans="1:1" x14ac:dyDescent="0.25">
      <c r="A5554" s="56">
        <v>49288252.5</v>
      </c>
    </row>
    <row r="5555" spans="1:1" x14ac:dyDescent="0.25">
      <c r="A5555" s="56">
        <v>11706164.6</v>
      </c>
    </row>
    <row r="5556" spans="1:1" x14ac:dyDescent="0.25">
      <c r="A5556" s="56">
        <v>0</v>
      </c>
    </row>
    <row r="5557" spans="1:1" x14ac:dyDescent="0.25">
      <c r="A5557" s="56">
        <v>0</v>
      </c>
    </row>
    <row r="5558" spans="1:1" x14ac:dyDescent="0.25">
      <c r="A5558" s="56">
        <v>102485744.59999999</v>
      </c>
    </row>
    <row r="5559" spans="1:1" x14ac:dyDescent="0.25">
      <c r="A5559" s="56">
        <v>0</v>
      </c>
    </row>
    <row r="5560" spans="1:1" x14ac:dyDescent="0.25">
      <c r="A5560" s="56">
        <v>56189661.700000003</v>
      </c>
    </row>
    <row r="5561" spans="1:1" x14ac:dyDescent="0.25">
      <c r="A5561" s="56">
        <v>31743245.5</v>
      </c>
    </row>
    <row r="5562" spans="1:1" x14ac:dyDescent="0.25">
      <c r="A5562" s="56">
        <v>40297574.700000003</v>
      </c>
    </row>
    <row r="5563" spans="1:1" x14ac:dyDescent="0.25">
      <c r="A5563" s="56">
        <v>20744884.100000001</v>
      </c>
    </row>
    <row r="5564" spans="1:1" x14ac:dyDescent="0.25">
      <c r="A5564" s="56">
        <v>377042639.39999998</v>
      </c>
    </row>
    <row r="5565" spans="1:1" x14ac:dyDescent="0.25">
      <c r="A5565" s="56">
        <v>13200831.6</v>
      </c>
    </row>
    <row r="5566" spans="1:1" x14ac:dyDescent="0.25">
      <c r="A5566" s="56">
        <v>6190781.5999999996</v>
      </c>
    </row>
    <row r="5567" spans="1:1" x14ac:dyDescent="0.25">
      <c r="A5567" s="56">
        <v>19553191</v>
      </c>
    </row>
    <row r="5568" spans="1:1" x14ac:dyDescent="0.25">
      <c r="A5568" s="56">
        <v>14842357.6</v>
      </c>
    </row>
    <row r="5569" spans="1:1" x14ac:dyDescent="0.25">
      <c r="A5569" s="56">
        <v>607518555.19999897</v>
      </c>
    </row>
    <row r="5570" spans="1:1" x14ac:dyDescent="0.25">
      <c r="A5570" s="56">
        <v>11505473.800000001</v>
      </c>
    </row>
    <row r="5571" spans="1:1" x14ac:dyDescent="0.25">
      <c r="A5571" s="56">
        <v>118831808.8</v>
      </c>
    </row>
    <row r="5572" spans="1:1" x14ac:dyDescent="0.25">
      <c r="A5572" s="56">
        <v>34410600.700000003</v>
      </c>
    </row>
    <row r="5573" spans="1:1" x14ac:dyDescent="0.25">
      <c r="A5573" s="56">
        <v>21418401.199999999</v>
      </c>
    </row>
    <row r="5574" spans="1:1" x14ac:dyDescent="0.25">
      <c r="A5574" s="56">
        <v>167688010.90000001</v>
      </c>
    </row>
    <row r="5575" spans="1:1" x14ac:dyDescent="0.25">
      <c r="A5575" s="56">
        <v>11727249.5</v>
      </c>
    </row>
    <row r="5576" spans="1:1" x14ac:dyDescent="0.25">
      <c r="A5576" s="56">
        <v>11391890.9</v>
      </c>
    </row>
    <row r="5577" spans="1:1" x14ac:dyDescent="0.25">
      <c r="A5577" s="56">
        <v>0</v>
      </c>
    </row>
    <row r="5578" spans="1:1" x14ac:dyDescent="0.25">
      <c r="A5578" s="56">
        <v>18079312.800000001</v>
      </c>
    </row>
    <row r="5579" spans="1:1" x14ac:dyDescent="0.25">
      <c r="A5579" s="56">
        <v>13720195.6</v>
      </c>
    </row>
    <row r="5580" spans="1:1" x14ac:dyDescent="0.25">
      <c r="A5580" s="56">
        <v>99020889.700000003</v>
      </c>
    </row>
    <row r="5581" spans="1:1" x14ac:dyDescent="0.25">
      <c r="A5581" s="56">
        <v>63356346.600000001</v>
      </c>
    </row>
    <row r="5582" spans="1:1" x14ac:dyDescent="0.25">
      <c r="A5582" s="56">
        <v>1019768.4</v>
      </c>
    </row>
    <row r="5583" spans="1:1" x14ac:dyDescent="0.25">
      <c r="A5583" s="56">
        <v>40792667.700000003</v>
      </c>
    </row>
    <row r="5584" spans="1:1" x14ac:dyDescent="0.25">
      <c r="A5584" s="56">
        <v>41295949.700000003</v>
      </c>
    </row>
    <row r="5585" spans="1:1" x14ac:dyDescent="0.25">
      <c r="A5585" s="56">
        <v>10621838.1</v>
      </c>
    </row>
    <row r="5586" spans="1:1" x14ac:dyDescent="0.25">
      <c r="A5586" s="56">
        <v>22565505.600000001</v>
      </c>
    </row>
    <row r="5587" spans="1:1" x14ac:dyDescent="0.25">
      <c r="A5587" s="56">
        <v>572924537.10000002</v>
      </c>
    </row>
    <row r="5588" spans="1:1" x14ac:dyDescent="0.25">
      <c r="A5588" s="56">
        <v>55863683.100000001</v>
      </c>
    </row>
    <row r="5589" spans="1:1" x14ac:dyDescent="0.25">
      <c r="A5589" s="56">
        <v>51816906.799999997</v>
      </c>
    </row>
    <row r="5590" spans="1:1" x14ac:dyDescent="0.25">
      <c r="A5590" s="56">
        <v>86601907.599999905</v>
      </c>
    </row>
    <row r="5591" spans="1:1" x14ac:dyDescent="0.25">
      <c r="A5591" s="56">
        <v>11943993</v>
      </c>
    </row>
    <row r="5592" spans="1:1" x14ac:dyDescent="0.25">
      <c r="A5592" s="56">
        <v>26422347.5</v>
      </c>
    </row>
    <row r="5593" spans="1:1" x14ac:dyDescent="0.25">
      <c r="A5593" s="56">
        <v>88003981.700000003</v>
      </c>
    </row>
    <row r="5594" spans="1:1" x14ac:dyDescent="0.25">
      <c r="A5594" s="56">
        <v>196214611</v>
      </c>
    </row>
    <row r="5595" spans="1:1" x14ac:dyDescent="0.25">
      <c r="A5595" s="56">
        <v>13647503.6</v>
      </c>
    </row>
    <row r="5596" spans="1:1" x14ac:dyDescent="0.25">
      <c r="A5596" s="56">
        <v>5606111.6999999899</v>
      </c>
    </row>
    <row r="5597" spans="1:1" x14ac:dyDescent="0.25">
      <c r="A5597" s="56">
        <v>13535398.5</v>
      </c>
    </row>
    <row r="5598" spans="1:1" x14ac:dyDescent="0.25">
      <c r="A5598" s="56">
        <v>196718879.19999999</v>
      </c>
    </row>
    <row r="5599" spans="1:1" x14ac:dyDescent="0.25">
      <c r="A5599" s="56">
        <v>1107876</v>
      </c>
    </row>
    <row r="5600" spans="1:1" x14ac:dyDescent="0.25">
      <c r="A5600" s="56">
        <v>94109025.699999899</v>
      </c>
    </row>
    <row r="5601" spans="1:1" x14ac:dyDescent="0.25">
      <c r="A5601" s="56">
        <v>0</v>
      </c>
    </row>
    <row r="5602" spans="1:1" x14ac:dyDescent="0.25">
      <c r="A5602" s="56">
        <v>17184321.100000001</v>
      </c>
    </row>
    <row r="5603" spans="1:1" x14ac:dyDescent="0.25">
      <c r="A5603" s="56">
        <v>101856408.90000001</v>
      </c>
    </row>
    <row r="5604" spans="1:1" x14ac:dyDescent="0.25">
      <c r="A5604" s="56">
        <v>0</v>
      </c>
    </row>
    <row r="5605" spans="1:1" x14ac:dyDescent="0.25">
      <c r="A5605" s="56">
        <v>19835407.800000001</v>
      </c>
    </row>
    <row r="5606" spans="1:1" x14ac:dyDescent="0.25">
      <c r="A5606" s="56">
        <v>0</v>
      </c>
    </row>
    <row r="5607" spans="1:1" x14ac:dyDescent="0.25">
      <c r="A5607" s="56">
        <v>0</v>
      </c>
    </row>
    <row r="5608" spans="1:1" x14ac:dyDescent="0.25">
      <c r="A5608" s="56">
        <v>44360498.799999997</v>
      </c>
    </row>
    <row r="5609" spans="1:1" x14ac:dyDescent="0.25">
      <c r="A5609" s="56">
        <v>59064038.599999897</v>
      </c>
    </row>
    <row r="5610" spans="1:1" x14ac:dyDescent="0.25">
      <c r="A5610" s="56">
        <v>124693132.40000001</v>
      </c>
    </row>
    <row r="5611" spans="1:1" x14ac:dyDescent="0.25">
      <c r="A5611" s="56">
        <v>39125970.200000003</v>
      </c>
    </row>
    <row r="5612" spans="1:1" x14ac:dyDescent="0.25">
      <c r="A5612" s="56">
        <v>74720324.599999905</v>
      </c>
    </row>
    <row r="5613" spans="1:1" x14ac:dyDescent="0.25">
      <c r="A5613" s="56">
        <v>11273488.699999999</v>
      </c>
    </row>
    <row r="5614" spans="1:1" x14ac:dyDescent="0.25">
      <c r="A5614" s="56">
        <v>0</v>
      </c>
    </row>
    <row r="5615" spans="1:1" x14ac:dyDescent="0.25">
      <c r="A5615" s="56">
        <v>34151812.299999997</v>
      </c>
    </row>
    <row r="5616" spans="1:1" x14ac:dyDescent="0.25">
      <c r="A5616" s="56">
        <v>99813704.199999899</v>
      </c>
    </row>
    <row r="5617" spans="1:1" x14ac:dyDescent="0.25">
      <c r="A5617" s="56">
        <v>12859312</v>
      </c>
    </row>
    <row r="5618" spans="1:1" x14ac:dyDescent="0.25">
      <c r="A5618" s="56">
        <v>305507445.60000002</v>
      </c>
    </row>
    <row r="5619" spans="1:1" x14ac:dyDescent="0.25">
      <c r="A5619" s="56">
        <v>84107840.200000003</v>
      </c>
    </row>
    <row r="5620" spans="1:1" x14ac:dyDescent="0.25">
      <c r="A5620" s="56">
        <v>0</v>
      </c>
    </row>
    <row r="5621" spans="1:1" x14ac:dyDescent="0.25">
      <c r="A5621" s="56">
        <v>166856913.90000001</v>
      </c>
    </row>
    <row r="5622" spans="1:1" x14ac:dyDescent="0.25">
      <c r="A5622" s="56">
        <v>34777807.700000003</v>
      </c>
    </row>
    <row r="5623" spans="1:1" x14ac:dyDescent="0.25">
      <c r="A5623" s="56">
        <v>179603963.59999999</v>
      </c>
    </row>
    <row r="5624" spans="1:1" x14ac:dyDescent="0.25">
      <c r="A5624" s="56">
        <v>145496481.19999999</v>
      </c>
    </row>
    <row r="5625" spans="1:1" x14ac:dyDescent="0.25">
      <c r="A5625" s="56">
        <v>45689595.700000003</v>
      </c>
    </row>
    <row r="5626" spans="1:1" x14ac:dyDescent="0.25">
      <c r="A5626" s="56">
        <v>17686364.100000001</v>
      </c>
    </row>
    <row r="5627" spans="1:1" x14ac:dyDescent="0.25">
      <c r="A5627" s="56">
        <v>36272726.5</v>
      </c>
    </row>
    <row r="5628" spans="1:1" x14ac:dyDescent="0.25">
      <c r="A5628" s="56">
        <v>37817606.799999997</v>
      </c>
    </row>
    <row r="5629" spans="1:1" x14ac:dyDescent="0.25">
      <c r="A5629" s="56">
        <v>154582698.69999999</v>
      </c>
    </row>
    <row r="5630" spans="1:1" x14ac:dyDescent="0.25">
      <c r="A5630" s="56">
        <v>32775089.800000001</v>
      </c>
    </row>
    <row r="5631" spans="1:1" x14ac:dyDescent="0.25">
      <c r="A5631" s="56">
        <v>37928030.700000003</v>
      </c>
    </row>
    <row r="5632" spans="1:1" x14ac:dyDescent="0.25">
      <c r="A5632" s="56">
        <v>15159857.199999999</v>
      </c>
    </row>
    <row r="5633" spans="1:1" x14ac:dyDescent="0.25">
      <c r="A5633" s="56">
        <v>89882766.599999905</v>
      </c>
    </row>
    <row r="5634" spans="1:1" x14ac:dyDescent="0.25">
      <c r="A5634" s="56">
        <v>71940274.399999902</v>
      </c>
    </row>
    <row r="5635" spans="1:1" x14ac:dyDescent="0.25">
      <c r="A5635" s="56">
        <v>5154493.7</v>
      </c>
    </row>
    <row r="5636" spans="1:1" x14ac:dyDescent="0.25">
      <c r="A5636" s="56">
        <v>135770522</v>
      </c>
    </row>
    <row r="5637" spans="1:1" x14ac:dyDescent="0.25">
      <c r="A5637" s="56">
        <v>72915201.699999899</v>
      </c>
    </row>
    <row r="5638" spans="1:1" x14ac:dyDescent="0.25">
      <c r="A5638" s="56">
        <v>16503661.199999999</v>
      </c>
    </row>
    <row r="5639" spans="1:1" x14ac:dyDescent="0.25">
      <c r="A5639" s="56">
        <v>6320055.5999999996</v>
      </c>
    </row>
    <row r="5640" spans="1:1" x14ac:dyDescent="0.25">
      <c r="A5640" s="56">
        <v>12882362.6</v>
      </c>
    </row>
    <row r="5641" spans="1:1" x14ac:dyDescent="0.25">
      <c r="A5641" s="56">
        <v>3189736.2</v>
      </c>
    </row>
    <row r="5642" spans="1:1" x14ac:dyDescent="0.25">
      <c r="A5642" s="56">
        <v>17589748.100000001</v>
      </c>
    </row>
    <row r="5643" spans="1:1" x14ac:dyDescent="0.25">
      <c r="A5643" s="56">
        <v>194716902.5</v>
      </c>
    </row>
    <row r="5644" spans="1:1" x14ac:dyDescent="0.25">
      <c r="A5644" s="56">
        <v>4090024.8</v>
      </c>
    </row>
    <row r="5645" spans="1:1" x14ac:dyDescent="0.25">
      <c r="A5645" s="56">
        <v>47327836.899999999</v>
      </c>
    </row>
    <row r="5646" spans="1:1" x14ac:dyDescent="0.25">
      <c r="A5646" s="56">
        <v>11951178.6</v>
      </c>
    </row>
    <row r="5647" spans="1:1" x14ac:dyDescent="0.25">
      <c r="A5647" s="56">
        <v>434341840</v>
      </c>
    </row>
    <row r="5648" spans="1:1" x14ac:dyDescent="0.25">
      <c r="A5648" s="56">
        <v>24588715.399999999</v>
      </c>
    </row>
    <row r="5649" spans="1:1" x14ac:dyDescent="0.25">
      <c r="A5649" s="56">
        <v>30775209.600000001</v>
      </c>
    </row>
    <row r="5650" spans="1:1" x14ac:dyDescent="0.25">
      <c r="A5650" s="56">
        <v>53754643.099999897</v>
      </c>
    </row>
    <row r="5651" spans="1:1" x14ac:dyDescent="0.25">
      <c r="A5651" s="56">
        <v>308010122.10000002</v>
      </c>
    </row>
    <row r="5652" spans="1:1" x14ac:dyDescent="0.25">
      <c r="A5652" s="56">
        <v>1655340.8</v>
      </c>
    </row>
    <row r="5653" spans="1:1" x14ac:dyDescent="0.25">
      <c r="A5653" s="56">
        <v>51124118.399999999</v>
      </c>
    </row>
    <row r="5654" spans="1:1" x14ac:dyDescent="0.25">
      <c r="A5654" s="56">
        <v>0</v>
      </c>
    </row>
    <row r="5655" spans="1:1" x14ac:dyDescent="0.25">
      <c r="A5655" s="56">
        <v>2411415.6</v>
      </c>
    </row>
    <row r="5656" spans="1:1" x14ac:dyDescent="0.25">
      <c r="A5656" s="56">
        <v>26433001.899999999</v>
      </c>
    </row>
    <row r="5657" spans="1:1" x14ac:dyDescent="0.25">
      <c r="A5657" s="56">
        <v>54170124.999999903</v>
      </c>
    </row>
    <row r="5658" spans="1:1" x14ac:dyDescent="0.25">
      <c r="A5658" s="56">
        <v>45253724.499999903</v>
      </c>
    </row>
    <row r="5659" spans="1:1" x14ac:dyDescent="0.25">
      <c r="A5659" s="56">
        <v>2614362.4</v>
      </c>
    </row>
    <row r="5660" spans="1:1" x14ac:dyDescent="0.25">
      <c r="A5660" s="56">
        <v>0</v>
      </c>
    </row>
    <row r="5661" spans="1:1" x14ac:dyDescent="0.25">
      <c r="A5661" s="56">
        <v>17211468.300000001</v>
      </c>
    </row>
    <row r="5662" spans="1:1" x14ac:dyDescent="0.25">
      <c r="A5662" s="56">
        <v>110124045.8</v>
      </c>
    </row>
    <row r="5663" spans="1:1" x14ac:dyDescent="0.25">
      <c r="A5663" s="56">
        <v>73887734.5</v>
      </c>
    </row>
    <row r="5664" spans="1:1" x14ac:dyDescent="0.25">
      <c r="A5664" s="56">
        <v>406824638.69999999</v>
      </c>
    </row>
    <row r="5665" spans="1:1" x14ac:dyDescent="0.25">
      <c r="A5665" s="56">
        <v>28046854</v>
      </c>
    </row>
    <row r="5666" spans="1:1" x14ac:dyDescent="0.25">
      <c r="A5666" s="56">
        <v>19920478.100000001</v>
      </c>
    </row>
    <row r="5667" spans="1:1" x14ac:dyDescent="0.25">
      <c r="A5667" s="56">
        <v>0</v>
      </c>
    </row>
    <row r="5668" spans="1:1" x14ac:dyDescent="0.25">
      <c r="A5668" s="56">
        <v>3121739.6</v>
      </c>
    </row>
    <row r="5669" spans="1:1" x14ac:dyDescent="0.25">
      <c r="A5669" s="56">
        <v>0</v>
      </c>
    </row>
    <row r="5670" spans="1:1" x14ac:dyDescent="0.25">
      <c r="A5670" s="56">
        <v>98716111.799999997</v>
      </c>
    </row>
    <row r="5671" spans="1:1" x14ac:dyDescent="0.25">
      <c r="A5671" s="56">
        <v>48056583.700000003</v>
      </c>
    </row>
    <row r="5672" spans="1:1" x14ac:dyDescent="0.25">
      <c r="A5672" s="56">
        <v>100226001.59999999</v>
      </c>
    </row>
    <row r="5673" spans="1:1" x14ac:dyDescent="0.25">
      <c r="A5673" s="56">
        <v>24406554</v>
      </c>
    </row>
    <row r="5674" spans="1:1" x14ac:dyDescent="0.25">
      <c r="A5674" s="56">
        <v>51026205.899999902</v>
      </c>
    </row>
    <row r="5675" spans="1:1" x14ac:dyDescent="0.25">
      <c r="A5675" s="56">
        <v>0</v>
      </c>
    </row>
    <row r="5676" spans="1:1" x14ac:dyDescent="0.25">
      <c r="A5676" s="56">
        <v>10687976.300000001</v>
      </c>
    </row>
    <row r="5677" spans="1:1" x14ac:dyDescent="0.25">
      <c r="A5677" s="56">
        <v>190554437.40000001</v>
      </c>
    </row>
    <row r="5678" spans="1:1" x14ac:dyDescent="0.25">
      <c r="A5678" s="56">
        <v>104497518.8</v>
      </c>
    </row>
    <row r="5679" spans="1:1" x14ac:dyDescent="0.25">
      <c r="A5679" s="56">
        <v>121901953.8</v>
      </c>
    </row>
    <row r="5680" spans="1:1" x14ac:dyDescent="0.25">
      <c r="A5680" s="56">
        <v>98683939.5</v>
      </c>
    </row>
    <row r="5681" spans="1:1" x14ac:dyDescent="0.25">
      <c r="A5681" s="56">
        <v>39768419.700000003</v>
      </c>
    </row>
    <row r="5682" spans="1:1" x14ac:dyDescent="0.25">
      <c r="A5682" s="56">
        <v>159487215.80000001</v>
      </c>
    </row>
    <row r="5683" spans="1:1" x14ac:dyDescent="0.25">
      <c r="A5683" s="56">
        <v>142836774.80000001</v>
      </c>
    </row>
    <row r="5684" spans="1:1" x14ac:dyDescent="0.25">
      <c r="A5684" s="56">
        <v>67028114.099999897</v>
      </c>
    </row>
    <row r="5685" spans="1:1" x14ac:dyDescent="0.25">
      <c r="A5685" s="56">
        <v>43156007.700000003</v>
      </c>
    </row>
    <row r="5686" spans="1:1" x14ac:dyDescent="0.25">
      <c r="A5686" s="56">
        <v>100829020</v>
      </c>
    </row>
    <row r="5687" spans="1:1" x14ac:dyDescent="0.25">
      <c r="A5687" s="56">
        <v>44334686.299999997</v>
      </c>
    </row>
    <row r="5688" spans="1:1" x14ac:dyDescent="0.25">
      <c r="A5688" s="56">
        <v>83178641.099999994</v>
      </c>
    </row>
    <row r="5689" spans="1:1" x14ac:dyDescent="0.25">
      <c r="A5689" s="56">
        <v>19080190.300000001</v>
      </c>
    </row>
    <row r="5690" spans="1:1" x14ac:dyDescent="0.25">
      <c r="A5690" s="56">
        <v>92554389.799999997</v>
      </c>
    </row>
    <row r="5691" spans="1:1" x14ac:dyDescent="0.25">
      <c r="A5691" s="56">
        <v>26859622.800000001</v>
      </c>
    </row>
    <row r="5692" spans="1:1" x14ac:dyDescent="0.25">
      <c r="A5692" s="56">
        <v>218750350.69999999</v>
      </c>
    </row>
    <row r="5693" spans="1:1" x14ac:dyDescent="0.25">
      <c r="A5693" s="56">
        <v>170184269.09999999</v>
      </c>
    </row>
    <row r="5694" spans="1:1" x14ac:dyDescent="0.25">
      <c r="A5694" s="56">
        <v>76222193.700000003</v>
      </c>
    </row>
    <row r="5695" spans="1:1" x14ac:dyDescent="0.25">
      <c r="A5695" s="56">
        <v>322986279.80000001</v>
      </c>
    </row>
    <row r="5696" spans="1:1" x14ac:dyDescent="0.25">
      <c r="A5696" s="56">
        <v>10754823.1</v>
      </c>
    </row>
    <row r="5697" spans="1:1" x14ac:dyDescent="0.25">
      <c r="A5697" s="56">
        <v>33242530.100000001</v>
      </c>
    </row>
    <row r="5698" spans="1:1" x14ac:dyDescent="0.25">
      <c r="A5698" s="56">
        <v>55321143.399999999</v>
      </c>
    </row>
    <row r="5699" spans="1:1" x14ac:dyDescent="0.25">
      <c r="A5699" s="56">
        <v>1262097.2</v>
      </c>
    </row>
    <row r="5700" spans="1:1" x14ac:dyDescent="0.25">
      <c r="A5700" s="56">
        <v>6072799.5999999996</v>
      </c>
    </row>
    <row r="5701" spans="1:1" x14ac:dyDescent="0.25">
      <c r="A5701" s="56">
        <v>6751448.4000000004</v>
      </c>
    </row>
    <row r="5702" spans="1:1" x14ac:dyDescent="0.25">
      <c r="A5702" s="56">
        <v>22589042.899999999</v>
      </c>
    </row>
    <row r="5703" spans="1:1" x14ac:dyDescent="0.25">
      <c r="A5703" s="56">
        <v>1518958.4</v>
      </c>
    </row>
    <row r="5704" spans="1:1" x14ac:dyDescent="0.25">
      <c r="A5704" s="56">
        <v>209277620.30000001</v>
      </c>
    </row>
    <row r="5705" spans="1:1" x14ac:dyDescent="0.25">
      <c r="A5705" s="56">
        <v>30900243.199999999</v>
      </c>
    </row>
    <row r="5706" spans="1:1" x14ac:dyDescent="0.25">
      <c r="A5706" s="56">
        <v>17505242.199999999</v>
      </c>
    </row>
    <row r="5707" spans="1:1" x14ac:dyDescent="0.25">
      <c r="A5707" s="56">
        <v>3553532.6</v>
      </c>
    </row>
    <row r="5708" spans="1:1" x14ac:dyDescent="0.25">
      <c r="A5708" s="56">
        <v>32439996</v>
      </c>
    </row>
    <row r="5709" spans="1:1" x14ac:dyDescent="0.25">
      <c r="A5709" s="56">
        <v>325851185.60000002</v>
      </c>
    </row>
    <row r="5710" spans="1:1" x14ac:dyDescent="0.25">
      <c r="A5710" s="56">
        <v>33041427.899999999</v>
      </c>
    </row>
    <row r="5711" spans="1:1" x14ac:dyDescent="0.25">
      <c r="A5711" s="56">
        <v>39086867.799999997</v>
      </c>
    </row>
    <row r="5712" spans="1:1" x14ac:dyDescent="0.25">
      <c r="A5712" s="56">
        <v>109610920.09999999</v>
      </c>
    </row>
    <row r="5713" spans="1:1" x14ac:dyDescent="0.25">
      <c r="A5713" s="56">
        <v>74068366.099999905</v>
      </c>
    </row>
    <row r="5714" spans="1:1" x14ac:dyDescent="0.25">
      <c r="A5714" s="56">
        <v>3558337.2</v>
      </c>
    </row>
    <row r="5715" spans="1:1" x14ac:dyDescent="0.25">
      <c r="A5715" s="56">
        <v>10281697.800000001</v>
      </c>
    </row>
    <row r="5716" spans="1:1" x14ac:dyDescent="0.25">
      <c r="A5716" s="56">
        <v>50172565.399999999</v>
      </c>
    </row>
    <row r="5717" spans="1:1" x14ac:dyDescent="0.25">
      <c r="A5717" s="56">
        <v>0</v>
      </c>
    </row>
    <row r="5718" spans="1:1" x14ac:dyDescent="0.25">
      <c r="A5718" s="56">
        <v>22559204.699999999</v>
      </c>
    </row>
    <row r="5719" spans="1:1" x14ac:dyDescent="0.25">
      <c r="A5719" s="56">
        <v>20785335.800000001</v>
      </c>
    </row>
    <row r="5720" spans="1:1" x14ac:dyDescent="0.25">
      <c r="A5720" s="56">
        <v>206688877.40000001</v>
      </c>
    </row>
    <row r="5721" spans="1:1" x14ac:dyDescent="0.25">
      <c r="A5721" s="56">
        <v>0</v>
      </c>
    </row>
    <row r="5722" spans="1:1" x14ac:dyDescent="0.25">
      <c r="A5722" s="56">
        <v>19435081.899999999</v>
      </c>
    </row>
    <row r="5723" spans="1:1" x14ac:dyDescent="0.25">
      <c r="A5723" s="56">
        <v>6581348</v>
      </c>
    </row>
    <row r="5724" spans="1:1" x14ac:dyDescent="0.25">
      <c r="A5724" s="56">
        <v>86612337.699999899</v>
      </c>
    </row>
    <row r="5725" spans="1:1" x14ac:dyDescent="0.25">
      <c r="A5725" s="56">
        <v>13488541.6</v>
      </c>
    </row>
    <row r="5726" spans="1:1" x14ac:dyDescent="0.25">
      <c r="A5726" s="56">
        <v>3784665.6</v>
      </c>
    </row>
    <row r="5727" spans="1:1" x14ac:dyDescent="0.25">
      <c r="A5727" s="56">
        <v>13316405.6</v>
      </c>
    </row>
    <row r="5728" spans="1:1" x14ac:dyDescent="0.25">
      <c r="A5728" s="56">
        <v>9229865.1999999899</v>
      </c>
    </row>
    <row r="5729" spans="1:1" x14ac:dyDescent="0.25">
      <c r="A5729" s="56">
        <v>0</v>
      </c>
    </row>
    <row r="5730" spans="1:1" x14ac:dyDescent="0.25">
      <c r="A5730" s="56">
        <v>2685027</v>
      </c>
    </row>
    <row r="5731" spans="1:1" x14ac:dyDescent="0.25">
      <c r="A5731" s="56">
        <v>5895976.0999999996</v>
      </c>
    </row>
    <row r="5732" spans="1:1" x14ac:dyDescent="0.25">
      <c r="A5732" s="56">
        <v>12460226.5</v>
      </c>
    </row>
    <row r="5733" spans="1:1" x14ac:dyDescent="0.25">
      <c r="A5733" s="56">
        <v>5617663.7999999998</v>
      </c>
    </row>
    <row r="5734" spans="1:1" x14ac:dyDescent="0.25">
      <c r="A5734" s="56">
        <v>82864660.099999905</v>
      </c>
    </row>
    <row r="5735" spans="1:1" x14ac:dyDescent="0.25">
      <c r="A5735" s="56">
        <v>0</v>
      </c>
    </row>
    <row r="5736" spans="1:1" x14ac:dyDescent="0.25">
      <c r="A5736" s="56">
        <v>142999345.30000001</v>
      </c>
    </row>
    <row r="5737" spans="1:1" x14ac:dyDescent="0.25">
      <c r="A5737" s="56">
        <v>3305527.8</v>
      </c>
    </row>
    <row r="5738" spans="1:1" x14ac:dyDescent="0.25">
      <c r="A5738" s="56">
        <v>6716274.1999999899</v>
      </c>
    </row>
    <row r="5739" spans="1:1" x14ac:dyDescent="0.25">
      <c r="A5739" s="56">
        <v>12795061.300000001</v>
      </c>
    </row>
    <row r="5740" spans="1:1" x14ac:dyDescent="0.25">
      <c r="A5740" s="56">
        <v>55528413.799999997</v>
      </c>
    </row>
    <row r="5741" spans="1:1" x14ac:dyDescent="0.25">
      <c r="A5741" s="56">
        <v>33751371.399999999</v>
      </c>
    </row>
    <row r="5742" spans="1:1" x14ac:dyDescent="0.25">
      <c r="A5742" s="56">
        <v>7823699.9000000004</v>
      </c>
    </row>
    <row r="5743" spans="1:1" x14ac:dyDescent="0.25">
      <c r="A5743" s="56">
        <v>11036369.4</v>
      </c>
    </row>
    <row r="5744" spans="1:1" x14ac:dyDescent="0.25">
      <c r="A5744" s="56">
        <v>23071857.100000001</v>
      </c>
    </row>
    <row r="5745" spans="1:1" x14ac:dyDescent="0.25">
      <c r="A5745" s="56">
        <v>263448219.90000001</v>
      </c>
    </row>
    <row r="5746" spans="1:1" x14ac:dyDescent="0.25">
      <c r="A5746" s="56">
        <v>18339587.899999999</v>
      </c>
    </row>
    <row r="5747" spans="1:1" x14ac:dyDescent="0.25">
      <c r="A5747" s="56">
        <v>17870845.699999999</v>
      </c>
    </row>
    <row r="5748" spans="1:1" x14ac:dyDescent="0.25">
      <c r="A5748" s="56">
        <v>36324665.399999999</v>
      </c>
    </row>
    <row r="5749" spans="1:1" x14ac:dyDescent="0.25">
      <c r="A5749" s="56">
        <v>522342840.69999999</v>
      </c>
    </row>
    <row r="5750" spans="1:1" x14ac:dyDescent="0.25">
      <c r="A5750" s="56">
        <v>0</v>
      </c>
    </row>
    <row r="5751" spans="1:1" x14ac:dyDescent="0.25">
      <c r="A5751" s="56">
        <v>53777765.599999897</v>
      </c>
    </row>
    <row r="5752" spans="1:1" x14ac:dyDescent="0.25">
      <c r="A5752" s="56">
        <v>43802764.700000003</v>
      </c>
    </row>
    <row r="5753" spans="1:1" x14ac:dyDescent="0.25">
      <c r="A5753" s="56">
        <v>0</v>
      </c>
    </row>
    <row r="5754" spans="1:1" x14ac:dyDescent="0.25">
      <c r="A5754" s="56">
        <v>10372155.6</v>
      </c>
    </row>
    <row r="5755" spans="1:1" x14ac:dyDescent="0.25">
      <c r="A5755" s="56">
        <v>156998700.59999999</v>
      </c>
    </row>
    <row r="5756" spans="1:1" x14ac:dyDescent="0.25">
      <c r="A5756" s="56">
        <v>33504398.199999999</v>
      </c>
    </row>
    <row r="5757" spans="1:1" x14ac:dyDescent="0.25">
      <c r="A5757" s="56">
        <v>0</v>
      </c>
    </row>
    <row r="5758" spans="1:1" x14ac:dyDescent="0.25">
      <c r="A5758" s="56">
        <v>86317324.099999905</v>
      </c>
    </row>
    <row r="5759" spans="1:1" x14ac:dyDescent="0.25">
      <c r="A5759" s="56">
        <v>105435239.7</v>
      </c>
    </row>
    <row r="5760" spans="1:1" x14ac:dyDescent="0.25">
      <c r="A5760" s="56">
        <v>0</v>
      </c>
    </row>
    <row r="5761" spans="1:1" x14ac:dyDescent="0.25">
      <c r="A5761" s="56">
        <v>35695483.299999997</v>
      </c>
    </row>
    <row r="5762" spans="1:1" x14ac:dyDescent="0.25">
      <c r="A5762" s="56">
        <v>16454461.1</v>
      </c>
    </row>
    <row r="5763" spans="1:1" x14ac:dyDescent="0.25">
      <c r="A5763" s="56">
        <v>33091138.899999999</v>
      </c>
    </row>
    <row r="5764" spans="1:1" x14ac:dyDescent="0.25">
      <c r="A5764" s="56">
        <v>3733051.8</v>
      </c>
    </row>
    <row r="5765" spans="1:1" x14ac:dyDescent="0.25">
      <c r="A5765" s="56">
        <v>10701671.300000001</v>
      </c>
    </row>
    <row r="5766" spans="1:1" x14ac:dyDescent="0.25">
      <c r="A5766" s="56">
        <v>56122852.200000003</v>
      </c>
    </row>
    <row r="5767" spans="1:1" x14ac:dyDescent="0.25">
      <c r="A5767" s="56">
        <v>86090772.599999905</v>
      </c>
    </row>
    <row r="5768" spans="1:1" x14ac:dyDescent="0.25">
      <c r="A5768" s="56">
        <v>7099707</v>
      </c>
    </row>
    <row r="5769" spans="1:1" x14ac:dyDescent="0.25">
      <c r="A5769" s="56">
        <v>18680505.199999999</v>
      </c>
    </row>
    <row r="5770" spans="1:1" x14ac:dyDescent="0.25">
      <c r="A5770" s="56">
        <v>6430102.1999999899</v>
      </c>
    </row>
    <row r="5771" spans="1:1" x14ac:dyDescent="0.25">
      <c r="A5771" s="56">
        <v>18544425.199999999</v>
      </c>
    </row>
    <row r="5772" spans="1:1" x14ac:dyDescent="0.25">
      <c r="A5772" s="56">
        <v>76115050.400000006</v>
      </c>
    </row>
    <row r="5773" spans="1:1" x14ac:dyDescent="0.25">
      <c r="A5773" s="56">
        <v>0</v>
      </c>
    </row>
    <row r="5774" spans="1:1" x14ac:dyDescent="0.25">
      <c r="A5774" s="56">
        <v>169505259.90000001</v>
      </c>
    </row>
    <row r="5775" spans="1:1" x14ac:dyDescent="0.25">
      <c r="A5775" s="56">
        <v>6029630</v>
      </c>
    </row>
    <row r="5776" spans="1:1" x14ac:dyDescent="0.25">
      <c r="A5776" s="56">
        <v>222564974.30000001</v>
      </c>
    </row>
    <row r="5777" spans="1:1" x14ac:dyDescent="0.25">
      <c r="A5777" s="56">
        <v>16784909.699999999</v>
      </c>
    </row>
    <row r="5778" spans="1:1" x14ac:dyDescent="0.25">
      <c r="A5778" s="56">
        <v>22462293.399999999</v>
      </c>
    </row>
    <row r="5779" spans="1:1" x14ac:dyDescent="0.25">
      <c r="A5779" s="56">
        <v>2477086.2000000002</v>
      </c>
    </row>
    <row r="5780" spans="1:1" x14ac:dyDescent="0.25">
      <c r="A5780" s="56">
        <v>28089517</v>
      </c>
    </row>
    <row r="5781" spans="1:1" x14ac:dyDescent="0.25">
      <c r="A5781" s="56">
        <v>8757401.4000000004</v>
      </c>
    </row>
    <row r="5782" spans="1:1" x14ac:dyDescent="0.25">
      <c r="A5782" s="56">
        <v>27037879.5</v>
      </c>
    </row>
    <row r="5783" spans="1:1" x14ac:dyDescent="0.25">
      <c r="A5783" s="56">
        <v>92651064.900000006</v>
      </c>
    </row>
    <row r="5784" spans="1:1" x14ac:dyDescent="0.25">
      <c r="A5784" s="56">
        <v>463290748.69999999</v>
      </c>
    </row>
    <row r="5785" spans="1:1" x14ac:dyDescent="0.25">
      <c r="A5785" s="56">
        <v>31555053.5</v>
      </c>
    </row>
    <row r="5786" spans="1:1" x14ac:dyDescent="0.25">
      <c r="A5786" s="56">
        <v>18593892.300000001</v>
      </c>
    </row>
    <row r="5787" spans="1:1" x14ac:dyDescent="0.25">
      <c r="A5787" s="56">
        <v>12748611.9</v>
      </c>
    </row>
    <row r="5788" spans="1:1" x14ac:dyDescent="0.25">
      <c r="A5788" s="56">
        <v>105081806.2</v>
      </c>
    </row>
    <row r="5789" spans="1:1" x14ac:dyDescent="0.25">
      <c r="A5789" s="56">
        <v>82874063.5</v>
      </c>
    </row>
    <row r="5790" spans="1:1" x14ac:dyDescent="0.25">
      <c r="A5790" s="56">
        <v>6521767</v>
      </c>
    </row>
    <row r="5791" spans="1:1" x14ac:dyDescent="0.25">
      <c r="A5791" s="56">
        <v>12318280.1</v>
      </c>
    </row>
    <row r="5792" spans="1:1" x14ac:dyDescent="0.25">
      <c r="A5792" s="56">
        <v>14756586.6</v>
      </c>
    </row>
    <row r="5793" spans="1:1" x14ac:dyDescent="0.25">
      <c r="A5793" s="56">
        <v>28479766.100000001</v>
      </c>
    </row>
    <row r="5794" spans="1:1" x14ac:dyDescent="0.25">
      <c r="A5794" s="56">
        <v>4036695</v>
      </c>
    </row>
    <row r="5795" spans="1:1" x14ac:dyDescent="0.25">
      <c r="A5795" s="56">
        <v>30249159.199999999</v>
      </c>
    </row>
    <row r="5796" spans="1:1" x14ac:dyDescent="0.25">
      <c r="A5796" s="56">
        <v>3598707.3999999901</v>
      </c>
    </row>
    <row r="5797" spans="1:1" x14ac:dyDescent="0.25">
      <c r="A5797" s="56">
        <v>36934664.799999997</v>
      </c>
    </row>
    <row r="5798" spans="1:1" x14ac:dyDescent="0.25">
      <c r="A5798" s="56">
        <v>85065306.099999905</v>
      </c>
    </row>
    <row r="5799" spans="1:1" x14ac:dyDescent="0.25">
      <c r="A5799" s="56">
        <v>42733294.5</v>
      </c>
    </row>
    <row r="5800" spans="1:1" x14ac:dyDescent="0.25">
      <c r="A5800" s="56">
        <v>22714240.199999999</v>
      </c>
    </row>
    <row r="5801" spans="1:1" x14ac:dyDescent="0.25">
      <c r="A5801" s="56">
        <v>19459340</v>
      </c>
    </row>
    <row r="5802" spans="1:1" x14ac:dyDescent="0.25">
      <c r="A5802" s="56">
        <v>5606111.6999999899</v>
      </c>
    </row>
    <row r="5803" spans="1:1" x14ac:dyDescent="0.25">
      <c r="A5803" s="56">
        <v>23379406.399999999</v>
      </c>
    </row>
    <row r="5804" spans="1:1" x14ac:dyDescent="0.25">
      <c r="A5804" s="56">
        <v>0</v>
      </c>
    </row>
    <row r="5805" spans="1:1" x14ac:dyDescent="0.25">
      <c r="A5805" s="56">
        <v>120430160.8</v>
      </c>
    </row>
    <row r="5806" spans="1:1" x14ac:dyDescent="0.25">
      <c r="A5806" s="56">
        <v>77500913</v>
      </c>
    </row>
    <row r="5807" spans="1:1" x14ac:dyDescent="0.25">
      <c r="A5807" s="56">
        <v>205908967.69999999</v>
      </c>
    </row>
    <row r="5808" spans="1:1" x14ac:dyDescent="0.25">
      <c r="A5808" s="56">
        <v>0</v>
      </c>
    </row>
    <row r="5809" spans="1:1" x14ac:dyDescent="0.25">
      <c r="A5809" s="56">
        <v>3409400.4</v>
      </c>
    </row>
    <row r="5810" spans="1:1" x14ac:dyDescent="0.25">
      <c r="A5810" s="56">
        <v>7547605.7999999998</v>
      </c>
    </row>
    <row r="5811" spans="1:1" x14ac:dyDescent="0.25">
      <c r="A5811" s="56">
        <v>8787622.8999999892</v>
      </c>
    </row>
    <row r="5812" spans="1:1" x14ac:dyDescent="0.25">
      <c r="A5812" s="56">
        <v>0</v>
      </c>
    </row>
    <row r="5813" spans="1:1" x14ac:dyDescent="0.25">
      <c r="A5813" s="56">
        <v>277017641.39999998</v>
      </c>
    </row>
    <row r="5814" spans="1:1" x14ac:dyDescent="0.25">
      <c r="A5814" s="56">
        <v>786862.8</v>
      </c>
    </row>
    <row r="5815" spans="1:1" x14ac:dyDescent="0.25">
      <c r="A5815" s="56">
        <v>24945933.800000001</v>
      </c>
    </row>
    <row r="5816" spans="1:1" x14ac:dyDescent="0.25">
      <c r="A5816" s="56">
        <v>107948735.90000001</v>
      </c>
    </row>
    <row r="5817" spans="1:1" x14ac:dyDescent="0.25">
      <c r="A5817" s="56">
        <v>15841648.5</v>
      </c>
    </row>
    <row r="5818" spans="1:1" x14ac:dyDescent="0.25">
      <c r="A5818" s="56">
        <v>38455934.700000003</v>
      </c>
    </row>
    <row r="5819" spans="1:1" x14ac:dyDescent="0.25">
      <c r="A5819" s="56">
        <v>86504677.400000006</v>
      </c>
    </row>
    <row r="5820" spans="1:1" x14ac:dyDescent="0.25">
      <c r="A5820" s="56">
        <v>59186760.700000003</v>
      </c>
    </row>
    <row r="5821" spans="1:1" x14ac:dyDescent="0.25">
      <c r="A5821" s="56">
        <v>11210501.800000001</v>
      </c>
    </row>
    <row r="5822" spans="1:1" x14ac:dyDescent="0.25">
      <c r="A5822" s="56">
        <v>54768149.700000003</v>
      </c>
    </row>
    <row r="5823" spans="1:1" x14ac:dyDescent="0.25">
      <c r="A5823" s="56">
        <v>67511106.599999905</v>
      </c>
    </row>
    <row r="5824" spans="1:1" x14ac:dyDescent="0.25">
      <c r="A5824" s="56">
        <v>46215072.899999999</v>
      </c>
    </row>
    <row r="5825" spans="1:1" x14ac:dyDescent="0.25">
      <c r="A5825" s="56">
        <v>159299571.09999999</v>
      </c>
    </row>
    <row r="5826" spans="1:1" x14ac:dyDescent="0.25">
      <c r="A5826" s="56">
        <v>1890445.2</v>
      </c>
    </row>
    <row r="5827" spans="1:1" x14ac:dyDescent="0.25">
      <c r="A5827" s="56">
        <v>136048519.30000001</v>
      </c>
    </row>
    <row r="5828" spans="1:1" x14ac:dyDescent="0.25">
      <c r="A5828" s="56">
        <v>11877595.5</v>
      </c>
    </row>
    <row r="5829" spans="1:1" x14ac:dyDescent="0.25">
      <c r="A5829" s="56">
        <v>50016107.799999997</v>
      </c>
    </row>
    <row r="5830" spans="1:1" x14ac:dyDescent="0.25">
      <c r="A5830" s="56">
        <v>0</v>
      </c>
    </row>
    <row r="5831" spans="1:1" x14ac:dyDescent="0.25">
      <c r="A5831" s="56">
        <v>33943875.899999999</v>
      </c>
    </row>
    <row r="5832" spans="1:1" x14ac:dyDescent="0.25">
      <c r="A5832" s="56">
        <v>4144567.8</v>
      </c>
    </row>
    <row r="5833" spans="1:1" x14ac:dyDescent="0.25">
      <c r="A5833" s="56">
        <v>7363511.3999999901</v>
      </c>
    </row>
    <row r="5834" spans="1:1" x14ac:dyDescent="0.25">
      <c r="A5834" s="56">
        <v>3274648.2</v>
      </c>
    </row>
    <row r="5835" spans="1:1" x14ac:dyDescent="0.25">
      <c r="A5835" s="56">
        <v>23434730.600000001</v>
      </c>
    </row>
    <row r="5836" spans="1:1" x14ac:dyDescent="0.25">
      <c r="A5836" s="56">
        <v>120390425.09999999</v>
      </c>
    </row>
    <row r="5837" spans="1:1" x14ac:dyDescent="0.25">
      <c r="A5837" s="56">
        <v>3862308</v>
      </c>
    </row>
    <row r="5838" spans="1:1" x14ac:dyDescent="0.25">
      <c r="A5838" s="56">
        <v>786862.8</v>
      </c>
    </row>
    <row r="5839" spans="1:1" x14ac:dyDescent="0.25">
      <c r="A5839" s="56">
        <v>0</v>
      </c>
    </row>
    <row r="5840" spans="1:1" x14ac:dyDescent="0.25">
      <c r="A5840" s="56">
        <v>8726774.3000000007</v>
      </c>
    </row>
    <row r="5841" spans="1:1" x14ac:dyDescent="0.25">
      <c r="A5841" s="56">
        <v>23457300.600000001</v>
      </c>
    </row>
    <row r="5842" spans="1:1" x14ac:dyDescent="0.25">
      <c r="A5842" s="56">
        <v>112024254.7</v>
      </c>
    </row>
    <row r="5843" spans="1:1" x14ac:dyDescent="0.25">
      <c r="A5843" s="56">
        <v>58739558.899999999</v>
      </c>
    </row>
    <row r="5844" spans="1:1" x14ac:dyDescent="0.25">
      <c r="A5844" s="56">
        <v>6191151.6999999899</v>
      </c>
    </row>
    <row r="5845" spans="1:1" x14ac:dyDescent="0.25">
      <c r="A5845" s="56">
        <v>53574386.100000001</v>
      </c>
    </row>
    <row r="5846" spans="1:1" x14ac:dyDescent="0.25">
      <c r="A5846" s="56">
        <v>21494949.399999999</v>
      </c>
    </row>
    <row r="5847" spans="1:1" x14ac:dyDescent="0.25">
      <c r="A5847" s="56">
        <v>13950729.199999999</v>
      </c>
    </row>
    <row r="5848" spans="1:1" x14ac:dyDescent="0.25">
      <c r="A5848" s="56">
        <v>21243379.800000001</v>
      </c>
    </row>
    <row r="5849" spans="1:1" x14ac:dyDescent="0.25">
      <c r="A5849" s="56">
        <v>0</v>
      </c>
    </row>
    <row r="5850" spans="1:1" x14ac:dyDescent="0.25">
      <c r="A5850" s="56">
        <v>57394492.200000003</v>
      </c>
    </row>
    <row r="5851" spans="1:1" x14ac:dyDescent="0.25">
      <c r="A5851" s="56">
        <v>148295078.40000001</v>
      </c>
    </row>
    <row r="5852" spans="1:1" x14ac:dyDescent="0.25">
      <c r="A5852" s="56">
        <v>16056769.699999999</v>
      </c>
    </row>
    <row r="5853" spans="1:1" x14ac:dyDescent="0.25">
      <c r="A5853" s="56">
        <v>343889079.10000002</v>
      </c>
    </row>
    <row r="5854" spans="1:1" x14ac:dyDescent="0.25">
      <c r="A5854" s="56">
        <v>21802089.300000001</v>
      </c>
    </row>
    <row r="5855" spans="1:1" x14ac:dyDescent="0.25">
      <c r="A5855" s="56">
        <v>2477086.2000000002</v>
      </c>
    </row>
    <row r="5856" spans="1:1" x14ac:dyDescent="0.25">
      <c r="A5856" s="56">
        <v>18767975.800000001</v>
      </c>
    </row>
    <row r="5857" spans="1:1" x14ac:dyDescent="0.25">
      <c r="A5857" s="56">
        <v>29839075.899999999</v>
      </c>
    </row>
    <row r="5858" spans="1:1" x14ac:dyDescent="0.25">
      <c r="A5858" s="56">
        <v>12263963</v>
      </c>
    </row>
    <row r="5859" spans="1:1" x14ac:dyDescent="0.25">
      <c r="A5859" s="56">
        <v>9980854.6999999899</v>
      </c>
    </row>
    <row r="5860" spans="1:1" x14ac:dyDescent="0.25">
      <c r="A5860" s="56">
        <v>6342951</v>
      </c>
    </row>
    <row r="5861" spans="1:1" x14ac:dyDescent="0.25">
      <c r="A5861" s="56">
        <v>65605107.799999997</v>
      </c>
    </row>
    <row r="5862" spans="1:1" x14ac:dyDescent="0.25">
      <c r="A5862" s="56">
        <v>8877233.7999999896</v>
      </c>
    </row>
    <row r="5863" spans="1:1" x14ac:dyDescent="0.25">
      <c r="A5863" s="56">
        <v>11646208.199999999</v>
      </c>
    </row>
    <row r="5864" spans="1:1" x14ac:dyDescent="0.25">
      <c r="A5864" s="56">
        <v>4595354.1999999899</v>
      </c>
    </row>
    <row r="5865" spans="1:1" x14ac:dyDescent="0.25">
      <c r="A5865" s="56">
        <v>106966088.5</v>
      </c>
    </row>
    <row r="5866" spans="1:1" x14ac:dyDescent="0.25">
      <c r="A5866" s="56">
        <v>62475500.399999902</v>
      </c>
    </row>
    <row r="5867" spans="1:1" x14ac:dyDescent="0.25">
      <c r="A5867" s="56">
        <v>750941005.70000005</v>
      </c>
    </row>
    <row r="5868" spans="1:1" x14ac:dyDescent="0.25">
      <c r="A5868" s="56">
        <v>37255402.499999903</v>
      </c>
    </row>
    <row r="5869" spans="1:1" x14ac:dyDescent="0.25">
      <c r="A5869" s="56">
        <v>222058855.40000001</v>
      </c>
    </row>
    <row r="5870" spans="1:1" x14ac:dyDescent="0.25">
      <c r="A5870" s="56">
        <v>350294744.10000002</v>
      </c>
    </row>
    <row r="5871" spans="1:1" x14ac:dyDescent="0.25">
      <c r="A5871" s="56">
        <v>13551717</v>
      </c>
    </row>
    <row r="5872" spans="1:1" x14ac:dyDescent="0.25">
      <c r="A5872" s="56">
        <v>23111766.600000001</v>
      </c>
    </row>
    <row r="5873" spans="1:1" x14ac:dyDescent="0.25">
      <c r="A5873" s="56">
        <v>2812263.6</v>
      </c>
    </row>
    <row r="5874" spans="1:1" x14ac:dyDescent="0.25">
      <c r="A5874" s="56">
        <v>93744993.900000006</v>
      </c>
    </row>
    <row r="5875" spans="1:1" x14ac:dyDescent="0.25">
      <c r="A5875" s="56">
        <v>15112176.699999999</v>
      </c>
    </row>
    <row r="5876" spans="1:1" x14ac:dyDescent="0.25">
      <c r="A5876" s="56">
        <v>25303554.300000001</v>
      </c>
    </row>
    <row r="5877" spans="1:1" x14ac:dyDescent="0.25">
      <c r="A5877" s="56">
        <v>59357358.799999997</v>
      </c>
    </row>
    <row r="5878" spans="1:1" x14ac:dyDescent="0.25">
      <c r="A5878" s="56">
        <v>33946838.200000003</v>
      </c>
    </row>
    <row r="5879" spans="1:1" x14ac:dyDescent="0.25">
      <c r="A5879" s="56">
        <v>29613609.100000001</v>
      </c>
    </row>
    <row r="5880" spans="1:1" x14ac:dyDescent="0.25">
      <c r="A5880" s="56">
        <v>2016957.6</v>
      </c>
    </row>
    <row r="5881" spans="1:1" x14ac:dyDescent="0.25">
      <c r="A5881" s="56">
        <v>19563572.199999999</v>
      </c>
    </row>
    <row r="5882" spans="1:1" x14ac:dyDescent="0.25">
      <c r="A5882" s="56">
        <v>186994718.5</v>
      </c>
    </row>
    <row r="5883" spans="1:1" x14ac:dyDescent="0.25">
      <c r="A5883" s="56">
        <v>22993886.5</v>
      </c>
    </row>
    <row r="5884" spans="1:1" x14ac:dyDescent="0.25">
      <c r="A5884" s="56">
        <v>55333975.299999997</v>
      </c>
    </row>
    <row r="5885" spans="1:1" x14ac:dyDescent="0.25">
      <c r="A5885" s="56">
        <v>20813313.399999999</v>
      </c>
    </row>
    <row r="5886" spans="1:1" x14ac:dyDescent="0.25">
      <c r="A5886" s="56">
        <v>19180769.399999999</v>
      </c>
    </row>
    <row r="5887" spans="1:1" x14ac:dyDescent="0.25">
      <c r="A5887" s="56">
        <v>30257274.399999999</v>
      </c>
    </row>
    <row r="5888" spans="1:1" x14ac:dyDescent="0.25">
      <c r="A5888" s="56">
        <v>20505626.199999999</v>
      </c>
    </row>
    <row r="5889" spans="1:1" x14ac:dyDescent="0.25">
      <c r="A5889" s="56">
        <v>66454313.099999897</v>
      </c>
    </row>
    <row r="5890" spans="1:1" x14ac:dyDescent="0.25">
      <c r="A5890" s="56">
        <v>24626087</v>
      </c>
    </row>
    <row r="5891" spans="1:1" x14ac:dyDescent="0.25">
      <c r="A5891" s="56">
        <v>19972175</v>
      </c>
    </row>
    <row r="5892" spans="1:1" x14ac:dyDescent="0.25">
      <c r="A5892" s="56">
        <v>0</v>
      </c>
    </row>
    <row r="5893" spans="1:1" x14ac:dyDescent="0.25">
      <c r="A5893" s="56">
        <v>45511296.399999999</v>
      </c>
    </row>
    <row r="5894" spans="1:1" x14ac:dyDescent="0.25">
      <c r="A5894" s="56">
        <v>9371292.9000000004</v>
      </c>
    </row>
    <row r="5895" spans="1:1" x14ac:dyDescent="0.25">
      <c r="A5895" s="56">
        <v>0</v>
      </c>
    </row>
    <row r="5896" spans="1:1" x14ac:dyDescent="0.25">
      <c r="A5896" s="56">
        <v>25167701</v>
      </c>
    </row>
    <row r="5897" spans="1:1" x14ac:dyDescent="0.25">
      <c r="A5897" s="56">
        <v>267987483.69999999</v>
      </c>
    </row>
    <row r="5898" spans="1:1" x14ac:dyDescent="0.25">
      <c r="A5898" s="56">
        <v>16314223.199999999</v>
      </c>
    </row>
    <row r="5899" spans="1:1" x14ac:dyDescent="0.25">
      <c r="A5899" s="56">
        <v>18681285.399999999</v>
      </c>
    </row>
    <row r="5900" spans="1:1" x14ac:dyDescent="0.25">
      <c r="A5900" s="56">
        <v>0</v>
      </c>
    </row>
    <row r="5901" spans="1:1" x14ac:dyDescent="0.25">
      <c r="A5901" s="56">
        <v>12725162.9</v>
      </c>
    </row>
    <row r="5902" spans="1:1" x14ac:dyDescent="0.25">
      <c r="A5902" s="56">
        <v>0</v>
      </c>
    </row>
    <row r="5903" spans="1:1" x14ac:dyDescent="0.25">
      <c r="A5903" s="56">
        <v>6726300.4999999898</v>
      </c>
    </row>
    <row r="5904" spans="1:1" x14ac:dyDescent="0.25">
      <c r="A5904" s="56">
        <v>0</v>
      </c>
    </row>
    <row r="5905" spans="1:1" x14ac:dyDescent="0.25">
      <c r="A5905" s="56">
        <v>41413820.100000001</v>
      </c>
    </row>
    <row r="5906" spans="1:1" x14ac:dyDescent="0.25">
      <c r="A5906" s="56">
        <v>102370772.59999999</v>
      </c>
    </row>
    <row r="5907" spans="1:1" x14ac:dyDescent="0.25">
      <c r="A5907" s="56">
        <v>14933192.5</v>
      </c>
    </row>
    <row r="5908" spans="1:1" x14ac:dyDescent="0.25">
      <c r="A5908" s="56">
        <v>30389936.199999999</v>
      </c>
    </row>
    <row r="5909" spans="1:1" x14ac:dyDescent="0.25">
      <c r="A5909" s="56">
        <v>0</v>
      </c>
    </row>
    <row r="5910" spans="1:1" x14ac:dyDescent="0.25">
      <c r="A5910" s="56">
        <v>33626232.700000003</v>
      </c>
    </row>
    <row r="5911" spans="1:1" x14ac:dyDescent="0.25">
      <c r="A5911" s="56">
        <v>116742950.3</v>
      </c>
    </row>
    <row r="5912" spans="1:1" x14ac:dyDescent="0.25">
      <c r="A5912" s="56">
        <v>3115431.6</v>
      </c>
    </row>
    <row r="5913" spans="1:1" x14ac:dyDescent="0.25">
      <c r="A5913" s="56">
        <v>7927761.8999999901</v>
      </c>
    </row>
    <row r="5914" spans="1:1" x14ac:dyDescent="0.25">
      <c r="A5914" s="56">
        <v>11441184.300000001</v>
      </c>
    </row>
    <row r="5915" spans="1:1" x14ac:dyDescent="0.25">
      <c r="A5915" s="56">
        <v>140746158.90000001</v>
      </c>
    </row>
    <row r="5916" spans="1:1" x14ac:dyDescent="0.25">
      <c r="A5916" s="56">
        <v>33556382.200000003</v>
      </c>
    </row>
    <row r="5917" spans="1:1" x14ac:dyDescent="0.25">
      <c r="A5917" s="56">
        <v>96490644.799999997</v>
      </c>
    </row>
    <row r="5918" spans="1:1" x14ac:dyDescent="0.25">
      <c r="A5918" s="56">
        <v>19701533</v>
      </c>
    </row>
    <row r="5919" spans="1:1" x14ac:dyDescent="0.25">
      <c r="A5919" s="56">
        <v>14368528</v>
      </c>
    </row>
    <row r="5920" spans="1:1" x14ac:dyDescent="0.25">
      <c r="A5920" s="56">
        <v>46328354.399999999</v>
      </c>
    </row>
    <row r="5921" spans="1:1" x14ac:dyDescent="0.25">
      <c r="A5921" s="56">
        <v>58917666.299999997</v>
      </c>
    </row>
    <row r="5922" spans="1:1" x14ac:dyDescent="0.25">
      <c r="A5922" s="56">
        <v>13074630.699999999</v>
      </c>
    </row>
    <row r="5923" spans="1:1" x14ac:dyDescent="0.25">
      <c r="A5923" s="56">
        <v>124269166</v>
      </c>
    </row>
    <row r="5924" spans="1:1" x14ac:dyDescent="0.25">
      <c r="A5924" s="56">
        <v>4792393.8</v>
      </c>
    </row>
    <row r="5925" spans="1:1" x14ac:dyDescent="0.25">
      <c r="A5925" s="56">
        <v>165042182</v>
      </c>
    </row>
    <row r="5926" spans="1:1" x14ac:dyDescent="0.25">
      <c r="A5926" s="56">
        <v>8128923.5999999996</v>
      </c>
    </row>
    <row r="5927" spans="1:1" x14ac:dyDescent="0.25">
      <c r="A5927" s="56">
        <v>79941449.299999893</v>
      </c>
    </row>
    <row r="5928" spans="1:1" x14ac:dyDescent="0.25">
      <c r="A5928" s="56">
        <v>60234881.200000003</v>
      </c>
    </row>
    <row r="5929" spans="1:1" x14ac:dyDescent="0.25">
      <c r="A5929" s="56">
        <v>66289006.099999897</v>
      </c>
    </row>
    <row r="5930" spans="1:1" x14ac:dyDescent="0.25">
      <c r="A5930" s="56">
        <v>54333001.100000001</v>
      </c>
    </row>
    <row r="5931" spans="1:1" x14ac:dyDescent="0.25">
      <c r="A5931" s="56">
        <v>4998949.3999999901</v>
      </c>
    </row>
    <row r="5932" spans="1:1" x14ac:dyDescent="0.25">
      <c r="A5932" s="56">
        <v>19043769.600000001</v>
      </c>
    </row>
    <row r="5933" spans="1:1" x14ac:dyDescent="0.25">
      <c r="A5933" s="56">
        <v>0</v>
      </c>
    </row>
    <row r="5934" spans="1:1" x14ac:dyDescent="0.25">
      <c r="A5934" s="56">
        <v>9941763.3999999892</v>
      </c>
    </row>
    <row r="5935" spans="1:1" x14ac:dyDescent="0.25">
      <c r="A5935" s="56">
        <v>7728961.5999999996</v>
      </c>
    </row>
    <row r="5936" spans="1:1" x14ac:dyDescent="0.25">
      <c r="A5936" s="56">
        <v>5895068.8999999901</v>
      </c>
    </row>
    <row r="5937" spans="1:1" x14ac:dyDescent="0.25">
      <c r="A5937" s="56">
        <v>484227635.10000002</v>
      </c>
    </row>
    <row r="5938" spans="1:1" x14ac:dyDescent="0.25">
      <c r="A5938" s="56">
        <v>5305607.3999999901</v>
      </c>
    </row>
    <row r="5939" spans="1:1" x14ac:dyDescent="0.25">
      <c r="A5939" s="56">
        <v>44535174.200000003</v>
      </c>
    </row>
    <row r="5940" spans="1:1" x14ac:dyDescent="0.25">
      <c r="A5940" s="56">
        <v>86028989.5</v>
      </c>
    </row>
    <row r="5941" spans="1:1" x14ac:dyDescent="0.25">
      <c r="A5941" s="56">
        <v>8852200.3000000007</v>
      </c>
    </row>
    <row r="5942" spans="1:1" x14ac:dyDescent="0.25">
      <c r="A5942" s="56">
        <v>42140051.299999997</v>
      </c>
    </row>
    <row r="5943" spans="1:1" x14ac:dyDescent="0.25">
      <c r="A5943" s="56">
        <v>27051954.100000001</v>
      </c>
    </row>
    <row r="5944" spans="1:1" x14ac:dyDescent="0.25">
      <c r="A5944" s="56">
        <v>9083842.5999999996</v>
      </c>
    </row>
    <row r="5945" spans="1:1" x14ac:dyDescent="0.25">
      <c r="A5945" s="56">
        <v>135374582.09999999</v>
      </c>
    </row>
    <row r="5946" spans="1:1" x14ac:dyDescent="0.25">
      <c r="A5946" s="56">
        <v>10190412.699999999</v>
      </c>
    </row>
    <row r="5947" spans="1:1" x14ac:dyDescent="0.25">
      <c r="A5947" s="56">
        <v>5560869.5999999996</v>
      </c>
    </row>
    <row r="5948" spans="1:1" x14ac:dyDescent="0.25">
      <c r="A5948" s="56">
        <v>254905728.19999999</v>
      </c>
    </row>
    <row r="5949" spans="1:1" x14ac:dyDescent="0.25">
      <c r="A5949" s="56">
        <v>205682524.30000001</v>
      </c>
    </row>
    <row r="5950" spans="1:1" x14ac:dyDescent="0.25">
      <c r="A5950" s="56">
        <v>236105612.69999999</v>
      </c>
    </row>
    <row r="5951" spans="1:1" x14ac:dyDescent="0.25">
      <c r="A5951" s="56">
        <v>148024656.19999999</v>
      </c>
    </row>
    <row r="5952" spans="1:1" x14ac:dyDescent="0.25">
      <c r="A5952" s="56">
        <v>6347785.5</v>
      </c>
    </row>
    <row r="5953" spans="1:1" x14ac:dyDescent="0.25">
      <c r="A5953" s="56">
        <v>112967567.5</v>
      </c>
    </row>
    <row r="5954" spans="1:1" x14ac:dyDescent="0.25">
      <c r="A5954" s="56">
        <v>10318646.699999999</v>
      </c>
    </row>
    <row r="5955" spans="1:1" x14ac:dyDescent="0.25">
      <c r="A5955" s="56">
        <v>56812851.499999903</v>
      </c>
    </row>
    <row r="5956" spans="1:1" x14ac:dyDescent="0.25">
      <c r="A5956" s="56">
        <v>75157418.599999905</v>
      </c>
    </row>
    <row r="5957" spans="1:1" x14ac:dyDescent="0.25">
      <c r="A5957" s="56">
        <v>38870918.5</v>
      </c>
    </row>
    <row r="5958" spans="1:1" x14ac:dyDescent="0.25">
      <c r="A5958" s="56">
        <v>44041795.200000003</v>
      </c>
    </row>
    <row r="5959" spans="1:1" x14ac:dyDescent="0.25">
      <c r="A5959" s="56">
        <v>21366888.5</v>
      </c>
    </row>
    <row r="5960" spans="1:1" x14ac:dyDescent="0.25">
      <c r="A5960" s="56">
        <v>14052752.4</v>
      </c>
    </row>
    <row r="5961" spans="1:1" x14ac:dyDescent="0.25">
      <c r="A5961" s="56">
        <v>2701075.8</v>
      </c>
    </row>
    <row r="5962" spans="1:1" x14ac:dyDescent="0.25">
      <c r="A5962" s="56">
        <v>5617663.7999999998</v>
      </c>
    </row>
    <row r="5963" spans="1:1" x14ac:dyDescent="0.25">
      <c r="A5963" s="56">
        <v>85301368.700000003</v>
      </c>
    </row>
    <row r="5964" spans="1:1" x14ac:dyDescent="0.25">
      <c r="A5964" s="56">
        <v>60402722.599999897</v>
      </c>
    </row>
    <row r="5965" spans="1:1" x14ac:dyDescent="0.25">
      <c r="A5965" s="56">
        <v>46023658.399999999</v>
      </c>
    </row>
    <row r="5966" spans="1:1" x14ac:dyDescent="0.25">
      <c r="A5966" s="56">
        <v>6624944.5999999996</v>
      </c>
    </row>
    <row r="5967" spans="1:1" x14ac:dyDescent="0.25">
      <c r="A5967" s="56">
        <v>3094969.4</v>
      </c>
    </row>
    <row r="5968" spans="1:1" x14ac:dyDescent="0.25">
      <c r="A5968" s="56">
        <v>189856349</v>
      </c>
    </row>
    <row r="5969" spans="1:1" x14ac:dyDescent="0.25">
      <c r="A5969" s="56">
        <v>9309415.8999999892</v>
      </c>
    </row>
    <row r="5970" spans="1:1" x14ac:dyDescent="0.25">
      <c r="A5970" s="56">
        <v>248497606.40000001</v>
      </c>
    </row>
    <row r="5971" spans="1:1" x14ac:dyDescent="0.25">
      <c r="A5971" s="56">
        <v>7339068.5999999996</v>
      </c>
    </row>
    <row r="5972" spans="1:1" x14ac:dyDescent="0.25">
      <c r="A5972" s="56">
        <v>33847100.299999997</v>
      </c>
    </row>
    <row r="5973" spans="1:1" x14ac:dyDescent="0.25">
      <c r="A5973" s="56">
        <v>52409881</v>
      </c>
    </row>
    <row r="5974" spans="1:1" x14ac:dyDescent="0.25">
      <c r="A5974" s="56">
        <v>192737038.69999999</v>
      </c>
    </row>
    <row r="5975" spans="1:1" x14ac:dyDescent="0.25">
      <c r="A5975" s="56">
        <v>0</v>
      </c>
    </row>
    <row r="5976" spans="1:1" x14ac:dyDescent="0.25">
      <c r="A5976" s="56">
        <v>50501973</v>
      </c>
    </row>
    <row r="5977" spans="1:1" x14ac:dyDescent="0.25">
      <c r="A5977" s="56">
        <v>563557927.79999995</v>
      </c>
    </row>
    <row r="5978" spans="1:1" x14ac:dyDescent="0.25">
      <c r="A5978" s="56">
        <v>217347204.59999999</v>
      </c>
    </row>
    <row r="5979" spans="1:1" x14ac:dyDescent="0.25">
      <c r="A5979" s="56">
        <v>42245368.5</v>
      </c>
    </row>
    <row r="5980" spans="1:1" x14ac:dyDescent="0.25">
      <c r="A5980" s="56">
        <v>0</v>
      </c>
    </row>
    <row r="5981" spans="1:1" x14ac:dyDescent="0.25">
      <c r="A5981" s="56">
        <v>82658113.299999997</v>
      </c>
    </row>
    <row r="5982" spans="1:1" x14ac:dyDescent="0.25">
      <c r="A5982" s="56">
        <v>779749838.60000002</v>
      </c>
    </row>
    <row r="5983" spans="1:1" x14ac:dyDescent="0.25">
      <c r="A5983" s="56">
        <v>8909377.6999999899</v>
      </c>
    </row>
    <row r="5984" spans="1:1" x14ac:dyDescent="0.25">
      <c r="A5984" s="56">
        <v>8119559.9999999898</v>
      </c>
    </row>
    <row r="5985" spans="1:1" x14ac:dyDescent="0.25">
      <c r="A5985" s="56">
        <v>17518513.800000001</v>
      </c>
    </row>
    <row r="5986" spans="1:1" x14ac:dyDescent="0.25">
      <c r="A5986" s="56">
        <v>15488436.4</v>
      </c>
    </row>
    <row r="5987" spans="1:1" x14ac:dyDescent="0.25">
      <c r="A5987" s="56">
        <v>4090024.8</v>
      </c>
    </row>
    <row r="5988" spans="1:1" x14ac:dyDescent="0.25">
      <c r="A5988" s="56">
        <v>15383455.800000001</v>
      </c>
    </row>
    <row r="5989" spans="1:1" x14ac:dyDescent="0.25">
      <c r="A5989" s="56">
        <v>19746401.399999999</v>
      </c>
    </row>
    <row r="5990" spans="1:1" x14ac:dyDescent="0.25">
      <c r="A5990" s="56">
        <v>26241566.100000001</v>
      </c>
    </row>
    <row r="5991" spans="1:1" x14ac:dyDescent="0.25">
      <c r="A5991" s="56">
        <v>794912474.79999995</v>
      </c>
    </row>
    <row r="5992" spans="1:1" x14ac:dyDescent="0.25">
      <c r="A5992" s="56">
        <v>81119287.400000006</v>
      </c>
    </row>
    <row r="5993" spans="1:1" x14ac:dyDescent="0.25">
      <c r="A5993" s="56">
        <v>18572887.899999999</v>
      </c>
    </row>
    <row r="5994" spans="1:1" x14ac:dyDescent="0.25">
      <c r="A5994" s="56">
        <v>35306255.200000003</v>
      </c>
    </row>
    <row r="5995" spans="1:1" x14ac:dyDescent="0.25">
      <c r="A5995" s="56">
        <v>8623278.5</v>
      </c>
    </row>
    <row r="5996" spans="1:1" x14ac:dyDescent="0.25">
      <c r="A5996" s="56">
        <v>13277858.699999999</v>
      </c>
    </row>
    <row r="5997" spans="1:1" x14ac:dyDescent="0.25">
      <c r="A5997" s="56">
        <v>35117331.700000003</v>
      </c>
    </row>
    <row r="5998" spans="1:1" x14ac:dyDescent="0.25">
      <c r="A5998" s="56">
        <v>21704489.199999999</v>
      </c>
    </row>
    <row r="5999" spans="1:1" x14ac:dyDescent="0.25">
      <c r="A5999" s="56">
        <v>81352117.799999997</v>
      </c>
    </row>
    <row r="6000" spans="1:1" x14ac:dyDescent="0.25">
      <c r="A6000" s="56">
        <v>0</v>
      </c>
    </row>
    <row r="6001" spans="1:1" x14ac:dyDescent="0.25">
      <c r="A6001" s="56">
        <v>62239468.399999999</v>
      </c>
    </row>
    <row r="6002" spans="1:1" x14ac:dyDescent="0.25">
      <c r="A6002" s="56">
        <v>91170278.899999902</v>
      </c>
    </row>
    <row r="6003" spans="1:1" x14ac:dyDescent="0.25">
      <c r="A6003" s="56">
        <v>43388494.5</v>
      </c>
    </row>
    <row r="6004" spans="1:1" x14ac:dyDescent="0.25">
      <c r="A6004" s="56">
        <v>11480293.800000001</v>
      </c>
    </row>
    <row r="6005" spans="1:1" x14ac:dyDescent="0.25">
      <c r="A6005" s="56">
        <v>8047079.3999999901</v>
      </c>
    </row>
    <row r="6006" spans="1:1" x14ac:dyDescent="0.25">
      <c r="A6006" s="56">
        <v>12111628.199999999</v>
      </c>
    </row>
    <row r="6007" spans="1:1" x14ac:dyDescent="0.25">
      <c r="A6007" s="56">
        <v>16423475.9</v>
      </c>
    </row>
    <row r="6008" spans="1:1" x14ac:dyDescent="0.25">
      <c r="A6008" s="56">
        <v>44570.400000000001</v>
      </c>
    </row>
    <row r="6009" spans="1:1" x14ac:dyDescent="0.25">
      <c r="A6009" s="56">
        <v>13901990.6</v>
      </c>
    </row>
    <row r="6010" spans="1:1" x14ac:dyDescent="0.25">
      <c r="A6010" s="56">
        <v>20158339.600000001</v>
      </c>
    </row>
    <row r="6011" spans="1:1" x14ac:dyDescent="0.25">
      <c r="A6011" s="56">
        <v>63428374.200000003</v>
      </c>
    </row>
    <row r="6012" spans="1:1" x14ac:dyDescent="0.25">
      <c r="A6012" s="56">
        <v>0</v>
      </c>
    </row>
    <row r="6013" spans="1:1" x14ac:dyDescent="0.25">
      <c r="A6013" s="56">
        <v>0</v>
      </c>
    </row>
    <row r="6014" spans="1:1" x14ac:dyDescent="0.25">
      <c r="A6014" s="56">
        <v>7124295.4999999898</v>
      </c>
    </row>
    <row r="6015" spans="1:1" x14ac:dyDescent="0.25">
      <c r="A6015" s="56">
        <v>94153607.799999997</v>
      </c>
    </row>
    <row r="6016" spans="1:1" x14ac:dyDescent="0.25">
      <c r="A6016" s="56">
        <v>10379291.4</v>
      </c>
    </row>
    <row r="6017" spans="1:1" x14ac:dyDescent="0.25">
      <c r="A6017" s="56">
        <v>6435198</v>
      </c>
    </row>
    <row r="6018" spans="1:1" x14ac:dyDescent="0.25">
      <c r="A6018" s="56">
        <v>4122052.2</v>
      </c>
    </row>
    <row r="6019" spans="1:1" x14ac:dyDescent="0.25">
      <c r="A6019" s="56">
        <v>26493487.399999999</v>
      </c>
    </row>
    <row r="6020" spans="1:1" x14ac:dyDescent="0.25">
      <c r="A6020" s="56">
        <v>79183618.399999902</v>
      </c>
    </row>
    <row r="6021" spans="1:1" x14ac:dyDescent="0.25">
      <c r="A6021" s="56">
        <v>69796452.200000003</v>
      </c>
    </row>
    <row r="6022" spans="1:1" x14ac:dyDescent="0.25">
      <c r="A6022" s="56">
        <v>55419786.5</v>
      </c>
    </row>
    <row r="6023" spans="1:1" x14ac:dyDescent="0.25">
      <c r="A6023" s="56">
        <v>3399915.8</v>
      </c>
    </row>
    <row r="6024" spans="1:1" x14ac:dyDescent="0.25">
      <c r="A6024" s="56">
        <v>117876647.90000001</v>
      </c>
    </row>
    <row r="6025" spans="1:1" x14ac:dyDescent="0.25">
      <c r="A6025" s="56">
        <v>43996855.899999999</v>
      </c>
    </row>
    <row r="6026" spans="1:1" x14ac:dyDescent="0.25">
      <c r="A6026" s="56">
        <v>244136060.69999999</v>
      </c>
    </row>
    <row r="6027" spans="1:1" x14ac:dyDescent="0.25">
      <c r="A6027" s="56">
        <v>210702367.19999999</v>
      </c>
    </row>
    <row r="6028" spans="1:1" x14ac:dyDescent="0.25">
      <c r="A6028" s="56">
        <v>0</v>
      </c>
    </row>
    <row r="6029" spans="1:1" x14ac:dyDescent="0.25">
      <c r="A6029" s="56">
        <v>2565836.2000000002</v>
      </c>
    </row>
    <row r="6030" spans="1:1" x14ac:dyDescent="0.25">
      <c r="A6030" s="56">
        <v>419031559.30000001</v>
      </c>
    </row>
    <row r="6031" spans="1:1" x14ac:dyDescent="0.25">
      <c r="A6031" s="56">
        <v>8402351</v>
      </c>
    </row>
    <row r="6032" spans="1:1" x14ac:dyDescent="0.25">
      <c r="A6032" s="56">
        <v>19129645.100000001</v>
      </c>
    </row>
    <row r="6033" spans="1:1" x14ac:dyDescent="0.25">
      <c r="A6033" s="56">
        <v>0</v>
      </c>
    </row>
    <row r="6034" spans="1:1" x14ac:dyDescent="0.25">
      <c r="A6034" s="56">
        <v>0</v>
      </c>
    </row>
    <row r="6035" spans="1:1" x14ac:dyDescent="0.25">
      <c r="A6035" s="56">
        <v>0</v>
      </c>
    </row>
    <row r="6036" spans="1:1" x14ac:dyDescent="0.25">
      <c r="A6036" s="56">
        <v>24227391.100000001</v>
      </c>
    </row>
    <row r="6037" spans="1:1" x14ac:dyDescent="0.25">
      <c r="A6037" s="56">
        <v>133012696.40000001</v>
      </c>
    </row>
    <row r="6038" spans="1:1" x14ac:dyDescent="0.25">
      <c r="A6038" s="56">
        <v>210137553</v>
      </c>
    </row>
    <row r="6039" spans="1:1" x14ac:dyDescent="0.25">
      <c r="A6039" s="56">
        <v>302917509.69999897</v>
      </c>
    </row>
    <row r="6040" spans="1:1" x14ac:dyDescent="0.25">
      <c r="A6040" s="56">
        <v>71422288.900000006</v>
      </c>
    </row>
    <row r="6041" spans="1:1" x14ac:dyDescent="0.25">
      <c r="A6041" s="56">
        <v>26270340.5</v>
      </c>
    </row>
    <row r="6042" spans="1:1" x14ac:dyDescent="0.25">
      <c r="A6042" s="56">
        <v>120048616.59999999</v>
      </c>
    </row>
    <row r="6043" spans="1:1" x14ac:dyDescent="0.25">
      <c r="A6043" s="56">
        <v>147100050.09999999</v>
      </c>
    </row>
    <row r="6044" spans="1:1" x14ac:dyDescent="0.25">
      <c r="A6044" s="56">
        <v>48609598.099999897</v>
      </c>
    </row>
    <row r="6045" spans="1:1" x14ac:dyDescent="0.25">
      <c r="A6045" s="56">
        <v>38501274.399999999</v>
      </c>
    </row>
    <row r="6046" spans="1:1" x14ac:dyDescent="0.25">
      <c r="A6046" s="56">
        <v>3558743</v>
      </c>
    </row>
    <row r="6047" spans="1:1" x14ac:dyDescent="0.25">
      <c r="A6047" s="56">
        <v>0</v>
      </c>
    </row>
    <row r="6048" spans="1:1" x14ac:dyDescent="0.25">
      <c r="A6048" s="56">
        <v>248310346.40000001</v>
      </c>
    </row>
    <row r="6049" spans="1:1" x14ac:dyDescent="0.25">
      <c r="A6049" s="56">
        <v>28742301.399999999</v>
      </c>
    </row>
    <row r="6050" spans="1:1" x14ac:dyDescent="0.25">
      <c r="A6050" s="56">
        <v>91458683.699999899</v>
      </c>
    </row>
    <row r="6051" spans="1:1" x14ac:dyDescent="0.25">
      <c r="A6051" s="56">
        <v>63219953.7999999</v>
      </c>
    </row>
    <row r="6052" spans="1:1" x14ac:dyDescent="0.25">
      <c r="A6052" s="56">
        <v>56194571.499999903</v>
      </c>
    </row>
    <row r="6053" spans="1:1" x14ac:dyDescent="0.25">
      <c r="A6053" s="56">
        <v>0</v>
      </c>
    </row>
    <row r="6054" spans="1:1" x14ac:dyDescent="0.25">
      <c r="A6054" s="56">
        <v>47095702.799999997</v>
      </c>
    </row>
    <row r="6055" spans="1:1" x14ac:dyDescent="0.25">
      <c r="A6055" s="56">
        <v>116820688.3</v>
      </c>
    </row>
    <row r="6056" spans="1:1" x14ac:dyDescent="0.25">
      <c r="A6056" s="56">
        <v>27493504.199999999</v>
      </c>
    </row>
    <row r="6057" spans="1:1" x14ac:dyDescent="0.25">
      <c r="A6057" s="56">
        <v>101447031.09999999</v>
      </c>
    </row>
    <row r="6058" spans="1:1" x14ac:dyDescent="0.25">
      <c r="A6058" s="56">
        <v>0</v>
      </c>
    </row>
    <row r="6059" spans="1:1" x14ac:dyDescent="0.25">
      <c r="A6059" s="56">
        <v>37950330</v>
      </c>
    </row>
    <row r="6060" spans="1:1" x14ac:dyDescent="0.25">
      <c r="A6060" s="56">
        <v>205924951.90000001</v>
      </c>
    </row>
    <row r="6061" spans="1:1" x14ac:dyDescent="0.25">
      <c r="A6061" s="56">
        <v>19053345.300000001</v>
      </c>
    </row>
    <row r="6062" spans="1:1" x14ac:dyDescent="0.25">
      <c r="A6062" s="56">
        <v>484920142.89999998</v>
      </c>
    </row>
    <row r="6063" spans="1:1" x14ac:dyDescent="0.25">
      <c r="A6063" s="56">
        <v>38121061.399999999</v>
      </c>
    </row>
    <row r="6064" spans="1:1" x14ac:dyDescent="0.25">
      <c r="A6064" s="56">
        <v>34841077.899999999</v>
      </c>
    </row>
    <row r="6065" spans="1:1" x14ac:dyDescent="0.25">
      <c r="A6065" s="56">
        <v>13959103.300000001</v>
      </c>
    </row>
    <row r="6066" spans="1:1" x14ac:dyDescent="0.25">
      <c r="A6066" s="56">
        <v>5093673.8999999901</v>
      </c>
    </row>
    <row r="6067" spans="1:1" x14ac:dyDescent="0.25">
      <c r="A6067" s="56">
        <v>18019976.5</v>
      </c>
    </row>
    <row r="6068" spans="1:1" x14ac:dyDescent="0.25">
      <c r="A6068" s="56">
        <v>6174978.5999999996</v>
      </c>
    </row>
    <row r="6069" spans="1:1" x14ac:dyDescent="0.25">
      <c r="A6069" s="56">
        <v>87768585.099999905</v>
      </c>
    </row>
    <row r="6070" spans="1:1" x14ac:dyDescent="0.25">
      <c r="A6070" s="56">
        <v>17875019.600000001</v>
      </c>
    </row>
    <row r="6071" spans="1:1" x14ac:dyDescent="0.25">
      <c r="A6071" s="56">
        <v>129710826.09999999</v>
      </c>
    </row>
    <row r="6072" spans="1:1" x14ac:dyDescent="0.25">
      <c r="A6072" s="56">
        <v>22296739.899999999</v>
      </c>
    </row>
    <row r="6073" spans="1:1" x14ac:dyDescent="0.25">
      <c r="A6073" s="56">
        <v>10513389.6</v>
      </c>
    </row>
    <row r="6074" spans="1:1" x14ac:dyDescent="0.25">
      <c r="A6074" s="56">
        <v>4197731.3999999901</v>
      </c>
    </row>
    <row r="6075" spans="1:1" x14ac:dyDescent="0.25">
      <c r="A6075" s="56">
        <v>31678346.100000001</v>
      </c>
    </row>
    <row r="6076" spans="1:1" x14ac:dyDescent="0.25">
      <c r="A6076" s="56">
        <v>36870162.200000003</v>
      </c>
    </row>
    <row r="6077" spans="1:1" x14ac:dyDescent="0.25">
      <c r="A6077" s="56">
        <v>5895068.8999999901</v>
      </c>
    </row>
    <row r="6078" spans="1:1" x14ac:dyDescent="0.25">
      <c r="A6078" s="56">
        <v>0</v>
      </c>
    </row>
    <row r="6079" spans="1:1" x14ac:dyDescent="0.25">
      <c r="A6079" s="56">
        <v>170946877.19999999</v>
      </c>
    </row>
    <row r="6080" spans="1:1" x14ac:dyDescent="0.25">
      <c r="A6080" s="56">
        <v>2137486</v>
      </c>
    </row>
    <row r="6081" spans="1:1" x14ac:dyDescent="0.25">
      <c r="A6081" s="56">
        <v>104595058.2</v>
      </c>
    </row>
    <row r="6082" spans="1:1" x14ac:dyDescent="0.25">
      <c r="A6082" s="56">
        <v>28467275.800000001</v>
      </c>
    </row>
    <row r="6083" spans="1:1" x14ac:dyDescent="0.25">
      <c r="A6083" s="56">
        <v>417258365.39999998</v>
      </c>
    </row>
    <row r="6084" spans="1:1" x14ac:dyDescent="0.25">
      <c r="A6084" s="56">
        <v>18945331.199999999</v>
      </c>
    </row>
    <row r="6085" spans="1:1" x14ac:dyDescent="0.25">
      <c r="A6085" s="56">
        <v>0</v>
      </c>
    </row>
    <row r="6086" spans="1:1" x14ac:dyDescent="0.25">
      <c r="A6086" s="56">
        <v>48412768.099999897</v>
      </c>
    </row>
    <row r="6087" spans="1:1" x14ac:dyDescent="0.25">
      <c r="A6087" s="56">
        <v>5895068.8999999901</v>
      </c>
    </row>
    <row r="6088" spans="1:1" x14ac:dyDescent="0.25">
      <c r="A6088" s="56">
        <v>103155209</v>
      </c>
    </row>
    <row r="6089" spans="1:1" x14ac:dyDescent="0.25">
      <c r="A6089" s="56">
        <v>0</v>
      </c>
    </row>
    <row r="6090" spans="1:1" x14ac:dyDescent="0.25">
      <c r="A6090" s="56">
        <v>20547516.199999999</v>
      </c>
    </row>
    <row r="6091" spans="1:1" x14ac:dyDescent="0.25">
      <c r="A6091" s="56">
        <v>450776976.30000001</v>
      </c>
    </row>
    <row r="6092" spans="1:1" x14ac:dyDescent="0.25">
      <c r="A6092" s="56">
        <v>255123.6</v>
      </c>
    </row>
    <row r="6093" spans="1:1" x14ac:dyDescent="0.25">
      <c r="A6093" s="56">
        <v>26775601.300000001</v>
      </c>
    </row>
    <row r="6094" spans="1:1" x14ac:dyDescent="0.25">
      <c r="A6094" s="56">
        <v>73195299.5</v>
      </c>
    </row>
    <row r="6095" spans="1:1" x14ac:dyDescent="0.25">
      <c r="A6095" s="56">
        <v>0</v>
      </c>
    </row>
    <row r="6096" spans="1:1" x14ac:dyDescent="0.25">
      <c r="A6096" s="56">
        <v>22893474.399999999</v>
      </c>
    </row>
    <row r="6097" spans="1:1" x14ac:dyDescent="0.25">
      <c r="A6097" s="56">
        <v>0</v>
      </c>
    </row>
    <row r="6098" spans="1:1" x14ac:dyDescent="0.25">
      <c r="A6098" s="56">
        <v>22739950.100000001</v>
      </c>
    </row>
    <row r="6099" spans="1:1" x14ac:dyDescent="0.25">
      <c r="A6099" s="56">
        <v>38985863.600000001</v>
      </c>
    </row>
    <row r="6100" spans="1:1" x14ac:dyDescent="0.25">
      <c r="A6100" s="56">
        <v>194626599.69999999</v>
      </c>
    </row>
    <row r="6101" spans="1:1" x14ac:dyDescent="0.25">
      <c r="A6101" s="56">
        <v>59840262.399999999</v>
      </c>
    </row>
    <row r="6102" spans="1:1" x14ac:dyDescent="0.25">
      <c r="A6102" s="56">
        <v>10598442.9</v>
      </c>
    </row>
    <row r="6103" spans="1:1" x14ac:dyDescent="0.25">
      <c r="A6103" s="56">
        <v>69199335.599999905</v>
      </c>
    </row>
    <row r="6104" spans="1:1" x14ac:dyDescent="0.25">
      <c r="A6104" s="56">
        <v>110414532.8</v>
      </c>
    </row>
    <row r="6105" spans="1:1" x14ac:dyDescent="0.25">
      <c r="A6105" s="56">
        <v>101255892.2</v>
      </c>
    </row>
    <row r="6106" spans="1:1" x14ac:dyDescent="0.25">
      <c r="A6106" s="56">
        <v>20339096.800000001</v>
      </c>
    </row>
    <row r="6107" spans="1:1" x14ac:dyDescent="0.25">
      <c r="A6107" s="56">
        <v>5535186.2999999998</v>
      </c>
    </row>
    <row r="6108" spans="1:1" x14ac:dyDescent="0.25">
      <c r="A6108" s="56">
        <v>27554943.100000001</v>
      </c>
    </row>
    <row r="6109" spans="1:1" x14ac:dyDescent="0.25">
      <c r="A6109" s="56">
        <v>7715574.7999999998</v>
      </c>
    </row>
    <row r="6110" spans="1:1" x14ac:dyDescent="0.25">
      <c r="A6110" s="56">
        <v>18011779.600000001</v>
      </c>
    </row>
    <row r="6111" spans="1:1" x14ac:dyDescent="0.25">
      <c r="A6111" s="56">
        <v>20973786.5</v>
      </c>
    </row>
    <row r="6112" spans="1:1" x14ac:dyDescent="0.25">
      <c r="A6112" s="56">
        <v>14070918.199999999</v>
      </c>
    </row>
    <row r="6113" spans="1:1" x14ac:dyDescent="0.25">
      <c r="A6113" s="56">
        <v>10499911</v>
      </c>
    </row>
    <row r="6114" spans="1:1" x14ac:dyDescent="0.25">
      <c r="A6114" s="56">
        <v>88750</v>
      </c>
    </row>
    <row r="6115" spans="1:1" x14ac:dyDescent="0.25">
      <c r="A6115" s="56">
        <v>66054839.099999897</v>
      </c>
    </row>
    <row r="6116" spans="1:1" x14ac:dyDescent="0.25">
      <c r="A6116" s="56">
        <v>0</v>
      </c>
    </row>
    <row r="6117" spans="1:1" x14ac:dyDescent="0.25">
      <c r="A6117" s="56">
        <v>44171834.099999897</v>
      </c>
    </row>
    <row r="6118" spans="1:1" x14ac:dyDescent="0.25">
      <c r="A6118" s="56">
        <v>5274926.3</v>
      </c>
    </row>
    <row r="6119" spans="1:1" x14ac:dyDescent="0.25">
      <c r="A6119" s="56">
        <v>81992259.399999902</v>
      </c>
    </row>
    <row r="6120" spans="1:1" x14ac:dyDescent="0.25">
      <c r="A6120" s="56">
        <v>36329616.5</v>
      </c>
    </row>
    <row r="6121" spans="1:1" x14ac:dyDescent="0.25">
      <c r="A6121" s="56">
        <v>217850535</v>
      </c>
    </row>
    <row r="6122" spans="1:1" x14ac:dyDescent="0.25">
      <c r="A6122" s="56">
        <v>13093602.6</v>
      </c>
    </row>
    <row r="6123" spans="1:1" x14ac:dyDescent="0.25">
      <c r="A6123" s="56">
        <v>0</v>
      </c>
    </row>
    <row r="6124" spans="1:1" x14ac:dyDescent="0.25">
      <c r="A6124" s="56">
        <v>34975840.200000003</v>
      </c>
    </row>
    <row r="6125" spans="1:1" x14ac:dyDescent="0.25">
      <c r="A6125" s="56">
        <v>18708101.100000001</v>
      </c>
    </row>
    <row r="6126" spans="1:1" x14ac:dyDescent="0.25">
      <c r="A6126" s="56">
        <v>178178763.90000001</v>
      </c>
    </row>
    <row r="6127" spans="1:1" x14ac:dyDescent="0.25">
      <c r="A6127" s="56">
        <v>27327929.600000001</v>
      </c>
    </row>
    <row r="6128" spans="1:1" x14ac:dyDescent="0.25">
      <c r="A6128" s="56">
        <v>2419782.6</v>
      </c>
    </row>
    <row r="6129" spans="1:1" x14ac:dyDescent="0.25">
      <c r="A6129" s="56">
        <v>42491500.799999997</v>
      </c>
    </row>
    <row r="6130" spans="1:1" x14ac:dyDescent="0.25">
      <c r="A6130" s="56">
        <v>0</v>
      </c>
    </row>
    <row r="6131" spans="1:1" x14ac:dyDescent="0.25">
      <c r="A6131" s="56">
        <v>10751611.800000001</v>
      </c>
    </row>
    <row r="6132" spans="1:1" x14ac:dyDescent="0.25">
      <c r="A6132" s="56">
        <v>25596966</v>
      </c>
    </row>
    <row r="6133" spans="1:1" x14ac:dyDescent="0.25">
      <c r="A6133" s="56">
        <v>10998426.699999999</v>
      </c>
    </row>
    <row r="6134" spans="1:1" x14ac:dyDescent="0.25">
      <c r="A6134" s="56">
        <v>0</v>
      </c>
    </row>
    <row r="6135" spans="1:1" x14ac:dyDescent="0.25">
      <c r="A6135" s="56">
        <v>26732781.600000001</v>
      </c>
    </row>
    <row r="6136" spans="1:1" x14ac:dyDescent="0.25">
      <c r="A6136" s="56">
        <v>11550265.5</v>
      </c>
    </row>
    <row r="6137" spans="1:1" x14ac:dyDescent="0.25">
      <c r="A6137" s="56">
        <v>961041.2</v>
      </c>
    </row>
    <row r="6138" spans="1:1" x14ac:dyDescent="0.25">
      <c r="A6138" s="56">
        <v>0</v>
      </c>
    </row>
    <row r="6139" spans="1:1" x14ac:dyDescent="0.25">
      <c r="A6139" s="56">
        <v>23478065</v>
      </c>
    </row>
    <row r="6140" spans="1:1" x14ac:dyDescent="0.25">
      <c r="A6140" s="56">
        <v>36365178.299999997</v>
      </c>
    </row>
    <row r="6141" spans="1:1" x14ac:dyDescent="0.25">
      <c r="A6141" s="56">
        <v>52256588.999999903</v>
      </c>
    </row>
    <row r="6142" spans="1:1" x14ac:dyDescent="0.25">
      <c r="A6142" s="56">
        <v>18024535.199999999</v>
      </c>
    </row>
    <row r="6143" spans="1:1" x14ac:dyDescent="0.25">
      <c r="A6143" s="56">
        <v>9835651.5999999996</v>
      </c>
    </row>
    <row r="6144" spans="1:1" x14ac:dyDescent="0.25">
      <c r="A6144" s="56">
        <v>6654076.0999999996</v>
      </c>
    </row>
    <row r="6145" spans="1:1" x14ac:dyDescent="0.25">
      <c r="A6145" s="56">
        <v>101299147.7</v>
      </c>
    </row>
    <row r="6146" spans="1:1" x14ac:dyDescent="0.25">
      <c r="A6146" s="56">
        <v>11427464</v>
      </c>
    </row>
    <row r="6147" spans="1:1" x14ac:dyDescent="0.25">
      <c r="A6147" s="56">
        <v>9072023.6999999899</v>
      </c>
    </row>
    <row r="6148" spans="1:1" x14ac:dyDescent="0.25">
      <c r="A6148" s="56">
        <v>43866046.600000001</v>
      </c>
    </row>
    <row r="6149" spans="1:1" x14ac:dyDescent="0.25">
      <c r="A6149" s="56">
        <v>225730848</v>
      </c>
    </row>
    <row r="6150" spans="1:1" x14ac:dyDescent="0.25">
      <c r="A6150" s="56">
        <v>5788155.6999999899</v>
      </c>
    </row>
    <row r="6151" spans="1:1" x14ac:dyDescent="0.25">
      <c r="A6151" s="56">
        <v>444615576.39999998</v>
      </c>
    </row>
    <row r="6152" spans="1:1" x14ac:dyDescent="0.25">
      <c r="A6152" s="56">
        <v>105910424.5</v>
      </c>
    </row>
    <row r="6153" spans="1:1" x14ac:dyDescent="0.25">
      <c r="A6153" s="56">
        <v>62708524.899999999</v>
      </c>
    </row>
    <row r="6154" spans="1:1" x14ac:dyDescent="0.25">
      <c r="A6154" s="56">
        <v>791242932.20000005</v>
      </c>
    </row>
    <row r="6155" spans="1:1" x14ac:dyDescent="0.25">
      <c r="A6155" s="56">
        <v>23338154.800000001</v>
      </c>
    </row>
    <row r="6156" spans="1:1" x14ac:dyDescent="0.25">
      <c r="A6156" s="56">
        <v>25976894.600000001</v>
      </c>
    </row>
    <row r="6157" spans="1:1" x14ac:dyDescent="0.25">
      <c r="A6157" s="56">
        <v>0</v>
      </c>
    </row>
    <row r="6158" spans="1:1" x14ac:dyDescent="0.25">
      <c r="A6158" s="56">
        <v>48884791.899999999</v>
      </c>
    </row>
    <row r="6159" spans="1:1" x14ac:dyDescent="0.25">
      <c r="A6159" s="56">
        <v>141326758.90000001</v>
      </c>
    </row>
    <row r="6160" spans="1:1" x14ac:dyDescent="0.25">
      <c r="A6160" s="56">
        <v>37446132.899999999</v>
      </c>
    </row>
    <row r="6161" spans="1:1" x14ac:dyDescent="0.25">
      <c r="A6161" s="56">
        <v>194712605.69999999</v>
      </c>
    </row>
    <row r="6162" spans="1:1" x14ac:dyDescent="0.25">
      <c r="A6162" s="56">
        <v>5545591.7999999998</v>
      </c>
    </row>
    <row r="6163" spans="1:1" x14ac:dyDescent="0.25">
      <c r="A6163" s="56">
        <v>1019768.4</v>
      </c>
    </row>
    <row r="6164" spans="1:1" x14ac:dyDescent="0.25">
      <c r="A6164" s="56">
        <v>25851335.199999999</v>
      </c>
    </row>
    <row r="6165" spans="1:1" x14ac:dyDescent="0.25">
      <c r="A6165" s="56">
        <v>40718773.899999999</v>
      </c>
    </row>
    <row r="6166" spans="1:1" x14ac:dyDescent="0.25">
      <c r="A6166" s="56">
        <v>49955902.799999997</v>
      </c>
    </row>
    <row r="6167" spans="1:1" x14ac:dyDescent="0.25">
      <c r="A6167" s="56">
        <v>24438524</v>
      </c>
    </row>
    <row r="6168" spans="1:1" x14ac:dyDescent="0.25">
      <c r="A6168" s="56">
        <v>15911681.4</v>
      </c>
    </row>
    <row r="6169" spans="1:1" x14ac:dyDescent="0.25">
      <c r="A6169" s="56">
        <v>13953604.800000001</v>
      </c>
    </row>
    <row r="6170" spans="1:1" x14ac:dyDescent="0.25">
      <c r="A6170" s="56">
        <v>137982716.30000001</v>
      </c>
    </row>
    <row r="6171" spans="1:1" x14ac:dyDescent="0.25">
      <c r="A6171" s="56">
        <v>0</v>
      </c>
    </row>
    <row r="6172" spans="1:1" x14ac:dyDescent="0.25">
      <c r="A6172" s="56">
        <v>0</v>
      </c>
    </row>
    <row r="6173" spans="1:1" x14ac:dyDescent="0.25">
      <c r="A6173" s="56">
        <v>30987205.399999999</v>
      </c>
    </row>
    <row r="6174" spans="1:1" x14ac:dyDescent="0.25">
      <c r="A6174" s="56">
        <v>72513500.900000006</v>
      </c>
    </row>
    <row r="6175" spans="1:1" x14ac:dyDescent="0.25">
      <c r="A6175" s="56">
        <v>76896594.200000003</v>
      </c>
    </row>
    <row r="6176" spans="1:1" x14ac:dyDescent="0.25">
      <c r="A6176" s="56">
        <v>4111957.2</v>
      </c>
    </row>
    <row r="6177" spans="1:1" x14ac:dyDescent="0.25">
      <c r="A6177" s="56">
        <v>0</v>
      </c>
    </row>
    <row r="6178" spans="1:1" x14ac:dyDescent="0.25">
      <c r="A6178" s="56">
        <v>74167352.5</v>
      </c>
    </row>
    <row r="6179" spans="1:1" x14ac:dyDescent="0.25">
      <c r="A6179" s="56">
        <v>5222472</v>
      </c>
    </row>
    <row r="6180" spans="1:1" x14ac:dyDescent="0.25">
      <c r="A6180" s="56">
        <v>68682934.799999893</v>
      </c>
    </row>
    <row r="6181" spans="1:1" x14ac:dyDescent="0.25">
      <c r="A6181" s="56">
        <v>57127908.099999897</v>
      </c>
    </row>
    <row r="6182" spans="1:1" x14ac:dyDescent="0.25">
      <c r="A6182" s="56">
        <v>22122114.5</v>
      </c>
    </row>
    <row r="6183" spans="1:1" x14ac:dyDescent="0.25">
      <c r="A6183" s="56">
        <v>87902839.799999997</v>
      </c>
    </row>
    <row r="6184" spans="1:1" x14ac:dyDescent="0.25">
      <c r="A6184" s="56">
        <v>55690822.099999897</v>
      </c>
    </row>
    <row r="6185" spans="1:1" x14ac:dyDescent="0.25">
      <c r="A6185" s="56">
        <v>14118423.699999999</v>
      </c>
    </row>
    <row r="6186" spans="1:1" x14ac:dyDescent="0.25">
      <c r="A6186" s="56">
        <v>3420661</v>
      </c>
    </row>
    <row r="6187" spans="1:1" x14ac:dyDescent="0.25">
      <c r="A6187" s="56">
        <v>34039691.200000003</v>
      </c>
    </row>
    <row r="6188" spans="1:1" x14ac:dyDescent="0.25">
      <c r="A6188" s="56">
        <v>7494500.3999999901</v>
      </c>
    </row>
    <row r="6189" spans="1:1" x14ac:dyDescent="0.25">
      <c r="A6189" s="56">
        <v>284041875</v>
      </c>
    </row>
    <row r="6190" spans="1:1" x14ac:dyDescent="0.25">
      <c r="A6190" s="56">
        <v>3022804</v>
      </c>
    </row>
    <row r="6191" spans="1:1" x14ac:dyDescent="0.25">
      <c r="A6191" s="56">
        <v>8668856.5</v>
      </c>
    </row>
    <row r="6192" spans="1:1" x14ac:dyDescent="0.25">
      <c r="A6192" s="56">
        <v>86313860.599999905</v>
      </c>
    </row>
    <row r="6193" spans="1:1" x14ac:dyDescent="0.25">
      <c r="A6193" s="56">
        <v>144252944.19999999</v>
      </c>
    </row>
    <row r="6194" spans="1:1" x14ac:dyDescent="0.25">
      <c r="A6194" s="56">
        <v>9575433.8999999892</v>
      </c>
    </row>
    <row r="6195" spans="1:1" x14ac:dyDescent="0.25">
      <c r="A6195" s="56">
        <v>330626455.60000002</v>
      </c>
    </row>
    <row r="6196" spans="1:1" x14ac:dyDescent="0.25">
      <c r="A6196" s="56">
        <v>20028394.899999999</v>
      </c>
    </row>
    <row r="6197" spans="1:1" x14ac:dyDescent="0.25">
      <c r="A6197" s="56">
        <v>244420374.69999999</v>
      </c>
    </row>
    <row r="6198" spans="1:1" x14ac:dyDescent="0.25">
      <c r="A6198" s="56">
        <v>0</v>
      </c>
    </row>
    <row r="6199" spans="1:1" x14ac:dyDescent="0.25">
      <c r="A6199" s="56">
        <v>13901555.5</v>
      </c>
    </row>
    <row r="6200" spans="1:1" x14ac:dyDescent="0.25">
      <c r="A6200" s="56">
        <v>3270177.4</v>
      </c>
    </row>
    <row r="6201" spans="1:1" x14ac:dyDescent="0.25">
      <c r="A6201" s="56">
        <v>27632224.600000001</v>
      </c>
    </row>
    <row r="6202" spans="1:1" x14ac:dyDescent="0.25">
      <c r="A6202" s="56">
        <v>25222892.5</v>
      </c>
    </row>
    <row r="6203" spans="1:1" x14ac:dyDescent="0.25">
      <c r="A6203" s="56">
        <v>3930356.4</v>
      </c>
    </row>
    <row r="6204" spans="1:1" x14ac:dyDescent="0.25">
      <c r="A6204" s="56">
        <v>0</v>
      </c>
    </row>
    <row r="6205" spans="1:1" x14ac:dyDescent="0.25">
      <c r="A6205" s="56">
        <v>12706577.300000001</v>
      </c>
    </row>
    <row r="6206" spans="1:1" x14ac:dyDescent="0.25">
      <c r="A6206" s="56">
        <v>13055836.1</v>
      </c>
    </row>
    <row r="6207" spans="1:1" x14ac:dyDescent="0.25">
      <c r="A6207" s="56">
        <v>140462103.80000001</v>
      </c>
    </row>
    <row r="6208" spans="1:1" x14ac:dyDescent="0.25">
      <c r="A6208" s="56">
        <v>168558300.69999999</v>
      </c>
    </row>
    <row r="6209" spans="1:1" x14ac:dyDescent="0.25">
      <c r="A6209" s="56">
        <v>4122052.2</v>
      </c>
    </row>
    <row r="6210" spans="1:1" x14ac:dyDescent="0.25">
      <c r="A6210" s="56">
        <v>0</v>
      </c>
    </row>
    <row r="6211" spans="1:1" x14ac:dyDescent="0.25">
      <c r="A6211" s="56">
        <v>214997520.5</v>
      </c>
    </row>
    <row r="6212" spans="1:1" x14ac:dyDescent="0.25">
      <c r="A6212" s="56">
        <v>67783853.599999994</v>
      </c>
    </row>
    <row r="6213" spans="1:1" x14ac:dyDescent="0.25">
      <c r="A6213" s="56">
        <v>46605602.899999999</v>
      </c>
    </row>
    <row r="6214" spans="1:1" x14ac:dyDescent="0.25">
      <c r="A6214" s="56">
        <v>31494664.199999999</v>
      </c>
    </row>
    <row r="6215" spans="1:1" x14ac:dyDescent="0.25">
      <c r="A6215" s="56">
        <v>261093449.30000001</v>
      </c>
    </row>
    <row r="6216" spans="1:1" x14ac:dyDescent="0.25">
      <c r="A6216" s="56">
        <v>73627222.700000003</v>
      </c>
    </row>
    <row r="6217" spans="1:1" x14ac:dyDescent="0.25">
      <c r="A6217" s="56">
        <v>923586</v>
      </c>
    </row>
    <row r="6218" spans="1:1" x14ac:dyDescent="0.25">
      <c r="A6218" s="56">
        <v>6751448.4000000004</v>
      </c>
    </row>
    <row r="6219" spans="1:1" x14ac:dyDescent="0.25">
      <c r="A6219" s="56">
        <v>6129882.5</v>
      </c>
    </row>
    <row r="6220" spans="1:1" x14ac:dyDescent="0.25">
      <c r="A6220" s="56">
        <v>92599699.5</v>
      </c>
    </row>
    <row r="6221" spans="1:1" x14ac:dyDescent="0.25">
      <c r="A6221" s="56">
        <v>35849177.600000001</v>
      </c>
    </row>
    <row r="6222" spans="1:1" x14ac:dyDescent="0.25">
      <c r="A6222" s="56">
        <v>8627088.5999999996</v>
      </c>
    </row>
    <row r="6223" spans="1:1" x14ac:dyDescent="0.25">
      <c r="A6223" s="56">
        <v>3605008.2</v>
      </c>
    </row>
    <row r="6224" spans="1:1" x14ac:dyDescent="0.25">
      <c r="A6224" s="56">
        <v>0</v>
      </c>
    </row>
    <row r="6225" spans="1:1" x14ac:dyDescent="0.25">
      <c r="A6225" s="56">
        <v>10389857.800000001</v>
      </c>
    </row>
    <row r="6226" spans="1:1" x14ac:dyDescent="0.25">
      <c r="A6226" s="56">
        <v>154127977.5</v>
      </c>
    </row>
    <row r="6227" spans="1:1" x14ac:dyDescent="0.25">
      <c r="A6227" s="56">
        <v>3850972.2</v>
      </c>
    </row>
    <row r="6228" spans="1:1" x14ac:dyDescent="0.25">
      <c r="A6228" s="56">
        <v>133862136.7</v>
      </c>
    </row>
    <row r="6229" spans="1:1" x14ac:dyDescent="0.25">
      <c r="A6229" s="56">
        <v>468349372.60000002</v>
      </c>
    </row>
    <row r="6230" spans="1:1" x14ac:dyDescent="0.25">
      <c r="A6230" s="56">
        <v>20067542.899999999</v>
      </c>
    </row>
    <row r="6231" spans="1:1" x14ac:dyDescent="0.25">
      <c r="A6231" s="56">
        <v>0</v>
      </c>
    </row>
    <row r="6232" spans="1:1" x14ac:dyDescent="0.25">
      <c r="A6232" s="56">
        <v>325424.8</v>
      </c>
    </row>
    <row r="6233" spans="1:1" x14ac:dyDescent="0.25">
      <c r="A6233" s="56">
        <v>274176073.19999999</v>
      </c>
    </row>
    <row r="6234" spans="1:1" x14ac:dyDescent="0.25">
      <c r="A6234" s="56">
        <v>4930135.8</v>
      </c>
    </row>
    <row r="6235" spans="1:1" x14ac:dyDescent="0.25">
      <c r="A6235" s="56">
        <v>0</v>
      </c>
    </row>
    <row r="6236" spans="1:1" x14ac:dyDescent="0.25">
      <c r="A6236" s="56">
        <v>120851938.2</v>
      </c>
    </row>
    <row r="6237" spans="1:1" x14ac:dyDescent="0.25">
      <c r="A6237" s="56">
        <v>18629570.199999999</v>
      </c>
    </row>
    <row r="6238" spans="1:1" x14ac:dyDescent="0.25">
      <c r="A6238" s="56">
        <v>212219350.40000001</v>
      </c>
    </row>
    <row r="6239" spans="1:1" x14ac:dyDescent="0.25">
      <c r="A6239" s="56">
        <v>17368804.5</v>
      </c>
    </row>
    <row r="6240" spans="1:1" x14ac:dyDescent="0.25">
      <c r="A6240" s="56">
        <v>15849319.9</v>
      </c>
    </row>
    <row r="6241" spans="1:1" x14ac:dyDescent="0.25">
      <c r="A6241" s="56">
        <v>65124242.799999997</v>
      </c>
    </row>
    <row r="6242" spans="1:1" x14ac:dyDescent="0.25">
      <c r="A6242" s="56">
        <v>16569925.800000001</v>
      </c>
    </row>
    <row r="6243" spans="1:1" x14ac:dyDescent="0.25">
      <c r="A6243" s="56">
        <v>76359745.599999905</v>
      </c>
    </row>
    <row r="6244" spans="1:1" x14ac:dyDescent="0.25">
      <c r="A6244" s="56">
        <v>139114743</v>
      </c>
    </row>
    <row r="6245" spans="1:1" x14ac:dyDescent="0.25">
      <c r="A6245" s="56">
        <v>54870642.600000001</v>
      </c>
    </row>
    <row r="6246" spans="1:1" x14ac:dyDescent="0.25">
      <c r="A6246" s="56">
        <v>99172500.399999902</v>
      </c>
    </row>
    <row r="6247" spans="1:1" x14ac:dyDescent="0.25">
      <c r="A6247" s="56">
        <v>0</v>
      </c>
    </row>
    <row r="6248" spans="1:1" x14ac:dyDescent="0.25">
      <c r="A6248" s="56">
        <v>7289072.9000000004</v>
      </c>
    </row>
    <row r="6249" spans="1:1" x14ac:dyDescent="0.25">
      <c r="A6249" s="56">
        <v>84453140.699999899</v>
      </c>
    </row>
    <row r="6250" spans="1:1" x14ac:dyDescent="0.25">
      <c r="A6250" s="56">
        <v>41277540.600000001</v>
      </c>
    </row>
    <row r="6251" spans="1:1" x14ac:dyDescent="0.25">
      <c r="A6251" s="56">
        <v>60320174.999999903</v>
      </c>
    </row>
    <row r="6252" spans="1:1" x14ac:dyDescent="0.25">
      <c r="A6252" s="56">
        <v>5978853.2999999998</v>
      </c>
    </row>
    <row r="6253" spans="1:1" x14ac:dyDescent="0.25">
      <c r="A6253" s="56">
        <v>116808697.09999999</v>
      </c>
    </row>
    <row r="6254" spans="1:1" x14ac:dyDescent="0.25">
      <c r="A6254" s="56">
        <v>181361828.5</v>
      </c>
    </row>
    <row r="6255" spans="1:1" x14ac:dyDescent="0.25">
      <c r="A6255" s="56">
        <v>90918777.599999905</v>
      </c>
    </row>
    <row r="6256" spans="1:1" x14ac:dyDescent="0.25">
      <c r="A6256" s="56">
        <v>21136793.399999999</v>
      </c>
    </row>
    <row r="6257" spans="1:1" x14ac:dyDescent="0.25">
      <c r="A6257" s="56">
        <v>0</v>
      </c>
    </row>
    <row r="6258" spans="1:1" x14ac:dyDescent="0.25">
      <c r="A6258" s="56">
        <v>860590.8</v>
      </c>
    </row>
    <row r="6259" spans="1:1" x14ac:dyDescent="0.25">
      <c r="A6259" s="56">
        <v>10758439.300000001</v>
      </c>
    </row>
    <row r="6260" spans="1:1" x14ac:dyDescent="0.25">
      <c r="A6260" s="56">
        <v>25967520.399999999</v>
      </c>
    </row>
    <row r="6261" spans="1:1" x14ac:dyDescent="0.25">
      <c r="A6261" s="56">
        <v>0</v>
      </c>
    </row>
    <row r="6262" spans="1:1" x14ac:dyDescent="0.25">
      <c r="A6262" s="56">
        <v>6936627.0999999996</v>
      </c>
    </row>
    <row r="6263" spans="1:1" x14ac:dyDescent="0.25">
      <c r="A6263" s="56">
        <v>13591101.1</v>
      </c>
    </row>
    <row r="6264" spans="1:1" x14ac:dyDescent="0.25">
      <c r="A6264" s="56">
        <v>3910524.6</v>
      </c>
    </row>
    <row r="6265" spans="1:1" x14ac:dyDescent="0.25">
      <c r="A6265" s="56">
        <v>49932368</v>
      </c>
    </row>
    <row r="6266" spans="1:1" x14ac:dyDescent="0.25">
      <c r="A6266" s="56">
        <v>4811415.5999999996</v>
      </c>
    </row>
    <row r="6267" spans="1:1" x14ac:dyDescent="0.25">
      <c r="A6267" s="56">
        <v>637463961.5</v>
      </c>
    </row>
    <row r="6268" spans="1:1" x14ac:dyDescent="0.25">
      <c r="A6268" s="56">
        <v>40198502.899999999</v>
      </c>
    </row>
    <row r="6269" spans="1:1" x14ac:dyDescent="0.25">
      <c r="A6269" s="56">
        <v>148591948.80000001</v>
      </c>
    </row>
    <row r="6270" spans="1:1" x14ac:dyDescent="0.25">
      <c r="A6270" s="56">
        <v>14611899</v>
      </c>
    </row>
    <row r="6271" spans="1:1" x14ac:dyDescent="0.25">
      <c r="A6271" s="56">
        <v>38126361.399999999</v>
      </c>
    </row>
    <row r="6272" spans="1:1" x14ac:dyDescent="0.25">
      <c r="A6272" s="56">
        <v>68676602</v>
      </c>
    </row>
    <row r="6273" spans="1:1" x14ac:dyDescent="0.25">
      <c r="A6273" s="56">
        <v>58168696.099999897</v>
      </c>
    </row>
    <row r="6274" spans="1:1" x14ac:dyDescent="0.25">
      <c r="A6274" s="56">
        <v>25885865.100000001</v>
      </c>
    </row>
    <row r="6275" spans="1:1" x14ac:dyDescent="0.25">
      <c r="A6275" s="56">
        <v>185941104</v>
      </c>
    </row>
    <row r="6276" spans="1:1" x14ac:dyDescent="0.25">
      <c r="A6276" s="56">
        <v>46178918.599999897</v>
      </c>
    </row>
    <row r="6277" spans="1:1" x14ac:dyDescent="0.25">
      <c r="A6277" s="56">
        <v>0</v>
      </c>
    </row>
    <row r="6278" spans="1:1" x14ac:dyDescent="0.25">
      <c r="A6278" s="56">
        <v>13778665.6</v>
      </c>
    </row>
    <row r="6279" spans="1:1" x14ac:dyDescent="0.25">
      <c r="A6279" s="56">
        <v>28285398.100000001</v>
      </c>
    </row>
    <row r="6280" spans="1:1" x14ac:dyDescent="0.25">
      <c r="A6280" s="56">
        <v>11552801.4</v>
      </c>
    </row>
    <row r="6281" spans="1:1" x14ac:dyDescent="0.25">
      <c r="A6281" s="56">
        <v>0</v>
      </c>
    </row>
    <row r="6282" spans="1:1" x14ac:dyDescent="0.25">
      <c r="A6282" s="56">
        <v>36053401</v>
      </c>
    </row>
    <row r="6283" spans="1:1" x14ac:dyDescent="0.25">
      <c r="A6283" s="56">
        <v>19298115.800000001</v>
      </c>
    </row>
    <row r="6284" spans="1:1" x14ac:dyDescent="0.25">
      <c r="A6284" s="56">
        <v>24277302.800000001</v>
      </c>
    </row>
    <row r="6285" spans="1:1" x14ac:dyDescent="0.25">
      <c r="A6285" s="56">
        <v>36801195.799999997</v>
      </c>
    </row>
    <row r="6286" spans="1:1" x14ac:dyDescent="0.25">
      <c r="A6286" s="56">
        <v>87071124.799999893</v>
      </c>
    </row>
    <row r="6287" spans="1:1" x14ac:dyDescent="0.25">
      <c r="A6287" s="56">
        <v>83644119.799999997</v>
      </c>
    </row>
    <row r="6288" spans="1:1" x14ac:dyDescent="0.25">
      <c r="A6288" s="56">
        <v>9756846.5999999903</v>
      </c>
    </row>
    <row r="6289" spans="1:1" x14ac:dyDescent="0.25">
      <c r="A6289" s="56">
        <v>36971809.599999897</v>
      </c>
    </row>
    <row r="6290" spans="1:1" x14ac:dyDescent="0.25">
      <c r="A6290" s="56">
        <v>65792409.399999902</v>
      </c>
    </row>
    <row r="6291" spans="1:1" x14ac:dyDescent="0.25">
      <c r="A6291" s="56">
        <v>118679375.90000001</v>
      </c>
    </row>
    <row r="6292" spans="1:1" x14ac:dyDescent="0.25">
      <c r="A6292" s="56">
        <v>164936545.80000001</v>
      </c>
    </row>
    <row r="6293" spans="1:1" x14ac:dyDescent="0.25">
      <c r="A6293" s="56">
        <v>18089918.5</v>
      </c>
    </row>
    <row r="6294" spans="1:1" x14ac:dyDescent="0.25">
      <c r="A6294" s="56">
        <v>27482027.100000001</v>
      </c>
    </row>
    <row r="6295" spans="1:1" x14ac:dyDescent="0.25">
      <c r="A6295" s="56">
        <v>0</v>
      </c>
    </row>
    <row r="6296" spans="1:1" x14ac:dyDescent="0.25">
      <c r="A6296" s="56">
        <v>41245067.899999902</v>
      </c>
    </row>
    <row r="6297" spans="1:1" x14ac:dyDescent="0.25">
      <c r="A6297" s="56">
        <v>32980886.800000001</v>
      </c>
    </row>
    <row r="6298" spans="1:1" x14ac:dyDescent="0.25">
      <c r="A6298" s="56">
        <v>29244300.100000001</v>
      </c>
    </row>
    <row r="6299" spans="1:1" x14ac:dyDescent="0.25">
      <c r="A6299" s="56">
        <v>47564611</v>
      </c>
    </row>
    <row r="6300" spans="1:1" x14ac:dyDescent="0.25">
      <c r="A6300" s="56">
        <v>501026013.39999998</v>
      </c>
    </row>
    <row r="6301" spans="1:1" x14ac:dyDescent="0.25">
      <c r="A6301" s="56">
        <v>3013401.6</v>
      </c>
    </row>
    <row r="6302" spans="1:1" x14ac:dyDescent="0.25">
      <c r="A6302" s="56">
        <v>335102814.69999897</v>
      </c>
    </row>
    <row r="6303" spans="1:1" x14ac:dyDescent="0.25">
      <c r="A6303" s="56">
        <v>101194571.8</v>
      </c>
    </row>
    <row r="6304" spans="1:1" x14ac:dyDescent="0.25">
      <c r="A6304" s="56">
        <v>6347785.5</v>
      </c>
    </row>
    <row r="6305" spans="1:1" x14ac:dyDescent="0.25">
      <c r="A6305" s="56">
        <v>36121250.700000003</v>
      </c>
    </row>
    <row r="6306" spans="1:1" x14ac:dyDescent="0.25">
      <c r="A6306" s="56">
        <v>22508419.300000001</v>
      </c>
    </row>
    <row r="6307" spans="1:1" x14ac:dyDescent="0.25">
      <c r="A6307" s="56">
        <v>151936817.30000001</v>
      </c>
    </row>
    <row r="6308" spans="1:1" x14ac:dyDescent="0.25">
      <c r="A6308" s="56">
        <v>89908630.5</v>
      </c>
    </row>
    <row r="6309" spans="1:1" x14ac:dyDescent="0.25">
      <c r="A6309" s="56">
        <v>54339001.099999897</v>
      </c>
    </row>
    <row r="6310" spans="1:1" x14ac:dyDescent="0.25">
      <c r="A6310" s="56">
        <v>293116101.80000001</v>
      </c>
    </row>
    <row r="6311" spans="1:1" x14ac:dyDescent="0.25">
      <c r="A6311" s="56">
        <v>26860833.399999999</v>
      </c>
    </row>
    <row r="6312" spans="1:1" x14ac:dyDescent="0.25">
      <c r="A6312" s="56">
        <v>2838783</v>
      </c>
    </row>
    <row r="6313" spans="1:1" x14ac:dyDescent="0.25">
      <c r="A6313" s="56">
        <v>0</v>
      </c>
    </row>
    <row r="6314" spans="1:1" x14ac:dyDescent="0.25">
      <c r="A6314" s="56">
        <v>5120515.3999999901</v>
      </c>
    </row>
    <row r="6315" spans="1:1" x14ac:dyDescent="0.25">
      <c r="A6315" s="56">
        <v>1510618.4</v>
      </c>
    </row>
    <row r="6316" spans="1:1" x14ac:dyDescent="0.25">
      <c r="A6316" s="56">
        <v>0</v>
      </c>
    </row>
    <row r="6317" spans="1:1" x14ac:dyDescent="0.25">
      <c r="A6317" s="56">
        <v>109214025.2</v>
      </c>
    </row>
    <row r="6318" spans="1:1" x14ac:dyDescent="0.25">
      <c r="A6318" s="56">
        <v>316572766.5</v>
      </c>
    </row>
    <row r="6319" spans="1:1" x14ac:dyDescent="0.25">
      <c r="A6319" s="56">
        <v>0</v>
      </c>
    </row>
    <row r="6320" spans="1:1" x14ac:dyDescent="0.25">
      <c r="A6320" s="56">
        <v>8532228.6999999993</v>
      </c>
    </row>
    <row r="6321" spans="1:1" x14ac:dyDescent="0.25">
      <c r="A6321" s="56">
        <v>93968150.799999997</v>
      </c>
    </row>
    <row r="6322" spans="1:1" x14ac:dyDescent="0.25">
      <c r="A6322" s="56">
        <v>0</v>
      </c>
    </row>
    <row r="6323" spans="1:1" x14ac:dyDescent="0.25">
      <c r="A6323" s="56">
        <v>152044470.19999999</v>
      </c>
    </row>
    <row r="6324" spans="1:1" x14ac:dyDescent="0.25">
      <c r="A6324" s="56">
        <v>146399693</v>
      </c>
    </row>
    <row r="6325" spans="1:1" x14ac:dyDescent="0.25">
      <c r="A6325" s="56">
        <v>7856127.8999999901</v>
      </c>
    </row>
    <row r="6326" spans="1:1" x14ac:dyDescent="0.25">
      <c r="A6326" s="56">
        <v>88548831.499999896</v>
      </c>
    </row>
    <row r="6327" spans="1:1" x14ac:dyDescent="0.25">
      <c r="A6327" s="56">
        <v>9347312.8000000007</v>
      </c>
    </row>
    <row r="6328" spans="1:1" x14ac:dyDescent="0.25">
      <c r="A6328" s="56">
        <v>37372491.200000003</v>
      </c>
    </row>
    <row r="6329" spans="1:1" x14ac:dyDescent="0.25">
      <c r="A6329" s="56">
        <v>242464507.19999999</v>
      </c>
    </row>
    <row r="6330" spans="1:1" x14ac:dyDescent="0.25">
      <c r="A6330" s="56">
        <v>155334087.40000001</v>
      </c>
    </row>
    <row r="6331" spans="1:1" x14ac:dyDescent="0.25">
      <c r="A6331" s="56">
        <v>131182697</v>
      </c>
    </row>
    <row r="6332" spans="1:1" x14ac:dyDescent="0.25">
      <c r="A6332" s="56">
        <v>35346742.399999999</v>
      </c>
    </row>
    <row r="6333" spans="1:1" x14ac:dyDescent="0.25">
      <c r="A6333" s="56">
        <v>0</v>
      </c>
    </row>
    <row r="6334" spans="1:1" x14ac:dyDescent="0.25">
      <c r="A6334" s="56">
        <v>6333475.2000000002</v>
      </c>
    </row>
    <row r="6335" spans="1:1" x14ac:dyDescent="0.25">
      <c r="A6335" s="56">
        <v>3777781.2</v>
      </c>
    </row>
    <row r="6336" spans="1:1" x14ac:dyDescent="0.25">
      <c r="A6336" s="56">
        <v>499140498.69999999</v>
      </c>
    </row>
    <row r="6337" spans="1:1" x14ac:dyDescent="0.25">
      <c r="A6337" s="56">
        <v>12115101.6</v>
      </c>
    </row>
    <row r="6338" spans="1:1" x14ac:dyDescent="0.25">
      <c r="A6338" s="56">
        <v>2823863.4</v>
      </c>
    </row>
    <row r="6339" spans="1:1" x14ac:dyDescent="0.25">
      <c r="A6339" s="56">
        <v>111486145.5</v>
      </c>
    </row>
    <row r="6340" spans="1:1" x14ac:dyDescent="0.25">
      <c r="A6340" s="56">
        <v>26301471.100000001</v>
      </c>
    </row>
    <row r="6341" spans="1:1" x14ac:dyDescent="0.25">
      <c r="A6341" s="56">
        <v>795006255.79999995</v>
      </c>
    </row>
    <row r="6342" spans="1:1" x14ac:dyDescent="0.25">
      <c r="A6342" s="56">
        <v>0</v>
      </c>
    </row>
    <row r="6343" spans="1:1" x14ac:dyDescent="0.25">
      <c r="A6343" s="56">
        <v>34738902.200000003</v>
      </c>
    </row>
    <row r="6344" spans="1:1" x14ac:dyDescent="0.25">
      <c r="A6344" s="56">
        <v>3158990.4</v>
      </c>
    </row>
    <row r="6345" spans="1:1" x14ac:dyDescent="0.25">
      <c r="A6345" s="56">
        <v>25337435.600000001</v>
      </c>
    </row>
    <row r="6346" spans="1:1" x14ac:dyDescent="0.25">
      <c r="A6346" s="56">
        <v>48448648.099999897</v>
      </c>
    </row>
    <row r="6347" spans="1:1" x14ac:dyDescent="0.25">
      <c r="A6347" s="56">
        <v>107250268.09999999</v>
      </c>
    </row>
    <row r="6348" spans="1:1" x14ac:dyDescent="0.25">
      <c r="A6348" s="56">
        <v>17187910.899999999</v>
      </c>
    </row>
    <row r="6349" spans="1:1" x14ac:dyDescent="0.25">
      <c r="A6349" s="56">
        <v>6804188.2999999998</v>
      </c>
    </row>
    <row r="6350" spans="1:1" x14ac:dyDescent="0.25">
      <c r="A6350" s="56">
        <v>3297221.8</v>
      </c>
    </row>
    <row r="6351" spans="1:1" x14ac:dyDescent="0.25">
      <c r="A6351" s="56">
        <v>23219338.100000001</v>
      </c>
    </row>
    <row r="6352" spans="1:1" x14ac:dyDescent="0.25">
      <c r="A6352" s="56">
        <v>0</v>
      </c>
    </row>
    <row r="6353" spans="1:1" x14ac:dyDescent="0.25">
      <c r="A6353" s="56">
        <v>23364690.199999999</v>
      </c>
    </row>
    <row r="6354" spans="1:1" x14ac:dyDescent="0.25">
      <c r="A6354" s="56">
        <v>58214817.899999902</v>
      </c>
    </row>
    <row r="6355" spans="1:1" x14ac:dyDescent="0.25">
      <c r="A6355" s="56">
        <v>17002918.300000001</v>
      </c>
    </row>
    <row r="6356" spans="1:1" x14ac:dyDescent="0.25">
      <c r="A6356" s="56">
        <v>48191236.899999999</v>
      </c>
    </row>
    <row r="6357" spans="1:1" x14ac:dyDescent="0.25">
      <c r="A6357" s="56">
        <v>3558337.2</v>
      </c>
    </row>
    <row r="6358" spans="1:1" x14ac:dyDescent="0.25">
      <c r="A6358" s="56">
        <v>171598307.59999999</v>
      </c>
    </row>
    <row r="6359" spans="1:1" x14ac:dyDescent="0.25">
      <c r="A6359" s="56">
        <v>39837195.399999999</v>
      </c>
    </row>
    <row r="6360" spans="1:1" x14ac:dyDescent="0.25">
      <c r="A6360" s="56">
        <v>18654918.100000001</v>
      </c>
    </row>
    <row r="6361" spans="1:1" x14ac:dyDescent="0.25">
      <c r="A6361" s="56">
        <v>158588906.40000001</v>
      </c>
    </row>
    <row r="6362" spans="1:1" x14ac:dyDescent="0.25">
      <c r="A6362" s="56">
        <v>62522335.499999903</v>
      </c>
    </row>
    <row r="6363" spans="1:1" x14ac:dyDescent="0.25">
      <c r="A6363" s="56">
        <v>29400362.5</v>
      </c>
    </row>
    <row r="6364" spans="1:1" x14ac:dyDescent="0.25">
      <c r="A6364" s="56">
        <v>0</v>
      </c>
    </row>
    <row r="6365" spans="1:1" x14ac:dyDescent="0.25">
      <c r="A6365" s="56">
        <v>0</v>
      </c>
    </row>
    <row r="6366" spans="1:1" x14ac:dyDescent="0.25">
      <c r="A6366" s="56">
        <v>16014431.699999999</v>
      </c>
    </row>
    <row r="6367" spans="1:1" x14ac:dyDescent="0.25">
      <c r="A6367" s="56">
        <v>111925922.90000001</v>
      </c>
    </row>
    <row r="6368" spans="1:1" x14ac:dyDescent="0.25">
      <c r="A6368" s="56">
        <v>15077130.199999999</v>
      </c>
    </row>
    <row r="6369" spans="1:1" x14ac:dyDescent="0.25">
      <c r="A6369" s="56">
        <v>732092.4</v>
      </c>
    </row>
    <row r="6370" spans="1:1" x14ac:dyDescent="0.25">
      <c r="A6370" s="56">
        <v>17676430.699999999</v>
      </c>
    </row>
    <row r="6371" spans="1:1" x14ac:dyDescent="0.25">
      <c r="A6371" s="56">
        <v>6644875.2999999998</v>
      </c>
    </row>
    <row r="6372" spans="1:1" x14ac:dyDescent="0.25">
      <c r="A6372" s="56">
        <v>2340340</v>
      </c>
    </row>
    <row r="6373" spans="1:1" x14ac:dyDescent="0.25">
      <c r="A6373" s="56">
        <v>146664302.40000001</v>
      </c>
    </row>
    <row r="6374" spans="1:1" x14ac:dyDescent="0.25">
      <c r="A6374" s="56">
        <v>18918059.199999999</v>
      </c>
    </row>
    <row r="6375" spans="1:1" x14ac:dyDescent="0.25">
      <c r="A6375" s="56">
        <v>10015437</v>
      </c>
    </row>
    <row r="6376" spans="1:1" x14ac:dyDescent="0.25">
      <c r="A6376" s="56">
        <v>35610823.200000003</v>
      </c>
    </row>
    <row r="6377" spans="1:1" x14ac:dyDescent="0.25">
      <c r="A6377" s="56">
        <v>28201887.800000001</v>
      </c>
    </row>
    <row r="6378" spans="1:1" x14ac:dyDescent="0.25">
      <c r="A6378" s="56">
        <v>0</v>
      </c>
    </row>
    <row r="6379" spans="1:1" x14ac:dyDescent="0.25">
      <c r="A6379" s="56">
        <v>548018.4</v>
      </c>
    </row>
    <row r="6380" spans="1:1" x14ac:dyDescent="0.25">
      <c r="A6380" s="56">
        <v>189119884.5</v>
      </c>
    </row>
    <row r="6381" spans="1:1" x14ac:dyDescent="0.25">
      <c r="A6381" s="56">
        <v>64260482.600000001</v>
      </c>
    </row>
    <row r="6382" spans="1:1" x14ac:dyDescent="0.25">
      <c r="A6382" s="56">
        <v>50149563.599999897</v>
      </c>
    </row>
    <row r="6383" spans="1:1" x14ac:dyDescent="0.25">
      <c r="A6383" s="56">
        <v>46781513.899999999</v>
      </c>
    </row>
    <row r="6384" spans="1:1" x14ac:dyDescent="0.25">
      <c r="A6384" s="56">
        <v>52520632.299999997</v>
      </c>
    </row>
    <row r="6385" spans="1:1" x14ac:dyDescent="0.25">
      <c r="A6385" s="56">
        <v>16446847.6</v>
      </c>
    </row>
    <row r="6386" spans="1:1" x14ac:dyDescent="0.25">
      <c r="A6386" s="56">
        <v>27553558.699999999</v>
      </c>
    </row>
    <row r="6387" spans="1:1" x14ac:dyDescent="0.25">
      <c r="A6387" s="56">
        <v>19898434.699999999</v>
      </c>
    </row>
    <row r="6388" spans="1:1" x14ac:dyDescent="0.25">
      <c r="A6388" s="56">
        <v>22197790.800000001</v>
      </c>
    </row>
    <row r="6389" spans="1:1" x14ac:dyDescent="0.25">
      <c r="A6389" s="56">
        <v>6062176.7999999998</v>
      </c>
    </row>
    <row r="6390" spans="1:1" x14ac:dyDescent="0.25">
      <c r="A6390" s="56">
        <v>24283842.100000001</v>
      </c>
    </row>
    <row r="6391" spans="1:1" x14ac:dyDescent="0.25">
      <c r="A6391" s="56">
        <v>22751727.100000001</v>
      </c>
    </row>
    <row r="6392" spans="1:1" x14ac:dyDescent="0.25">
      <c r="A6392" s="56">
        <v>0</v>
      </c>
    </row>
    <row r="6393" spans="1:1" x14ac:dyDescent="0.25">
      <c r="A6393" s="56">
        <v>5895976.0999999996</v>
      </c>
    </row>
    <row r="6394" spans="1:1" x14ac:dyDescent="0.25">
      <c r="A6394" s="56">
        <v>8714784.3000000007</v>
      </c>
    </row>
    <row r="6395" spans="1:1" x14ac:dyDescent="0.25">
      <c r="A6395" s="56">
        <v>22468978.800000001</v>
      </c>
    </row>
    <row r="6396" spans="1:1" x14ac:dyDescent="0.25">
      <c r="A6396" s="56">
        <v>240942908.19999999</v>
      </c>
    </row>
    <row r="6397" spans="1:1" x14ac:dyDescent="0.25">
      <c r="A6397" s="56">
        <v>19748478.899999999</v>
      </c>
    </row>
    <row r="6398" spans="1:1" x14ac:dyDescent="0.25">
      <c r="A6398" s="56">
        <v>0</v>
      </c>
    </row>
    <row r="6399" spans="1:1" x14ac:dyDescent="0.25">
      <c r="A6399" s="56">
        <v>58785851.799999997</v>
      </c>
    </row>
    <row r="6400" spans="1:1" x14ac:dyDescent="0.25">
      <c r="A6400" s="56">
        <v>63072124.399999902</v>
      </c>
    </row>
    <row r="6401" spans="1:1" x14ac:dyDescent="0.25">
      <c r="A6401" s="56">
        <v>4142702.6</v>
      </c>
    </row>
    <row r="6402" spans="1:1" x14ac:dyDescent="0.25">
      <c r="A6402" s="56">
        <v>82940020.799999997</v>
      </c>
    </row>
    <row r="6403" spans="1:1" x14ac:dyDescent="0.25">
      <c r="A6403" s="56">
        <v>56296921.799999997</v>
      </c>
    </row>
    <row r="6404" spans="1:1" x14ac:dyDescent="0.25">
      <c r="A6404" s="56">
        <v>255228381.69999999</v>
      </c>
    </row>
    <row r="6405" spans="1:1" x14ac:dyDescent="0.25">
      <c r="A6405" s="56">
        <v>4422801.5999999996</v>
      </c>
    </row>
    <row r="6406" spans="1:1" x14ac:dyDescent="0.25">
      <c r="A6406" s="56">
        <v>277519620.80000001</v>
      </c>
    </row>
    <row r="6407" spans="1:1" x14ac:dyDescent="0.25">
      <c r="A6407" s="56">
        <v>450915935.80000001</v>
      </c>
    </row>
    <row r="6408" spans="1:1" x14ac:dyDescent="0.25">
      <c r="A6408" s="56">
        <v>53144.800000000003</v>
      </c>
    </row>
    <row r="6409" spans="1:1" x14ac:dyDescent="0.25">
      <c r="A6409" s="56">
        <v>6174978.5999999996</v>
      </c>
    </row>
    <row r="6410" spans="1:1" x14ac:dyDescent="0.25">
      <c r="A6410" s="56">
        <v>126097930.5</v>
      </c>
    </row>
    <row r="6411" spans="1:1" x14ac:dyDescent="0.25">
      <c r="A6411" s="56">
        <v>436820434.30000001</v>
      </c>
    </row>
    <row r="6412" spans="1:1" x14ac:dyDescent="0.25">
      <c r="A6412" s="56">
        <v>157395709</v>
      </c>
    </row>
    <row r="6413" spans="1:1" x14ac:dyDescent="0.25">
      <c r="A6413" s="56">
        <v>0</v>
      </c>
    </row>
    <row r="6414" spans="1:1" x14ac:dyDescent="0.25">
      <c r="A6414" s="56">
        <v>32491973.699999999</v>
      </c>
    </row>
    <row r="6415" spans="1:1" x14ac:dyDescent="0.25">
      <c r="A6415" s="56">
        <v>280830064.30000001</v>
      </c>
    </row>
    <row r="6416" spans="1:1" x14ac:dyDescent="0.25">
      <c r="A6416" s="56">
        <v>5120515.3999999901</v>
      </c>
    </row>
    <row r="6417" spans="1:1" x14ac:dyDescent="0.25">
      <c r="A6417" s="56">
        <v>18228703.300000001</v>
      </c>
    </row>
    <row r="6418" spans="1:1" x14ac:dyDescent="0.25">
      <c r="A6418" s="56">
        <v>13873208.800000001</v>
      </c>
    </row>
    <row r="6419" spans="1:1" x14ac:dyDescent="0.25">
      <c r="A6419" s="56">
        <v>176281926.90000001</v>
      </c>
    </row>
    <row r="6420" spans="1:1" x14ac:dyDescent="0.25">
      <c r="A6420" s="56">
        <v>8356290.5999999996</v>
      </c>
    </row>
    <row r="6421" spans="1:1" x14ac:dyDescent="0.25">
      <c r="A6421" s="56">
        <v>7887975.1999999899</v>
      </c>
    </row>
    <row r="6422" spans="1:1" x14ac:dyDescent="0.25">
      <c r="A6422" s="56">
        <v>47630663.399999999</v>
      </c>
    </row>
    <row r="6423" spans="1:1" x14ac:dyDescent="0.25">
      <c r="A6423" s="56">
        <v>44616835.200000003</v>
      </c>
    </row>
    <row r="6424" spans="1:1" x14ac:dyDescent="0.25">
      <c r="A6424" s="56">
        <v>22256347.699999999</v>
      </c>
    </row>
    <row r="6425" spans="1:1" x14ac:dyDescent="0.25">
      <c r="A6425" s="56">
        <v>47128473.899999999</v>
      </c>
    </row>
    <row r="6426" spans="1:1" x14ac:dyDescent="0.25">
      <c r="A6426" s="56">
        <v>113836086.8</v>
      </c>
    </row>
    <row r="6427" spans="1:1" x14ac:dyDescent="0.25">
      <c r="A6427" s="56">
        <v>14955238.699999999</v>
      </c>
    </row>
    <row r="6428" spans="1:1" x14ac:dyDescent="0.25">
      <c r="A6428" s="56">
        <v>0</v>
      </c>
    </row>
    <row r="6429" spans="1:1" x14ac:dyDescent="0.25">
      <c r="A6429" s="56">
        <v>5158316.2</v>
      </c>
    </row>
    <row r="6430" spans="1:1" x14ac:dyDescent="0.25">
      <c r="A6430" s="56">
        <v>59470074.799999997</v>
      </c>
    </row>
    <row r="6431" spans="1:1" x14ac:dyDescent="0.25">
      <c r="A6431" s="56">
        <v>30571215.399999999</v>
      </c>
    </row>
    <row r="6432" spans="1:1" x14ac:dyDescent="0.25">
      <c r="A6432" s="56">
        <v>109547280.5</v>
      </c>
    </row>
    <row r="6433" spans="1:1" x14ac:dyDescent="0.25">
      <c r="A6433" s="56">
        <v>2283559.7999999998</v>
      </c>
    </row>
    <row r="6434" spans="1:1" x14ac:dyDescent="0.25">
      <c r="A6434" s="56">
        <v>0</v>
      </c>
    </row>
    <row r="6435" spans="1:1" x14ac:dyDescent="0.25">
      <c r="A6435" s="56">
        <v>10567175.9</v>
      </c>
    </row>
    <row r="6436" spans="1:1" x14ac:dyDescent="0.25">
      <c r="A6436" s="56">
        <v>5816669.5</v>
      </c>
    </row>
    <row r="6437" spans="1:1" x14ac:dyDescent="0.25">
      <c r="A6437" s="56">
        <v>111160404.90000001</v>
      </c>
    </row>
    <row r="6438" spans="1:1" x14ac:dyDescent="0.25">
      <c r="A6438" s="56">
        <v>13533031.800000001</v>
      </c>
    </row>
    <row r="6439" spans="1:1" x14ac:dyDescent="0.25">
      <c r="A6439" s="56">
        <v>75691232.399999902</v>
      </c>
    </row>
    <row r="6440" spans="1:1" x14ac:dyDescent="0.25">
      <c r="A6440" s="56">
        <v>4567881</v>
      </c>
    </row>
    <row r="6441" spans="1:1" x14ac:dyDescent="0.25">
      <c r="A6441" s="56">
        <v>0</v>
      </c>
    </row>
    <row r="6442" spans="1:1" x14ac:dyDescent="0.25">
      <c r="A6442" s="56">
        <v>5185318.1999999899</v>
      </c>
    </row>
    <row r="6443" spans="1:1" x14ac:dyDescent="0.25">
      <c r="A6443" s="56">
        <v>195680288.5</v>
      </c>
    </row>
    <row r="6444" spans="1:1" x14ac:dyDescent="0.25">
      <c r="A6444" s="56">
        <v>6669296.1999999899</v>
      </c>
    </row>
    <row r="6445" spans="1:1" x14ac:dyDescent="0.25">
      <c r="A6445" s="56">
        <v>93576782.799999997</v>
      </c>
    </row>
    <row r="6446" spans="1:1" x14ac:dyDescent="0.25">
      <c r="A6446" s="56">
        <v>12139430.800000001</v>
      </c>
    </row>
    <row r="6447" spans="1:1" x14ac:dyDescent="0.25">
      <c r="A6447" s="56">
        <v>87771800.5</v>
      </c>
    </row>
    <row r="6448" spans="1:1" x14ac:dyDescent="0.25">
      <c r="A6448" s="56">
        <v>23009270.899999999</v>
      </c>
    </row>
    <row r="6449" spans="1:1" x14ac:dyDescent="0.25">
      <c r="A6449" s="56">
        <v>42196726.599999897</v>
      </c>
    </row>
    <row r="6450" spans="1:1" x14ac:dyDescent="0.25">
      <c r="A6450" s="56">
        <v>98362194.499999896</v>
      </c>
    </row>
    <row r="6451" spans="1:1" x14ac:dyDescent="0.25">
      <c r="A6451" s="56">
        <v>306123309.69999999</v>
      </c>
    </row>
    <row r="6452" spans="1:1" x14ac:dyDescent="0.25">
      <c r="A6452" s="56">
        <v>164977937.5</v>
      </c>
    </row>
    <row r="6453" spans="1:1" x14ac:dyDescent="0.25">
      <c r="A6453" s="56">
        <v>22048915.699999999</v>
      </c>
    </row>
    <row r="6454" spans="1:1" x14ac:dyDescent="0.25">
      <c r="A6454" s="56">
        <v>0</v>
      </c>
    </row>
    <row r="6455" spans="1:1" x14ac:dyDescent="0.25">
      <c r="A6455" s="56">
        <v>0</v>
      </c>
    </row>
    <row r="6456" spans="1:1" x14ac:dyDescent="0.25">
      <c r="A6456" s="56">
        <v>17634004.300000001</v>
      </c>
    </row>
    <row r="6457" spans="1:1" x14ac:dyDescent="0.25">
      <c r="A6457" s="56">
        <v>29895923.199999999</v>
      </c>
    </row>
    <row r="6458" spans="1:1" x14ac:dyDescent="0.25">
      <c r="A6458" s="56">
        <v>34968141.399999902</v>
      </c>
    </row>
    <row r="6459" spans="1:1" x14ac:dyDescent="0.25">
      <c r="A6459" s="56">
        <v>1948908.6</v>
      </c>
    </row>
    <row r="6460" spans="1:1" x14ac:dyDescent="0.25">
      <c r="A6460" s="56">
        <v>49333069.099999897</v>
      </c>
    </row>
    <row r="6461" spans="1:1" x14ac:dyDescent="0.25">
      <c r="A6461" s="56">
        <v>110467829.40000001</v>
      </c>
    </row>
    <row r="6462" spans="1:1" x14ac:dyDescent="0.25">
      <c r="A6462" s="56">
        <v>181750796.19999999</v>
      </c>
    </row>
    <row r="6463" spans="1:1" x14ac:dyDescent="0.25">
      <c r="A6463" s="56">
        <v>7698995.9000000004</v>
      </c>
    </row>
    <row r="6464" spans="1:1" x14ac:dyDescent="0.25">
      <c r="A6464" s="56">
        <v>30511047.5</v>
      </c>
    </row>
    <row r="6465" spans="1:1" x14ac:dyDescent="0.25">
      <c r="A6465" s="56">
        <v>61424339.599999897</v>
      </c>
    </row>
    <row r="6466" spans="1:1" x14ac:dyDescent="0.25">
      <c r="A6466" s="56">
        <v>0</v>
      </c>
    </row>
    <row r="6467" spans="1:1" x14ac:dyDescent="0.25">
      <c r="A6467" s="56">
        <v>20708737.399999999</v>
      </c>
    </row>
    <row r="6468" spans="1:1" x14ac:dyDescent="0.25">
      <c r="A6468" s="56">
        <v>115813074.3</v>
      </c>
    </row>
    <row r="6469" spans="1:1" x14ac:dyDescent="0.25">
      <c r="A6469" s="56">
        <v>8705925.3000000007</v>
      </c>
    </row>
    <row r="6470" spans="1:1" x14ac:dyDescent="0.25">
      <c r="A6470" s="56">
        <v>98275466.999999896</v>
      </c>
    </row>
    <row r="6471" spans="1:1" x14ac:dyDescent="0.25">
      <c r="A6471" s="56">
        <v>72301459.299999997</v>
      </c>
    </row>
    <row r="6472" spans="1:1" x14ac:dyDescent="0.25">
      <c r="A6472" s="56">
        <v>133429301.90000001</v>
      </c>
    </row>
    <row r="6473" spans="1:1" x14ac:dyDescent="0.25">
      <c r="A6473" s="56">
        <v>10549549.800000001</v>
      </c>
    </row>
    <row r="6474" spans="1:1" x14ac:dyDescent="0.25">
      <c r="A6474" s="56">
        <v>19608855.699999999</v>
      </c>
    </row>
    <row r="6475" spans="1:1" x14ac:dyDescent="0.25">
      <c r="A6475" s="56">
        <v>12171537.300000001</v>
      </c>
    </row>
    <row r="6476" spans="1:1" x14ac:dyDescent="0.25">
      <c r="A6476" s="56">
        <v>1058592</v>
      </c>
    </row>
    <row r="6477" spans="1:1" x14ac:dyDescent="0.25">
      <c r="A6477" s="56">
        <v>16951355.699999999</v>
      </c>
    </row>
    <row r="6478" spans="1:1" x14ac:dyDescent="0.25">
      <c r="A6478" s="56">
        <v>1019768.4</v>
      </c>
    </row>
    <row r="6479" spans="1:1" x14ac:dyDescent="0.25">
      <c r="A6479" s="56">
        <v>30643852.899999999</v>
      </c>
    </row>
    <row r="6480" spans="1:1" x14ac:dyDescent="0.25">
      <c r="A6480" s="56">
        <v>8583308.1999999899</v>
      </c>
    </row>
    <row r="6481" spans="1:1" x14ac:dyDescent="0.25">
      <c r="A6481" s="56">
        <v>42097603.899999999</v>
      </c>
    </row>
    <row r="6482" spans="1:1" x14ac:dyDescent="0.25">
      <c r="A6482" s="56">
        <v>0</v>
      </c>
    </row>
    <row r="6483" spans="1:1" x14ac:dyDescent="0.25">
      <c r="A6483" s="56">
        <v>8975249</v>
      </c>
    </row>
    <row r="6484" spans="1:1" x14ac:dyDescent="0.25">
      <c r="A6484" s="56">
        <v>0</v>
      </c>
    </row>
    <row r="6485" spans="1:1" x14ac:dyDescent="0.25">
      <c r="A6485" s="56">
        <v>202815776.19999999</v>
      </c>
    </row>
    <row r="6486" spans="1:1" x14ac:dyDescent="0.25">
      <c r="A6486" s="56">
        <v>38928883.599999897</v>
      </c>
    </row>
    <row r="6487" spans="1:1" x14ac:dyDescent="0.25">
      <c r="A6487" s="56">
        <v>11104515.199999999</v>
      </c>
    </row>
    <row r="6488" spans="1:1" x14ac:dyDescent="0.25">
      <c r="A6488" s="56">
        <v>1011274</v>
      </c>
    </row>
    <row r="6489" spans="1:1" x14ac:dyDescent="0.25">
      <c r="A6489" s="56">
        <v>14751724.4</v>
      </c>
    </row>
    <row r="6490" spans="1:1" x14ac:dyDescent="0.25">
      <c r="A6490" s="56">
        <v>1412828.4</v>
      </c>
    </row>
    <row r="6491" spans="1:1" x14ac:dyDescent="0.25">
      <c r="A6491" s="56">
        <v>243681947.5</v>
      </c>
    </row>
    <row r="6492" spans="1:1" x14ac:dyDescent="0.25">
      <c r="A6492" s="56">
        <v>309068</v>
      </c>
    </row>
    <row r="6493" spans="1:1" x14ac:dyDescent="0.25">
      <c r="A6493" s="56">
        <v>33241840.699999999</v>
      </c>
    </row>
    <row r="6494" spans="1:1" x14ac:dyDescent="0.25">
      <c r="A6494" s="56">
        <v>47980235.799999997</v>
      </c>
    </row>
    <row r="6495" spans="1:1" x14ac:dyDescent="0.25">
      <c r="A6495" s="56">
        <v>13656363.6</v>
      </c>
    </row>
    <row r="6496" spans="1:1" x14ac:dyDescent="0.25">
      <c r="A6496" s="56">
        <v>14738416.6</v>
      </c>
    </row>
    <row r="6497" spans="1:1" x14ac:dyDescent="0.25">
      <c r="A6497" s="56">
        <v>14788323.1</v>
      </c>
    </row>
    <row r="6498" spans="1:1" x14ac:dyDescent="0.25">
      <c r="A6498" s="56">
        <v>0</v>
      </c>
    </row>
    <row r="6499" spans="1:1" x14ac:dyDescent="0.25">
      <c r="A6499" s="56">
        <v>33191287.800000001</v>
      </c>
    </row>
    <row r="6500" spans="1:1" x14ac:dyDescent="0.25">
      <c r="A6500" s="56">
        <v>95755011.400000006</v>
      </c>
    </row>
    <row r="6501" spans="1:1" x14ac:dyDescent="0.25">
      <c r="A6501" s="56">
        <v>9002301.0999999996</v>
      </c>
    </row>
    <row r="6502" spans="1:1" x14ac:dyDescent="0.25">
      <c r="A6502" s="56">
        <v>48669872.5</v>
      </c>
    </row>
    <row r="6503" spans="1:1" x14ac:dyDescent="0.25">
      <c r="A6503" s="56">
        <v>67122996.5</v>
      </c>
    </row>
    <row r="6504" spans="1:1" x14ac:dyDescent="0.25">
      <c r="A6504" s="56">
        <v>554284843.79999995</v>
      </c>
    </row>
    <row r="6505" spans="1:1" x14ac:dyDescent="0.25">
      <c r="A6505" s="56">
        <v>15012802.1</v>
      </c>
    </row>
    <row r="6506" spans="1:1" x14ac:dyDescent="0.25">
      <c r="A6506" s="56">
        <v>4477774.5999999996</v>
      </c>
    </row>
    <row r="6507" spans="1:1" x14ac:dyDescent="0.25">
      <c r="A6507" s="56">
        <v>884408386.60000002</v>
      </c>
    </row>
    <row r="6508" spans="1:1" x14ac:dyDescent="0.25">
      <c r="A6508" s="56">
        <v>198251873.5</v>
      </c>
    </row>
    <row r="6509" spans="1:1" x14ac:dyDescent="0.25">
      <c r="A6509" s="56">
        <v>58318497.200000003</v>
      </c>
    </row>
    <row r="6510" spans="1:1" x14ac:dyDescent="0.25">
      <c r="A6510" s="56">
        <v>55263501.200000003</v>
      </c>
    </row>
    <row r="6511" spans="1:1" x14ac:dyDescent="0.25">
      <c r="A6511" s="56">
        <v>22511581.5</v>
      </c>
    </row>
    <row r="6512" spans="1:1" x14ac:dyDescent="0.25">
      <c r="A6512" s="56">
        <v>42492962.700000003</v>
      </c>
    </row>
    <row r="6513" spans="1:1" x14ac:dyDescent="0.25">
      <c r="A6513" s="56">
        <v>0</v>
      </c>
    </row>
    <row r="6514" spans="1:1" x14ac:dyDescent="0.25">
      <c r="A6514" s="56">
        <v>7984677</v>
      </c>
    </row>
    <row r="6515" spans="1:1" x14ac:dyDescent="0.25">
      <c r="A6515" s="56">
        <v>100579594.8</v>
      </c>
    </row>
    <row r="6516" spans="1:1" x14ac:dyDescent="0.25">
      <c r="A6516" s="56">
        <v>251063849.80000001</v>
      </c>
    </row>
    <row r="6517" spans="1:1" x14ac:dyDescent="0.25">
      <c r="A6517" s="56">
        <v>21057607.899999999</v>
      </c>
    </row>
    <row r="6518" spans="1:1" x14ac:dyDescent="0.25">
      <c r="A6518" s="56">
        <v>5595573.8999999901</v>
      </c>
    </row>
    <row r="6519" spans="1:1" x14ac:dyDescent="0.25">
      <c r="A6519" s="56">
        <v>83951465.5</v>
      </c>
    </row>
    <row r="6520" spans="1:1" x14ac:dyDescent="0.25">
      <c r="A6520" s="56">
        <v>207059309.59999999</v>
      </c>
    </row>
    <row r="6521" spans="1:1" x14ac:dyDescent="0.25">
      <c r="A6521" s="56">
        <v>88520647.400000006</v>
      </c>
    </row>
    <row r="6522" spans="1:1" x14ac:dyDescent="0.25">
      <c r="A6522" s="56">
        <v>18134992.300000001</v>
      </c>
    </row>
    <row r="6523" spans="1:1" x14ac:dyDescent="0.25">
      <c r="A6523" s="56">
        <v>145682034.90000001</v>
      </c>
    </row>
    <row r="6524" spans="1:1" x14ac:dyDescent="0.25">
      <c r="A6524" s="56">
        <v>1324837.2</v>
      </c>
    </row>
    <row r="6525" spans="1:1" x14ac:dyDescent="0.25">
      <c r="A6525" s="56">
        <v>7416853</v>
      </c>
    </row>
    <row r="6526" spans="1:1" x14ac:dyDescent="0.25">
      <c r="A6526" s="56">
        <v>169176118.69999999</v>
      </c>
    </row>
    <row r="6527" spans="1:1" x14ac:dyDescent="0.25">
      <c r="A6527" s="56">
        <v>15862842</v>
      </c>
    </row>
    <row r="6528" spans="1:1" x14ac:dyDescent="0.25">
      <c r="A6528" s="56">
        <v>63529697.399999999</v>
      </c>
    </row>
    <row r="6529" spans="1:1" x14ac:dyDescent="0.25">
      <c r="A6529" s="56">
        <v>0</v>
      </c>
    </row>
    <row r="6530" spans="1:1" x14ac:dyDescent="0.25">
      <c r="A6530" s="56">
        <v>6145867.7999999998</v>
      </c>
    </row>
    <row r="6531" spans="1:1" x14ac:dyDescent="0.25">
      <c r="A6531" s="56">
        <v>2566511.7999999998</v>
      </c>
    </row>
    <row r="6532" spans="1:1" x14ac:dyDescent="0.25">
      <c r="A6532" s="56">
        <v>13183211.5</v>
      </c>
    </row>
    <row r="6533" spans="1:1" x14ac:dyDescent="0.25">
      <c r="A6533" s="56">
        <v>488974661.80000001</v>
      </c>
    </row>
    <row r="6534" spans="1:1" x14ac:dyDescent="0.25">
      <c r="A6534" s="56">
        <v>10266910</v>
      </c>
    </row>
    <row r="6535" spans="1:1" x14ac:dyDescent="0.25">
      <c r="A6535" s="56">
        <v>9096841</v>
      </c>
    </row>
    <row r="6536" spans="1:1" x14ac:dyDescent="0.25">
      <c r="A6536" s="56">
        <v>715983642.5</v>
      </c>
    </row>
    <row r="6537" spans="1:1" x14ac:dyDescent="0.25">
      <c r="A6537" s="56">
        <v>308468538.89999998</v>
      </c>
    </row>
    <row r="6538" spans="1:1" x14ac:dyDescent="0.25">
      <c r="A6538" s="56">
        <v>25361629.899999999</v>
      </c>
    </row>
    <row r="6539" spans="1:1" x14ac:dyDescent="0.25">
      <c r="A6539" s="56">
        <v>24946325.699999999</v>
      </c>
    </row>
    <row r="6540" spans="1:1" x14ac:dyDescent="0.25">
      <c r="A6540" s="56">
        <v>27670256.600000001</v>
      </c>
    </row>
    <row r="6541" spans="1:1" x14ac:dyDescent="0.25">
      <c r="A6541" s="56">
        <v>70704056.199999899</v>
      </c>
    </row>
    <row r="6542" spans="1:1" x14ac:dyDescent="0.25">
      <c r="A6542" s="56">
        <v>0</v>
      </c>
    </row>
    <row r="6543" spans="1:1" x14ac:dyDescent="0.25">
      <c r="A6543" s="56">
        <v>68043105.099999905</v>
      </c>
    </row>
    <row r="6544" spans="1:1" x14ac:dyDescent="0.25">
      <c r="A6544" s="56">
        <v>10423784.4</v>
      </c>
    </row>
    <row r="6545" spans="1:1" x14ac:dyDescent="0.25">
      <c r="A6545" s="56">
        <v>22666147.300000001</v>
      </c>
    </row>
    <row r="6546" spans="1:1" x14ac:dyDescent="0.25">
      <c r="A6546" s="56">
        <v>23784972.399999999</v>
      </c>
    </row>
    <row r="6547" spans="1:1" x14ac:dyDescent="0.25">
      <c r="A6547" s="56">
        <v>451514009.89999998</v>
      </c>
    </row>
    <row r="6548" spans="1:1" x14ac:dyDescent="0.25">
      <c r="A6548" s="56">
        <v>1019768.4</v>
      </c>
    </row>
    <row r="6549" spans="1:1" x14ac:dyDescent="0.25">
      <c r="A6549" s="56">
        <v>15194727.1</v>
      </c>
    </row>
    <row r="6550" spans="1:1" x14ac:dyDescent="0.25">
      <c r="A6550" s="56">
        <v>130063709.5</v>
      </c>
    </row>
    <row r="6551" spans="1:1" x14ac:dyDescent="0.25">
      <c r="A6551" s="56">
        <v>141102610.59999999</v>
      </c>
    </row>
    <row r="6552" spans="1:1" x14ac:dyDescent="0.25">
      <c r="A6552" s="56">
        <v>66721883.200000003</v>
      </c>
    </row>
    <row r="6553" spans="1:1" x14ac:dyDescent="0.25">
      <c r="A6553" s="56">
        <v>27756764.100000001</v>
      </c>
    </row>
    <row r="6554" spans="1:1" x14ac:dyDescent="0.25">
      <c r="A6554" s="56">
        <v>16185302.199999999</v>
      </c>
    </row>
    <row r="6555" spans="1:1" x14ac:dyDescent="0.25">
      <c r="A6555" s="56">
        <v>9099617.1999999899</v>
      </c>
    </row>
    <row r="6556" spans="1:1" x14ac:dyDescent="0.25">
      <c r="A6556" s="56">
        <v>387519245.89999998</v>
      </c>
    </row>
    <row r="6557" spans="1:1" x14ac:dyDescent="0.25">
      <c r="A6557" s="56">
        <v>171152835.80000001</v>
      </c>
    </row>
    <row r="6558" spans="1:1" x14ac:dyDescent="0.25">
      <c r="A6558" s="56">
        <v>34172972.700000003</v>
      </c>
    </row>
    <row r="6559" spans="1:1" x14ac:dyDescent="0.25">
      <c r="A6559" s="56">
        <v>46975808.299999997</v>
      </c>
    </row>
    <row r="6560" spans="1:1" x14ac:dyDescent="0.25">
      <c r="A6560" s="56">
        <v>2802705.6</v>
      </c>
    </row>
    <row r="6561" spans="1:1" x14ac:dyDescent="0.25">
      <c r="A6561" s="56">
        <v>34235940</v>
      </c>
    </row>
    <row r="6562" spans="1:1" x14ac:dyDescent="0.25">
      <c r="A6562" s="56">
        <v>15396144.6</v>
      </c>
    </row>
    <row r="6563" spans="1:1" x14ac:dyDescent="0.25">
      <c r="A6563" s="56">
        <v>19220330.5</v>
      </c>
    </row>
    <row r="6564" spans="1:1" x14ac:dyDescent="0.25">
      <c r="A6564" s="56">
        <v>2477086.2000000002</v>
      </c>
    </row>
    <row r="6565" spans="1:1" x14ac:dyDescent="0.25">
      <c r="A6565" s="56">
        <v>52323339.399999902</v>
      </c>
    </row>
    <row r="6566" spans="1:1" x14ac:dyDescent="0.25">
      <c r="A6566" s="56">
        <v>59567632.399999902</v>
      </c>
    </row>
    <row r="6567" spans="1:1" x14ac:dyDescent="0.25">
      <c r="A6567" s="56">
        <v>21368108.699999999</v>
      </c>
    </row>
    <row r="6568" spans="1:1" x14ac:dyDescent="0.25">
      <c r="A6568" s="56">
        <v>66646640.299999997</v>
      </c>
    </row>
    <row r="6569" spans="1:1" x14ac:dyDescent="0.25">
      <c r="A6569" s="56">
        <v>9207282.3000000007</v>
      </c>
    </row>
    <row r="6570" spans="1:1" x14ac:dyDescent="0.25">
      <c r="A6570" s="56">
        <v>4280024.2</v>
      </c>
    </row>
    <row r="6571" spans="1:1" x14ac:dyDescent="0.25">
      <c r="A6571" s="56">
        <v>2921542.2</v>
      </c>
    </row>
    <row r="6572" spans="1:1" x14ac:dyDescent="0.25">
      <c r="A6572" s="56">
        <v>24143450.199999999</v>
      </c>
    </row>
    <row r="6573" spans="1:1" x14ac:dyDescent="0.25">
      <c r="A6573" s="56">
        <v>20060085.5</v>
      </c>
    </row>
    <row r="6574" spans="1:1" x14ac:dyDescent="0.25">
      <c r="A6574" s="56">
        <v>17354190</v>
      </c>
    </row>
    <row r="6575" spans="1:1" x14ac:dyDescent="0.25">
      <c r="A6575" s="56">
        <v>54465986.099999897</v>
      </c>
    </row>
    <row r="6576" spans="1:1" x14ac:dyDescent="0.25">
      <c r="A6576" s="56">
        <v>13113917.4</v>
      </c>
    </row>
    <row r="6577" spans="1:1" x14ac:dyDescent="0.25">
      <c r="A6577" s="56">
        <v>48547033.299999997</v>
      </c>
    </row>
    <row r="6578" spans="1:1" x14ac:dyDescent="0.25">
      <c r="A6578" s="56">
        <v>12076418.199999999</v>
      </c>
    </row>
    <row r="6579" spans="1:1" x14ac:dyDescent="0.25">
      <c r="A6579" s="56">
        <v>0</v>
      </c>
    </row>
    <row r="6580" spans="1:1" x14ac:dyDescent="0.25">
      <c r="A6580" s="56">
        <v>30284379.699999999</v>
      </c>
    </row>
    <row r="6581" spans="1:1" x14ac:dyDescent="0.25">
      <c r="A6581" s="56">
        <v>88017386.099999905</v>
      </c>
    </row>
    <row r="6582" spans="1:1" x14ac:dyDescent="0.25">
      <c r="A6582" s="56">
        <v>161832749.80000001</v>
      </c>
    </row>
    <row r="6583" spans="1:1" x14ac:dyDescent="0.25">
      <c r="A6583" s="56">
        <v>0</v>
      </c>
    </row>
    <row r="6584" spans="1:1" x14ac:dyDescent="0.25">
      <c r="A6584" s="56">
        <v>20282783.199999999</v>
      </c>
    </row>
    <row r="6585" spans="1:1" x14ac:dyDescent="0.25">
      <c r="A6585" s="56">
        <v>221077833.5</v>
      </c>
    </row>
    <row r="6586" spans="1:1" x14ac:dyDescent="0.25">
      <c r="A6586" s="56">
        <v>75036959.400000006</v>
      </c>
    </row>
    <row r="6587" spans="1:1" x14ac:dyDescent="0.25">
      <c r="A6587" s="56">
        <v>8780022.3000000007</v>
      </c>
    </row>
    <row r="6588" spans="1:1" x14ac:dyDescent="0.25">
      <c r="A6588" s="56">
        <v>121736676.2</v>
      </c>
    </row>
    <row r="6589" spans="1:1" x14ac:dyDescent="0.25">
      <c r="A6589" s="56">
        <v>8447855</v>
      </c>
    </row>
    <row r="6590" spans="1:1" x14ac:dyDescent="0.25">
      <c r="A6590" s="56">
        <v>70967132.299999997</v>
      </c>
    </row>
    <row r="6591" spans="1:1" x14ac:dyDescent="0.25">
      <c r="A6591" s="56">
        <v>64011060.700000003</v>
      </c>
    </row>
    <row r="6592" spans="1:1" x14ac:dyDescent="0.25">
      <c r="A6592" s="56">
        <v>77066143.599999905</v>
      </c>
    </row>
    <row r="6593" spans="1:1" x14ac:dyDescent="0.25">
      <c r="A6593" s="56">
        <v>6008032.5</v>
      </c>
    </row>
    <row r="6594" spans="1:1" x14ac:dyDescent="0.25">
      <c r="A6594" s="56">
        <v>17945673.199999999</v>
      </c>
    </row>
    <row r="6595" spans="1:1" x14ac:dyDescent="0.25">
      <c r="A6595" s="56">
        <v>162775482.90000001</v>
      </c>
    </row>
    <row r="6596" spans="1:1" x14ac:dyDescent="0.25">
      <c r="A6596" s="56">
        <v>23557838.399999999</v>
      </c>
    </row>
    <row r="6597" spans="1:1" x14ac:dyDescent="0.25">
      <c r="A6597" s="56">
        <v>192731434.40000001</v>
      </c>
    </row>
    <row r="6598" spans="1:1" x14ac:dyDescent="0.25">
      <c r="A6598" s="56">
        <v>22826633.199999999</v>
      </c>
    </row>
    <row r="6599" spans="1:1" x14ac:dyDescent="0.25">
      <c r="A6599" s="56">
        <v>9956087.8999999892</v>
      </c>
    </row>
    <row r="6600" spans="1:1" x14ac:dyDescent="0.25">
      <c r="A6600" s="56">
        <v>5709055.2000000002</v>
      </c>
    </row>
    <row r="6601" spans="1:1" x14ac:dyDescent="0.25">
      <c r="A6601" s="56">
        <v>37150062.700000003</v>
      </c>
    </row>
    <row r="6602" spans="1:1" x14ac:dyDescent="0.25">
      <c r="A6602" s="56">
        <v>12986703</v>
      </c>
    </row>
    <row r="6603" spans="1:1" x14ac:dyDescent="0.25">
      <c r="A6603" s="56">
        <v>163700647.69999999</v>
      </c>
    </row>
    <row r="6604" spans="1:1" x14ac:dyDescent="0.25">
      <c r="A6604" s="56">
        <v>53047427.399999999</v>
      </c>
    </row>
    <row r="6605" spans="1:1" x14ac:dyDescent="0.25">
      <c r="A6605" s="56">
        <v>93489162.699999899</v>
      </c>
    </row>
    <row r="6606" spans="1:1" x14ac:dyDescent="0.25">
      <c r="A6606" s="56">
        <v>80708360.699999899</v>
      </c>
    </row>
    <row r="6607" spans="1:1" x14ac:dyDescent="0.25">
      <c r="A6607" s="56">
        <v>0</v>
      </c>
    </row>
    <row r="6608" spans="1:1" x14ac:dyDescent="0.25">
      <c r="A6608" s="56">
        <v>5895068.8999999901</v>
      </c>
    </row>
    <row r="6609" spans="1:1" x14ac:dyDescent="0.25">
      <c r="A6609" s="56">
        <v>10094186.6</v>
      </c>
    </row>
    <row r="6610" spans="1:1" x14ac:dyDescent="0.25">
      <c r="A6610" s="56">
        <v>37887919.100000001</v>
      </c>
    </row>
    <row r="6611" spans="1:1" x14ac:dyDescent="0.25">
      <c r="A6611" s="56">
        <v>57920087.399999902</v>
      </c>
    </row>
    <row r="6612" spans="1:1" x14ac:dyDescent="0.25">
      <c r="A6612" s="56">
        <v>22465156.899999999</v>
      </c>
    </row>
    <row r="6613" spans="1:1" x14ac:dyDescent="0.25">
      <c r="A6613" s="56">
        <v>188618986.80000001</v>
      </c>
    </row>
    <row r="6614" spans="1:1" x14ac:dyDescent="0.25">
      <c r="A6614" s="56">
        <v>16305136.6</v>
      </c>
    </row>
    <row r="6615" spans="1:1" x14ac:dyDescent="0.25">
      <c r="A6615" s="56">
        <v>171796323.59999999</v>
      </c>
    </row>
    <row r="6616" spans="1:1" x14ac:dyDescent="0.25">
      <c r="A6616" s="56">
        <v>0</v>
      </c>
    </row>
    <row r="6617" spans="1:1" x14ac:dyDescent="0.25">
      <c r="A6617" s="56">
        <v>63040014.600000001</v>
      </c>
    </row>
    <row r="6618" spans="1:1" x14ac:dyDescent="0.25">
      <c r="A6618" s="56">
        <v>71047368.699999899</v>
      </c>
    </row>
    <row r="6619" spans="1:1" x14ac:dyDescent="0.25">
      <c r="A6619" s="56">
        <v>5018647</v>
      </c>
    </row>
    <row r="6620" spans="1:1" x14ac:dyDescent="0.25">
      <c r="A6620" s="56">
        <v>45226165.299999997</v>
      </c>
    </row>
    <row r="6621" spans="1:1" x14ac:dyDescent="0.25">
      <c r="A6621" s="56">
        <v>131125177.3</v>
      </c>
    </row>
    <row r="6622" spans="1:1" x14ac:dyDescent="0.25">
      <c r="A6622" s="56">
        <v>133366804.90000001</v>
      </c>
    </row>
    <row r="6623" spans="1:1" x14ac:dyDescent="0.25">
      <c r="A6623" s="56">
        <v>49505256.499999903</v>
      </c>
    </row>
    <row r="6624" spans="1:1" x14ac:dyDescent="0.25">
      <c r="A6624" s="56">
        <v>35410474.899999999</v>
      </c>
    </row>
    <row r="6625" spans="1:1" x14ac:dyDescent="0.25">
      <c r="A6625" s="56">
        <v>10372088.5</v>
      </c>
    </row>
    <row r="6626" spans="1:1" x14ac:dyDescent="0.25">
      <c r="A6626" s="56">
        <v>156263475</v>
      </c>
    </row>
    <row r="6627" spans="1:1" x14ac:dyDescent="0.25">
      <c r="A6627" s="56">
        <v>208937274.09999999</v>
      </c>
    </row>
    <row r="6628" spans="1:1" x14ac:dyDescent="0.25">
      <c r="A6628" s="56">
        <v>29567785</v>
      </c>
    </row>
    <row r="6629" spans="1:1" x14ac:dyDescent="0.25">
      <c r="A6629" s="56">
        <v>5266863.6999999899</v>
      </c>
    </row>
    <row r="6630" spans="1:1" x14ac:dyDescent="0.25">
      <c r="A6630" s="56">
        <v>71612340.299999997</v>
      </c>
    </row>
    <row r="6631" spans="1:1" x14ac:dyDescent="0.25">
      <c r="A6631" s="56">
        <v>5895068.8999999901</v>
      </c>
    </row>
    <row r="6632" spans="1:1" x14ac:dyDescent="0.25">
      <c r="A6632" s="56">
        <v>26517033.699999999</v>
      </c>
    </row>
    <row r="6633" spans="1:1" x14ac:dyDescent="0.25">
      <c r="A6633" s="56">
        <v>40795399.700000003</v>
      </c>
    </row>
    <row r="6634" spans="1:1" x14ac:dyDescent="0.25">
      <c r="A6634" s="56">
        <v>13649245.5</v>
      </c>
    </row>
    <row r="6635" spans="1:1" x14ac:dyDescent="0.25">
      <c r="A6635" s="56">
        <v>28338475.899999999</v>
      </c>
    </row>
    <row r="6636" spans="1:1" x14ac:dyDescent="0.25">
      <c r="A6636" s="56">
        <v>17801744.5</v>
      </c>
    </row>
    <row r="6637" spans="1:1" x14ac:dyDescent="0.25">
      <c r="A6637" s="56">
        <v>10860308.199999999</v>
      </c>
    </row>
    <row r="6638" spans="1:1" x14ac:dyDescent="0.25">
      <c r="A6638" s="56">
        <v>47227658.099999897</v>
      </c>
    </row>
    <row r="6639" spans="1:1" x14ac:dyDescent="0.25">
      <c r="A6639" s="56">
        <v>65946587.2999999</v>
      </c>
    </row>
    <row r="6640" spans="1:1" x14ac:dyDescent="0.25">
      <c r="A6640" s="56">
        <v>0</v>
      </c>
    </row>
    <row r="6641" spans="1:1" x14ac:dyDescent="0.25">
      <c r="A6641" s="56">
        <v>16261740.9</v>
      </c>
    </row>
    <row r="6642" spans="1:1" x14ac:dyDescent="0.25">
      <c r="A6642" s="56">
        <v>530640.80000000005</v>
      </c>
    </row>
    <row r="6643" spans="1:1" x14ac:dyDescent="0.25">
      <c r="A6643" s="56">
        <v>231475728.69999999</v>
      </c>
    </row>
    <row r="6644" spans="1:1" x14ac:dyDescent="0.25">
      <c r="A6644" s="56">
        <v>13290431.199999999</v>
      </c>
    </row>
    <row r="6645" spans="1:1" x14ac:dyDescent="0.25">
      <c r="A6645" s="56">
        <v>3509304</v>
      </c>
    </row>
    <row r="6646" spans="1:1" x14ac:dyDescent="0.25">
      <c r="A6646" s="56">
        <v>13145127.1</v>
      </c>
    </row>
    <row r="6647" spans="1:1" x14ac:dyDescent="0.25">
      <c r="A6647" s="56">
        <v>0</v>
      </c>
    </row>
    <row r="6648" spans="1:1" x14ac:dyDescent="0.25">
      <c r="A6648" s="56">
        <v>67956581.399999902</v>
      </c>
    </row>
    <row r="6649" spans="1:1" x14ac:dyDescent="0.25">
      <c r="A6649" s="56">
        <v>183226282.69999999</v>
      </c>
    </row>
    <row r="6650" spans="1:1" x14ac:dyDescent="0.25">
      <c r="A6650" s="56">
        <v>2407338.6</v>
      </c>
    </row>
    <row r="6651" spans="1:1" x14ac:dyDescent="0.25">
      <c r="A6651" s="56">
        <v>1034119.6</v>
      </c>
    </row>
    <row r="6652" spans="1:1" x14ac:dyDescent="0.25">
      <c r="A6652" s="56">
        <v>15061680.5</v>
      </c>
    </row>
    <row r="6653" spans="1:1" x14ac:dyDescent="0.25">
      <c r="A6653" s="56">
        <v>49780453.599999897</v>
      </c>
    </row>
    <row r="6654" spans="1:1" x14ac:dyDescent="0.25">
      <c r="A6654" s="56">
        <v>58201769.099999897</v>
      </c>
    </row>
    <row r="6655" spans="1:1" x14ac:dyDescent="0.25">
      <c r="A6655" s="56">
        <v>20976682.399999999</v>
      </c>
    </row>
    <row r="6656" spans="1:1" x14ac:dyDescent="0.25">
      <c r="A6656" s="56">
        <v>15040550.5</v>
      </c>
    </row>
    <row r="6657" spans="1:1" x14ac:dyDescent="0.25">
      <c r="A6657" s="56">
        <v>19666531.800000001</v>
      </c>
    </row>
    <row r="6658" spans="1:1" x14ac:dyDescent="0.25">
      <c r="A6658" s="56">
        <v>6392355.9000000004</v>
      </c>
    </row>
    <row r="6659" spans="1:1" x14ac:dyDescent="0.25">
      <c r="A6659" s="56">
        <v>18483099.600000001</v>
      </c>
    </row>
    <row r="6660" spans="1:1" x14ac:dyDescent="0.25">
      <c r="A6660" s="56">
        <v>0</v>
      </c>
    </row>
    <row r="6661" spans="1:1" x14ac:dyDescent="0.25">
      <c r="A6661" s="56">
        <v>78197158.5</v>
      </c>
    </row>
    <row r="6662" spans="1:1" x14ac:dyDescent="0.25">
      <c r="A6662" s="56">
        <v>19525131</v>
      </c>
    </row>
    <row r="6663" spans="1:1" x14ac:dyDescent="0.25">
      <c r="A6663" s="56">
        <v>5266863.6999999899</v>
      </c>
    </row>
    <row r="6664" spans="1:1" x14ac:dyDescent="0.25">
      <c r="A6664" s="56">
        <v>0</v>
      </c>
    </row>
    <row r="6665" spans="1:1" x14ac:dyDescent="0.25">
      <c r="A6665" s="56">
        <v>45530321.200000003</v>
      </c>
    </row>
    <row r="6666" spans="1:1" x14ac:dyDescent="0.25">
      <c r="A6666" s="56">
        <v>5606111.6999999899</v>
      </c>
    </row>
    <row r="6667" spans="1:1" x14ac:dyDescent="0.25">
      <c r="A6667" s="56">
        <v>21977005.5</v>
      </c>
    </row>
    <row r="6668" spans="1:1" x14ac:dyDescent="0.25">
      <c r="A6668" s="56">
        <v>58338442.999999903</v>
      </c>
    </row>
    <row r="6669" spans="1:1" x14ac:dyDescent="0.25">
      <c r="A6669" s="56">
        <v>116082318.7</v>
      </c>
    </row>
    <row r="6670" spans="1:1" x14ac:dyDescent="0.25">
      <c r="A6670" s="56">
        <v>124224563.3</v>
      </c>
    </row>
    <row r="6671" spans="1:1" x14ac:dyDescent="0.25">
      <c r="A6671" s="56">
        <v>41813820.399999902</v>
      </c>
    </row>
    <row r="6672" spans="1:1" x14ac:dyDescent="0.25">
      <c r="A6672" s="56">
        <v>4278749.8</v>
      </c>
    </row>
    <row r="6673" spans="1:1" x14ac:dyDescent="0.25">
      <c r="A6673" s="56">
        <v>16013087.300000001</v>
      </c>
    </row>
    <row r="6674" spans="1:1" x14ac:dyDescent="0.25">
      <c r="A6674" s="56">
        <v>13796855.4</v>
      </c>
    </row>
    <row r="6675" spans="1:1" x14ac:dyDescent="0.25">
      <c r="A6675" s="56">
        <v>38738647.399999999</v>
      </c>
    </row>
    <row r="6676" spans="1:1" x14ac:dyDescent="0.25">
      <c r="A6676" s="56">
        <v>20539350.300000001</v>
      </c>
    </row>
    <row r="6677" spans="1:1" x14ac:dyDescent="0.25">
      <c r="A6677" s="56">
        <v>6939241.2000000002</v>
      </c>
    </row>
    <row r="6678" spans="1:1" x14ac:dyDescent="0.25">
      <c r="A6678" s="56">
        <v>0</v>
      </c>
    </row>
    <row r="6679" spans="1:1" x14ac:dyDescent="0.25">
      <c r="A6679" s="56">
        <v>104506227.40000001</v>
      </c>
    </row>
    <row r="6680" spans="1:1" x14ac:dyDescent="0.25">
      <c r="A6680" s="56">
        <v>55287520.5</v>
      </c>
    </row>
    <row r="6681" spans="1:1" x14ac:dyDescent="0.25">
      <c r="A6681" s="56">
        <v>4534148.2</v>
      </c>
    </row>
    <row r="6682" spans="1:1" x14ac:dyDescent="0.25">
      <c r="A6682" s="56">
        <v>28516831.399999999</v>
      </c>
    </row>
    <row r="6683" spans="1:1" x14ac:dyDescent="0.25">
      <c r="A6683" s="56">
        <v>6058341.4000000004</v>
      </c>
    </row>
    <row r="6684" spans="1:1" x14ac:dyDescent="0.25">
      <c r="A6684" s="56">
        <v>40396630.799999997</v>
      </c>
    </row>
    <row r="6685" spans="1:1" x14ac:dyDescent="0.25">
      <c r="A6685" s="56">
        <v>4188026.2</v>
      </c>
    </row>
    <row r="6686" spans="1:1" x14ac:dyDescent="0.25">
      <c r="A6686" s="56">
        <v>373941916.39999998</v>
      </c>
    </row>
    <row r="6687" spans="1:1" x14ac:dyDescent="0.25">
      <c r="A6687" s="56">
        <v>103182392.90000001</v>
      </c>
    </row>
    <row r="6688" spans="1:1" x14ac:dyDescent="0.25">
      <c r="A6688" s="56">
        <v>73594093</v>
      </c>
    </row>
    <row r="6689" spans="1:1" x14ac:dyDescent="0.25">
      <c r="A6689" s="56">
        <v>0</v>
      </c>
    </row>
    <row r="6690" spans="1:1" x14ac:dyDescent="0.25">
      <c r="A6690" s="56">
        <v>27939653.199999999</v>
      </c>
    </row>
    <row r="6691" spans="1:1" x14ac:dyDescent="0.25">
      <c r="A6691" s="56">
        <v>22662252.800000001</v>
      </c>
    </row>
    <row r="6692" spans="1:1" x14ac:dyDescent="0.25">
      <c r="A6692" s="56">
        <v>8259403.1999999899</v>
      </c>
    </row>
    <row r="6693" spans="1:1" x14ac:dyDescent="0.25">
      <c r="A6693" s="56">
        <v>0</v>
      </c>
    </row>
    <row r="6694" spans="1:1" x14ac:dyDescent="0.25">
      <c r="A6694" s="56">
        <v>5033965.3</v>
      </c>
    </row>
    <row r="6695" spans="1:1" x14ac:dyDescent="0.25">
      <c r="A6695" s="56">
        <v>548018.4</v>
      </c>
    </row>
    <row r="6696" spans="1:1" x14ac:dyDescent="0.25">
      <c r="A6696" s="56">
        <v>14081662.6</v>
      </c>
    </row>
    <row r="6697" spans="1:1" x14ac:dyDescent="0.25">
      <c r="A6697" s="56">
        <v>27046552</v>
      </c>
    </row>
    <row r="6698" spans="1:1" x14ac:dyDescent="0.25">
      <c r="A6698" s="56">
        <v>0</v>
      </c>
    </row>
    <row r="6699" spans="1:1" x14ac:dyDescent="0.25">
      <c r="A6699" s="56">
        <v>0</v>
      </c>
    </row>
    <row r="6700" spans="1:1" x14ac:dyDescent="0.25">
      <c r="A6700" s="56">
        <v>248974822.90000001</v>
      </c>
    </row>
    <row r="6701" spans="1:1" x14ac:dyDescent="0.25">
      <c r="A6701" s="56">
        <v>32001403</v>
      </c>
    </row>
    <row r="6702" spans="1:1" x14ac:dyDescent="0.25">
      <c r="A6702" s="56">
        <v>4036695</v>
      </c>
    </row>
    <row r="6703" spans="1:1" x14ac:dyDescent="0.25">
      <c r="A6703" s="56">
        <v>17515141.199999999</v>
      </c>
    </row>
    <row r="6704" spans="1:1" x14ac:dyDescent="0.25">
      <c r="A6704" s="56">
        <v>10141578.6</v>
      </c>
    </row>
    <row r="6705" spans="1:1" x14ac:dyDescent="0.25">
      <c r="A6705" s="56">
        <v>114405011</v>
      </c>
    </row>
    <row r="6706" spans="1:1" x14ac:dyDescent="0.25">
      <c r="A6706" s="56">
        <v>4197731.3999999901</v>
      </c>
    </row>
    <row r="6707" spans="1:1" x14ac:dyDescent="0.25">
      <c r="A6707" s="56">
        <v>305677454.60000002</v>
      </c>
    </row>
    <row r="6708" spans="1:1" x14ac:dyDescent="0.25">
      <c r="A6708" s="56">
        <v>418827890.89999998</v>
      </c>
    </row>
    <row r="6709" spans="1:1" x14ac:dyDescent="0.25">
      <c r="A6709" s="56">
        <v>78713804.499999896</v>
      </c>
    </row>
    <row r="6710" spans="1:1" x14ac:dyDescent="0.25">
      <c r="A6710" s="56">
        <v>52616921.999999903</v>
      </c>
    </row>
    <row r="6711" spans="1:1" x14ac:dyDescent="0.25">
      <c r="A6711" s="56">
        <v>74255210.699999899</v>
      </c>
    </row>
    <row r="6712" spans="1:1" x14ac:dyDescent="0.25">
      <c r="A6712" s="56">
        <v>81798353</v>
      </c>
    </row>
    <row r="6713" spans="1:1" x14ac:dyDescent="0.25">
      <c r="A6713" s="56">
        <v>11263991.4</v>
      </c>
    </row>
    <row r="6714" spans="1:1" x14ac:dyDescent="0.25">
      <c r="A6714" s="56">
        <v>25377597</v>
      </c>
    </row>
    <row r="6715" spans="1:1" x14ac:dyDescent="0.25">
      <c r="A6715" s="56">
        <v>51197638.700000003</v>
      </c>
    </row>
    <row r="6716" spans="1:1" x14ac:dyDescent="0.25">
      <c r="A6716" s="56">
        <v>6804188.2999999998</v>
      </c>
    </row>
    <row r="6717" spans="1:1" x14ac:dyDescent="0.25">
      <c r="A6717" s="56">
        <v>2596891.7999999998</v>
      </c>
    </row>
    <row r="6718" spans="1:1" x14ac:dyDescent="0.25">
      <c r="A6718" s="56">
        <v>21735490.5</v>
      </c>
    </row>
    <row r="6719" spans="1:1" x14ac:dyDescent="0.25">
      <c r="A6719" s="56">
        <v>422129524.80000001</v>
      </c>
    </row>
    <row r="6720" spans="1:1" x14ac:dyDescent="0.25">
      <c r="A6720" s="56">
        <v>26710292.100000001</v>
      </c>
    </row>
    <row r="6721" spans="1:1" x14ac:dyDescent="0.25">
      <c r="A6721" s="56">
        <v>8293681.2999999896</v>
      </c>
    </row>
    <row r="6722" spans="1:1" x14ac:dyDescent="0.25">
      <c r="A6722" s="56">
        <v>42335302.799999997</v>
      </c>
    </row>
    <row r="6723" spans="1:1" x14ac:dyDescent="0.25">
      <c r="A6723" s="56">
        <v>4165559</v>
      </c>
    </row>
    <row r="6724" spans="1:1" x14ac:dyDescent="0.25">
      <c r="A6724" s="56">
        <v>75665993.599999905</v>
      </c>
    </row>
    <row r="6725" spans="1:1" x14ac:dyDescent="0.25">
      <c r="A6725" s="56">
        <v>322090513.80000001</v>
      </c>
    </row>
    <row r="6726" spans="1:1" x14ac:dyDescent="0.25">
      <c r="A6726" s="56">
        <v>0</v>
      </c>
    </row>
    <row r="6727" spans="1:1" x14ac:dyDescent="0.25">
      <c r="A6727" s="56">
        <v>0</v>
      </c>
    </row>
    <row r="6728" spans="1:1" x14ac:dyDescent="0.25">
      <c r="A6728" s="56">
        <v>30431864.699999999</v>
      </c>
    </row>
    <row r="6729" spans="1:1" x14ac:dyDescent="0.25">
      <c r="A6729" s="56">
        <v>54386386.899999999</v>
      </c>
    </row>
    <row r="6730" spans="1:1" x14ac:dyDescent="0.25">
      <c r="A6730" s="56">
        <v>106383258.3</v>
      </c>
    </row>
    <row r="6731" spans="1:1" x14ac:dyDescent="0.25">
      <c r="A6731" s="56">
        <v>9254753.4000000004</v>
      </c>
    </row>
    <row r="6732" spans="1:1" x14ac:dyDescent="0.25">
      <c r="A6732" s="56">
        <v>5686337.5999999996</v>
      </c>
    </row>
    <row r="6733" spans="1:1" x14ac:dyDescent="0.25">
      <c r="A6733" s="56">
        <v>0</v>
      </c>
    </row>
    <row r="6734" spans="1:1" x14ac:dyDescent="0.25">
      <c r="A6734" s="56">
        <v>0</v>
      </c>
    </row>
    <row r="6735" spans="1:1" x14ac:dyDescent="0.25">
      <c r="A6735" s="56">
        <v>85134192.699999899</v>
      </c>
    </row>
    <row r="6736" spans="1:1" x14ac:dyDescent="0.25">
      <c r="A6736" s="56">
        <v>20685666</v>
      </c>
    </row>
    <row r="6737" spans="1:1" x14ac:dyDescent="0.25">
      <c r="A6737" s="56">
        <v>139829836.69999999</v>
      </c>
    </row>
    <row r="6738" spans="1:1" x14ac:dyDescent="0.25">
      <c r="A6738" s="56">
        <v>128787769.5</v>
      </c>
    </row>
    <row r="6739" spans="1:1" x14ac:dyDescent="0.25">
      <c r="A6739" s="56">
        <v>2835700</v>
      </c>
    </row>
    <row r="6740" spans="1:1" x14ac:dyDescent="0.25">
      <c r="A6740" s="56">
        <v>20703233.699999999</v>
      </c>
    </row>
    <row r="6741" spans="1:1" x14ac:dyDescent="0.25">
      <c r="A6741" s="56">
        <v>4546379.3999999901</v>
      </c>
    </row>
    <row r="6742" spans="1:1" x14ac:dyDescent="0.25">
      <c r="A6742" s="56">
        <v>49192373.700000003</v>
      </c>
    </row>
    <row r="6743" spans="1:1" x14ac:dyDescent="0.25">
      <c r="A6743" s="56">
        <v>0</v>
      </c>
    </row>
    <row r="6744" spans="1:1" x14ac:dyDescent="0.25">
      <c r="A6744" s="56">
        <v>18207787.199999999</v>
      </c>
    </row>
    <row r="6745" spans="1:1" x14ac:dyDescent="0.25">
      <c r="A6745" s="56">
        <v>19851269.800000001</v>
      </c>
    </row>
    <row r="6746" spans="1:1" x14ac:dyDescent="0.25">
      <c r="A6746" s="56">
        <v>169356047.19999999</v>
      </c>
    </row>
    <row r="6747" spans="1:1" x14ac:dyDescent="0.25">
      <c r="A6747" s="56">
        <v>68283018.900000006</v>
      </c>
    </row>
    <row r="6748" spans="1:1" x14ac:dyDescent="0.25">
      <c r="A6748" s="56">
        <v>16071689.4</v>
      </c>
    </row>
    <row r="6749" spans="1:1" x14ac:dyDescent="0.25">
      <c r="A6749" s="56">
        <v>576768223.5</v>
      </c>
    </row>
    <row r="6750" spans="1:1" x14ac:dyDescent="0.25">
      <c r="A6750" s="56">
        <v>8535515.6999999899</v>
      </c>
    </row>
    <row r="6751" spans="1:1" x14ac:dyDescent="0.25">
      <c r="A6751" s="56">
        <v>13513920.800000001</v>
      </c>
    </row>
    <row r="6752" spans="1:1" x14ac:dyDescent="0.25">
      <c r="A6752" s="56">
        <v>73180152.200000003</v>
      </c>
    </row>
    <row r="6753" spans="1:1" x14ac:dyDescent="0.25">
      <c r="A6753" s="56">
        <v>13418480.800000001</v>
      </c>
    </row>
    <row r="6754" spans="1:1" x14ac:dyDescent="0.25">
      <c r="A6754" s="56">
        <v>47682779.099999897</v>
      </c>
    </row>
    <row r="6755" spans="1:1" x14ac:dyDescent="0.25">
      <c r="A6755" s="56">
        <v>0</v>
      </c>
    </row>
    <row r="6756" spans="1:1" x14ac:dyDescent="0.25">
      <c r="A6756" s="56">
        <v>124592946.90000001</v>
      </c>
    </row>
    <row r="6757" spans="1:1" x14ac:dyDescent="0.25">
      <c r="A6757" s="56">
        <v>109641162.09999999</v>
      </c>
    </row>
    <row r="6758" spans="1:1" x14ac:dyDescent="0.25">
      <c r="A6758" s="56">
        <v>10148767.199999999</v>
      </c>
    </row>
    <row r="6759" spans="1:1" x14ac:dyDescent="0.25">
      <c r="A6759" s="56">
        <v>22624774.800000001</v>
      </c>
    </row>
    <row r="6760" spans="1:1" x14ac:dyDescent="0.25">
      <c r="A6760" s="56">
        <v>11661146</v>
      </c>
    </row>
    <row r="6761" spans="1:1" x14ac:dyDescent="0.25">
      <c r="A6761" s="56">
        <v>22563274.100000001</v>
      </c>
    </row>
    <row r="6762" spans="1:1" x14ac:dyDescent="0.25">
      <c r="A6762" s="56">
        <v>56358114.399999902</v>
      </c>
    </row>
    <row r="6763" spans="1:1" x14ac:dyDescent="0.25">
      <c r="A6763" s="56">
        <v>227431940.19999999</v>
      </c>
    </row>
    <row r="6764" spans="1:1" x14ac:dyDescent="0.25">
      <c r="A6764" s="56">
        <v>268868982.49999899</v>
      </c>
    </row>
    <row r="6765" spans="1:1" x14ac:dyDescent="0.25">
      <c r="A6765" s="56">
        <v>405776598.10000002</v>
      </c>
    </row>
    <row r="6766" spans="1:1" x14ac:dyDescent="0.25">
      <c r="A6766" s="56">
        <v>56242368.599999897</v>
      </c>
    </row>
    <row r="6767" spans="1:1" x14ac:dyDescent="0.25">
      <c r="A6767" s="56">
        <v>28255240.100000001</v>
      </c>
    </row>
    <row r="6768" spans="1:1" x14ac:dyDescent="0.25">
      <c r="A6768" s="56">
        <v>21976885.100000001</v>
      </c>
    </row>
    <row r="6769" spans="1:1" x14ac:dyDescent="0.25">
      <c r="A6769" s="56">
        <v>19317893.600000001</v>
      </c>
    </row>
    <row r="6770" spans="1:1" x14ac:dyDescent="0.25">
      <c r="A6770" s="56">
        <v>6533211.2999999998</v>
      </c>
    </row>
    <row r="6771" spans="1:1" x14ac:dyDescent="0.25">
      <c r="A6771" s="56">
        <v>234966693</v>
      </c>
    </row>
    <row r="6772" spans="1:1" x14ac:dyDescent="0.25">
      <c r="A6772" s="56">
        <v>21803257.199999999</v>
      </c>
    </row>
    <row r="6773" spans="1:1" x14ac:dyDescent="0.25">
      <c r="A6773" s="56">
        <v>2890685.8</v>
      </c>
    </row>
    <row r="6774" spans="1:1" x14ac:dyDescent="0.25">
      <c r="A6774" s="56">
        <v>27706283</v>
      </c>
    </row>
    <row r="6775" spans="1:1" x14ac:dyDescent="0.25">
      <c r="A6775" s="56">
        <v>221302854.30000001</v>
      </c>
    </row>
    <row r="6776" spans="1:1" x14ac:dyDescent="0.25">
      <c r="A6776" s="56">
        <v>91856713.599999905</v>
      </c>
    </row>
    <row r="6777" spans="1:1" x14ac:dyDescent="0.25">
      <c r="A6777" s="56">
        <v>0</v>
      </c>
    </row>
    <row r="6778" spans="1:1" x14ac:dyDescent="0.25">
      <c r="A6778" s="56">
        <v>12142319.699999999</v>
      </c>
    </row>
    <row r="6779" spans="1:1" x14ac:dyDescent="0.25">
      <c r="A6779" s="56">
        <v>746087.6</v>
      </c>
    </row>
    <row r="6780" spans="1:1" x14ac:dyDescent="0.25">
      <c r="A6780" s="56">
        <v>16078369.199999999</v>
      </c>
    </row>
    <row r="6781" spans="1:1" x14ac:dyDescent="0.25">
      <c r="A6781" s="56">
        <v>6525311.9999999898</v>
      </c>
    </row>
    <row r="6782" spans="1:1" x14ac:dyDescent="0.25">
      <c r="A6782" s="56">
        <v>1526020.8</v>
      </c>
    </row>
    <row r="6783" spans="1:1" x14ac:dyDescent="0.25">
      <c r="A6783" s="56">
        <v>56684459.700000003</v>
      </c>
    </row>
    <row r="6784" spans="1:1" x14ac:dyDescent="0.25">
      <c r="A6784" s="56">
        <v>65233775</v>
      </c>
    </row>
    <row r="6785" spans="1:1" x14ac:dyDescent="0.25">
      <c r="A6785" s="56">
        <v>34565135.100000001</v>
      </c>
    </row>
    <row r="6786" spans="1:1" x14ac:dyDescent="0.25">
      <c r="A6786" s="56">
        <v>167753473.30000001</v>
      </c>
    </row>
    <row r="6787" spans="1:1" x14ac:dyDescent="0.25">
      <c r="A6787" s="56">
        <v>157742620.5</v>
      </c>
    </row>
    <row r="6788" spans="1:1" x14ac:dyDescent="0.25">
      <c r="A6788" s="56">
        <v>17000122.100000001</v>
      </c>
    </row>
    <row r="6789" spans="1:1" x14ac:dyDescent="0.25">
      <c r="A6789" s="56">
        <v>21180396.399999999</v>
      </c>
    </row>
    <row r="6790" spans="1:1" x14ac:dyDescent="0.25">
      <c r="A6790" s="56">
        <v>188361955</v>
      </c>
    </row>
    <row r="6791" spans="1:1" x14ac:dyDescent="0.25">
      <c r="A6791" s="56">
        <v>3804824.4</v>
      </c>
    </row>
    <row r="6792" spans="1:1" x14ac:dyDescent="0.25">
      <c r="A6792" s="56">
        <v>0</v>
      </c>
    </row>
    <row r="6793" spans="1:1" x14ac:dyDescent="0.25">
      <c r="A6793" s="56">
        <v>12217318.4</v>
      </c>
    </row>
    <row r="6794" spans="1:1" x14ac:dyDescent="0.25">
      <c r="A6794" s="56">
        <v>29139224.100000001</v>
      </c>
    </row>
    <row r="6795" spans="1:1" x14ac:dyDescent="0.25">
      <c r="A6795" s="56">
        <v>162593289.69999999</v>
      </c>
    </row>
    <row r="6796" spans="1:1" x14ac:dyDescent="0.25">
      <c r="A6796" s="56">
        <v>40482010</v>
      </c>
    </row>
    <row r="6797" spans="1:1" x14ac:dyDescent="0.25">
      <c r="A6797" s="56">
        <v>11626885.199999999</v>
      </c>
    </row>
    <row r="6798" spans="1:1" x14ac:dyDescent="0.25">
      <c r="A6798" s="56">
        <v>8821502</v>
      </c>
    </row>
    <row r="6799" spans="1:1" x14ac:dyDescent="0.25">
      <c r="A6799" s="56">
        <v>69731624.299999997</v>
      </c>
    </row>
    <row r="6800" spans="1:1" x14ac:dyDescent="0.25">
      <c r="A6800" s="56">
        <v>48350360.600000001</v>
      </c>
    </row>
    <row r="6801" spans="1:1" x14ac:dyDescent="0.25">
      <c r="A6801" s="56">
        <v>33507030</v>
      </c>
    </row>
    <row r="6802" spans="1:1" x14ac:dyDescent="0.25">
      <c r="A6802" s="56">
        <v>7915776.5999999996</v>
      </c>
    </row>
    <row r="6803" spans="1:1" x14ac:dyDescent="0.25">
      <c r="A6803" s="56">
        <v>3980947.8</v>
      </c>
    </row>
    <row r="6804" spans="1:1" x14ac:dyDescent="0.25">
      <c r="A6804" s="56">
        <v>106640861.90000001</v>
      </c>
    </row>
    <row r="6805" spans="1:1" x14ac:dyDescent="0.25">
      <c r="A6805" s="56">
        <v>10202056.199999999</v>
      </c>
    </row>
    <row r="6806" spans="1:1" x14ac:dyDescent="0.25">
      <c r="A6806" s="56">
        <v>11516240.699999999</v>
      </c>
    </row>
    <row r="6807" spans="1:1" x14ac:dyDescent="0.25">
      <c r="A6807" s="56">
        <v>0</v>
      </c>
    </row>
    <row r="6808" spans="1:1" x14ac:dyDescent="0.25">
      <c r="A6808" s="56">
        <v>460641619.89999998</v>
      </c>
    </row>
    <row r="6809" spans="1:1" x14ac:dyDescent="0.25">
      <c r="A6809" s="56">
        <v>306969197.10000002</v>
      </c>
    </row>
    <row r="6810" spans="1:1" x14ac:dyDescent="0.25">
      <c r="A6810" s="56">
        <v>6909556.7999999998</v>
      </c>
    </row>
    <row r="6811" spans="1:1" x14ac:dyDescent="0.25">
      <c r="A6811" s="56">
        <v>12041816.300000001</v>
      </c>
    </row>
    <row r="6812" spans="1:1" x14ac:dyDescent="0.25">
      <c r="A6812" s="56">
        <v>13887597.4</v>
      </c>
    </row>
    <row r="6813" spans="1:1" x14ac:dyDescent="0.25">
      <c r="A6813" s="56">
        <v>19447209.899999999</v>
      </c>
    </row>
    <row r="6814" spans="1:1" x14ac:dyDescent="0.25">
      <c r="A6814" s="56">
        <v>24133762.399999999</v>
      </c>
    </row>
    <row r="6815" spans="1:1" x14ac:dyDescent="0.25">
      <c r="A6815" s="56">
        <v>33154293.199999999</v>
      </c>
    </row>
    <row r="6816" spans="1:1" x14ac:dyDescent="0.25">
      <c r="A6816" s="56">
        <v>25528560.5</v>
      </c>
    </row>
    <row r="6817" spans="1:1" x14ac:dyDescent="0.25">
      <c r="A6817" s="56">
        <v>0</v>
      </c>
    </row>
    <row r="6818" spans="1:1" x14ac:dyDescent="0.25">
      <c r="A6818" s="56">
        <v>8187694.1999999899</v>
      </c>
    </row>
    <row r="6819" spans="1:1" x14ac:dyDescent="0.25">
      <c r="A6819" s="56">
        <v>5745967.0999999996</v>
      </c>
    </row>
    <row r="6820" spans="1:1" x14ac:dyDescent="0.25">
      <c r="A6820" s="56">
        <v>19326384.5</v>
      </c>
    </row>
    <row r="6821" spans="1:1" x14ac:dyDescent="0.25">
      <c r="A6821" s="56">
        <v>10676223.300000001</v>
      </c>
    </row>
    <row r="6822" spans="1:1" x14ac:dyDescent="0.25">
      <c r="A6822" s="56">
        <v>18051928.800000001</v>
      </c>
    </row>
    <row r="6823" spans="1:1" x14ac:dyDescent="0.25">
      <c r="A6823" s="56">
        <v>38958165.799999997</v>
      </c>
    </row>
    <row r="6824" spans="1:1" x14ac:dyDescent="0.25">
      <c r="A6824" s="56">
        <v>2693290.6</v>
      </c>
    </row>
    <row r="6825" spans="1:1" x14ac:dyDescent="0.25">
      <c r="A6825" s="56">
        <v>3115431.6</v>
      </c>
    </row>
    <row r="6826" spans="1:1" x14ac:dyDescent="0.25">
      <c r="A6826" s="56">
        <v>22889555.399999999</v>
      </c>
    </row>
    <row r="6827" spans="1:1" x14ac:dyDescent="0.25">
      <c r="A6827" s="56">
        <v>30366104.399999999</v>
      </c>
    </row>
    <row r="6828" spans="1:1" x14ac:dyDescent="0.25">
      <c r="A6828" s="56">
        <v>205274673</v>
      </c>
    </row>
    <row r="6829" spans="1:1" x14ac:dyDescent="0.25">
      <c r="A6829" s="56">
        <v>78420671.699999899</v>
      </c>
    </row>
    <row r="6830" spans="1:1" x14ac:dyDescent="0.25">
      <c r="A6830" s="56">
        <v>256678690.80000001</v>
      </c>
    </row>
    <row r="6831" spans="1:1" x14ac:dyDescent="0.25">
      <c r="A6831" s="56">
        <v>537886689.70000005</v>
      </c>
    </row>
    <row r="6832" spans="1:1" x14ac:dyDescent="0.25">
      <c r="A6832" s="56">
        <v>800902</v>
      </c>
    </row>
    <row r="6833" spans="1:1" x14ac:dyDescent="0.25">
      <c r="A6833" s="56">
        <v>51420705.5</v>
      </c>
    </row>
    <row r="6834" spans="1:1" x14ac:dyDescent="0.25">
      <c r="A6834" s="56">
        <v>0</v>
      </c>
    </row>
    <row r="6835" spans="1:1" x14ac:dyDescent="0.25">
      <c r="A6835" s="56">
        <v>9790281.5</v>
      </c>
    </row>
    <row r="6836" spans="1:1" x14ac:dyDescent="0.25">
      <c r="A6836" s="56">
        <v>42773365.799999997</v>
      </c>
    </row>
    <row r="6837" spans="1:1" x14ac:dyDescent="0.25">
      <c r="A6837" s="56">
        <v>0</v>
      </c>
    </row>
    <row r="6838" spans="1:1" x14ac:dyDescent="0.25">
      <c r="A6838" s="56">
        <v>3115431.6</v>
      </c>
    </row>
    <row r="6839" spans="1:1" x14ac:dyDescent="0.25">
      <c r="A6839" s="56">
        <v>0</v>
      </c>
    </row>
    <row r="6840" spans="1:1" x14ac:dyDescent="0.25">
      <c r="A6840" s="56">
        <v>26706854.5</v>
      </c>
    </row>
    <row r="6841" spans="1:1" x14ac:dyDescent="0.25">
      <c r="A6841" s="56">
        <v>22777360.800000001</v>
      </c>
    </row>
    <row r="6842" spans="1:1" x14ac:dyDescent="0.25">
      <c r="A6842" s="56">
        <v>242136398.80000001</v>
      </c>
    </row>
    <row r="6843" spans="1:1" x14ac:dyDescent="0.25">
      <c r="A6843" s="56">
        <v>56877898.700000003</v>
      </c>
    </row>
    <row r="6844" spans="1:1" x14ac:dyDescent="0.25">
      <c r="A6844" s="56">
        <v>18844340.399999999</v>
      </c>
    </row>
    <row r="6845" spans="1:1" x14ac:dyDescent="0.25">
      <c r="A6845" s="56">
        <v>11223775.5</v>
      </c>
    </row>
    <row r="6846" spans="1:1" x14ac:dyDescent="0.25">
      <c r="A6846" s="56">
        <v>9118658.8000000007</v>
      </c>
    </row>
    <row r="6847" spans="1:1" x14ac:dyDescent="0.25">
      <c r="A6847" s="56">
        <v>3305527.8</v>
      </c>
    </row>
    <row r="6848" spans="1:1" x14ac:dyDescent="0.25">
      <c r="A6848" s="56">
        <v>154554543.30000001</v>
      </c>
    </row>
    <row r="6849" spans="1:1" x14ac:dyDescent="0.25">
      <c r="A6849" s="56">
        <v>38645532.700000003</v>
      </c>
    </row>
    <row r="6850" spans="1:1" x14ac:dyDescent="0.25">
      <c r="A6850" s="56">
        <v>0</v>
      </c>
    </row>
    <row r="6851" spans="1:1" x14ac:dyDescent="0.25">
      <c r="A6851" s="56">
        <v>10296296.6</v>
      </c>
    </row>
    <row r="6852" spans="1:1" x14ac:dyDescent="0.25">
      <c r="A6852" s="56">
        <v>0</v>
      </c>
    </row>
    <row r="6853" spans="1:1" x14ac:dyDescent="0.25">
      <c r="A6853" s="56">
        <v>5189636.5999999996</v>
      </c>
    </row>
    <row r="6854" spans="1:1" x14ac:dyDescent="0.25">
      <c r="A6854" s="56">
        <v>140533445</v>
      </c>
    </row>
    <row r="6855" spans="1:1" x14ac:dyDescent="0.25">
      <c r="A6855" s="56">
        <v>42620356.599999897</v>
      </c>
    </row>
    <row r="6856" spans="1:1" x14ac:dyDescent="0.25">
      <c r="A6856" s="56">
        <v>98637772.799999997</v>
      </c>
    </row>
    <row r="6857" spans="1:1" x14ac:dyDescent="0.25">
      <c r="A6857" s="56">
        <v>136658011.90000001</v>
      </c>
    </row>
    <row r="6858" spans="1:1" x14ac:dyDescent="0.25">
      <c r="A6858" s="56">
        <v>28655213.800000001</v>
      </c>
    </row>
    <row r="6859" spans="1:1" x14ac:dyDescent="0.25">
      <c r="A6859" s="56">
        <v>3569515.6</v>
      </c>
    </row>
    <row r="6860" spans="1:1" x14ac:dyDescent="0.25">
      <c r="A6860" s="56">
        <v>22753312.100000001</v>
      </c>
    </row>
    <row r="6861" spans="1:1" x14ac:dyDescent="0.25">
      <c r="A6861" s="56">
        <v>8765832.6999999899</v>
      </c>
    </row>
    <row r="6862" spans="1:1" x14ac:dyDescent="0.25">
      <c r="A6862" s="56">
        <v>3742471.8</v>
      </c>
    </row>
    <row r="6863" spans="1:1" x14ac:dyDescent="0.25">
      <c r="A6863" s="56">
        <v>52548216</v>
      </c>
    </row>
    <row r="6864" spans="1:1" x14ac:dyDescent="0.25">
      <c r="A6864" s="56">
        <v>76522359.699999899</v>
      </c>
    </row>
    <row r="6865" spans="1:1" x14ac:dyDescent="0.25">
      <c r="A6865" s="56">
        <v>26479984.899999902</v>
      </c>
    </row>
    <row r="6866" spans="1:1" x14ac:dyDescent="0.25">
      <c r="A6866" s="56">
        <v>48621718.5</v>
      </c>
    </row>
    <row r="6867" spans="1:1" x14ac:dyDescent="0.25">
      <c r="A6867" s="56">
        <v>119403304.09999999</v>
      </c>
    </row>
    <row r="6868" spans="1:1" x14ac:dyDescent="0.25">
      <c r="A6868" s="56">
        <v>228780882.80000001</v>
      </c>
    </row>
    <row r="6869" spans="1:1" x14ac:dyDescent="0.25">
      <c r="A6869" s="56">
        <v>0</v>
      </c>
    </row>
    <row r="6870" spans="1:1" x14ac:dyDescent="0.25">
      <c r="A6870" s="56">
        <v>60153262.899999999</v>
      </c>
    </row>
    <row r="6871" spans="1:1" x14ac:dyDescent="0.25">
      <c r="A6871" s="56">
        <v>5792287.1999999899</v>
      </c>
    </row>
    <row r="6872" spans="1:1" x14ac:dyDescent="0.25">
      <c r="A6872" s="56">
        <v>29559548</v>
      </c>
    </row>
    <row r="6873" spans="1:1" x14ac:dyDescent="0.25">
      <c r="A6873" s="56">
        <v>0</v>
      </c>
    </row>
    <row r="6874" spans="1:1" x14ac:dyDescent="0.25">
      <c r="A6874" s="56">
        <v>321682446.19999897</v>
      </c>
    </row>
    <row r="6875" spans="1:1" x14ac:dyDescent="0.25">
      <c r="A6875" s="56">
        <v>135334443.40000001</v>
      </c>
    </row>
    <row r="6876" spans="1:1" x14ac:dyDescent="0.25">
      <c r="A6876" s="56">
        <v>4978327.8999999901</v>
      </c>
    </row>
    <row r="6877" spans="1:1" x14ac:dyDescent="0.25">
      <c r="A6877" s="56">
        <v>0</v>
      </c>
    </row>
    <row r="6878" spans="1:1" x14ac:dyDescent="0.25">
      <c r="A6878" s="56">
        <v>80911092.5</v>
      </c>
    </row>
    <row r="6879" spans="1:1" x14ac:dyDescent="0.25">
      <c r="A6879" s="56">
        <v>114842988.7</v>
      </c>
    </row>
    <row r="6880" spans="1:1" x14ac:dyDescent="0.25">
      <c r="A6880" s="56">
        <v>81680694.200000003</v>
      </c>
    </row>
    <row r="6881" spans="1:1" x14ac:dyDescent="0.25">
      <c r="A6881" s="56">
        <v>10332150.199999999</v>
      </c>
    </row>
    <row r="6882" spans="1:1" x14ac:dyDescent="0.25">
      <c r="A6882" s="56">
        <v>14587380.6</v>
      </c>
    </row>
    <row r="6883" spans="1:1" x14ac:dyDescent="0.25">
      <c r="A6883" s="56">
        <v>35999260.399999999</v>
      </c>
    </row>
    <row r="6884" spans="1:1" x14ac:dyDescent="0.25">
      <c r="A6884" s="56">
        <v>68537112.299999997</v>
      </c>
    </row>
    <row r="6885" spans="1:1" x14ac:dyDescent="0.25">
      <c r="A6885" s="56">
        <v>12311419.5</v>
      </c>
    </row>
    <row r="6886" spans="1:1" x14ac:dyDescent="0.25">
      <c r="A6886" s="56">
        <v>0</v>
      </c>
    </row>
    <row r="6887" spans="1:1" x14ac:dyDescent="0.25">
      <c r="A6887" s="56">
        <v>5291552</v>
      </c>
    </row>
    <row r="6888" spans="1:1" x14ac:dyDescent="0.25">
      <c r="A6888" s="56">
        <v>20241890.199999999</v>
      </c>
    </row>
    <row r="6889" spans="1:1" x14ac:dyDescent="0.25">
      <c r="A6889" s="56">
        <v>471051009.5</v>
      </c>
    </row>
    <row r="6890" spans="1:1" x14ac:dyDescent="0.25">
      <c r="A6890" s="56">
        <v>37540606.099999897</v>
      </c>
    </row>
    <row r="6891" spans="1:1" x14ac:dyDescent="0.25">
      <c r="A6891" s="56">
        <v>21326397.899999999</v>
      </c>
    </row>
    <row r="6892" spans="1:1" x14ac:dyDescent="0.25">
      <c r="A6892" s="56">
        <v>0</v>
      </c>
    </row>
    <row r="6893" spans="1:1" x14ac:dyDescent="0.25">
      <c r="A6893" s="56">
        <v>80864422.599999905</v>
      </c>
    </row>
    <row r="6894" spans="1:1" x14ac:dyDescent="0.25">
      <c r="A6894" s="56">
        <v>46137633.899999999</v>
      </c>
    </row>
    <row r="6895" spans="1:1" x14ac:dyDescent="0.25">
      <c r="A6895" s="56">
        <v>514528287.80000001</v>
      </c>
    </row>
    <row r="6896" spans="1:1" x14ac:dyDescent="0.25">
      <c r="A6896" s="56">
        <v>420433013.19999999</v>
      </c>
    </row>
    <row r="6897" spans="1:1" x14ac:dyDescent="0.25">
      <c r="A6897" s="56">
        <v>35790438.200000003</v>
      </c>
    </row>
    <row r="6898" spans="1:1" x14ac:dyDescent="0.25">
      <c r="A6898" s="56">
        <v>0</v>
      </c>
    </row>
    <row r="6899" spans="1:1" x14ac:dyDescent="0.25">
      <c r="A6899" s="56">
        <v>196914.8</v>
      </c>
    </row>
    <row r="6900" spans="1:1" x14ac:dyDescent="0.25">
      <c r="A6900" s="56">
        <v>5876663.4000000004</v>
      </c>
    </row>
    <row r="6901" spans="1:1" x14ac:dyDescent="0.25">
      <c r="A6901" s="56">
        <v>169413359.90000001</v>
      </c>
    </row>
    <row r="6902" spans="1:1" x14ac:dyDescent="0.25">
      <c r="A6902" s="56">
        <v>3305527.8</v>
      </c>
    </row>
    <row r="6903" spans="1:1" x14ac:dyDescent="0.25">
      <c r="A6903" s="56">
        <v>5052136.4000000004</v>
      </c>
    </row>
    <row r="6904" spans="1:1" x14ac:dyDescent="0.25">
      <c r="A6904" s="56">
        <v>382345.6</v>
      </c>
    </row>
    <row r="6905" spans="1:1" x14ac:dyDescent="0.25">
      <c r="A6905" s="56">
        <v>3558337.2</v>
      </c>
    </row>
    <row r="6906" spans="1:1" x14ac:dyDescent="0.25">
      <c r="A6906" s="56">
        <v>8303640.7999999998</v>
      </c>
    </row>
    <row r="6907" spans="1:1" x14ac:dyDescent="0.25">
      <c r="A6907" s="56">
        <v>252315905.80000001</v>
      </c>
    </row>
    <row r="6908" spans="1:1" x14ac:dyDescent="0.25">
      <c r="A6908" s="56">
        <v>150657100.09999999</v>
      </c>
    </row>
    <row r="6909" spans="1:1" x14ac:dyDescent="0.25">
      <c r="A6909" s="56">
        <v>98514187</v>
      </c>
    </row>
    <row r="6910" spans="1:1" x14ac:dyDescent="0.25">
      <c r="A6910" s="56">
        <v>5595573.8999999901</v>
      </c>
    </row>
    <row r="6911" spans="1:1" x14ac:dyDescent="0.25">
      <c r="A6911" s="56">
        <v>159915541.09999999</v>
      </c>
    </row>
    <row r="6912" spans="1:1" x14ac:dyDescent="0.25">
      <c r="A6912" s="56">
        <v>0</v>
      </c>
    </row>
    <row r="6913" spans="1:1" x14ac:dyDescent="0.25">
      <c r="A6913" s="56">
        <v>27479912.300000001</v>
      </c>
    </row>
    <row r="6914" spans="1:1" x14ac:dyDescent="0.25">
      <c r="A6914" s="56">
        <v>10221486.4</v>
      </c>
    </row>
    <row r="6915" spans="1:1" x14ac:dyDescent="0.25">
      <c r="A6915" s="56">
        <v>6462154.2999999998</v>
      </c>
    </row>
    <row r="6916" spans="1:1" x14ac:dyDescent="0.25">
      <c r="A6916" s="56">
        <v>30780934.399999999</v>
      </c>
    </row>
    <row r="6917" spans="1:1" x14ac:dyDescent="0.25">
      <c r="A6917" s="56">
        <v>44088366.399999999</v>
      </c>
    </row>
    <row r="6918" spans="1:1" x14ac:dyDescent="0.25">
      <c r="A6918" s="56">
        <v>46965199.100000001</v>
      </c>
    </row>
    <row r="6919" spans="1:1" x14ac:dyDescent="0.25">
      <c r="A6919" s="56">
        <v>49548389.399999999</v>
      </c>
    </row>
    <row r="6920" spans="1:1" x14ac:dyDescent="0.25">
      <c r="A6920" s="56">
        <v>118039461.3</v>
      </c>
    </row>
    <row r="6921" spans="1:1" x14ac:dyDescent="0.25">
      <c r="A6921" s="56">
        <v>26978430.099999901</v>
      </c>
    </row>
    <row r="6922" spans="1:1" x14ac:dyDescent="0.25">
      <c r="A6922" s="56">
        <v>715980</v>
      </c>
    </row>
    <row r="6923" spans="1:1" x14ac:dyDescent="0.25">
      <c r="A6923" s="56">
        <v>686991264.5</v>
      </c>
    </row>
    <row r="6924" spans="1:1" x14ac:dyDescent="0.25">
      <c r="A6924" s="56">
        <v>0</v>
      </c>
    </row>
    <row r="6925" spans="1:1" x14ac:dyDescent="0.25">
      <c r="A6925" s="56">
        <v>1107876</v>
      </c>
    </row>
    <row r="6926" spans="1:1" x14ac:dyDescent="0.25">
      <c r="A6926" s="56">
        <v>16694669.6</v>
      </c>
    </row>
    <row r="6927" spans="1:1" x14ac:dyDescent="0.25">
      <c r="A6927" s="56">
        <v>40507362.5</v>
      </c>
    </row>
    <row r="6928" spans="1:1" x14ac:dyDescent="0.25">
      <c r="A6928" s="56">
        <v>114364273.7</v>
      </c>
    </row>
    <row r="6929" spans="1:1" x14ac:dyDescent="0.25">
      <c r="A6929" s="56">
        <v>57423756.099999897</v>
      </c>
    </row>
    <row r="6930" spans="1:1" x14ac:dyDescent="0.25">
      <c r="A6930" s="56">
        <v>10537967.5</v>
      </c>
    </row>
    <row r="6931" spans="1:1" x14ac:dyDescent="0.25">
      <c r="A6931" s="56">
        <v>20233056.899999999</v>
      </c>
    </row>
    <row r="6932" spans="1:1" x14ac:dyDescent="0.25">
      <c r="A6932" s="56">
        <v>20651315.5</v>
      </c>
    </row>
    <row r="6933" spans="1:1" x14ac:dyDescent="0.25">
      <c r="A6933" s="56">
        <v>17526544.800000001</v>
      </c>
    </row>
    <row r="6934" spans="1:1" x14ac:dyDescent="0.25">
      <c r="A6934" s="56">
        <v>181944036.59999999</v>
      </c>
    </row>
    <row r="6935" spans="1:1" x14ac:dyDescent="0.25">
      <c r="A6935" s="56">
        <v>92908613.999999896</v>
      </c>
    </row>
    <row r="6936" spans="1:1" x14ac:dyDescent="0.25">
      <c r="A6936" s="56">
        <v>197507064.5</v>
      </c>
    </row>
    <row r="6937" spans="1:1" x14ac:dyDescent="0.25">
      <c r="A6937" s="56">
        <v>0</v>
      </c>
    </row>
    <row r="6938" spans="1:1" x14ac:dyDescent="0.25">
      <c r="A6938" s="56">
        <v>11142433.6</v>
      </c>
    </row>
    <row r="6939" spans="1:1" x14ac:dyDescent="0.25">
      <c r="A6939" s="56">
        <v>21436121.600000001</v>
      </c>
    </row>
    <row r="6940" spans="1:1" x14ac:dyDescent="0.25">
      <c r="A6940" s="56">
        <v>10864142</v>
      </c>
    </row>
    <row r="6941" spans="1:1" x14ac:dyDescent="0.25">
      <c r="A6941" s="56">
        <v>42535987.5</v>
      </c>
    </row>
    <row r="6942" spans="1:1" x14ac:dyDescent="0.25">
      <c r="A6942" s="56">
        <v>38003576.5</v>
      </c>
    </row>
    <row r="6943" spans="1:1" x14ac:dyDescent="0.25">
      <c r="A6943" s="56">
        <v>43591171.100000001</v>
      </c>
    </row>
    <row r="6944" spans="1:1" x14ac:dyDescent="0.25">
      <c r="A6944" s="56">
        <v>113872433.7</v>
      </c>
    </row>
    <row r="6945" spans="1:1" x14ac:dyDescent="0.25">
      <c r="A6945" s="56">
        <v>20479647.399999999</v>
      </c>
    </row>
    <row r="6946" spans="1:1" x14ac:dyDescent="0.25">
      <c r="A6946" s="56">
        <v>6651783.4000000004</v>
      </c>
    </row>
    <row r="6947" spans="1:1" x14ac:dyDescent="0.25">
      <c r="A6947" s="56">
        <v>18765993.899999999</v>
      </c>
    </row>
    <row r="6948" spans="1:1" x14ac:dyDescent="0.25">
      <c r="A6948" s="56">
        <v>41147908.299999997</v>
      </c>
    </row>
    <row r="6949" spans="1:1" x14ac:dyDescent="0.25">
      <c r="A6949" s="56">
        <v>0</v>
      </c>
    </row>
    <row r="6950" spans="1:1" x14ac:dyDescent="0.25">
      <c r="A6950" s="56">
        <v>74108438.700000003</v>
      </c>
    </row>
    <row r="6951" spans="1:1" x14ac:dyDescent="0.25">
      <c r="A6951" s="56">
        <v>77886382</v>
      </c>
    </row>
    <row r="6952" spans="1:1" x14ac:dyDescent="0.25">
      <c r="A6952" s="56">
        <v>248497665.09999999</v>
      </c>
    </row>
    <row r="6953" spans="1:1" x14ac:dyDescent="0.25">
      <c r="A6953" s="56">
        <v>41875930.200000003</v>
      </c>
    </row>
    <row r="6954" spans="1:1" x14ac:dyDescent="0.25">
      <c r="A6954" s="56">
        <v>6185937.2999999896</v>
      </c>
    </row>
    <row r="6955" spans="1:1" x14ac:dyDescent="0.25">
      <c r="A6955" s="56">
        <v>555033909.89999998</v>
      </c>
    </row>
    <row r="6956" spans="1:1" x14ac:dyDescent="0.25">
      <c r="A6956" s="56">
        <v>8915662.5</v>
      </c>
    </row>
    <row r="6957" spans="1:1" x14ac:dyDescent="0.25">
      <c r="A6957" s="56">
        <v>32992000</v>
      </c>
    </row>
    <row r="6958" spans="1:1" x14ac:dyDescent="0.25">
      <c r="A6958" s="56">
        <v>0</v>
      </c>
    </row>
    <row r="6959" spans="1:1" x14ac:dyDescent="0.25">
      <c r="A6959" s="56">
        <v>4544308.8</v>
      </c>
    </row>
    <row r="6960" spans="1:1" x14ac:dyDescent="0.25">
      <c r="A6960" s="56">
        <v>18350039.100000001</v>
      </c>
    </row>
    <row r="6961" spans="1:1" x14ac:dyDescent="0.25">
      <c r="A6961" s="56">
        <v>27202353</v>
      </c>
    </row>
    <row r="6962" spans="1:1" x14ac:dyDescent="0.25">
      <c r="A6962" s="56">
        <v>29915495.5</v>
      </c>
    </row>
    <row r="6963" spans="1:1" x14ac:dyDescent="0.25">
      <c r="A6963" s="56">
        <v>231344766.80000001</v>
      </c>
    </row>
    <row r="6964" spans="1:1" x14ac:dyDescent="0.25">
      <c r="A6964" s="56">
        <v>11050436.800000001</v>
      </c>
    </row>
    <row r="6965" spans="1:1" x14ac:dyDescent="0.25">
      <c r="A6965" s="56">
        <v>41485226.700000003</v>
      </c>
    </row>
    <row r="6966" spans="1:1" x14ac:dyDescent="0.25">
      <c r="A6966" s="56">
        <v>1107876</v>
      </c>
    </row>
    <row r="6967" spans="1:1" x14ac:dyDescent="0.25">
      <c r="A6967" s="56">
        <v>298286283.5</v>
      </c>
    </row>
    <row r="6968" spans="1:1" x14ac:dyDescent="0.25">
      <c r="A6968" s="56">
        <v>32646252.899999999</v>
      </c>
    </row>
    <row r="6969" spans="1:1" x14ac:dyDescent="0.25">
      <c r="A6969" s="56">
        <v>10271931.6</v>
      </c>
    </row>
    <row r="6970" spans="1:1" x14ac:dyDescent="0.25">
      <c r="A6970" s="56">
        <v>9841161.3000000007</v>
      </c>
    </row>
    <row r="6971" spans="1:1" x14ac:dyDescent="0.25">
      <c r="A6971" s="56">
        <v>0</v>
      </c>
    </row>
    <row r="6972" spans="1:1" x14ac:dyDescent="0.25">
      <c r="A6972" s="56">
        <v>7494827.4000000004</v>
      </c>
    </row>
    <row r="6973" spans="1:1" x14ac:dyDescent="0.25">
      <c r="A6973" s="56">
        <v>31387911.800000001</v>
      </c>
    </row>
    <row r="6974" spans="1:1" x14ac:dyDescent="0.25">
      <c r="A6974" s="56">
        <v>31787081.699999999</v>
      </c>
    </row>
    <row r="6975" spans="1:1" x14ac:dyDescent="0.25">
      <c r="A6975" s="56">
        <v>36694502.100000001</v>
      </c>
    </row>
    <row r="6976" spans="1:1" x14ac:dyDescent="0.25">
      <c r="A6976" s="56">
        <v>0</v>
      </c>
    </row>
    <row r="6977" spans="1:1" x14ac:dyDescent="0.25">
      <c r="A6977" s="56">
        <v>44954881.899999902</v>
      </c>
    </row>
    <row r="6978" spans="1:1" x14ac:dyDescent="0.25">
      <c r="A6978" s="56">
        <v>87394725</v>
      </c>
    </row>
    <row r="6979" spans="1:1" x14ac:dyDescent="0.25">
      <c r="A6979" s="56">
        <v>7480339.2999999998</v>
      </c>
    </row>
    <row r="6980" spans="1:1" x14ac:dyDescent="0.25">
      <c r="A6980" s="56">
        <v>62757634.799999997</v>
      </c>
    </row>
    <row r="6981" spans="1:1" x14ac:dyDescent="0.25">
      <c r="A6981" s="56">
        <v>0</v>
      </c>
    </row>
    <row r="6982" spans="1:1" x14ac:dyDescent="0.25">
      <c r="A6982" s="56">
        <v>411852162</v>
      </c>
    </row>
    <row r="6983" spans="1:1" x14ac:dyDescent="0.25">
      <c r="A6983" s="56">
        <v>7069423.9999999898</v>
      </c>
    </row>
    <row r="6984" spans="1:1" x14ac:dyDescent="0.25">
      <c r="A6984" s="56">
        <v>45960448.5</v>
      </c>
    </row>
    <row r="6985" spans="1:1" x14ac:dyDescent="0.25">
      <c r="A6985" s="56">
        <v>19810432.100000001</v>
      </c>
    </row>
    <row r="6986" spans="1:1" x14ac:dyDescent="0.25">
      <c r="A6986" s="56">
        <v>13622233.6</v>
      </c>
    </row>
    <row r="6987" spans="1:1" x14ac:dyDescent="0.25">
      <c r="A6987" s="56">
        <v>241682729</v>
      </c>
    </row>
    <row r="6988" spans="1:1" x14ac:dyDescent="0.25">
      <c r="A6988" s="56">
        <v>2477086.2000000002</v>
      </c>
    </row>
    <row r="6989" spans="1:1" x14ac:dyDescent="0.25">
      <c r="A6989" s="56">
        <v>8899716</v>
      </c>
    </row>
    <row r="6990" spans="1:1" x14ac:dyDescent="0.25">
      <c r="A6990" s="56">
        <v>24216249.300000001</v>
      </c>
    </row>
    <row r="6991" spans="1:1" x14ac:dyDescent="0.25">
      <c r="A6991" s="56">
        <v>32154308.100000001</v>
      </c>
    </row>
    <row r="6992" spans="1:1" x14ac:dyDescent="0.25">
      <c r="A6992" s="56">
        <v>9976068.4000000004</v>
      </c>
    </row>
    <row r="6993" spans="1:1" x14ac:dyDescent="0.25">
      <c r="A6993" s="56">
        <v>12395363.9</v>
      </c>
    </row>
    <row r="6994" spans="1:1" x14ac:dyDescent="0.25">
      <c r="A6994" s="56">
        <v>21569437.800000001</v>
      </c>
    </row>
    <row r="6995" spans="1:1" x14ac:dyDescent="0.25">
      <c r="A6995" s="56">
        <v>14389390.4</v>
      </c>
    </row>
    <row r="6996" spans="1:1" x14ac:dyDescent="0.25">
      <c r="A6996" s="56">
        <v>1041923.2</v>
      </c>
    </row>
    <row r="6997" spans="1:1" x14ac:dyDescent="0.25">
      <c r="A6997" s="56">
        <v>34122610.700000003</v>
      </c>
    </row>
    <row r="6998" spans="1:1" x14ac:dyDescent="0.25">
      <c r="A6998" s="56">
        <v>867428311.89999998</v>
      </c>
    </row>
    <row r="6999" spans="1:1" x14ac:dyDescent="0.25">
      <c r="A6999" s="56">
        <v>71524976.599999905</v>
      </c>
    </row>
    <row r="7000" spans="1:1" x14ac:dyDescent="0.25">
      <c r="A7000" s="56">
        <v>41103068.700000003</v>
      </c>
    </row>
    <row r="7001" spans="1:1" x14ac:dyDescent="0.25">
      <c r="A7001" s="56">
        <v>21185733</v>
      </c>
    </row>
    <row r="7002" spans="1:1" x14ac:dyDescent="0.25">
      <c r="A7002" s="56">
        <v>138054915.5</v>
      </c>
    </row>
    <row r="7003" spans="1:1" x14ac:dyDescent="0.25">
      <c r="A7003" s="56">
        <v>25464014.600000001</v>
      </c>
    </row>
    <row r="7004" spans="1:1" x14ac:dyDescent="0.25">
      <c r="A7004" s="56">
        <v>738974917.49999905</v>
      </c>
    </row>
    <row r="7005" spans="1:1" x14ac:dyDescent="0.25">
      <c r="A7005" s="56">
        <v>76757497.399999902</v>
      </c>
    </row>
    <row r="7006" spans="1:1" x14ac:dyDescent="0.25">
      <c r="A7006" s="56">
        <v>47360432.199999899</v>
      </c>
    </row>
    <row r="7007" spans="1:1" x14ac:dyDescent="0.25">
      <c r="A7007" s="56">
        <v>0</v>
      </c>
    </row>
    <row r="7008" spans="1:1" x14ac:dyDescent="0.25">
      <c r="A7008" s="56">
        <v>11789359.300000001</v>
      </c>
    </row>
    <row r="7009" spans="1:1" x14ac:dyDescent="0.25">
      <c r="A7009" s="56">
        <v>42534207</v>
      </c>
    </row>
    <row r="7010" spans="1:1" x14ac:dyDescent="0.25">
      <c r="A7010" s="56">
        <v>0</v>
      </c>
    </row>
    <row r="7011" spans="1:1" x14ac:dyDescent="0.25">
      <c r="A7011" s="56">
        <v>426284460.30000001</v>
      </c>
    </row>
    <row r="7012" spans="1:1" x14ac:dyDescent="0.25">
      <c r="A7012" s="56">
        <v>24671508.100000001</v>
      </c>
    </row>
    <row r="7013" spans="1:1" x14ac:dyDescent="0.25">
      <c r="A7013" s="56">
        <v>116812438.8</v>
      </c>
    </row>
    <row r="7014" spans="1:1" x14ac:dyDescent="0.25">
      <c r="A7014" s="56">
        <v>40030716.599999897</v>
      </c>
    </row>
    <row r="7015" spans="1:1" x14ac:dyDescent="0.25">
      <c r="A7015" s="56">
        <v>36248300.100000001</v>
      </c>
    </row>
    <row r="7016" spans="1:1" x14ac:dyDescent="0.25">
      <c r="A7016" s="56">
        <v>126885415.7</v>
      </c>
    </row>
    <row r="7017" spans="1:1" x14ac:dyDescent="0.25">
      <c r="A7017" s="56">
        <v>119545370.3</v>
      </c>
    </row>
    <row r="7018" spans="1:1" x14ac:dyDescent="0.25">
      <c r="A7018" s="56">
        <v>17810613.100000001</v>
      </c>
    </row>
    <row r="7019" spans="1:1" x14ac:dyDescent="0.25">
      <c r="A7019" s="56">
        <v>0</v>
      </c>
    </row>
    <row r="7020" spans="1:1" x14ac:dyDescent="0.25">
      <c r="A7020" s="56">
        <v>111005689.59999999</v>
      </c>
    </row>
    <row r="7021" spans="1:1" x14ac:dyDescent="0.25">
      <c r="A7021" s="56">
        <v>3803052</v>
      </c>
    </row>
    <row r="7022" spans="1:1" x14ac:dyDescent="0.25">
      <c r="A7022" s="56">
        <v>11441842.300000001</v>
      </c>
    </row>
    <row r="7023" spans="1:1" x14ac:dyDescent="0.25">
      <c r="A7023" s="56">
        <v>50538284.5</v>
      </c>
    </row>
    <row r="7024" spans="1:1" x14ac:dyDescent="0.25">
      <c r="A7024" s="56">
        <v>294650524.30000001</v>
      </c>
    </row>
    <row r="7025" spans="1:1" x14ac:dyDescent="0.25">
      <c r="A7025" s="56">
        <v>22444173.300000001</v>
      </c>
    </row>
    <row r="7026" spans="1:1" x14ac:dyDescent="0.25">
      <c r="A7026" s="56">
        <v>961851.2</v>
      </c>
    </row>
    <row r="7027" spans="1:1" x14ac:dyDescent="0.25">
      <c r="A7027" s="56">
        <v>110477096.90000001</v>
      </c>
    </row>
    <row r="7028" spans="1:1" x14ac:dyDescent="0.25">
      <c r="A7028" s="56">
        <v>269757915.10000002</v>
      </c>
    </row>
    <row r="7029" spans="1:1" x14ac:dyDescent="0.25">
      <c r="A7029" s="56">
        <v>21909388.600000001</v>
      </c>
    </row>
    <row r="7030" spans="1:1" x14ac:dyDescent="0.25">
      <c r="A7030" s="56">
        <v>0</v>
      </c>
    </row>
    <row r="7031" spans="1:1" x14ac:dyDescent="0.25">
      <c r="A7031" s="56">
        <v>314020292.49999899</v>
      </c>
    </row>
    <row r="7032" spans="1:1" x14ac:dyDescent="0.25">
      <c r="A7032" s="56">
        <v>5584181.4000000004</v>
      </c>
    </row>
    <row r="7033" spans="1:1" x14ac:dyDescent="0.25">
      <c r="A7033" s="56">
        <v>867868.8</v>
      </c>
    </row>
    <row r="7034" spans="1:1" x14ac:dyDescent="0.25">
      <c r="A7034" s="56">
        <v>117689960.8</v>
      </c>
    </row>
    <row r="7035" spans="1:1" x14ac:dyDescent="0.25">
      <c r="A7035" s="56">
        <v>16765399.800000001</v>
      </c>
    </row>
    <row r="7036" spans="1:1" x14ac:dyDescent="0.25">
      <c r="A7036" s="56">
        <v>29948669.5</v>
      </c>
    </row>
    <row r="7037" spans="1:1" x14ac:dyDescent="0.25">
      <c r="A7037" s="56">
        <v>20119311.399999999</v>
      </c>
    </row>
    <row r="7038" spans="1:1" x14ac:dyDescent="0.25">
      <c r="A7038" s="56">
        <v>6905289.2999999998</v>
      </c>
    </row>
    <row r="7039" spans="1:1" x14ac:dyDescent="0.25">
      <c r="A7039" s="56">
        <v>49877307.999999903</v>
      </c>
    </row>
    <row r="7040" spans="1:1" x14ac:dyDescent="0.25">
      <c r="A7040" s="56">
        <v>66332121.100000001</v>
      </c>
    </row>
    <row r="7041" spans="1:1" x14ac:dyDescent="0.25">
      <c r="A7041" s="56">
        <v>24035402</v>
      </c>
    </row>
    <row r="7042" spans="1:1" x14ac:dyDescent="0.25">
      <c r="A7042" s="56">
        <v>35728314.799999997</v>
      </c>
    </row>
    <row r="7043" spans="1:1" x14ac:dyDescent="0.25">
      <c r="A7043" s="56">
        <v>103758566.8</v>
      </c>
    </row>
    <row r="7044" spans="1:1" x14ac:dyDescent="0.25">
      <c r="A7044" s="56">
        <v>414363413.10000002</v>
      </c>
    </row>
    <row r="7045" spans="1:1" x14ac:dyDescent="0.25">
      <c r="A7045" s="56">
        <v>32406120.600000001</v>
      </c>
    </row>
    <row r="7046" spans="1:1" x14ac:dyDescent="0.25">
      <c r="A7046" s="56">
        <v>28719358</v>
      </c>
    </row>
    <row r="7047" spans="1:1" x14ac:dyDescent="0.25">
      <c r="A7047" s="56">
        <v>155504712</v>
      </c>
    </row>
    <row r="7048" spans="1:1" x14ac:dyDescent="0.25">
      <c r="A7048" s="56">
        <v>17100968</v>
      </c>
    </row>
    <row r="7049" spans="1:1" x14ac:dyDescent="0.25">
      <c r="A7049" s="56">
        <v>66129084.999999903</v>
      </c>
    </row>
    <row r="7050" spans="1:1" x14ac:dyDescent="0.25">
      <c r="A7050" s="56">
        <v>7727774.2999999998</v>
      </c>
    </row>
    <row r="7051" spans="1:1" x14ac:dyDescent="0.25">
      <c r="A7051" s="56">
        <v>16481417.9</v>
      </c>
    </row>
    <row r="7052" spans="1:1" x14ac:dyDescent="0.25">
      <c r="A7052" s="56">
        <v>21003458.199999999</v>
      </c>
    </row>
    <row r="7053" spans="1:1" x14ac:dyDescent="0.25">
      <c r="A7053" s="56">
        <v>0</v>
      </c>
    </row>
    <row r="7054" spans="1:1" x14ac:dyDescent="0.25">
      <c r="A7054" s="56">
        <v>13315138.6</v>
      </c>
    </row>
    <row r="7055" spans="1:1" x14ac:dyDescent="0.25">
      <c r="A7055" s="56">
        <v>76953717.399999902</v>
      </c>
    </row>
    <row r="7056" spans="1:1" x14ac:dyDescent="0.25">
      <c r="A7056" s="56">
        <v>24202903.399999999</v>
      </c>
    </row>
    <row r="7057" spans="1:1" x14ac:dyDescent="0.25">
      <c r="A7057" s="56">
        <v>86605011.099999905</v>
      </c>
    </row>
    <row r="7058" spans="1:1" x14ac:dyDescent="0.25">
      <c r="A7058" s="56">
        <v>615362205.29999995</v>
      </c>
    </row>
    <row r="7059" spans="1:1" x14ac:dyDescent="0.25">
      <c r="A7059" s="56">
        <v>129118128.5</v>
      </c>
    </row>
    <row r="7060" spans="1:1" x14ac:dyDescent="0.25">
      <c r="A7060" s="56">
        <v>0</v>
      </c>
    </row>
    <row r="7061" spans="1:1" x14ac:dyDescent="0.25">
      <c r="A7061" s="56">
        <v>732092.4</v>
      </c>
    </row>
    <row r="7062" spans="1:1" x14ac:dyDescent="0.25">
      <c r="A7062" s="56">
        <v>70827882.799999997</v>
      </c>
    </row>
    <row r="7063" spans="1:1" x14ac:dyDescent="0.25">
      <c r="A7063" s="56">
        <v>161330722.69999999</v>
      </c>
    </row>
    <row r="7064" spans="1:1" x14ac:dyDescent="0.25">
      <c r="A7064" s="56">
        <v>3301137</v>
      </c>
    </row>
    <row r="7065" spans="1:1" x14ac:dyDescent="0.25">
      <c r="A7065" s="56">
        <v>331762674.30000001</v>
      </c>
    </row>
    <row r="7066" spans="1:1" x14ac:dyDescent="0.25">
      <c r="A7066" s="56">
        <v>38040371.799999997</v>
      </c>
    </row>
    <row r="7067" spans="1:1" x14ac:dyDescent="0.25">
      <c r="A7067" s="56">
        <v>0</v>
      </c>
    </row>
    <row r="7068" spans="1:1" x14ac:dyDescent="0.25">
      <c r="A7068" s="56">
        <v>7163646.4000000004</v>
      </c>
    </row>
    <row r="7069" spans="1:1" x14ac:dyDescent="0.25">
      <c r="A7069" s="56">
        <v>24608356.399999999</v>
      </c>
    </row>
    <row r="7070" spans="1:1" x14ac:dyDescent="0.25">
      <c r="A7070" s="56">
        <v>0</v>
      </c>
    </row>
    <row r="7071" spans="1:1" x14ac:dyDescent="0.25">
      <c r="A7071" s="56">
        <v>72021995.299999997</v>
      </c>
    </row>
    <row r="7072" spans="1:1" x14ac:dyDescent="0.25">
      <c r="A7072" s="56">
        <v>8935765.5999999996</v>
      </c>
    </row>
    <row r="7073" spans="1:1" x14ac:dyDescent="0.25">
      <c r="A7073" s="56">
        <v>0</v>
      </c>
    </row>
    <row r="7074" spans="1:1" x14ac:dyDescent="0.25">
      <c r="A7074" s="56">
        <v>13644680.699999999</v>
      </c>
    </row>
    <row r="7075" spans="1:1" x14ac:dyDescent="0.25">
      <c r="A7075" s="56">
        <v>36934681.5</v>
      </c>
    </row>
    <row r="7076" spans="1:1" x14ac:dyDescent="0.25">
      <c r="A7076" s="56">
        <v>0</v>
      </c>
    </row>
    <row r="7077" spans="1:1" x14ac:dyDescent="0.25">
      <c r="A7077" s="56">
        <v>0</v>
      </c>
    </row>
    <row r="7078" spans="1:1" x14ac:dyDescent="0.25">
      <c r="A7078" s="56">
        <v>16018024.800000001</v>
      </c>
    </row>
    <row r="7079" spans="1:1" x14ac:dyDescent="0.25">
      <c r="A7079" s="56">
        <v>0</v>
      </c>
    </row>
    <row r="7080" spans="1:1" x14ac:dyDescent="0.25">
      <c r="A7080" s="56">
        <v>6465793.5999999996</v>
      </c>
    </row>
    <row r="7081" spans="1:1" x14ac:dyDescent="0.25">
      <c r="A7081" s="56">
        <v>17629564.699999999</v>
      </c>
    </row>
    <row r="7082" spans="1:1" x14ac:dyDescent="0.25">
      <c r="A7082" s="56">
        <v>70410976.599999905</v>
      </c>
    </row>
    <row r="7083" spans="1:1" x14ac:dyDescent="0.25">
      <c r="A7083" s="56">
        <v>20167842.100000001</v>
      </c>
    </row>
    <row r="7084" spans="1:1" x14ac:dyDescent="0.25">
      <c r="A7084" s="56">
        <v>23500921.399999999</v>
      </c>
    </row>
    <row r="7085" spans="1:1" x14ac:dyDescent="0.25">
      <c r="A7085" s="56">
        <v>178504970.90000001</v>
      </c>
    </row>
    <row r="7086" spans="1:1" x14ac:dyDescent="0.25">
      <c r="A7086" s="56">
        <v>142871924.30000001</v>
      </c>
    </row>
    <row r="7087" spans="1:1" x14ac:dyDescent="0.25">
      <c r="A7087" s="56">
        <v>28935127.199999999</v>
      </c>
    </row>
    <row r="7088" spans="1:1" x14ac:dyDescent="0.25">
      <c r="A7088" s="56">
        <v>19554738.800000001</v>
      </c>
    </row>
    <row r="7089" spans="1:1" x14ac:dyDescent="0.25">
      <c r="A7089" s="56">
        <v>43158577.200000003</v>
      </c>
    </row>
    <row r="7090" spans="1:1" x14ac:dyDescent="0.25">
      <c r="A7090" s="56">
        <v>9291141.5999999996</v>
      </c>
    </row>
    <row r="7091" spans="1:1" x14ac:dyDescent="0.25">
      <c r="A7091" s="56">
        <v>32110513.100000001</v>
      </c>
    </row>
    <row r="7092" spans="1:1" x14ac:dyDescent="0.25">
      <c r="A7092" s="56">
        <v>53092746.899999999</v>
      </c>
    </row>
    <row r="7093" spans="1:1" x14ac:dyDescent="0.25">
      <c r="A7093" s="56">
        <v>14081659.6</v>
      </c>
    </row>
    <row r="7094" spans="1:1" x14ac:dyDescent="0.25">
      <c r="A7094" s="56">
        <v>182025710.69999999</v>
      </c>
    </row>
    <row r="7095" spans="1:1" x14ac:dyDescent="0.25">
      <c r="A7095" s="56">
        <v>450009553.10000002</v>
      </c>
    </row>
    <row r="7096" spans="1:1" x14ac:dyDescent="0.25">
      <c r="A7096" s="56">
        <v>105727407.90000001</v>
      </c>
    </row>
    <row r="7097" spans="1:1" x14ac:dyDescent="0.25">
      <c r="A7097" s="56">
        <v>6137979.5999999996</v>
      </c>
    </row>
    <row r="7098" spans="1:1" x14ac:dyDescent="0.25">
      <c r="A7098" s="56">
        <v>28778085.5</v>
      </c>
    </row>
    <row r="7099" spans="1:1" x14ac:dyDescent="0.25">
      <c r="A7099" s="56">
        <v>8379409.2999999896</v>
      </c>
    </row>
    <row r="7100" spans="1:1" x14ac:dyDescent="0.25">
      <c r="A7100" s="56">
        <v>40539142.899999999</v>
      </c>
    </row>
    <row r="7101" spans="1:1" x14ac:dyDescent="0.25">
      <c r="A7101" s="56">
        <v>135949730.59999999</v>
      </c>
    </row>
    <row r="7102" spans="1:1" x14ac:dyDescent="0.25">
      <c r="A7102" s="56">
        <v>11412125.699999999</v>
      </c>
    </row>
    <row r="7103" spans="1:1" x14ac:dyDescent="0.25">
      <c r="A7103" s="56">
        <v>92499044.799999997</v>
      </c>
    </row>
    <row r="7104" spans="1:1" x14ac:dyDescent="0.25">
      <c r="A7104" s="56">
        <v>4609762.8</v>
      </c>
    </row>
    <row r="7105" spans="1:1" x14ac:dyDescent="0.25">
      <c r="A7105" s="56">
        <v>780144</v>
      </c>
    </row>
    <row r="7106" spans="1:1" x14ac:dyDescent="0.25">
      <c r="A7106" s="56">
        <v>26606693</v>
      </c>
    </row>
    <row r="7107" spans="1:1" x14ac:dyDescent="0.25">
      <c r="A7107" s="56">
        <v>135141778.59999999</v>
      </c>
    </row>
    <row r="7108" spans="1:1" x14ac:dyDescent="0.25">
      <c r="A7108" s="56">
        <v>180292635</v>
      </c>
    </row>
    <row r="7109" spans="1:1" x14ac:dyDescent="0.25">
      <c r="A7109" s="56">
        <v>250007635.30000001</v>
      </c>
    </row>
    <row r="7110" spans="1:1" x14ac:dyDescent="0.25">
      <c r="A7110" s="56">
        <v>90096586.799999997</v>
      </c>
    </row>
    <row r="7111" spans="1:1" x14ac:dyDescent="0.25">
      <c r="A7111" s="56">
        <v>84946074.700000003</v>
      </c>
    </row>
    <row r="7112" spans="1:1" x14ac:dyDescent="0.25">
      <c r="A7112" s="56">
        <v>307709411.10000002</v>
      </c>
    </row>
    <row r="7113" spans="1:1" x14ac:dyDescent="0.25">
      <c r="A7113" s="56">
        <v>24357027</v>
      </c>
    </row>
    <row r="7114" spans="1:1" x14ac:dyDescent="0.25">
      <c r="A7114" s="56">
        <v>0</v>
      </c>
    </row>
    <row r="7115" spans="1:1" x14ac:dyDescent="0.25">
      <c r="A7115" s="56">
        <v>0</v>
      </c>
    </row>
    <row r="7116" spans="1:1" x14ac:dyDescent="0.25">
      <c r="A7116" s="56">
        <v>64266712.200000003</v>
      </c>
    </row>
    <row r="7117" spans="1:1" x14ac:dyDescent="0.25">
      <c r="A7117" s="56">
        <v>4104553.8</v>
      </c>
    </row>
    <row r="7118" spans="1:1" x14ac:dyDescent="0.25">
      <c r="A7118" s="56">
        <v>41544584.200000003</v>
      </c>
    </row>
    <row r="7119" spans="1:1" x14ac:dyDescent="0.25">
      <c r="A7119" s="56">
        <v>88547682.199999899</v>
      </c>
    </row>
    <row r="7120" spans="1:1" x14ac:dyDescent="0.25">
      <c r="A7120" s="56">
        <v>7733545.7999999998</v>
      </c>
    </row>
    <row r="7121" spans="1:1" x14ac:dyDescent="0.25">
      <c r="A7121" s="56">
        <v>9556268.4999999907</v>
      </c>
    </row>
    <row r="7122" spans="1:1" x14ac:dyDescent="0.25">
      <c r="A7122" s="56">
        <v>327734558.89999998</v>
      </c>
    </row>
    <row r="7123" spans="1:1" x14ac:dyDescent="0.25">
      <c r="A7123" s="56">
        <v>7736278.7999999998</v>
      </c>
    </row>
    <row r="7124" spans="1:1" x14ac:dyDescent="0.25">
      <c r="A7124" s="56">
        <v>0</v>
      </c>
    </row>
    <row r="7125" spans="1:1" x14ac:dyDescent="0.25">
      <c r="A7125" s="56">
        <v>2942179.6</v>
      </c>
    </row>
    <row r="7126" spans="1:1" x14ac:dyDescent="0.25">
      <c r="A7126" s="56">
        <v>3558337.2</v>
      </c>
    </row>
    <row r="7127" spans="1:1" x14ac:dyDescent="0.25">
      <c r="A7127" s="56">
        <v>162889353.80000001</v>
      </c>
    </row>
    <row r="7128" spans="1:1" x14ac:dyDescent="0.25">
      <c r="A7128" s="56">
        <v>166745647.40000001</v>
      </c>
    </row>
    <row r="7129" spans="1:1" x14ac:dyDescent="0.25">
      <c r="A7129" s="56">
        <v>5592517.7999999998</v>
      </c>
    </row>
    <row r="7130" spans="1:1" x14ac:dyDescent="0.25">
      <c r="A7130" s="56">
        <v>248014783.80000001</v>
      </c>
    </row>
    <row r="7131" spans="1:1" x14ac:dyDescent="0.25">
      <c r="A7131" s="56">
        <v>27719647.399999999</v>
      </c>
    </row>
    <row r="7132" spans="1:1" x14ac:dyDescent="0.25">
      <c r="A7132" s="56">
        <v>176788521.40000001</v>
      </c>
    </row>
    <row r="7133" spans="1:1" x14ac:dyDescent="0.25">
      <c r="A7133" s="56">
        <v>0</v>
      </c>
    </row>
    <row r="7134" spans="1:1" x14ac:dyDescent="0.25">
      <c r="A7134" s="56">
        <v>59947645.799999997</v>
      </c>
    </row>
    <row r="7135" spans="1:1" x14ac:dyDescent="0.25">
      <c r="A7135" s="56">
        <v>16148396.800000001</v>
      </c>
    </row>
    <row r="7136" spans="1:1" x14ac:dyDescent="0.25">
      <c r="A7136" s="56">
        <v>37744380.899999999</v>
      </c>
    </row>
    <row r="7137" spans="1:1" x14ac:dyDescent="0.25">
      <c r="A7137" s="56">
        <v>22107657</v>
      </c>
    </row>
    <row r="7138" spans="1:1" x14ac:dyDescent="0.25">
      <c r="A7138" s="56">
        <v>24989188</v>
      </c>
    </row>
    <row r="7139" spans="1:1" x14ac:dyDescent="0.25">
      <c r="A7139" s="56">
        <v>303256058.69999999</v>
      </c>
    </row>
    <row r="7140" spans="1:1" x14ac:dyDescent="0.25">
      <c r="A7140" s="56">
        <v>25124028.199999999</v>
      </c>
    </row>
    <row r="7141" spans="1:1" x14ac:dyDescent="0.25">
      <c r="A7141" s="56">
        <v>50501364.200000003</v>
      </c>
    </row>
    <row r="7142" spans="1:1" x14ac:dyDescent="0.25">
      <c r="A7142" s="56">
        <v>5084143.1999999899</v>
      </c>
    </row>
    <row r="7143" spans="1:1" x14ac:dyDescent="0.25">
      <c r="A7143" s="56">
        <v>2989959</v>
      </c>
    </row>
    <row r="7144" spans="1:1" x14ac:dyDescent="0.25">
      <c r="A7144" s="56">
        <v>40234903.700000003</v>
      </c>
    </row>
    <row r="7145" spans="1:1" x14ac:dyDescent="0.25">
      <c r="A7145" s="56">
        <v>0</v>
      </c>
    </row>
    <row r="7146" spans="1:1" x14ac:dyDescent="0.25">
      <c r="A7146" s="56">
        <v>2072696.4</v>
      </c>
    </row>
    <row r="7147" spans="1:1" x14ac:dyDescent="0.25">
      <c r="A7147" s="56">
        <v>94934802.700000003</v>
      </c>
    </row>
    <row r="7148" spans="1:1" x14ac:dyDescent="0.25">
      <c r="A7148" s="56">
        <v>87912821.799999997</v>
      </c>
    </row>
    <row r="7149" spans="1:1" x14ac:dyDescent="0.25">
      <c r="A7149" s="56">
        <v>0</v>
      </c>
    </row>
    <row r="7150" spans="1:1" x14ac:dyDescent="0.25">
      <c r="A7150" s="56">
        <v>5188372.5999999996</v>
      </c>
    </row>
    <row r="7151" spans="1:1" x14ac:dyDescent="0.25">
      <c r="A7151" s="56">
        <v>48375028.399999902</v>
      </c>
    </row>
    <row r="7152" spans="1:1" x14ac:dyDescent="0.25">
      <c r="A7152" s="56">
        <v>153979679.19999999</v>
      </c>
    </row>
    <row r="7153" spans="1:1" x14ac:dyDescent="0.25">
      <c r="A7153" s="56">
        <v>88213303.5</v>
      </c>
    </row>
    <row r="7154" spans="1:1" x14ac:dyDescent="0.25">
      <c r="A7154" s="56">
        <v>18066947.5</v>
      </c>
    </row>
    <row r="7155" spans="1:1" x14ac:dyDescent="0.25">
      <c r="A7155" s="56">
        <v>5740451.3999999901</v>
      </c>
    </row>
    <row r="7156" spans="1:1" x14ac:dyDescent="0.25">
      <c r="A7156" s="56">
        <v>15848282.199999999</v>
      </c>
    </row>
    <row r="7157" spans="1:1" x14ac:dyDescent="0.25">
      <c r="A7157" s="56">
        <v>13438500.6</v>
      </c>
    </row>
    <row r="7158" spans="1:1" x14ac:dyDescent="0.25">
      <c r="A7158" s="56">
        <v>626492</v>
      </c>
    </row>
    <row r="7159" spans="1:1" x14ac:dyDescent="0.25">
      <c r="A7159" s="56">
        <v>6261751.7999999896</v>
      </c>
    </row>
    <row r="7160" spans="1:1" x14ac:dyDescent="0.25">
      <c r="A7160" s="56">
        <v>64484801.899999902</v>
      </c>
    </row>
    <row r="7161" spans="1:1" x14ac:dyDescent="0.25">
      <c r="A7161" s="56">
        <v>203968044.19999999</v>
      </c>
    </row>
    <row r="7162" spans="1:1" x14ac:dyDescent="0.25">
      <c r="A7162" s="56">
        <v>24749739</v>
      </c>
    </row>
    <row r="7163" spans="1:1" x14ac:dyDescent="0.25">
      <c r="A7163" s="56">
        <v>12573246.699999999</v>
      </c>
    </row>
    <row r="7164" spans="1:1" x14ac:dyDescent="0.25">
      <c r="A7164" s="56">
        <v>8252696.4000000004</v>
      </c>
    </row>
    <row r="7165" spans="1:1" x14ac:dyDescent="0.25">
      <c r="A7165" s="56">
        <v>378026714.09999901</v>
      </c>
    </row>
    <row r="7166" spans="1:1" x14ac:dyDescent="0.25">
      <c r="A7166" s="56">
        <v>37011288.299999997</v>
      </c>
    </row>
    <row r="7167" spans="1:1" x14ac:dyDescent="0.25">
      <c r="A7167" s="56">
        <v>60408309.299999997</v>
      </c>
    </row>
    <row r="7168" spans="1:1" x14ac:dyDescent="0.25">
      <c r="A7168" s="56">
        <v>3516370.8</v>
      </c>
    </row>
    <row r="7169" spans="1:1" x14ac:dyDescent="0.25">
      <c r="A7169" s="56">
        <v>744382</v>
      </c>
    </row>
    <row r="7170" spans="1:1" x14ac:dyDescent="0.25">
      <c r="A7170" s="56">
        <v>30595327</v>
      </c>
    </row>
    <row r="7171" spans="1:1" x14ac:dyDescent="0.25">
      <c r="A7171" s="56">
        <v>7610139.5999999996</v>
      </c>
    </row>
    <row r="7172" spans="1:1" x14ac:dyDescent="0.25">
      <c r="A7172" s="56">
        <v>0</v>
      </c>
    </row>
    <row r="7173" spans="1:1" x14ac:dyDescent="0.25">
      <c r="A7173" s="56">
        <v>19978203.199999999</v>
      </c>
    </row>
    <row r="7174" spans="1:1" x14ac:dyDescent="0.25">
      <c r="A7174" s="56">
        <v>7618370.8999999901</v>
      </c>
    </row>
    <row r="7175" spans="1:1" x14ac:dyDescent="0.25">
      <c r="A7175" s="56">
        <v>0</v>
      </c>
    </row>
    <row r="7176" spans="1:1" x14ac:dyDescent="0.25">
      <c r="A7176" s="56">
        <v>2685027</v>
      </c>
    </row>
    <row r="7177" spans="1:1" x14ac:dyDescent="0.25">
      <c r="A7177" s="56">
        <v>25904422.300000001</v>
      </c>
    </row>
    <row r="7178" spans="1:1" x14ac:dyDescent="0.25">
      <c r="A7178" s="56">
        <v>9165464.1999999899</v>
      </c>
    </row>
    <row r="7179" spans="1:1" x14ac:dyDescent="0.25">
      <c r="A7179" s="56">
        <v>7566572.3999999901</v>
      </c>
    </row>
    <row r="7180" spans="1:1" x14ac:dyDescent="0.25">
      <c r="A7180" s="56">
        <v>17453948</v>
      </c>
    </row>
    <row r="7181" spans="1:1" x14ac:dyDescent="0.25">
      <c r="A7181" s="56">
        <v>5309594.5999999996</v>
      </c>
    </row>
    <row r="7182" spans="1:1" x14ac:dyDescent="0.25">
      <c r="A7182" s="56">
        <v>3491782.2</v>
      </c>
    </row>
    <row r="7183" spans="1:1" x14ac:dyDescent="0.25">
      <c r="A7183" s="56">
        <v>81948723.099999905</v>
      </c>
    </row>
    <row r="7184" spans="1:1" x14ac:dyDescent="0.25">
      <c r="A7184" s="56">
        <v>97514311.399999902</v>
      </c>
    </row>
    <row r="7185" spans="1:1" x14ac:dyDescent="0.25">
      <c r="A7185" s="56">
        <v>412238.8</v>
      </c>
    </row>
    <row r="7186" spans="1:1" x14ac:dyDescent="0.25">
      <c r="A7186" s="56">
        <v>11603118.9</v>
      </c>
    </row>
    <row r="7187" spans="1:1" x14ac:dyDescent="0.25">
      <c r="A7187" s="56">
        <v>0</v>
      </c>
    </row>
    <row r="7188" spans="1:1" x14ac:dyDescent="0.25">
      <c r="A7188" s="56">
        <v>52696874.200000003</v>
      </c>
    </row>
    <row r="7189" spans="1:1" x14ac:dyDescent="0.25">
      <c r="A7189" s="56">
        <v>0</v>
      </c>
    </row>
    <row r="7190" spans="1:1" x14ac:dyDescent="0.25">
      <c r="A7190" s="56">
        <v>161755784.40000001</v>
      </c>
    </row>
    <row r="7191" spans="1:1" x14ac:dyDescent="0.25">
      <c r="A7191" s="56">
        <v>43821663.099999897</v>
      </c>
    </row>
    <row r="7192" spans="1:1" x14ac:dyDescent="0.25">
      <c r="A7192" s="56">
        <v>6911800.2999999998</v>
      </c>
    </row>
    <row r="7193" spans="1:1" x14ac:dyDescent="0.25">
      <c r="A7193" s="56">
        <v>6521767</v>
      </c>
    </row>
    <row r="7194" spans="1:1" x14ac:dyDescent="0.25">
      <c r="A7194" s="56">
        <v>13213984.199999999</v>
      </c>
    </row>
    <row r="7195" spans="1:1" x14ac:dyDescent="0.25">
      <c r="A7195" s="56">
        <v>35036528.600000001</v>
      </c>
    </row>
    <row r="7196" spans="1:1" x14ac:dyDescent="0.25">
      <c r="A7196" s="56">
        <v>15556974.800000001</v>
      </c>
    </row>
    <row r="7197" spans="1:1" x14ac:dyDescent="0.25">
      <c r="A7197" s="56">
        <v>9947114.3999999892</v>
      </c>
    </row>
    <row r="7198" spans="1:1" x14ac:dyDescent="0.25">
      <c r="A7198" s="56">
        <v>83810306.699999899</v>
      </c>
    </row>
    <row r="7199" spans="1:1" x14ac:dyDescent="0.25">
      <c r="A7199" s="56">
        <v>32628229.800000001</v>
      </c>
    </row>
    <row r="7200" spans="1:1" x14ac:dyDescent="0.25">
      <c r="A7200" s="56">
        <v>13285496.6</v>
      </c>
    </row>
    <row r="7201" spans="1:1" x14ac:dyDescent="0.25">
      <c r="A7201" s="56">
        <v>813737413.29999995</v>
      </c>
    </row>
    <row r="7202" spans="1:1" x14ac:dyDescent="0.25">
      <c r="A7202" s="56">
        <v>15298945.4</v>
      </c>
    </row>
    <row r="7203" spans="1:1" x14ac:dyDescent="0.25">
      <c r="A7203" s="56">
        <v>22646551.399999999</v>
      </c>
    </row>
    <row r="7204" spans="1:1" x14ac:dyDescent="0.25">
      <c r="A7204" s="56">
        <v>54959328.5</v>
      </c>
    </row>
    <row r="7205" spans="1:1" x14ac:dyDescent="0.25">
      <c r="A7205" s="56">
        <v>113588893.7</v>
      </c>
    </row>
    <row r="7206" spans="1:1" x14ac:dyDescent="0.25">
      <c r="A7206" s="56">
        <v>0</v>
      </c>
    </row>
    <row r="7207" spans="1:1" x14ac:dyDescent="0.25">
      <c r="A7207" s="56">
        <v>17556749.100000001</v>
      </c>
    </row>
    <row r="7208" spans="1:1" x14ac:dyDescent="0.25">
      <c r="A7208" s="56">
        <v>7545612.5999999996</v>
      </c>
    </row>
    <row r="7209" spans="1:1" x14ac:dyDescent="0.25">
      <c r="A7209" s="56">
        <v>18358318.600000001</v>
      </c>
    </row>
    <row r="7210" spans="1:1" x14ac:dyDescent="0.25">
      <c r="A7210" s="56">
        <v>75850145.099999905</v>
      </c>
    </row>
    <row r="7211" spans="1:1" x14ac:dyDescent="0.25">
      <c r="A7211" s="56">
        <v>19794157.600000001</v>
      </c>
    </row>
    <row r="7212" spans="1:1" x14ac:dyDescent="0.25">
      <c r="A7212" s="56">
        <v>308597722.80000001</v>
      </c>
    </row>
    <row r="7213" spans="1:1" x14ac:dyDescent="0.25">
      <c r="A7213" s="56">
        <v>28966715.399999902</v>
      </c>
    </row>
    <row r="7214" spans="1:1" x14ac:dyDescent="0.25">
      <c r="A7214" s="56">
        <v>48958269.099999897</v>
      </c>
    </row>
    <row r="7215" spans="1:1" x14ac:dyDescent="0.25">
      <c r="A7215" s="56">
        <v>18299927.899999999</v>
      </c>
    </row>
    <row r="7216" spans="1:1" x14ac:dyDescent="0.25">
      <c r="A7216" s="56">
        <v>8556704.2999999896</v>
      </c>
    </row>
    <row r="7217" spans="1:1" x14ac:dyDescent="0.25">
      <c r="A7217" s="56">
        <v>12855108</v>
      </c>
    </row>
    <row r="7218" spans="1:1" x14ac:dyDescent="0.25">
      <c r="A7218" s="56">
        <v>41324914.899999999</v>
      </c>
    </row>
    <row r="7219" spans="1:1" x14ac:dyDescent="0.25">
      <c r="A7219" s="56">
        <v>5681662.5999999996</v>
      </c>
    </row>
    <row r="7220" spans="1:1" x14ac:dyDescent="0.25">
      <c r="A7220" s="56">
        <v>12487505.1</v>
      </c>
    </row>
    <row r="7221" spans="1:1" x14ac:dyDescent="0.25">
      <c r="A7221" s="56">
        <v>2596891.7999999998</v>
      </c>
    </row>
    <row r="7222" spans="1:1" x14ac:dyDescent="0.25">
      <c r="A7222" s="56">
        <v>14001670.4</v>
      </c>
    </row>
    <row r="7223" spans="1:1" x14ac:dyDescent="0.25">
      <c r="A7223" s="56">
        <v>12240449.199999999</v>
      </c>
    </row>
    <row r="7224" spans="1:1" x14ac:dyDescent="0.25">
      <c r="A7224" s="56">
        <v>11949206.199999999</v>
      </c>
    </row>
    <row r="7225" spans="1:1" x14ac:dyDescent="0.25">
      <c r="A7225" s="56">
        <v>104549997.2</v>
      </c>
    </row>
    <row r="7226" spans="1:1" x14ac:dyDescent="0.25">
      <c r="A7226" s="56">
        <v>14459899.699999999</v>
      </c>
    </row>
    <row r="7227" spans="1:1" x14ac:dyDescent="0.25">
      <c r="A7227" s="56">
        <v>15629846.9</v>
      </c>
    </row>
    <row r="7228" spans="1:1" x14ac:dyDescent="0.25">
      <c r="A7228" s="56">
        <v>65858708.899999999</v>
      </c>
    </row>
    <row r="7229" spans="1:1" x14ac:dyDescent="0.25">
      <c r="A7229" s="56">
        <v>42223526.199999899</v>
      </c>
    </row>
    <row r="7230" spans="1:1" x14ac:dyDescent="0.25">
      <c r="A7230" s="56">
        <v>152019986.09999999</v>
      </c>
    </row>
    <row r="7231" spans="1:1" x14ac:dyDescent="0.25">
      <c r="A7231" s="56">
        <v>2529421.7999999998</v>
      </c>
    </row>
    <row r="7232" spans="1:1" x14ac:dyDescent="0.25">
      <c r="A7232" s="56">
        <v>178908166.40000001</v>
      </c>
    </row>
    <row r="7233" spans="1:1" x14ac:dyDescent="0.25">
      <c r="A7233" s="56">
        <v>326944274.89999998</v>
      </c>
    </row>
    <row r="7234" spans="1:1" x14ac:dyDescent="0.25">
      <c r="A7234" s="56">
        <v>8216017.3999999901</v>
      </c>
    </row>
    <row r="7235" spans="1:1" x14ac:dyDescent="0.25">
      <c r="A7235" s="56">
        <v>519700842.19999999</v>
      </c>
    </row>
    <row r="7236" spans="1:1" x14ac:dyDescent="0.25">
      <c r="A7236" s="56">
        <v>69131388.400000006</v>
      </c>
    </row>
    <row r="7237" spans="1:1" x14ac:dyDescent="0.25">
      <c r="A7237" s="56">
        <v>19849500</v>
      </c>
    </row>
    <row r="7238" spans="1:1" x14ac:dyDescent="0.25">
      <c r="A7238" s="56">
        <v>66687451.799999997</v>
      </c>
    </row>
    <row r="7239" spans="1:1" x14ac:dyDescent="0.25">
      <c r="A7239" s="56">
        <v>5838319.1999999899</v>
      </c>
    </row>
    <row r="7240" spans="1:1" x14ac:dyDescent="0.25">
      <c r="A7240" s="56">
        <v>451584734.19999999</v>
      </c>
    </row>
    <row r="7241" spans="1:1" x14ac:dyDescent="0.25">
      <c r="A7241" s="56">
        <v>58001532.399999999</v>
      </c>
    </row>
    <row r="7242" spans="1:1" x14ac:dyDescent="0.25">
      <c r="A7242" s="56">
        <v>37661451.599999897</v>
      </c>
    </row>
    <row r="7243" spans="1:1" x14ac:dyDescent="0.25">
      <c r="A7243" s="56">
        <v>20912601.600000001</v>
      </c>
    </row>
    <row r="7244" spans="1:1" x14ac:dyDescent="0.25">
      <c r="A7244" s="56">
        <v>30261562.899999999</v>
      </c>
    </row>
    <row r="7245" spans="1:1" x14ac:dyDescent="0.25">
      <c r="A7245" s="56">
        <v>0</v>
      </c>
    </row>
    <row r="7246" spans="1:1" x14ac:dyDescent="0.25">
      <c r="A7246" s="56">
        <v>9089977.5</v>
      </c>
    </row>
    <row r="7247" spans="1:1" x14ac:dyDescent="0.25">
      <c r="A7247" s="56">
        <v>3893185.2</v>
      </c>
    </row>
    <row r="7248" spans="1:1" x14ac:dyDescent="0.25">
      <c r="A7248" s="56">
        <v>46906254.399999999</v>
      </c>
    </row>
    <row r="7249" spans="1:1" x14ac:dyDescent="0.25">
      <c r="A7249" s="56">
        <v>63891641.099999897</v>
      </c>
    </row>
    <row r="7250" spans="1:1" x14ac:dyDescent="0.25">
      <c r="A7250" s="56">
        <v>421273580.30000001</v>
      </c>
    </row>
    <row r="7251" spans="1:1" x14ac:dyDescent="0.25">
      <c r="A7251" s="56">
        <v>4673993.2</v>
      </c>
    </row>
    <row r="7252" spans="1:1" x14ac:dyDescent="0.25">
      <c r="A7252" s="56">
        <v>11684292.6</v>
      </c>
    </row>
    <row r="7253" spans="1:1" x14ac:dyDescent="0.25">
      <c r="A7253" s="56">
        <v>29310906.399999999</v>
      </c>
    </row>
    <row r="7254" spans="1:1" x14ac:dyDescent="0.25">
      <c r="A7254" s="56">
        <v>30713669.300000001</v>
      </c>
    </row>
    <row r="7255" spans="1:1" x14ac:dyDescent="0.25">
      <c r="A7255" s="56">
        <v>11318558.4</v>
      </c>
    </row>
    <row r="7256" spans="1:1" x14ac:dyDescent="0.25">
      <c r="A7256" s="56">
        <v>16804410</v>
      </c>
    </row>
    <row r="7257" spans="1:1" x14ac:dyDescent="0.25">
      <c r="A7257" s="56">
        <v>18513990.100000001</v>
      </c>
    </row>
    <row r="7258" spans="1:1" x14ac:dyDescent="0.25">
      <c r="A7258" s="56">
        <v>0</v>
      </c>
    </row>
    <row r="7259" spans="1:1" x14ac:dyDescent="0.25">
      <c r="A7259" s="56">
        <v>17634359.699999999</v>
      </c>
    </row>
    <row r="7260" spans="1:1" x14ac:dyDescent="0.25">
      <c r="A7260" s="56">
        <v>92349900.599999994</v>
      </c>
    </row>
    <row r="7261" spans="1:1" x14ac:dyDescent="0.25">
      <c r="A7261" s="56">
        <v>3867071.6</v>
      </c>
    </row>
    <row r="7262" spans="1:1" x14ac:dyDescent="0.25">
      <c r="A7262" s="56">
        <v>278973874.69999999</v>
      </c>
    </row>
    <row r="7263" spans="1:1" x14ac:dyDescent="0.25">
      <c r="A7263" s="56">
        <v>203026158.40000001</v>
      </c>
    </row>
    <row r="7264" spans="1:1" x14ac:dyDescent="0.25">
      <c r="A7264" s="56">
        <v>88854142.900000006</v>
      </c>
    </row>
    <row r="7265" spans="1:1" x14ac:dyDescent="0.25">
      <c r="A7265" s="56">
        <v>2701075.8</v>
      </c>
    </row>
    <row r="7266" spans="1:1" x14ac:dyDescent="0.25">
      <c r="A7266" s="56">
        <v>7690565.6999999899</v>
      </c>
    </row>
    <row r="7267" spans="1:1" x14ac:dyDescent="0.25">
      <c r="A7267" s="56">
        <v>71450753.200000003</v>
      </c>
    </row>
    <row r="7268" spans="1:1" x14ac:dyDescent="0.25">
      <c r="A7268" s="56">
        <v>837740239.79999995</v>
      </c>
    </row>
    <row r="7269" spans="1:1" x14ac:dyDescent="0.25">
      <c r="A7269" s="56">
        <v>4188228</v>
      </c>
    </row>
    <row r="7270" spans="1:1" x14ac:dyDescent="0.25">
      <c r="A7270" s="56">
        <v>9997269</v>
      </c>
    </row>
    <row r="7271" spans="1:1" x14ac:dyDescent="0.25">
      <c r="A7271" s="56">
        <v>6826948.0999999996</v>
      </c>
    </row>
    <row r="7272" spans="1:1" x14ac:dyDescent="0.25">
      <c r="A7272" s="56">
        <v>25170468.5</v>
      </c>
    </row>
    <row r="7273" spans="1:1" x14ac:dyDescent="0.25">
      <c r="A7273" s="56">
        <v>58011701.799999997</v>
      </c>
    </row>
    <row r="7274" spans="1:1" x14ac:dyDescent="0.25">
      <c r="A7274" s="56">
        <v>0</v>
      </c>
    </row>
    <row r="7275" spans="1:1" x14ac:dyDescent="0.25">
      <c r="A7275" s="56">
        <v>10225793.199999999</v>
      </c>
    </row>
    <row r="7276" spans="1:1" x14ac:dyDescent="0.25">
      <c r="A7276" s="56">
        <v>173982575.30000001</v>
      </c>
    </row>
    <row r="7277" spans="1:1" x14ac:dyDescent="0.25">
      <c r="A7277" s="56">
        <v>6629676</v>
      </c>
    </row>
    <row r="7278" spans="1:1" x14ac:dyDescent="0.25">
      <c r="A7278" s="56">
        <v>2712280</v>
      </c>
    </row>
    <row r="7279" spans="1:1" x14ac:dyDescent="0.25">
      <c r="A7279" s="56">
        <v>6406208.7999999998</v>
      </c>
    </row>
    <row r="7280" spans="1:1" x14ac:dyDescent="0.25">
      <c r="A7280" s="56">
        <v>0</v>
      </c>
    </row>
    <row r="7281" spans="1:1" x14ac:dyDescent="0.25">
      <c r="A7281" s="56">
        <v>74506765.599999994</v>
      </c>
    </row>
    <row r="7282" spans="1:1" x14ac:dyDescent="0.25">
      <c r="A7282" s="56">
        <v>28975529.199999999</v>
      </c>
    </row>
    <row r="7283" spans="1:1" x14ac:dyDescent="0.25">
      <c r="A7283" s="56">
        <v>1700726.4</v>
      </c>
    </row>
    <row r="7284" spans="1:1" x14ac:dyDescent="0.25">
      <c r="A7284" s="56">
        <v>132768649.09999999</v>
      </c>
    </row>
    <row r="7285" spans="1:1" x14ac:dyDescent="0.25">
      <c r="A7285" s="56">
        <v>47198223</v>
      </c>
    </row>
    <row r="7286" spans="1:1" x14ac:dyDescent="0.25">
      <c r="A7286" s="56">
        <v>9502289.8000000007</v>
      </c>
    </row>
    <row r="7287" spans="1:1" x14ac:dyDescent="0.25">
      <c r="A7287" s="56">
        <v>7733756.5</v>
      </c>
    </row>
    <row r="7288" spans="1:1" x14ac:dyDescent="0.25">
      <c r="A7288" s="56">
        <v>14697587.4</v>
      </c>
    </row>
    <row r="7289" spans="1:1" x14ac:dyDescent="0.25">
      <c r="A7289" s="56">
        <v>80478401.899999902</v>
      </c>
    </row>
    <row r="7290" spans="1:1" x14ac:dyDescent="0.25">
      <c r="A7290" s="56">
        <v>0</v>
      </c>
    </row>
    <row r="7291" spans="1:1" x14ac:dyDescent="0.25">
      <c r="A7291" s="56">
        <v>121629374.09999999</v>
      </c>
    </row>
    <row r="7292" spans="1:1" x14ac:dyDescent="0.25">
      <c r="A7292" s="56">
        <v>6990850.0999999996</v>
      </c>
    </row>
    <row r="7293" spans="1:1" x14ac:dyDescent="0.25">
      <c r="A7293" s="56">
        <v>67737945.599999905</v>
      </c>
    </row>
    <row r="7294" spans="1:1" x14ac:dyDescent="0.25">
      <c r="A7294" s="56">
        <v>90450137.400000006</v>
      </c>
    </row>
    <row r="7295" spans="1:1" x14ac:dyDescent="0.25">
      <c r="A7295" s="56">
        <v>0</v>
      </c>
    </row>
    <row r="7296" spans="1:1" x14ac:dyDescent="0.25">
      <c r="A7296" s="56">
        <v>7335850.8999999901</v>
      </c>
    </row>
    <row r="7297" spans="1:1" x14ac:dyDescent="0.25">
      <c r="A7297" s="56">
        <v>6901645.7999999998</v>
      </c>
    </row>
    <row r="7298" spans="1:1" x14ac:dyDescent="0.25">
      <c r="A7298" s="56">
        <v>34147058.499999903</v>
      </c>
    </row>
    <row r="7299" spans="1:1" x14ac:dyDescent="0.25">
      <c r="A7299" s="56">
        <v>5838319.1999999899</v>
      </c>
    </row>
    <row r="7300" spans="1:1" x14ac:dyDescent="0.25">
      <c r="A7300" s="56">
        <v>185738670</v>
      </c>
    </row>
    <row r="7301" spans="1:1" x14ac:dyDescent="0.25">
      <c r="A7301" s="56">
        <v>66204756.399999999</v>
      </c>
    </row>
    <row r="7302" spans="1:1" x14ac:dyDescent="0.25">
      <c r="A7302" s="56">
        <v>21321207.5</v>
      </c>
    </row>
    <row r="7303" spans="1:1" x14ac:dyDescent="0.25">
      <c r="A7303" s="56">
        <v>20566344.600000001</v>
      </c>
    </row>
    <row r="7304" spans="1:1" x14ac:dyDescent="0.25">
      <c r="A7304" s="56">
        <v>55411187.099999897</v>
      </c>
    </row>
    <row r="7305" spans="1:1" x14ac:dyDescent="0.25">
      <c r="A7305" s="56">
        <v>30493181</v>
      </c>
    </row>
    <row r="7306" spans="1:1" x14ac:dyDescent="0.25">
      <c r="A7306" s="56">
        <v>225736252.19999999</v>
      </c>
    </row>
    <row r="7307" spans="1:1" x14ac:dyDescent="0.25">
      <c r="A7307" s="56">
        <v>27451042.099999901</v>
      </c>
    </row>
    <row r="7308" spans="1:1" x14ac:dyDescent="0.25">
      <c r="A7308" s="56">
        <v>9559190.8000000007</v>
      </c>
    </row>
    <row r="7309" spans="1:1" x14ac:dyDescent="0.25">
      <c r="A7309" s="56">
        <v>0</v>
      </c>
    </row>
    <row r="7310" spans="1:1" x14ac:dyDescent="0.25">
      <c r="A7310" s="56">
        <v>83869642.599999905</v>
      </c>
    </row>
    <row r="7311" spans="1:1" x14ac:dyDescent="0.25">
      <c r="A7311" s="56">
        <v>63349711</v>
      </c>
    </row>
    <row r="7312" spans="1:1" x14ac:dyDescent="0.25">
      <c r="A7312" s="56">
        <v>0</v>
      </c>
    </row>
    <row r="7313" spans="1:1" x14ac:dyDescent="0.25">
      <c r="A7313" s="56">
        <v>14893984.9</v>
      </c>
    </row>
    <row r="7314" spans="1:1" x14ac:dyDescent="0.25">
      <c r="A7314" s="56">
        <v>106117220.3</v>
      </c>
    </row>
    <row r="7315" spans="1:1" x14ac:dyDescent="0.25">
      <c r="A7315" s="56">
        <v>0</v>
      </c>
    </row>
    <row r="7316" spans="1:1" x14ac:dyDescent="0.25">
      <c r="A7316" s="56">
        <v>2701075.8</v>
      </c>
    </row>
    <row r="7317" spans="1:1" x14ac:dyDescent="0.25">
      <c r="A7317" s="56">
        <v>72087095.799999997</v>
      </c>
    </row>
    <row r="7318" spans="1:1" x14ac:dyDescent="0.25">
      <c r="A7318" s="56">
        <v>0</v>
      </c>
    </row>
    <row r="7319" spans="1:1" x14ac:dyDescent="0.25">
      <c r="A7319" s="56">
        <v>355088974.10000002</v>
      </c>
    </row>
    <row r="7320" spans="1:1" x14ac:dyDescent="0.25">
      <c r="A7320" s="56">
        <v>15255303.5</v>
      </c>
    </row>
    <row r="7321" spans="1:1" x14ac:dyDescent="0.25">
      <c r="A7321" s="56">
        <v>232284643.80000001</v>
      </c>
    </row>
    <row r="7322" spans="1:1" x14ac:dyDescent="0.25">
      <c r="A7322" s="56">
        <v>1948908.6</v>
      </c>
    </row>
    <row r="7323" spans="1:1" x14ac:dyDescent="0.25">
      <c r="A7323" s="56">
        <v>2655896.4</v>
      </c>
    </row>
    <row r="7324" spans="1:1" x14ac:dyDescent="0.25">
      <c r="A7324" s="56">
        <v>68561127.700000003</v>
      </c>
    </row>
    <row r="7325" spans="1:1" x14ac:dyDescent="0.25">
      <c r="A7325" s="56">
        <v>11928807.1</v>
      </c>
    </row>
    <row r="7326" spans="1:1" x14ac:dyDescent="0.25">
      <c r="A7326" s="56">
        <v>0</v>
      </c>
    </row>
    <row r="7327" spans="1:1" x14ac:dyDescent="0.25">
      <c r="A7327" s="56">
        <v>279286503.69999999</v>
      </c>
    </row>
    <row r="7328" spans="1:1" x14ac:dyDescent="0.25">
      <c r="A7328" s="56">
        <v>0</v>
      </c>
    </row>
    <row r="7329" spans="1:1" x14ac:dyDescent="0.25">
      <c r="A7329" s="56">
        <v>4629448.1999999899</v>
      </c>
    </row>
    <row r="7330" spans="1:1" x14ac:dyDescent="0.25">
      <c r="A7330" s="56">
        <v>27699996</v>
      </c>
    </row>
    <row r="7331" spans="1:1" x14ac:dyDescent="0.25">
      <c r="A7331" s="56">
        <v>16600581.5</v>
      </c>
    </row>
    <row r="7332" spans="1:1" x14ac:dyDescent="0.25">
      <c r="A7332" s="56">
        <v>35497937.999999903</v>
      </c>
    </row>
    <row r="7333" spans="1:1" x14ac:dyDescent="0.25">
      <c r="A7333" s="56">
        <v>42959296.100000001</v>
      </c>
    </row>
    <row r="7334" spans="1:1" x14ac:dyDescent="0.25">
      <c r="A7334" s="56">
        <v>50809257.099999897</v>
      </c>
    </row>
    <row r="7335" spans="1:1" x14ac:dyDescent="0.25">
      <c r="A7335" s="56">
        <v>1590192.8</v>
      </c>
    </row>
    <row r="7336" spans="1:1" x14ac:dyDescent="0.25">
      <c r="A7336" s="56">
        <v>114777518.09999999</v>
      </c>
    </row>
    <row r="7337" spans="1:1" x14ac:dyDescent="0.25">
      <c r="A7337" s="56">
        <v>14728140.6</v>
      </c>
    </row>
    <row r="7338" spans="1:1" x14ac:dyDescent="0.25">
      <c r="A7338" s="56">
        <v>0</v>
      </c>
    </row>
    <row r="7339" spans="1:1" x14ac:dyDescent="0.25">
      <c r="A7339" s="56">
        <v>5898028.7999999998</v>
      </c>
    </row>
    <row r="7340" spans="1:1" x14ac:dyDescent="0.25">
      <c r="A7340" s="56">
        <v>48569983.100000001</v>
      </c>
    </row>
    <row r="7341" spans="1:1" x14ac:dyDescent="0.25">
      <c r="A7341" s="56">
        <v>174455001.40000001</v>
      </c>
    </row>
    <row r="7342" spans="1:1" x14ac:dyDescent="0.25">
      <c r="A7342" s="56">
        <v>9806505</v>
      </c>
    </row>
    <row r="7343" spans="1:1" x14ac:dyDescent="0.25">
      <c r="A7343" s="56">
        <v>213255982.09999999</v>
      </c>
    </row>
    <row r="7344" spans="1:1" x14ac:dyDescent="0.25">
      <c r="A7344" s="56">
        <v>13407998.1</v>
      </c>
    </row>
    <row r="7345" spans="1:1" x14ac:dyDescent="0.25">
      <c r="A7345" s="56">
        <v>22855900.399999999</v>
      </c>
    </row>
    <row r="7346" spans="1:1" x14ac:dyDescent="0.25">
      <c r="A7346" s="56">
        <v>14965254.800000001</v>
      </c>
    </row>
    <row r="7347" spans="1:1" x14ac:dyDescent="0.25">
      <c r="A7347" s="56">
        <v>84137183.099999905</v>
      </c>
    </row>
    <row r="7348" spans="1:1" x14ac:dyDescent="0.25">
      <c r="A7348" s="56">
        <v>273292135.30000001</v>
      </c>
    </row>
    <row r="7349" spans="1:1" x14ac:dyDescent="0.25">
      <c r="A7349" s="56">
        <v>6818764.1999999899</v>
      </c>
    </row>
    <row r="7350" spans="1:1" x14ac:dyDescent="0.25">
      <c r="A7350" s="56">
        <v>78528159.299999997</v>
      </c>
    </row>
    <row r="7351" spans="1:1" x14ac:dyDescent="0.25">
      <c r="A7351" s="56">
        <v>127105390.90000001</v>
      </c>
    </row>
    <row r="7352" spans="1:1" x14ac:dyDescent="0.25">
      <c r="A7352" s="56">
        <v>198096415</v>
      </c>
    </row>
    <row r="7353" spans="1:1" x14ac:dyDescent="0.25">
      <c r="A7353" s="56">
        <v>71434696.900000006</v>
      </c>
    </row>
    <row r="7354" spans="1:1" x14ac:dyDescent="0.25">
      <c r="A7354" s="56">
        <v>9062068.5</v>
      </c>
    </row>
    <row r="7355" spans="1:1" x14ac:dyDescent="0.25">
      <c r="A7355" s="56">
        <v>25828157.399999999</v>
      </c>
    </row>
    <row r="7356" spans="1:1" x14ac:dyDescent="0.25">
      <c r="A7356" s="56">
        <v>49223468.899999999</v>
      </c>
    </row>
    <row r="7357" spans="1:1" x14ac:dyDescent="0.25">
      <c r="A7357" s="56">
        <v>21853596.100000001</v>
      </c>
    </row>
    <row r="7358" spans="1:1" x14ac:dyDescent="0.25">
      <c r="A7358" s="56">
        <v>263566545</v>
      </c>
    </row>
    <row r="7359" spans="1:1" x14ac:dyDescent="0.25">
      <c r="A7359" s="56">
        <v>304441.59999999998</v>
      </c>
    </row>
    <row r="7360" spans="1:1" x14ac:dyDescent="0.25">
      <c r="A7360" s="56">
        <v>0</v>
      </c>
    </row>
    <row r="7361" spans="1:1" x14ac:dyDescent="0.25">
      <c r="A7361" s="56">
        <v>139453059.19999999</v>
      </c>
    </row>
    <row r="7362" spans="1:1" x14ac:dyDescent="0.25">
      <c r="A7362" s="56">
        <v>6338873.7999999998</v>
      </c>
    </row>
    <row r="7363" spans="1:1" x14ac:dyDescent="0.25">
      <c r="A7363" s="56">
        <v>3233137.2</v>
      </c>
    </row>
    <row r="7364" spans="1:1" x14ac:dyDescent="0.25">
      <c r="A7364" s="56">
        <v>33648715.099999897</v>
      </c>
    </row>
    <row r="7365" spans="1:1" x14ac:dyDescent="0.25">
      <c r="A7365" s="56">
        <v>0</v>
      </c>
    </row>
    <row r="7366" spans="1:1" x14ac:dyDescent="0.25">
      <c r="A7366" s="56">
        <v>29138827.600000001</v>
      </c>
    </row>
    <row r="7367" spans="1:1" x14ac:dyDescent="0.25">
      <c r="A7367" s="56">
        <v>70918486.400000006</v>
      </c>
    </row>
    <row r="7368" spans="1:1" x14ac:dyDescent="0.25">
      <c r="A7368" s="56">
        <v>13453088.6</v>
      </c>
    </row>
    <row r="7369" spans="1:1" x14ac:dyDescent="0.25">
      <c r="A7369" s="56">
        <v>9266188</v>
      </c>
    </row>
    <row r="7370" spans="1:1" x14ac:dyDescent="0.25">
      <c r="A7370" s="56">
        <v>0</v>
      </c>
    </row>
    <row r="7371" spans="1:1" x14ac:dyDescent="0.25">
      <c r="A7371" s="56">
        <v>28470075.300000001</v>
      </c>
    </row>
    <row r="7372" spans="1:1" x14ac:dyDescent="0.25">
      <c r="A7372" s="56">
        <v>178146559.40000001</v>
      </c>
    </row>
    <row r="7373" spans="1:1" x14ac:dyDescent="0.25">
      <c r="A7373" s="56">
        <v>16506725.9</v>
      </c>
    </row>
    <row r="7374" spans="1:1" x14ac:dyDescent="0.25">
      <c r="A7374" s="56">
        <v>2701075.8</v>
      </c>
    </row>
    <row r="7375" spans="1:1" x14ac:dyDescent="0.25">
      <c r="A7375" s="56">
        <v>32315738.800000001</v>
      </c>
    </row>
    <row r="7376" spans="1:1" x14ac:dyDescent="0.25">
      <c r="A7376" s="56">
        <v>19657311.100000001</v>
      </c>
    </row>
    <row r="7377" spans="1:1" x14ac:dyDescent="0.25">
      <c r="A7377" s="56">
        <v>341424168.19999999</v>
      </c>
    </row>
    <row r="7378" spans="1:1" x14ac:dyDescent="0.25">
      <c r="A7378" s="56">
        <v>1041923.2</v>
      </c>
    </row>
    <row r="7379" spans="1:1" x14ac:dyDescent="0.25">
      <c r="A7379" s="56">
        <v>13904098.6</v>
      </c>
    </row>
    <row r="7380" spans="1:1" x14ac:dyDescent="0.25">
      <c r="A7380" s="56">
        <v>0</v>
      </c>
    </row>
    <row r="7381" spans="1:1" x14ac:dyDescent="0.25">
      <c r="A7381" s="56">
        <v>7674551.5</v>
      </c>
    </row>
    <row r="7382" spans="1:1" x14ac:dyDescent="0.25">
      <c r="A7382" s="56">
        <v>37946748.599999897</v>
      </c>
    </row>
    <row r="7383" spans="1:1" x14ac:dyDescent="0.25">
      <c r="A7383" s="56">
        <v>0</v>
      </c>
    </row>
    <row r="7384" spans="1:1" x14ac:dyDescent="0.25">
      <c r="A7384" s="56">
        <v>36613422.799999997</v>
      </c>
    </row>
    <row r="7385" spans="1:1" x14ac:dyDescent="0.25">
      <c r="A7385" s="56">
        <v>560920226.79999995</v>
      </c>
    </row>
    <row r="7386" spans="1:1" x14ac:dyDescent="0.25">
      <c r="A7386" s="56">
        <v>329004243.89999998</v>
      </c>
    </row>
    <row r="7387" spans="1:1" x14ac:dyDescent="0.25">
      <c r="A7387" s="56">
        <v>18253401.800000001</v>
      </c>
    </row>
    <row r="7388" spans="1:1" x14ac:dyDescent="0.25">
      <c r="A7388" s="56">
        <v>192486957</v>
      </c>
    </row>
    <row r="7389" spans="1:1" x14ac:dyDescent="0.25">
      <c r="A7389" s="56">
        <v>31230261.100000001</v>
      </c>
    </row>
    <row r="7390" spans="1:1" x14ac:dyDescent="0.25">
      <c r="A7390" s="56">
        <v>29729472.399999999</v>
      </c>
    </row>
    <row r="7391" spans="1:1" x14ac:dyDescent="0.25">
      <c r="A7391" s="56">
        <v>5020994.3</v>
      </c>
    </row>
    <row r="7392" spans="1:1" x14ac:dyDescent="0.25">
      <c r="A7392" s="56">
        <v>226244026.09999999</v>
      </c>
    </row>
    <row r="7393" spans="1:1" x14ac:dyDescent="0.25">
      <c r="A7393" s="56">
        <v>9872017.8000000007</v>
      </c>
    </row>
    <row r="7394" spans="1:1" x14ac:dyDescent="0.25">
      <c r="A7394" s="56">
        <v>0</v>
      </c>
    </row>
    <row r="7395" spans="1:1" x14ac:dyDescent="0.25">
      <c r="A7395" s="56">
        <v>5606111.6999999899</v>
      </c>
    </row>
    <row r="7396" spans="1:1" x14ac:dyDescent="0.25">
      <c r="A7396" s="56">
        <v>10598745.6</v>
      </c>
    </row>
    <row r="7397" spans="1:1" x14ac:dyDescent="0.25">
      <c r="A7397" s="56">
        <v>0</v>
      </c>
    </row>
    <row r="7398" spans="1:1" x14ac:dyDescent="0.25">
      <c r="A7398" s="56">
        <v>32274936.699999999</v>
      </c>
    </row>
    <row r="7399" spans="1:1" x14ac:dyDescent="0.25">
      <c r="A7399" s="56">
        <v>23762059.899999999</v>
      </c>
    </row>
    <row r="7400" spans="1:1" x14ac:dyDescent="0.25">
      <c r="A7400" s="56">
        <v>67225803.599999905</v>
      </c>
    </row>
    <row r="7401" spans="1:1" x14ac:dyDescent="0.25">
      <c r="A7401" s="56">
        <v>23858121.699999999</v>
      </c>
    </row>
    <row r="7402" spans="1:1" x14ac:dyDescent="0.25">
      <c r="A7402" s="56">
        <v>71495361.199999899</v>
      </c>
    </row>
    <row r="7403" spans="1:1" x14ac:dyDescent="0.25">
      <c r="A7403" s="56">
        <v>0</v>
      </c>
    </row>
    <row r="7404" spans="1:1" x14ac:dyDescent="0.25">
      <c r="A7404" s="56">
        <v>19710092</v>
      </c>
    </row>
    <row r="7405" spans="1:1" x14ac:dyDescent="0.25">
      <c r="A7405" s="56">
        <v>193324129.59999999</v>
      </c>
    </row>
    <row r="7406" spans="1:1" x14ac:dyDescent="0.25">
      <c r="A7406" s="56">
        <v>33247050.600000001</v>
      </c>
    </row>
    <row r="7407" spans="1:1" x14ac:dyDescent="0.25">
      <c r="A7407" s="56">
        <v>23966262.699999999</v>
      </c>
    </row>
    <row r="7408" spans="1:1" x14ac:dyDescent="0.25">
      <c r="A7408" s="56">
        <v>35710235.099999897</v>
      </c>
    </row>
    <row r="7409" spans="1:1" x14ac:dyDescent="0.25">
      <c r="A7409" s="56">
        <v>8083764.5999999996</v>
      </c>
    </row>
    <row r="7410" spans="1:1" x14ac:dyDescent="0.25">
      <c r="A7410" s="56">
        <v>146058099.30000001</v>
      </c>
    </row>
    <row r="7411" spans="1:1" x14ac:dyDescent="0.25">
      <c r="A7411" s="56">
        <v>47263143.799999997</v>
      </c>
    </row>
    <row r="7412" spans="1:1" x14ac:dyDescent="0.25">
      <c r="A7412" s="56">
        <v>20243293</v>
      </c>
    </row>
    <row r="7413" spans="1:1" x14ac:dyDescent="0.25">
      <c r="A7413" s="56">
        <v>8187855.0999999996</v>
      </c>
    </row>
    <row r="7414" spans="1:1" x14ac:dyDescent="0.25">
      <c r="A7414" s="56">
        <v>9167649.6999999899</v>
      </c>
    </row>
    <row r="7415" spans="1:1" x14ac:dyDescent="0.25">
      <c r="A7415" s="56">
        <v>16193488</v>
      </c>
    </row>
    <row r="7416" spans="1:1" x14ac:dyDescent="0.25">
      <c r="A7416" s="56">
        <v>5274926.3</v>
      </c>
    </row>
    <row r="7417" spans="1:1" x14ac:dyDescent="0.25">
      <c r="A7417" s="56">
        <v>1197669.6000000001</v>
      </c>
    </row>
    <row r="7418" spans="1:1" x14ac:dyDescent="0.25">
      <c r="A7418" s="56">
        <v>53363495.599999897</v>
      </c>
    </row>
    <row r="7419" spans="1:1" x14ac:dyDescent="0.25">
      <c r="A7419" s="56">
        <v>15479617.1</v>
      </c>
    </row>
    <row r="7420" spans="1:1" x14ac:dyDescent="0.25">
      <c r="A7420" s="56">
        <v>7145628.7999999998</v>
      </c>
    </row>
    <row r="7421" spans="1:1" x14ac:dyDescent="0.25">
      <c r="A7421" s="56">
        <v>0</v>
      </c>
    </row>
    <row r="7422" spans="1:1" x14ac:dyDescent="0.25">
      <c r="A7422" s="56">
        <v>31520651.699999999</v>
      </c>
    </row>
    <row r="7423" spans="1:1" x14ac:dyDescent="0.25">
      <c r="A7423" s="56">
        <v>43949117.999999903</v>
      </c>
    </row>
    <row r="7424" spans="1:1" x14ac:dyDescent="0.25">
      <c r="A7424" s="56">
        <v>0</v>
      </c>
    </row>
    <row r="7425" spans="1:1" x14ac:dyDescent="0.25">
      <c r="A7425" s="56">
        <v>7068945.0999999996</v>
      </c>
    </row>
    <row r="7426" spans="1:1" x14ac:dyDescent="0.25">
      <c r="A7426" s="56">
        <v>38498215.299999997</v>
      </c>
    </row>
    <row r="7427" spans="1:1" x14ac:dyDescent="0.25">
      <c r="A7427" s="56">
        <v>9661490.4999999907</v>
      </c>
    </row>
    <row r="7428" spans="1:1" x14ac:dyDescent="0.25">
      <c r="A7428" s="56">
        <v>0</v>
      </c>
    </row>
    <row r="7429" spans="1:1" x14ac:dyDescent="0.25">
      <c r="A7429" s="56">
        <v>11807894.300000001</v>
      </c>
    </row>
    <row r="7430" spans="1:1" x14ac:dyDescent="0.25">
      <c r="A7430" s="56">
        <v>6472738.2000000002</v>
      </c>
    </row>
    <row r="7431" spans="1:1" x14ac:dyDescent="0.25">
      <c r="A7431" s="56">
        <v>31553874.800000001</v>
      </c>
    </row>
    <row r="7432" spans="1:1" x14ac:dyDescent="0.25">
      <c r="A7432" s="56">
        <v>32739415.899999902</v>
      </c>
    </row>
    <row r="7433" spans="1:1" x14ac:dyDescent="0.25">
      <c r="A7433" s="56">
        <v>5838319.1999999899</v>
      </c>
    </row>
    <row r="7434" spans="1:1" x14ac:dyDescent="0.25">
      <c r="A7434" s="56">
        <v>270113952.80000001</v>
      </c>
    </row>
    <row r="7435" spans="1:1" x14ac:dyDescent="0.25">
      <c r="A7435" s="56">
        <v>19164848.899999999</v>
      </c>
    </row>
    <row r="7436" spans="1:1" x14ac:dyDescent="0.25">
      <c r="A7436" s="56">
        <v>657462361.59999895</v>
      </c>
    </row>
    <row r="7437" spans="1:1" x14ac:dyDescent="0.25">
      <c r="A7437" s="56">
        <v>20847250.600000001</v>
      </c>
    </row>
    <row r="7438" spans="1:1" x14ac:dyDescent="0.25">
      <c r="A7438" s="56">
        <v>35641468.899999999</v>
      </c>
    </row>
    <row r="7439" spans="1:1" x14ac:dyDescent="0.25">
      <c r="A7439" s="56">
        <v>2411415.6</v>
      </c>
    </row>
    <row r="7440" spans="1:1" x14ac:dyDescent="0.25">
      <c r="A7440" s="56">
        <v>63237868.5</v>
      </c>
    </row>
    <row r="7441" spans="1:1" x14ac:dyDescent="0.25">
      <c r="A7441" s="56">
        <v>0</v>
      </c>
    </row>
    <row r="7442" spans="1:1" x14ac:dyDescent="0.25">
      <c r="A7442" s="56">
        <v>96695178.099999905</v>
      </c>
    </row>
    <row r="7443" spans="1:1" x14ac:dyDescent="0.25">
      <c r="A7443" s="56">
        <v>250960772.80000001</v>
      </c>
    </row>
    <row r="7444" spans="1:1" x14ac:dyDescent="0.25">
      <c r="A7444" s="56">
        <v>34815061.5</v>
      </c>
    </row>
    <row r="7445" spans="1:1" x14ac:dyDescent="0.25">
      <c r="A7445" s="56">
        <v>529133813.60000002</v>
      </c>
    </row>
    <row r="7446" spans="1:1" x14ac:dyDescent="0.25">
      <c r="A7446" s="56">
        <v>507823596.80000001</v>
      </c>
    </row>
    <row r="7447" spans="1:1" x14ac:dyDescent="0.25">
      <c r="A7447" s="56">
        <v>22739923.300000001</v>
      </c>
    </row>
    <row r="7448" spans="1:1" x14ac:dyDescent="0.25">
      <c r="A7448" s="56">
        <v>35561141</v>
      </c>
    </row>
    <row r="7449" spans="1:1" x14ac:dyDescent="0.25">
      <c r="A7449" s="56">
        <v>37864350</v>
      </c>
    </row>
    <row r="7450" spans="1:1" x14ac:dyDescent="0.25">
      <c r="A7450" s="56">
        <v>0</v>
      </c>
    </row>
    <row r="7451" spans="1:1" x14ac:dyDescent="0.25">
      <c r="A7451" s="56">
        <v>34375430.899999999</v>
      </c>
    </row>
    <row r="7452" spans="1:1" x14ac:dyDescent="0.25">
      <c r="A7452" s="56">
        <v>0</v>
      </c>
    </row>
    <row r="7453" spans="1:1" x14ac:dyDescent="0.25">
      <c r="A7453" s="56">
        <v>26630714.600000001</v>
      </c>
    </row>
    <row r="7454" spans="1:1" x14ac:dyDescent="0.25">
      <c r="A7454" s="56">
        <v>15673996.800000001</v>
      </c>
    </row>
    <row r="7455" spans="1:1" x14ac:dyDescent="0.25">
      <c r="A7455" s="56">
        <v>8935444.6999999899</v>
      </c>
    </row>
    <row r="7456" spans="1:1" x14ac:dyDescent="0.25">
      <c r="A7456" s="56">
        <v>16296761.800000001</v>
      </c>
    </row>
    <row r="7457" spans="1:1" x14ac:dyDescent="0.25">
      <c r="A7457" s="56">
        <v>11331361.699999999</v>
      </c>
    </row>
    <row r="7458" spans="1:1" x14ac:dyDescent="0.25">
      <c r="A7458" s="56">
        <v>84867508.599999905</v>
      </c>
    </row>
    <row r="7459" spans="1:1" x14ac:dyDescent="0.25">
      <c r="A7459" s="56">
        <v>25425213.300000001</v>
      </c>
    </row>
    <row r="7460" spans="1:1" x14ac:dyDescent="0.25">
      <c r="A7460" s="56">
        <v>8248041.0999999903</v>
      </c>
    </row>
    <row r="7461" spans="1:1" x14ac:dyDescent="0.25">
      <c r="A7461" s="56">
        <v>0</v>
      </c>
    </row>
    <row r="7462" spans="1:1" x14ac:dyDescent="0.25">
      <c r="A7462" s="56">
        <v>12722970.800000001</v>
      </c>
    </row>
    <row r="7463" spans="1:1" x14ac:dyDescent="0.25">
      <c r="A7463" s="56">
        <v>26778106.899999999</v>
      </c>
    </row>
    <row r="7464" spans="1:1" x14ac:dyDescent="0.25">
      <c r="A7464" s="56">
        <v>9902756.3999999892</v>
      </c>
    </row>
    <row r="7465" spans="1:1" x14ac:dyDescent="0.25">
      <c r="A7465" s="56">
        <v>17311691.399999999</v>
      </c>
    </row>
    <row r="7466" spans="1:1" x14ac:dyDescent="0.25">
      <c r="A7466" s="56">
        <v>3969920</v>
      </c>
    </row>
    <row r="7467" spans="1:1" x14ac:dyDescent="0.25">
      <c r="A7467" s="56">
        <v>5288744.6999999899</v>
      </c>
    </row>
    <row r="7468" spans="1:1" x14ac:dyDescent="0.25">
      <c r="A7468" s="56">
        <v>100590532.40000001</v>
      </c>
    </row>
    <row r="7469" spans="1:1" x14ac:dyDescent="0.25">
      <c r="A7469" s="56">
        <v>19919224.800000001</v>
      </c>
    </row>
    <row r="7470" spans="1:1" x14ac:dyDescent="0.25">
      <c r="A7470" s="56">
        <v>0</v>
      </c>
    </row>
    <row r="7471" spans="1:1" x14ac:dyDescent="0.25">
      <c r="A7471" s="56">
        <v>66637925.099999897</v>
      </c>
    </row>
    <row r="7472" spans="1:1" x14ac:dyDescent="0.25">
      <c r="A7472" s="56">
        <v>10189748.5</v>
      </c>
    </row>
    <row r="7473" spans="1:1" x14ac:dyDescent="0.25">
      <c r="A7473" s="56">
        <v>23780429.199999999</v>
      </c>
    </row>
    <row r="7474" spans="1:1" x14ac:dyDescent="0.25">
      <c r="A7474" s="56">
        <v>0</v>
      </c>
    </row>
    <row r="7475" spans="1:1" x14ac:dyDescent="0.25">
      <c r="A7475" s="56">
        <v>313242943.10000002</v>
      </c>
    </row>
    <row r="7476" spans="1:1" x14ac:dyDescent="0.25">
      <c r="A7476" s="56">
        <v>478742423.80000001</v>
      </c>
    </row>
    <row r="7477" spans="1:1" x14ac:dyDescent="0.25">
      <c r="A7477" s="56">
        <v>88353379.799999997</v>
      </c>
    </row>
    <row r="7478" spans="1:1" x14ac:dyDescent="0.25">
      <c r="A7478" s="56">
        <v>23477012</v>
      </c>
    </row>
    <row r="7479" spans="1:1" x14ac:dyDescent="0.25">
      <c r="A7479" s="56">
        <v>40855440.5</v>
      </c>
    </row>
    <row r="7480" spans="1:1" x14ac:dyDescent="0.25">
      <c r="A7480" s="56">
        <v>0</v>
      </c>
    </row>
    <row r="7481" spans="1:1" x14ac:dyDescent="0.25">
      <c r="A7481" s="56">
        <v>86036874.5</v>
      </c>
    </row>
    <row r="7482" spans="1:1" x14ac:dyDescent="0.25">
      <c r="A7482" s="56">
        <v>13827426.9</v>
      </c>
    </row>
    <row r="7483" spans="1:1" x14ac:dyDescent="0.25">
      <c r="A7483" s="56">
        <v>39992691.599999897</v>
      </c>
    </row>
    <row r="7484" spans="1:1" x14ac:dyDescent="0.25">
      <c r="A7484" s="56">
        <v>61427537.999999903</v>
      </c>
    </row>
    <row r="7485" spans="1:1" x14ac:dyDescent="0.25">
      <c r="A7485" s="56">
        <v>64925358.799999997</v>
      </c>
    </row>
    <row r="7486" spans="1:1" x14ac:dyDescent="0.25">
      <c r="A7486" s="56">
        <v>51852101.299999997</v>
      </c>
    </row>
    <row r="7487" spans="1:1" x14ac:dyDescent="0.25">
      <c r="A7487" s="56">
        <v>191410863.80000001</v>
      </c>
    </row>
    <row r="7488" spans="1:1" x14ac:dyDescent="0.25">
      <c r="A7488" s="56">
        <v>41644887.899999999</v>
      </c>
    </row>
    <row r="7489" spans="1:1" x14ac:dyDescent="0.25">
      <c r="A7489" s="56">
        <v>17244657.300000001</v>
      </c>
    </row>
    <row r="7490" spans="1:1" x14ac:dyDescent="0.25">
      <c r="A7490" s="56">
        <v>16815162</v>
      </c>
    </row>
    <row r="7491" spans="1:1" x14ac:dyDescent="0.25">
      <c r="A7491" s="56">
        <v>0</v>
      </c>
    </row>
    <row r="7492" spans="1:1" x14ac:dyDescent="0.25">
      <c r="A7492" s="56">
        <v>35001757.899999999</v>
      </c>
    </row>
    <row r="7493" spans="1:1" x14ac:dyDescent="0.25">
      <c r="A7493" s="56">
        <v>5550562.2000000002</v>
      </c>
    </row>
    <row r="7494" spans="1:1" x14ac:dyDescent="0.25">
      <c r="A7494" s="56">
        <v>58933406.099999897</v>
      </c>
    </row>
    <row r="7495" spans="1:1" x14ac:dyDescent="0.25">
      <c r="A7495" s="56">
        <v>5595573.8999999901</v>
      </c>
    </row>
    <row r="7496" spans="1:1" x14ac:dyDescent="0.25">
      <c r="A7496" s="56">
        <v>87620552.700000003</v>
      </c>
    </row>
    <row r="7497" spans="1:1" x14ac:dyDescent="0.25">
      <c r="A7497" s="56">
        <v>32996851.699999999</v>
      </c>
    </row>
    <row r="7498" spans="1:1" x14ac:dyDescent="0.25">
      <c r="A7498" s="56">
        <v>52741178.899999999</v>
      </c>
    </row>
    <row r="7499" spans="1:1" x14ac:dyDescent="0.25">
      <c r="A7499" s="56">
        <v>2598714</v>
      </c>
    </row>
    <row r="7500" spans="1:1" x14ac:dyDescent="0.25">
      <c r="A7500" s="56">
        <v>40221794.299999997</v>
      </c>
    </row>
    <row r="7501" spans="1:1" x14ac:dyDescent="0.25">
      <c r="A7501" s="56">
        <v>0</v>
      </c>
    </row>
    <row r="7502" spans="1:1" x14ac:dyDescent="0.25">
      <c r="A7502" s="56">
        <v>63515109.099999897</v>
      </c>
    </row>
    <row r="7503" spans="1:1" x14ac:dyDescent="0.25">
      <c r="A7503" s="56">
        <v>0</v>
      </c>
    </row>
    <row r="7504" spans="1:1" x14ac:dyDescent="0.25">
      <c r="A7504" s="56">
        <v>98677139.399999902</v>
      </c>
    </row>
    <row r="7505" spans="1:1" x14ac:dyDescent="0.25">
      <c r="A7505" s="56">
        <v>83683433.400000006</v>
      </c>
    </row>
    <row r="7506" spans="1:1" x14ac:dyDescent="0.25">
      <c r="A7506" s="56">
        <v>24503466</v>
      </c>
    </row>
    <row r="7507" spans="1:1" x14ac:dyDescent="0.25">
      <c r="A7507" s="56">
        <v>20948271.199999999</v>
      </c>
    </row>
    <row r="7508" spans="1:1" x14ac:dyDescent="0.25">
      <c r="A7508" s="56">
        <v>64457237.100000001</v>
      </c>
    </row>
    <row r="7509" spans="1:1" x14ac:dyDescent="0.25">
      <c r="A7509" s="56">
        <v>66314298.599999897</v>
      </c>
    </row>
    <row r="7510" spans="1:1" x14ac:dyDescent="0.25">
      <c r="A7510" s="56">
        <v>159224514.5</v>
      </c>
    </row>
    <row r="7511" spans="1:1" x14ac:dyDescent="0.25">
      <c r="A7511" s="56">
        <v>99847491</v>
      </c>
    </row>
    <row r="7512" spans="1:1" x14ac:dyDescent="0.25">
      <c r="A7512" s="56">
        <v>0</v>
      </c>
    </row>
    <row r="7513" spans="1:1" x14ac:dyDescent="0.25">
      <c r="A7513" s="56">
        <v>6443087.2999999998</v>
      </c>
    </row>
    <row r="7514" spans="1:1" x14ac:dyDescent="0.25">
      <c r="A7514" s="56">
        <v>32258349.699999999</v>
      </c>
    </row>
    <row r="7515" spans="1:1" x14ac:dyDescent="0.25">
      <c r="A7515" s="56">
        <v>5000341.5999999996</v>
      </c>
    </row>
    <row r="7516" spans="1:1" x14ac:dyDescent="0.25">
      <c r="A7516" s="56">
        <v>4399732.2</v>
      </c>
    </row>
    <row r="7517" spans="1:1" x14ac:dyDescent="0.25">
      <c r="A7517" s="56">
        <v>19916284.699999999</v>
      </c>
    </row>
    <row r="7518" spans="1:1" x14ac:dyDescent="0.25">
      <c r="A7518" s="56">
        <v>37906754.099999897</v>
      </c>
    </row>
    <row r="7519" spans="1:1" x14ac:dyDescent="0.25">
      <c r="A7519" s="56">
        <v>129783852.59999999</v>
      </c>
    </row>
    <row r="7520" spans="1:1" x14ac:dyDescent="0.25">
      <c r="A7520" s="56">
        <v>94346541</v>
      </c>
    </row>
    <row r="7521" spans="1:1" x14ac:dyDescent="0.25">
      <c r="A7521" s="56">
        <v>24101770.699999999</v>
      </c>
    </row>
    <row r="7522" spans="1:1" x14ac:dyDescent="0.25">
      <c r="A7522" s="56">
        <v>2838783</v>
      </c>
    </row>
    <row r="7523" spans="1:1" x14ac:dyDescent="0.25">
      <c r="A7523" s="56">
        <v>21990777.100000001</v>
      </c>
    </row>
    <row r="7524" spans="1:1" x14ac:dyDescent="0.25">
      <c r="A7524" s="56">
        <v>138005817.19999999</v>
      </c>
    </row>
    <row r="7525" spans="1:1" x14ac:dyDescent="0.25">
      <c r="A7525" s="56">
        <v>14872299.699999999</v>
      </c>
    </row>
    <row r="7526" spans="1:1" x14ac:dyDescent="0.25">
      <c r="A7526" s="56">
        <v>26187264.600000001</v>
      </c>
    </row>
    <row r="7527" spans="1:1" x14ac:dyDescent="0.25">
      <c r="A7527" s="56">
        <v>6378416.0999999996</v>
      </c>
    </row>
    <row r="7528" spans="1:1" x14ac:dyDescent="0.25">
      <c r="A7528" s="56">
        <v>9815395.1999999899</v>
      </c>
    </row>
    <row r="7529" spans="1:1" x14ac:dyDescent="0.25">
      <c r="A7529" s="56">
        <v>10860593.4</v>
      </c>
    </row>
    <row r="7530" spans="1:1" x14ac:dyDescent="0.25">
      <c r="A7530" s="56">
        <v>69262330.299999997</v>
      </c>
    </row>
    <row r="7531" spans="1:1" x14ac:dyDescent="0.25">
      <c r="A7531" s="56">
        <v>76640027.899999902</v>
      </c>
    </row>
    <row r="7532" spans="1:1" x14ac:dyDescent="0.25">
      <c r="A7532" s="56">
        <v>26197510.800000001</v>
      </c>
    </row>
    <row r="7533" spans="1:1" x14ac:dyDescent="0.25">
      <c r="A7533" s="56">
        <v>51839938</v>
      </c>
    </row>
    <row r="7534" spans="1:1" x14ac:dyDescent="0.25">
      <c r="A7534" s="56">
        <v>39967704.299999997</v>
      </c>
    </row>
    <row r="7535" spans="1:1" x14ac:dyDescent="0.25">
      <c r="A7535" s="56">
        <v>1793172.8</v>
      </c>
    </row>
    <row r="7536" spans="1:1" x14ac:dyDescent="0.25">
      <c r="A7536" s="56">
        <v>6846414.5999999996</v>
      </c>
    </row>
    <row r="7537" spans="1:1" x14ac:dyDescent="0.25">
      <c r="A7537" s="56">
        <v>28790885.5</v>
      </c>
    </row>
    <row r="7538" spans="1:1" x14ac:dyDescent="0.25">
      <c r="A7538" s="56">
        <v>64214276.899999902</v>
      </c>
    </row>
    <row r="7539" spans="1:1" x14ac:dyDescent="0.25">
      <c r="A7539" s="56">
        <v>6885114.2000000002</v>
      </c>
    </row>
    <row r="7540" spans="1:1" x14ac:dyDescent="0.25">
      <c r="A7540" s="56">
        <v>36787593.799999997</v>
      </c>
    </row>
    <row r="7541" spans="1:1" x14ac:dyDescent="0.25">
      <c r="A7541" s="56">
        <v>137030451.40000001</v>
      </c>
    </row>
    <row r="7542" spans="1:1" x14ac:dyDescent="0.25">
      <c r="A7542" s="56">
        <v>79469807.199999899</v>
      </c>
    </row>
    <row r="7543" spans="1:1" x14ac:dyDescent="0.25">
      <c r="A7543" s="56">
        <v>5216188.8</v>
      </c>
    </row>
    <row r="7544" spans="1:1" x14ac:dyDescent="0.25">
      <c r="A7544" s="56">
        <v>5895068.8999999901</v>
      </c>
    </row>
    <row r="7545" spans="1:1" x14ac:dyDescent="0.25">
      <c r="A7545" s="56">
        <v>42147862.899999999</v>
      </c>
    </row>
    <row r="7546" spans="1:1" x14ac:dyDescent="0.25">
      <c r="A7546" s="56">
        <v>36608717.600000001</v>
      </c>
    </row>
    <row r="7547" spans="1:1" x14ac:dyDescent="0.25">
      <c r="A7547" s="56">
        <v>71605349</v>
      </c>
    </row>
    <row r="7548" spans="1:1" x14ac:dyDescent="0.25">
      <c r="A7548" s="56">
        <v>5274926.3</v>
      </c>
    </row>
    <row r="7549" spans="1:1" x14ac:dyDescent="0.25">
      <c r="A7549" s="56">
        <v>48203584.200000003</v>
      </c>
    </row>
    <row r="7550" spans="1:1" x14ac:dyDescent="0.25">
      <c r="A7550" s="56">
        <v>32271443.5</v>
      </c>
    </row>
    <row r="7551" spans="1:1" x14ac:dyDescent="0.25">
      <c r="A7551" s="56">
        <v>63516986.200000003</v>
      </c>
    </row>
    <row r="7552" spans="1:1" x14ac:dyDescent="0.25">
      <c r="A7552" s="56">
        <v>6166958.6999999899</v>
      </c>
    </row>
    <row r="7553" spans="1:1" x14ac:dyDescent="0.25">
      <c r="A7553" s="56">
        <v>9302317.3000000007</v>
      </c>
    </row>
    <row r="7554" spans="1:1" x14ac:dyDescent="0.25">
      <c r="A7554" s="56">
        <v>51533146.399999999</v>
      </c>
    </row>
    <row r="7555" spans="1:1" x14ac:dyDescent="0.25">
      <c r="A7555" s="56">
        <v>16760395.5</v>
      </c>
    </row>
    <row r="7556" spans="1:1" x14ac:dyDescent="0.25">
      <c r="A7556" s="56">
        <v>11428530</v>
      </c>
    </row>
    <row r="7557" spans="1:1" x14ac:dyDescent="0.25">
      <c r="A7557" s="56">
        <v>10125421.9</v>
      </c>
    </row>
    <row r="7558" spans="1:1" x14ac:dyDescent="0.25">
      <c r="A7558" s="56">
        <v>90028665.799999997</v>
      </c>
    </row>
    <row r="7559" spans="1:1" x14ac:dyDescent="0.25">
      <c r="A7559" s="56">
        <v>239171574.5</v>
      </c>
    </row>
    <row r="7560" spans="1:1" x14ac:dyDescent="0.25">
      <c r="A7560" s="56">
        <v>0</v>
      </c>
    </row>
    <row r="7561" spans="1:1" x14ac:dyDescent="0.25">
      <c r="A7561" s="56">
        <v>177043488.59999999</v>
      </c>
    </row>
    <row r="7562" spans="1:1" x14ac:dyDescent="0.25">
      <c r="A7562" s="56">
        <v>69808975.299999997</v>
      </c>
    </row>
    <row r="7563" spans="1:1" x14ac:dyDescent="0.25">
      <c r="A7563" s="56">
        <v>33672518.600000001</v>
      </c>
    </row>
    <row r="7564" spans="1:1" x14ac:dyDescent="0.25">
      <c r="A7564" s="56">
        <v>24601932.100000001</v>
      </c>
    </row>
    <row r="7565" spans="1:1" x14ac:dyDescent="0.25">
      <c r="A7565" s="56">
        <v>28774157.399999999</v>
      </c>
    </row>
    <row r="7566" spans="1:1" x14ac:dyDescent="0.25">
      <c r="A7566" s="56">
        <v>0</v>
      </c>
    </row>
    <row r="7567" spans="1:1" x14ac:dyDescent="0.25">
      <c r="A7567" s="56">
        <v>5838319.1999999899</v>
      </c>
    </row>
    <row r="7568" spans="1:1" x14ac:dyDescent="0.25">
      <c r="A7568" s="56">
        <v>21109484.600000001</v>
      </c>
    </row>
    <row r="7569" spans="1:1" x14ac:dyDescent="0.25">
      <c r="A7569" s="56">
        <v>9058210.6999999899</v>
      </c>
    </row>
    <row r="7570" spans="1:1" x14ac:dyDescent="0.25">
      <c r="A7570" s="56">
        <v>8470675.5999999996</v>
      </c>
    </row>
    <row r="7571" spans="1:1" x14ac:dyDescent="0.25">
      <c r="A7571" s="56">
        <v>38157505.299999997</v>
      </c>
    </row>
    <row r="7572" spans="1:1" x14ac:dyDescent="0.25">
      <c r="A7572" s="56">
        <v>59162586.099999897</v>
      </c>
    </row>
    <row r="7573" spans="1:1" x14ac:dyDescent="0.25">
      <c r="A7573" s="56">
        <v>126312661.3</v>
      </c>
    </row>
    <row r="7574" spans="1:1" x14ac:dyDescent="0.25">
      <c r="A7574" s="56">
        <v>18835227.5</v>
      </c>
    </row>
    <row r="7575" spans="1:1" x14ac:dyDescent="0.25">
      <c r="A7575" s="56">
        <v>20452182.300000001</v>
      </c>
    </row>
    <row r="7576" spans="1:1" x14ac:dyDescent="0.25">
      <c r="A7576" s="56">
        <v>181148048.09999999</v>
      </c>
    </row>
    <row r="7577" spans="1:1" x14ac:dyDescent="0.25">
      <c r="A7577" s="56">
        <v>5592517.7999999998</v>
      </c>
    </row>
    <row r="7578" spans="1:1" x14ac:dyDescent="0.25">
      <c r="A7578" s="56">
        <v>62365871.700000003</v>
      </c>
    </row>
    <row r="7579" spans="1:1" x14ac:dyDescent="0.25">
      <c r="A7579" s="56">
        <v>91936390.099999905</v>
      </c>
    </row>
    <row r="7580" spans="1:1" x14ac:dyDescent="0.25">
      <c r="A7580" s="56">
        <v>22896541.199999999</v>
      </c>
    </row>
    <row r="7581" spans="1:1" x14ac:dyDescent="0.25">
      <c r="A7581" s="56">
        <v>26669616.899999999</v>
      </c>
    </row>
    <row r="7582" spans="1:1" x14ac:dyDescent="0.25">
      <c r="A7582" s="56">
        <v>0</v>
      </c>
    </row>
    <row r="7583" spans="1:1" x14ac:dyDescent="0.25">
      <c r="A7583" s="56">
        <v>21261200.5</v>
      </c>
    </row>
    <row r="7584" spans="1:1" x14ac:dyDescent="0.25">
      <c r="A7584" s="56">
        <v>18452101.800000001</v>
      </c>
    </row>
    <row r="7585" spans="1:1" x14ac:dyDescent="0.25">
      <c r="A7585" s="56">
        <v>256445916.69999999</v>
      </c>
    </row>
    <row r="7586" spans="1:1" x14ac:dyDescent="0.25">
      <c r="A7586" s="56">
        <v>6962482.5</v>
      </c>
    </row>
    <row r="7587" spans="1:1" x14ac:dyDescent="0.25">
      <c r="A7587" s="56">
        <v>42144849.799999997</v>
      </c>
    </row>
    <row r="7588" spans="1:1" x14ac:dyDescent="0.25">
      <c r="A7588" s="56">
        <v>37279889.600000001</v>
      </c>
    </row>
    <row r="7589" spans="1:1" x14ac:dyDescent="0.25">
      <c r="A7589" s="56">
        <v>68453912.5</v>
      </c>
    </row>
    <row r="7590" spans="1:1" x14ac:dyDescent="0.25">
      <c r="A7590" s="56">
        <v>115755338.3</v>
      </c>
    </row>
    <row r="7591" spans="1:1" x14ac:dyDescent="0.25">
      <c r="A7591" s="56">
        <v>6485054.5999999996</v>
      </c>
    </row>
    <row r="7592" spans="1:1" x14ac:dyDescent="0.25">
      <c r="A7592" s="56">
        <v>0</v>
      </c>
    </row>
    <row r="7593" spans="1:1" x14ac:dyDescent="0.25">
      <c r="A7593" s="56">
        <v>86385306.499999896</v>
      </c>
    </row>
    <row r="7594" spans="1:1" x14ac:dyDescent="0.25">
      <c r="A7594" s="56">
        <v>0</v>
      </c>
    </row>
    <row r="7595" spans="1:1" x14ac:dyDescent="0.25">
      <c r="A7595" s="56">
        <v>81383035.499999896</v>
      </c>
    </row>
    <row r="7596" spans="1:1" x14ac:dyDescent="0.25">
      <c r="A7596" s="56">
        <v>14872141.5</v>
      </c>
    </row>
    <row r="7597" spans="1:1" x14ac:dyDescent="0.25">
      <c r="A7597" s="56">
        <v>191525182.09999999</v>
      </c>
    </row>
    <row r="7598" spans="1:1" x14ac:dyDescent="0.25">
      <c r="A7598" s="56">
        <v>72833836.299999997</v>
      </c>
    </row>
    <row r="7599" spans="1:1" x14ac:dyDescent="0.25">
      <c r="A7599" s="56">
        <v>27183952.5</v>
      </c>
    </row>
    <row r="7600" spans="1:1" x14ac:dyDescent="0.25">
      <c r="A7600" s="56">
        <v>17361549.100000001</v>
      </c>
    </row>
    <row r="7601" spans="1:1" x14ac:dyDescent="0.25">
      <c r="A7601" s="56">
        <v>81582297.599999905</v>
      </c>
    </row>
    <row r="7602" spans="1:1" x14ac:dyDescent="0.25">
      <c r="A7602" s="56">
        <v>0</v>
      </c>
    </row>
    <row r="7603" spans="1:1" x14ac:dyDescent="0.25">
      <c r="A7603" s="56">
        <v>1948908.6</v>
      </c>
    </row>
    <row r="7604" spans="1:1" x14ac:dyDescent="0.25">
      <c r="A7604" s="56">
        <v>139765486.5</v>
      </c>
    </row>
    <row r="7605" spans="1:1" x14ac:dyDescent="0.25">
      <c r="A7605" s="56">
        <v>108505073.40000001</v>
      </c>
    </row>
    <row r="7606" spans="1:1" x14ac:dyDescent="0.25">
      <c r="A7606" s="56">
        <v>210037949.30000001</v>
      </c>
    </row>
    <row r="7607" spans="1:1" x14ac:dyDescent="0.25">
      <c r="A7607" s="56">
        <v>650455319.09999895</v>
      </c>
    </row>
    <row r="7608" spans="1:1" x14ac:dyDescent="0.25">
      <c r="A7608" s="56">
        <v>66021410.699999899</v>
      </c>
    </row>
    <row r="7609" spans="1:1" x14ac:dyDescent="0.25">
      <c r="A7609" s="56">
        <v>2989959</v>
      </c>
    </row>
    <row r="7610" spans="1:1" x14ac:dyDescent="0.25">
      <c r="A7610" s="56">
        <v>32351709.5</v>
      </c>
    </row>
    <row r="7611" spans="1:1" x14ac:dyDescent="0.25">
      <c r="A7611" s="56">
        <v>63388017.299999997</v>
      </c>
    </row>
    <row r="7612" spans="1:1" x14ac:dyDescent="0.25">
      <c r="A7612" s="56">
        <v>0</v>
      </c>
    </row>
    <row r="7613" spans="1:1" x14ac:dyDescent="0.25">
      <c r="A7613" s="56">
        <v>2701075.8</v>
      </c>
    </row>
    <row r="7614" spans="1:1" x14ac:dyDescent="0.25">
      <c r="A7614" s="56">
        <v>545610</v>
      </c>
    </row>
    <row r="7615" spans="1:1" x14ac:dyDescent="0.25">
      <c r="A7615" s="56">
        <v>44832729.899999999</v>
      </c>
    </row>
    <row r="7616" spans="1:1" x14ac:dyDescent="0.25">
      <c r="A7616" s="56">
        <v>123944183.7</v>
      </c>
    </row>
    <row r="7617" spans="1:1" x14ac:dyDescent="0.25">
      <c r="A7617" s="56">
        <v>25797121</v>
      </c>
    </row>
    <row r="7618" spans="1:1" x14ac:dyDescent="0.25">
      <c r="A7618" s="56">
        <v>124156426.3</v>
      </c>
    </row>
    <row r="7619" spans="1:1" x14ac:dyDescent="0.25">
      <c r="A7619" s="56">
        <v>106696249.90000001</v>
      </c>
    </row>
    <row r="7620" spans="1:1" x14ac:dyDescent="0.25">
      <c r="A7620" s="56">
        <v>48939436.299999997</v>
      </c>
    </row>
    <row r="7621" spans="1:1" x14ac:dyDescent="0.25">
      <c r="A7621" s="56">
        <v>51456681.5</v>
      </c>
    </row>
    <row r="7622" spans="1:1" x14ac:dyDescent="0.25">
      <c r="A7622" s="56">
        <v>16775159.199999999</v>
      </c>
    </row>
    <row r="7623" spans="1:1" x14ac:dyDescent="0.25">
      <c r="A7623" s="56">
        <v>150282172.30000001</v>
      </c>
    </row>
    <row r="7624" spans="1:1" x14ac:dyDescent="0.25">
      <c r="A7624" s="56">
        <v>3632519.4</v>
      </c>
    </row>
    <row r="7625" spans="1:1" x14ac:dyDescent="0.25">
      <c r="A7625" s="56">
        <v>40106784.399999902</v>
      </c>
    </row>
    <row r="7626" spans="1:1" x14ac:dyDescent="0.25">
      <c r="A7626" s="56">
        <v>0</v>
      </c>
    </row>
    <row r="7627" spans="1:1" x14ac:dyDescent="0.25">
      <c r="A7627" s="56">
        <v>8846276.5999999996</v>
      </c>
    </row>
    <row r="7628" spans="1:1" x14ac:dyDescent="0.25">
      <c r="A7628" s="56">
        <v>43721150.600000001</v>
      </c>
    </row>
    <row r="7629" spans="1:1" x14ac:dyDescent="0.25">
      <c r="A7629" s="56">
        <v>6347785.5</v>
      </c>
    </row>
    <row r="7630" spans="1:1" x14ac:dyDescent="0.25">
      <c r="A7630" s="56">
        <v>377276653.19999897</v>
      </c>
    </row>
    <row r="7631" spans="1:1" x14ac:dyDescent="0.25">
      <c r="A7631" s="56">
        <v>9543857.3999999892</v>
      </c>
    </row>
    <row r="7632" spans="1:1" x14ac:dyDescent="0.25">
      <c r="A7632" s="56">
        <v>57625610.699999899</v>
      </c>
    </row>
    <row r="7633" spans="1:1" x14ac:dyDescent="0.25">
      <c r="A7633" s="56">
        <v>41258382</v>
      </c>
    </row>
    <row r="7634" spans="1:1" x14ac:dyDescent="0.25">
      <c r="A7634" s="56">
        <v>10878708.4</v>
      </c>
    </row>
    <row r="7635" spans="1:1" x14ac:dyDescent="0.25">
      <c r="A7635" s="56">
        <v>148592211</v>
      </c>
    </row>
    <row r="7636" spans="1:1" x14ac:dyDescent="0.25">
      <c r="A7636" s="56">
        <v>77881061.699999899</v>
      </c>
    </row>
    <row r="7637" spans="1:1" x14ac:dyDescent="0.25">
      <c r="A7637" s="56">
        <v>38727652.700000003</v>
      </c>
    </row>
    <row r="7638" spans="1:1" x14ac:dyDescent="0.25">
      <c r="A7638" s="56">
        <v>147012510.80000001</v>
      </c>
    </row>
    <row r="7639" spans="1:1" x14ac:dyDescent="0.25">
      <c r="A7639" s="56">
        <v>28926004.699999999</v>
      </c>
    </row>
    <row r="7640" spans="1:1" x14ac:dyDescent="0.25">
      <c r="A7640" s="56">
        <v>223805957.39999899</v>
      </c>
    </row>
    <row r="7641" spans="1:1" x14ac:dyDescent="0.25">
      <c r="A7641" s="56">
        <v>78268345.199999899</v>
      </c>
    </row>
    <row r="7642" spans="1:1" x14ac:dyDescent="0.25">
      <c r="A7642" s="56">
        <v>1083828.8</v>
      </c>
    </row>
    <row r="7643" spans="1:1" x14ac:dyDescent="0.25">
      <c r="A7643" s="56">
        <v>12734821.199999999</v>
      </c>
    </row>
    <row r="7644" spans="1:1" x14ac:dyDescent="0.25">
      <c r="A7644" s="56">
        <v>11904058.1</v>
      </c>
    </row>
    <row r="7645" spans="1:1" x14ac:dyDescent="0.25">
      <c r="A7645" s="56">
        <v>11592976.300000001</v>
      </c>
    </row>
    <row r="7646" spans="1:1" x14ac:dyDescent="0.25">
      <c r="A7646" s="56">
        <v>115749659.2</v>
      </c>
    </row>
    <row r="7647" spans="1:1" x14ac:dyDescent="0.25">
      <c r="A7647" s="56">
        <v>19246075</v>
      </c>
    </row>
    <row r="7648" spans="1:1" x14ac:dyDescent="0.25">
      <c r="A7648" s="56">
        <v>131552785.40000001</v>
      </c>
    </row>
    <row r="7649" spans="1:1" x14ac:dyDescent="0.25">
      <c r="A7649" s="56">
        <v>23446718.399999999</v>
      </c>
    </row>
    <row r="7650" spans="1:1" x14ac:dyDescent="0.25">
      <c r="A7650" s="56">
        <v>41710388.100000001</v>
      </c>
    </row>
    <row r="7651" spans="1:1" x14ac:dyDescent="0.25">
      <c r="A7651" s="56">
        <v>28354367.600000001</v>
      </c>
    </row>
    <row r="7652" spans="1:1" x14ac:dyDescent="0.25">
      <c r="A7652" s="56">
        <v>43293535.700000003</v>
      </c>
    </row>
    <row r="7653" spans="1:1" x14ac:dyDescent="0.25">
      <c r="A7653" s="56">
        <v>100729718.09999999</v>
      </c>
    </row>
    <row r="7654" spans="1:1" x14ac:dyDescent="0.25">
      <c r="A7654" s="56">
        <v>3146157</v>
      </c>
    </row>
    <row r="7655" spans="1:1" x14ac:dyDescent="0.25">
      <c r="A7655" s="56">
        <v>1019768.4</v>
      </c>
    </row>
    <row r="7656" spans="1:1" x14ac:dyDescent="0.25">
      <c r="A7656" s="56">
        <v>16334098</v>
      </c>
    </row>
    <row r="7657" spans="1:1" x14ac:dyDescent="0.25">
      <c r="A7657" s="56">
        <v>5458131</v>
      </c>
    </row>
    <row r="7658" spans="1:1" x14ac:dyDescent="0.25">
      <c r="A7658" s="56">
        <v>11660874.6</v>
      </c>
    </row>
    <row r="7659" spans="1:1" x14ac:dyDescent="0.25">
      <c r="A7659" s="56">
        <v>304441.59999999998</v>
      </c>
    </row>
    <row r="7660" spans="1:1" x14ac:dyDescent="0.25">
      <c r="A7660" s="56">
        <v>40728409.5</v>
      </c>
    </row>
    <row r="7661" spans="1:1" x14ac:dyDescent="0.25">
      <c r="A7661" s="56">
        <v>76205431.899999902</v>
      </c>
    </row>
    <row r="7662" spans="1:1" x14ac:dyDescent="0.25">
      <c r="A7662" s="56">
        <v>0</v>
      </c>
    </row>
    <row r="7663" spans="1:1" x14ac:dyDescent="0.25">
      <c r="A7663" s="56">
        <v>12579913.800000001</v>
      </c>
    </row>
    <row r="7664" spans="1:1" x14ac:dyDescent="0.25">
      <c r="A7664" s="56">
        <v>6533211.2999999998</v>
      </c>
    </row>
    <row r="7665" spans="1:1" x14ac:dyDescent="0.25">
      <c r="A7665" s="56">
        <v>106481819.59999999</v>
      </c>
    </row>
    <row r="7666" spans="1:1" x14ac:dyDescent="0.25">
      <c r="A7666" s="56">
        <v>4230473.8</v>
      </c>
    </row>
    <row r="7667" spans="1:1" x14ac:dyDescent="0.25">
      <c r="A7667" s="56">
        <v>8205953.4000000004</v>
      </c>
    </row>
    <row r="7668" spans="1:1" x14ac:dyDescent="0.25">
      <c r="A7668" s="56">
        <v>24672723.5</v>
      </c>
    </row>
    <row r="7669" spans="1:1" x14ac:dyDescent="0.25">
      <c r="A7669" s="56">
        <v>146720284.59999999</v>
      </c>
    </row>
    <row r="7670" spans="1:1" x14ac:dyDescent="0.25">
      <c r="A7670" s="56">
        <v>0</v>
      </c>
    </row>
    <row r="7671" spans="1:1" x14ac:dyDescent="0.25">
      <c r="A7671" s="56">
        <v>0</v>
      </c>
    </row>
    <row r="7672" spans="1:1" x14ac:dyDescent="0.25">
      <c r="A7672" s="56">
        <v>16956407.800000001</v>
      </c>
    </row>
    <row r="7673" spans="1:1" x14ac:dyDescent="0.25">
      <c r="A7673" s="56">
        <v>326571092.19999999</v>
      </c>
    </row>
    <row r="7674" spans="1:1" x14ac:dyDescent="0.25">
      <c r="A7674" s="56">
        <v>40684621.799999997</v>
      </c>
    </row>
    <row r="7675" spans="1:1" x14ac:dyDescent="0.25">
      <c r="A7675" s="56">
        <v>37951829.399999999</v>
      </c>
    </row>
    <row r="7676" spans="1:1" x14ac:dyDescent="0.25">
      <c r="A7676" s="56">
        <v>25038736.800000001</v>
      </c>
    </row>
    <row r="7677" spans="1:1" x14ac:dyDescent="0.25">
      <c r="A7677" s="56">
        <v>10485881.6</v>
      </c>
    </row>
    <row r="7678" spans="1:1" x14ac:dyDescent="0.25">
      <c r="A7678" s="56">
        <v>51292734.099999897</v>
      </c>
    </row>
    <row r="7679" spans="1:1" x14ac:dyDescent="0.25">
      <c r="A7679" s="56">
        <v>343591648</v>
      </c>
    </row>
    <row r="7680" spans="1:1" x14ac:dyDescent="0.25">
      <c r="A7680" s="56">
        <v>0</v>
      </c>
    </row>
    <row r="7681" spans="1:1" x14ac:dyDescent="0.25">
      <c r="A7681" s="56">
        <v>5419233.3999999901</v>
      </c>
    </row>
    <row r="7682" spans="1:1" x14ac:dyDescent="0.25">
      <c r="A7682" s="56">
        <v>56860760.899999902</v>
      </c>
    </row>
    <row r="7683" spans="1:1" x14ac:dyDescent="0.25">
      <c r="A7683" s="56">
        <v>70131680.299999997</v>
      </c>
    </row>
    <row r="7684" spans="1:1" x14ac:dyDescent="0.25">
      <c r="A7684" s="56">
        <v>10674868.6</v>
      </c>
    </row>
    <row r="7685" spans="1:1" x14ac:dyDescent="0.25">
      <c r="A7685" s="56">
        <v>64724031.099999897</v>
      </c>
    </row>
    <row r="7686" spans="1:1" x14ac:dyDescent="0.25">
      <c r="A7686" s="56">
        <v>102730297.59999999</v>
      </c>
    </row>
    <row r="7687" spans="1:1" x14ac:dyDescent="0.25">
      <c r="A7687" s="56">
        <v>4148686.8</v>
      </c>
    </row>
    <row r="7688" spans="1:1" x14ac:dyDescent="0.25">
      <c r="A7688" s="56">
        <v>4176701.4</v>
      </c>
    </row>
    <row r="7689" spans="1:1" x14ac:dyDescent="0.25">
      <c r="A7689" s="56">
        <v>36487913.700000003</v>
      </c>
    </row>
    <row r="7690" spans="1:1" x14ac:dyDescent="0.25">
      <c r="A7690" s="56">
        <v>8710573.2999999896</v>
      </c>
    </row>
    <row r="7691" spans="1:1" x14ac:dyDescent="0.25">
      <c r="A7691" s="56">
        <v>280961532.30000001</v>
      </c>
    </row>
    <row r="7692" spans="1:1" x14ac:dyDescent="0.25">
      <c r="A7692" s="56">
        <v>84022380.499999896</v>
      </c>
    </row>
    <row r="7693" spans="1:1" x14ac:dyDescent="0.25">
      <c r="A7693" s="56">
        <v>178259692.80000001</v>
      </c>
    </row>
    <row r="7694" spans="1:1" x14ac:dyDescent="0.25">
      <c r="A7694" s="56">
        <v>20464202.5</v>
      </c>
    </row>
    <row r="7695" spans="1:1" x14ac:dyDescent="0.25">
      <c r="A7695" s="56">
        <v>134447214.30000001</v>
      </c>
    </row>
    <row r="7696" spans="1:1" x14ac:dyDescent="0.25">
      <c r="A7696" s="56">
        <v>17571988.600000001</v>
      </c>
    </row>
    <row r="7697" spans="1:1" x14ac:dyDescent="0.25">
      <c r="A7697" s="56">
        <v>6521767</v>
      </c>
    </row>
    <row r="7698" spans="1:1" x14ac:dyDescent="0.25">
      <c r="A7698" s="56">
        <v>361947276.5</v>
      </c>
    </row>
    <row r="7699" spans="1:1" x14ac:dyDescent="0.25">
      <c r="A7699" s="56">
        <v>170677883.09999999</v>
      </c>
    </row>
    <row r="7700" spans="1:1" x14ac:dyDescent="0.25">
      <c r="A7700" s="56">
        <v>36001865.599999897</v>
      </c>
    </row>
    <row r="7701" spans="1:1" x14ac:dyDescent="0.25">
      <c r="A7701" s="56">
        <v>91201695.399999902</v>
      </c>
    </row>
    <row r="7702" spans="1:1" x14ac:dyDescent="0.25">
      <c r="A7702" s="56">
        <v>15217285.1</v>
      </c>
    </row>
    <row r="7703" spans="1:1" x14ac:dyDescent="0.25">
      <c r="A7703" s="56">
        <v>26541251.399999999</v>
      </c>
    </row>
    <row r="7704" spans="1:1" x14ac:dyDescent="0.25">
      <c r="A7704" s="56">
        <v>33757855.299999997</v>
      </c>
    </row>
    <row r="7705" spans="1:1" x14ac:dyDescent="0.25">
      <c r="A7705" s="56">
        <v>0</v>
      </c>
    </row>
    <row r="7706" spans="1:1" x14ac:dyDescent="0.25">
      <c r="A7706" s="56">
        <v>30719885.5</v>
      </c>
    </row>
    <row r="7707" spans="1:1" x14ac:dyDescent="0.25">
      <c r="A7707" s="56">
        <v>9942968.1999999899</v>
      </c>
    </row>
    <row r="7708" spans="1:1" x14ac:dyDescent="0.25">
      <c r="A7708" s="56">
        <v>9764601.3000000007</v>
      </c>
    </row>
    <row r="7709" spans="1:1" x14ac:dyDescent="0.25">
      <c r="A7709" s="56">
        <v>132175305.90000001</v>
      </c>
    </row>
    <row r="7710" spans="1:1" x14ac:dyDescent="0.25">
      <c r="A7710" s="56">
        <v>5606111.6999999899</v>
      </c>
    </row>
    <row r="7711" spans="1:1" x14ac:dyDescent="0.25">
      <c r="A7711" s="56">
        <v>28268590.800000001</v>
      </c>
    </row>
    <row r="7712" spans="1:1" x14ac:dyDescent="0.25">
      <c r="A7712" s="56">
        <v>5634307.6999999899</v>
      </c>
    </row>
    <row r="7713" spans="1:1" x14ac:dyDescent="0.25">
      <c r="A7713" s="56">
        <v>6826948.0999999996</v>
      </c>
    </row>
    <row r="7714" spans="1:1" x14ac:dyDescent="0.25">
      <c r="A7714" s="56">
        <v>346446113.60000002</v>
      </c>
    </row>
    <row r="7715" spans="1:1" x14ac:dyDescent="0.25">
      <c r="A7715" s="56">
        <v>0</v>
      </c>
    </row>
    <row r="7716" spans="1:1" x14ac:dyDescent="0.25">
      <c r="A7716" s="56">
        <v>441764.4</v>
      </c>
    </row>
    <row r="7717" spans="1:1" x14ac:dyDescent="0.25">
      <c r="A7717" s="56">
        <v>69985614.199999899</v>
      </c>
    </row>
    <row r="7718" spans="1:1" x14ac:dyDescent="0.25">
      <c r="A7718" s="56">
        <v>137021061</v>
      </c>
    </row>
    <row r="7719" spans="1:1" x14ac:dyDescent="0.25">
      <c r="A7719" s="56">
        <v>61085286.199999899</v>
      </c>
    </row>
    <row r="7720" spans="1:1" x14ac:dyDescent="0.25">
      <c r="A7720" s="56">
        <v>51537331.200000003</v>
      </c>
    </row>
    <row r="7721" spans="1:1" x14ac:dyDescent="0.25">
      <c r="A7721" s="56">
        <v>55873016.200000003</v>
      </c>
    </row>
    <row r="7722" spans="1:1" x14ac:dyDescent="0.25">
      <c r="A7722" s="56">
        <v>25719346.899999999</v>
      </c>
    </row>
    <row r="7723" spans="1:1" x14ac:dyDescent="0.25">
      <c r="A7723" s="56">
        <v>9989769.5</v>
      </c>
    </row>
    <row r="7724" spans="1:1" x14ac:dyDescent="0.25">
      <c r="A7724" s="56">
        <v>0</v>
      </c>
    </row>
    <row r="7725" spans="1:1" x14ac:dyDescent="0.25">
      <c r="A7725" s="56">
        <v>4822042.2</v>
      </c>
    </row>
    <row r="7726" spans="1:1" x14ac:dyDescent="0.25">
      <c r="A7726" s="56">
        <v>333853440.60000002</v>
      </c>
    </row>
    <row r="7727" spans="1:1" x14ac:dyDescent="0.25">
      <c r="A7727" s="56">
        <v>113197704</v>
      </c>
    </row>
    <row r="7728" spans="1:1" x14ac:dyDescent="0.25">
      <c r="A7728" s="56">
        <v>5373053.5999999996</v>
      </c>
    </row>
    <row r="7729" spans="1:1" x14ac:dyDescent="0.25">
      <c r="A7729" s="56">
        <v>32095884.800000001</v>
      </c>
    </row>
    <row r="7730" spans="1:1" x14ac:dyDescent="0.25">
      <c r="A7730" s="56">
        <v>10031071</v>
      </c>
    </row>
    <row r="7731" spans="1:1" x14ac:dyDescent="0.25">
      <c r="A7731" s="56">
        <v>7439802.5999999996</v>
      </c>
    </row>
    <row r="7732" spans="1:1" x14ac:dyDescent="0.25">
      <c r="A7732" s="56">
        <v>3862308</v>
      </c>
    </row>
    <row r="7733" spans="1:1" x14ac:dyDescent="0.25">
      <c r="A7733" s="56">
        <v>224738323.80000001</v>
      </c>
    </row>
    <row r="7734" spans="1:1" x14ac:dyDescent="0.25">
      <c r="A7734" s="56">
        <v>64725553.599999897</v>
      </c>
    </row>
    <row r="7735" spans="1:1" x14ac:dyDescent="0.25">
      <c r="A7735" s="56">
        <v>266222498.40000001</v>
      </c>
    </row>
    <row r="7736" spans="1:1" x14ac:dyDescent="0.25">
      <c r="A7736" s="56">
        <v>149800293.19999999</v>
      </c>
    </row>
    <row r="7737" spans="1:1" x14ac:dyDescent="0.25">
      <c r="A7737" s="56">
        <v>608077395.89999998</v>
      </c>
    </row>
    <row r="7738" spans="1:1" x14ac:dyDescent="0.25">
      <c r="A7738" s="56">
        <v>0</v>
      </c>
    </row>
    <row r="7739" spans="1:1" x14ac:dyDescent="0.25">
      <c r="A7739" s="56">
        <v>10314377.9</v>
      </c>
    </row>
    <row r="7740" spans="1:1" x14ac:dyDescent="0.25">
      <c r="A7740" s="56">
        <v>3969322.2</v>
      </c>
    </row>
    <row r="7741" spans="1:1" x14ac:dyDescent="0.25">
      <c r="A7741" s="56">
        <v>29988704.699999999</v>
      </c>
    </row>
    <row r="7742" spans="1:1" x14ac:dyDescent="0.25">
      <c r="A7742" s="56">
        <v>45270121.700000003</v>
      </c>
    </row>
    <row r="7743" spans="1:1" x14ac:dyDescent="0.25">
      <c r="A7743" s="56">
        <v>5606111.6999999899</v>
      </c>
    </row>
    <row r="7744" spans="1:1" x14ac:dyDescent="0.25">
      <c r="A7744" s="56">
        <v>324877346.10000002</v>
      </c>
    </row>
    <row r="7745" spans="1:1" x14ac:dyDescent="0.25">
      <c r="A7745" s="56">
        <v>162932052.30000001</v>
      </c>
    </row>
    <row r="7746" spans="1:1" x14ac:dyDescent="0.25">
      <c r="A7746" s="56">
        <v>5721499.7999999998</v>
      </c>
    </row>
    <row r="7747" spans="1:1" x14ac:dyDescent="0.25">
      <c r="A7747" s="56">
        <v>61847404.299999997</v>
      </c>
    </row>
    <row r="7748" spans="1:1" x14ac:dyDescent="0.25">
      <c r="A7748" s="56">
        <v>54596319</v>
      </c>
    </row>
    <row r="7749" spans="1:1" x14ac:dyDescent="0.25">
      <c r="A7749" s="56">
        <v>97111842.699999899</v>
      </c>
    </row>
    <row r="7750" spans="1:1" x14ac:dyDescent="0.25">
      <c r="A7750" s="56">
        <v>16428303</v>
      </c>
    </row>
    <row r="7751" spans="1:1" x14ac:dyDescent="0.25">
      <c r="A7751" s="56">
        <v>50543466</v>
      </c>
    </row>
    <row r="7752" spans="1:1" x14ac:dyDescent="0.25">
      <c r="A7752" s="56">
        <v>0</v>
      </c>
    </row>
    <row r="7753" spans="1:1" x14ac:dyDescent="0.25">
      <c r="A7753" s="56">
        <v>6693647.6999999899</v>
      </c>
    </row>
    <row r="7754" spans="1:1" x14ac:dyDescent="0.25">
      <c r="A7754" s="56">
        <v>32359361.399999999</v>
      </c>
    </row>
    <row r="7755" spans="1:1" x14ac:dyDescent="0.25">
      <c r="A7755" s="56">
        <v>0</v>
      </c>
    </row>
    <row r="7756" spans="1:1" x14ac:dyDescent="0.25">
      <c r="A7756" s="56">
        <v>19651822.800000001</v>
      </c>
    </row>
    <row r="7757" spans="1:1" x14ac:dyDescent="0.25">
      <c r="A7757" s="56">
        <v>6108233.4000000004</v>
      </c>
    </row>
    <row r="7758" spans="1:1" x14ac:dyDescent="0.25">
      <c r="A7758" s="56">
        <v>0</v>
      </c>
    </row>
    <row r="7759" spans="1:1" x14ac:dyDescent="0.25">
      <c r="A7759" s="56">
        <v>59698042.700000003</v>
      </c>
    </row>
    <row r="7760" spans="1:1" x14ac:dyDescent="0.25">
      <c r="A7760" s="56">
        <v>87070652.5</v>
      </c>
    </row>
    <row r="7761" spans="1:1" x14ac:dyDescent="0.25">
      <c r="A7761" s="56">
        <v>1809495</v>
      </c>
    </row>
    <row r="7762" spans="1:1" x14ac:dyDescent="0.25">
      <c r="A7762" s="56">
        <v>256010187.19999999</v>
      </c>
    </row>
    <row r="7763" spans="1:1" x14ac:dyDescent="0.25">
      <c r="A7763" s="56">
        <v>136747637.90000001</v>
      </c>
    </row>
    <row r="7764" spans="1:1" x14ac:dyDescent="0.25">
      <c r="A7764" s="56">
        <v>20300030.199999999</v>
      </c>
    </row>
    <row r="7765" spans="1:1" x14ac:dyDescent="0.25">
      <c r="A7765" s="56">
        <v>17941238.899999999</v>
      </c>
    </row>
    <row r="7766" spans="1:1" x14ac:dyDescent="0.25">
      <c r="A7766" s="56">
        <v>992367906.29999995</v>
      </c>
    </row>
    <row r="7767" spans="1:1" x14ac:dyDescent="0.25">
      <c r="A7767" s="56">
        <v>0</v>
      </c>
    </row>
    <row r="7768" spans="1:1" x14ac:dyDescent="0.25">
      <c r="A7768" s="56">
        <v>18366230.100000001</v>
      </c>
    </row>
    <row r="7769" spans="1:1" x14ac:dyDescent="0.25">
      <c r="A7769" s="56">
        <v>75264532.299999997</v>
      </c>
    </row>
    <row r="7770" spans="1:1" x14ac:dyDescent="0.25">
      <c r="A7770" s="56">
        <v>220984964.40000001</v>
      </c>
    </row>
    <row r="7771" spans="1:1" x14ac:dyDescent="0.25">
      <c r="A7771" s="56">
        <v>456814657.5</v>
      </c>
    </row>
    <row r="7772" spans="1:1" x14ac:dyDescent="0.25">
      <c r="A7772" s="56">
        <v>65748840.700000003</v>
      </c>
    </row>
    <row r="7773" spans="1:1" x14ac:dyDescent="0.25">
      <c r="A7773" s="56">
        <v>46006691.200000003</v>
      </c>
    </row>
    <row r="7774" spans="1:1" x14ac:dyDescent="0.25">
      <c r="A7774" s="56">
        <v>15454557.699999999</v>
      </c>
    </row>
    <row r="7775" spans="1:1" x14ac:dyDescent="0.25">
      <c r="A7775" s="56">
        <v>95995442.900000006</v>
      </c>
    </row>
    <row r="7776" spans="1:1" x14ac:dyDescent="0.25">
      <c r="A7776" s="56">
        <v>93474547.099999905</v>
      </c>
    </row>
    <row r="7777" spans="1:1" x14ac:dyDescent="0.25">
      <c r="A7777" s="56">
        <v>86014034.200000003</v>
      </c>
    </row>
    <row r="7778" spans="1:1" x14ac:dyDescent="0.25">
      <c r="A7778" s="56">
        <v>1058592</v>
      </c>
    </row>
    <row r="7779" spans="1:1" x14ac:dyDescent="0.25">
      <c r="A7779" s="56">
        <v>43075092.5</v>
      </c>
    </row>
    <row r="7780" spans="1:1" x14ac:dyDescent="0.25">
      <c r="A7780" s="56">
        <v>53454702.899999902</v>
      </c>
    </row>
    <row r="7781" spans="1:1" x14ac:dyDescent="0.25">
      <c r="A7781" s="56">
        <v>5846976.0999999996</v>
      </c>
    </row>
    <row r="7782" spans="1:1" x14ac:dyDescent="0.25">
      <c r="A7782" s="56">
        <v>245573321.09999999</v>
      </c>
    </row>
    <row r="7783" spans="1:1" x14ac:dyDescent="0.25">
      <c r="A7783" s="56">
        <v>10745531</v>
      </c>
    </row>
    <row r="7784" spans="1:1" x14ac:dyDescent="0.25">
      <c r="A7784" s="56">
        <v>6882758.3999999901</v>
      </c>
    </row>
    <row r="7785" spans="1:1" x14ac:dyDescent="0.25">
      <c r="A7785" s="56">
        <v>3661966</v>
      </c>
    </row>
    <row r="7786" spans="1:1" x14ac:dyDescent="0.25">
      <c r="A7786" s="56">
        <v>24078076.300000001</v>
      </c>
    </row>
    <row r="7787" spans="1:1" x14ac:dyDescent="0.25">
      <c r="A7787" s="56">
        <v>18686924.399999999</v>
      </c>
    </row>
    <row r="7788" spans="1:1" x14ac:dyDescent="0.25">
      <c r="A7788" s="56">
        <v>24412979.600000001</v>
      </c>
    </row>
    <row r="7789" spans="1:1" x14ac:dyDescent="0.25">
      <c r="A7789" s="56">
        <v>11772277.4</v>
      </c>
    </row>
    <row r="7790" spans="1:1" x14ac:dyDescent="0.25">
      <c r="A7790" s="56">
        <v>53973654.399999902</v>
      </c>
    </row>
    <row r="7791" spans="1:1" x14ac:dyDescent="0.25">
      <c r="A7791" s="56">
        <v>8676264.0999999996</v>
      </c>
    </row>
    <row r="7792" spans="1:1" x14ac:dyDescent="0.25">
      <c r="A7792" s="56">
        <v>16579451.4</v>
      </c>
    </row>
    <row r="7793" spans="1:1" x14ac:dyDescent="0.25">
      <c r="A7793" s="56">
        <v>207264344.90000001</v>
      </c>
    </row>
    <row r="7794" spans="1:1" x14ac:dyDescent="0.25">
      <c r="A7794" s="56">
        <v>153705321.30000001</v>
      </c>
    </row>
    <row r="7795" spans="1:1" x14ac:dyDescent="0.25">
      <c r="A7795" s="56">
        <v>3115431.6</v>
      </c>
    </row>
    <row r="7796" spans="1:1" x14ac:dyDescent="0.25">
      <c r="A7796" s="56">
        <v>48407860.799999997</v>
      </c>
    </row>
    <row r="7797" spans="1:1" x14ac:dyDescent="0.25">
      <c r="A7797" s="56">
        <v>18439754.5</v>
      </c>
    </row>
    <row r="7798" spans="1:1" x14ac:dyDescent="0.25">
      <c r="A7798" s="56">
        <v>31891724.199999999</v>
      </c>
    </row>
    <row r="7799" spans="1:1" x14ac:dyDescent="0.25">
      <c r="A7799" s="56">
        <v>41903857.499999903</v>
      </c>
    </row>
    <row r="7800" spans="1:1" x14ac:dyDescent="0.25">
      <c r="A7800" s="56">
        <v>0</v>
      </c>
    </row>
    <row r="7801" spans="1:1" x14ac:dyDescent="0.25">
      <c r="A7801" s="56">
        <v>25510716.800000001</v>
      </c>
    </row>
    <row r="7802" spans="1:1" x14ac:dyDescent="0.25">
      <c r="A7802" s="56">
        <v>0</v>
      </c>
    </row>
    <row r="7803" spans="1:1" x14ac:dyDescent="0.25">
      <c r="A7803" s="56">
        <v>3980539.6</v>
      </c>
    </row>
    <row r="7804" spans="1:1" x14ac:dyDescent="0.25">
      <c r="A7804" s="56">
        <v>33643263.700000003</v>
      </c>
    </row>
    <row r="7805" spans="1:1" x14ac:dyDescent="0.25">
      <c r="A7805" s="56">
        <v>23402971.100000001</v>
      </c>
    </row>
    <row r="7806" spans="1:1" x14ac:dyDescent="0.25">
      <c r="A7806" s="56">
        <v>13334540.800000001</v>
      </c>
    </row>
    <row r="7807" spans="1:1" x14ac:dyDescent="0.25">
      <c r="A7807" s="56">
        <v>7841305.5999999996</v>
      </c>
    </row>
    <row r="7808" spans="1:1" x14ac:dyDescent="0.25">
      <c r="A7808" s="56">
        <v>6555983.4000000004</v>
      </c>
    </row>
    <row r="7809" spans="1:1" x14ac:dyDescent="0.25">
      <c r="A7809" s="56">
        <v>980732.4</v>
      </c>
    </row>
    <row r="7810" spans="1:1" x14ac:dyDescent="0.25">
      <c r="A7810" s="56">
        <v>135923909.90000001</v>
      </c>
    </row>
    <row r="7811" spans="1:1" x14ac:dyDescent="0.25">
      <c r="A7811" s="56">
        <v>33103916.5</v>
      </c>
    </row>
    <row r="7812" spans="1:1" x14ac:dyDescent="0.25">
      <c r="A7812" s="56">
        <v>243110304.69999999</v>
      </c>
    </row>
    <row r="7813" spans="1:1" x14ac:dyDescent="0.25">
      <c r="A7813" s="56">
        <v>5595573.8999999901</v>
      </c>
    </row>
    <row r="7814" spans="1:1" x14ac:dyDescent="0.25">
      <c r="A7814" s="56">
        <v>336084789.5</v>
      </c>
    </row>
    <row r="7815" spans="1:1" x14ac:dyDescent="0.25">
      <c r="A7815" s="56">
        <v>62623618.600000001</v>
      </c>
    </row>
    <row r="7816" spans="1:1" x14ac:dyDescent="0.25">
      <c r="A7816" s="56">
        <v>61796361.799999997</v>
      </c>
    </row>
    <row r="7817" spans="1:1" x14ac:dyDescent="0.25">
      <c r="A7817" s="56">
        <v>0</v>
      </c>
    </row>
    <row r="7818" spans="1:1" x14ac:dyDescent="0.25">
      <c r="A7818" s="56">
        <v>25948628.899999999</v>
      </c>
    </row>
    <row r="7819" spans="1:1" x14ac:dyDescent="0.25">
      <c r="A7819" s="56">
        <v>102933343.59999999</v>
      </c>
    </row>
    <row r="7820" spans="1:1" x14ac:dyDescent="0.25">
      <c r="A7820" s="56">
        <v>100930152</v>
      </c>
    </row>
    <row r="7821" spans="1:1" x14ac:dyDescent="0.25">
      <c r="A7821" s="56">
        <v>26178017.800000001</v>
      </c>
    </row>
    <row r="7822" spans="1:1" x14ac:dyDescent="0.25">
      <c r="A7822" s="56">
        <v>28601552.699999999</v>
      </c>
    </row>
    <row r="7823" spans="1:1" x14ac:dyDescent="0.25">
      <c r="A7823" s="56">
        <v>54468008.7999999</v>
      </c>
    </row>
    <row r="7824" spans="1:1" x14ac:dyDescent="0.25">
      <c r="A7824" s="56">
        <v>1059340</v>
      </c>
    </row>
    <row r="7825" spans="1:1" x14ac:dyDescent="0.25">
      <c r="A7825" s="56">
        <v>24799353.600000001</v>
      </c>
    </row>
    <row r="7826" spans="1:1" x14ac:dyDescent="0.25">
      <c r="A7826" s="56">
        <v>0</v>
      </c>
    </row>
    <row r="7827" spans="1:1" x14ac:dyDescent="0.25">
      <c r="A7827" s="56">
        <v>120433231.8</v>
      </c>
    </row>
    <row r="7828" spans="1:1" x14ac:dyDescent="0.25">
      <c r="A7828" s="56">
        <v>80429382.5</v>
      </c>
    </row>
    <row r="7829" spans="1:1" x14ac:dyDescent="0.25">
      <c r="A7829" s="56">
        <v>106859913.3</v>
      </c>
    </row>
    <row r="7830" spans="1:1" x14ac:dyDescent="0.25">
      <c r="A7830" s="56">
        <v>6238017.5999999996</v>
      </c>
    </row>
    <row r="7831" spans="1:1" x14ac:dyDescent="0.25">
      <c r="A7831" s="56">
        <v>6730131.0999999996</v>
      </c>
    </row>
    <row r="7832" spans="1:1" x14ac:dyDescent="0.25">
      <c r="A7832" s="56">
        <v>51068888.299999997</v>
      </c>
    </row>
    <row r="7833" spans="1:1" x14ac:dyDescent="0.25">
      <c r="A7833" s="56">
        <v>12124154.9</v>
      </c>
    </row>
    <row r="7834" spans="1:1" x14ac:dyDescent="0.25">
      <c r="A7834" s="56">
        <v>656658148.39999998</v>
      </c>
    </row>
    <row r="7835" spans="1:1" x14ac:dyDescent="0.25">
      <c r="A7835" s="56">
        <v>30816677.399999999</v>
      </c>
    </row>
    <row r="7836" spans="1:1" x14ac:dyDescent="0.25">
      <c r="A7836" s="56">
        <v>55934538.799999997</v>
      </c>
    </row>
    <row r="7837" spans="1:1" x14ac:dyDescent="0.25">
      <c r="A7837" s="56">
        <v>35295991.200000003</v>
      </c>
    </row>
    <row r="7838" spans="1:1" x14ac:dyDescent="0.25">
      <c r="A7838" s="56">
        <v>14007623.5</v>
      </c>
    </row>
    <row r="7839" spans="1:1" x14ac:dyDescent="0.25">
      <c r="A7839" s="56">
        <v>0</v>
      </c>
    </row>
    <row r="7840" spans="1:1" x14ac:dyDescent="0.25">
      <c r="A7840" s="56">
        <v>10150229.300000001</v>
      </c>
    </row>
    <row r="7841" spans="1:1" x14ac:dyDescent="0.25">
      <c r="A7841" s="56">
        <v>31653781.399999999</v>
      </c>
    </row>
    <row r="7842" spans="1:1" x14ac:dyDescent="0.25">
      <c r="A7842" s="56">
        <v>104777534.2</v>
      </c>
    </row>
    <row r="7843" spans="1:1" x14ac:dyDescent="0.25">
      <c r="A7843" s="56">
        <v>9890470.5</v>
      </c>
    </row>
    <row r="7844" spans="1:1" x14ac:dyDescent="0.25">
      <c r="A7844" s="56">
        <v>717028512</v>
      </c>
    </row>
    <row r="7845" spans="1:1" x14ac:dyDescent="0.25">
      <c r="A7845" s="56">
        <v>0</v>
      </c>
    </row>
    <row r="7846" spans="1:1" x14ac:dyDescent="0.25">
      <c r="A7846" s="56">
        <v>43944387.799999997</v>
      </c>
    </row>
    <row r="7847" spans="1:1" x14ac:dyDescent="0.25">
      <c r="A7847" s="56">
        <v>3191445.4</v>
      </c>
    </row>
    <row r="7848" spans="1:1" x14ac:dyDescent="0.25">
      <c r="A7848" s="56">
        <v>2430289</v>
      </c>
    </row>
    <row r="7849" spans="1:1" x14ac:dyDescent="0.25">
      <c r="A7849" s="56">
        <v>31511362.5</v>
      </c>
    </row>
    <row r="7850" spans="1:1" x14ac:dyDescent="0.25">
      <c r="A7850" s="56">
        <v>70809899</v>
      </c>
    </row>
    <row r="7851" spans="1:1" x14ac:dyDescent="0.25">
      <c r="A7851" s="56">
        <v>834741.2</v>
      </c>
    </row>
    <row r="7852" spans="1:1" x14ac:dyDescent="0.25">
      <c r="A7852" s="56">
        <v>0</v>
      </c>
    </row>
    <row r="7853" spans="1:1" x14ac:dyDescent="0.25">
      <c r="A7853" s="56">
        <v>141803719</v>
      </c>
    </row>
    <row r="7854" spans="1:1" x14ac:dyDescent="0.25">
      <c r="A7854" s="56">
        <v>11629122.6</v>
      </c>
    </row>
    <row r="7855" spans="1:1" x14ac:dyDescent="0.25">
      <c r="A7855" s="56">
        <v>51120782.799999997</v>
      </c>
    </row>
    <row r="7856" spans="1:1" x14ac:dyDescent="0.25">
      <c r="A7856" s="56">
        <v>99359149.099999905</v>
      </c>
    </row>
    <row r="7857" spans="1:1" x14ac:dyDescent="0.25">
      <c r="A7857" s="56">
        <v>6905289.2999999998</v>
      </c>
    </row>
    <row r="7858" spans="1:1" x14ac:dyDescent="0.25">
      <c r="A7858" s="56">
        <v>7814936.1999999899</v>
      </c>
    </row>
    <row r="7859" spans="1:1" x14ac:dyDescent="0.25">
      <c r="A7859" s="56">
        <v>10915936.800000001</v>
      </c>
    </row>
    <row r="7860" spans="1:1" x14ac:dyDescent="0.25">
      <c r="A7860" s="56">
        <v>6918329</v>
      </c>
    </row>
    <row r="7861" spans="1:1" x14ac:dyDescent="0.25">
      <c r="A7861" s="56">
        <v>315555217.89999998</v>
      </c>
    </row>
    <row r="7862" spans="1:1" x14ac:dyDescent="0.25">
      <c r="A7862" s="56">
        <v>69374677.5</v>
      </c>
    </row>
    <row r="7863" spans="1:1" x14ac:dyDescent="0.25">
      <c r="A7863" s="56">
        <v>6437653.2999999896</v>
      </c>
    </row>
    <row r="7864" spans="1:1" x14ac:dyDescent="0.25">
      <c r="A7864" s="56">
        <v>16931383.5</v>
      </c>
    </row>
    <row r="7865" spans="1:1" x14ac:dyDescent="0.25">
      <c r="A7865" s="56">
        <v>49468869.299999997</v>
      </c>
    </row>
    <row r="7866" spans="1:1" x14ac:dyDescent="0.25">
      <c r="A7866" s="56">
        <v>102272955.40000001</v>
      </c>
    </row>
    <row r="7867" spans="1:1" x14ac:dyDescent="0.25">
      <c r="A7867" s="56">
        <v>167999534.40000001</v>
      </c>
    </row>
    <row r="7868" spans="1:1" x14ac:dyDescent="0.25">
      <c r="A7868" s="56">
        <v>36208146.899999999</v>
      </c>
    </row>
    <row r="7869" spans="1:1" x14ac:dyDescent="0.25">
      <c r="A7869" s="56">
        <v>6644875.2999999998</v>
      </c>
    </row>
    <row r="7870" spans="1:1" x14ac:dyDescent="0.25">
      <c r="A7870" s="56">
        <v>50496433.200000003</v>
      </c>
    </row>
    <row r="7871" spans="1:1" x14ac:dyDescent="0.25">
      <c r="A7871" s="56">
        <v>18048713.199999999</v>
      </c>
    </row>
    <row r="7872" spans="1:1" x14ac:dyDescent="0.25">
      <c r="A7872" s="56">
        <v>1019768.4</v>
      </c>
    </row>
    <row r="7873" spans="1:1" x14ac:dyDescent="0.25">
      <c r="A7873" s="56">
        <v>68389926.899999902</v>
      </c>
    </row>
    <row r="7874" spans="1:1" x14ac:dyDescent="0.25">
      <c r="A7874" s="56">
        <v>21834773.199999999</v>
      </c>
    </row>
    <row r="7875" spans="1:1" x14ac:dyDescent="0.25">
      <c r="A7875" s="56">
        <v>3784665.6</v>
      </c>
    </row>
    <row r="7876" spans="1:1" x14ac:dyDescent="0.25">
      <c r="A7876" s="56">
        <v>199446237.09999999</v>
      </c>
    </row>
    <row r="7877" spans="1:1" x14ac:dyDescent="0.25">
      <c r="A7877" s="56">
        <v>8057284.7999999998</v>
      </c>
    </row>
    <row r="7878" spans="1:1" x14ac:dyDescent="0.25">
      <c r="A7878" s="56">
        <v>73508003.599999905</v>
      </c>
    </row>
    <row r="7879" spans="1:1" x14ac:dyDescent="0.25">
      <c r="A7879" s="56">
        <v>26902629</v>
      </c>
    </row>
    <row r="7880" spans="1:1" x14ac:dyDescent="0.25">
      <c r="A7880" s="56">
        <v>12880191.300000001</v>
      </c>
    </row>
    <row r="7881" spans="1:1" x14ac:dyDescent="0.25">
      <c r="A7881" s="56">
        <v>204256026.90000001</v>
      </c>
    </row>
    <row r="7882" spans="1:1" x14ac:dyDescent="0.25">
      <c r="A7882" s="56">
        <v>0</v>
      </c>
    </row>
    <row r="7883" spans="1:1" x14ac:dyDescent="0.25">
      <c r="A7883" s="56">
        <v>10673969.4</v>
      </c>
    </row>
    <row r="7884" spans="1:1" x14ac:dyDescent="0.25">
      <c r="A7884" s="56">
        <v>0</v>
      </c>
    </row>
    <row r="7885" spans="1:1" x14ac:dyDescent="0.25">
      <c r="A7885" s="56">
        <v>11385987.6</v>
      </c>
    </row>
    <row r="7886" spans="1:1" x14ac:dyDescent="0.25">
      <c r="A7886" s="56">
        <v>4617090.3999999901</v>
      </c>
    </row>
    <row r="7887" spans="1:1" x14ac:dyDescent="0.25">
      <c r="A7887" s="56">
        <v>119195554.90000001</v>
      </c>
    </row>
    <row r="7888" spans="1:1" x14ac:dyDescent="0.25">
      <c r="A7888" s="56">
        <v>15524778.4</v>
      </c>
    </row>
    <row r="7889" spans="1:1" x14ac:dyDescent="0.25">
      <c r="A7889" s="56">
        <v>32362750.199999999</v>
      </c>
    </row>
    <row r="7890" spans="1:1" x14ac:dyDescent="0.25">
      <c r="A7890" s="56">
        <v>0</v>
      </c>
    </row>
    <row r="7891" spans="1:1" x14ac:dyDescent="0.25">
      <c r="A7891" s="56">
        <v>172152661.90000001</v>
      </c>
    </row>
    <row r="7892" spans="1:1" x14ac:dyDescent="0.25">
      <c r="A7892" s="56">
        <v>14807366.5</v>
      </c>
    </row>
    <row r="7893" spans="1:1" x14ac:dyDescent="0.25">
      <c r="A7893" s="56">
        <v>3688884.6</v>
      </c>
    </row>
    <row r="7894" spans="1:1" x14ac:dyDescent="0.25">
      <c r="A7894" s="56">
        <v>69853062</v>
      </c>
    </row>
    <row r="7895" spans="1:1" x14ac:dyDescent="0.25">
      <c r="A7895" s="56">
        <v>23147700.600000001</v>
      </c>
    </row>
    <row r="7896" spans="1:1" x14ac:dyDescent="0.25">
      <c r="A7896" s="56">
        <v>273001273.60000002</v>
      </c>
    </row>
    <row r="7897" spans="1:1" x14ac:dyDescent="0.25">
      <c r="A7897" s="56">
        <v>0</v>
      </c>
    </row>
    <row r="7898" spans="1:1" x14ac:dyDescent="0.25">
      <c r="A7898" s="56">
        <v>29739028.100000001</v>
      </c>
    </row>
    <row r="7899" spans="1:1" x14ac:dyDescent="0.25">
      <c r="A7899" s="56">
        <v>191375590.69999999</v>
      </c>
    </row>
    <row r="7900" spans="1:1" x14ac:dyDescent="0.25">
      <c r="A7900" s="56">
        <v>19693155</v>
      </c>
    </row>
    <row r="7901" spans="1:1" x14ac:dyDescent="0.25">
      <c r="A7901" s="56">
        <v>38215137.799999997</v>
      </c>
    </row>
    <row r="7902" spans="1:1" x14ac:dyDescent="0.25">
      <c r="A7902" s="56">
        <v>11626885.199999999</v>
      </c>
    </row>
    <row r="7903" spans="1:1" x14ac:dyDescent="0.25">
      <c r="A7903" s="56">
        <v>266663135.80000001</v>
      </c>
    </row>
    <row r="7904" spans="1:1" x14ac:dyDescent="0.25">
      <c r="A7904" s="56">
        <v>2596891.7999999998</v>
      </c>
    </row>
    <row r="7905" spans="1:1" x14ac:dyDescent="0.25">
      <c r="A7905" s="56">
        <v>18858380.100000001</v>
      </c>
    </row>
    <row r="7906" spans="1:1" x14ac:dyDescent="0.25">
      <c r="A7906" s="56">
        <v>7356344.7999999998</v>
      </c>
    </row>
    <row r="7907" spans="1:1" x14ac:dyDescent="0.25">
      <c r="A7907" s="56">
        <v>119522868.2</v>
      </c>
    </row>
    <row r="7908" spans="1:1" x14ac:dyDescent="0.25">
      <c r="A7908" s="56">
        <v>10058393.199999999</v>
      </c>
    </row>
    <row r="7909" spans="1:1" x14ac:dyDescent="0.25">
      <c r="A7909" s="56">
        <v>0</v>
      </c>
    </row>
    <row r="7910" spans="1:1" x14ac:dyDescent="0.25">
      <c r="A7910" s="56">
        <v>368054829.19999999</v>
      </c>
    </row>
    <row r="7911" spans="1:1" x14ac:dyDescent="0.25">
      <c r="A7911" s="56">
        <v>4148686.8</v>
      </c>
    </row>
    <row r="7912" spans="1:1" x14ac:dyDescent="0.25">
      <c r="A7912" s="56">
        <v>13671644.4</v>
      </c>
    </row>
    <row r="7913" spans="1:1" x14ac:dyDescent="0.25">
      <c r="A7913" s="56">
        <v>0</v>
      </c>
    </row>
    <row r="7914" spans="1:1" x14ac:dyDescent="0.25">
      <c r="A7914" s="56">
        <v>251650339.80000001</v>
      </c>
    </row>
    <row r="7915" spans="1:1" x14ac:dyDescent="0.25">
      <c r="A7915" s="56">
        <v>35514640.200000003</v>
      </c>
    </row>
    <row r="7916" spans="1:1" x14ac:dyDescent="0.25">
      <c r="A7916" s="56">
        <v>76125586.200000003</v>
      </c>
    </row>
    <row r="7917" spans="1:1" x14ac:dyDescent="0.25">
      <c r="A7917" s="56">
        <v>8558119.3999999892</v>
      </c>
    </row>
    <row r="7918" spans="1:1" x14ac:dyDescent="0.25">
      <c r="A7918" s="56">
        <v>0</v>
      </c>
    </row>
    <row r="7919" spans="1:1" x14ac:dyDescent="0.25">
      <c r="A7919" s="56">
        <v>20510709.399999999</v>
      </c>
    </row>
    <row r="7920" spans="1:1" x14ac:dyDescent="0.25">
      <c r="A7920" s="56">
        <v>51344985</v>
      </c>
    </row>
    <row r="7921" spans="1:1" x14ac:dyDescent="0.25">
      <c r="A7921" s="56">
        <v>0</v>
      </c>
    </row>
    <row r="7922" spans="1:1" x14ac:dyDescent="0.25">
      <c r="A7922" s="56">
        <v>58850430</v>
      </c>
    </row>
    <row r="7923" spans="1:1" x14ac:dyDescent="0.25">
      <c r="A7923" s="56">
        <v>22535570.300000001</v>
      </c>
    </row>
    <row r="7924" spans="1:1" x14ac:dyDescent="0.25">
      <c r="A7924" s="56">
        <v>0</v>
      </c>
    </row>
    <row r="7925" spans="1:1" x14ac:dyDescent="0.25">
      <c r="A7925" s="56">
        <v>47034290.200000003</v>
      </c>
    </row>
    <row r="7926" spans="1:1" x14ac:dyDescent="0.25">
      <c r="A7926" s="56">
        <v>32932252.300000001</v>
      </c>
    </row>
    <row r="7927" spans="1:1" x14ac:dyDescent="0.25">
      <c r="A7927" s="56">
        <v>7657602.2999999896</v>
      </c>
    </row>
    <row r="7928" spans="1:1" x14ac:dyDescent="0.25">
      <c r="A7928" s="56">
        <v>0</v>
      </c>
    </row>
    <row r="7929" spans="1:1" x14ac:dyDescent="0.25">
      <c r="A7929" s="56">
        <v>61601659.799999997</v>
      </c>
    </row>
    <row r="7930" spans="1:1" x14ac:dyDescent="0.25">
      <c r="A7930" s="56">
        <v>13482898.800000001</v>
      </c>
    </row>
    <row r="7931" spans="1:1" x14ac:dyDescent="0.25">
      <c r="A7931" s="56">
        <v>201546056.80000001</v>
      </c>
    </row>
    <row r="7932" spans="1:1" x14ac:dyDescent="0.25">
      <c r="A7932" s="56">
        <v>6248774.6999999899</v>
      </c>
    </row>
    <row r="7933" spans="1:1" x14ac:dyDescent="0.25">
      <c r="A7933" s="56">
        <v>130520264</v>
      </c>
    </row>
    <row r="7934" spans="1:1" x14ac:dyDescent="0.25">
      <c r="A7934" s="56">
        <v>39658033.5</v>
      </c>
    </row>
    <row r="7935" spans="1:1" x14ac:dyDescent="0.25">
      <c r="A7935" s="56">
        <v>42199857.099999897</v>
      </c>
    </row>
    <row r="7936" spans="1:1" x14ac:dyDescent="0.25">
      <c r="A7936" s="56">
        <v>4806465</v>
      </c>
    </row>
    <row r="7937" spans="1:1" x14ac:dyDescent="0.25">
      <c r="A7937" s="56">
        <v>69600953.899999902</v>
      </c>
    </row>
    <row r="7938" spans="1:1" x14ac:dyDescent="0.25">
      <c r="A7938" s="56">
        <v>7318212.5999999996</v>
      </c>
    </row>
    <row r="7939" spans="1:1" x14ac:dyDescent="0.25">
      <c r="A7939" s="56">
        <v>0</v>
      </c>
    </row>
    <row r="7940" spans="1:1" x14ac:dyDescent="0.25">
      <c r="A7940" s="56">
        <v>143502945.59999999</v>
      </c>
    </row>
    <row r="7941" spans="1:1" x14ac:dyDescent="0.25">
      <c r="A7941" s="56">
        <v>27616410.199999999</v>
      </c>
    </row>
    <row r="7942" spans="1:1" x14ac:dyDescent="0.25">
      <c r="A7942" s="56">
        <v>49686489.5</v>
      </c>
    </row>
    <row r="7943" spans="1:1" x14ac:dyDescent="0.25">
      <c r="A7943" s="56">
        <v>5136801</v>
      </c>
    </row>
    <row r="7944" spans="1:1" x14ac:dyDescent="0.25">
      <c r="A7944" s="56">
        <v>47212135.999999903</v>
      </c>
    </row>
    <row r="7945" spans="1:1" x14ac:dyDescent="0.25">
      <c r="A7945" s="56">
        <v>337342413.80000001</v>
      </c>
    </row>
    <row r="7946" spans="1:1" x14ac:dyDescent="0.25">
      <c r="A7946" s="56">
        <v>5895068.8999999901</v>
      </c>
    </row>
    <row r="7947" spans="1:1" x14ac:dyDescent="0.25">
      <c r="A7947" s="56">
        <v>6402485.4000000004</v>
      </c>
    </row>
    <row r="7948" spans="1:1" x14ac:dyDescent="0.25">
      <c r="A7948" s="56">
        <v>23799187.100000001</v>
      </c>
    </row>
    <row r="7949" spans="1:1" x14ac:dyDescent="0.25">
      <c r="A7949" s="56">
        <v>365911785.69999999</v>
      </c>
    </row>
    <row r="7950" spans="1:1" x14ac:dyDescent="0.25">
      <c r="A7950" s="56">
        <v>138164218.30000001</v>
      </c>
    </row>
    <row r="7951" spans="1:1" x14ac:dyDescent="0.25">
      <c r="A7951" s="56">
        <v>0</v>
      </c>
    </row>
    <row r="7952" spans="1:1" x14ac:dyDescent="0.25">
      <c r="A7952" s="56">
        <v>37589973</v>
      </c>
    </row>
    <row r="7953" spans="1:1" x14ac:dyDescent="0.25">
      <c r="A7953" s="56">
        <v>7471480.7000000002</v>
      </c>
    </row>
    <row r="7954" spans="1:1" x14ac:dyDescent="0.25">
      <c r="A7954" s="56">
        <v>10523971</v>
      </c>
    </row>
    <row r="7955" spans="1:1" x14ac:dyDescent="0.25">
      <c r="A7955" s="56">
        <v>3921577.8</v>
      </c>
    </row>
    <row r="7956" spans="1:1" x14ac:dyDescent="0.25">
      <c r="A7956" s="56">
        <v>342887875.69999999</v>
      </c>
    </row>
    <row r="7957" spans="1:1" x14ac:dyDescent="0.25">
      <c r="A7957" s="56">
        <v>2708098.2</v>
      </c>
    </row>
    <row r="7958" spans="1:1" x14ac:dyDescent="0.25">
      <c r="A7958" s="56">
        <v>3009424.8</v>
      </c>
    </row>
    <row r="7959" spans="1:1" x14ac:dyDescent="0.25">
      <c r="A7959" s="56">
        <v>246550758</v>
      </c>
    </row>
    <row r="7960" spans="1:1" x14ac:dyDescent="0.25">
      <c r="A7960" s="56">
        <v>4701367.1999999899</v>
      </c>
    </row>
    <row r="7961" spans="1:1" x14ac:dyDescent="0.25">
      <c r="A7961" s="56">
        <v>8691073.2999999896</v>
      </c>
    </row>
    <row r="7962" spans="1:1" x14ac:dyDescent="0.25">
      <c r="A7962" s="56">
        <v>14647742.5</v>
      </c>
    </row>
    <row r="7963" spans="1:1" x14ac:dyDescent="0.25">
      <c r="A7963" s="56">
        <v>183478765</v>
      </c>
    </row>
    <row r="7964" spans="1:1" x14ac:dyDescent="0.25">
      <c r="A7964" s="56">
        <v>121644169.40000001</v>
      </c>
    </row>
    <row r="7965" spans="1:1" x14ac:dyDescent="0.25">
      <c r="A7965" s="56">
        <v>33385324.899999999</v>
      </c>
    </row>
    <row r="7966" spans="1:1" x14ac:dyDescent="0.25">
      <c r="A7966" s="56">
        <v>7220062.5</v>
      </c>
    </row>
    <row r="7967" spans="1:1" x14ac:dyDescent="0.25">
      <c r="A7967" s="56">
        <v>2603059</v>
      </c>
    </row>
    <row r="7968" spans="1:1" x14ac:dyDescent="0.25">
      <c r="A7968" s="56">
        <v>23518433.699999999</v>
      </c>
    </row>
    <row r="7969" spans="1:1" x14ac:dyDescent="0.25">
      <c r="A7969" s="56">
        <v>9834524</v>
      </c>
    </row>
    <row r="7970" spans="1:1" x14ac:dyDescent="0.25">
      <c r="A7970" s="56">
        <v>54157777.099999897</v>
      </c>
    </row>
    <row r="7971" spans="1:1" x14ac:dyDescent="0.25">
      <c r="A7971" s="56">
        <v>77542944.5</v>
      </c>
    </row>
    <row r="7972" spans="1:1" x14ac:dyDescent="0.25">
      <c r="A7972" s="56">
        <v>56105473.5</v>
      </c>
    </row>
    <row r="7973" spans="1:1" x14ac:dyDescent="0.25">
      <c r="A7973" s="56">
        <v>6977739.5999999996</v>
      </c>
    </row>
    <row r="7974" spans="1:1" x14ac:dyDescent="0.25">
      <c r="A7974" s="56">
        <v>37585219.899999999</v>
      </c>
    </row>
    <row r="7975" spans="1:1" x14ac:dyDescent="0.25">
      <c r="A7975" s="56">
        <v>15083570.300000001</v>
      </c>
    </row>
    <row r="7976" spans="1:1" x14ac:dyDescent="0.25">
      <c r="A7976" s="56">
        <v>40827714.599999897</v>
      </c>
    </row>
    <row r="7977" spans="1:1" x14ac:dyDescent="0.25">
      <c r="A7977" s="56">
        <v>4070825.2</v>
      </c>
    </row>
    <row r="7978" spans="1:1" x14ac:dyDescent="0.25">
      <c r="A7978" s="56">
        <v>0</v>
      </c>
    </row>
    <row r="7979" spans="1:1" x14ac:dyDescent="0.25">
      <c r="A7979" s="56">
        <v>78772547.899999902</v>
      </c>
    </row>
    <row r="7980" spans="1:1" x14ac:dyDescent="0.25">
      <c r="A7980" s="56">
        <v>245827788.19999999</v>
      </c>
    </row>
    <row r="7981" spans="1:1" x14ac:dyDescent="0.25">
      <c r="A7981" s="56">
        <v>0</v>
      </c>
    </row>
    <row r="7982" spans="1:1" x14ac:dyDescent="0.25">
      <c r="A7982" s="56">
        <v>9849654.8000000007</v>
      </c>
    </row>
    <row r="7983" spans="1:1" x14ac:dyDescent="0.25">
      <c r="A7983" s="56">
        <v>104022803</v>
      </c>
    </row>
    <row r="7984" spans="1:1" x14ac:dyDescent="0.25">
      <c r="A7984" s="56">
        <v>64745757.699999899</v>
      </c>
    </row>
    <row r="7985" spans="1:1" x14ac:dyDescent="0.25">
      <c r="A7985" s="56">
        <v>3568390.6</v>
      </c>
    </row>
    <row r="7986" spans="1:1" x14ac:dyDescent="0.25">
      <c r="A7986" s="56">
        <v>100021288.40000001</v>
      </c>
    </row>
    <row r="7987" spans="1:1" x14ac:dyDescent="0.25">
      <c r="A7987" s="56">
        <v>51306810.100000001</v>
      </c>
    </row>
    <row r="7988" spans="1:1" x14ac:dyDescent="0.25">
      <c r="A7988" s="56">
        <v>22849455</v>
      </c>
    </row>
    <row r="7989" spans="1:1" x14ac:dyDescent="0.25">
      <c r="A7989" s="56">
        <v>10472348.199999999</v>
      </c>
    </row>
    <row r="7990" spans="1:1" x14ac:dyDescent="0.25">
      <c r="A7990" s="56">
        <v>0</v>
      </c>
    </row>
    <row r="7991" spans="1:1" x14ac:dyDescent="0.25">
      <c r="A7991" s="56">
        <v>61033904.799999997</v>
      </c>
    </row>
    <row r="7992" spans="1:1" x14ac:dyDescent="0.25">
      <c r="A7992" s="56">
        <v>14482420.9</v>
      </c>
    </row>
    <row r="7993" spans="1:1" x14ac:dyDescent="0.25">
      <c r="A7993" s="56">
        <v>19142622.300000001</v>
      </c>
    </row>
    <row r="7994" spans="1:1" x14ac:dyDescent="0.25">
      <c r="A7994" s="56">
        <v>29568888.5</v>
      </c>
    </row>
    <row r="7995" spans="1:1" x14ac:dyDescent="0.25">
      <c r="A7995" s="56">
        <v>181722658.90000001</v>
      </c>
    </row>
    <row r="7996" spans="1:1" x14ac:dyDescent="0.25">
      <c r="A7996" s="56">
        <v>20757998.300000001</v>
      </c>
    </row>
    <row r="7997" spans="1:1" x14ac:dyDescent="0.25">
      <c r="A7997" s="56">
        <v>36210580.299999997</v>
      </c>
    </row>
    <row r="7998" spans="1:1" x14ac:dyDescent="0.25">
      <c r="A7998" s="56">
        <v>189431875.5</v>
      </c>
    </row>
    <row r="7999" spans="1:1" x14ac:dyDescent="0.25">
      <c r="A7999" s="56">
        <v>142830959.5</v>
      </c>
    </row>
    <row r="8000" spans="1:1" x14ac:dyDescent="0.25">
      <c r="A8000" s="56">
        <v>14993675.5</v>
      </c>
    </row>
    <row r="8001" spans="1:1" x14ac:dyDescent="0.25">
      <c r="A8001" s="56">
        <v>7575194.0999999996</v>
      </c>
    </row>
    <row r="8002" spans="1:1" x14ac:dyDescent="0.25">
      <c r="A8002" s="56">
        <v>1833764.8</v>
      </c>
    </row>
    <row r="8003" spans="1:1" x14ac:dyDescent="0.25">
      <c r="A8003" s="56">
        <v>7353252.4999999898</v>
      </c>
    </row>
    <row r="8004" spans="1:1" x14ac:dyDescent="0.25">
      <c r="A8004" s="56">
        <v>74732222.900000006</v>
      </c>
    </row>
    <row r="8005" spans="1:1" x14ac:dyDescent="0.25">
      <c r="A8005" s="56">
        <v>1173500.8</v>
      </c>
    </row>
    <row r="8006" spans="1:1" x14ac:dyDescent="0.25">
      <c r="A8006" s="56">
        <v>5565685.2999999998</v>
      </c>
    </row>
    <row r="8007" spans="1:1" x14ac:dyDescent="0.25">
      <c r="A8007" s="56">
        <v>53210118.899999902</v>
      </c>
    </row>
    <row r="8008" spans="1:1" x14ac:dyDescent="0.25">
      <c r="A8008" s="56">
        <v>715980</v>
      </c>
    </row>
    <row r="8009" spans="1:1" x14ac:dyDescent="0.25">
      <c r="A8009" s="56">
        <v>12427078.300000001</v>
      </c>
    </row>
    <row r="8010" spans="1:1" x14ac:dyDescent="0.25">
      <c r="A8010" s="56">
        <v>41002022.999999903</v>
      </c>
    </row>
    <row r="8011" spans="1:1" x14ac:dyDescent="0.25">
      <c r="A8011" s="56">
        <v>439869655.80000001</v>
      </c>
    </row>
    <row r="8012" spans="1:1" x14ac:dyDescent="0.25">
      <c r="A8012" s="56">
        <v>22936383</v>
      </c>
    </row>
    <row r="8013" spans="1:1" x14ac:dyDescent="0.25">
      <c r="A8013" s="56">
        <v>138081859</v>
      </c>
    </row>
    <row r="8014" spans="1:1" x14ac:dyDescent="0.25">
      <c r="A8014" s="56">
        <v>9547535.8000000007</v>
      </c>
    </row>
    <row r="8015" spans="1:1" x14ac:dyDescent="0.25">
      <c r="A8015" s="56">
        <v>42544672.700000003</v>
      </c>
    </row>
    <row r="8016" spans="1:1" x14ac:dyDescent="0.25">
      <c r="A8016" s="56">
        <v>22886496.5</v>
      </c>
    </row>
    <row r="8017" spans="1:1" x14ac:dyDescent="0.25">
      <c r="A8017" s="56">
        <v>8935879.8000000007</v>
      </c>
    </row>
    <row r="8018" spans="1:1" x14ac:dyDescent="0.25">
      <c r="A8018" s="56">
        <v>17536048.199999999</v>
      </c>
    </row>
    <row r="8019" spans="1:1" x14ac:dyDescent="0.25">
      <c r="A8019" s="56">
        <v>27504635.399999999</v>
      </c>
    </row>
    <row r="8020" spans="1:1" x14ac:dyDescent="0.25">
      <c r="A8020" s="56">
        <v>9347364.1999999899</v>
      </c>
    </row>
    <row r="8021" spans="1:1" x14ac:dyDescent="0.25">
      <c r="A8021" s="56">
        <v>119709944.8</v>
      </c>
    </row>
    <row r="8022" spans="1:1" x14ac:dyDescent="0.25">
      <c r="A8022" s="56">
        <v>41547415.200000003</v>
      </c>
    </row>
    <row r="8023" spans="1:1" x14ac:dyDescent="0.25">
      <c r="A8023" s="56">
        <v>0</v>
      </c>
    </row>
    <row r="8024" spans="1:1" x14ac:dyDescent="0.25">
      <c r="A8024" s="56">
        <v>167260107.59999999</v>
      </c>
    </row>
    <row r="8025" spans="1:1" x14ac:dyDescent="0.25">
      <c r="A8025" s="56">
        <v>6392974.4999999898</v>
      </c>
    </row>
    <row r="8026" spans="1:1" x14ac:dyDescent="0.25">
      <c r="A8026" s="56">
        <v>9664233.2999999896</v>
      </c>
    </row>
    <row r="8027" spans="1:1" x14ac:dyDescent="0.25">
      <c r="A8027" s="56">
        <v>24397419.800000001</v>
      </c>
    </row>
    <row r="8028" spans="1:1" x14ac:dyDescent="0.25">
      <c r="A8028" s="56">
        <v>178418493.30000001</v>
      </c>
    </row>
    <row r="8029" spans="1:1" x14ac:dyDescent="0.25">
      <c r="A8029" s="56">
        <v>17913440.899999999</v>
      </c>
    </row>
    <row r="8030" spans="1:1" x14ac:dyDescent="0.25">
      <c r="A8030" s="56">
        <v>25298163</v>
      </c>
    </row>
    <row r="8031" spans="1:1" x14ac:dyDescent="0.25">
      <c r="A8031" s="56">
        <v>53626821.200000003</v>
      </c>
    </row>
    <row r="8032" spans="1:1" x14ac:dyDescent="0.25">
      <c r="A8032" s="56">
        <v>17408366.399999999</v>
      </c>
    </row>
    <row r="8033" spans="1:1" x14ac:dyDescent="0.25">
      <c r="A8033" s="56">
        <v>69142286.799999997</v>
      </c>
    </row>
    <row r="8034" spans="1:1" x14ac:dyDescent="0.25">
      <c r="A8034" s="56">
        <v>5923997.7999999998</v>
      </c>
    </row>
    <row r="8035" spans="1:1" x14ac:dyDescent="0.25">
      <c r="A8035" s="56">
        <v>11868776.699999999</v>
      </c>
    </row>
    <row r="8036" spans="1:1" x14ac:dyDescent="0.25">
      <c r="A8036" s="56">
        <v>10737219.6</v>
      </c>
    </row>
    <row r="8037" spans="1:1" x14ac:dyDescent="0.25">
      <c r="A8037" s="56">
        <v>5867929.7999999998</v>
      </c>
    </row>
    <row r="8038" spans="1:1" x14ac:dyDescent="0.25">
      <c r="A8038" s="56">
        <v>0</v>
      </c>
    </row>
    <row r="8039" spans="1:1" x14ac:dyDescent="0.25">
      <c r="A8039" s="56">
        <v>17508504.399999999</v>
      </c>
    </row>
    <row r="8040" spans="1:1" x14ac:dyDescent="0.25">
      <c r="A8040" s="56">
        <v>69336861.599999994</v>
      </c>
    </row>
    <row r="8041" spans="1:1" x14ac:dyDescent="0.25">
      <c r="A8041" s="56">
        <v>38695287.799999997</v>
      </c>
    </row>
    <row r="8042" spans="1:1" x14ac:dyDescent="0.25">
      <c r="A8042" s="56">
        <v>115467634.59999999</v>
      </c>
    </row>
    <row r="8043" spans="1:1" x14ac:dyDescent="0.25">
      <c r="A8043" s="56">
        <v>51844661</v>
      </c>
    </row>
    <row r="8044" spans="1:1" x14ac:dyDescent="0.25">
      <c r="A8044" s="56">
        <v>5121908.8</v>
      </c>
    </row>
    <row r="8045" spans="1:1" x14ac:dyDescent="0.25">
      <c r="A8045" s="56">
        <v>0</v>
      </c>
    </row>
    <row r="8046" spans="1:1" x14ac:dyDescent="0.25">
      <c r="A8046" s="56">
        <v>43734381.999999903</v>
      </c>
    </row>
    <row r="8047" spans="1:1" x14ac:dyDescent="0.25">
      <c r="A8047" s="56">
        <v>159228415</v>
      </c>
    </row>
    <row r="8048" spans="1:1" x14ac:dyDescent="0.25">
      <c r="A8048" s="56">
        <v>113057713.09999999</v>
      </c>
    </row>
    <row r="8049" spans="1:1" x14ac:dyDescent="0.25">
      <c r="A8049" s="56">
        <v>110705404.40000001</v>
      </c>
    </row>
    <row r="8050" spans="1:1" x14ac:dyDescent="0.25">
      <c r="A8050" s="56">
        <v>218795436.40000001</v>
      </c>
    </row>
    <row r="8051" spans="1:1" x14ac:dyDescent="0.25">
      <c r="A8051" s="56">
        <v>8059669.5</v>
      </c>
    </row>
    <row r="8052" spans="1:1" x14ac:dyDescent="0.25">
      <c r="A8052" s="56">
        <v>71002279.799999997</v>
      </c>
    </row>
    <row r="8053" spans="1:1" x14ac:dyDescent="0.25">
      <c r="A8053" s="56">
        <v>22618983.5</v>
      </c>
    </row>
    <row r="8054" spans="1:1" x14ac:dyDescent="0.25">
      <c r="A8054" s="56">
        <v>6383473.5999999996</v>
      </c>
    </row>
    <row r="8055" spans="1:1" x14ac:dyDescent="0.25">
      <c r="A8055" s="56">
        <v>0</v>
      </c>
    </row>
    <row r="8056" spans="1:1" x14ac:dyDescent="0.25">
      <c r="A8056" s="56">
        <v>194472275.59999999</v>
      </c>
    </row>
    <row r="8057" spans="1:1" x14ac:dyDescent="0.25">
      <c r="A8057" s="56">
        <v>22694332.199999999</v>
      </c>
    </row>
    <row r="8058" spans="1:1" x14ac:dyDescent="0.25">
      <c r="A8058" s="56">
        <v>9902210.4000000004</v>
      </c>
    </row>
    <row r="8059" spans="1:1" x14ac:dyDescent="0.25">
      <c r="A8059" s="56">
        <v>0</v>
      </c>
    </row>
    <row r="8060" spans="1:1" x14ac:dyDescent="0.25">
      <c r="A8060" s="56">
        <v>116393832.40000001</v>
      </c>
    </row>
    <row r="8061" spans="1:1" x14ac:dyDescent="0.25">
      <c r="A8061" s="56">
        <v>20284608.5</v>
      </c>
    </row>
    <row r="8062" spans="1:1" x14ac:dyDescent="0.25">
      <c r="A8062" s="56">
        <v>0</v>
      </c>
    </row>
    <row r="8063" spans="1:1" x14ac:dyDescent="0.25">
      <c r="A8063" s="56">
        <v>315917623.30000001</v>
      </c>
    </row>
    <row r="8064" spans="1:1" x14ac:dyDescent="0.25">
      <c r="A8064" s="56">
        <v>0</v>
      </c>
    </row>
    <row r="8065" spans="1:1" x14ac:dyDescent="0.25">
      <c r="A8065" s="56">
        <v>97690428</v>
      </c>
    </row>
    <row r="8066" spans="1:1" x14ac:dyDescent="0.25">
      <c r="A8066" s="56">
        <v>332938004.10000002</v>
      </c>
    </row>
    <row r="8067" spans="1:1" x14ac:dyDescent="0.25">
      <c r="A8067" s="56">
        <v>9323108.7999999896</v>
      </c>
    </row>
    <row r="8068" spans="1:1" x14ac:dyDescent="0.25">
      <c r="A8068" s="56">
        <v>47660271.700000003</v>
      </c>
    </row>
    <row r="8069" spans="1:1" x14ac:dyDescent="0.25">
      <c r="A8069" s="56">
        <v>35241589.600000001</v>
      </c>
    </row>
    <row r="8070" spans="1:1" x14ac:dyDescent="0.25">
      <c r="A8070" s="56">
        <v>20425855</v>
      </c>
    </row>
    <row r="8071" spans="1:1" x14ac:dyDescent="0.25">
      <c r="A8071" s="56">
        <v>28505040</v>
      </c>
    </row>
    <row r="8072" spans="1:1" x14ac:dyDescent="0.25">
      <c r="A8072" s="56">
        <v>25554780.199999999</v>
      </c>
    </row>
    <row r="8073" spans="1:1" x14ac:dyDescent="0.25">
      <c r="A8073" s="56">
        <v>448449845.60000002</v>
      </c>
    </row>
    <row r="8074" spans="1:1" x14ac:dyDescent="0.25">
      <c r="A8074" s="56">
        <v>33484657.899999999</v>
      </c>
    </row>
    <row r="8075" spans="1:1" x14ac:dyDescent="0.25">
      <c r="A8075" s="56">
        <v>0</v>
      </c>
    </row>
    <row r="8076" spans="1:1" x14ac:dyDescent="0.25">
      <c r="A8076" s="56">
        <v>9965395.9000000004</v>
      </c>
    </row>
    <row r="8077" spans="1:1" x14ac:dyDescent="0.25">
      <c r="A8077" s="56">
        <v>304357387.39999998</v>
      </c>
    </row>
    <row r="8078" spans="1:1" x14ac:dyDescent="0.25">
      <c r="A8078" s="56">
        <v>53895760.399999999</v>
      </c>
    </row>
    <row r="8079" spans="1:1" x14ac:dyDescent="0.25">
      <c r="A8079" s="56">
        <v>73191022.599999905</v>
      </c>
    </row>
    <row r="8080" spans="1:1" x14ac:dyDescent="0.25">
      <c r="A8080" s="56">
        <v>117407900.90000001</v>
      </c>
    </row>
    <row r="8081" spans="1:1" x14ac:dyDescent="0.25">
      <c r="A8081" s="56">
        <v>0</v>
      </c>
    </row>
    <row r="8082" spans="1:1" x14ac:dyDescent="0.25">
      <c r="A8082" s="56">
        <v>45091639.5</v>
      </c>
    </row>
    <row r="8083" spans="1:1" x14ac:dyDescent="0.25">
      <c r="A8083" s="56">
        <v>227016000.30000001</v>
      </c>
    </row>
    <row r="8084" spans="1:1" x14ac:dyDescent="0.25">
      <c r="A8084" s="56">
        <v>2126388.6</v>
      </c>
    </row>
    <row r="8085" spans="1:1" x14ac:dyDescent="0.25">
      <c r="A8085" s="56">
        <v>636500353.5</v>
      </c>
    </row>
    <row r="8086" spans="1:1" x14ac:dyDescent="0.25">
      <c r="A8086" s="56">
        <v>19824283.199999999</v>
      </c>
    </row>
    <row r="8087" spans="1:1" x14ac:dyDescent="0.25">
      <c r="A8087" s="56">
        <v>53892828.700000003</v>
      </c>
    </row>
    <row r="8088" spans="1:1" x14ac:dyDescent="0.25">
      <c r="A8088" s="56">
        <v>41158357.399999999</v>
      </c>
    </row>
    <row r="8089" spans="1:1" x14ac:dyDescent="0.25">
      <c r="A8089" s="56">
        <v>66620668.899999999</v>
      </c>
    </row>
    <row r="8090" spans="1:1" x14ac:dyDescent="0.25">
      <c r="A8090" s="56">
        <v>89954702.099999905</v>
      </c>
    </row>
    <row r="8091" spans="1:1" x14ac:dyDescent="0.25">
      <c r="A8091" s="56">
        <v>382345.6</v>
      </c>
    </row>
    <row r="8092" spans="1:1" x14ac:dyDescent="0.25">
      <c r="A8092" s="56">
        <v>27656912.699999999</v>
      </c>
    </row>
    <row r="8093" spans="1:1" x14ac:dyDescent="0.25">
      <c r="A8093" s="56">
        <v>0</v>
      </c>
    </row>
    <row r="8094" spans="1:1" x14ac:dyDescent="0.25">
      <c r="A8094" s="56">
        <v>38612939.5</v>
      </c>
    </row>
    <row r="8095" spans="1:1" x14ac:dyDescent="0.25">
      <c r="A8095" s="56">
        <v>13732237.4</v>
      </c>
    </row>
    <row r="8096" spans="1:1" x14ac:dyDescent="0.25">
      <c r="A8096" s="56">
        <v>17140658.699999999</v>
      </c>
    </row>
    <row r="8097" spans="1:1" x14ac:dyDescent="0.25">
      <c r="A8097" s="56">
        <v>28307664.100000001</v>
      </c>
    </row>
    <row r="8098" spans="1:1" x14ac:dyDescent="0.25">
      <c r="A8098" s="56">
        <v>8375590.5999999996</v>
      </c>
    </row>
    <row r="8099" spans="1:1" x14ac:dyDescent="0.25">
      <c r="A8099" s="56">
        <v>0</v>
      </c>
    </row>
    <row r="8100" spans="1:1" x14ac:dyDescent="0.25">
      <c r="A8100" s="56">
        <v>0</v>
      </c>
    </row>
    <row r="8101" spans="1:1" x14ac:dyDescent="0.25">
      <c r="A8101" s="56">
        <v>5120446.4000000004</v>
      </c>
    </row>
    <row r="8102" spans="1:1" x14ac:dyDescent="0.25">
      <c r="A8102" s="56">
        <v>0</v>
      </c>
    </row>
    <row r="8103" spans="1:1" x14ac:dyDescent="0.25">
      <c r="A8103" s="56">
        <v>25874536.100000001</v>
      </c>
    </row>
    <row r="8104" spans="1:1" x14ac:dyDescent="0.25">
      <c r="A8104" s="56">
        <v>46404027.799999997</v>
      </c>
    </row>
    <row r="8105" spans="1:1" x14ac:dyDescent="0.25">
      <c r="A8105" s="56">
        <v>4144567.8</v>
      </c>
    </row>
    <row r="8106" spans="1:1" x14ac:dyDescent="0.25">
      <c r="A8106" s="56">
        <v>2649079.7999999998</v>
      </c>
    </row>
    <row r="8107" spans="1:1" x14ac:dyDescent="0.25">
      <c r="A8107" s="56">
        <v>50011720</v>
      </c>
    </row>
    <row r="8108" spans="1:1" x14ac:dyDescent="0.25">
      <c r="A8108" s="56">
        <v>13342945</v>
      </c>
    </row>
    <row r="8109" spans="1:1" x14ac:dyDescent="0.25">
      <c r="A8109" s="56">
        <v>744382</v>
      </c>
    </row>
    <row r="8110" spans="1:1" x14ac:dyDescent="0.25">
      <c r="A8110" s="56">
        <v>7553115.5999999996</v>
      </c>
    </row>
    <row r="8111" spans="1:1" x14ac:dyDescent="0.25">
      <c r="A8111" s="56">
        <v>0</v>
      </c>
    </row>
    <row r="8112" spans="1:1" x14ac:dyDescent="0.25">
      <c r="A8112" s="56">
        <v>182434812.5</v>
      </c>
    </row>
    <row r="8113" spans="1:1" x14ac:dyDescent="0.25">
      <c r="A8113" s="56">
        <v>98451527.299999893</v>
      </c>
    </row>
    <row r="8114" spans="1:1" x14ac:dyDescent="0.25">
      <c r="A8114" s="56">
        <v>267832974.09999999</v>
      </c>
    </row>
    <row r="8115" spans="1:1" x14ac:dyDescent="0.25">
      <c r="A8115" s="56">
        <v>45220364</v>
      </c>
    </row>
    <row r="8116" spans="1:1" x14ac:dyDescent="0.25">
      <c r="A8116" s="56">
        <v>582672633.19999897</v>
      </c>
    </row>
    <row r="8117" spans="1:1" x14ac:dyDescent="0.25">
      <c r="A8117" s="56">
        <v>10605681.6</v>
      </c>
    </row>
    <row r="8118" spans="1:1" x14ac:dyDescent="0.25">
      <c r="A8118" s="56">
        <v>31664939.800000001</v>
      </c>
    </row>
    <row r="8119" spans="1:1" x14ac:dyDescent="0.25">
      <c r="A8119" s="56">
        <v>94608279.599999905</v>
      </c>
    </row>
    <row r="8120" spans="1:1" x14ac:dyDescent="0.25">
      <c r="A8120" s="56">
        <v>382692735.59999901</v>
      </c>
    </row>
    <row r="8121" spans="1:1" x14ac:dyDescent="0.25">
      <c r="A8121" s="56">
        <v>551157054.20000005</v>
      </c>
    </row>
    <row r="8122" spans="1:1" x14ac:dyDescent="0.25">
      <c r="A8122" s="56">
        <v>45132974.899999999</v>
      </c>
    </row>
    <row r="8123" spans="1:1" x14ac:dyDescent="0.25">
      <c r="A8123" s="56">
        <v>10922684.199999999</v>
      </c>
    </row>
    <row r="8124" spans="1:1" x14ac:dyDescent="0.25">
      <c r="A8124" s="56">
        <v>135790673.09999999</v>
      </c>
    </row>
    <row r="8125" spans="1:1" x14ac:dyDescent="0.25">
      <c r="A8125" s="56">
        <v>6391711.8999999901</v>
      </c>
    </row>
    <row r="8126" spans="1:1" x14ac:dyDescent="0.25">
      <c r="A8126" s="56">
        <v>12069605.1</v>
      </c>
    </row>
    <row r="8127" spans="1:1" x14ac:dyDescent="0.25">
      <c r="A8127" s="56">
        <v>125232560.8</v>
      </c>
    </row>
    <row r="8128" spans="1:1" x14ac:dyDescent="0.25">
      <c r="A8128" s="56">
        <v>39442908.700000003</v>
      </c>
    </row>
    <row r="8129" spans="1:1" x14ac:dyDescent="0.25">
      <c r="A8129" s="56">
        <v>10220961.4</v>
      </c>
    </row>
    <row r="8130" spans="1:1" x14ac:dyDescent="0.25">
      <c r="A8130" s="56">
        <v>0</v>
      </c>
    </row>
    <row r="8131" spans="1:1" x14ac:dyDescent="0.25">
      <c r="A8131" s="56">
        <v>9412088.8999999892</v>
      </c>
    </row>
    <row r="8132" spans="1:1" x14ac:dyDescent="0.25">
      <c r="A8132" s="56">
        <v>6879861.7999999998</v>
      </c>
    </row>
    <row r="8133" spans="1:1" x14ac:dyDescent="0.25">
      <c r="A8133" s="56">
        <v>1654731.6</v>
      </c>
    </row>
    <row r="8134" spans="1:1" x14ac:dyDescent="0.25">
      <c r="A8134" s="56">
        <v>25770150.800000001</v>
      </c>
    </row>
    <row r="8135" spans="1:1" x14ac:dyDescent="0.25">
      <c r="A8135" s="56">
        <v>17262843.699999999</v>
      </c>
    </row>
    <row r="8136" spans="1:1" x14ac:dyDescent="0.25">
      <c r="A8136" s="56">
        <v>38885413</v>
      </c>
    </row>
    <row r="8137" spans="1:1" x14ac:dyDescent="0.25">
      <c r="A8137" s="56">
        <v>83540247.799999893</v>
      </c>
    </row>
    <row r="8138" spans="1:1" x14ac:dyDescent="0.25">
      <c r="A8138" s="56">
        <v>127686137.09999999</v>
      </c>
    </row>
    <row r="8139" spans="1:1" x14ac:dyDescent="0.25">
      <c r="A8139" s="56">
        <v>255123.6</v>
      </c>
    </row>
    <row r="8140" spans="1:1" x14ac:dyDescent="0.25">
      <c r="A8140" s="56">
        <v>8963967</v>
      </c>
    </row>
    <row r="8141" spans="1:1" x14ac:dyDescent="0.25">
      <c r="A8141" s="56">
        <v>31767867.600000001</v>
      </c>
    </row>
    <row r="8142" spans="1:1" x14ac:dyDescent="0.25">
      <c r="A8142" s="56">
        <v>216785448.30000001</v>
      </c>
    </row>
    <row r="8143" spans="1:1" x14ac:dyDescent="0.25">
      <c r="A8143" s="56">
        <v>80557797.199999899</v>
      </c>
    </row>
    <row r="8144" spans="1:1" x14ac:dyDescent="0.25">
      <c r="A8144" s="56">
        <v>190464045.69999999</v>
      </c>
    </row>
    <row r="8145" spans="1:1" x14ac:dyDescent="0.25">
      <c r="A8145" s="56">
        <v>21494689.600000001</v>
      </c>
    </row>
    <row r="8146" spans="1:1" x14ac:dyDescent="0.25">
      <c r="A8146" s="56">
        <v>101672142.7</v>
      </c>
    </row>
    <row r="8147" spans="1:1" x14ac:dyDescent="0.25">
      <c r="A8147" s="56">
        <v>54562316.099999897</v>
      </c>
    </row>
    <row r="8148" spans="1:1" x14ac:dyDescent="0.25">
      <c r="A8148" s="56">
        <v>44511821.799999997</v>
      </c>
    </row>
    <row r="8149" spans="1:1" x14ac:dyDescent="0.25">
      <c r="A8149" s="56">
        <v>52623776.200000003</v>
      </c>
    </row>
    <row r="8150" spans="1:1" x14ac:dyDescent="0.25">
      <c r="A8150" s="56">
        <v>47372669.899999999</v>
      </c>
    </row>
    <row r="8151" spans="1:1" x14ac:dyDescent="0.25">
      <c r="A8151" s="56">
        <v>12343051</v>
      </c>
    </row>
    <row r="8152" spans="1:1" x14ac:dyDescent="0.25">
      <c r="A8152" s="56">
        <v>25533110.5</v>
      </c>
    </row>
    <row r="8153" spans="1:1" x14ac:dyDescent="0.25">
      <c r="A8153" s="56">
        <v>0</v>
      </c>
    </row>
    <row r="8154" spans="1:1" x14ac:dyDescent="0.25">
      <c r="A8154" s="56">
        <v>0</v>
      </c>
    </row>
    <row r="8155" spans="1:1" x14ac:dyDescent="0.25">
      <c r="A8155" s="56">
        <v>35583749.299999997</v>
      </c>
    </row>
    <row r="8156" spans="1:1" x14ac:dyDescent="0.25">
      <c r="A8156" s="56">
        <v>490363052.89999998</v>
      </c>
    </row>
    <row r="8157" spans="1:1" x14ac:dyDescent="0.25">
      <c r="A8157" s="56">
        <v>1013988</v>
      </c>
    </row>
    <row r="8158" spans="1:1" x14ac:dyDescent="0.25">
      <c r="A8158" s="56">
        <v>74441710.299999997</v>
      </c>
    </row>
    <row r="8159" spans="1:1" x14ac:dyDescent="0.25">
      <c r="A8159" s="56">
        <v>15499106</v>
      </c>
    </row>
    <row r="8160" spans="1:1" x14ac:dyDescent="0.25">
      <c r="A8160" s="56">
        <v>273142746.80000001</v>
      </c>
    </row>
    <row r="8161" spans="1:1" x14ac:dyDescent="0.25">
      <c r="A8161" s="56">
        <v>28053355</v>
      </c>
    </row>
    <row r="8162" spans="1:1" x14ac:dyDescent="0.25">
      <c r="A8162" s="56">
        <v>88899388.200000003</v>
      </c>
    </row>
    <row r="8163" spans="1:1" x14ac:dyDescent="0.25">
      <c r="A8163" s="56">
        <v>48084372.299999997</v>
      </c>
    </row>
    <row r="8164" spans="1:1" x14ac:dyDescent="0.25">
      <c r="A8164" s="56">
        <v>40197266</v>
      </c>
    </row>
    <row r="8165" spans="1:1" x14ac:dyDescent="0.25">
      <c r="A8165" s="56">
        <v>7090933</v>
      </c>
    </row>
    <row r="8166" spans="1:1" x14ac:dyDescent="0.25">
      <c r="A8166" s="56">
        <v>507396</v>
      </c>
    </row>
    <row r="8167" spans="1:1" x14ac:dyDescent="0.25">
      <c r="A8167" s="56">
        <v>50906384.5</v>
      </c>
    </row>
    <row r="8168" spans="1:1" x14ac:dyDescent="0.25">
      <c r="A8168" s="56">
        <v>6328389.1999999899</v>
      </c>
    </row>
    <row r="8169" spans="1:1" x14ac:dyDescent="0.25">
      <c r="A8169" s="56">
        <v>6804188.2999999998</v>
      </c>
    </row>
    <row r="8170" spans="1:1" x14ac:dyDescent="0.25">
      <c r="A8170" s="56">
        <v>48731432.899999999</v>
      </c>
    </row>
    <row r="8171" spans="1:1" x14ac:dyDescent="0.25">
      <c r="A8171" s="56">
        <v>95673818</v>
      </c>
    </row>
    <row r="8172" spans="1:1" x14ac:dyDescent="0.25">
      <c r="A8172" s="56">
        <v>0</v>
      </c>
    </row>
    <row r="8173" spans="1:1" x14ac:dyDescent="0.25">
      <c r="A8173" s="56">
        <v>82062626.599999905</v>
      </c>
    </row>
    <row r="8174" spans="1:1" x14ac:dyDescent="0.25">
      <c r="A8174" s="56">
        <v>83078120</v>
      </c>
    </row>
    <row r="8175" spans="1:1" x14ac:dyDescent="0.25">
      <c r="A8175" s="56">
        <v>82938769.599999905</v>
      </c>
    </row>
    <row r="8176" spans="1:1" x14ac:dyDescent="0.25">
      <c r="A8176" s="56">
        <v>0</v>
      </c>
    </row>
    <row r="8177" spans="1:1" x14ac:dyDescent="0.25">
      <c r="A8177" s="56">
        <v>29706987.300000001</v>
      </c>
    </row>
    <row r="8178" spans="1:1" x14ac:dyDescent="0.25">
      <c r="A8178" s="56">
        <v>30577948.399999999</v>
      </c>
    </row>
    <row r="8179" spans="1:1" x14ac:dyDescent="0.25">
      <c r="A8179" s="56">
        <v>234498612.69999999</v>
      </c>
    </row>
    <row r="8180" spans="1:1" x14ac:dyDescent="0.25">
      <c r="A8180" s="56">
        <v>57655457.999999903</v>
      </c>
    </row>
    <row r="8181" spans="1:1" x14ac:dyDescent="0.25">
      <c r="A8181" s="56">
        <v>62869491.899999999</v>
      </c>
    </row>
    <row r="8182" spans="1:1" x14ac:dyDescent="0.25">
      <c r="A8182" s="56">
        <v>31582357.600000001</v>
      </c>
    </row>
    <row r="8183" spans="1:1" x14ac:dyDescent="0.25">
      <c r="A8183" s="56">
        <v>326493495.5</v>
      </c>
    </row>
    <row r="8184" spans="1:1" x14ac:dyDescent="0.25">
      <c r="A8184" s="56">
        <v>0</v>
      </c>
    </row>
    <row r="8185" spans="1:1" x14ac:dyDescent="0.25">
      <c r="A8185" s="56">
        <v>98271710.599999905</v>
      </c>
    </row>
    <row r="8186" spans="1:1" x14ac:dyDescent="0.25">
      <c r="A8186" s="56">
        <v>9142922.5999999996</v>
      </c>
    </row>
    <row r="8187" spans="1:1" x14ac:dyDescent="0.25">
      <c r="A8187" s="56">
        <v>26813115.399999999</v>
      </c>
    </row>
    <row r="8188" spans="1:1" x14ac:dyDescent="0.25">
      <c r="A8188" s="56">
        <v>220003762.40000001</v>
      </c>
    </row>
    <row r="8189" spans="1:1" x14ac:dyDescent="0.25">
      <c r="A8189" s="56">
        <v>123713578.3</v>
      </c>
    </row>
    <row r="8190" spans="1:1" x14ac:dyDescent="0.25">
      <c r="A8190" s="56">
        <v>0</v>
      </c>
    </row>
    <row r="8191" spans="1:1" x14ac:dyDescent="0.25">
      <c r="A8191" s="56">
        <v>3658479.6</v>
      </c>
    </row>
    <row r="8192" spans="1:1" x14ac:dyDescent="0.25">
      <c r="A8192" s="56">
        <v>0</v>
      </c>
    </row>
    <row r="8193" spans="1:1" x14ac:dyDescent="0.25">
      <c r="A8193" s="56">
        <v>17954076.5</v>
      </c>
    </row>
    <row r="8194" spans="1:1" x14ac:dyDescent="0.25">
      <c r="A8194" s="56">
        <v>6659077.2999999998</v>
      </c>
    </row>
    <row r="8195" spans="1:1" x14ac:dyDescent="0.25">
      <c r="A8195" s="56">
        <v>31963165.100000001</v>
      </c>
    </row>
    <row r="8196" spans="1:1" x14ac:dyDescent="0.25">
      <c r="A8196" s="56">
        <v>0</v>
      </c>
    </row>
    <row r="8197" spans="1:1" x14ac:dyDescent="0.25">
      <c r="A8197" s="56">
        <v>30472339.399999999</v>
      </c>
    </row>
    <row r="8198" spans="1:1" x14ac:dyDescent="0.25">
      <c r="A8198" s="56">
        <v>0</v>
      </c>
    </row>
    <row r="8199" spans="1:1" x14ac:dyDescent="0.25">
      <c r="A8199" s="56">
        <v>393006169.39999998</v>
      </c>
    </row>
    <row r="8200" spans="1:1" x14ac:dyDescent="0.25">
      <c r="A8200" s="56">
        <v>377972520.10000002</v>
      </c>
    </row>
    <row r="8201" spans="1:1" x14ac:dyDescent="0.25">
      <c r="A8201" s="56">
        <v>0</v>
      </c>
    </row>
    <row r="8202" spans="1:1" x14ac:dyDescent="0.25">
      <c r="A8202" s="56">
        <v>11729807</v>
      </c>
    </row>
    <row r="8203" spans="1:1" x14ac:dyDescent="0.25">
      <c r="A8203" s="56">
        <v>235475890.59999999</v>
      </c>
    </row>
    <row r="8204" spans="1:1" x14ac:dyDescent="0.25">
      <c r="A8204" s="56">
        <v>40719543.899999999</v>
      </c>
    </row>
    <row r="8205" spans="1:1" x14ac:dyDescent="0.25">
      <c r="A8205" s="56">
        <v>47243272.399999999</v>
      </c>
    </row>
    <row r="8206" spans="1:1" x14ac:dyDescent="0.25">
      <c r="A8206" s="56">
        <v>58284413.200000003</v>
      </c>
    </row>
    <row r="8207" spans="1:1" x14ac:dyDescent="0.25">
      <c r="A8207" s="56">
        <v>124678624.40000001</v>
      </c>
    </row>
    <row r="8208" spans="1:1" x14ac:dyDescent="0.25">
      <c r="A8208" s="56">
        <v>26413284.199999999</v>
      </c>
    </row>
    <row r="8209" spans="1:1" x14ac:dyDescent="0.25">
      <c r="A8209" s="56">
        <v>20347673.100000001</v>
      </c>
    </row>
    <row r="8210" spans="1:1" x14ac:dyDescent="0.25">
      <c r="A8210" s="56">
        <v>113209320.40000001</v>
      </c>
    </row>
    <row r="8211" spans="1:1" x14ac:dyDescent="0.25">
      <c r="A8211" s="56">
        <v>11591219.199999999</v>
      </c>
    </row>
    <row r="8212" spans="1:1" x14ac:dyDescent="0.25">
      <c r="A8212" s="56">
        <v>0</v>
      </c>
    </row>
    <row r="8213" spans="1:1" x14ac:dyDescent="0.25">
      <c r="A8213" s="56">
        <v>17680555.800000001</v>
      </c>
    </row>
    <row r="8214" spans="1:1" x14ac:dyDescent="0.25">
      <c r="A8214" s="56">
        <v>43042350.799999997</v>
      </c>
    </row>
    <row r="8215" spans="1:1" x14ac:dyDescent="0.25">
      <c r="A8215" s="56">
        <v>107168313.3</v>
      </c>
    </row>
    <row r="8216" spans="1:1" x14ac:dyDescent="0.25">
      <c r="A8216" s="56">
        <v>5727893.4000000004</v>
      </c>
    </row>
    <row r="8217" spans="1:1" x14ac:dyDescent="0.25">
      <c r="A8217" s="56">
        <v>0</v>
      </c>
    </row>
    <row r="8218" spans="1:1" x14ac:dyDescent="0.25">
      <c r="A8218" s="56">
        <v>5069139.2</v>
      </c>
    </row>
    <row r="8219" spans="1:1" x14ac:dyDescent="0.25">
      <c r="A8219" s="56">
        <v>145985019.30000001</v>
      </c>
    </row>
    <row r="8220" spans="1:1" x14ac:dyDescent="0.25">
      <c r="A8220" s="56">
        <v>10380119.1</v>
      </c>
    </row>
    <row r="8221" spans="1:1" x14ac:dyDescent="0.25">
      <c r="A8221" s="56">
        <v>83206800.099999905</v>
      </c>
    </row>
    <row r="8222" spans="1:1" x14ac:dyDescent="0.25">
      <c r="A8222" s="56">
        <v>63202283.599999897</v>
      </c>
    </row>
    <row r="8223" spans="1:1" x14ac:dyDescent="0.25">
      <c r="A8223" s="56">
        <v>0</v>
      </c>
    </row>
    <row r="8224" spans="1:1" x14ac:dyDescent="0.25">
      <c r="A8224" s="56">
        <v>12063059.699999999</v>
      </c>
    </row>
    <row r="8225" spans="1:1" x14ac:dyDescent="0.25">
      <c r="A8225" s="56">
        <v>55977165.200000003</v>
      </c>
    </row>
    <row r="8226" spans="1:1" x14ac:dyDescent="0.25">
      <c r="A8226" s="56">
        <v>8293681.2999999896</v>
      </c>
    </row>
    <row r="8227" spans="1:1" x14ac:dyDescent="0.25">
      <c r="A8227" s="56">
        <v>16087873.800000001</v>
      </c>
    </row>
    <row r="8228" spans="1:1" x14ac:dyDescent="0.25">
      <c r="A8228" s="56">
        <v>38592234.899999999</v>
      </c>
    </row>
    <row r="8229" spans="1:1" x14ac:dyDescent="0.25">
      <c r="A8229" s="56">
        <v>43028659.200000003</v>
      </c>
    </row>
    <row r="8230" spans="1:1" x14ac:dyDescent="0.25">
      <c r="A8230" s="56">
        <v>3025894.2</v>
      </c>
    </row>
    <row r="8231" spans="1:1" x14ac:dyDescent="0.25">
      <c r="A8231" s="56">
        <v>17988379.300000001</v>
      </c>
    </row>
    <row r="8232" spans="1:1" x14ac:dyDescent="0.25">
      <c r="A8232" s="56">
        <v>19916667.5</v>
      </c>
    </row>
    <row r="8233" spans="1:1" x14ac:dyDescent="0.25">
      <c r="A8233" s="56">
        <v>130709912.09999999</v>
      </c>
    </row>
    <row r="8234" spans="1:1" x14ac:dyDescent="0.25">
      <c r="A8234" s="56">
        <v>10436613.699999999</v>
      </c>
    </row>
    <row r="8235" spans="1:1" x14ac:dyDescent="0.25">
      <c r="A8235" s="56">
        <v>8421411.8999999892</v>
      </c>
    </row>
    <row r="8236" spans="1:1" x14ac:dyDescent="0.25">
      <c r="A8236" s="56">
        <v>3784665.6</v>
      </c>
    </row>
    <row r="8237" spans="1:1" x14ac:dyDescent="0.25">
      <c r="A8237" s="56">
        <v>5051876</v>
      </c>
    </row>
    <row r="8238" spans="1:1" x14ac:dyDescent="0.25">
      <c r="A8238" s="56">
        <v>9169154.6999999899</v>
      </c>
    </row>
    <row r="8239" spans="1:1" x14ac:dyDescent="0.25">
      <c r="A8239" s="56">
        <v>30582799.399999902</v>
      </c>
    </row>
    <row r="8240" spans="1:1" x14ac:dyDescent="0.25">
      <c r="A8240" s="56">
        <v>23153205.5</v>
      </c>
    </row>
    <row r="8241" spans="1:1" x14ac:dyDescent="0.25">
      <c r="A8241" s="56">
        <v>51694830.899999999</v>
      </c>
    </row>
    <row r="8242" spans="1:1" x14ac:dyDescent="0.25">
      <c r="A8242" s="56">
        <v>51492722.399999902</v>
      </c>
    </row>
    <row r="8243" spans="1:1" x14ac:dyDescent="0.25">
      <c r="A8243" s="56">
        <v>63972601.399999999</v>
      </c>
    </row>
    <row r="8244" spans="1:1" x14ac:dyDescent="0.25">
      <c r="A8244" s="56">
        <v>279006471.89999998</v>
      </c>
    </row>
    <row r="8245" spans="1:1" x14ac:dyDescent="0.25">
      <c r="A8245" s="56">
        <v>2876734.8</v>
      </c>
    </row>
    <row r="8246" spans="1:1" x14ac:dyDescent="0.25">
      <c r="A8246" s="56">
        <v>13009879.199999999</v>
      </c>
    </row>
    <row r="8247" spans="1:1" x14ac:dyDescent="0.25">
      <c r="A8247" s="56">
        <v>113852166.5</v>
      </c>
    </row>
    <row r="8248" spans="1:1" x14ac:dyDescent="0.25">
      <c r="A8248" s="56">
        <v>62526529.5</v>
      </c>
    </row>
    <row r="8249" spans="1:1" x14ac:dyDescent="0.25">
      <c r="A8249" s="56">
        <v>163533224</v>
      </c>
    </row>
    <row r="8250" spans="1:1" x14ac:dyDescent="0.25">
      <c r="A8250" s="56">
        <v>3850972.2</v>
      </c>
    </row>
    <row r="8251" spans="1:1" x14ac:dyDescent="0.25">
      <c r="A8251" s="56">
        <v>25544002.300000001</v>
      </c>
    </row>
    <row r="8252" spans="1:1" x14ac:dyDescent="0.25">
      <c r="A8252" s="56">
        <v>0</v>
      </c>
    </row>
    <row r="8253" spans="1:1" x14ac:dyDescent="0.25">
      <c r="A8253" s="56">
        <v>92525572.199999899</v>
      </c>
    </row>
    <row r="8254" spans="1:1" x14ac:dyDescent="0.25">
      <c r="A8254" s="56">
        <v>39581359.799999997</v>
      </c>
    </row>
    <row r="8255" spans="1:1" x14ac:dyDescent="0.25">
      <c r="A8255" s="56">
        <v>670625621.59999895</v>
      </c>
    </row>
    <row r="8256" spans="1:1" x14ac:dyDescent="0.25">
      <c r="A8256" s="56">
        <v>5683755.6999999899</v>
      </c>
    </row>
    <row r="8257" spans="1:1" x14ac:dyDescent="0.25">
      <c r="A8257" s="56">
        <v>0</v>
      </c>
    </row>
    <row r="8258" spans="1:1" x14ac:dyDescent="0.25">
      <c r="A8258" s="56">
        <v>168059497.40000001</v>
      </c>
    </row>
    <row r="8259" spans="1:1" x14ac:dyDescent="0.25">
      <c r="A8259" s="56">
        <v>22015412.699999999</v>
      </c>
    </row>
    <row r="8260" spans="1:1" x14ac:dyDescent="0.25">
      <c r="A8260" s="56">
        <v>6651605.7999999998</v>
      </c>
    </row>
    <row r="8261" spans="1:1" x14ac:dyDescent="0.25">
      <c r="A8261" s="56">
        <v>9790003.1999999899</v>
      </c>
    </row>
    <row r="8262" spans="1:1" x14ac:dyDescent="0.25">
      <c r="A8262" s="56">
        <v>1107876</v>
      </c>
    </row>
    <row r="8263" spans="1:1" x14ac:dyDescent="0.25">
      <c r="A8263" s="56">
        <v>23957490.600000001</v>
      </c>
    </row>
    <row r="8264" spans="1:1" x14ac:dyDescent="0.25">
      <c r="A8264" s="56">
        <v>83877970.299999997</v>
      </c>
    </row>
    <row r="8265" spans="1:1" x14ac:dyDescent="0.25">
      <c r="A8265" s="56">
        <v>126262818.40000001</v>
      </c>
    </row>
    <row r="8266" spans="1:1" x14ac:dyDescent="0.25">
      <c r="A8266" s="56">
        <v>108040246.90000001</v>
      </c>
    </row>
    <row r="8267" spans="1:1" x14ac:dyDescent="0.25">
      <c r="A8267" s="56">
        <v>382345.6</v>
      </c>
    </row>
    <row r="8268" spans="1:1" x14ac:dyDescent="0.25">
      <c r="A8268" s="56">
        <v>53915592.700000003</v>
      </c>
    </row>
    <row r="8269" spans="1:1" x14ac:dyDescent="0.25">
      <c r="A8269" s="56">
        <v>119262942.3</v>
      </c>
    </row>
    <row r="8270" spans="1:1" x14ac:dyDescent="0.25">
      <c r="A8270" s="56">
        <v>5606111.6999999899</v>
      </c>
    </row>
    <row r="8271" spans="1:1" x14ac:dyDescent="0.25">
      <c r="A8271" s="56">
        <v>49084612.600000001</v>
      </c>
    </row>
    <row r="8272" spans="1:1" x14ac:dyDescent="0.25">
      <c r="A8272" s="56">
        <v>27774681.199999999</v>
      </c>
    </row>
    <row r="8273" spans="1:1" x14ac:dyDescent="0.25">
      <c r="A8273" s="56">
        <v>0</v>
      </c>
    </row>
    <row r="8274" spans="1:1" x14ac:dyDescent="0.25">
      <c r="A8274" s="56">
        <v>52076349</v>
      </c>
    </row>
    <row r="8275" spans="1:1" x14ac:dyDescent="0.25">
      <c r="A8275" s="56">
        <v>5792287.1999999899</v>
      </c>
    </row>
    <row r="8276" spans="1:1" x14ac:dyDescent="0.25">
      <c r="A8276" s="56">
        <v>29318782.300000001</v>
      </c>
    </row>
    <row r="8277" spans="1:1" x14ac:dyDescent="0.25">
      <c r="A8277" s="56">
        <v>124786121.2</v>
      </c>
    </row>
    <row r="8278" spans="1:1" x14ac:dyDescent="0.25">
      <c r="A8278" s="56">
        <v>403423015.69999999</v>
      </c>
    </row>
    <row r="8279" spans="1:1" x14ac:dyDescent="0.25">
      <c r="A8279" s="56">
        <v>0</v>
      </c>
    </row>
    <row r="8280" spans="1:1" x14ac:dyDescent="0.25">
      <c r="A8280" s="56">
        <v>1948908.6</v>
      </c>
    </row>
    <row r="8281" spans="1:1" x14ac:dyDescent="0.25">
      <c r="A8281" s="56">
        <v>5033965.3</v>
      </c>
    </row>
    <row r="8282" spans="1:1" x14ac:dyDescent="0.25">
      <c r="A8282" s="56">
        <v>0</v>
      </c>
    </row>
    <row r="8283" spans="1:1" x14ac:dyDescent="0.25">
      <c r="A8283" s="56">
        <v>7319708.5</v>
      </c>
    </row>
    <row r="8284" spans="1:1" x14ac:dyDescent="0.25">
      <c r="A8284" s="56">
        <v>252593496.80000001</v>
      </c>
    </row>
    <row r="8285" spans="1:1" x14ac:dyDescent="0.25">
      <c r="A8285" s="56">
        <v>0</v>
      </c>
    </row>
    <row r="8286" spans="1:1" x14ac:dyDescent="0.25">
      <c r="A8286" s="56">
        <v>6946195.1999999899</v>
      </c>
    </row>
    <row r="8287" spans="1:1" x14ac:dyDescent="0.25">
      <c r="A8287" s="56">
        <v>18470870.600000001</v>
      </c>
    </row>
    <row r="8288" spans="1:1" x14ac:dyDescent="0.25">
      <c r="A8288" s="56">
        <v>112142162.09999999</v>
      </c>
    </row>
    <row r="8289" spans="1:1" x14ac:dyDescent="0.25">
      <c r="A8289" s="56">
        <v>40744835.200000003</v>
      </c>
    </row>
    <row r="8290" spans="1:1" x14ac:dyDescent="0.25">
      <c r="A8290" s="56">
        <v>21669985.600000001</v>
      </c>
    </row>
    <row r="8291" spans="1:1" x14ac:dyDescent="0.25">
      <c r="A8291" s="56">
        <v>5683755.6999999899</v>
      </c>
    </row>
    <row r="8292" spans="1:1" x14ac:dyDescent="0.25">
      <c r="A8292" s="56">
        <v>12926187.6</v>
      </c>
    </row>
    <row r="8293" spans="1:1" x14ac:dyDescent="0.25">
      <c r="A8293" s="56">
        <v>26388822.899999999</v>
      </c>
    </row>
    <row r="8294" spans="1:1" x14ac:dyDescent="0.25">
      <c r="A8294" s="56">
        <v>4415487</v>
      </c>
    </row>
    <row r="8295" spans="1:1" x14ac:dyDescent="0.25">
      <c r="A8295" s="56">
        <v>5053431.8</v>
      </c>
    </row>
    <row r="8296" spans="1:1" x14ac:dyDescent="0.25">
      <c r="A8296" s="56">
        <v>0</v>
      </c>
    </row>
    <row r="8297" spans="1:1" x14ac:dyDescent="0.25">
      <c r="A8297" s="56">
        <v>147806074.40000001</v>
      </c>
    </row>
    <row r="8298" spans="1:1" x14ac:dyDescent="0.25">
      <c r="A8298" s="56">
        <v>63188462.899999902</v>
      </c>
    </row>
    <row r="8299" spans="1:1" x14ac:dyDescent="0.25">
      <c r="A8299" s="56">
        <v>63861829.599999897</v>
      </c>
    </row>
    <row r="8300" spans="1:1" x14ac:dyDescent="0.25">
      <c r="A8300" s="56">
        <v>6748580.1999999899</v>
      </c>
    </row>
    <row r="8301" spans="1:1" x14ac:dyDescent="0.25">
      <c r="A8301" s="56">
        <v>170715654.59999999</v>
      </c>
    </row>
    <row r="8302" spans="1:1" x14ac:dyDescent="0.25">
      <c r="A8302" s="56">
        <v>16021571.6</v>
      </c>
    </row>
    <row r="8303" spans="1:1" x14ac:dyDescent="0.25">
      <c r="A8303" s="56">
        <v>67921316.299999997</v>
      </c>
    </row>
    <row r="8304" spans="1:1" x14ac:dyDescent="0.25">
      <c r="A8304" s="56">
        <v>126900920.2</v>
      </c>
    </row>
    <row r="8305" spans="1:1" x14ac:dyDescent="0.25">
      <c r="A8305" s="56">
        <v>42518734.600000001</v>
      </c>
    </row>
    <row r="8306" spans="1:1" x14ac:dyDescent="0.25">
      <c r="A8306" s="56">
        <v>358173416.10000002</v>
      </c>
    </row>
    <row r="8307" spans="1:1" x14ac:dyDescent="0.25">
      <c r="A8307" s="56">
        <v>540691484.59999895</v>
      </c>
    </row>
    <row r="8308" spans="1:1" x14ac:dyDescent="0.25">
      <c r="A8308" s="56">
        <v>9871554.6999999899</v>
      </c>
    </row>
    <row r="8309" spans="1:1" x14ac:dyDescent="0.25">
      <c r="A8309" s="56">
        <v>21584255.600000001</v>
      </c>
    </row>
    <row r="8310" spans="1:1" x14ac:dyDescent="0.25">
      <c r="A8310" s="56">
        <v>8631345.3000000007</v>
      </c>
    </row>
    <row r="8311" spans="1:1" x14ac:dyDescent="0.25">
      <c r="A8311" s="56">
        <v>0</v>
      </c>
    </row>
    <row r="8312" spans="1:1" x14ac:dyDescent="0.25">
      <c r="A8312" s="56">
        <v>89225863.900000006</v>
      </c>
    </row>
    <row r="8313" spans="1:1" x14ac:dyDescent="0.25">
      <c r="A8313" s="56">
        <v>1058592</v>
      </c>
    </row>
    <row r="8314" spans="1:1" x14ac:dyDescent="0.25">
      <c r="A8314" s="56">
        <v>33059112.100000001</v>
      </c>
    </row>
    <row r="8315" spans="1:1" x14ac:dyDescent="0.25">
      <c r="A8315" s="56">
        <v>98575221.099999905</v>
      </c>
    </row>
    <row r="8316" spans="1:1" x14ac:dyDescent="0.25">
      <c r="A8316" s="56">
        <v>15919002.6</v>
      </c>
    </row>
    <row r="8317" spans="1:1" x14ac:dyDescent="0.25">
      <c r="A8317" s="56">
        <v>88474788.699999899</v>
      </c>
    </row>
    <row r="8318" spans="1:1" x14ac:dyDescent="0.25">
      <c r="A8318" s="56">
        <v>3632519.4</v>
      </c>
    </row>
    <row r="8319" spans="1:1" x14ac:dyDescent="0.25">
      <c r="A8319" s="56">
        <v>31213205</v>
      </c>
    </row>
    <row r="8320" spans="1:1" x14ac:dyDescent="0.25">
      <c r="A8320" s="56">
        <v>423048610.39999998</v>
      </c>
    </row>
    <row r="8321" spans="1:1" x14ac:dyDescent="0.25">
      <c r="A8321" s="56">
        <v>35029987.299999997</v>
      </c>
    </row>
    <row r="8322" spans="1:1" x14ac:dyDescent="0.25">
      <c r="A8322" s="56">
        <v>249225652.90000001</v>
      </c>
    </row>
    <row r="8323" spans="1:1" x14ac:dyDescent="0.25">
      <c r="A8323" s="56">
        <v>4012441.2</v>
      </c>
    </row>
    <row r="8324" spans="1:1" x14ac:dyDescent="0.25">
      <c r="A8324" s="56">
        <v>285434690.19999999</v>
      </c>
    </row>
    <row r="8325" spans="1:1" x14ac:dyDescent="0.25">
      <c r="A8325" s="56">
        <v>9682269</v>
      </c>
    </row>
    <row r="8326" spans="1:1" x14ac:dyDescent="0.25">
      <c r="A8326" s="56">
        <v>5617663.7999999998</v>
      </c>
    </row>
    <row r="8327" spans="1:1" x14ac:dyDescent="0.25">
      <c r="A8327" s="56">
        <v>0</v>
      </c>
    </row>
    <row r="8328" spans="1:1" x14ac:dyDescent="0.25">
      <c r="A8328" s="56">
        <v>215102553.5</v>
      </c>
    </row>
    <row r="8329" spans="1:1" x14ac:dyDescent="0.25">
      <c r="A8329" s="56">
        <v>9315282.6999999899</v>
      </c>
    </row>
    <row r="8330" spans="1:1" x14ac:dyDescent="0.25">
      <c r="A8330" s="56">
        <v>27039318.699999999</v>
      </c>
    </row>
    <row r="8331" spans="1:1" x14ac:dyDescent="0.25">
      <c r="A8331" s="56">
        <v>10195880.800000001</v>
      </c>
    </row>
    <row r="8332" spans="1:1" x14ac:dyDescent="0.25">
      <c r="A8332" s="56">
        <v>3115431.6</v>
      </c>
    </row>
    <row r="8333" spans="1:1" x14ac:dyDescent="0.25">
      <c r="A8333" s="56">
        <v>136907531.80000001</v>
      </c>
    </row>
    <row r="8334" spans="1:1" x14ac:dyDescent="0.25">
      <c r="A8334" s="56">
        <v>10018980.4</v>
      </c>
    </row>
    <row r="8335" spans="1:1" x14ac:dyDescent="0.25">
      <c r="A8335" s="56">
        <v>73586978.400000006</v>
      </c>
    </row>
    <row r="8336" spans="1:1" x14ac:dyDescent="0.25">
      <c r="A8336" s="56">
        <v>174352849.5</v>
      </c>
    </row>
    <row r="8337" spans="1:1" x14ac:dyDescent="0.25">
      <c r="A8337" s="56">
        <v>3305527.8</v>
      </c>
    </row>
    <row r="8338" spans="1:1" x14ac:dyDescent="0.25">
      <c r="A8338" s="56">
        <v>17015409</v>
      </c>
    </row>
    <row r="8339" spans="1:1" x14ac:dyDescent="0.25">
      <c r="A8339" s="56">
        <v>25708408.100000001</v>
      </c>
    </row>
    <row r="8340" spans="1:1" x14ac:dyDescent="0.25">
      <c r="A8340" s="56">
        <v>300688630.30000001</v>
      </c>
    </row>
    <row r="8341" spans="1:1" x14ac:dyDescent="0.25">
      <c r="A8341" s="56">
        <v>97936777.700000003</v>
      </c>
    </row>
    <row r="8342" spans="1:1" x14ac:dyDescent="0.25">
      <c r="A8342" s="56">
        <v>112953074.2</v>
      </c>
    </row>
    <row r="8343" spans="1:1" x14ac:dyDescent="0.25">
      <c r="A8343" s="56">
        <v>5194888.8</v>
      </c>
    </row>
    <row r="8344" spans="1:1" x14ac:dyDescent="0.25">
      <c r="A8344" s="56">
        <v>242522856.80000001</v>
      </c>
    </row>
    <row r="8345" spans="1:1" x14ac:dyDescent="0.25">
      <c r="A8345" s="56">
        <v>34031828.499999903</v>
      </c>
    </row>
    <row r="8346" spans="1:1" x14ac:dyDescent="0.25">
      <c r="A8346" s="56">
        <v>34048555.899999999</v>
      </c>
    </row>
    <row r="8347" spans="1:1" x14ac:dyDescent="0.25">
      <c r="A8347" s="56">
        <v>84490862.899999902</v>
      </c>
    </row>
    <row r="8348" spans="1:1" x14ac:dyDescent="0.25">
      <c r="A8348" s="56">
        <v>0</v>
      </c>
    </row>
    <row r="8349" spans="1:1" x14ac:dyDescent="0.25">
      <c r="A8349" s="56">
        <v>46647487.799999997</v>
      </c>
    </row>
    <row r="8350" spans="1:1" x14ac:dyDescent="0.25">
      <c r="A8350" s="56">
        <v>21513314.399999999</v>
      </c>
    </row>
    <row r="8351" spans="1:1" x14ac:dyDescent="0.25">
      <c r="A8351" s="56">
        <v>5748433.1999999899</v>
      </c>
    </row>
    <row r="8352" spans="1:1" x14ac:dyDescent="0.25">
      <c r="A8352" s="56">
        <v>0</v>
      </c>
    </row>
    <row r="8353" spans="1:1" x14ac:dyDescent="0.25">
      <c r="A8353" s="56">
        <v>99112287.299999893</v>
      </c>
    </row>
    <row r="8354" spans="1:1" x14ac:dyDescent="0.25">
      <c r="A8354" s="56">
        <v>102511997.7</v>
      </c>
    </row>
    <row r="8355" spans="1:1" x14ac:dyDescent="0.25">
      <c r="A8355" s="56">
        <v>3401984</v>
      </c>
    </row>
    <row r="8356" spans="1:1" x14ac:dyDescent="0.25">
      <c r="A8356" s="56">
        <v>2529421.7999999998</v>
      </c>
    </row>
    <row r="8357" spans="1:1" x14ac:dyDescent="0.25">
      <c r="A8357" s="56">
        <v>339568779.39999998</v>
      </c>
    </row>
    <row r="8358" spans="1:1" x14ac:dyDescent="0.25">
      <c r="A8358" s="56">
        <v>48123689</v>
      </c>
    </row>
    <row r="8359" spans="1:1" x14ac:dyDescent="0.25">
      <c r="A8359" s="56">
        <v>482802819.19999897</v>
      </c>
    </row>
    <row r="8360" spans="1:1" x14ac:dyDescent="0.25">
      <c r="A8360" s="56">
        <v>129886728.09999999</v>
      </c>
    </row>
    <row r="8361" spans="1:1" x14ac:dyDescent="0.25">
      <c r="A8361" s="56">
        <v>9613604.8999999892</v>
      </c>
    </row>
    <row r="8362" spans="1:1" x14ac:dyDescent="0.25">
      <c r="A8362" s="56">
        <v>5978853.2999999998</v>
      </c>
    </row>
    <row r="8363" spans="1:1" x14ac:dyDescent="0.25">
      <c r="A8363" s="56">
        <v>19581738.800000001</v>
      </c>
    </row>
    <row r="8364" spans="1:1" x14ac:dyDescent="0.25">
      <c r="A8364" s="56">
        <v>67725143.699999899</v>
      </c>
    </row>
    <row r="8365" spans="1:1" x14ac:dyDescent="0.25">
      <c r="A8365" s="56">
        <v>32185071.699999999</v>
      </c>
    </row>
    <row r="8366" spans="1:1" x14ac:dyDescent="0.25">
      <c r="A8366" s="56">
        <v>681107084.5</v>
      </c>
    </row>
    <row r="8367" spans="1:1" x14ac:dyDescent="0.25">
      <c r="A8367" s="56">
        <v>28700524.899999999</v>
      </c>
    </row>
    <row r="8368" spans="1:1" x14ac:dyDescent="0.25">
      <c r="A8368" s="56">
        <v>52286088.7999999</v>
      </c>
    </row>
    <row r="8369" spans="1:1" x14ac:dyDescent="0.25">
      <c r="A8369" s="56">
        <v>14046489.699999999</v>
      </c>
    </row>
    <row r="8370" spans="1:1" x14ac:dyDescent="0.25">
      <c r="A8370" s="56">
        <v>15207211.300000001</v>
      </c>
    </row>
    <row r="8371" spans="1:1" x14ac:dyDescent="0.25">
      <c r="A8371" s="56">
        <v>10872284.5</v>
      </c>
    </row>
    <row r="8372" spans="1:1" x14ac:dyDescent="0.25">
      <c r="A8372" s="56">
        <v>41301883.100000001</v>
      </c>
    </row>
    <row r="8373" spans="1:1" x14ac:dyDescent="0.25">
      <c r="A8373" s="56">
        <v>43795404.099999897</v>
      </c>
    </row>
    <row r="8374" spans="1:1" x14ac:dyDescent="0.25">
      <c r="A8374" s="56">
        <v>65897795</v>
      </c>
    </row>
    <row r="8375" spans="1:1" x14ac:dyDescent="0.25">
      <c r="A8375" s="56">
        <v>4148686.8</v>
      </c>
    </row>
    <row r="8376" spans="1:1" x14ac:dyDescent="0.25">
      <c r="A8376" s="56">
        <v>147065653.30000001</v>
      </c>
    </row>
    <row r="8377" spans="1:1" x14ac:dyDescent="0.25">
      <c r="A8377" s="56">
        <v>25847134</v>
      </c>
    </row>
    <row r="8378" spans="1:1" x14ac:dyDescent="0.25">
      <c r="A8378" s="56">
        <v>14428480.199999999</v>
      </c>
    </row>
    <row r="8379" spans="1:1" x14ac:dyDescent="0.25">
      <c r="A8379" s="56">
        <v>29216941.199999999</v>
      </c>
    </row>
    <row r="8380" spans="1:1" x14ac:dyDescent="0.25">
      <c r="A8380" s="56">
        <v>45868374.799999997</v>
      </c>
    </row>
    <row r="8381" spans="1:1" x14ac:dyDescent="0.25">
      <c r="A8381" s="56">
        <v>175277563.30000001</v>
      </c>
    </row>
    <row r="8382" spans="1:1" x14ac:dyDescent="0.25">
      <c r="A8382" s="56">
        <v>28958670.5</v>
      </c>
    </row>
    <row r="8383" spans="1:1" x14ac:dyDescent="0.25">
      <c r="A8383" s="56">
        <v>38382314.399999999</v>
      </c>
    </row>
    <row r="8384" spans="1:1" x14ac:dyDescent="0.25">
      <c r="A8384" s="56">
        <v>47674188.200000003</v>
      </c>
    </row>
    <row r="8385" spans="1:1" x14ac:dyDescent="0.25">
      <c r="A8385" s="56">
        <v>46333368.200000003</v>
      </c>
    </row>
    <row r="8386" spans="1:1" x14ac:dyDescent="0.25">
      <c r="A8386" s="56">
        <v>123711023.7</v>
      </c>
    </row>
    <row r="8387" spans="1:1" x14ac:dyDescent="0.25">
      <c r="A8387" s="56">
        <v>38383425.899999999</v>
      </c>
    </row>
    <row r="8388" spans="1:1" x14ac:dyDescent="0.25">
      <c r="A8388" s="56">
        <v>2419782.6</v>
      </c>
    </row>
    <row r="8389" spans="1:1" x14ac:dyDescent="0.25">
      <c r="A8389" s="56">
        <v>13183765</v>
      </c>
    </row>
    <row r="8390" spans="1:1" x14ac:dyDescent="0.25">
      <c r="A8390" s="56">
        <v>0</v>
      </c>
    </row>
    <row r="8391" spans="1:1" x14ac:dyDescent="0.25">
      <c r="A8391" s="56">
        <v>58102921.5</v>
      </c>
    </row>
    <row r="8392" spans="1:1" x14ac:dyDescent="0.25">
      <c r="A8392" s="56">
        <v>6191151.6999999899</v>
      </c>
    </row>
    <row r="8393" spans="1:1" x14ac:dyDescent="0.25">
      <c r="A8393" s="56">
        <v>5162865.3999999901</v>
      </c>
    </row>
    <row r="8394" spans="1:1" x14ac:dyDescent="0.25">
      <c r="A8394" s="56">
        <v>625458.4</v>
      </c>
    </row>
    <row r="8395" spans="1:1" x14ac:dyDescent="0.25">
      <c r="A8395" s="56">
        <v>26385366.399999999</v>
      </c>
    </row>
    <row r="8396" spans="1:1" x14ac:dyDescent="0.25">
      <c r="A8396" s="56">
        <v>6677196.2000000002</v>
      </c>
    </row>
    <row r="8397" spans="1:1" x14ac:dyDescent="0.25">
      <c r="A8397" s="56">
        <v>51040827.200000003</v>
      </c>
    </row>
    <row r="8398" spans="1:1" x14ac:dyDescent="0.25">
      <c r="A8398" s="56">
        <v>5634307.6999999899</v>
      </c>
    </row>
    <row r="8399" spans="1:1" x14ac:dyDescent="0.25">
      <c r="A8399" s="56">
        <v>728815.2</v>
      </c>
    </row>
    <row r="8400" spans="1:1" x14ac:dyDescent="0.25">
      <c r="A8400" s="56">
        <v>18350019.300000001</v>
      </c>
    </row>
    <row r="8401" spans="1:1" x14ac:dyDescent="0.25">
      <c r="A8401" s="56">
        <v>77630474.899999902</v>
      </c>
    </row>
    <row r="8402" spans="1:1" x14ac:dyDescent="0.25">
      <c r="A8402" s="56">
        <v>44265619.799999997</v>
      </c>
    </row>
    <row r="8403" spans="1:1" x14ac:dyDescent="0.25">
      <c r="A8403" s="56">
        <v>74557016.5</v>
      </c>
    </row>
    <row r="8404" spans="1:1" x14ac:dyDescent="0.25">
      <c r="A8404" s="56">
        <v>35162510.299999997</v>
      </c>
    </row>
    <row r="8405" spans="1:1" x14ac:dyDescent="0.25">
      <c r="A8405" s="56">
        <v>78796203.299999997</v>
      </c>
    </row>
    <row r="8406" spans="1:1" x14ac:dyDescent="0.25">
      <c r="A8406" s="56">
        <v>59695738.700000003</v>
      </c>
    </row>
    <row r="8407" spans="1:1" x14ac:dyDescent="0.25">
      <c r="A8407" s="56">
        <v>170106962.40000001</v>
      </c>
    </row>
    <row r="8408" spans="1:1" x14ac:dyDescent="0.25">
      <c r="A8408" s="56">
        <v>11031319.800000001</v>
      </c>
    </row>
    <row r="8409" spans="1:1" x14ac:dyDescent="0.25">
      <c r="A8409" s="56">
        <v>172163912.19999999</v>
      </c>
    </row>
    <row r="8410" spans="1:1" x14ac:dyDescent="0.25">
      <c r="A8410" s="56">
        <v>2915279.2</v>
      </c>
    </row>
    <row r="8411" spans="1:1" x14ac:dyDescent="0.25">
      <c r="A8411" s="56">
        <v>61398597.299999997</v>
      </c>
    </row>
    <row r="8412" spans="1:1" x14ac:dyDescent="0.25">
      <c r="A8412" s="56">
        <v>26796182.600000001</v>
      </c>
    </row>
    <row r="8413" spans="1:1" x14ac:dyDescent="0.25">
      <c r="A8413" s="56">
        <v>6036242.4000000004</v>
      </c>
    </row>
    <row r="8414" spans="1:1" x14ac:dyDescent="0.25">
      <c r="A8414" s="56">
        <v>120528.4</v>
      </c>
    </row>
    <row r="8415" spans="1:1" x14ac:dyDescent="0.25">
      <c r="A8415" s="56">
        <v>18712056</v>
      </c>
    </row>
    <row r="8416" spans="1:1" x14ac:dyDescent="0.25">
      <c r="A8416" s="56">
        <v>6851421.9999999898</v>
      </c>
    </row>
    <row r="8417" spans="1:1" x14ac:dyDescent="0.25">
      <c r="A8417" s="56">
        <v>198739244.09999999</v>
      </c>
    </row>
    <row r="8418" spans="1:1" x14ac:dyDescent="0.25">
      <c r="A8418" s="56">
        <v>247145835.90000001</v>
      </c>
    </row>
    <row r="8419" spans="1:1" x14ac:dyDescent="0.25">
      <c r="A8419" s="56">
        <v>304441.59999999998</v>
      </c>
    </row>
    <row r="8420" spans="1:1" x14ac:dyDescent="0.25">
      <c r="A8420" s="56">
        <v>193023666.09999999</v>
      </c>
    </row>
    <row r="8421" spans="1:1" x14ac:dyDescent="0.25">
      <c r="A8421" s="56">
        <v>2701075.8</v>
      </c>
    </row>
    <row r="8422" spans="1:1" x14ac:dyDescent="0.25">
      <c r="A8422" s="56">
        <v>12866901.4</v>
      </c>
    </row>
    <row r="8423" spans="1:1" x14ac:dyDescent="0.25">
      <c r="A8423" s="56">
        <v>0</v>
      </c>
    </row>
    <row r="8424" spans="1:1" x14ac:dyDescent="0.25">
      <c r="A8424" s="56">
        <v>231356689.40000001</v>
      </c>
    </row>
    <row r="8425" spans="1:1" x14ac:dyDescent="0.25">
      <c r="A8425" s="56">
        <v>20932169.5</v>
      </c>
    </row>
    <row r="8426" spans="1:1" x14ac:dyDescent="0.25">
      <c r="A8426" s="56">
        <v>23099563.800000001</v>
      </c>
    </row>
    <row r="8427" spans="1:1" x14ac:dyDescent="0.25">
      <c r="A8427" s="56">
        <v>10007794.6</v>
      </c>
    </row>
    <row r="8428" spans="1:1" x14ac:dyDescent="0.25">
      <c r="A8428" s="56">
        <v>33639910.5</v>
      </c>
    </row>
    <row r="8429" spans="1:1" x14ac:dyDescent="0.25">
      <c r="A8429" s="56">
        <v>110614115.59999999</v>
      </c>
    </row>
    <row r="8430" spans="1:1" x14ac:dyDescent="0.25">
      <c r="A8430" s="56">
        <v>7061676</v>
      </c>
    </row>
    <row r="8431" spans="1:1" x14ac:dyDescent="0.25">
      <c r="A8431" s="56">
        <v>41192102.100000001</v>
      </c>
    </row>
    <row r="8432" spans="1:1" x14ac:dyDescent="0.25">
      <c r="A8432" s="56">
        <v>19224541</v>
      </c>
    </row>
    <row r="8433" spans="1:1" x14ac:dyDescent="0.25">
      <c r="A8433" s="56">
        <v>31948819.600000001</v>
      </c>
    </row>
    <row r="8434" spans="1:1" x14ac:dyDescent="0.25">
      <c r="A8434" s="56">
        <v>49120417.099999897</v>
      </c>
    </row>
    <row r="8435" spans="1:1" x14ac:dyDescent="0.25">
      <c r="A8435" s="56">
        <v>57364904.399999999</v>
      </c>
    </row>
    <row r="8436" spans="1:1" x14ac:dyDescent="0.25">
      <c r="A8436" s="56">
        <v>19600755</v>
      </c>
    </row>
    <row r="8437" spans="1:1" x14ac:dyDescent="0.25">
      <c r="A8437" s="56">
        <v>121446815.59999999</v>
      </c>
    </row>
    <row r="8438" spans="1:1" x14ac:dyDescent="0.25">
      <c r="A8438" s="56">
        <v>0</v>
      </c>
    </row>
    <row r="8439" spans="1:1" x14ac:dyDescent="0.25">
      <c r="A8439" s="56">
        <v>29079301.600000001</v>
      </c>
    </row>
    <row r="8440" spans="1:1" x14ac:dyDescent="0.25">
      <c r="A8440" s="56">
        <v>31801922.800000001</v>
      </c>
    </row>
    <row r="8441" spans="1:1" x14ac:dyDescent="0.25">
      <c r="A8441" s="56">
        <v>0</v>
      </c>
    </row>
    <row r="8442" spans="1:1" x14ac:dyDescent="0.25">
      <c r="A8442" s="56">
        <v>163741828.80000001</v>
      </c>
    </row>
    <row r="8443" spans="1:1" x14ac:dyDescent="0.25">
      <c r="A8443" s="56">
        <v>3194201.4</v>
      </c>
    </row>
    <row r="8444" spans="1:1" x14ac:dyDescent="0.25">
      <c r="A8444" s="56">
        <v>46882343.099999897</v>
      </c>
    </row>
    <row r="8445" spans="1:1" x14ac:dyDescent="0.25">
      <c r="A8445" s="56">
        <v>0</v>
      </c>
    </row>
    <row r="8446" spans="1:1" x14ac:dyDescent="0.25">
      <c r="A8446" s="56">
        <v>93474247.099999905</v>
      </c>
    </row>
    <row r="8447" spans="1:1" x14ac:dyDescent="0.25">
      <c r="A8447" s="56">
        <v>325157587.5</v>
      </c>
    </row>
    <row r="8448" spans="1:1" x14ac:dyDescent="0.25">
      <c r="A8448" s="56">
        <v>101350374.2</v>
      </c>
    </row>
    <row r="8449" spans="1:1" x14ac:dyDescent="0.25">
      <c r="A8449" s="56">
        <v>0</v>
      </c>
    </row>
    <row r="8450" spans="1:1" x14ac:dyDescent="0.25">
      <c r="A8450" s="56">
        <v>4839575.4000000004</v>
      </c>
    </row>
    <row r="8451" spans="1:1" x14ac:dyDescent="0.25">
      <c r="A8451" s="56">
        <v>122203854.5</v>
      </c>
    </row>
    <row r="8452" spans="1:1" x14ac:dyDescent="0.25">
      <c r="A8452" s="56">
        <v>5538973.2999999998</v>
      </c>
    </row>
    <row r="8453" spans="1:1" x14ac:dyDescent="0.25">
      <c r="A8453" s="56">
        <v>27719286.800000001</v>
      </c>
    </row>
    <row r="8454" spans="1:1" x14ac:dyDescent="0.25">
      <c r="A8454" s="56">
        <v>1334881.2</v>
      </c>
    </row>
    <row r="8455" spans="1:1" x14ac:dyDescent="0.25">
      <c r="A8455" s="56">
        <v>168016253</v>
      </c>
    </row>
    <row r="8456" spans="1:1" x14ac:dyDescent="0.25">
      <c r="A8456" s="56">
        <v>104086396.09999999</v>
      </c>
    </row>
    <row r="8457" spans="1:1" x14ac:dyDescent="0.25">
      <c r="A8457" s="56">
        <v>530640.80000000005</v>
      </c>
    </row>
    <row r="8458" spans="1:1" x14ac:dyDescent="0.25">
      <c r="A8458" s="56">
        <v>143043085.30000001</v>
      </c>
    </row>
    <row r="8459" spans="1:1" x14ac:dyDescent="0.25">
      <c r="A8459" s="56">
        <v>95090266.399999902</v>
      </c>
    </row>
    <row r="8460" spans="1:1" x14ac:dyDescent="0.25">
      <c r="A8460" s="56">
        <v>6509337.7999999998</v>
      </c>
    </row>
    <row r="8461" spans="1:1" x14ac:dyDescent="0.25">
      <c r="A8461" s="56">
        <v>367960759.30000001</v>
      </c>
    </row>
    <row r="8462" spans="1:1" x14ac:dyDescent="0.25">
      <c r="A8462" s="56">
        <v>5907378.1999999899</v>
      </c>
    </row>
    <row r="8463" spans="1:1" x14ac:dyDescent="0.25">
      <c r="A8463" s="56">
        <v>40564294.899999999</v>
      </c>
    </row>
    <row r="8464" spans="1:1" x14ac:dyDescent="0.25">
      <c r="A8464" s="56">
        <v>0</v>
      </c>
    </row>
    <row r="8465" spans="1:1" x14ac:dyDescent="0.25">
      <c r="A8465" s="56">
        <v>0</v>
      </c>
    </row>
    <row r="8466" spans="1:1" x14ac:dyDescent="0.25">
      <c r="A8466" s="56">
        <v>3803052</v>
      </c>
    </row>
    <row r="8467" spans="1:1" x14ac:dyDescent="0.25">
      <c r="A8467" s="56">
        <v>57150029.899999999</v>
      </c>
    </row>
    <row r="8468" spans="1:1" x14ac:dyDescent="0.25">
      <c r="A8468" s="56">
        <v>155721992.19999999</v>
      </c>
    </row>
    <row r="8469" spans="1:1" x14ac:dyDescent="0.25">
      <c r="A8469" s="56">
        <v>201079326.19999999</v>
      </c>
    </row>
    <row r="8470" spans="1:1" x14ac:dyDescent="0.25">
      <c r="A8470" s="56">
        <v>5610293.4000000004</v>
      </c>
    </row>
    <row r="8471" spans="1:1" x14ac:dyDescent="0.25">
      <c r="A8471" s="56">
        <v>144316475.19999999</v>
      </c>
    </row>
    <row r="8472" spans="1:1" x14ac:dyDescent="0.25">
      <c r="A8472" s="56">
        <v>41107781.700000003</v>
      </c>
    </row>
    <row r="8473" spans="1:1" x14ac:dyDescent="0.25">
      <c r="A8473" s="56">
        <v>19315589.300000001</v>
      </c>
    </row>
    <row r="8474" spans="1:1" x14ac:dyDescent="0.25">
      <c r="A8474" s="56">
        <v>128987948</v>
      </c>
    </row>
    <row r="8475" spans="1:1" x14ac:dyDescent="0.25">
      <c r="A8475" s="56">
        <v>18523680</v>
      </c>
    </row>
    <row r="8476" spans="1:1" x14ac:dyDescent="0.25">
      <c r="A8476" s="56">
        <v>8805080.0999999996</v>
      </c>
    </row>
    <row r="8477" spans="1:1" x14ac:dyDescent="0.25">
      <c r="A8477" s="56">
        <v>40673087.200000003</v>
      </c>
    </row>
    <row r="8478" spans="1:1" x14ac:dyDescent="0.25">
      <c r="A8478" s="56">
        <v>103914545.09999999</v>
      </c>
    </row>
    <row r="8479" spans="1:1" x14ac:dyDescent="0.25">
      <c r="A8479" s="56">
        <v>3115431.6</v>
      </c>
    </row>
    <row r="8480" spans="1:1" x14ac:dyDescent="0.25">
      <c r="A8480" s="56">
        <v>9018978.0999999996</v>
      </c>
    </row>
    <row r="8481" spans="1:1" x14ac:dyDescent="0.25">
      <c r="A8481" s="56">
        <v>13007750.1</v>
      </c>
    </row>
    <row r="8482" spans="1:1" x14ac:dyDescent="0.25">
      <c r="A8482" s="56">
        <v>15128390</v>
      </c>
    </row>
    <row r="8483" spans="1:1" x14ac:dyDescent="0.25">
      <c r="A8483" s="56">
        <v>8565219.4000000004</v>
      </c>
    </row>
    <row r="8484" spans="1:1" x14ac:dyDescent="0.25">
      <c r="A8484" s="56">
        <v>57841030.399999999</v>
      </c>
    </row>
    <row r="8485" spans="1:1" x14ac:dyDescent="0.25">
      <c r="A8485" s="56">
        <v>20457551</v>
      </c>
    </row>
    <row r="8486" spans="1:1" x14ac:dyDescent="0.25">
      <c r="A8486" s="56">
        <v>11132483.6</v>
      </c>
    </row>
    <row r="8487" spans="1:1" x14ac:dyDescent="0.25">
      <c r="A8487" s="56">
        <v>88335085.5</v>
      </c>
    </row>
    <row r="8488" spans="1:1" x14ac:dyDescent="0.25">
      <c r="A8488" s="56">
        <v>26484764.100000001</v>
      </c>
    </row>
    <row r="8489" spans="1:1" x14ac:dyDescent="0.25">
      <c r="A8489" s="56">
        <v>0</v>
      </c>
    </row>
    <row r="8490" spans="1:1" x14ac:dyDescent="0.25">
      <c r="A8490" s="56">
        <v>6164948.4999999898</v>
      </c>
    </row>
    <row r="8491" spans="1:1" x14ac:dyDescent="0.25">
      <c r="A8491" s="56">
        <v>0</v>
      </c>
    </row>
    <row r="8492" spans="1:1" x14ac:dyDescent="0.25">
      <c r="A8492" s="56">
        <v>718144521.79999995</v>
      </c>
    </row>
    <row r="8493" spans="1:1" x14ac:dyDescent="0.25">
      <c r="A8493" s="56">
        <v>0</v>
      </c>
    </row>
    <row r="8494" spans="1:1" x14ac:dyDescent="0.25">
      <c r="A8494" s="56">
        <v>33132144.899999902</v>
      </c>
    </row>
    <row r="8495" spans="1:1" x14ac:dyDescent="0.25">
      <c r="A8495" s="56">
        <v>38589072.600000001</v>
      </c>
    </row>
    <row r="8496" spans="1:1" x14ac:dyDescent="0.25">
      <c r="A8496" s="56">
        <v>3649771.4</v>
      </c>
    </row>
    <row r="8497" spans="1:1" x14ac:dyDescent="0.25">
      <c r="A8497" s="56">
        <v>1034119.6</v>
      </c>
    </row>
    <row r="8498" spans="1:1" x14ac:dyDescent="0.25">
      <c r="A8498" s="56">
        <v>0</v>
      </c>
    </row>
    <row r="8499" spans="1:1" x14ac:dyDescent="0.25">
      <c r="A8499" s="56">
        <v>4561775.8</v>
      </c>
    </row>
    <row r="8500" spans="1:1" x14ac:dyDescent="0.25">
      <c r="A8500" s="56">
        <v>0</v>
      </c>
    </row>
    <row r="8501" spans="1:1" x14ac:dyDescent="0.25">
      <c r="A8501" s="56">
        <v>152010515.30000001</v>
      </c>
    </row>
    <row r="8502" spans="1:1" x14ac:dyDescent="0.25">
      <c r="A8502" s="56">
        <v>7119629.4999999898</v>
      </c>
    </row>
    <row r="8503" spans="1:1" x14ac:dyDescent="0.25">
      <c r="A8503" s="56">
        <v>8123887.1999999899</v>
      </c>
    </row>
    <row r="8504" spans="1:1" x14ac:dyDescent="0.25">
      <c r="A8504" s="56">
        <v>2016957.6</v>
      </c>
    </row>
    <row r="8505" spans="1:1" x14ac:dyDescent="0.25">
      <c r="A8505" s="56">
        <v>0</v>
      </c>
    </row>
    <row r="8506" spans="1:1" x14ac:dyDescent="0.25">
      <c r="A8506" s="56">
        <v>167909833.19999999</v>
      </c>
    </row>
    <row r="8507" spans="1:1" x14ac:dyDescent="0.25">
      <c r="A8507" s="56">
        <v>84909388</v>
      </c>
    </row>
    <row r="8508" spans="1:1" x14ac:dyDescent="0.25">
      <c r="A8508" s="56">
        <v>9917923.5999999996</v>
      </c>
    </row>
    <row r="8509" spans="1:1" x14ac:dyDescent="0.25">
      <c r="A8509" s="56">
        <v>5283864.2</v>
      </c>
    </row>
    <row r="8510" spans="1:1" x14ac:dyDescent="0.25">
      <c r="A8510" s="56">
        <v>17237370.800000001</v>
      </c>
    </row>
    <row r="8511" spans="1:1" x14ac:dyDescent="0.25">
      <c r="A8511" s="56">
        <v>169046297.69999999</v>
      </c>
    </row>
    <row r="8512" spans="1:1" x14ac:dyDescent="0.25">
      <c r="A8512" s="56">
        <v>8999471.6999999993</v>
      </c>
    </row>
    <row r="8513" spans="1:1" x14ac:dyDescent="0.25">
      <c r="A8513" s="56">
        <v>82340519.900000006</v>
      </c>
    </row>
    <row r="8514" spans="1:1" x14ac:dyDescent="0.25">
      <c r="A8514" s="56">
        <v>17684456.699999999</v>
      </c>
    </row>
    <row r="8515" spans="1:1" x14ac:dyDescent="0.25">
      <c r="A8515" s="56">
        <v>22678782.100000001</v>
      </c>
    </row>
    <row r="8516" spans="1:1" x14ac:dyDescent="0.25">
      <c r="A8516" s="56">
        <v>54487608</v>
      </c>
    </row>
    <row r="8517" spans="1:1" x14ac:dyDescent="0.25">
      <c r="A8517" s="56">
        <v>4079340.4</v>
      </c>
    </row>
    <row r="8518" spans="1:1" x14ac:dyDescent="0.25">
      <c r="A8518" s="56">
        <v>28367586.100000001</v>
      </c>
    </row>
    <row r="8519" spans="1:1" x14ac:dyDescent="0.25">
      <c r="A8519" s="56">
        <v>20362820.800000001</v>
      </c>
    </row>
    <row r="8520" spans="1:1" x14ac:dyDescent="0.25">
      <c r="A8520" s="56">
        <v>26034514.600000001</v>
      </c>
    </row>
    <row r="8521" spans="1:1" x14ac:dyDescent="0.25">
      <c r="A8521" s="56">
        <v>239773134.59999999</v>
      </c>
    </row>
    <row r="8522" spans="1:1" x14ac:dyDescent="0.25">
      <c r="A8522" s="56">
        <v>804213.6</v>
      </c>
    </row>
    <row r="8523" spans="1:1" x14ac:dyDescent="0.25">
      <c r="A8523" s="56">
        <v>67327422.299999997</v>
      </c>
    </row>
    <row r="8524" spans="1:1" x14ac:dyDescent="0.25">
      <c r="A8524" s="56">
        <v>543012109.79999995</v>
      </c>
    </row>
    <row r="8525" spans="1:1" x14ac:dyDescent="0.25">
      <c r="A8525" s="56">
        <v>5162865.3999999901</v>
      </c>
    </row>
    <row r="8526" spans="1:1" x14ac:dyDescent="0.25">
      <c r="A8526" s="56">
        <v>65278494.5</v>
      </c>
    </row>
    <row r="8527" spans="1:1" x14ac:dyDescent="0.25">
      <c r="A8527" s="56">
        <v>0</v>
      </c>
    </row>
    <row r="8528" spans="1:1" x14ac:dyDescent="0.25">
      <c r="A8528" s="56">
        <v>6627180.6999999899</v>
      </c>
    </row>
    <row r="8529" spans="1:1" x14ac:dyDescent="0.25">
      <c r="A8529" s="56">
        <v>0</v>
      </c>
    </row>
    <row r="8530" spans="1:1" x14ac:dyDescent="0.25">
      <c r="A8530" s="56">
        <v>0</v>
      </c>
    </row>
    <row r="8531" spans="1:1" x14ac:dyDescent="0.25">
      <c r="A8531" s="56">
        <v>293814492.69999999</v>
      </c>
    </row>
    <row r="8532" spans="1:1" x14ac:dyDescent="0.25">
      <c r="A8532" s="56">
        <v>102171952.7</v>
      </c>
    </row>
    <row r="8533" spans="1:1" x14ac:dyDescent="0.25">
      <c r="A8533" s="56">
        <v>61444001.399999902</v>
      </c>
    </row>
    <row r="8534" spans="1:1" x14ac:dyDescent="0.25">
      <c r="A8534" s="56">
        <v>13308393.699999999</v>
      </c>
    </row>
    <row r="8535" spans="1:1" x14ac:dyDescent="0.25">
      <c r="A8535" s="56">
        <v>7964088.1999999899</v>
      </c>
    </row>
    <row r="8536" spans="1:1" x14ac:dyDescent="0.25">
      <c r="A8536" s="56">
        <v>101819566.7</v>
      </c>
    </row>
    <row r="8537" spans="1:1" x14ac:dyDescent="0.25">
      <c r="A8537" s="56">
        <v>112640232.59999999</v>
      </c>
    </row>
    <row r="8538" spans="1:1" x14ac:dyDescent="0.25">
      <c r="A8538" s="56">
        <v>0</v>
      </c>
    </row>
    <row r="8539" spans="1:1" x14ac:dyDescent="0.25">
      <c r="A8539" s="56">
        <v>68438237.199999899</v>
      </c>
    </row>
    <row r="8540" spans="1:1" x14ac:dyDescent="0.25">
      <c r="A8540" s="56">
        <v>131131699.5</v>
      </c>
    </row>
    <row r="8541" spans="1:1" x14ac:dyDescent="0.25">
      <c r="A8541" s="56">
        <v>1839479.6</v>
      </c>
    </row>
    <row r="8542" spans="1:1" x14ac:dyDescent="0.25">
      <c r="A8542" s="56">
        <v>13388682.4</v>
      </c>
    </row>
    <row r="8543" spans="1:1" x14ac:dyDescent="0.25">
      <c r="A8543" s="56">
        <v>50450202.199999899</v>
      </c>
    </row>
    <row r="8544" spans="1:1" x14ac:dyDescent="0.25">
      <c r="A8544" s="56">
        <v>33807791.899999999</v>
      </c>
    </row>
    <row r="8545" spans="1:1" x14ac:dyDescent="0.25">
      <c r="A8545" s="56">
        <v>130140270.3</v>
      </c>
    </row>
    <row r="8546" spans="1:1" x14ac:dyDescent="0.25">
      <c r="A8546" s="56">
        <v>66415217.599999897</v>
      </c>
    </row>
    <row r="8547" spans="1:1" x14ac:dyDescent="0.25">
      <c r="A8547" s="56">
        <v>191973078.19999999</v>
      </c>
    </row>
    <row r="8548" spans="1:1" x14ac:dyDescent="0.25">
      <c r="A8548" s="56">
        <v>103777640.5</v>
      </c>
    </row>
    <row r="8549" spans="1:1" x14ac:dyDescent="0.25">
      <c r="A8549" s="56">
        <v>9332080.1999999899</v>
      </c>
    </row>
    <row r="8550" spans="1:1" x14ac:dyDescent="0.25">
      <c r="A8550" s="56">
        <v>289616903.19999897</v>
      </c>
    </row>
    <row r="8551" spans="1:1" x14ac:dyDescent="0.25">
      <c r="A8551" s="56">
        <v>66344792.600000001</v>
      </c>
    </row>
    <row r="8552" spans="1:1" x14ac:dyDescent="0.25">
      <c r="A8552" s="56">
        <v>46635331.399999999</v>
      </c>
    </row>
    <row r="8553" spans="1:1" x14ac:dyDescent="0.25">
      <c r="A8553" s="56">
        <v>11935611.1</v>
      </c>
    </row>
    <row r="8554" spans="1:1" x14ac:dyDescent="0.25">
      <c r="A8554" s="56">
        <v>49908198.100000001</v>
      </c>
    </row>
    <row r="8555" spans="1:1" x14ac:dyDescent="0.25">
      <c r="A8555" s="56">
        <v>59518177.200000003</v>
      </c>
    </row>
    <row r="8556" spans="1:1" x14ac:dyDescent="0.25">
      <c r="A8556" s="56">
        <v>0</v>
      </c>
    </row>
    <row r="8557" spans="1:1" x14ac:dyDescent="0.25">
      <c r="A8557" s="56">
        <v>163945209.80000001</v>
      </c>
    </row>
    <row r="8558" spans="1:1" x14ac:dyDescent="0.25">
      <c r="A8558" s="56">
        <v>12638185.1</v>
      </c>
    </row>
    <row r="8559" spans="1:1" x14ac:dyDescent="0.25">
      <c r="A8559" s="56">
        <v>13738631.5</v>
      </c>
    </row>
    <row r="8560" spans="1:1" x14ac:dyDescent="0.25">
      <c r="A8560" s="56">
        <v>13562357</v>
      </c>
    </row>
    <row r="8561" spans="1:1" x14ac:dyDescent="0.25">
      <c r="A8561" s="56">
        <v>7952685.4000000004</v>
      </c>
    </row>
    <row r="8562" spans="1:1" x14ac:dyDescent="0.25">
      <c r="A8562" s="56">
        <v>26455139.800000001</v>
      </c>
    </row>
    <row r="8563" spans="1:1" x14ac:dyDescent="0.25">
      <c r="A8563" s="56">
        <v>6634909.3999999901</v>
      </c>
    </row>
    <row r="8564" spans="1:1" x14ac:dyDescent="0.25">
      <c r="A8564" s="56">
        <v>43694.400000000001</v>
      </c>
    </row>
    <row r="8565" spans="1:1" x14ac:dyDescent="0.25">
      <c r="A8565" s="56">
        <v>5120515.3999999901</v>
      </c>
    </row>
    <row r="8566" spans="1:1" x14ac:dyDescent="0.25">
      <c r="A8566" s="56">
        <v>303627273.10000002</v>
      </c>
    </row>
    <row r="8567" spans="1:1" x14ac:dyDescent="0.25">
      <c r="A8567" s="56">
        <v>6533211.2999999998</v>
      </c>
    </row>
    <row r="8568" spans="1:1" x14ac:dyDescent="0.25">
      <c r="A8568" s="56">
        <v>654030226.79999995</v>
      </c>
    </row>
    <row r="8569" spans="1:1" x14ac:dyDescent="0.25">
      <c r="A8569" s="56">
        <v>153220.4</v>
      </c>
    </row>
    <row r="8570" spans="1:1" x14ac:dyDescent="0.25">
      <c r="A8570" s="56">
        <v>14441019.699999999</v>
      </c>
    </row>
    <row r="8571" spans="1:1" x14ac:dyDescent="0.25">
      <c r="A8571" s="56">
        <v>44119077.599999897</v>
      </c>
    </row>
    <row r="8572" spans="1:1" x14ac:dyDescent="0.25">
      <c r="A8572" s="56">
        <v>45120622.700000003</v>
      </c>
    </row>
    <row r="8573" spans="1:1" x14ac:dyDescent="0.25">
      <c r="A8573" s="56">
        <v>7200931.3999999901</v>
      </c>
    </row>
    <row r="8574" spans="1:1" x14ac:dyDescent="0.25">
      <c r="A8574" s="56">
        <v>0</v>
      </c>
    </row>
    <row r="8575" spans="1:1" x14ac:dyDescent="0.25">
      <c r="A8575" s="56">
        <v>30188353.199999999</v>
      </c>
    </row>
    <row r="8576" spans="1:1" x14ac:dyDescent="0.25">
      <c r="A8576" s="56">
        <v>52998606.799999997</v>
      </c>
    </row>
    <row r="8577" spans="1:1" x14ac:dyDescent="0.25">
      <c r="A8577" s="56">
        <v>10214589.6</v>
      </c>
    </row>
    <row r="8578" spans="1:1" x14ac:dyDescent="0.25">
      <c r="A8578" s="56">
        <v>18653327.199999999</v>
      </c>
    </row>
    <row r="8579" spans="1:1" x14ac:dyDescent="0.25">
      <c r="A8579" s="56">
        <v>24210194</v>
      </c>
    </row>
    <row r="8580" spans="1:1" x14ac:dyDescent="0.25">
      <c r="A8580" s="56">
        <v>136271908.5</v>
      </c>
    </row>
    <row r="8581" spans="1:1" x14ac:dyDescent="0.25">
      <c r="A8581" s="56">
        <v>11780067.4</v>
      </c>
    </row>
    <row r="8582" spans="1:1" x14ac:dyDescent="0.25">
      <c r="A8582" s="56">
        <v>12324212.1</v>
      </c>
    </row>
    <row r="8583" spans="1:1" x14ac:dyDescent="0.25">
      <c r="A8583" s="56">
        <v>114646463.5</v>
      </c>
    </row>
    <row r="8584" spans="1:1" x14ac:dyDescent="0.25">
      <c r="A8584" s="56">
        <v>6823084.7000000002</v>
      </c>
    </row>
    <row r="8585" spans="1:1" x14ac:dyDescent="0.25">
      <c r="A8585" s="56">
        <v>86240882</v>
      </c>
    </row>
    <row r="8586" spans="1:1" x14ac:dyDescent="0.25">
      <c r="A8586" s="56">
        <v>4681078.5999999996</v>
      </c>
    </row>
    <row r="8587" spans="1:1" x14ac:dyDescent="0.25">
      <c r="A8587" s="56">
        <v>96424198.900000006</v>
      </c>
    </row>
    <row r="8588" spans="1:1" x14ac:dyDescent="0.25">
      <c r="A8588" s="56">
        <v>44373872.299999997</v>
      </c>
    </row>
    <row r="8589" spans="1:1" x14ac:dyDescent="0.25">
      <c r="A8589" s="56">
        <v>0</v>
      </c>
    </row>
    <row r="8590" spans="1:1" x14ac:dyDescent="0.25">
      <c r="A8590" s="56">
        <v>1167424.8</v>
      </c>
    </row>
    <row r="8591" spans="1:1" x14ac:dyDescent="0.25">
      <c r="A8591" s="56">
        <v>5982843.6999999899</v>
      </c>
    </row>
    <row r="8592" spans="1:1" x14ac:dyDescent="0.25">
      <c r="A8592" s="56">
        <v>147987099.09999999</v>
      </c>
    </row>
    <row r="8593" spans="1:1" x14ac:dyDescent="0.25">
      <c r="A8593" s="56">
        <v>4964122.1999999899</v>
      </c>
    </row>
    <row r="8594" spans="1:1" x14ac:dyDescent="0.25">
      <c r="A8594" s="56">
        <v>0</v>
      </c>
    </row>
    <row r="8595" spans="1:1" x14ac:dyDescent="0.25">
      <c r="A8595" s="56">
        <v>3739563</v>
      </c>
    </row>
    <row r="8596" spans="1:1" x14ac:dyDescent="0.25">
      <c r="A8596" s="56">
        <v>4857172</v>
      </c>
    </row>
    <row r="8597" spans="1:1" x14ac:dyDescent="0.25">
      <c r="A8597" s="56">
        <v>1580942.4</v>
      </c>
    </row>
    <row r="8598" spans="1:1" x14ac:dyDescent="0.25">
      <c r="A8598" s="56">
        <v>17147340</v>
      </c>
    </row>
    <row r="8599" spans="1:1" x14ac:dyDescent="0.25">
      <c r="A8599" s="56">
        <v>21415951.800000001</v>
      </c>
    </row>
    <row r="8600" spans="1:1" x14ac:dyDescent="0.25">
      <c r="A8600" s="56">
        <v>17487474.399999999</v>
      </c>
    </row>
    <row r="8601" spans="1:1" x14ac:dyDescent="0.25">
      <c r="A8601" s="56">
        <v>1076386</v>
      </c>
    </row>
    <row r="8602" spans="1:1" x14ac:dyDescent="0.25">
      <c r="A8602" s="56">
        <v>90908382.5</v>
      </c>
    </row>
    <row r="8603" spans="1:1" x14ac:dyDescent="0.25">
      <c r="A8603" s="56">
        <v>25568156.800000001</v>
      </c>
    </row>
    <row r="8604" spans="1:1" x14ac:dyDescent="0.25">
      <c r="A8604" s="56">
        <v>5838319.1999999899</v>
      </c>
    </row>
    <row r="8605" spans="1:1" x14ac:dyDescent="0.25">
      <c r="A8605" s="56">
        <v>30654784.800000001</v>
      </c>
    </row>
    <row r="8606" spans="1:1" x14ac:dyDescent="0.25">
      <c r="A8606" s="56">
        <v>6865311.4000000004</v>
      </c>
    </row>
    <row r="8607" spans="1:1" x14ac:dyDescent="0.25">
      <c r="A8607" s="56">
        <v>142720515.69999999</v>
      </c>
    </row>
    <row r="8608" spans="1:1" x14ac:dyDescent="0.25">
      <c r="A8608" s="56">
        <v>7859374.8999999901</v>
      </c>
    </row>
    <row r="8609" spans="1:1" x14ac:dyDescent="0.25">
      <c r="A8609" s="56">
        <v>5943375.6999999899</v>
      </c>
    </row>
    <row r="8610" spans="1:1" x14ac:dyDescent="0.25">
      <c r="A8610" s="56">
        <v>11180343.4</v>
      </c>
    </row>
    <row r="8611" spans="1:1" x14ac:dyDescent="0.25">
      <c r="A8611" s="56">
        <v>38240388.299999997</v>
      </c>
    </row>
    <row r="8612" spans="1:1" x14ac:dyDescent="0.25">
      <c r="A8612" s="56">
        <v>31886716.199999999</v>
      </c>
    </row>
    <row r="8613" spans="1:1" x14ac:dyDescent="0.25">
      <c r="A8613" s="56">
        <v>353886648.89999998</v>
      </c>
    </row>
    <row r="8614" spans="1:1" x14ac:dyDescent="0.25">
      <c r="A8614" s="56">
        <v>32665913.600000001</v>
      </c>
    </row>
    <row r="8615" spans="1:1" x14ac:dyDescent="0.25">
      <c r="A8615" s="56">
        <v>37535981.700000003</v>
      </c>
    </row>
    <row r="8616" spans="1:1" x14ac:dyDescent="0.25">
      <c r="A8616" s="56">
        <v>64800019</v>
      </c>
    </row>
    <row r="8617" spans="1:1" x14ac:dyDescent="0.25">
      <c r="A8617" s="56">
        <v>0</v>
      </c>
    </row>
    <row r="8618" spans="1:1" x14ac:dyDescent="0.25">
      <c r="A8618" s="56">
        <v>41171445.200000003</v>
      </c>
    </row>
    <row r="8619" spans="1:1" x14ac:dyDescent="0.25">
      <c r="A8619" s="56">
        <v>7213999.4000000004</v>
      </c>
    </row>
    <row r="8620" spans="1:1" x14ac:dyDescent="0.25">
      <c r="A8620" s="56">
        <v>139288216.80000001</v>
      </c>
    </row>
    <row r="8621" spans="1:1" x14ac:dyDescent="0.25">
      <c r="A8621" s="56">
        <v>79883694.399999902</v>
      </c>
    </row>
    <row r="8622" spans="1:1" x14ac:dyDescent="0.25">
      <c r="A8622" s="56">
        <v>25721585.800000001</v>
      </c>
    </row>
    <row r="8623" spans="1:1" x14ac:dyDescent="0.25">
      <c r="A8623" s="56">
        <v>128930481.90000001</v>
      </c>
    </row>
    <row r="8624" spans="1:1" x14ac:dyDescent="0.25">
      <c r="A8624" s="56">
        <v>46383564</v>
      </c>
    </row>
    <row r="8625" spans="1:1" x14ac:dyDescent="0.25">
      <c r="A8625" s="56">
        <v>77591353.099999905</v>
      </c>
    </row>
    <row r="8626" spans="1:1" x14ac:dyDescent="0.25">
      <c r="A8626" s="56">
        <v>81433472.900000006</v>
      </c>
    </row>
    <row r="8627" spans="1:1" x14ac:dyDescent="0.25">
      <c r="A8627" s="56">
        <v>9518617.7999999896</v>
      </c>
    </row>
    <row r="8628" spans="1:1" x14ac:dyDescent="0.25">
      <c r="A8628" s="56">
        <v>168022623.09999999</v>
      </c>
    </row>
    <row r="8629" spans="1:1" x14ac:dyDescent="0.25">
      <c r="A8629" s="56">
        <v>0</v>
      </c>
    </row>
    <row r="8630" spans="1:1" x14ac:dyDescent="0.25">
      <c r="A8630" s="56">
        <v>20267566.100000001</v>
      </c>
    </row>
    <row r="8631" spans="1:1" x14ac:dyDescent="0.25">
      <c r="A8631" s="56">
        <v>241209225.19999999</v>
      </c>
    </row>
    <row r="8632" spans="1:1" x14ac:dyDescent="0.25">
      <c r="A8632" s="56">
        <v>20778722.199999999</v>
      </c>
    </row>
    <row r="8633" spans="1:1" x14ac:dyDescent="0.25">
      <c r="A8633" s="56">
        <v>21285191.699999999</v>
      </c>
    </row>
    <row r="8634" spans="1:1" x14ac:dyDescent="0.25">
      <c r="A8634" s="56">
        <v>0</v>
      </c>
    </row>
    <row r="8635" spans="1:1" x14ac:dyDescent="0.25">
      <c r="A8635" s="56">
        <v>47563004.299999997</v>
      </c>
    </row>
    <row r="8636" spans="1:1" x14ac:dyDescent="0.25">
      <c r="A8636" s="56">
        <v>207947049.69999999</v>
      </c>
    </row>
    <row r="8637" spans="1:1" x14ac:dyDescent="0.25">
      <c r="A8637" s="56">
        <v>5535214.2000000002</v>
      </c>
    </row>
    <row r="8638" spans="1:1" x14ac:dyDescent="0.25">
      <c r="A8638" s="56">
        <v>21046321.300000001</v>
      </c>
    </row>
    <row r="8639" spans="1:1" x14ac:dyDescent="0.25">
      <c r="A8639" s="56">
        <v>16219924.300000001</v>
      </c>
    </row>
    <row r="8640" spans="1:1" x14ac:dyDescent="0.25">
      <c r="A8640" s="56">
        <v>47839145.399999902</v>
      </c>
    </row>
    <row r="8641" spans="1:1" x14ac:dyDescent="0.25">
      <c r="A8641" s="56">
        <v>0</v>
      </c>
    </row>
    <row r="8642" spans="1:1" x14ac:dyDescent="0.25">
      <c r="A8642" s="56">
        <v>0</v>
      </c>
    </row>
    <row r="8643" spans="1:1" x14ac:dyDescent="0.25">
      <c r="A8643" s="56">
        <v>20074079</v>
      </c>
    </row>
    <row r="8644" spans="1:1" x14ac:dyDescent="0.25">
      <c r="A8644" s="56">
        <v>6839559.5999999996</v>
      </c>
    </row>
    <row r="8645" spans="1:1" x14ac:dyDescent="0.25">
      <c r="A8645" s="56">
        <v>5710222.7999999998</v>
      </c>
    </row>
    <row r="8646" spans="1:1" x14ac:dyDescent="0.25">
      <c r="A8646" s="56">
        <v>131069278.8</v>
      </c>
    </row>
    <row r="8647" spans="1:1" x14ac:dyDescent="0.25">
      <c r="A8647" s="56">
        <v>45841592.200000003</v>
      </c>
    </row>
    <row r="8648" spans="1:1" x14ac:dyDescent="0.25">
      <c r="A8648" s="56">
        <v>0</v>
      </c>
    </row>
    <row r="8649" spans="1:1" x14ac:dyDescent="0.25">
      <c r="A8649" s="56">
        <v>14213754.300000001</v>
      </c>
    </row>
    <row r="8650" spans="1:1" x14ac:dyDescent="0.25">
      <c r="A8650" s="56">
        <v>10855013.699999999</v>
      </c>
    </row>
    <row r="8651" spans="1:1" x14ac:dyDescent="0.25">
      <c r="A8651" s="56">
        <v>71334336.799999997</v>
      </c>
    </row>
    <row r="8652" spans="1:1" x14ac:dyDescent="0.25">
      <c r="A8652" s="56">
        <v>694532514.39999998</v>
      </c>
    </row>
    <row r="8653" spans="1:1" x14ac:dyDescent="0.25">
      <c r="A8653" s="56">
        <v>14735983.6</v>
      </c>
    </row>
    <row r="8654" spans="1:1" x14ac:dyDescent="0.25">
      <c r="A8654" s="56">
        <v>24501857.399999999</v>
      </c>
    </row>
    <row r="8655" spans="1:1" x14ac:dyDescent="0.25">
      <c r="A8655" s="56">
        <v>41148102.5</v>
      </c>
    </row>
    <row r="8656" spans="1:1" x14ac:dyDescent="0.25">
      <c r="A8656" s="56">
        <v>4197731.3999999901</v>
      </c>
    </row>
    <row r="8657" spans="1:1" x14ac:dyDescent="0.25">
      <c r="A8657" s="56">
        <v>153695613.19999999</v>
      </c>
    </row>
    <row r="8658" spans="1:1" x14ac:dyDescent="0.25">
      <c r="A8658" s="56">
        <v>426912489.10000002</v>
      </c>
    </row>
    <row r="8659" spans="1:1" x14ac:dyDescent="0.25">
      <c r="A8659" s="56">
        <v>53347043.299999997</v>
      </c>
    </row>
    <row r="8660" spans="1:1" x14ac:dyDescent="0.25">
      <c r="A8660" s="56">
        <v>5162113.1999999899</v>
      </c>
    </row>
    <row r="8661" spans="1:1" x14ac:dyDescent="0.25">
      <c r="A8661" s="56">
        <v>71809111.299999997</v>
      </c>
    </row>
    <row r="8662" spans="1:1" x14ac:dyDescent="0.25">
      <c r="A8662" s="56">
        <v>73967821.399999902</v>
      </c>
    </row>
    <row r="8663" spans="1:1" x14ac:dyDescent="0.25">
      <c r="A8663" s="56">
        <v>129792751.40000001</v>
      </c>
    </row>
    <row r="8664" spans="1:1" x14ac:dyDescent="0.25">
      <c r="A8664" s="56">
        <v>74504738.699999899</v>
      </c>
    </row>
    <row r="8665" spans="1:1" x14ac:dyDescent="0.25">
      <c r="A8665" s="56">
        <v>9992843.5</v>
      </c>
    </row>
    <row r="8666" spans="1:1" x14ac:dyDescent="0.25">
      <c r="A8666" s="56">
        <v>24941796.300000001</v>
      </c>
    </row>
    <row r="8667" spans="1:1" x14ac:dyDescent="0.25">
      <c r="A8667" s="56">
        <v>12282397.199999999</v>
      </c>
    </row>
    <row r="8668" spans="1:1" x14ac:dyDescent="0.25">
      <c r="A8668" s="56">
        <v>55255458.600000001</v>
      </c>
    </row>
    <row r="8669" spans="1:1" x14ac:dyDescent="0.25">
      <c r="A8669" s="56">
        <v>0</v>
      </c>
    </row>
    <row r="8670" spans="1:1" x14ac:dyDescent="0.25">
      <c r="A8670" s="56">
        <v>6925490.5</v>
      </c>
    </row>
    <row r="8671" spans="1:1" x14ac:dyDescent="0.25">
      <c r="A8671" s="56">
        <v>23871516.899999999</v>
      </c>
    </row>
    <row r="8672" spans="1:1" x14ac:dyDescent="0.25">
      <c r="A8672" s="56">
        <v>13983506.800000001</v>
      </c>
    </row>
    <row r="8673" spans="1:1" x14ac:dyDescent="0.25">
      <c r="A8673" s="56">
        <v>151611287</v>
      </c>
    </row>
    <row r="8674" spans="1:1" x14ac:dyDescent="0.25">
      <c r="A8674" s="56">
        <v>3694097</v>
      </c>
    </row>
    <row r="8675" spans="1:1" x14ac:dyDescent="0.25">
      <c r="A8675" s="56">
        <v>43159318.5</v>
      </c>
    </row>
    <row r="8676" spans="1:1" x14ac:dyDescent="0.25">
      <c r="A8676" s="56">
        <v>0</v>
      </c>
    </row>
    <row r="8677" spans="1:1" x14ac:dyDescent="0.25">
      <c r="A8677" s="56">
        <v>223730801.40000001</v>
      </c>
    </row>
    <row r="8678" spans="1:1" x14ac:dyDescent="0.25">
      <c r="A8678" s="56">
        <v>134698936.19999999</v>
      </c>
    </row>
    <row r="8679" spans="1:1" x14ac:dyDescent="0.25">
      <c r="A8679" s="56">
        <v>0</v>
      </c>
    </row>
    <row r="8680" spans="1:1" x14ac:dyDescent="0.25">
      <c r="A8680" s="56">
        <v>11571502.5</v>
      </c>
    </row>
    <row r="8681" spans="1:1" x14ac:dyDescent="0.25">
      <c r="A8681" s="56">
        <v>26247326.199999999</v>
      </c>
    </row>
    <row r="8682" spans="1:1" x14ac:dyDescent="0.25">
      <c r="A8682" s="56">
        <v>0</v>
      </c>
    </row>
    <row r="8683" spans="1:1" x14ac:dyDescent="0.25">
      <c r="A8683" s="56">
        <v>16603576.9</v>
      </c>
    </row>
    <row r="8684" spans="1:1" x14ac:dyDescent="0.25">
      <c r="A8684" s="56">
        <v>94313774.999999896</v>
      </c>
    </row>
    <row r="8685" spans="1:1" x14ac:dyDescent="0.25">
      <c r="A8685" s="56">
        <v>112783079.90000001</v>
      </c>
    </row>
    <row r="8686" spans="1:1" x14ac:dyDescent="0.25">
      <c r="A8686" s="56">
        <v>912986.4</v>
      </c>
    </row>
    <row r="8687" spans="1:1" x14ac:dyDescent="0.25">
      <c r="A8687" s="56">
        <v>178963914.69999999</v>
      </c>
    </row>
    <row r="8688" spans="1:1" x14ac:dyDescent="0.25">
      <c r="A8688" s="56">
        <v>37356944.099999897</v>
      </c>
    </row>
    <row r="8689" spans="1:1" x14ac:dyDescent="0.25">
      <c r="A8689" s="56">
        <v>10987819.6</v>
      </c>
    </row>
    <row r="8690" spans="1:1" x14ac:dyDescent="0.25">
      <c r="A8690" s="56">
        <v>4122052.2</v>
      </c>
    </row>
    <row r="8691" spans="1:1" x14ac:dyDescent="0.25">
      <c r="A8691" s="56">
        <v>5379557.2000000002</v>
      </c>
    </row>
    <row r="8692" spans="1:1" x14ac:dyDescent="0.25">
      <c r="A8692" s="56">
        <v>51842806.899999902</v>
      </c>
    </row>
    <row r="8693" spans="1:1" x14ac:dyDescent="0.25">
      <c r="A8693" s="56">
        <v>13539277.699999999</v>
      </c>
    </row>
    <row r="8694" spans="1:1" x14ac:dyDescent="0.25">
      <c r="A8694" s="56">
        <v>51054962.299999997</v>
      </c>
    </row>
    <row r="8695" spans="1:1" x14ac:dyDescent="0.25">
      <c r="A8695" s="56">
        <v>7154780.3999999901</v>
      </c>
    </row>
    <row r="8696" spans="1:1" x14ac:dyDescent="0.25">
      <c r="A8696" s="56">
        <v>174302324.19999999</v>
      </c>
    </row>
    <row r="8697" spans="1:1" x14ac:dyDescent="0.25">
      <c r="A8697" s="56">
        <v>8339493.0999999996</v>
      </c>
    </row>
    <row r="8698" spans="1:1" x14ac:dyDescent="0.25">
      <c r="A8698" s="56">
        <v>10387681.6</v>
      </c>
    </row>
    <row r="8699" spans="1:1" x14ac:dyDescent="0.25">
      <c r="A8699" s="56">
        <v>24886744.199999999</v>
      </c>
    </row>
    <row r="8700" spans="1:1" x14ac:dyDescent="0.25">
      <c r="A8700" s="56">
        <v>288946281.80000001</v>
      </c>
    </row>
    <row r="8701" spans="1:1" x14ac:dyDescent="0.25">
      <c r="A8701" s="56">
        <v>62261937.099999897</v>
      </c>
    </row>
    <row r="8702" spans="1:1" x14ac:dyDescent="0.25">
      <c r="A8702" s="56">
        <v>69698795.699999899</v>
      </c>
    </row>
    <row r="8703" spans="1:1" x14ac:dyDescent="0.25">
      <c r="A8703" s="56">
        <v>0</v>
      </c>
    </row>
    <row r="8704" spans="1:1" x14ac:dyDescent="0.25">
      <c r="A8704" s="56">
        <v>27211772.600000001</v>
      </c>
    </row>
    <row r="8705" spans="1:1" x14ac:dyDescent="0.25">
      <c r="A8705" s="56">
        <v>58760720.799999997</v>
      </c>
    </row>
    <row r="8706" spans="1:1" x14ac:dyDescent="0.25">
      <c r="A8706" s="56">
        <v>40097181.599999897</v>
      </c>
    </row>
    <row r="8707" spans="1:1" x14ac:dyDescent="0.25">
      <c r="A8707" s="56">
        <v>16940838.800000001</v>
      </c>
    </row>
    <row r="8708" spans="1:1" x14ac:dyDescent="0.25">
      <c r="A8708" s="56">
        <v>0</v>
      </c>
    </row>
    <row r="8709" spans="1:1" x14ac:dyDescent="0.25">
      <c r="A8709" s="56">
        <v>0</v>
      </c>
    </row>
    <row r="8710" spans="1:1" x14ac:dyDescent="0.25">
      <c r="A8710" s="56">
        <v>52949673.899999999</v>
      </c>
    </row>
    <row r="8711" spans="1:1" x14ac:dyDescent="0.25">
      <c r="A8711" s="56">
        <v>692339.19999999995</v>
      </c>
    </row>
    <row r="8712" spans="1:1" x14ac:dyDescent="0.25">
      <c r="A8712" s="56">
        <v>67658487.399999902</v>
      </c>
    </row>
    <row r="8713" spans="1:1" x14ac:dyDescent="0.25">
      <c r="A8713" s="56">
        <v>6529697.6999999899</v>
      </c>
    </row>
    <row r="8714" spans="1:1" x14ac:dyDescent="0.25">
      <c r="A8714" s="56">
        <v>31920692.399999999</v>
      </c>
    </row>
    <row r="8715" spans="1:1" x14ac:dyDescent="0.25">
      <c r="A8715" s="56">
        <v>42919861.599999897</v>
      </c>
    </row>
    <row r="8716" spans="1:1" x14ac:dyDescent="0.25">
      <c r="A8716" s="56">
        <v>11406863.5</v>
      </c>
    </row>
    <row r="8717" spans="1:1" x14ac:dyDescent="0.25">
      <c r="A8717" s="56">
        <v>176494808.80000001</v>
      </c>
    </row>
    <row r="8718" spans="1:1" x14ac:dyDescent="0.25">
      <c r="A8718" s="56">
        <v>11904309.9</v>
      </c>
    </row>
    <row r="8719" spans="1:1" x14ac:dyDescent="0.25">
      <c r="A8719" s="56">
        <v>13549622</v>
      </c>
    </row>
    <row r="8720" spans="1:1" x14ac:dyDescent="0.25">
      <c r="A8720" s="56">
        <v>26143651.600000001</v>
      </c>
    </row>
    <row r="8721" spans="1:1" x14ac:dyDescent="0.25">
      <c r="A8721" s="56">
        <v>12285114.1</v>
      </c>
    </row>
    <row r="8722" spans="1:1" x14ac:dyDescent="0.25">
      <c r="A8722" s="56">
        <v>923586</v>
      </c>
    </row>
    <row r="8723" spans="1:1" x14ac:dyDescent="0.25">
      <c r="A8723" s="56">
        <v>171589605.30000001</v>
      </c>
    </row>
    <row r="8724" spans="1:1" x14ac:dyDescent="0.25">
      <c r="A8724" s="56">
        <v>6135597.0999999996</v>
      </c>
    </row>
    <row r="8725" spans="1:1" x14ac:dyDescent="0.25">
      <c r="A8725" s="56">
        <v>11329428.5</v>
      </c>
    </row>
    <row r="8726" spans="1:1" x14ac:dyDescent="0.25">
      <c r="A8726" s="56">
        <v>0</v>
      </c>
    </row>
    <row r="8727" spans="1:1" x14ac:dyDescent="0.25">
      <c r="A8727" s="56">
        <v>9368305</v>
      </c>
    </row>
    <row r="8728" spans="1:1" x14ac:dyDescent="0.25">
      <c r="A8728" s="56">
        <v>71094009.099999905</v>
      </c>
    </row>
    <row r="8729" spans="1:1" x14ac:dyDescent="0.25">
      <c r="A8729" s="56">
        <v>33901301.299999997</v>
      </c>
    </row>
    <row r="8730" spans="1:1" x14ac:dyDescent="0.25">
      <c r="A8730" s="56">
        <v>41391559.599999897</v>
      </c>
    </row>
    <row r="8731" spans="1:1" x14ac:dyDescent="0.25">
      <c r="A8731" s="56">
        <v>16144829.6</v>
      </c>
    </row>
    <row r="8732" spans="1:1" x14ac:dyDescent="0.25">
      <c r="A8732" s="56">
        <v>24266026.699999999</v>
      </c>
    </row>
    <row r="8733" spans="1:1" x14ac:dyDescent="0.25">
      <c r="A8733" s="56">
        <v>66758525.099999897</v>
      </c>
    </row>
    <row r="8734" spans="1:1" x14ac:dyDescent="0.25">
      <c r="A8734" s="56">
        <v>295921236.99999899</v>
      </c>
    </row>
    <row r="8735" spans="1:1" x14ac:dyDescent="0.25">
      <c r="A8735" s="56">
        <v>40364540.599999897</v>
      </c>
    </row>
    <row r="8736" spans="1:1" x14ac:dyDescent="0.25">
      <c r="A8736" s="56">
        <v>12500443.9</v>
      </c>
    </row>
    <row r="8737" spans="1:1" x14ac:dyDescent="0.25">
      <c r="A8737" s="56">
        <v>35308720.100000001</v>
      </c>
    </row>
    <row r="8738" spans="1:1" x14ac:dyDescent="0.25">
      <c r="A8738" s="56">
        <v>34062311.099999897</v>
      </c>
    </row>
    <row r="8739" spans="1:1" x14ac:dyDescent="0.25">
      <c r="A8739" s="56">
        <v>0</v>
      </c>
    </row>
    <row r="8740" spans="1:1" x14ac:dyDescent="0.25">
      <c r="A8740" s="56">
        <v>3788635.8</v>
      </c>
    </row>
    <row r="8741" spans="1:1" x14ac:dyDescent="0.25">
      <c r="A8741" s="56">
        <v>10013423.6</v>
      </c>
    </row>
    <row r="8742" spans="1:1" x14ac:dyDescent="0.25">
      <c r="A8742" s="56">
        <v>43182451.899999999</v>
      </c>
    </row>
    <row r="8743" spans="1:1" x14ac:dyDescent="0.25">
      <c r="A8743" s="56">
        <v>49602897.399999999</v>
      </c>
    </row>
    <row r="8744" spans="1:1" x14ac:dyDescent="0.25">
      <c r="A8744" s="56">
        <v>38598465.799999997</v>
      </c>
    </row>
    <row r="8745" spans="1:1" x14ac:dyDescent="0.25">
      <c r="A8745" s="56">
        <v>10122235.800000001</v>
      </c>
    </row>
    <row r="8746" spans="1:1" x14ac:dyDescent="0.25">
      <c r="A8746" s="56">
        <v>187488093.30000001</v>
      </c>
    </row>
    <row r="8747" spans="1:1" x14ac:dyDescent="0.25">
      <c r="A8747" s="56">
        <v>13103299.300000001</v>
      </c>
    </row>
    <row r="8748" spans="1:1" x14ac:dyDescent="0.25">
      <c r="A8748" s="56">
        <v>108739753</v>
      </c>
    </row>
    <row r="8749" spans="1:1" x14ac:dyDescent="0.25">
      <c r="A8749" s="56">
        <v>12461698.300000001</v>
      </c>
    </row>
    <row r="8750" spans="1:1" x14ac:dyDescent="0.25">
      <c r="A8750" s="56">
        <v>44024114.200000003</v>
      </c>
    </row>
    <row r="8751" spans="1:1" x14ac:dyDescent="0.25">
      <c r="A8751" s="56">
        <v>53808158.999999903</v>
      </c>
    </row>
    <row r="8752" spans="1:1" x14ac:dyDescent="0.25">
      <c r="A8752" s="56">
        <v>13998351.9</v>
      </c>
    </row>
    <row r="8753" spans="1:1" x14ac:dyDescent="0.25">
      <c r="A8753" s="56">
        <v>15179154.800000001</v>
      </c>
    </row>
    <row r="8754" spans="1:1" x14ac:dyDescent="0.25">
      <c r="A8754" s="56">
        <v>433213404.30000001</v>
      </c>
    </row>
    <row r="8755" spans="1:1" x14ac:dyDescent="0.25">
      <c r="A8755" s="56">
        <v>223927220.09999999</v>
      </c>
    </row>
    <row r="8756" spans="1:1" x14ac:dyDescent="0.25">
      <c r="A8756" s="56">
        <v>10017374.300000001</v>
      </c>
    </row>
    <row r="8757" spans="1:1" x14ac:dyDescent="0.25">
      <c r="A8757" s="56">
        <v>40869474.600000001</v>
      </c>
    </row>
    <row r="8758" spans="1:1" x14ac:dyDescent="0.25">
      <c r="A8758" s="56">
        <v>60779944.200000003</v>
      </c>
    </row>
    <row r="8759" spans="1:1" x14ac:dyDescent="0.25">
      <c r="A8759" s="56">
        <v>191935593.40000001</v>
      </c>
    </row>
    <row r="8760" spans="1:1" x14ac:dyDescent="0.25">
      <c r="A8760" s="56">
        <v>158226135.09999999</v>
      </c>
    </row>
    <row r="8761" spans="1:1" x14ac:dyDescent="0.25">
      <c r="A8761" s="56">
        <v>19326162.699999999</v>
      </c>
    </row>
    <row r="8762" spans="1:1" x14ac:dyDescent="0.25">
      <c r="A8762" s="56">
        <v>0</v>
      </c>
    </row>
    <row r="8763" spans="1:1" x14ac:dyDescent="0.25">
      <c r="A8763" s="56">
        <v>35560657.399999999</v>
      </c>
    </row>
    <row r="8764" spans="1:1" x14ac:dyDescent="0.25">
      <c r="A8764" s="56">
        <v>54074005.299999997</v>
      </c>
    </row>
    <row r="8765" spans="1:1" x14ac:dyDescent="0.25">
      <c r="A8765" s="56">
        <v>60510532.5</v>
      </c>
    </row>
    <row r="8766" spans="1:1" x14ac:dyDescent="0.25">
      <c r="A8766" s="56">
        <v>47153636.099999897</v>
      </c>
    </row>
    <row r="8767" spans="1:1" x14ac:dyDescent="0.25">
      <c r="A8767" s="56">
        <v>9422295.1999999899</v>
      </c>
    </row>
    <row r="8768" spans="1:1" x14ac:dyDescent="0.25">
      <c r="A8768" s="56">
        <v>216424830.30000001</v>
      </c>
    </row>
    <row r="8769" spans="1:1" x14ac:dyDescent="0.25">
      <c r="A8769" s="56">
        <v>41322867.200000003</v>
      </c>
    </row>
    <row r="8770" spans="1:1" x14ac:dyDescent="0.25">
      <c r="A8770" s="56">
        <v>14850515.5</v>
      </c>
    </row>
    <row r="8771" spans="1:1" x14ac:dyDescent="0.25">
      <c r="A8771" s="56">
        <v>103123741.3</v>
      </c>
    </row>
    <row r="8772" spans="1:1" x14ac:dyDescent="0.25">
      <c r="A8772" s="56">
        <v>1398509.6</v>
      </c>
    </row>
    <row r="8773" spans="1:1" x14ac:dyDescent="0.25">
      <c r="A8773" s="56">
        <v>80005518.5</v>
      </c>
    </row>
    <row r="8774" spans="1:1" x14ac:dyDescent="0.25">
      <c r="A8774" s="56">
        <v>82986201.199999899</v>
      </c>
    </row>
    <row r="8775" spans="1:1" x14ac:dyDescent="0.25">
      <c r="A8775" s="56">
        <v>43343375.399999902</v>
      </c>
    </row>
    <row r="8776" spans="1:1" x14ac:dyDescent="0.25">
      <c r="A8776" s="56">
        <v>18959210.699999999</v>
      </c>
    </row>
    <row r="8777" spans="1:1" x14ac:dyDescent="0.25">
      <c r="A8777" s="56">
        <v>530640.80000000005</v>
      </c>
    </row>
    <row r="8778" spans="1:1" x14ac:dyDescent="0.25">
      <c r="A8778" s="56">
        <v>20117655.399999999</v>
      </c>
    </row>
    <row r="8779" spans="1:1" x14ac:dyDescent="0.25">
      <c r="A8779" s="56">
        <v>13279482.800000001</v>
      </c>
    </row>
    <row r="8780" spans="1:1" x14ac:dyDescent="0.25">
      <c r="A8780" s="56">
        <v>185849040.19999999</v>
      </c>
    </row>
    <row r="8781" spans="1:1" x14ac:dyDescent="0.25">
      <c r="A8781" s="56">
        <v>39704732.200000003</v>
      </c>
    </row>
    <row r="8782" spans="1:1" x14ac:dyDescent="0.25">
      <c r="A8782" s="56">
        <v>157685725.90000001</v>
      </c>
    </row>
    <row r="8783" spans="1:1" x14ac:dyDescent="0.25">
      <c r="A8783" s="56">
        <v>3426131.4</v>
      </c>
    </row>
    <row r="8784" spans="1:1" x14ac:dyDescent="0.25">
      <c r="A8784" s="56">
        <v>27393376.800000001</v>
      </c>
    </row>
    <row r="8785" spans="1:1" x14ac:dyDescent="0.25">
      <c r="A8785" s="56">
        <v>10268085.6</v>
      </c>
    </row>
    <row r="8786" spans="1:1" x14ac:dyDescent="0.25">
      <c r="A8786" s="56">
        <v>9039949.5999999996</v>
      </c>
    </row>
    <row r="8787" spans="1:1" x14ac:dyDescent="0.25">
      <c r="A8787" s="56">
        <v>107694076.8</v>
      </c>
    </row>
    <row r="8788" spans="1:1" x14ac:dyDescent="0.25">
      <c r="A8788" s="56">
        <v>3844690.4</v>
      </c>
    </row>
    <row r="8789" spans="1:1" x14ac:dyDescent="0.25">
      <c r="A8789" s="56">
        <v>6459199.7999999998</v>
      </c>
    </row>
    <row r="8790" spans="1:1" x14ac:dyDescent="0.25">
      <c r="A8790" s="56">
        <v>235130843.69999999</v>
      </c>
    </row>
    <row r="8791" spans="1:1" x14ac:dyDescent="0.25">
      <c r="A8791" s="56">
        <v>31616119</v>
      </c>
    </row>
    <row r="8792" spans="1:1" x14ac:dyDescent="0.25">
      <c r="A8792" s="56">
        <v>46660575.399999999</v>
      </c>
    </row>
    <row r="8793" spans="1:1" x14ac:dyDescent="0.25">
      <c r="A8793" s="56">
        <v>0</v>
      </c>
    </row>
    <row r="8794" spans="1:1" x14ac:dyDescent="0.25">
      <c r="A8794" s="56">
        <v>3383715.6</v>
      </c>
    </row>
    <row r="8795" spans="1:1" x14ac:dyDescent="0.25">
      <c r="A8795" s="56">
        <v>113838957</v>
      </c>
    </row>
    <row r="8796" spans="1:1" x14ac:dyDescent="0.25">
      <c r="A8796" s="56">
        <v>83726592.599999905</v>
      </c>
    </row>
    <row r="8797" spans="1:1" x14ac:dyDescent="0.25">
      <c r="A8797" s="56">
        <v>89386998.099999905</v>
      </c>
    </row>
    <row r="8798" spans="1:1" x14ac:dyDescent="0.25">
      <c r="A8798" s="56">
        <v>71043331.199999899</v>
      </c>
    </row>
    <row r="8799" spans="1:1" x14ac:dyDescent="0.25">
      <c r="A8799" s="56">
        <v>66758672</v>
      </c>
    </row>
    <row r="8800" spans="1:1" x14ac:dyDescent="0.25">
      <c r="A8800" s="56">
        <v>77846395.900000006</v>
      </c>
    </row>
    <row r="8801" spans="1:1" x14ac:dyDescent="0.25">
      <c r="A8801" s="56">
        <v>268867102</v>
      </c>
    </row>
    <row r="8802" spans="1:1" x14ac:dyDescent="0.25">
      <c r="A8802" s="56">
        <v>58036160.299999997</v>
      </c>
    </row>
    <row r="8803" spans="1:1" x14ac:dyDescent="0.25">
      <c r="A8803" s="56">
        <v>0</v>
      </c>
    </row>
    <row r="8804" spans="1:1" x14ac:dyDescent="0.25">
      <c r="A8804" s="56">
        <v>10328239.300000001</v>
      </c>
    </row>
    <row r="8805" spans="1:1" x14ac:dyDescent="0.25">
      <c r="A8805" s="56">
        <v>725588364.79999995</v>
      </c>
    </row>
    <row r="8806" spans="1:1" x14ac:dyDescent="0.25">
      <c r="A8806" s="56">
        <v>45320943.399999999</v>
      </c>
    </row>
    <row r="8807" spans="1:1" x14ac:dyDescent="0.25">
      <c r="A8807" s="56">
        <v>22162973.100000001</v>
      </c>
    </row>
    <row r="8808" spans="1:1" x14ac:dyDescent="0.25">
      <c r="A8808" s="56">
        <v>6533211.2999999998</v>
      </c>
    </row>
    <row r="8809" spans="1:1" x14ac:dyDescent="0.25">
      <c r="A8809" s="56">
        <v>47303854</v>
      </c>
    </row>
    <row r="8810" spans="1:1" x14ac:dyDescent="0.25">
      <c r="A8810" s="56">
        <v>860590.8</v>
      </c>
    </row>
    <row r="8811" spans="1:1" x14ac:dyDescent="0.25">
      <c r="A8811" s="56">
        <v>65631555.100000001</v>
      </c>
    </row>
    <row r="8812" spans="1:1" x14ac:dyDescent="0.25">
      <c r="A8812" s="56">
        <v>4815293.5999999996</v>
      </c>
    </row>
    <row r="8813" spans="1:1" x14ac:dyDescent="0.25">
      <c r="A8813" s="56">
        <v>2091318</v>
      </c>
    </row>
    <row r="8814" spans="1:1" x14ac:dyDescent="0.25">
      <c r="A8814" s="56">
        <v>0</v>
      </c>
    </row>
    <row r="8815" spans="1:1" x14ac:dyDescent="0.25">
      <c r="A8815" s="56">
        <v>8244302.6999999899</v>
      </c>
    </row>
    <row r="8816" spans="1:1" x14ac:dyDescent="0.25">
      <c r="A8816" s="56">
        <v>144263342.09999999</v>
      </c>
    </row>
    <row r="8817" spans="1:1" x14ac:dyDescent="0.25">
      <c r="A8817" s="56">
        <v>0</v>
      </c>
    </row>
    <row r="8818" spans="1:1" x14ac:dyDescent="0.25">
      <c r="A8818" s="56">
        <v>78259544.200000003</v>
      </c>
    </row>
    <row r="8819" spans="1:1" x14ac:dyDescent="0.25">
      <c r="A8819" s="56">
        <v>30085600.899999999</v>
      </c>
    </row>
    <row r="8820" spans="1:1" x14ac:dyDescent="0.25">
      <c r="A8820" s="56">
        <v>0</v>
      </c>
    </row>
    <row r="8821" spans="1:1" x14ac:dyDescent="0.25">
      <c r="A8821" s="56">
        <v>9919619.9000000004</v>
      </c>
    </row>
    <row r="8822" spans="1:1" x14ac:dyDescent="0.25">
      <c r="A8822" s="56">
        <v>45043916.5</v>
      </c>
    </row>
    <row r="8823" spans="1:1" x14ac:dyDescent="0.25">
      <c r="A8823" s="56">
        <v>5291605.8</v>
      </c>
    </row>
    <row r="8824" spans="1:1" x14ac:dyDescent="0.25">
      <c r="A8824" s="56">
        <v>0</v>
      </c>
    </row>
    <row r="8825" spans="1:1" x14ac:dyDescent="0.25">
      <c r="A8825" s="56">
        <v>107901575.7</v>
      </c>
    </row>
    <row r="8826" spans="1:1" x14ac:dyDescent="0.25">
      <c r="A8826" s="56">
        <v>441764.4</v>
      </c>
    </row>
    <row r="8827" spans="1:1" x14ac:dyDescent="0.25">
      <c r="A8827" s="56">
        <v>241456835.90000001</v>
      </c>
    </row>
    <row r="8828" spans="1:1" x14ac:dyDescent="0.25">
      <c r="A8828" s="56">
        <v>28221913.100000001</v>
      </c>
    </row>
    <row r="8829" spans="1:1" x14ac:dyDescent="0.25">
      <c r="A8829" s="56">
        <v>64528903.099999897</v>
      </c>
    </row>
    <row r="8830" spans="1:1" x14ac:dyDescent="0.25">
      <c r="A8830" s="56">
        <v>5117568.8</v>
      </c>
    </row>
    <row r="8831" spans="1:1" x14ac:dyDescent="0.25">
      <c r="A8831" s="56">
        <v>66477965</v>
      </c>
    </row>
    <row r="8832" spans="1:1" x14ac:dyDescent="0.25">
      <c r="A8832" s="56">
        <v>6368940.2999999896</v>
      </c>
    </row>
    <row r="8833" spans="1:1" x14ac:dyDescent="0.25">
      <c r="A8833" s="56">
        <v>24064924.600000001</v>
      </c>
    </row>
    <row r="8834" spans="1:1" x14ac:dyDescent="0.25">
      <c r="A8834" s="56">
        <v>250934834.30000001</v>
      </c>
    </row>
    <row r="8835" spans="1:1" x14ac:dyDescent="0.25">
      <c r="A8835" s="56">
        <v>192246170.40000001</v>
      </c>
    </row>
    <row r="8836" spans="1:1" x14ac:dyDescent="0.25">
      <c r="A8836" s="56">
        <v>1121621.2</v>
      </c>
    </row>
    <row r="8837" spans="1:1" x14ac:dyDescent="0.25">
      <c r="A8837" s="56">
        <v>3487438</v>
      </c>
    </row>
    <row r="8838" spans="1:1" x14ac:dyDescent="0.25">
      <c r="A8838" s="56">
        <v>27618907</v>
      </c>
    </row>
    <row r="8839" spans="1:1" x14ac:dyDescent="0.25">
      <c r="A8839" s="56">
        <v>13443906.199999999</v>
      </c>
    </row>
    <row r="8840" spans="1:1" x14ac:dyDescent="0.25">
      <c r="A8840" s="56">
        <v>14001094.1</v>
      </c>
    </row>
    <row r="8841" spans="1:1" x14ac:dyDescent="0.25">
      <c r="A8841" s="56">
        <v>32628190.800000001</v>
      </c>
    </row>
    <row r="8842" spans="1:1" x14ac:dyDescent="0.25">
      <c r="A8842" s="56">
        <v>78799845.399999902</v>
      </c>
    </row>
    <row r="8843" spans="1:1" x14ac:dyDescent="0.25">
      <c r="A8843" s="56">
        <v>32156012.599999901</v>
      </c>
    </row>
    <row r="8844" spans="1:1" x14ac:dyDescent="0.25">
      <c r="A8844" s="56">
        <v>0</v>
      </c>
    </row>
    <row r="8845" spans="1:1" x14ac:dyDescent="0.25">
      <c r="A8845" s="56">
        <v>17358498.100000001</v>
      </c>
    </row>
    <row r="8846" spans="1:1" x14ac:dyDescent="0.25">
      <c r="A8846" s="56">
        <v>4746791.2</v>
      </c>
    </row>
    <row r="8847" spans="1:1" x14ac:dyDescent="0.25">
      <c r="A8847" s="56">
        <v>12851543.1</v>
      </c>
    </row>
    <row r="8848" spans="1:1" x14ac:dyDescent="0.25">
      <c r="A8848" s="56">
        <v>278220294.5</v>
      </c>
    </row>
    <row r="8849" spans="1:1" x14ac:dyDescent="0.25">
      <c r="A8849" s="56">
        <v>3823167.8</v>
      </c>
    </row>
    <row r="8850" spans="1:1" x14ac:dyDescent="0.25">
      <c r="A8850" s="56">
        <v>12197615.5</v>
      </c>
    </row>
    <row r="8851" spans="1:1" x14ac:dyDescent="0.25">
      <c r="A8851" s="56">
        <v>13114899.199999999</v>
      </c>
    </row>
    <row r="8852" spans="1:1" x14ac:dyDescent="0.25">
      <c r="A8852" s="56">
        <v>38301204.899999999</v>
      </c>
    </row>
    <row r="8853" spans="1:1" x14ac:dyDescent="0.25">
      <c r="A8853" s="56">
        <v>138514372.80000001</v>
      </c>
    </row>
    <row r="8854" spans="1:1" x14ac:dyDescent="0.25">
      <c r="A8854" s="56">
        <v>265225369.69999999</v>
      </c>
    </row>
    <row r="8855" spans="1:1" x14ac:dyDescent="0.25">
      <c r="A8855" s="56">
        <v>0</v>
      </c>
    </row>
    <row r="8856" spans="1:1" x14ac:dyDescent="0.25">
      <c r="A8856" s="56">
        <v>110266494</v>
      </c>
    </row>
    <row r="8857" spans="1:1" x14ac:dyDescent="0.25">
      <c r="A8857" s="56">
        <v>961851.2</v>
      </c>
    </row>
    <row r="8858" spans="1:1" x14ac:dyDescent="0.25">
      <c r="A8858" s="56">
        <v>860542.8</v>
      </c>
    </row>
    <row r="8859" spans="1:1" x14ac:dyDescent="0.25">
      <c r="A8859" s="56">
        <v>487011809.10000002</v>
      </c>
    </row>
    <row r="8860" spans="1:1" x14ac:dyDescent="0.25">
      <c r="A8860" s="56">
        <v>0</v>
      </c>
    </row>
    <row r="8861" spans="1:1" x14ac:dyDescent="0.25">
      <c r="A8861" s="56">
        <v>4178129.4</v>
      </c>
    </row>
    <row r="8862" spans="1:1" x14ac:dyDescent="0.25">
      <c r="A8862" s="56">
        <v>19720107.899999999</v>
      </c>
    </row>
    <row r="8863" spans="1:1" x14ac:dyDescent="0.25">
      <c r="A8863" s="56">
        <v>81312642.599999905</v>
      </c>
    </row>
    <row r="8864" spans="1:1" x14ac:dyDescent="0.25">
      <c r="A8864" s="56">
        <v>8568584.8000000007</v>
      </c>
    </row>
    <row r="8865" spans="1:1" x14ac:dyDescent="0.25">
      <c r="A8865" s="56">
        <v>0</v>
      </c>
    </row>
    <row r="8866" spans="1:1" x14ac:dyDescent="0.25">
      <c r="A8866" s="56">
        <v>5681801.4000000004</v>
      </c>
    </row>
    <row r="8867" spans="1:1" x14ac:dyDescent="0.25">
      <c r="A8867" s="56">
        <v>74934407</v>
      </c>
    </row>
    <row r="8868" spans="1:1" x14ac:dyDescent="0.25">
      <c r="A8868" s="56">
        <v>19053949.699999999</v>
      </c>
    </row>
    <row r="8869" spans="1:1" x14ac:dyDescent="0.25">
      <c r="A8869" s="56">
        <v>5093673.8999999901</v>
      </c>
    </row>
    <row r="8870" spans="1:1" x14ac:dyDescent="0.25">
      <c r="A8870" s="56">
        <v>203509433.40000001</v>
      </c>
    </row>
    <row r="8871" spans="1:1" x14ac:dyDescent="0.25">
      <c r="A8871" s="56">
        <v>14734070</v>
      </c>
    </row>
    <row r="8872" spans="1:1" x14ac:dyDescent="0.25">
      <c r="A8872" s="56">
        <v>32350076.899999999</v>
      </c>
    </row>
    <row r="8873" spans="1:1" x14ac:dyDescent="0.25">
      <c r="A8873" s="56">
        <v>0</v>
      </c>
    </row>
    <row r="8874" spans="1:1" x14ac:dyDescent="0.25">
      <c r="A8874" s="56">
        <v>16430099.4</v>
      </c>
    </row>
    <row r="8875" spans="1:1" x14ac:dyDescent="0.25">
      <c r="A8875" s="56">
        <v>65616186</v>
      </c>
    </row>
    <row r="8876" spans="1:1" x14ac:dyDescent="0.25">
      <c r="A8876" s="56">
        <v>7497960.1999999899</v>
      </c>
    </row>
    <row r="8877" spans="1:1" x14ac:dyDescent="0.25">
      <c r="A8877" s="56">
        <v>834741.2</v>
      </c>
    </row>
    <row r="8878" spans="1:1" x14ac:dyDescent="0.25">
      <c r="A8878" s="56">
        <v>3626253</v>
      </c>
    </row>
    <row r="8879" spans="1:1" x14ac:dyDescent="0.25">
      <c r="A8879" s="56">
        <v>0</v>
      </c>
    </row>
    <row r="8880" spans="1:1" x14ac:dyDescent="0.25">
      <c r="A8880" s="56">
        <v>7717687</v>
      </c>
    </row>
    <row r="8881" spans="1:1" x14ac:dyDescent="0.25">
      <c r="A8881" s="56">
        <v>169284575.80000001</v>
      </c>
    </row>
    <row r="8882" spans="1:1" x14ac:dyDescent="0.25">
      <c r="A8882" s="56">
        <v>158022553.09999999</v>
      </c>
    </row>
    <row r="8883" spans="1:1" x14ac:dyDescent="0.25">
      <c r="A8883" s="56">
        <v>66993660.600000001</v>
      </c>
    </row>
    <row r="8884" spans="1:1" x14ac:dyDescent="0.25">
      <c r="A8884" s="56">
        <v>0</v>
      </c>
    </row>
    <row r="8885" spans="1:1" x14ac:dyDescent="0.25">
      <c r="A8885" s="56">
        <v>97928379.799999893</v>
      </c>
    </row>
    <row r="8886" spans="1:1" x14ac:dyDescent="0.25">
      <c r="A8886" s="56">
        <v>23168452.800000001</v>
      </c>
    </row>
    <row r="8887" spans="1:1" x14ac:dyDescent="0.25">
      <c r="A8887" s="56">
        <v>80717508.499999896</v>
      </c>
    </row>
    <row r="8888" spans="1:1" x14ac:dyDescent="0.25">
      <c r="A8888" s="56">
        <v>32003131.399999999</v>
      </c>
    </row>
    <row r="8889" spans="1:1" x14ac:dyDescent="0.25">
      <c r="A8889" s="56">
        <v>203534494.90000001</v>
      </c>
    </row>
    <row r="8890" spans="1:1" x14ac:dyDescent="0.25">
      <c r="A8890" s="56">
        <v>112414762.5</v>
      </c>
    </row>
    <row r="8891" spans="1:1" x14ac:dyDescent="0.25">
      <c r="A8891" s="56">
        <v>24849980.399999999</v>
      </c>
    </row>
    <row r="8892" spans="1:1" x14ac:dyDescent="0.25">
      <c r="A8892" s="56">
        <v>16950720.399999999</v>
      </c>
    </row>
    <row r="8893" spans="1:1" x14ac:dyDescent="0.25">
      <c r="A8893" s="56">
        <v>56292857.399999999</v>
      </c>
    </row>
    <row r="8894" spans="1:1" x14ac:dyDescent="0.25">
      <c r="A8894" s="56">
        <v>108648951.2</v>
      </c>
    </row>
    <row r="8895" spans="1:1" x14ac:dyDescent="0.25">
      <c r="A8895" s="56">
        <v>17468632.600000001</v>
      </c>
    </row>
    <row r="8896" spans="1:1" x14ac:dyDescent="0.25">
      <c r="A8896" s="56">
        <v>29934022</v>
      </c>
    </row>
    <row r="8897" spans="1:1" x14ac:dyDescent="0.25">
      <c r="A8897" s="56">
        <v>47282973.299999997</v>
      </c>
    </row>
    <row r="8898" spans="1:1" x14ac:dyDescent="0.25">
      <c r="A8898" s="56">
        <v>21860161.199999999</v>
      </c>
    </row>
    <row r="8899" spans="1:1" x14ac:dyDescent="0.25">
      <c r="A8899" s="56">
        <v>29472282.199999999</v>
      </c>
    </row>
    <row r="8900" spans="1:1" x14ac:dyDescent="0.25">
      <c r="A8900" s="56">
        <v>27644887.5</v>
      </c>
    </row>
    <row r="8901" spans="1:1" x14ac:dyDescent="0.25">
      <c r="A8901" s="56">
        <v>0</v>
      </c>
    </row>
    <row r="8902" spans="1:1" x14ac:dyDescent="0.25">
      <c r="A8902" s="56">
        <v>170691408.80000001</v>
      </c>
    </row>
    <row r="8903" spans="1:1" x14ac:dyDescent="0.25">
      <c r="A8903" s="56">
        <v>73772126</v>
      </c>
    </row>
    <row r="8904" spans="1:1" x14ac:dyDescent="0.25">
      <c r="A8904" s="56">
        <v>23220740</v>
      </c>
    </row>
    <row r="8905" spans="1:1" x14ac:dyDescent="0.25">
      <c r="A8905" s="56">
        <v>1034119.6</v>
      </c>
    </row>
    <row r="8906" spans="1:1" x14ac:dyDescent="0.25">
      <c r="A8906" s="56">
        <v>160855422.80000001</v>
      </c>
    </row>
    <row r="8907" spans="1:1" x14ac:dyDescent="0.25">
      <c r="A8907" s="56">
        <v>50036664</v>
      </c>
    </row>
    <row r="8908" spans="1:1" x14ac:dyDescent="0.25">
      <c r="A8908" s="56">
        <v>3305527.8</v>
      </c>
    </row>
    <row r="8909" spans="1:1" x14ac:dyDescent="0.25">
      <c r="A8909" s="56">
        <v>23825808.899999999</v>
      </c>
    </row>
    <row r="8910" spans="1:1" x14ac:dyDescent="0.25">
      <c r="A8910" s="56">
        <v>33414304.5</v>
      </c>
    </row>
    <row r="8911" spans="1:1" x14ac:dyDescent="0.25">
      <c r="A8911" s="56">
        <v>26929927.5</v>
      </c>
    </row>
    <row r="8912" spans="1:1" x14ac:dyDescent="0.25">
      <c r="A8912" s="56">
        <v>153023325.30000001</v>
      </c>
    </row>
    <row r="8913" spans="1:1" x14ac:dyDescent="0.25">
      <c r="A8913" s="56">
        <v>13386921.9</v>
      </c>
    </row>
    <row r="8914" spans="1:1" x14ac:dyDescent="0.25">
      <c r="A8914" s="56">
        <v>13178664.6</v>
      </c>
    </row>
    <row r="8915" spans="1:1" x14ac:dyDescent="0.25">
      <c r="A8915" s="56">
        <v>43511293.299999997</v>
      </c>
    </row>
    <row r="8916" spans="1:1" x14ac:dyDescent="0.25">
      <c r="A8916" s="56">
        <v>5712866.4000000004</v>
      </c>
    </row>
    <row r="8917" spans="1:1" x14ac:dyDescent="0.25">
      <c r="A8917" s="56">
        <v>30714406.199999999</v>
      </c>
    </row>
    <row r="8918" spans="1:1" x14ac:dyDescent="0.25">
      <c r="A8918" s="56">
        <v>753347003.20000005</v>
      </c>
    </row>
    <row r="8919" spans="1:1" x14ac:dyDescent="0.25">
      <c r="A8919" s="56">
        <v>0</v>
      </c>
    </row>
    <row r="8920" spans="1:1" x14ac:dyDescent="0.25">
      <c r="A8920" s="56">
        <v>8053243.4999999898</v>
      </c>
    </row>
    <row r="8921" spans="1:1" x14ac:dyDescent="0.25">
      <c r="A8921" s="56">
        <v>58415987.299999997</v>
      </c>
    </row>
    <row r="8922" spans="1:1" x14ac:dyDescent="0.25">
      <c r="A8922" s="56">
        <v>145022926</v>
      </c>
    </row>
    <row r="8923" spans="1:1" x14ac:dyDescent="0.25">
      <c r="A8923" s="56">
        <v>530640.80000000005</v>
      </c>
    </row>
    <row r="8924" spans="1:1" x14ac:dyDescent="0.25">
      <c r="A8924" s="56">
        <v>33009476.300000001</v>
      </c>
    </row>
    <row r="8925" spans="1:1" x14ac:dyDescent="0.25">
      <c r="A8925" s="56">
        <v>0</v>
      </c>
    </row>
    <row r="8926" spans="1:1" x14ac:dyDescent="0.25">
      <c r="A8926" s="56">
        <v>11514032.6</v>
      </c>
    </row>
    <row r="8927" spans="1:1" x14ac:dyDescent="0.25">
      <c r="A8927" s="56">
        <v>0</v>
      </c>
    </row>
    <row r="8928" spans="1:1" x14ac:dyDescent="0.25">
      <c r="A8928" s="56">
        <v>17461634.800000001</v>
      </c>
    </row>
    <row r="8929" spans="1:1" x14ac:dyDescent="0.25">
      <c r="A8929" s="56">
        <v>11952122.4</v>
      </c>
    </row>
    <row r="8930" spans="1:1" x14ac:dyDescent="0.25">
      <c r="A8930" s="56">
        <v>108856318.8</v>
      </c>
    </row>
    <row r="8931" spans="1:1" x14ac:dyDescent="0.25">
      <c r="A8931" s="56">
        <v>221841211.80000001</v>
      </c>
    </row>
    <row r="8932" spans="1:1" x14ac:dyDescent="0.25">
      <c r="A8932" s="56">
        <v>85283601.5</v>
      </c>
    </row>
    <row r="8933" spans="1:1" x14ac:dyDescent="0.25">
      <c r="A8933" s="56">
        <v>545617887.99999905</v>
      </c>
    </row>
    <row r="8934" spans="1:1" x14ac:dyDescent="0.25">
      <c r="A8934" s="56">
        <v>66798837.899999999</v>
      </c>
    </row>
    <row r="8935" spans="1:1" x14ac:dyDescent="0.25">
      <c r="A8935" s="56">
        <v>174437682</v>
      </c>
    </row>
    <row r="8936" spans="1:1" x14ac:dyDescent="0.25">
      <c r="A8936" s="56">
        <v>2574665.2000000002</v>
      </c>
    </row>
    <row r="8937" spans="1:1" x14ac:dyDescent="0.25">
      <c r="A8937" s="56">
        <v>5071643.4000000004</v>
      </c>
    </row>
    <row r="8938" spans="1:1" x14ac:dyDescent="0.25">
      <c r="A8938" s="56">
        <v>2701075.8</v>
      </c>
    </row>
    <row r="8939" spans="1:1" x14ac:dyDescent="0.25">
      <c r="A8939" s="56">
        <v>6390933.2999999896</v>
      </c>
    </row>
    <row r="8940" spans="1:1" x14ac:dyDescent="0.25">
      <c r="A8940" s="56">
        <v>8196466.0999999996</v>
      </c>
    </row>
    <row r="8941" spans="1:1" x14ac:dyDescent="0.25">
      <c r="A8941" s="56">
        <v>120146811.40000001</v>
      </c>
    </row>
    <row r="8942" spans="1:1" x14ac:dyDescent="0.25">
      <c r="A8942" s="56">
        <v>37586655.200000003</v>
      </c>
    </row>
    <row r="8943" spans="1:1" x14ac:dyDescent="0.25">
      <c r="A8943" s="56">
        <v>21006701.399999999</v>
      </c>
    </row>
    <row r="8944" spans="1:1" x14ac:dyDescent="0.25">
      <c r="A8944" s="56">
        <v>56452813.499999903</v>
      </c>
    </row>
    <row r="8945" spans="1:1" x14ac:dyDescent="0.25">
      <c r="A8945" s="56">
        <v>80524887.5</v>
      </c>
    </row>
    <row r="8946" spans="1:1" x14ac:dyDescent="0.25">
      <c r="A8946" s="56">
        <v>507396</v>
      </c>
    </row>
    <row r="8947" spans="1:1" x14ac:dyDescent="0.25">
      <c r="A8947" s="56">
        <v>10836739</v>
      </c>
    </row>
    <row r="8948" spans="1:1" x14ac:dyDescent="0.25">
      <c r="A8948" s="56">
        <v>0</v>
      </c>
    </row>
    <row r="8949" spans="1:1" x14ac:dyDescent="0.25">
      <c r="A8949" s="56">
        <v>101301479.09999999</v>
      </c>
    </row>
    <row r="8950" spans="1:1" x14ac:dyDescent="0.25">
      <c r="A8950" s="56">
        <v>43906163.399999902</v>
      </c>
    </row>
    <row r="8951" spans="1:1" x14ac:dyDescent="0.25">
      <c r="A8951" s="56">
        <v>7316253.5999999996</v>
      </c>
    </row>
    <row r="8952" spans="1:1" x14ac:dyDescent="0.25">
      <c r="A8952" s="56">
        <v>22452624.699999999</v>
      </c>
    </row>
    <row r="8953" spans="1:1" x14ac:dyDescent="0.25">
      <c r="A8953" s="56">
        <v>16494209.4</v>
      </c>
    </row>
    <row r="8954" spans="1:1" x14ac:dyDescent="0.25">
      <c r="A8954" s="56">
        <v>24762458.100000001</v>
      </c>
    </row>
    <row r="8955" spans="1:1" x14ac:dyDescent="0.25">
      <c r="A8955" s="56">
        <v>0</v>
      </c>
    </row>
    <row r="8956" spans="1:1" x14ac:dyDescent="0.25">
      <c r="A8956" s="56">
        <v>2596891.7999999998</v>
      </c>
    </row>
    <row r="8957" spans="1:1" x14ac:dyDescent="0.25">
      <c r="A8957" s="56">
        <v>4750472.4000000004</v>
      </c>
    </row>
    <row r="8958" spans="1:1" x14ac:dyDescent="0.25">
      <c r="A8958" s="56">
        <v>24955552.300000001</v>
      </c>
    </row>
    <row r="8959" spans="1:1" x14ac:dyDescent="0.25">
      <c r="A8959" s="56">
        <v>377135958.80000001</v>
      </c>
    </row>
    <row r="8960" spans="1:1" x14ac:dyDescent="0.25">
      <c r="A8960" s="56">
        <v>12379728.4</v>
      </c>
    </row>
    <row r="8961" spans="1:1" x14ac:dyDescent="0.25">
      <c r="A8961" s="56">
        <v>160754486.5</v>
      </c>
    </row>
    <row r="8962" spans="1:1" x14ac:dyDescent="0.25">
      <c r="A8962" s="56">
        <v>16222928.6</v>
      </c>
    </row>
    <row r="8963" spans="1:1" x14ac:dyDescent="0.25">
      <c r="A8963" s="56">
        <v>732092.4</v>
      </c>
    </row>
    <row r="8964" spans="1:1" x14ac:dyDescent="0.25">
      <c r="A8964" s="56">
        <v>5291552</v>
      </c>
    </row>
    <row r="8965" spans="1:1" x14ac:dyDescent="0.25">
      <c r="A8965" s="56">
        <v>178698642.40000001</v>
      </c>
    </row>
    <row r="8966" spans="1:1" x14ac:dyDescent="0.25">
      <c r="A8966" s="56">
        <v>92933853</v>
      </c>
    </row>
    <row r="8967" spans="1:1" x14ac:dyDescent="0.25">
      <c r="A8967" s="56">
        <v>5639416.9999999898</v>
      </c>
    </row>
    <row r="8968" spans="1:1" x14ac:dyDescent="0.25">
      <c r="A8968" s="56">
        <v>69882440.5</v>
      </c>
    </row>
    <row r="8969" spans="1:1" x14ac:dyDescent="0.25">
      <c r="A8969" s="56">
        <v>8769043.5999999996</v>
      </c>
    </row>
    <row r="8970" spans="1:1" x14ac:dyDescent="0.25">
      <c r="A8970" s="56">
        <v>4125311.6</v>
      </c>
    </row>
    <row r="8971" spans="1:1" x14ac:dyDescent="0.25">
      <c r="A8971" s="56">
        <v>31990713.600000001</v>
      </c>
    </row>
    <row r="8972" spans="1:1" x14ac:dyDescent="0.25">
      <c r="A8972" s="56">
        <v>4872935.5999999996</v>
      </c>
    </row>
    <row r="8973" spans="1:1" x14ac:dyDescent="0.25">
      <c r="A8973" s="56">
        <v>4854400.4000000004</v>
      </c>
    </row>
    <row r="8974" spans="1:1" x14ac:dyDescent="0.25">
      <c r="A8974" s="56">
        <v>160308182</v>
      </c>
    </row>
    <row r="8975" spans="1:1" x14ac:dyDescent="0.25">
      <c r="A8975" s="56">
        <v>81072402.200000003</v>
      </c>
    </row>
    <row r="8976" spans="1:1" x14ac:dyDescent="0.25">
      <c r="A8976" s="56">
        <v>4188228</v>
      </c>
    </row>
    <row r="8977" spans="1:1" x14ac:dyDescent="0.25">
      <c r="A8977" s="56">
        <v>94953223.900000006</v>
      </c>
    </row>
    <row r="8978" spans="1:1" x14ac:dyDescent="0.25">
      <c r="A8978" s="56">
        <v>36323573.999999903</v>
      </c>
    </row>
    <row r="8979" spans="1:1" x14ac:dyDescent="0.25">
      <c r="A8979" s="56">
        <v>109169258.3</v>
      </c>
    </row>
    <row r="8980" spans="1:1" x14ac:dyDescent="0.25">
      <c r="A8980" s="56">
        <v>0</v>
      </c>
    </row>
    <row r="8981" spans="1:1" x14ac:dyDescent="0.25">
      <c r="A8981" s="56">
        <v>0</v>
      </c>
    </row>
    <row r="8982" spans="1:1" x14ac:dyDescent="0.25">
      <c r="A8982" s="56">
        <v>50720010.799999997</v>
      </c>
    </row>
    <row r="8983" spans="1:1" x14ac:dyDescent="0.25">
      <c r="A8983" s="56">
        <v>786862.8</v>
      </c>
    </row>
    <row r="8984" spans="1:1" x14ac:dyDescent="0.25">
      <c r="A8984" s="56">
        <v>0</v>
      </c>
    </row>
    <row r="8985" spans="1:1" x14ac:dyDescent="0.25">
      <c r="A8985" s="56">
        <v>43066312.5</v>
      </c>
    </row>
    <row r="8986" spans="1:1" x14ac:dyDescent="0.25">
      <c r="A8986" s="56">
        <v>8415849.5</v>
      </c>
    </row>
    <row r="8987" spans="1:1" x14ac:dyDescent="0.25">
      <c r="A8987" s="56">
        <v>827512</v>
      </c>
    </row>
    <row r="8988" spans="1:1" x14ac:dyDescent="0.25">
      <c r="A8988" s="56">
        <v>8380838.1999999899</v>
      </c>
    </row>
    <row r="8989" spans="1:1" x14ac:dyDescent="0.25">
      <c r="A8989" s="56">
        <v>96348878.899999902</v>
      </c>
    </row>
    <row r="8990" spans="1:1" x14ac:dyDescent="0.25">
      <c r="A8990" s="56">
        <v>184422366.5</v>
      </c>
    </row>
    <row r="8991" spans="1:1" x14ac:dyDescent="0.25">
      <c r="A8991" s="56">
        <v>56287624.099999897</v>
      </c>
    </row>
    <row r="8992" spans="1:1" x14ac:dyDescent="0.25">
      <c r="A8992" s="56">
        <v>63702951.700000003</v>
      </c>
    </row>
    <row r="8993" spans="1:1" x14ac:dyDescent="0.25">
      <c r="A8993" s="56">
        <v>34547229.399999999</v>
      </c>
    </row>
    <row r="8994" spans="1:1" x14ac:dyDescent="0.25">
      <c r="A8994" s="56">
        <v>9714404.0999999996</v>
      </c>
    </row>
    <row r="8995" spans="1:1" x14ac:dyDescent="0.25">
      <c r="A8995" s="56">
        <v>287159984.89999998</v>
      </c>
    </row>
    <row r="8996" spans="1:1" x14ac:dyDescent="0.25">
      <c r="A8996" s="56">
        <v>37132770.5</v>
      </c>
    </row>
    <row r="8997" spans="1:1" x14ac:dyDescent="0.25">
      <c r="A8997" s="56">
        <v>21110713.600000001</v>
      </c>
    </row>
    <row r="8998" spans="1:1" x14ac:dyDescent="0.25">
      <c r="A8998" s="56">
        <v>35270417.600000001</v>
      </c>
    </row>
    <row r="8999" spans="1:1" x14ac:dyDescent="0.25">
      <c r="A8999" s="56">
        <v>90869102.999999896</v>
      </c>
    </row>
    <row r="9000" spans="1:1" x14ac:dyDescent="0.25">
      <c r="A9000" s="56">
        <v>76331292.099999905</v>
      </c>
    </row>
    <row r="9001" spans="1:1" x14ac:dyDescent="0.25">
      <c r="A9001" s="56">
        <v>0</v>
      </c>
    </row>
    <row r="9002" spans="1:1" x14ac:dyDescent="0.25">
      <c r="A9002" s="56">
        <v>6606417.5</v>
      </c>
    </row>
    <row r="9003" spans="1:1" x14ac:dyDescent="0.25">
      <c r="A9003" s="56">
        <v>190282945.40000001</v>
      </c>
    </row>
    <row r="9004" spans="1:1" x14ac:dyDescent="0.25">
      <c r="A9004" s="56">
        <v>142587961.09999999</v>
      </c>
    </row>
    <row r="9005" spans="1:1" x14ac:dyDescent="0.25">
      <c r="A9005" s="56">
        <v>17421174</v>
      </c>
    </row>
    <row r="9006" spans="1:1" x14ac:dyDescent="0.25">
      <c r="A9006" s="56">
        <v>58053976</v>
      </c>
    </row>
    <row r="9007" spans="1:1" x14ac:dyDescent="0.25">
      <c r="A9007" s="56">
        <v>4431691.2</v>
      </c>
    </row>
    <row r="9008" spans="1:1" x14ac:dyDescent="0.25">
      <c r="A9008" s="56">
        <v>6599804.9000000004</v>
      </c>
    </row>
    <row r="9009" spans="1:1" x14ac:dyDescent="0.25">
      <c r="A9009" s="56">
        <v>6471723.5999999996</v>
      </c>
    </row>
    <row r="9010" spans="1:1" x14ac:dyDescent="0.25">
      <c r="A9010" s="56">
        <v>172418058.59999999</v>
      </c>
    </row>
    <row r="9011" spans="1:1" x14ac:dyDescent="0.25">
      <c r="A9011" s="56">
        <v>2272710.4</v>
      </c>
    </row>
    <row r="9012" spans="1:1" x14ac:dyDescent="0.25">
      <c r="A9012" s="56">
        <v>59705085.099999897</v>
      </c>
    </row>
    <row r="9013" spans="1:1" x14ac:dyDescent="0.25">
      <c r="A9013" s="56">
        <v>72019039.099999905</v>
      </c>
    </row>
    <row r="9014" spans="1:1" x14ac:dyDescent="0.25">
      <c r="A9014" s="56">
        <v>14232841.6</v>
      </c>
    </row>
    <row r="9015" spans="1:1" x14ac:dyDescent="0.25">
      <c r="A9015" s="56">
        <v>30917522.199999999</v>
      </c>
    </row>
    <row r="9016" spans="1:1" x14ac:dyDescent="0.25">
      <c r="A9016" s="56">
        <v>13302475.300000001</v>
      </c>
    </row>
    <row r="9017" spans="1:1" x14ac:dyDescent="0.25">
      <c r="A9017" s="56">
        <v>56190964.299999997</v>
      </c>
    </row>
    <row r="9018" spans="1:1" x14ac:dyDescent="0.25">
      <c r="A9018" s="56">
        <v>132782046.3</v>
      </c>
    </row>
    <row r="9019" spans="1:1" x14ac:dyDescent="0.25">
      <c r="A9019" s="56">
        <v>1335358.8</v>
      </c>
    </row>
    <row r="9020" spans="1:1" x14ac:dyDescent="0.25">
      <c r="A9020" s="56">
        <v>5838319.1999999899</v>
      </c>
    </row>
    <row r="9021" spans="1:1" x14ac:dyDescent="0.25">
      <c r="A9021" s="56">
        <v>384195058.19999999</v>
      </c>
    </row>
    <row r="9022" spans="1:1" x14ac:dyDescent="0.25">
      <c r="A9022" s="56">
        <v>47195027.299999997</v>
      </c>
    </row>
    <row r="9023" spans="1:1" x14ac:dyDescent="0.25">
      <c r="A9023" s="56">
        <v>24389927.600000001</v>
      </c>
    </row>
    <row r="9024" spans="1:1" x14ac:dyDescent="0.25">
      <c r="A9024" s="56">
        <v>13385634.199999999</v>
      </c>
    </row>
    <row r="9025" spans="1:1" x14ac:dyDescent="0.25">
      <c r="A9025" s="56">
        <v>14194183.5</v>
      </c>
    </row>
    <row r="9026" spans="1:1" x14ac:dyDescent="0.25">
      <c r="A9026" s="56">
        <v>240738185.5</v>
      </c>
    </row>
    <row r="9027" spans="1:1" x14ac:dyDescent="0.25">
      <c r="A9027" s="56">
        <v>10537809.9</v>
      </c>
    </row>
    <row r="9028" spans="1:1" x14ac:dyDescent="0.25">
      <c r="A9028" s="56">
        <v>6234723.5999999996</v>
      </c>
    </row>
    <row r="9029" spans="1:1" x14ac:dyDescent="0.25">
      <c r="A9029" s="56">
        <v>113429176.5</v>
      </c>
    </row>
    <row r="9030" spans="1:1" x14ac:dyDescent="0.25">
      <c r="A9030" s="56">
        <v>0</v>
      </c>
    </row>
    <row r="9031" spans="1:1" x14ac:dyDescent="0.25">
      <c r="A9031" s="56">
        <v>22051178.5</v>
      </c>
    </row>
    <row r="9032" spans="1:1" x14ac:dyDescent="0.25">
      <c r="A9032" s="56">
        <v>82174308.599999905</v>
      </c>
    </row>
    <row r="9033" spans="1:1" x14ac:dyDescent="0.25">
      <c r="A9033" s="56">
        <v>21150143.5</v>
      </c>
    </row>
    <row r="9034" spans="1:1" x14ac:dyDescent="0.25">
      <c r="A9034" s="56">
        <v>14099408</v>
      </c>
    </row>
    <row r="9035" spans="1:1" x14ac:dyDescent="0.25">
      <c r="A9035" s="56">
        <v>15208884.1</v>
      </c>
    </row>
    <row r="9036" spans="1:1" x14ac:dyDescent="0.25">
      <c r="A9036" s="56">
        <v>27869697.899999902</v>
      </c>
    </row>
    <row r="9037" spans="1:1" x14ac:dyDescent="0.25">
      <c r="A9037" s="56">
        <v>263421320.59999999</v>
      </c>
    </row>
    <row r="9038" spans="1:1" x14ac:dyDescent="0.25">
      <c r="A9038" s="56">
        <v>53302495.799999997</v>
      </c>
    </row>
    <row r="9039" spans="1:1" x14ac:dyDescent="0.25">
      <c r="A9039" s="56">
        <v>62571475.899999999</v>
      </c>
    </row>
    <row r="9040" spans="1:1" x14ac:dyDescent="0.25">
      <c r="A9040" s="56">
        <v>0</v>
      </c>
    </row>
    <row r="9041" spans="1:1" x14ac:dyDescent="0.25">
      <c r="A9041" s="56">
        <v>48295592</v>
      </c>
    </row>
    <row r="9042" spans="1:1" x14ac:dyDescent="0.25">
      <c r="A9042" s="56">
        <v>24393119</v>
      </c>
    </row>
    <row r="9043" spans="1:1" x14ac:dyDescent="0.25">
      <c r="A9043" s="56">
        <v>82867182.099999905</v>
      </c>
    </row>
    <row r="9044" spans="1:1" x14ac:dyDescent="0.25">
      <c r="A9044" s="56">
        <v>52130228.5</v>
      </c>
    </row>
    <row r="9045" spans="1:1" x14ac:dyDescent="0.25">
      <c r="A9045" s="56">
        <v>15082639</v>
      </c>
    </row>
    <row r="9046" spans="1:1" x14ac:dyDescent="0.25">
      <c r="A9046" s="56">
        <v>151792823.40000001</v>
      </c>
    </row>
    <row r="9047" spans="1:1" x14ac:dyDescent="0.25">
      <c r="A9047" s="56">
        <v>163968178</v>
      </c>
    </row>
    <row r="9048" spans="1:1" x14ac:dyDescent="0.25">
      <c r="A9048" s="56">
        <v>13421389.800000001</v>
      </c>
    </row>
    <row r="9049" spans="1:1" x14ac:dyDescent="0.25">
      <c r="A9049" s="56">
        <v>110028951</v>
      </c>
    </row>
    <row r="9050" spans="1:1" x14ac:dyDescent="0.25">
      <c r="A9050" s="56">
        <v>30030156.199999999</v>
      </c>
    </row>
    <row r="9051" spans="1:1" x14ac:dyDescent="0.25">
      <c r="A9051" s="56">
        <v>188560352.59999999</v>
      </c>
    </row>
    <row r="9052" spans="1:1" x14ac:dyDescent="0.25">
      <c r="A9052" s="56">
        <v>14094990.800000001</v>
      </c>
    </row>
    <row r="9053" spans="1:1" x14ac:dyDescent="0.25">
      <c r="A9053" s="56">
        <v>9838192.1999999899</v>
      </c>
    </row>
    <row r="9054" spans="1:1" x14ac:dyDescent="0.25">
      <c r="A9054" s="56">
        <v>49699659</v>
      </c>
    </row>
    <row r="9055" spans="1:1" x14ac:dyDescent="0.25">
      <c r="A9055" s="56">
        <v>43245941.200000003</v>
      </c>
    </row>
    <row r="9056" spans="1:1" x14ac:dyDescent="0.25">
      <c r="A9056" s="56">
        <v>127951720.3</v>
      </c>
    </row>
    <row r="9057" spans="1:1" x14ac:dyDescent="0.25">
      <c r="A9057" s="56">
        <v>1253483.6000000001</v>
      </c>
    </row>
    <row r="9058" spans="1:1" x14ac:dyDescent="0.25">
      <c r="A9058" s="56">
        <v>32250176.699999999</v>
      </c>
    </row>
    <row r="9059" spans="1:1" x14ac:dyDescent="0.25">
      <c r="A9059" s="56">
        <v>2407338.6</v>
      </c>
    </row>
    <row r="9060" spans="1:1" x14ac:dyDescent="0.25">
      <c r="A9060" s="56">
        <v>11908645.199999999</v>
      </c>
    </row>
    <row r="9061" spans="1:1" x14ac:dyDescent="0.25">
      <c r="A9061" s="56">
        <v>28155631.699999999</v>
      </c>
    </row>
    <row r="9062" spans="1:1" x14ac:dyDescent="0.25">
      <c r="A9062" s="56">
        <v>51848478.799999997</v>
      </c>
    </row>
    <row r="9063" spans="1:1" x14ac:dyDescent="0.25">
      <c r="A9063" s="56">
        <v>8145676.9000000004</v>
      </c>
    </row>
    <row r="9064" spans="1:1" x14ac:dyDescent="0.25">
      <c r="A9064" s="56">
        <v>0</v>
      </c>
    </row>
    <row r="9065" spans="1:1" x14ac:dyDescent="0.25">
      <c r="A9065" s="56">
        <v>20171626.300000001</v>
      </c>
    </row>
    <row r="9066" spans="1:1" x14ac:dyDescent="0.25">
      <c r="A9066" s="56">
        <v>19522802.699999999</v>
      </c>
    </row>
    <row r="9067" spans="1:1" x14ac:dyDescent="0.25">
      <c r="A9067" s="56">
        <v>64790069.799999997</v>
      </c>
    </row>
    <row r="9068" spans="1:1" x14ac:dyDescent="0.25">
      <c r="A9068" s="56">
        <v>10338409.4</v>
      </c>
    </row>
    <row r="9069" spans="1:1" x14ac:dyDescent="0.25">
      <c r="A9069" s="56">
        <v>5617663.7999999998</v>
      </c>
    </row>
    <row r="9070" spans="1:1" x14ac:dyDescent="0.25">
      <c r="A9070" s="56">
        <v>207674231.09999999</v>
      </c>
    </row>
    <row r="9071" spans="1:1" x14ac:dyDescent="0.25">
      <c r="A9071" s="56">
        <v>0</v>
      </c>
    </row>
    <row r="9072" spans="1:1" x14ac:dyDescent="0.25">
      <c r="A9072" s="56">
        <v>26787972.199999999</v>
      </c>
    </row>
    <row r="9073" spans="1:1" x14ac:dyDescent="0.25">
      <c r="A9073" s="56">
        <v>7187181.5999999996</v>
      </c>
    </row>
    <row r="9074" spans="1:1" x14ac:dyDescent="0.25">
      <c r="A9074" s="56">
        <v>143496046.19999999</v>
      </c>
    </row>
    <row r="9075" spans="1:1" x14ac:dyDescent="0.25">
      <c r="A9075" s="56">
        <v>0</v>
      </c>
    </row>
    <row r="9076" spans="1:1" x14ac:dyDescent="0.25">
      <c r="A9076" s="56">
        <v>44545142.399999999</v>
      </c>
    </row>
    <row r="9077" spans="1:1" x14ac:dyDescent="0.25">
      <c r="A9077" s="56">
        <v>6106849.6999999899</v>
      </c>
    </row>
    <row r="9078" spans="1:1" x14ac:dyDescent="0.25">
      <c r="A9078" s="56">
        <v>10537974.6</v>
      </c>
    </row>
    <row r="9079" spans="1:1" x14ac:dyDescent="0.25">
      <c r="A9079" s="56">
        <v>5895068.8999999901</v>
      </c>
    </row>
    <row r="9080" spans="1:1" x14ac:dyDescent="0.25">
      <c r="A9080" s="56">
        <v>0</v>
      </c>
    </row>
    <row r="9081" spans="1:1" x14ac:dyDescent="0.25">
      <c r="A9081" s="56">
        <v>9008164.7999999896</v>
      </c>
    </row>
    <row r="9082" spans="1:1" x14ac:dyDescent="0.25">
      <c r="A9082" s="56">
        <v>47476086.5</v>
      </c>
    </row>
    <row r="9083" spans="1:1" x14ac:dyDescent="0.25">
      <c r="A9083" s="56">
        <v>34971463.100000001</v>
      </c>
    </row>
    <row r="9084" spans="1:1" x14ac:dyDescent="0.25">
      <c r="A9084" s="56">
        <v>280043.2</v>
      </c>
    </row>
    <row r="9085" spans="1:1" x14ac:dyDescent="0.25">
      <c r="A9085" s="56">
        <v>21319660.800000001</v>
      </c>
    </row>
    <row r="9086" spans="1:1" x14ac:dyDescent="0.25">
      <c r="A9086" s="56">
        <v>51314054.899999902</v>
      </c>
    </row>
    <row r="9087" spans="1:1" x14ac:dyDescent="0.25">
      <c r="A9087" s="56">
        <v>311881130.10000002</v>
      </c>
    </row>
    <row r="9088" spans="1:1" x14ac:dyDescent="0.25">
      <c r="A9088" s="56">
        <v>16226624</v>
      </c>
    </row>
    <row r="9089" spans="1:1" x14ac:dyDescent="0.25">
      <c r="A9089" s="56">
        <v>16743464.199999999</v>
      </c>
    </row>
    <row r="9090" spans="1:1" x14ac:dyDescent="0.25">
      <c r="A9090" s="56">
        <v>29454691.199999999</v>
      </c>
    </row>
    <row r="9091" spans="1:1" x14ac:dyDescent="0.25">
      <c r="A9091" s="56">
        <v>9036925.3999999892</v>
      </c>
    </row>
    <row r="9092" spans="1:1" x14ac:dyDescent="0.25">
      <c r="A9092" s="56">
        <v>37490885.600000001</v>
      </c>
    </row>
    <row r="9093" spans="1:1" x14ac:dyDescent="0.25">
      <c r="A9093" s="56">
        <v>3562567.8</v>
      </c>
    </row>
    <row r="9094" spans="1:1" x14ac:dyDescent="0.25">
      <c r="A9094" s="56">
        <v>433317639.80000001</v>
      </c>
    </row>
    <row r="9095" spans="1:1" x14ac:dyDescent="0.25">
      <c r="A9095" s="56">
        <v>7352206.7000000002</v>
      </c>
    </row>
    <row r="9096" spans="1:1" x14ac:dyDescent="0.25">
      <c r="A9096" s="56">
        <v>84399577.299999997</v>
      </c>
    </row>
    <row r="9097" spans="1:1" x14ac:dyDescent="0.25">
      <c r="A9097" s="56">
        <v>60106497.099999897</v>
      </c>
    </row>
    <row r="9098" spans="1:1" x14ac:dyDescent="0.25">
      <c r="A9098" s="56">
        <v>197056263.09999999</v>
      </c>
    </row>
    <row r="9099" spans="1:1" x14ac:dyDescent="0.25">
      <c r="A9099" s="56">
        <v>0</v>
      </c>
    </row>
    <row r="9100" spans="1:1" x14ac:dyDescent="0.25">
      <c r="A9100" s="56">
        <v>62038355.299999997</v>
      </c>
    </row>
    <row r="9101" spans="1:1" x14ac:dyDescent="0.25">
      <c r="A9101" s="56">
        <v>165671338</v>
      </c>
    </row>
    <row r="9102" spans="1:1" x14ac:dyDescent="0.25">
      <c r="A9102" s="56">
        <v>115684854.09999999</v>
      </c>
    </row>
    <row r="9103" spans="1:1" x14ac:dyDescent="0.25">
      <c r="A9103" s="56">
        <v>23428576.300000001</v>
      </c>
    </row>
    <row r="9104" spans="1:1" x14ac:dyDescent="0.25">
      <c r="A9104" s="56">
        <v>8888860.1999999899</v>
      </c>
    </row>
    <row r="9105" spans="1:1" x14ac:dyDescent="0.25">
      <c r="A9105" s="56">
        <v>0</v>
      </c>
    </row>
    <row r="9106" spans="1:1" x14ac:dyDescent="0.25">
      <c r="A9106" s="56">
        <v>20407411.100000001</v>
      </c>
    </row>
    <row r="9107" spans="1:1" x14ac:dyDescent="0.25">
      <c r="A9107" s="56">
        <v>0</v>
      </c>
    </row>
    <row r="9108" spans="1:1" x14ac:dyDescent="0.25">
      <c r="A9108" s="56">
        <v>22307250.399999999</v>
      </c>
    </row>
    <row r="9109" spans="1:1" x14ac:dyDescent="0.25">
      <c r="A9109" s="56">
        <v>30151765.399999999</v>
      </c>
    </row>
    <row r="9110" spans="1:1" x14ac:dyDescent="0.25">
      <c r="A9110" s="56">
        <v>5838055.8999999901</v>
      </c>
    </row>
    <row r="9111" spans="1:1" x14ac:dyDescent="0.25">
      <c r="A9111" s="56">
        <v>4084842.6</v>
      </c>
    </row>
    <row r="9112" spans="1:1" x14ac:dyDescent="0.25">
      <c r="A9112" s="56">
        <v>35405409.700000003</v>
      </c>
    </row>
    <row r="9113" spans="1:1" x14ac:dyDescent="0.25">
      <c r="A9113" s="56">
        <v>17868064.100000001</v>
      </c>
    </row>
    <row r="9114" spans="1:1" x14ac:dyDescent="0.25">
      <c r="A9114" s="56">
        <v>13565962</v>
      </c>
    </row>
    <row r="9115" spans="1:1" x14ac:dyDescent="0.25">
      <c r="A9115" s="56">
        <v>142930034.90000001</v>
      </c>
    </row>
    <row r="9116" spans="1:1" x14ac:dyDescent="0.25">
      <c r="A9116" s="56">
        <v>75375110.599999905</v>
      </c>
    </row>
    <row r="9117" spans="1:1" x14ac:dyDescent="0.25">
      <c r="A9117" s="56">
        <v>16683282.199999999</v>
      </c>
    </row>
    <row r="9118" spans="1:1" x14ac:dyDescent="0.25">
      <c r="A9118" s="56">
        <v>6820991.7999999998</v>
      </c>
    </row>
    <row r="9119" spans="1:1" x14ac:dyDescent="0.25">
      <c r="A9119" s="56">
        <v>2407338.6</v>
      </c>
    </row>
    <row r="9120" spans="1:1" x14ac:dyDescent="0.25">
      <c r="A9120" s="56">
        <v>83427139.099999905</v>
      </c>
    </row>
    <row r="9121" spans="1:1" x14ac:dyDescent="0.25">
      <c r="A9121" s="56">
        <v>0</v>
      </c>
    </row>
    <row r="9122" spans="1:1" x14ac:dyDescent="0.25">
      <c r="A9122" s="56">
        <v>153505023.69999999</v>
      </c>
    </row>
    <row r="9123" spans="1:1" x14ac:dyDescent="0.25">
      <c r="A9123" s="56">
        <v>40375694.599999897</v>
      </c>
    </row>
    <row r="9124" spans="1:1" x14ac:dyDescent="0.25">
      <c r="A9124" s="56">
        <v>51518770</v>
      </c>
    </row>
    <row r="9125" spans="1:1" x14ac:dyDescent="0.25">
      <c r="A9125" s="56">
        <v>76191689.5</v>
      </c>
    </row>
    <row r="9126" spans="1:1" x14ac:dyDescent="0.25">
      <c r="A9126" s="56">
        <v>21781667.5</v>
      </c>
    </row>
    <row r="9127" spans="1:1" x14ac:dyDescent="0.25">
      <c r="A9127" s="56">
        <v>426040</v>
      </c>
    </row>
    <row r="9128" spans="1:1" x14ac:dyDescent="0.25">
      <c r="A9128" s="56">
        <v>142519707.40000001</v>
      </c>
    </row>
    <row r="9129" spans="1:1" x14ac:dyDescent="0.25">
      <c r="A9129" s="56">
        <v>181006604.90000001</v>
      </c>
    </row>
    <row r="9130" spans="1:1" x14ac:dyDescent="0.25">
      <c r="A9130" s="56">
        <v>173756573</v>
      </c>
    </row>
    <row r="9131" spans="1:1" x14ac:dyDescent="0.25">
      <c r="A9131" s="56">
        <v>99799482.900000006</v>
      </c>
    </row>
    <row r="9132" spans="1:1" x14ac:dyDescent="0.25">
      <c r="A9132" s="56">
        <v>9771666.8000000007</v>
      </c>
    </row>
    <row r="9133" spans="1:1" x14ac:dyDescent="0.25">
      <c r="A9133" s="56">
        <v>8435211</v>
      </c>
    </row>
    <row r="9134" spans="1:1" x14ac:dyDescent="0.25">
      <c r="A9134" s="56">
        <v>90304472.5</v>
      </c>
    </row>
    <row r="9135" spans="1:1" x14ac:dyDescent="0.25">
      <c r="A9135" s="56">
        <v>0</v>
      </c>
    </row>
    <row r="9136" spans="1:1" x14ac:dyDescent="0.25">
      <c r="A9136" s="56">
        <v>114700982.90000001</v>
      </c>
    </row>
    <row r="9137" spans="1:1" x14ac:dyDescent="0.25">
      <c r="A9137" s="56">
        <v>17268771.100000001</v>
      </c>
    </row>
    <row r="9138" spans="1:1" x14ac:dyDescent="0.25">
      <c r="A9138" s="56">
        <v>65765364.999999903</v>
      </c>
    </row>
    <row r="9139" spans="1:1" x14ac:dyDescent="0.25">
      <c r="A9139" s="56">
        <v>0</v>
      </c>
    </row>
    <row r="9140" spans="1:1" x14ac:dyDescent="0.25">
      <c r="A9140" s="56">
        <v>380089054.10000002</v>
      </c>
    </row>
    <row r="9141" spans="1:1" x14ac:dyDescent="0.25">
      <c r="A9141" s="56">
        <v>20965202.199999999</v>
      </c>
    </row>
    <row r="9142" spans="1:1" x14ac:dyDescent="0.25">
      <c r="A9142" s="56">
        <v>7516918.4000000004</v>
      </c>
    </row>
    <row r="9143" spans="1:1" x14ac:dyDescent="0.25">
      <c r="A9143" s="56">
        <v>7613810.8999999901</v>
      </c>
    </row>
    <row r="9144" spans="1:1" x14ac:dyDescent="0.25">
      <c r="A9144" s="56">
        <v>42176752.299999997</v>
      </c>
    </row>
    <row r="9145" spans="1:1" x14ac:dyDescent="0.25">
      <c r="A9145" s="56">
        <v>22576695.5</v>
      </c>
    </row>
    <row r="9146" spans="1:1" x14ac:dyDescent="0.25">
      <c r="A9146" s="56">
        <v>12477996.699999999</v>
      </c>
    </row>
    <row r="9147" spans="1:1" x14ac:dyDescent="0.25">
      <c r="A9147" s="56">
        <v>744382</v>
      </c>
    </row>
    <row r="9148" spans="1:1" x14ac:dyDescent="0.25">
      <c r="A9148" s="56">
        <v>24276329.5</v>
      </c>
    </row>
    <row r="9149" spans="1:1" x14ac:dyDescent="0.25">
      <c r="A9149" s="56">
        <v>29356462.5</v>
      </c>
    </row>
    <row r="9150" spans="1:1" x14ac:dyDescent="0.25">
      <c r="A9150" s="56">
        <v>90073580</v>
      </c>
    </row>
    <row r="9151" spans="1:1" x14ac:dyDescent="0.25">
      <c r="A9151" s="56">
        <v>16742283.6</v>
      </c>
    </row>
    <row r="9152" spans="1:1" x14ac:dyDescent="0.25">
      <c r="A9152" s="56">
        <v>3115431.6</v>
      </c>
    </row>
    <row r="9153" spans="1:1" x14ac:dyDescent="0.25">
      <c r="A9153" s="56">
        <v>40025895.099999897</v>
      </c>
    </row>
    <row r="9154" spans="1:1" x14ac:dyDescent="0.25">
      <c r="A9154" s="56">
        <v>6621861.5</v>
      </c>
    </row>
    <row r="9155" spans="1:1" x14ac:dyDescent="0.25">
      <c r="A9155" s="56">
        <v>42574528.799999997</v>
      </c>
    </row>
    <row r="9156" spans="1:1" x14ac:dyDescent="0.25">
      <c r="A9156" s="56">
        <v>30537692.199999999</v>
      </c>
    </row>
    <row r="9157" spans="1:1" x14ac:dyDescent="0.25">
      <c r="A9157" s="56">
        <v>19697573.800000001</v>
      </c>
    </row>
    <row r="9158" spans="1:1" x14ac:dyDescent="0.25">
      <c r="A9158" s="56">
        <v>23324316.899999999</v>
      </c>
    </row>
    <row r="9159" spans="1:1" x14ac:dyDescent="0.25">
      <c r="A9159" s="56">
        <v>19572839</v>
      </c>
    </row>
    <row r="9160" spans="1:1" x14ac:dyDescent="0.25">
      <c r="A9160" s="56">
        <v>20158604.800000001</v>
      </c>
    </row>
    <row r="9161" spans="1:1" x14ac:dyDescent="0.25">
      <c r="A9161" s="56">
        <v>53580052.899999902</v>
      </c>
    </row>
    <row r="9162" spans="1:1" x14ac:dyDescent="0.25">
      <c r="A9162" s="56">
        <v>147055183.90000001</v>
      </c>
    </row>
    <row r="9163" spans="1:1" x14ac:dyDescent="0.25">
      <c r="A9163" s="56">
        <v>65992900.299999997</v>
      </c>
    </row>
    <row r="9164" spans="1:1" x14ac:dyDescent="0.25">
      <c r="A9164" s="56">
        <v>0</v>
      </c>
    </row>
    <row r="9165" spans="1:1" x14ac:dyDescent="0.25">
      <c r="A9165" s="56">
        <v>43776577.499999903</v>
      </c>
    </row>
    <row r="9166" spans="1:1" x14ac:dyDescent="0.25">
      <c r="A9166" s="56">
        <v>32901287.5</v>
      </c>
    </row>
    <row r="9167" spans="1:1" x14ac:dyDescent="0.25">
      <c r="A9167" s="56">
        <v>0</v>
      </c>
    </row>
    <row r="9168" spans="1:1" x14ac:dyDescent="0.25">
      <c r="A9168" s="56">
        <v>4148686.8</v>
      </c>
    </row>
    <row r="9169" spans="1:1" x14ac:dyDescent="0.25">
      <c r="A9169" s="56">
        <v>120286411.2</v>
      </c>
    </row>
    <row r="9170" spans="1:1" x14ac:dyDescent="0.25">
      <c r="A9170" s="56">
        <v>36877365.799999997</v>
      </c>
    </row>
    <row r="9171" spans="1:1" x14ac:dyDescent="0.25">
      <c r="A9171" s="56">
        <v>18132705.199999999</v>
      </c>
    </row>
    <row r="9172" spans="1:1" x14ac:dyDescent="0.25">
      <c r="A9172" s="56">
        <v>12791902.4</v>
      </c>
    </row>
    <row r="9173" spans="1:1" x14ac:dyDescent="0.25">
      <c r="A9173" s="56">
        <v>17185764.100000001</v>
      </c>
    </row>
    <row r="9174" spans="1:1" x14ac:dyDescent="0.25">
      <c r="A9174" s="56">
        <v>9825673</v>
      </c>
    </row>
    <row r="9175" spans="1:1" x14ac:dyDescent="0.25">
      <c r="A9175" s="56">
        <v>40760155.099999897</v>
      </c>
    </row>
    <row r="9176" spans="1:1" x14ac:dyDescent="0.25">
      <c r="A9176" s="56">
        <v>9868600.1999999899</v>
      </c>
    </row>
    <row r="9177" spans="1:1" x14ac:dyDescent="0.25">
      <c r="A9177" s="56">
        <v>1948908.6</v>
      </c>
    </row>
    <row r="9178" spans="1:1" x14ac:dyDescent="0.25">
      <c r="A9178" s="56">
        <v>5164302.0999999996</v>
      </c>
    </row>
    <row r="9179" spans="1:1" x14ac:dyDescent="0.25">
      <c r="A9179" s="56">
        <v>19119885.100000001</v>
      </c>
    </row>
    <row r="9180" spans="1:1" x14ac:dyDescent="0.25">
      <c r="A9180" s="56">
        <v>329015617.69999999</v>
      </c>
    </row>
    <row r="9181" spans="1:1" x14ac:dyDescent="0.25">
      <c r="A9181" s="56">
        <v>0</v>
      </c>
    </row>
    <row r="9182" spans="1:1" x14ac:dyDescent="0.25">
      <c r="A9182" s="56">
        <v>153310013.40000001</v>
      </c>
    </row>
    <row r="9183" spans="1:1" x14ac:dyDescent="0.25">
      <c r="A9183" s="56">
        <v>860542.8</v>
      </c>
    </row>
    <row r="9184" spans="1:1" x14ac:dyDescent="0.25">
      <c r="A9184" s="56">
        <v>97714851.200000003</v>
      </c>
    </row>
    <row r="9185" spans="1:1" x14ac:dyDescent="0.25">
      <c r="A9185" s="56">
        <v>402409747.19999999</v>
      </c>
    </row>
    <row r="9186" spans="1:1" x14ac:dyDescent="0.25">
      <c r="A9186" s="56">
        <v>52066293.200000003</v>
      </c>
    </row>
    <row r="9187" spans="1:1" x14ac:dyDescent="0.25">
      <c r="A9187" s="56">
        <v>23253775.800000001</v>
      </c>
    </row>
    <row r="9188" spans="1:1" x14ac:dyDescent="0.25">
      <c r="A9188" s="56">
        <v>28820144.800000001</v>
      </c>
    </row>
    <row r="9189" spans="1:1" x14ac:dyDescent="0.25">
      <c r="A9189" s="56">
        <v>44729933.899999999</v>
      </c>
    </row>
    <row r="9190" spans="1:1" x14ac:dyDescent="0.25">
      <c r="A9190" s="56">
        <v>338237180.89999998</v>
      </c>
    </row>
    <row r="9191" spans="1:1" x14ac:dyDescent="0.25">
      <c r="A9191" s="56">
        <v>0</v>
      </c>
    </row>
    <row r="9192" spans="1:1" x14ac:dyDescent="0.25">
      <c r="A9192" s="56">
        <v>13124416.300000001</v>
      </c>
    </row>
    <row r="9193" spans="1:1" x14ac:dyDescent="0.25">
      <c r="A9193" s="56">
        <v>180618111.59999999</v>
      </c>
    </row>
    <row r="9194" spans="1:1" x14ac:dyDescent="0.25">
      <c r="A9194" s="56">
        <v>95903705.799999997</v>
      </c>
    </row>
    <row r="9195" spans="1:1" x14ac:dyDescent="0.25">
      <c r="A9195" s="56">
        <v>826311.6</v>
      </c>
    </row>
    <row r="9196" spans="1:1" x14ac:dyDescent="0.25">
      <c r="A9196" s="56">
        <v>9214388.1999999899</v>
      </c>
    </row>
    <row r="9197" spans="1:1" x14ac:dyDescent="0.25">
      <c r="A9197" s="56">
        <v>82671441.5</v>
      </c>
    </row>
    <row r="9198" spans="1:1" x14ac:dyDescent="0.25">
      <c r="A9198" s="56">
        <v>33693115.600000001</v>
      </c>
    </row>
    <row r="9199" spans="1:1" x14ac:dyDescent="0.25">
      <c r="A9199" s="56">
        <v>5825665.2000000002</v>
      </c>
    </row>
    <row r="9200" spans="1:1" x14ac:dyDescent="0.25">
      <c r="A9200" s="56">
        <v>47898743.399999999</v>
      </c>
    </row>
    <row r="9201" spans="1:1" x14ac:dyDescent="0.25">
      <c r="A9201" s="56">
        <v>28969154.399999999</v>
      </c>
    </row>
    <row r="9202" spans="1:1" x14ac:dyDescent="0.25">
      <c r="A9202" s="56">
        <v>44833472.299999997</v>
      </c>
    </row>
    <row r="9203" spans="1:1" x14ac:dyDescent="0.25">
      <c r="A9203" s="56">
        <v>182816774.19999999</v>
      </c>
    </row>
    <row r="9204" spans="1:1" x14ac:dyDescent="0.25">
      <c r="A9204" s="56">
        <v>35788979.399999999</v>
      </c>
    </row>
    <row r="9205" spans="1:1" x14ac:dyDescent="0.25">
      <c r="A9205" s="56">
        <v>0</v>
      </c>
    </row>
    <row r="9206" spans="1:1" x14ac:dyDescent="0.25">
      <c r="A9206" s="56">
        <v>54298505.099999897</v>
      </c>
    </row>
    <row r="9207" spans="1:1" x14ac:dyDescent="0.25">
      <c r="A9207" s="56">
        <v>933804.4</v>
      </c>
    </row>
    <row r="9208" spans="1:1" x14ac:dyDescent="0.25">
      <c r="A9208" s="56">
        <v>57538069.600000001</v>
      </c>
    </row>
    <row r="9209" spans="1:1" x14ac:dyDescent="0.25">
      <c r="A9209" s="56">
        <v>0</v>
      </c>
    </row>
    <row r="9210" spans="1:1" x14ac:dyDescent="0.25">
      <c r="A9210" s="56">
        <v>30065309.5</v>
      </c>
    </row>
    <row r="9211" spans="1:1" x14ac:dyDescent="0.25">
      <c r="A9211" s="56">
        <v>122087598.5</v>
      </c>
    </row>
    <row r="9212" spans="1:1" x14ac:dyDescent="0.25">
      <c r="A9212" s="56">
        <v>249439464</v>
      </c>
    </row>
    <row r="9213" spans="1:1" x14ac:dyDescent="0.25">
      <c r="A9213" s="56">
        <v>4265370.2</v>
      </c>
    </row>
    <row r="9214" spans="1:1" x14ac:dyDescent="0.25">
      <c r="A9214" s="56">
        <v>28380262.899999999</v>
      </c>
    </row>
    <row r="9215" spans="1:1" x14ac:dyDescent="0.25">
      <c r="A9215" s="56">
        <v>22122083</v>
      </c>
    </row>
    <row r="9216" spans="1:1" x14ac:dyDescent="0.25">
      <c r="A9216" s="56">
        <v>33742183.100000001</v>
      </c>
    </row>
    <row r="9217" spans="1:1" x14ac:dyDescent="0.25">
      <c r="A9217" s="56">
        <v>18140663.199999999</v>
      </c>
    </row>
    <row r="9218" spans="1:1" x14ac:dyDescent="0.25">
      <c r="A9218" s="56">
        <v>8840988.5999999996</v>
      </c>
    </row>
    <row r="9219" spans="1:1" x14ac:dyDescent="0.25">
      <c r="A9219" s="56">
        <v>7709243.5999999996</v>
      </c>
    </row>
    <row r="9220" spans="1:1" x14ac:dyDescent="0.25">
      <c r="A9220" s="56">
        <v>31370420</v>
      </c>
    </row>
    <row r="9221" spans="1:1" x14ac:dyDescent="0.25">
      <c r="A9221" s="56">
        <v>28342888</v>
      </c>
    </row>
    <row r="9222" spans="1:1" x14ac:dyDescent="0.25">
      <c r="A9222" s="56">
        <v>173166142.19999999</v>
      </c>
    </row>
    <row r="9223" spans="1:1" x14ac:dyDescent="0.25">
      <c r="A9223" s="56">
        <v>2708098.2</v>
      </c>
    </row>
    <row r="9224" spans="1:1" x14ac:dyDescent="0.25">
      <c r="A9224" s="56">
        <v>19434281</v>
      </c>
    </row>
    <row r="9225" spans="1:1" x14ac:dyDescent="0.25">
      <c r="A9225" s="56">
        <v>10716428.800000001</v>
      </c>
    </row>
    <row r="9226" spans="1:1" x14ac:dyDescent="0.25">
      <c r="A9226" s="56">
        <v>147436205.90000001</v>
      </c>
    </row>
    <row r="9227" spans="1:1" x14ac:dyDescent="0.25">
      <c r="A9227" s="56">
        <v>46116949.5</v>
      </c>
    </row>
    <row r="9228" spans="1:1" x14ac:dyDescent="0.25">
      <c r="A9228" s="56">
        <v>0</v>
      </c>
    </row>
    <row r="9229" spans="1:1" x14ac:dyDescent="0.25">
      <c r="A9229" s="56">
        <v>122787.6</v>
      </c>
    </row>
    <row r="9230" spans="1:1" x14ac:dyDescent="0.25">
      <c r="A9230" s="56">
        <v>26811470.800000001</v>
      </c>
    </row>
    <row r="9231" spans="1:1" x14ac:dyDescent="0.25">
      <c r="A9231" s="56">
        <v>199916112.5</v>
      </c>
    </row>
    <row r="9232" spans="1:1" x14ac:dyDescent="0.25">
      <c r="A9232" s="56">
        <v>4079544.6</v>
      </c>
    </row>
    <row r="9233" spans="1:1" x14ac:dyDescent="0.25">
      <c r="A9233" s="56">
        <v>364717286.89999998</v>
      </c>
    </row>
    <row r="9234" spans="1:1" x14ac:dyDescent="0.25">
      <c r="A9234" s="56">
        <v>14041073.9</v>
      </c>
    </row>
    <row r="9235" spans="1:1" x14ac:dyDescent="0.25">
      <c r="A9235" s="56">
        <v>94620571.299999997</v>
      </c>
    </row>
    <row r="9236" spans="1:1" x14ac:dyDescent="0.25">
      <c r="A9236" s="56">
        <v>7484349.7999999896</v>
      </c>
    </row>
    <row r="9237" spans="1:1" x14ac:dyDescent="0.25">
      <c r="A9237" s="56">
        <v>9242360.6999999899</v>
      </c>
    </row>
    <row r="9238" spans="1:1" x14ac:dyDescent="0.25">
      <c r="A9238" s="56">
        <v>37456712.5</v>
      </c>
    </row>
    <row r="9239" spans="1:1" x14ac:dyDescent="0.25">
      <c r="A9239" s="56">
        <v>0</v>
      </c>
    </row>
    <row r="9240" spans="1:1" x14ac:dyDescent="0.25">
      <c r="A9240" s="56">
        <v>30523910</v>
      </c>
    </row>
    <row r="9241" spans="1:1" x14ac:dyDescent="0.25">
      <c r="A9241" s="56">
        <v>37962893.899999999</v>
      </c>
    </row>
    <row r="9242" spans="1:1" x14ac:dyDescent="0.25">
      <c r="A9242" s="56">
        <v>53092866.200000003</v>
      </c>
    </row>
    <row r="9243" spans="1:1" x14ac:dyDescent="0.25">
      <c r="A9243" s="56">
        <v>8083288.2999999998</v>
      </c>
    </row>
    <row r="9244" spans="1:1" x14ac:dyDescent="0.25">
      <c r="A9244" s="56">
        <v>6505289.4000000004</v>
      </c>
    </row>
    <row r="9245" spans="1:1" x14ac:dyDescent="0.25">
      <c r="A9245" s="56">
        <v>93077405.599999905</v>
      </c>
    </row>
    <row r="9246" spans="1:1" x14ac:dyDescent="0.25">
      <c r="A9246" s="56">
        <v>33226679.100000001</v>
      </c>
    </row>
    <row r="9247" spans="1:1" x14ac:dyDescent="0.25">
      <c r="A9247" s="56">
        <v>13380450.6</v>
      </c>
    </row>
    <row r="9248" spans="1:1" x14ac:dyDescent="0.25">
      <c r="A9248" s="56">
        <v>15997549.300000001</v>
      </c>
    </row>
    <row r="9249" spans="1:1" x14ac:dyDescent="0.25">
      <c r="A9249" s="56">
        <v>165796090.5</v>
      </c>
    </row>
    <row r="9250" spans="1:1" x14ac:dyDescent="0.25">
      <c r="A9250" s="56">
        <v>48880748.5</v>
      </c>
    </row>
    <row r="9251" spans="1:1" x14ac:dyDescent="0.25">
      <c r="A9251" s="56">
        <v>102753159.2</v>
      </c>
    </row>
    <row r="9252" spans="1:1" x14ac:dyDescent="0.25">
      <c r="A9252" s="56">
        <v>102692377</v>
      </c>
    </row>
    <row r="9253" spans="1:1" x14ac:dyDescent="0.25">
      <c r="A9253" s="56">
        <v>28099283.300000001</v>
      </c>
    </row>
    <row r="9254" spans="1:1" x14ac:dyDescent="0.25">
      <c r="A9254" s="56">
        <v>122787.6</v>
      </c>
    </row>
    <row r="9255" spans="1:1" x14ac:dyDescent="0.25">
      <c r="A9255" s="56">
        <v>0</v>
      </c>
    </row>
    <row r="9256" spans="1:1" x14ac:dyDescent="0.25">
      <c r="A9256" s="56">
        <v>0</v>
      </c>
    </row>
    <row r="9257" spans="1:1" x14ac:dyDescent="0.25">
      <c r="A9257" s="56">
        <v>0</v>
      </c>
    </row>
    <row r="9258" spans="1:1" x14ac:dyDescent="0.25">
      <c r="A9258" s="56">
        <v>14519112.5</v>
      </c>
    </row>
    <row r="9259" spans="1:1" x14ac:dyDescent="0.25">
      <c r="A9259" s="56">
        <v>2965952</v>
      </c>
    </row>
    <row r="9260" spans="1:1" x14ac:dyDescent="0.25">
      <c r="A9260" s="56">
        <v>8055923.1999999899</v>
      </c>
    </row>
    <row r="9261" spans="1:1" x14ac:dyDescent="0.25">
      <c r="A9261" s="56">
        <v>0</v>
      </c>
    </row>
    <row r="9262" spans="1:1" x14ac:dyDescent="0.25">
      <c r="A9262" s="56">
        <v>48390194.399999999</v>
      </c>
    </row>
    <row r="9263" spans="1:1" x14ac:dyDescent="0.25">
      <c r="A9263" s="56">
        <v>2226601.7999999998</v>
      </c>
    </row>
    <row r="9264" spans="1:1" x14ac:dyDescent="0.25">
      <c r="A9264" s="56">
        <v>275244956.19999999</v>
      </c>
    </row>
    <row r="9265" spans="1:1" x14ac:dyDescent="0.25">
      <c r="A9265" s="56">
        <v>7428332.9000000004</v>
      </c>
    </row>
    <row r="9266" spans="1:1" x14ac:dyDescent="0.25">
      <c r="A9266" s="56">
        <v>12908849.5</v>
      </c>
    </row>
    <row r="9267" spans="1:1" x14ac:dyDescent="0.25">
      <c r="A9267" s="56">
        <v>79362740.599999905</v>
      </c>
    </row>
    <row r="9268" spans="1:1" x14ac:dyDescent="0.25">
      <c r="A9268" s="56">
        <v>22619703</v>
      </c>
    </row>
    <row r="9269" spans="1:1" x14ac:dyDescent="0.25">
      <c r="A9269" s="56">
        <v>23108055.300000001</v>
      </c>
    </row>
    <row r="9270" spans="1:1" x14ac:dyDescent="0.25">
      <c r="A9270" s="56">
        <v>11116424.4</v>
      </c>
    </row>
    <row r="9271" spans="1:1" x14ac:dyDescent="0.25">
      <c r="A9271" s="56">
        <v>98375032.5</v>
      </c>
    </row>
    <row r="9272" spans="1:1" x14ac:dyDescent="0.25">
      <c r="A9272" s="56">
        <v>76172338.099999905</v>
      </c>
    </row>
    <row r="9273" spans="1:1" x14ac:dyDescent="0.25">
      <c r="A9273" s="56">
        <v>4856171.1999999899</v>
      </c>
    </row>
    <row r="9274" spans="1:1" x14ac:dyDescent="0.25">
      <c r="A9274" s="56">
        <v>2016957.6</v>
      </c>
    </row>
    <row r="9275" spans="1:1" x14ac:dyDescent="0.25">
      <c r="A9275" s="56">
        <v>172963242.90000001</v>
      </c>
    </row>
    <row r="9276" spans="1:1" x14ac:dyDescent="0.25">
      <c r="A9276" s="56">
        <v>17237542.399999999</v>
      </c>
    </row>
    <row r="9277" spans="1:1" x14ac:dyDescent="0.25">
      <c r="A9277" s="56">
        <v>0</v>
      </c>
    </row>
    <row r="9278" spans="1:1" x14ac:dyDescent="0.25">
      <c r="A9278" s="56">
        <v>24926939.600000001</v>
      </c>
    </row>
    <row r="9279" spans="1:1" x14ac:dyDescent="0.25">
      <c r="A9279" s="56">
        <v>89304056.199999899</v>
      </c>
    </row>
    <row r="9280" spans="1:1" x14ac:dyDescent="0.25">
      <c r="A9280" s="56">
        <v>5978853.2999999998</v>
      </c>
    </row>
    <row r="9281" spans="1:1" x14ac:dyDescent="0.25">
      <c r="A9281" s="56">
        <v>41677219.599999897</v>
      </c>
    </row>
    <row r="9282" spans="1:1" x14ac:dyDescent="0.25">
      <c r="A9282" s="56">
        <v>13238184.4</v>
      </c>
    </row>
    <row r="9283" spans="1:1" x14ac:dyDescent="0.25">
      <c r="A9283" s="56">
        <v>84542953</v>
      </c>
    </row>
    <row r="9284" spans="1:1" x14ac:dyDescent="0.25">
      <c r="A9284" s="56">
        <v>0</v>
      </c>
    </row>
    <row r="9285" spans="1:1" x14ac:dyDescent="0.25">
      <c r="A9285" s="56">
        <v>4198776</v>
      </c>
    </row>
    <row r="9286" spans="1:1" x14ac:dyDescent="0.25">
      <c r="A9286" s="56">
        <v>45892499.600000001</v>
      </c>
    </row>
    <row r="9287" spans="1:1" x14ac:dyDescent="0.25">
      <c r="A9287" s="56">
        <v>46426911.999999903</v>
      </c>
    </row>
    <row r="9288" spans="1:1" x14ac:dyDescent="0.25">
      <c r="A9288" s="56">
        <v>33438582.5</v>
      </c>
    </row>
    <row r="9289" spans="1:1" x14ac:dyDescent="0.25">
      <c r="A9289" s="56">
        <v>5634307.6999999899</v>
      </c>
    </row>
    <row r="9290" spans="1:1" x14ac:dyDescent="0.25">
      <c r="A9290" s="56">
        <v>48304991.5</v>
      </c>
    </row>
    <row r="9291" spans="1:1" x14ac:dyDescent="0.25">
      <c r="A9291" s="56">
        <v>25309668.300000001</v>
      </c>
    </row>
    <row r="9292" spans="1:1" x14ac:dyDescent="0.25">
      <c r="A9292" s="56">
        <v>0</v>
      </c>
    </row>
    <row r="9293" spans="1:1" x14ac:dyDescent="0.25">
      <c r="A9293" s="56">
        <v>18592614.5</v>
      </c>
    </row>
    <row r="9294" spans="1:1" x14ac:dyDescent="0.25">
      <c r="A9294" s="56">
        <v>12989243.300000001</v>
      </c>
    </row>
    <row r="9295" spans="1:1" x14ac:dyDescent="0.25">
      <c r="A9295" s="56">
        <v>0</v>
      </c>
    </row>
    <row r="9296" spans="1:1" x14ac:dyDescent="0.25">
      <c r="A9296" s="56">
        <v>3818235</v>
      </c>
    </row>
    <row r="9297" spans="1:1" x14ac:dyDescent="0.25">
      <c r="A9297" s="56">
        <v>44292495.200000003</v>
      </c>
    </row>
    <row r="9298" spans="1:1" x14ac:dyDescent="0.25">
      <c r="A9298" s="56">
        <v>5634307.6999999899</v>
      </c>
    </row>
    <row r="9299" spans="1:1" x14ac:dyDescent="0.25">
      <c r="A9299" s="56">
        <v>11642762.800000001</v>
      </c>
    </row>
    <row r="9300" spans="1:1" x14ac:dyDescent="0.25">
      <c r="A9300" s="56">
        <v>4522413.5999999996</v>
      </c>
    </row>
    <row r="9301" spans="1:1" x14ac:dyDescent="0.25">
      <c r="A9301" s="56">
        <v>90893377.5</v>
      </c>
    </row>
    <row r="9302" spans="1:1" x14ac:dyDescent="0.25">
      <c r="A9302" s="56">
        <v>39255660.899999999</v>
      </c>
    </row>
    <row r="9303" spans="1:1" x14ac:dyDescent="0.25">
      <c r="A9303" s="56">
        <v>5634307.6999999899</v>
      </c>
    </row>
    <row r="9304" spans="1:1" x14ac:dyDescent="0.25">
      <c r="A9304" s="56">
        <v>680390770</v>
      </c>
    </row>
    <row r="9305" spans="1:1" x14ac:dyDescent="0.25">
      <c r="A9305" s="56">
        <v>36114576.399999999</v>
      </c>
    </row>
    <row r="9306" spans="1:1" x14ac:dyDescent="0.25">
      <c r="A9306" s="56">
        <v>14911540.1</v>
      </c>
    </row>
    <row r="9307" spans="1:1" x14ac:dyDescent="0.25">
      <c r="A9307" s="56">
        <v>7109317.4999999898</v>
      </c>
    </row>
    <row r="9308" spans="1:1" x14ac:dyDescent="0.25">
      <c r="A9308" s="56">
        <v>133010410.59999999</v>
      </c>
    </row>
    <row r="9309" spans="1:1" x14ac:dyDescent="0.25">
      <c r="A9309" s="56">
        <v>228410139.40000001</v>
      </c>
    </row>
    <row r="9310" spans="1:1" x14ac:dyDescent="0.25">
      <c r="A9310" s="56">
        <v>5838319.1999999899</v>
      </c>
    </row>
    <row r="9311" spans="1:1" x14ac:dyDescent="0.25">
      <c r="A9311" s="56">
        <v>27819086.600000001</v>
      </c>
    </row>
    <row r="9312" spans="1:1" x14ac:dyDescent="0.25">
      <c r="A9312" s="56">
        <v>19120857.300000001</v>
      </c>
    </row>
    <row r="9313" spans="1:1" x14ac:dyDescent="0.25">
      <c r="A9313" s="56">
        <v>0</v>
      </c>
    </row>
    <row r="9314" spans="1:1" x14ac:dyDescent="0.25">
      <c r="A9314" s="56">
        <v>40735513.399999999</v>
      </c>
    </row>
    <row r="9315" spans="1:1" x14ac:dyDescent="0.25">
      <c r="A9315" s="56">
        <v>1034119.6</v>
      </c>
    </row>
    <row r="9316" spans="1:1" x14ac:dyDescent="0.25">
      <c r="A9316" s="56">
        <v>0</v>
      </c>
    </row>
    <row r="9317" spans="1:1" x14ac:dyDescent="0.25">
      <c r="A9317" s="56">
        <v>34196248.299999997</v>
      </c>
    </row>
    <row r="9318" spans="1:1" x14ac:dyDescent="0.25">
      <c r="A9318" s="56">
        <v>47614425.099999897</v>
      </c>
    </row>
    <row r="9319" spans="1:1" x14ac:dyDescent="0.25">
      <c r="A9319" s="56">
        <v>5033965.3</v>
      </c>
    </row>
    <row r="9320" spans="1:1" x14ac:dyDescent="0.25">
      <c r="A9320" s="56">
        <v>21920806.199999999</v>
      </c>
    </row>
    <row r="9321" spans="1:1" x14ac:dyDescent="0.25">
      <c r="A9321" s="56">
        <v>0</v>
      </c>
    </row>
    <row r="9322" spans="1:1" x14ac:dyDescent="0.25">
      <c r="A9322" s="56">
        <v>11166024.6</v>
      </c>
    </row>
    <row r="9323" spans="1:1" x14ac:dyDescent="0.25">
      <c r="A9323" s="56">
        <v>12088173.699999999</v>
      </c>
    </row>
    <row r="9324" spans="1:1" x14ac:dyDescent="0.25">
      <c r="A9324" s="56">
        <v>12851681.699999999</v>
      </c>
    </row>
    <row r="9325" spans="1:1" x14ac:dyDescent="0.25">
      <c r="A9325" s="56">
        <v>9805305.8999999892</v>
      </c>
    </row>
    <row r="9326" spans="1:1" x14ac:dyDescent="0.25">
      <c r="A9326" s="56">
        <v>67045731.5</v>
      </c>
    </row>
    <row r="9327" spans="1:1" x14ac:dyDescent="0.25">
      <c r="A9327" s="56">
        <v>8755124.0999999996</v>
      </c>
    </row>
    <row r="9328" spans="1:1" x14ac:dyDescent="0.25">
      <c r="A9328" s="56">
        <v>6465793.5999999996</v>
      </c>
    </row>
    <row r="9329" spans="1:1" x14ac:dyDescent="0.25">
      <c r="A9329" s="56">
        <v>0</v>
      </c>
    </row>
    <row r="9330" spans="1:1" x14ac:dyDescent="0.25">
      <c r="A9330" s="56">
        <v>20981513.300000001</v>
      </c>
    </row>
    <row r="9331" spans="1:1" x14ac:dyDescent="0.25">
      <c r="A9331" s="56">
        <v>85936250.899999902</v>
      </c>
    </row>
    <row r="9332" spans="1:1" x14ac:dyDescent="0.25">
      <c r="A9332" s="56">
        <v>184858262.69999999</v>
      </c>
    </row>
    <row r="9333" spans="1:1" x14ac:dyDescent="0.25">
      <c r="A9333" s="56">
        <v>38623030.399999999</v>
      </c>
    </row>
    <row r="9334" spans="1:1" x14ac:dyDescent="0.25">
      <c r="A9334" s="56">
        <v>5634307.6999999899</v>
      </c>
    </row>
    <row r="9335" spans="1:1" x14ac:dyDescent="0.25">
      <c r="A9335" s="56">
        <v>4197731.3999999901</v>
      </c>
    </row>
    <row r="9336" spans="1:1" x14ac:dyDescent="0.25">
      <c r="A9336" s="56">
        <v>0</v>
      </c>
    </row>
    <row r="9337" spans="1:1" x14ac:dyDescent="0.25">
      <c r="A9337" s="56">
        <v>28688619</v>
      </c>
    </row>
    <row r="9338" spans="1:1" x14ac:dyDescent="0.25">
      <c r="A9338" s="56">
        <v>3426663</v>
      </c>
    </row>
    <row r="9339" spans="1:1" x14ac:dyDescent="0.25">
      <c r="A9339" s="56">
        <v>746087.6</v>
      </c>
    </row>
    <row r="9340" spans="1:1" x14ac:dyDescent="0.25">
      <c r="A9340" s="56">
        <v>16477512.800000001</v>
      </c>
    </row>
    <row r="9341" spans="1:1" x14ac:dyDescent="0.25">
      <c r="A9341" s="56">
        <v>0</v>
      </c>
    </row>
    <row r="9342" spans="1:1" x14ac:dyDescent="0.25">
      <c r="A9342" s="56">
        <v>61992482</v>
      </c>
    </row>
    <row r="9343" spans="1:1" x14ac:dyDescent="0.25">
      <c r="A9343" s="56">
        <v>17199575.300000001</v>
      </c>
    </row>
    <row r="9344" spans="1:1" x14ac:dyDescent="0.25">
      <c r="A9344" s="56">
        <v>4831032</v>
      </c>
    </row>
    <row r="9345" spans="1:1" x14ac:dyDescent="0.25">
      <c r="A9345" s="56">
        <v>3434481</v>
      </c>
    </row>
    <row r="9346" spans="1:1" x14ac:dyDescent="0.25">
      <c r="A9346" s="56">
        <v>19588617.800000001</v>
      </c>
    </row>
    <row r="9347" spans="1:1" x14ac:dyDescent="0.25">
      <c r="A9347" s="56">
        <v>36362638.799999997</v>
      </c>
    </row>
    <row r="9348" spans="1:1" x14ac:dyDescent="0.25">
      <c r="A9348" s="56">
        <v>52996617.5</v>
      </c>
    </row>
    <row r="9349" spans="1:1" x14ac:dyDescent="0.25">
      <c r="A9349" s="56">
        <v>2432236.7999999998</v>
      </c>
    </row>
    <row r="9350" spans="1:1" x14ac:dyDescent="0.25">
      <c r="A9350" s="56">
        <v>0</v>
      </c>
    </row>
    <row r="9351" spans="1:1" x14ac:dyDescent="0.25">
      <c r="A9351" s="56">
        <v>249153973.5</v>
      </c>
    </row>
    <row r="9352" spans="1:1" x14ac:dyDescent="0.25">
      <c r="A9352" s="56">
        <v>122392946.59999999</v>
      </c>
    </row>
    <row r="9353" spans="1:1" x14ac:dyDescent="0.25">
      <c r="A9353" s="56">
        <v>17036006.199999999</v>
      </c>
    </row>
    <row r="9354" spans="1:1" x14ac:dyDescent="0.25">
      <c r="A9354" s="56">
        <v>15500220.5</v>
      </c>
    </row>
    <row r="9355" spans="1:1" x14ac:dyDescent="0.25">
      <c r="A9355" s="56">
        <v>17741981.699999999</v>
      </c>
    </row>
    <row r="9356" spans="1:1" x14ac:dyDescent="0.25">
      <c r="A9356" s="56">
        <v>10513970.4</v>
      </c>
    </row>
    <row r="9357" spans="1:1" x14ac:dyDescent="0.25">
      <c r="A9357" s="56">
        <v>0</v>
      </c>
    </row>
    <row r="9358" spans="1:1" x14ac:dyDescent="0.25">
      <c r="A9358" s="56">
        <v>589435881.5</v>
      </c>
    </row>
    <row r="9359" spans="1:1" x14ac:dyDescent="0.25">
      <c r="A9359" s="56">
        <v>0</v>
      </c>
    </row>
    <row r="9360" spans="1:1" x14ac:dyDescent="0.25">
      <c r="A9360" s="56">
        <v>7672057.0999999996</v>
      </c>
    </row>
    <row r="9361" spans="1:1" x14ac:dyDescent="0.25">
      <c r="A9361" s="56">
        <v>172015197.40000001</v>
      </c>
    </row>
    <row r="9362" spans="1:1" x14ac:dyDescent="0.25">
      <c r="A9362" s="56">
        <v>50006770.700000003</v>
      </c>
    </row>
    <row r="9363" spans="1:1" x14ac:dyDescent="0.25">
      <c r="A9363" s="56">
        <v>104552322.3</v>
      </c>
    </row>
    <row r="9364" spans="1:1" x14ac:dyDescent="0.25">
      <c r="A9364" s="56">
        <v>131435994.2</v>
      </c>
    </row>
    <row r="9365" spans="1:1" x14ac:dyDescent="0.25">
      <c r="A9365" s="56">
        <v>234888242.40000001</v>
      </c>
    </row>
    <row r="9366" spans="1:1" x14ac:dyDescent="0.25">
      <c r="A9366" s="56">
        <v>36641777.600000001</v>
      </c>
    </row>
    <row r="9367" spans="1:1" x14ac:dyDescent="0.25">
      <c r="A9367" s="56">
        <v>21034032.5</v>
      </c>
    </row>
    <row r="9368" spans="1:1" x14ac:dyDescent="0.25">
      <c r="A9368" s="56">
        <v>33184074.099999901</v>
      </c>
    </row>
    <row r="9369" spans="1:1" x14ac:dyDescent="0.25">
      <c r="A9369" s="56">
        <v>9918032.9000000004</v>
      </c>
    </row>
    <row r="9370" spans="1:1" x14ac:dyDescent="0.25">
      <c r="A9370" s="56">
        <v>973222</v>
      </c>
    </row>
    <row r="9371" spans="1:1" x14ac:dyDescent="0.25">
      <c r="A9371" s="56">
        <v>4043823.2</v>
      </c>
    </row>
    <row r="9372" spans="1:1" x14ac:dyDescent="0.25">
      <c r="A9372" s="56">
        <v>22363766</v>
      </c>
    </row>
    <row r="9373" spans="1:1" x14ac:dyDescent="0.25">
      <c r="A9373" s="56">
        <v>7549373.6999999899</v>
      </c>
    </row>
    <row r="9374" spans="1:1" x14ac:dyDescent="0.25">
      <c r="A9374" s="56">
        <v>24900617.100000001</v>
      </c>
    </row>
    <row r="9375" spans="1:1" x14ac:dyDescent="0.25">
      <c r="A9375" s="56">
        <v>4360324.2</v>
      </c>
    </row>
    <row r="9376" spans="1:1" x14ac:dyDescent="0.25">
      <c r="A9376" s="56">
        <v>80828927.399999902</v>
      </c>
    </row>
    <row r="9377" spans="1:1" x14ac:dyDescent="0.25">
      <c r="A9377" s="56">
        <v>13156369.199999999</v>
      </c>
    </row>
    <row r="9378" spans="1:1" x14ac:dyDescent="0.25">
      <c r="A9378" s="56">
        <v>28837069.600000001</v>
      </c>
    </row>
    <row r="9379" spans="1:1" x14ac:dyDescent="0.25">
      <c r="A9379" s="56">
        <v>20076140.800000001</v>
      </c>
    </row>
    <row r="9380" spans="1:1" x14ac:dyDescent="0.25">
      <c r="A9380" s="56">
        <v>4835530</v>
      </c>
    </row>
    <row r="9381" spans="1:1" x14ac:dyDescent="0.25">
      <c r="A9381" s="56">
        <v>20918105.800000001</v>
      </c>
    </row>
    <row r="9382" spans="1:1" x14ac:dyDescent="0.25">
      <c r="A9382" s="56">
        <v>25255041.100000001</v>
      </c>
    </row>
    <row r="9383" spans="1:1" x14ac:dyDescent="0.25">
      <c r="A9383" s="56">
        <v>189969181.5</v>
      </c>
    </row>
    <row r="9384" spans="1:1" x14ac:dyDescent="0.25">
      <c r="A9384" s="56">
        <v>82810362.699999899</v>
      </c>
    </row>
    <row r="9385" spans="1:1" x14ac:dyDescent="0.25">
      <c r="A9385" s="56">
        <v>7940250.6999999899</v>
      </c>
    </row>
    <row r="9386" spans="1:1" x14ac:dyDescent="0.25">
      <c r="A9386" s="56">
        <v>20845148.300000001</v>
      </c>
    </row>
    <row r="9387" spans="1:1" x14ac:dyDescent="0.25">
      <c r="A9387" s="56">
        <v>64582713.399999999</v>
      </c>
    </row>
    <row r="9388" spans="1:1" x14ac:dyDescent="0.25">
      <c r="A9388" s="56">
        <v>3305527.8</v>
      </c>
    </row>
    <row r="9389" spans="1:1" x14ac:dyDescent="0.25">
      <c r="A9389" s="56">
        <v>77843571.599999905</v>
      </c>
    </row>
    <row r="9390" spans="1:1" x14ac:dyDescent="0.25">
      <c r="A9390" s="56">
        <v>42805015.799999997</v>
      </c>
    </row>
    <row r="9391" spans="1:1" x14ac:dyDescent="0.25">
      <c r="A9391" s="56">
        <v>40457598.799999997</v>
      </c>
    </row>
    <row r="9392" spans="1:1" x14ac:dyDescent="0.25">
      <c r="A9392" s="56">
        <v>3862308</v>
      </c>
    </row>
    <row r="9393" spans="1:1" x14ac:dyDescent="0.25">
      <c r="A9393" s="56">
        <v>81904035.700000003</v>
      </c>
    </row>
    <row r="9394" spans="1:1" x14ac:dyDescent="0.25">
      <c r="A9394" s="56">
        <v>29114386.800000001</v>
      </c>
    </row>
    <row r="9395" spans="1:1" x14ac:dyDescent="0.25">
      <c r="A9395" s="56">
        <v>174520729.69999999</v>
      </c>
    </row>
    <row r="9396" spans="1:1" x14ac:dyDescent="0.25">
      <c r="A9396" s="56">
        <v>15133385.800000001</v>
      </c>
    </row>
    <row r="9397" spans="1:1" x14ac:dyDescent="0.25">
      <c r="A9397" s="56">
        <v>0</v>
      </c>
    </row>
    <row r="9398" spans="1:1" x14ac:dyDescent="0.25">
      <c r="A9398" s="56">
        <v>24609079.5</v>
      </c>
    </row>
    <row r="9399" spans="1:1" x14ac:dyDescent="0.25">
      <c r="A9399" s="56">
        <v>319201627.10000002</v>
      </c>
    </row>
    <row r="9400" spans="1:1" x14ac:dyDescent="0.25">
      <c r="A9400" s="56">
        <v>3632519.4</v>
      </c>
    </row>
    <row r="9401" spans="1:1" x14ac:dyDescent="0.25">
      <c r="A9401" s="56">
        <v>58260600.399999999</v>
      </c>
    </row>
    <row r="9402" spans="1:1" x14ac:dyDescent="0.25">
      <c r="A9402" s="56">
        <v>29583566</v>
      </c>
    </row>
    <row r="9403" spans="1:1" x14ac:dyDescent="0.25">
      <c r="A9403" s="56">
        <v>51997249.700000003</v>
      </c>
    </row>
    <row r="9404" spans="1:1" x14ac:dyDescent="0.25">
      <c r="A9404" s="56">
        <v>83926062.799999997</v>
      </c>
    </row>
    <row r="9405" spans="1:1" x14ac:dyDescent="0.25">
      <c r="A9405" s="56">
        <v>13054839.5</v>
      </c>
    </row>
    <row r="9406" spans="1:1" x14ac:dyDescent="0.25">
      <c r="A9406" s="56">
        <v>19488700.300000001</v>
      </c>
    </row>
    <row r="9407" spans="1:1" x14ac:dyDescent="0.25">
      <c r="A9407" s="56">
        <v>32931128.100000001</v>
      </c>
    </row>
    <row r="9408" spans="1:1" x14ac:dyDescent="0.25">
      <c r="A9408" s="56">
        <v>786862.8</v>
      </c>
    </row>
    <row r="9409" spans="1:1" x14ac:dyDescent="0.25">
      <c r="A9409" s="56">
        <v>55264418.099999897</v>
      </c>
    </row>
    <row r="9410" spans="1:1" x14ac:dyDescent="0.25">
      <c r="A9410" s="56">
        <v>90127731.200000003</v>
      </c>
    </row>
    <row r="9411" spans="1:1" x14ac:dyDescent="0.25">
      <c r="A9411" s="56">
        <v>8108018.2999999896</v>
      </c>
    </row>
    <row r="9412" spans="1:1" x14ac:dyDescent="0.25">
      <c r="A9412" s="56">
        <v>16004438.1</v>
      </c>
    </row>
    <row r="9413" spans="1:1" x14ac:dyDescent="0.25">
      <c r="A9413" s="56">
        <v>6641203.3999999901</v>
      </c>
    </row>
    <row r="9414" spans="1:1" x14ac:dyDescent="0.25">
      <c r="A9414" s="56">
        <v>0</v>
      </c>
    </row>
    <row r="9415" spans="1:1" x14ac:dyDescent="0.25">
      <c r="A9415" s="56">
        <v>40935879.700000003</v>
      </c>
    </row>
    <row r="9416" spans="1:1" x14ac:dyDescent="0.25">
      <c r="A9416" s="56">
        <v>29544812.600000001</v>
      </c>
    </row>
    <row r="9417" spans="1:1" x14ac:dyDescent="0.25">
      <c r="A9417" s="56">
        <v>100216003.7</v>
      </c>
    </row>
    <row r="9418" spans="1:1" x14ac:dyDescent="0.25">
      <c r="A9418" s="56">
        <v>42230206</v>
      </c>
    </row>
    <row r="9419" spans="1:1" x14ac:dyDescent="0.25">
      <c r="A9419" s="56">
        <v>23155411</v>
      </c>
    </row>
    <row r="9420" spans="1:1" x14ac:dyDescent="0.25">
      <c r="A9420" s="56">
        <v>62961695.200000003</v>
      </c>
    </row>
    <row r="9421" spans="1:1" x14ac:dyDescent="0.25">
      <c r="A9421" s="56">
        <v>90604935.599999905</v>
      </c>
    </row>
    <row r="9422" spans="1:1" x14ac:dyDescent="0.25">
      <c r="A9422" s="56">
        <v>28895601.5</v>
      </c>
    </row>
    <row r="9423" spans="1:1" x14ac:dyDescent="0.25">
      <c r="A9423" s="56">
        <v>162318700.59999999</v>
      </c>
    </row>
    <row r="9424" spans="1:1" x14ac:dyDescent="0.25">
      <c r="A9424" s="56">
        <v>19125895.199999999</v>
      </c>
    </row>
    <row r="9425" spans="1:1" x14ac:dyDescent="0.25">
      <c r="A9425" s="56">
        <v>70474976.599999905</v>
      </c>
    </row>
    <row r="9426" spans="1:1" x14ac:dyDescent="0.25">
      <c r="A9426" s="56">
        <v>16457049.4</v>
      </c>
    </row>
    <row r="9427" spans="1:1" x14ac:dyDescent="0.25">
      <c r="A9427" s="56">
        <v>46565444.700000003</v>
      </c>
    </row>
    <row r="9428" spans="1:1" x14ac:dyDescent="0.25">
      <c r="A9428" s="56">
        <v>55725376.499999903</v>
      </c>
    </row>
    <row r="9429" spans="1:1" x14ac:dyDescent="0.25">
      <c r="A9429" s="56">
        <v>46124446.099999897</v>
      </c>
    </row>
    <row r="9430" spans="1:1" x14ac:dyDescent="0.25">
      <c r="A9430" s="56">
        <v>0</v>
      </c>
    </row>
    <row r="9431" spans="1:1" x14ac:dyDescent="0.25">
      <c r="A9431" s="56">
        <v>0</v>
      </c>
    </row>
    <row r="9432" spans="1:1" x14ac:dyDescent="0.25">
      <c r="A9432" s="56">
        <v>11095303.9</v>
      </c>
    </row>
    <row r="9433" spans="1:1" x14ac:dyDescent="0.25">
      <c r="A9433" s="56">
        <v>66560220.399999999</v>
      </c>
    </row>
    <row r="9434" spans="1:1" x14ac:dyDescent="0.25">
      <c r="A9434" s="56">
        <v>27117906.800000001</v>
      </c>
    </row>
    <row r="9435" spans="1:1" x14ac:dyDescent="0.25">
      <c r="A9435" s="56">
        <v>14533571.800000001</v>
      </c>
    </row>
    <row r="9436" spans="1:1" x14ac:dyDescent="0.25">
      <c r="A9436" s="56">
        <v>11514067.5</v>
      </c>
    </row>
    <row r="9437" spans="1:1" x14ac:dyDescent="0.25">
      <c r="A9437" s="56">
        <v>90157278.299999997</v>
      </c>
    </row>
    <row r="9438" spans="1:1" x14ac:dyDescent="0.25">
      <c r="A9438" s="56">
        <v>0</v>
      </c>
    </row>
    <row r="9439" spans="1:1" x14ac:dyDescent="0.25">
      <c r="A9439" s="56">
        <v>51380234.799999997</v>
      </c>
    </row>
    <row r="9440" spans="1:1" x14ac:dyDescent="0.25">
      <c r="A9440" s="56">
        <v>0</v>
      </c>
    </row>
    <row r="9441" spans="1:1" x14ac:dyDescent="0.25">
      <c r="A9441" s="56">
        <v>6222205.3999999901</v>
      </c>
    </row>
    <row r="9442" spans="1:1" x14ac:dyDescent="0.25">
      <c r="A9442" s="56">
        <v>60381737.299999997</v>
      </c>
    </row>
    <row r="9443" spans="1:1" x14ac:dyDescent="0.25">
      <c r="A9443" s="56">
        <v>34817977.799999997</v>
      </c>
    </row>
    <row r="9444" spans="1:1" x14ac:dyDescent="0.25">
      <c r="A9444" s="56">
        <v>234749643</v>
      </c>
    </row>
    <row r="9445" spans="1:1" x14ac:dyDescent="0.25">
      <c r="A9445" s="56">
        <v>81605423.299999997</v>
      </c>
    </row>
    <row r="9446" spans="1:1" x14ac:dyDescent="0.25">
      <c r="A9446" s="56">
        <v>6675004.3999999901</v>
      </c>
    </row>
    <row r="9447" spans="1:1" x14ac:dyDescent="0.25">
      <c r="A9447" s="56">
        <v>253220328.5</v>
      </c>
    </row>
    <row r="9448" spans="1:1" x14ac:dyDescent="0.25">
      <c r="A9448" s="56">
        <v>5329032.5999999996</v>
      </c>
    </row>
    <row r="9449" spans="1:1" x14ac:dyDescent="0.25">
      <c r="A9449" s="56">
        <v>90836698.299999997</v>
      </c>
    </row>
    <row r="9450" spans="1:1" x14ac:dyDescent="0.25">
      <c r="A9450" s="56">
        <v>58620300.699999899</v>
      </c>
    </row>
    <row r="9451" spans="1:1" x14ac:dyDescent="0.25">
      <c r="A9451" s="56">
        <v>43196477.200000003</v>
      </c>
    </row>
    <row r="9452" spans="1:1" x14ac:dyDescent="0.25">
      <c r="A9452" s="56">
        <v>65954691.700000003</v>
      </c>
    </row>
    <row r="9453" spans="1:1" x14ac:dyDescent="0.25">
      <c r="A9453" s="56">
        <v>4036695</v>
      </c>
    </row>
    <row r="9454" spans="1:1" x14ac:dyDescent="0.25">
      <c r="A9454" s="56">
        <v>5859767</v>
      </c>
    </row>
    <row r="9455" spans="1:1" x14ac:dyDescent="0.25">
      <c r="A9455" s="56">
        <v>23338333</v>
      </c>
    </row>
    <row r="9456" spans="1:1" x14ac:dyDescent="0.25">
      <c r="A9456" s="56">
        <v>0</v>
      </c>
    </row>
    <row r="9457" spans="1:1" x14ac:dyDescent="0.25">
      <c r="A9457" s="56">
        <v>85420999.399999902</v>
      </c>
    </row>
    <row r="9458" spans="1:1" x14ac:dyDescent="0.25">
      <c r="A9458" s="56">
        <v>24439851.100000001</v>
      </c>
    </row>
    <row r="9459" spans="1:1" x14ac:dyDescent="0.25">
      <c r="A9459" s="56">
        <v>1032426.8</v>
      </c>
    </row>
    <row r="9460" spans="1:1" x14ac:dyDescent="0.25">
      <c r="A9460" s="56">
        <v>9988123.6999999899</v>
      </c>
    </row>
    <row r="9461" spans="1:1" x14ac:dyDescent="0.25">
      <c r="A9461" s="56">
        <v>39747553.599999897</v>
      </c>
    </row>
    <row r="9462" spans="1:1" x14ac:dyDescent="0.25">
      <c r="A9462" s="56">
        <v>21476377.600000001</v>
      </c>
    </row>
    <row r="9463" spans="1:1" x14ac:dyDescent="0.25">
      <c r="A9463" s="56">
        <v>118098541.59999999</v>
      </c>
    </row>
    <row r="9464" spans="1:1" x14ac:dyDescent="0.25">
      <c r="A9464" s="56">
        <v>28920239.600000001</v>
      </c>
    </row>
    <row r="9465" spans="1:1" x14ac:dyDescent="0.25">
      <c r="A9465" s="56">
        <v>34458772</v>
      </c>
    </row>
    <row r="9466" spans="1:1" x14ac:dyDescent="0.25">
      <c r="A9466" s="56">
        <v>4684845</v>
      </c>
    </row>
    <row r="9467" spans="1:1" x14ac:dyDescent="0.25">
      <c r="A9467" s="56">
        <v>29787304.800000001</v>
      </c>
    </row>
    <row r="9468" spans="1:1" x14ac:dyDescent="0.25">
      <c r="A9468" s="56">
        <v>511775003.5</v>
      </c>
    </row>
    <row r="9469" spans="1:1" x14ac:dyDescent="0.25">
      <c r="A9469" s="56">
        <v>219190581.80000001</v>
      </c>
    </row>
    <row r="9470" spans="1:1" x14ac:dyDescent="0.25">
      <c r="A9470" s="56">
        <v>43441619</v>
      </c>
    </row>
    <row r="9471" spans="1:1" x14ac:dyDescent="0.25">
      <c r="A9471" s="56">
        <v>39574384</v>
      </c>
    </row>
    <row r="9472" spans="1:1" x14ac:dyDescent="0.25">
      <c r="A9472" s="56">
        <v>1107876</v>
      </c>
    </row>
    <row r="9473" spans="1:1" x14ac:dyDescent="0.25">
      <c r="A9473" s="56">
        <v>0</v>
      </c>
    </row>
    <row r="9474" spans="1:1" x14ac:dyDescent="0.25">
      <c r="A9474" s="56">
        <v>28630326.199999999</v>
      </c>
    </row>
    <row r="9475" spans="1:1" x14ac:dyDescent="0.25">
      <c r="A9475" s="56">
        <v>0</v>
      </c>
    </row>
    <row r="9476" spans="1:1" x14ac:dyDescent="0.25">
      <c r="A9476" s="56">
        <v>6627180.6999999899</v>
      </c>
    </row>
    <row r="9477" spans="1:1" x14ac:dyDescent="0.25">
      <c r="A9477" s="56">
        <v>265118744.80000001</v>
      </c>
    </row>
    <row r="9478" spans="1:1" x14ac:dyDescent="0.25">
      <c r="A9478" s="56">
        <v>2695653.6</v>
      </c>
    </row>
    <row r="9479" spans="1:1" x14ac:dyDescent="0.25">
      <c r="A9479" s="56">
        <v>34217002.099999897</v>
      </c>
    </row>
    <row r="9480" spans="1:1" x14ac:dyDescent="0.25">
      <c r="A9480" s="56">
        <v>17407106.399999999</v>
      </c>
    </row>
    <row r="9481" spans="1:1" x14ac:dyDescent="0.25">
      <c r="A9481" s="56">
        <v>521241061.60000002</v>
      </c>
    </row>
    <row r="9482" spans="1:1" x14ac:dyDescent="0.25">
      <c r="A9482" s="56">
        <v>31225491.199999999</v>
      </c>
    </row>
    <row r="9483" spans="1:1" x14ac:dyDescent="0.25">
      <c r="A9483" s="56">
        <v>4910977.3999999901</v>
      </c>
    </row>
    <row r="9484" spans="1:1" x14ac:dyDescent="0.25">
      <c r="A9484" s="56">
        <v>86386390.599999905</v>
      </c>
    </row>
    <row r="9485" spans="1:1" x14ac:dyDescent="0.25">
      <c r="A9485" s="56">
        <v>13550856.1</v>
      </c>
    </row>
    <row r="9486" spans="1:1" x14ac:dyDescent="0.25">
      <c r="A9486" s="56">
        <v>455492916.80000001</v>
      </c>
    </row>
    <row r="9487" spans="1:1" x14ac:dyDescent="0.25">
      <c r="A9487" s="56">
        <v>7970107.7999999896</v>
      </c>
    </row>
    <row r="9488" spans="1:1" x14ac:dyDescent="0.25">
      <c r="A9488" s="56">
        <v>0</v>
      </c>
    </row>
    <row r="9489" spans="1:1" x14ac:dyDescent="0.25">
      <c r="A9489" s="56">
        <v>7459820.7999999896</v>
      </c>
    </row>
    <row r="9490" spans="1:1" x14ac:dyDescent="0.25">
      <c r="A9490" s="56">
        <v>7234561.5999999996</v>
      </c>
    </row>
    <row r="9491" spans="1:1" x14ac:dyDescent="0.25">
      <c r="A9491" s="56">
        <v>6813647.1999999899</v>
      </c>
    </row>
    <row r="9492" spans="1:1" x14ac:dyDescent="0.25">
      <c r="A9492" s="56">
        <v>8987699.1999999899</v>
      </c>
    </row>
    <row r="9493" spans="1:1" x14ac:dyDescent="0.25">
      <c r="A9493" s="56">
        <v>11767755.5</v>
      </c>
    </row>
    <row r="9494" spans="1:1" x14ac:dyDescent="0.25">
      <c r="A9494" s="56">
        <v>0</v>
      </c>
    </row>
    <row r="9495" spans="1:1" x14ac:dyDescent="0.25">
      <c r="A9495" s="56">
        <v>10205505.6</v>
      </c>
    </row>
    <row r="9496" spans="1:1" x14ac:dyDescent="0.25">
      <c r="A9496" s="56">
        <v>2750112.2</v>
      </c>
    </row>
    <row r="9497" spans="1:1" x14ac:dyDescent="0.25">
      <c r="A9497" s="56">
        <v>22620306.300000001</v>
      </c>
    </row>
    <row r="9498" spans="1:1" x14ac:dyDescent="0.25">
      <c r="A9498" s="56">
        <v>24487247.199999999</v>
      </c>
    </row>
    <row r="9499" spans="1:1" x14ac:dyDescent="0.25">
      <c r="A9499" s="56">
        <v>200665819.90000001</v>
      </c>
    </row>
    <row r="9500" spans="1:1" x14ac:dyDescent="0.25">
      <c r="A9500" s="56">
        <v>0</v>
      </c>
    </row>
    <row r="9501" spans="1:1" x14ac:dyDescent="0.25">
      <c r="A9501" s="56">
        <v>18095863.399999999</v>
      </c>
    </row>
    <row r="9502" spans="1:1" x14ac:dyDescent="0.25">
      <c r="A9502" s="56">
        <v>21426985</v>
      </c>
    </row>
    <row r="9503" spans="1:1" x14ac:dyDescent="0.25">
      <c r="A9503" s="56">
        <v>39411449</v>
      </c>
    </row>
    <row r="9504" spans="1:1" x14ac:dyDescent="0.25">
      <c r="A9504" s="56">
        <v>2283559.7999999998</v>
      </c>
    </row>
    <row r="9505" spans="1:1" x14ac:dyDescent="0.25">
      <c r="A9505" s="56">
        <v>83420366</v>
      </c>
    </row>
    <row r="9506" spans="1:1" x14ac:dyDescent="0.25">
      <c r="A9506" s="56">
        <v>3013401.6</v>
      </c>
    </row>
    <row r="9507" spans="1:1" x14ac:dyDescent="0.25">
      <c r="A9507" s="56">
        <v>151010569.5</v>
      </c>
    </row>
    <row r="9508" spans="1:1" x14ac:dyDescent="0.25">
      <c r="A9508" s="56">
        <v>8403155.0999999996</v>
      </c>
    </row>
    <row r="9509" spans="1:1" x14ac:dyDescent="0.25">
      <c r="A9509" s="56">
        <v>10833255.4</v>
      </c>
    </row>
    <row r="9510" spans="1:1" x14ac:dyDescent="0.25">
      <c r="A9510" s="56">
        <v>61984551.799999997</v>
      </c>
    </row>
    <row r="9511" spans="1:1" x14ac:dyDescent="0.25">
      <c r="A9511" s="56">
        <v>12712978.199999999</v>
      </c>
    </row>
    <row r="9512" spans="1:1" x14ac:dyDescent="0.25">
      <c r="A9512" s="56">
        <v>326534557.80000001</v>
      </c>
    </row>
    <row r="9513" spans="1:1" x14ac:dyDescent="0.25">
      <c r="A9513" s="56">
        <v>25413446.800000001</v>
      </c>
    </row>
    <row r="9514" spans="1:1" x14ac:dyDescent="0.25">
      <c r="A9514" s="56">
        <v>21592724.399999999</v>
      </c>
    </row>
    <row r="9515" spans="1:1" x14ac:dyDescent="0.25">
      <c r="A9515" s="56">
        <v>973222</v>
      </c>
    </row>
    <row r="9516" spans="1:1" x14ac:dyDescent="0.25">
      <c r="A9516" s="56">
        <v>61165244.799999997</v>
      </c>
    </row>
    <row r="9517" spans="1:1" x14ac:dyDescent="0.25">
      <c r="A9517" s="56">
        <v>171260455.80000001</v>
      </c>
    </row>
    <row r="9518" spans="1:1" x14ac:dyDescent="0.25">
      <c r="A9518" s="56">
        <v>4979534.5999999996</v>
      </c>
    </row>
    <row r="9519" spans="1:1" x14ac:dyDescent="0.25">
      <c r="A9519" s="56">
        <v>4970184</v>
      </c>
    </row>
    <row r="9520" spans="1:1" x14ac:dyDescent="0.25">
      <c r="A9520" s="56">
        <v>63454961.799999997</v>
      </c>
    </row>
    <row r="9521" spans="1:1" x14ac:dyDescent="0.25">
      <c r="A9521" s="56">
        <v>147487620.59999999</v>
      </c>
    </row>
    <row r="9522" spans="1:1" x14ac:dyDescent="0.25">
      <c r="A9522" s="56">
        <v>0</v>
      </c>
    </row>
    <row r="9523" spans="1:1" x14ac:dyDescent="0.25">
      <c r="A9523" s="56">
        <v>5162865.3999999901</v>
      </c>
    </row>
    <row r="9524" spans="1:1" x14ac:dyDescent="0.25">
      <c r="A9524" s="56">
        <v>19091220.899999999</v>
      </c>
    </row>
    <row r="9525" spans="1:1" x14ac:dyDescent="0.25">
      <c r="A9525" s="56">
        <v>21450421.600000001</v>
      </c>
    </row>
    <row r="9526" spans="1:1" x14ac:dyDescent="0.25">
      <c r="A9526" s="56">
        <v>122787.6</v>
      </c>
    </row>
    <row r="9527" spans="1:1" x14ac:dyDescent="0.25">
      <c r="A9527" s="56">
        <v>9531023</v>
      </c>
    </row>
    <row r="9528" spans="1:1" x14ac:dyDescent="0.25">
      <c r="A9528" s="56">
        <v>16211438.9</v>
      </c>
    </row>
    <row r="9529" spans="1:1" x14ac:dyDescent="0.25">
      <c r="A9529" s="56">
        <v>91620335.299999997</v>
      </c>
    </row>
    <row r="9530" spans="1:1" x14ac:dyDescent="0.25">
      <c r="A9530" s="56">
        <v>14825551.4</v>
      </c>
    </row>
    <row r="9531" spans="1:1" x14ac:dyDescent="0.25">
      <c r="A9531" s="56">
        <v>7956751.1999999899</v>
      </c>
    </row>
    <row r="9532" spans="1:1" x14ac:dyDescent="0.25">
      <c r="A9532" s="56">
        <v>11852607.199999999</v>
      </c>
    </row>
    <row r="9533" spans="1:1" x14ac:dyDescent="0.25">
      <c r="A9533" s="56">
        <v>29189549.800000001</v>
      </c>
    </row>
    <row r="9534" spans="1:1" x14ac:dyDescent="0.25">
      <c r="A9534" s="56">
        <v>7338423</v>
      </c>
    </row>
    <row r="9535" spans="1:1" x14ac:dyDescent="0.25">
      <c r="A9535" s="56">
        <v>0</v>
      </c>
    </row>
    <row r="9536" spans="1:1" x14ac:dyDescent="0.25">
      <c r="A9536" s="56">
        <v>91672222.299999997</v>
      </c>
    </row>
    <row r="9537" spans="1:1" x14ac:dyDescent="0.25">
      <c r="A9537" s="56">
        <v>1095450.8</v>
      </c>
    </row>
    <row r="9538" spans="1:1" x14ac:dyDescent="0.25">
      <c r="A9538" s="56">
        <v>22729701.300000001</v>
      </c>
    </row>
    <row r="9539" spans="1:1" x14ac:dyDescent="0.25">
      <c r="A9539" s="56">
        <v>404077461.30000001</v>
      </c>
    </row>
    <row r="9540" spans="1:1" x14ac:dyDescent="0.25">
      <c r="A9540" s="56">
        <v>109308820.3</v>
      </c>
    </row>
    <row r="9541" spans="1:1" x14ac:dyDescent="0.25">
      <c r="A9541" s="56">
        <v>0</v>
      </c>
    </row>
    <row r="9542" spans="1:1" x14ac:dyDescent="0.25">
      <c r="A9542" s="56">
        <v>10357604.4</v>
      </c>
    </row>
    <row r="9543" spans="1:1" x14ac:dyDescent="0.25">
      <c r="A9543" s="56">
        <v>4588184.5999999996</v>
      </c>
    </row>
    <row r="9544" spans="1:1" x14ac:dyDescent="0.25">
      <c r="A9544" s="56">
        <v>11236810.199999999</v>
      </c>
    </row>
    <row r="9545" spans="1:1" x14ac:dyDescent="0.25">
      <c r="A9545" s="56">
        <v>41135931.099999897</v>
      </c>
    </row>
    <row r="9546" spans="1:1" x14ac:dyDescent="0.25">
      <c r="A9546" s="56">
        <v>18495565.899999999</v>
      </c>
    </row>
    <row r="9547" spans="1:1" x14ac:dyDescent="0.25">
      <c r="A9547" s="56">
        <v>0</v>
      </c>
    </row>
    <row r="9548" spans="1:1" x14ac:dyDescent="0.25">
      <c r="A9548" s="56">
        <v>0</v>
      </c>
    </row>
    <row r="9549" spans="1:1" x14ac:dyDescent="0.25">
      <c r="A9549" s="56">
        <v>157562252.09999999</v>
      </c>
    </row>
    <row r="9550" spans="1:1" x14ac:dyDescent="0.25">
      <c r="A9550" s="56">
        <v>41785969</v>
      </c>
    </row>
    <row r="9551" spans="1:1" x14ac:dyDescent="0.25">
      <c r="A9551" s="56">
        <v>94198896.299999997</v>
      </c>
    </row>
    <row r="9552" spans="1:1" x14ac:dyDescent="0.25">
      <c r="A9552" s="56">
        <v>307843783</v>
      </c>
    </row>
    <row r="9553" spans="1:1" x14ac:dyDescent="0.25">
      <c r="A9553" s="56">
        <v>6907540.7999999998</v>
      </c>
    </row>
    <row r="9554" spans="1:1" x14ac:dyDescent="0.25">
      <c r="A9554" s="56">
        <v>26764404.800000001</v>
      </c>
    </row>
    <row r="9555" spans="1:1" x14ac:dyDescent="0.25">
      <c r="A9555" s="56">
        <v>160315208.09999999</v>
      </c>
    </row>
    <row r="9556" spans="1:1" x14ac:dyDescent="0.25">
      <c r="A9556" s="56">
        <v>72848542.199999899</v>
      </c>
    </row>
    <row r="9557" spans="1:1" x14ac:dyDescent="0.25">
      <c r="A9557" s="56">
        <v>97627389.299999893</v>
      </c>
    </row>
    <row r="9558" spans="1:1" x14ac:dyDescent="0.25">
      <c r="A9558" s="56">
        <v>17976849.5</v>
      </c>
    </row>
    <row r="9559" spans="1:1" x14ac:dyDescent="0.25">
      <c r="A9559" s="56">
        <v>262288308.40000001</v>
      </c>
    </row>
    <row r="9560" spans="1:1" x14ac:dyDescent="0.25">
      <c r="A9560" s="56">
        <v>2064547.8</v>
      </c>
    </row>
    <row r="9561" spans="1:1" x14ac:dyDescent="0.25">
      <c r="A9561" s="56">
        <v>108554987.59999999</v>
      </c>
    </row>
    <row r="9562" spans="1:1" x14ac:dyDescent="0.25">
      <c r="A9562" s="56">
        <v>87926657.799999997</v>
      </c>
    </row>
    <row r="9563" spans="1:1" x14ac:dyDescent="0.25">
      <c r="A9563" s="56">
        <v>5120515.3999999901</v>
      </c>
    </row>
    <row r="9564" spans="1:1" x14ac:dyDescent="0.25">
      <c r="A9564" s="56">
        <v>257708484</v>
      </c>
    </row>
    <row r="9565" spans="1:1" x14ac:dyDescent="0.25">
      <c r="A9565" s="56">
        <v>16989653.300000001</v>
      </c>
    </row>
    <row r="9566" spans="1:1" x14ac:dyDescent="0.25">
      <c r="A9566" s="56">
        <v>3861519.2</v>
      </c>
    </row>
    <row r="9567" spans="1:1" x14ac:dyDescent="0.25">
      <c r="A9567" s="56">
        <v>146843329.19999999</v>
      </c>
    </row>
    <row r="9568" spans="1:1" x14ac:dyDescent="0.25">
      <c r="A9568" s="56">
        <v>507396</v>
      </c>
    </row>
    <row r="9569" spans="1:1" x14ac:dyDescent="0.25">
      <c r="A9569" s="56">
        <v>48575365.899999999</v>
      </c>
    </row>
    <row r="9570" spans="1:1" x14ac:dyDescent="0.25">
      <c r="A9570" s="56">
        <v>5270267.8</v>
      </c>
    </row>
    <row r="9571" spans="1:1" x14ac:dyDescent="0.25">
      <c r="A9571" s="56">
        <v>499066776.80000001</v>
      </c>
    </row>
    <row r="9572" spans="1:1" x14ac:dyDescent="0.25">
      <c r="A9572" s="56">
        <v>2701075.8</v>
      </c>
    </row>
    <row r="9573" spans="1:1" x14ac:dyDescent="0.25">
      <c r="A9573" s="56">
        <v>168707176.90000001</v>
      </c>
    </row>
    <row r="9574" spans="1:1" x14ac:dyDescent="0.25">
      <c r="A9574" s="56">
        <v>70060404.799999997</v>
      </c>
    </row>
    <row r="9575" spans="1:1" x14ac:dyDescent="0.25">
      <c r="A9575" s="56">
        <v>0</v>
      </c>
    </row>
    <row r="9576" spans="1:1" x14ac:dyDescent="0.25">
      <c r="A9576" s="56">
        <v>5120515.3999999901</v>
      </c>
    </row>
    <row r="9577" spans="1:1" x14ac:dyDescent="0.25">
      <c r="A9577" s="56">
        <v>12300207.9</v>
      </c>
    </row>
    <row r="9578" spans="1:1" x14ac:dyDescent="0.25">
      <c r="A9578" s="56">
        <v>71099302.299999997</v>
      </c>
    </row>
    <row r="9579" spans="1:1" x14ac:dyDescent="0.25">
      <c r="A9579" s="56">
        <v>5838319.1999999899</v>
      </c>
    </row>
    <row r="9580" spans="1:1" x14ac:dyDescent="0.25">
      <c r="A9580" s="56">
        <v>27322242.699999999</v>
      </c>
    </row>
    <row r="9581" spans="1:1" x14ac:dyDescent="0.25">
      <c r="A9581" s="56">
        <v>26121657.5</v>
      </c>
    </row>
    <row r="9582" spans="1:1" x14ac:dyDescent="0.25">
      <c r="A9582" s="56">
        <v>197028752.80000001</v>
      </c>
    </row>
    <row r="9583" spans="1:1" x14ac:dyDescent="0.25">
      <c r="A9583" s="56">
        <v>13538758.6</v>
      </c>
    </row>
    <row r="9584" spans="1:1" x14ac:dyDescent="0.25">
      <c r="A9584" s="56">
        <v>6248774.6999999899</v>
      </c>
    </row>
    <row r="9585" spans="1:1" x14ac:dyDescent="0.25">
      <c r="A9585" s="56">
        <v>349297064.80000001</v>
      </c>
    </row>
    <row r="9586" spans="1:1" x14ac:dyDescent="0.25">
      <c r="A9586" s="56">
        <v>28509969.699999999</v>
      </c>
    </row>
    <row r="9587" spans="1:1" x14ac:dyDescent="0.25">
      <c r="A9587" s="56">
        <v>1963319.6</v>
      </c>
    </row>
    <row r="9588" spans="1:1" x14ac:dyDescent="0.25">
      <c r="A9588" s="56">
        <v>138037342.80000001</v>
      </c>
    </row>
    <row r="9589" spans="1:1" x14ac:dyDescent="0.25">
      <c r="A9589" s="56">
        <v>11732655.4</v>
      </c>
    </row>
    <row r="9590" spans="1:1" x14ac:dyDescent="0.25">
      <c r="A9590" s="56">
        <v>3871736.8</v>
      </c>
    </row>
    <row r="9591" spans="1:1" x14ac:dyDescent="0.25">
      <c r="A9591" s="56">
        <v>5673170.4000000004</v>
      </c>
    </row>
    <row r="9592" spans="1:1" x14ac:dyDescent="0.25">
      <c r="A9592" s="56">
        <v>3509304</v>
      </c>
    </row>
    <row r="9593" spans="1:1" x14ac:dyDescent="0.25">
      <c r="A9593" s="56">
        <v>8908353.5999999996</v>
      </c>
    </row>
    <row r="9594" spans="1:1" x14ac:dyDescent="0.25">
      <c r="A9594" s="56">
        <v>0</v>
      </c>
    </row>
    <row r="9595" spans="1:1" x14ac:dyDescent="0.25">
      <c r="A9595" s="56">
        <v>60836284.999999903</v>
      </c>
    </row>
    <row r="9596" spans="1:1" x14ac:dyDescent="0.25">
      <c r="A9596" s="56">
        <v>20150181.100000001</v>
      </c>
    </row>
    <row r="9597" spans="1:1" x14ac:dyDescent="0.25">
      <c r="A9597" s="56">
        <v>111624961.8</v>
      </c>
    </row>
    <row r="9598" spans="1:1" x14ac:dyDescent="0.25">
      <c r="A9598" s="56">
        <v>200150962.09999999</v>
      </c>
    </row>
    <row r="9599" spans="1:1" x14ac:dyDescent="0.25">
      <c r="A9599" s="56">
        <v>11067807.1</v>
      </c>
    </row>
    <row r="9600" spans="1:1" x14ac:dyDescent="0.25">
      <c r="A9600" s="56">
        <v>0</v>
      </c>
    </row>
    <row r="9601" spans="1:1" x14ac:dyDescent="0.25">
      <c r="A9601" s="56">
        <v>167373114</v>
      </c>
    </row>
    <row r="9602" spans="1:1" x14ac:dyDescent="0.25">
      <c r="A9602" s="56">
        <v>36077806.299999997</v>
      </c>
    </row>
    <row r="9603" spans="1:1" x14ac:dyDescent="0.25">
      <c r="A9603" s="56">
        <v>74808287.299999997</v>
      </c>
    </row>
    <row r="9604" spans="1:1" x14ac:dyDescent="0.25">
      <c r="A9604" s="56">
        <v>11657522.6</v>
      </c>
    </row>
    <row r="9605" spans="1:1" x14ac:dyDescent="0.25">
      <c r="A9605" s="56">
        <v>178120942.69999999</v>
      </c>
    </row>
    <row r="9606" spans="1:1" x14ac:dyDescent="0.25">
      <c r="A9606" s="56">
        <v>31630755.899999999</v>
      </c>
    </row>
    <row r="9607" spans="1:1" x14ac:dyDescent="0.25">
      <c r="A9607" s="56">
        <v>22061086.600000001</v>
      </c>
    </row>
    <row r="9608" spans="1:1" x14ac:dyDescent="0.25">
      <c r="A9608" s="56">
        <v>74856956.5</v>
      </c>
    </row>
    <row r="9609" spans="1:1" x14ac:dyDescent="0.25">
      <c r="A9609" s="56">
        <v>101189945</v>
      </c>
    </row>
    <row r="9610" spans="1:1" x14ac:dyDescent="0.25">
      <c r="A9610" s="56">
        <v>0</v>
      </c>
    </row>
    <row r="9611" spans="1:1" x14ac:dyDescent="0.25">
      <c r="A9611" s="56">
        <v>0</v>
      </c>
    </row>
    <row r="9612" spans="1:1" x14ac:dyDescent="0.25">
      <c r="A9612" s="56">
        <v>6792949.7999999998</v>
      </c>
    </row>
    <row r="9613" spans="1:1" x14ac:dyDescent="0.25">
      <c r="A9613" s="56">
        <v>39160065.399999999</v>
      </c>
    </row>
    <row r="9614" spans="1:1" x14ac:dyDescent="0.25">
      <c r="A9614" s="56">
        <v>284460053.89999998</v>
      </c>
    </row>
    <row r="9615" spans="1:1" x14ac:dyDescent="0.25">
      <c r="A9615" s="56">
        <v>134427094.19999999</v>
      </c>
    </row>
    <row r="9616" spans="1:1" x14ac:dyDescent="0.25">
      <c r="A9616" s="56">
        <v>6095536.1999999899</v>
      </c>
    </row>
    <row r="9617" spans="1:1" x14ac:dyDescent="0.25">
      <c r="A9617" s="56">
        <v>3735550.8</v>
      </c>
    </row>
    <row r="9618" spans="1:1" x14ac:dyDescent="0.25">
      <c r="A9618" s="56">
        <v>144457233.69999999</v>
      </c>
    </row>
    <row r="9619" spans="1:1" x14ac:dyDescent="0.25">
      <c r="A9619" s="56">
        <v>32949154.399999902</v>
      </c>
    </row>
    <row r="9620" spans="1:1" x14ac:dyDescent="0.25">
      <c r="A9620" s="56">
        <v>6509488</v>
      </c>
    </row>
    <row r="9621" spans="1:1" x14ac:dyDescent="0.25">
      <c r="A9621" s="56">
        <v>0</v>
      </c>
    </row>
    <row r="9622" spans="1:1" x14ac:dyDescent="0.25">
      <c r="A9622" s="56">
        <v>5533544.7000000002</v>
      </c>
    </row>
    <row r="9623" spans="1:1" x14ac:dyDescent="0.25">
      <c r="A9623" s="56">
        <v>473309620.10000002</v>
      </c>
    </row>
    <row r="9624" spans="1:1" x14ac:dyDescent="0.25">
      <c r="A9624" s="56">
        <v>6644875.2999999998</v>
      </c>
    </row>
    <row r="9625" spans="1:1" x14ac:dyDescent="0.25">
      <c r="A9625" s="56">
        <v>1793392.8</v>
      </c>
    </row>
    <row r="9626" spans="1:1" x14ac:dyDescent="0.25">
      <c r="A9626" s="56">
        <v>76398529.700000003</v>
      </c>
    </row>
    <row r="9627" spans="1:1" x14ac:dyDescent="0.25">
      <c r="A9627" s="56">
        <v>0</v>
      </c>
    </row>
    <row r="9628" spans="1:1" x14ac:dyDescent="0.25">
      <c r="A9628" s="56">
        <v>31442082.699999999</v>
      </c>
    </row>
    <row r="9629" spans="1:1" x14ac:dyDescent="0.25">
      <c r="A9629" s="56">
        <v>13179885.6</v>
      </c>
    </row>
    <row r="9630" spans="1:1" x14ac:dyDescent="0.25">
      <c r="A9630" s="56">
        <v>73035233.299999997</v>
      </c>
    </row>
    <row r="9631" spans="1:1" x14ac:dyDescent="0.25">
      <c r="A9631" s="56">
        <v>36827851.299999997</v>
      </c>
    </row>
    <row r="9632" spans="1:1" x14ac:dyDescent="0.25">
      <c r="A9632" s="56">
        <v>6655392.0999999996</v>
      </c>
    </row>
    <row r="9633" spans="1:1" x14ac:dyDescent="0.25">
      <c r="A9633" s="56">
        <v>54956178.200000003</v>
      </c>
    </row>
    <row r="9634" spans="1:1" x14ac:dyDescent="0.25">
      <c r="A9634" s="56">
        <v>22340848.399999999</v>
      </c>
    </row>
    <row r="9635" spans="1:1" x14ac:dyDescent="0.25">
      <c r="A9635" s="56">
        <v>484494417.30000001</v>
      </c>
    </row>
    <row r="9636" spans="1:1" x14ac:dyDescent="0.25">
      <c r="A9636" s="56">
        <v>29533245.100000001</v>
      </c>
    </row>
    <row r="9637" spans="1:1" x14ac:dyDescent="0.25">
      <c r="A9637" s="56">
        <v>43917285.499999903</v>
      </c>
    </row>
    <row r="9638" spans="1:1" x14ac:dyDescent="0.25">
      <c r="A9638" s="56">
        <v>94332570.099999905</v>
      </c>
    </row>
    <row r="9639" spans="1:1" x14ac:dyDescent="0.25">
      <c r="A9639" s="56">
        <v>22599499.100000001</v>
      </c>
    </row>
    <row r="9640" spans="1:1" x14ac:dyDescent="0.25">
      <c r="A9640" s="56">
        <v>44118508.899999999</v>
      </c>
    </row>
    <row r="9641" spans="1:1" x14ac:dyDescent="0.25">
      <c r="A9641" s="56">
        <v>11731698.6</v>
      </c>
    </row>
    <row r="9642" spans="1:1" x14ac:dyDescent="0.25">
      <c r="A9642" s="56">
        <v>104101238.09999999</v>
      </c>
    </row>
    <row r="9643" spans="1:1" x14ac:dyDescent="0.25">
      <c r="A9643" s="56">
        <v>6333595.1999999899</v>
      </c>
    </row>
    <row r="9644" spans="1:1" x14ac:dyDescent="0.25">
      <c r="A9644" s="56">
        <v>102677181.3</v>
      </c>
    </row>
    <row r="9645" spans="1:1" x14ac:dyDescent="0.25">
      <c r="A9645" s="56">
        <v>18163213.100000001</v>
      </c>
    </row>
    <row r="9646" spans="1:1" x14ac:dyDescent="0.25">
      <c r="A9646" s="56">
        <v>13074286.699999999</v>
      </c>
    </row>
    <row r="9647" spans="1:1" x14ac:dyDescent="0.25">
      <c r="A9647" s="56">
        <v>4430056.8</v>
      </c>
    </row>
    <row r="9648" spans="1:1" x14ac:dyDescent="0.25">
      <c r="A9648" s="56">
        <v>255514110</v>
      </c>
    </row>
    <row r="9649" spans="1:1" x14ac:dyDescent="0.25">
      <c r="A9649" s="56">
        <v>9959644.1999999899</v>
      </c>
    </row>
    <row r="9650" spans="1:1" x14ac:dyDescent="0.25">
      <c r="A9650" s="56">
        <v>33707266</v>
      </c>
    </row>
    <row r="9651" spans="1:1" x14ac:dyDescent="0.25">
      <c r="A9651" s="56">
        <v>36303669.299999997</v>
      </c>
    </row>
    <row r="9652" spans="1:1" x14ac:dyDescent="0.25">
      <c r="A9652" s="56">
        <v>0</v>
      </c>
    </row>
    <row r="9653" spans="1:1" x14ac:dyDescent="0.25">
      <c r="A9653" s="56">
        <v>111471504.3</v>
      </c>
    </row>
    <row r="9654" spans="1:1" x14ac:dyDescent="0.25">
      <c r="A9654" s="56">
        <v>0</v>
      </c>
    </row>
    <row r="9655" spans="1:1" x14ac:dyDescent="0.25">
      <c r="A9655" s="56">
        <v>295905843.49999899</v>
      </c>
    </row>
    <row r="9656" spans="1:1" x14ac:dyDescent="0.25">
      <c r="A9656" s="56">
        <v>347509731.5</v>
      </c>
    </row>
    <row r="9657" spans="1:1" x14ac:dyDescent="0.25">
      <c r="A9657" s="56">
        <v>209958491.90000001</v>
      </c>
    </row>
    <row r="9658" spans="1:1" x14ac:dyDescent="0.25">
      <c r="A9658" s="56">
        <v>13544177.800000001</v>
      </c>
    </row>
    <row r="9659" spans="1:1" x14ac:dyDescent="0.25">
      <c r="A9659" s="56">
        <v>148100667.09999999</v>
      </c>
    </row>
    <row r="9660" spans="1:1" x14ac:dyDescent="0.25">
      <c r="A9660" s="56">
        <v>12573102.199999999</v>
      </c>
    </row>
    <row r="9661" spans="1:1" x14ac:dyDescent="0.25">
      <c r="A9661" s="56">
        <v>13483207.199999999</v>
      </c>
    </row>
    <row r="9662" spans="1:1" x14ac:dyDescent="0.25">
      <c r="A9662" s="56">
        <v>0</v>
      </c>
    </row>
    <row r="9663" spans="1:1" x14ac:dyDescent="0.25">
      <c r="A9663" s="56">
        <v>4319979.2</v>
      </c>
    </row>
    <row r="9664" spans="1:1" x14ac:dyDescent="0.25">
      <c r="A9664" s="56">
        <v>791422.8</v>
      </c>
    </row>
    <row r="9665" spans="1:1" x14ac:dyDescent="0.25">
      <c r="A9665" s="56">
        <v>15970677.4</v>
      </c>
    </row>
    <row r="9666" spans="1:1" x14ac:dyDescent="0.25">
      <c r="A9666" s="56">
        <v>6338873.7999999998</v>
      </c>
    </row>
    <row r="9667" spans="1:1" x14ac:dyDescent="0.25">
      <c r="A9667" s="56">
        <v>26355473.5</v>
      </c>
    </row>
    <row r="9668" spans="1:1" x14ac:dyDescent="0.25">
      <c r="A9668" s="56">
        <v>35250007</v>
      </c>
    </row>
    <row r="9669" spans="1:1" x14ac:dyDescent="0.25">
      <c r="A9669" s="56">
        <v>7663803.5999999996</v>
      </c>
    </row>
    <row r="9670" spans="1:1" x14ac:dyDescent="0.25">
      <c r="A9670" s="56">
        <v>31846892.899999999</v>
      </c>
    </row>
    <row r="9671" spans="1:1" x14ac:dyDescent="0.25">
      <c r="A9671" s="56">
        <v>22383935.800000001</v>
      </c>
    </row>
    <row r="9672" spans="1:1" x14ac:dyDescent="0.25">
      <c r="A9672" s="56">
        <v>438800220</v>
      </c>
    </row>
    <row r="9673" spans="1:1" x14ac:dyDescent="0.25">
      <c r="A9673" s="56">
        <v>6907323.2999999998</v>
      </c>
    </row>
    <row r="9674" spans="1:1" x14ac:dyDescent="0.25">
      <c r="A9674" s="56">
        <v>151714366.5</v>
      </c>
    </row>
    <row r="9675" spans="1:1" x14ac:dyDescent="0.25">
      <c r="A9675" s="56">
        <v>5216188.8</v>
      </c>
    </row>
    <row r="9676" spans="1:1" x14ac:dyDescent="0.25">
      <c r="A9676" s="56">
        <v>81183325.200000003</v>
      </c>
    </row>
    <row r="9677" spans="1:1" x14ac:dyDescent="0.25">
      <c r="A9677" s="56">
        <v>23303527.100000001</v>
      </c>
    </row>
    <row r="9678" spans="1:1" x14ac:dyDescent="0.25">
      <c r="A9678" s="56">
        <v>0</v>
      </c>
    </row>
    <row r="9679" spans="1:1" x14ac:dyDescent="0.25">
      <c r="A9679" s="56">
        <v>0</v>
      </c>
    </row>
    <row r="9680" spans="1:1" x14ac:dyDescent="0.25">
      <c r="A9680" s="56">
        <v>127594139.5</v>
      </c>
    </row>
    <row r="9681" spans="1:1" x14ac:dyDescent="0.25">
      <c r="A9681" s="56">
        <v>0</v>
      </c>
    </row>
    <row r="9682" spans="1:1" x14ac:dyDescent="0.25">
      <c r="A9682" s="56">
        <v>11274020.199999999</v>
      </c>
    </row>
    <row r="9683" spans="1:1" x14ac:dyDescent="0.25">
      <c r="A9683" s="56">
        <v>0</v>
      </c>
    </row>
    <row r="9684" spans="1:1" x14ac:dyDescent="0.25">
      <c r="A9684" s="56">
        <v>16911580.100000001</v>
      </c>
    </row>
    <row r="9685" spans="1:1" x14ac:dyDescent="0.25">
      <c r="A9685" s="56">
        <v>635577153.20000005</v>
      </c>
    </row>
    <row r="9686" spans="1:1" x14ac:dyDescent="0.25">
      <c r="A9686" s="56">
        <v>12486292.800000001</v>
      </c>
    </row>
    <row r="9687" spans="1:1" x14ac:dyDescent="0.25">
      <c r="A9687" s="56">
        <v>27343580.199999999</v>
      </c>
    </row>
    <row r="9688" spans="1:1" x14ac:dyDescent="0.25">
      <c r="A9688" s="56">
        <v>10397537.199999999</v>
      </c>
    </row>
    <row r="9689" spans="1:1" x14ac:dyDescent="0.25">
      <c r="A9689" s="56">
        <v>48431658.700000003</v>
      </c>
    </row>
    <row r="9690" spans="1:1" x14ac:dyDescent="0.25">
      <c r="A9690" s="56">
        <v>27684706.399999999</v>
      </c>
    </row>
    <row r="9691" spans="1:1" x14ac:dyDescent="0.25">
      <c r="A9691" s="56">
        <v>4019030.2</v>
      </c>
    </row>
    <row r="9692" spans="1:1" x14ac:dyDescent="0.25">
      <c r="A9692" s="56">
        <v>3013401.6</v>
      </c>
    </row>
    <row r="9693" spans="1:1" x14ac:dyDescent="0.25">
      <c r="A9693" s="56">
        <v>49993721.899999902</v>
      </c>
    </row>
    <row r="9694" spans="1:1" x14ac:dyDescent="0.25">
      <c r="A9694" s="56">
        <v>2432236.7999999998</v>
      </c>
    </row>
    <row r="9695" spans="1:1" x14ac:dyDescent="0.25">
      <c r="A9695" s="56">
        <v>271829864.10000002</v>
      </c>
    </row>
    <row r="9696" spans="1:1" x14ac:dyDescent="0.25">
      <c r="A9696" s="56">
        <v>8284367.3999999901</v>
      </c>
    </row>
    <row r="9697" spans="1:1" x14ac:dyDescent="0.25">
      <c r="A9697" s="56">
        <v>15776997.9</v>
      </c>
    </row>
    <row r="9698" spans="1:1" x14ac:dyDescent="0.25">
      <c r="A9698" s="56">
        <v>0</v>
      </c>
    </row>
    <row r="9699" spans="1:1" x14ac:dyDescent="0.25">
      <c r="A9699" s="56">
        <v>51330392.299999997</v>
      </c>
    </row>
    <row r="9700" spans="1:1" x14ac:dyDescent="0.25">
      <c r="A9700" s="56">
        <v>484986468.5</v>
      </c>
    </row>
    <row r="9701" spans="1:1" x14ac:dyDescent="0.25">
      <c r="A9701" s="56">
        <v>110733681.5</v>
      </c>
    </row>
    <row r="9702" spans="1:1" x14ac:dyDescent="0.25">
      <c r="A9702" s="56">
        <v>158349495.5</v>
      </c>
    </row>
    <row r="9703" spans="1:1" x14ac:dyDescent="0.25">
      <c r="A9703" s="56">
        <v>549170190.29999995</v>
      </c>
    </row>
    <row r="9704" spans="1:1" x14ac:dyDescent="0.25">
      <c r="A9704" s="56">
        <v>14774163.9</v>
      </c>
    </row>
    <row r="9705" spans="1:1" x14ac:dyDescent="0.25">
      <c r="A9705" s="56">
        <v>23250115.199999999</v>
      </c>
    </row>
    <row r="9706" spans="1:1" x14ac:dyDescent="0.25">
      <c r="A9706" s="56">
        <v>0</v>
      </c>
    </row>
    <row r="9707" spans="1:1" x14ac:dyDescent="0.25">
      <c r="A9707" s="56">
        <v>185406617.40000001</v>
      </c>
    </row>
    <row r="9708" spans="1:1" x14ac:dyDescent="0.25">
      <c r="A9708" s="56">
        <v>21614424.899999999</v>
      </c>
    </row>
    <row r="9709" spans="1:1" x14ac:dyDescent="0.25">
      <c r="A9709" s="56">
        <v>177334275.30000001</v>
      </c>
    </row>
    <row r="9710" spans="1:1" x14ac:dyDescent="0.25">
      <c r="A9710" s="56">
        <v>36354400.700000003</v>
      </c>
    </row>
    <row r="9711" spans="1:1" x14ac:dyDescent="0.25">
      <c r="A9711" s="56">
        <v>27084143.699999999</v>
      </c>
    </row>
    <row r="9712" spans="1:1" x14ac:dyDescent="0.25">
      <c r="A9712" s="56">
        <v>0</v>
      </c>
    </row>
    <row r="9713" spans="1:1" x14ac:dyDescent="0.25">
      <c r="A9713" s="56">
        <v>8962120.3000000007</v>
      </c>
    </row>
    <row r="9714" spans="1:1" x14ac:dyDescent="0.25">
      <c r="A9714" s="56">
        <v>61510686.899999902</v>
      </c>
    </row>
    <row r="9715" spans="1:1" x14ac:dyDescent="0.25">
      <c r="A9715" s="56">
        <v>0</v>
      </c>
    </row>
    <row r="9716" spans="1:1" x14ac:dyDescent="0.25">
      <c r="A9716" s="56">
        <v>7481703.6999999899</v>
      </c>
    </row>
    <row r="9717" spans="1:1" x14ac:dyDescent="0.25">
      <c r="A9717" s="56">
        <v>15697703.1</v>
      </c>
    </row>
    <row r="9718" spans="1:1" x14ac:dyDescent="0.25">
      <c r="A9718" s="56">
        <v>127416410.40000001</v>
      </c>
    </row>
    <row r="9719" spans="1:1" x14ac:dyDescent="0.25">
      <c r="A9719" s="56">
        <v>141755235.5</v>
      </c>
    </row>
    <row r="9720" spans="1:1" x14ac:dyDescent="0.25">
      <c r="A9720" s="56">
        <v>60395462.599999897</v>
      </c>
    </row>
    <row r="9721" spans="1:1" x14ac:dyDescent="0.25">
      <c r="A9721" s="56">
        <v>1030421.6</v>
      </c>
    </row>
    <row r="9722" spans="1:1" x14ac:dyDescent="0.25">
      <c r="A9722" s="56">
        <v>6330413.4000000004</v>
      </c>
    </row>
    <row r="9723" spans="1:1" x14ac:dyDescent="0.25">
      <c r="A9723" s="56">
        <v>2477086.2000000002</v>
      </c>
    </row>
    <row r="9724" spans="1:1" x14ac:dyDescent="0.25">
      <c r="A9724" s="56">
        <v>0</v>
      </c>
    </row>
    <row r="9725" spans="1:1" x14ac:dyDescent="0.25">
      <c r="A9725" s="56">
        <v>23010187.800000001</v>
      </c>
    </row>
    <row r="9726" spans="1:1" x14ac:dyDescent="0.25">
      <c r="A9726" s="56">
        <v>0</v>
      </c>
    </row>
    <row r="9727" spans="1:1" x14ac:dyDescent="0.25">
      <c r="A9727" s="56">
        <v>23656773</v>
      </c>
    </row>
    <row r="9728" spans="1:1" x14ac:dyDescent="0.25">
      <c r="A9728" s="56">
        <v>19660379</v>
      </c>
    </row>
    <row r="9729" spans="1:1" x14ac:dyDescent="0.25">
      <c r="A9729" s="56">
        <v>21567304.199999999</v>
      </c>
    </row>
    <row r="9730" spans="1:1" x14ac:dyDescent="0.25">
      <c r="A9730" s="56">
        <v>6634909.3999999901</v>
      </c>
    </row>
    <row r="9731" spans="1:1" x14ac:dyDescent="0.25">
      <c r="A9731" s="56">
        <v>24735700.100000001</v>
      </c>
    </row>
    <row r="9732" spans="1:1" x14ac:dyDescent="0.25">
      <c r="A9732" s="56">
        <v>24918922.399999999</v>
      </c>
    </row>
    <row r="9733" spans="1:1" x14ac:dyDescent="0.25">
      <c r="A9733" s="56">
        <v>17771377.899999999</v>
      </c>
    </row>
    <row r="9734" spans="1:1" x14ac:dyDescent="0.25">
      <c r="A9734" s="56">
        <v>48474763.899999999</v>
      </c>
    </row>
    <row r="9735" spans="1:1" x14ac:dyDescent="0.25">
      <c r="A9735" s="56">
        <v>44353502.899999999</v>
      </c>
    </row>
    <row r="9736" spans="1:1" x14ac:dyDescent="0.25">
      <c r="A9736" s="56">
        <v>167824278.5</v>
      </c>
    </row>
    <row r="9737" spans="1:1" x14ac:dyDescent="0.25">
      <c r="A9737" s="56">
        <v>86555213.799999997</v>
      </c>
    </row>
    <row r="9738" spans="1:1" x14ac:dyDescent="0.25">
      <c r="A9738" s="56">
        <v>21824120.699999999</v>
      </c>
    </row>
    <row r="9739" spans="1:1" x14ac:dyDescent="0.25">
      <c r="A9739" s="56">
        <v>4522761</v>
      </c>
    </row>
    <row r="9740" spans="1:1" x14ac:dyDescent="0.25">
      <c r="A9740" s="56">
        <v>130751011.59999999</v>
      </c>
    </row>
    <row r="9741" spans="1:1" x14ac:dyDescent="0.25">
      <c r="A9741" s="56">
        <v>39764668.799999997</v>
      </c>
    </row>
    <row r="9742" spans="1:1" x14ac:dyDescent="0.25">
      <c r="A9742" s="56">
        <v>0</v>
      </c>
    </row>
    <row r="9743" spans="1:1" x14ac:dyDescent="0.25">
      <c r="A9743" s="56">
        <v>118820646.90000001</v>
      </c>
    </row>
    <row r="9744" spans="1:1" x14ac:dyDescent="0.25">
      <c r="A9744" s="56">
        <v>55755390.599999897</v>
      </c>
    </row>
    <row r="9745" spans="1:1" x14ac:dyDescent="0.25">
      <c r="A9745" s="56">
        <v>22593420.800000001</v>
      </c>
    </row>
    <row r="9746" spans="1:1" x14ac:dyDescent="0.25">
      <c r="A9746" s="56">
        <v>344991776.39999998</v>
      </c>
    </row>
    <row r="9747" spans="1:1" x14ac:dyDescent="0.25">
      <c r="A9747" s="56">
        <v>67652666.400000006</v>
      </c>
    </row>
    <row r="9748" spans="1:1" x14ac:dyDescent="0.25">
      <c r="A9748" s="56">
        <v>110971317</v>
      </c>
    </row>
    <row r="9749" spans="1:1" x14ac:dyDescent="0.25">
      <c r="A9749" s="56">
        <v>498815351.30000001</v>
      </c>
    </row>
    <row r="9750" spans="1:1" x14ac:dyDescent="0.25">
      <c r="A9750" s="56">
        <v>18383889.399999999</v>
      </c>
    </row>
    <row r="9751" spans="1:1" x14ac:dyDescent="0.25">
      <c r="A9751" s="56">
        <v>50163299.200000003</v>
      </c>
    </row>
    <row r="9752" spans="1:1" x14ac:dyDescent="0.25">
      <c r="A9752" s="56">
        <v>21708370.399999999</v>
      </c>
    </row>
    <row r="9753" spans="1:1" x14ac:dyDescent="0.25">
      <c r="A9753" s="56">
        <v>11426594.9</v>
      </c>
    </row>
    <row r="9754" spans="1:1" x14ac:dyDescent="0.25">
      <c r="A9754" s="56">
        <v>250538202.19999999</v>
      </c>
    </row>
    <row r="9755" spans="1:1" x14ac:dyDescent="0.25">
      <c r="A9755" s="56">
        <v>46276486.499999903</v>
      </c>
    </row>
    <row r="9756" spans="1:1" x14ac:dyDescent="0.25">
      <c r="A9756" s="56">
        <v>34075661</v>
      </c>
    </row>
    <row r="9757" spans="1:1" x14ac:dyDescent="0.25">
      <c r="A9757" s="56">
        <v>78945821.899999902</v>
      </c>
    </row>
    <row r="9758" spans="1:1" x14ac:dyDescent="0.25">
      <c r="A9758" s="56">
        <v>292339407.69999999</v>
      </c>
    </row>
    <row r="9759" spans="1:1" x14ac:dyDescent="0.25">
      <c r="A9759" s="56">
        <v>121850425.3</v>
      </c>
    </row>
    <row r="9760" spans="1:1" x14ac:dyDescent="0.25">
      <c r="A9760" s="56">
        <v>50179414.200000003</v>
      </c>
    </row>
    <row r="9761" spans="1:1" x14ac:dyDescent="0.25">
      <c r="A9761" s="56">
        <v>30685652.399999999</v>
      </c>
    </row>
    <row r="9762" spans="1:1" x14ac:dyDescent="0.25">
      <c r="A9762" s="56">
        <v>90835582.699999899</v>
      </c>
    </row>
    <row r="9763" spans="1:1" x14ac:dyDescent="0.25">
      <c r="A9763" s="56">
        <v>61197082.799999997</v>
      </c>
    </row>
    <row r="9764" spans="1:1" x14ac:dyDescent="0.25">
      <c r="A9764" s="56">
        <v>10677384</v>
      </c>
    </row>
    <row r="9765" spans="1:1" x14ac:dyDescent="0.25">
      <c r="A9765" s="56">
        <v>126247329</v>
      </c>
    </row>
    <row r="9766" spans="1:1" x14ac:dyDescent="0.25">
      <c r="A9766" s="56">
        <v>5642027.2999999998</v>
      </c>
    </row>
    <row r="9767" spans="1:1" x14ac:dyDescent="0.25">
      <c r="A9767" s="56">
        <v>11378456.4</v>
      </c>
    </row>
    <row r="9768" spans="1:1" x14ac:dyDescent="0.25">
      <c r="A9768" s="56">
        <v>41496948.699999899</v>
      </c>
    </row>
    <row r="9769" spans="1:1" x14ac:dyDescent="0.25">
      <c r="A9769" s="56">
        <v>0</v>
      </c>
    </row>
    <row r="9770" spans="1:1" x14ac:dyDescent="0.25">
      <c r="A9770" s="56">
        <v>49336514.5</v>
      </c>
    </row>
    <row r="9771" spans="1:1" x14ac:dyDescent="0.25">
      <c r="A9771" s="56">
        <v>136353668.30000001</v>
      </c>
    </row>
    <row r="9772" spans="1:1" x14ac:dyDescent="0.25">
      <c r="A9772" s="56">
        <v>3552372</v>
      </c>
    </row>
    <row r="9773" spans="1:1" x14ac:dyDescent="0.25">
      <c r="A9773" s="56">
        <v>14906273.6</v>
      </c>
    </row>
    <row r="9774" spans="1:1" x14ac:dyDescent="0.25">
      <c r="A9774" s="56">
        <v>1240944</v>
      </c>
    </row>
    <row r="9775" spans="1:1" x14ac:dyDescent="0.25">
      <c r="A9775" s="56">
        <v>15665474.300000001</v>
      </c>
    </row>
    <row r="9776" spans="1:1" x14ac:dyDescent="0.25">
      <c r="A9776" s="56">
        <v>1302973.2</v>
      </c>
    </row>
    <row r="9777" spans="1:1" x14ac:dyDescent="0.25">
      <c r="A9777" s="56">
        <v>31545513</v>
      </c>
    </row>
    <row r="9778" spans="1:1" x14ac:dyDescent="0.25">
      <c r="A9778" s="56">
        <v>49911190.999999903</v>
      </c>
    </row>
    <row r="9779" spans="1:1" x14ac:dyDescent="0.25">
      <c r="A9779" s="56">
        <v>9621144.6999999899</v>
      </c>
    </row>
    <row r="9780" spans="1:1" x14ac:dyDescent="0.25">
      <c r="A9780" s="56">
        <v>357457814.10000002</v>
      </c>
    </row>
    <row r="9781" spans="1:1" x14ac:dyDescent="0.25">
      <c r="A9781" s="56">
        <v>5020994.3</v>
      </c>
    </row>
    <row r="9782" spans="1:1" x14ac:dyDescent="0.25">
      <c r="A9782" s="56">
        <v>2596891.7999999998</v>
      </c>
    </row>
    <row r="9783" spans="1:1" x14ac:dyDescent="0.25">
      <c r="A9783" s="56">
        <v>207532053.5</v>
      </c>
    </row>
    <row r="9784" spans="1:1" x14ac:dyDescent="0.25">
      <c r="A9784" s="56">
        <v>61174341.099999897</v>
      </c>
    </row>
    <row r="9785" spans="1:1" x14ac:dyDescent="0.25">
      <c r="A9785" s="56">
        <v>46301720.299999997</v>
      </c>
    </row>
    <row r="9786" spans="1:1" x14ac:dyDescent="0.25">
      <c r="A9786" s="56">
        <v>13365829.9</v>
      </c>
    </row>
    <row r="9787" spans="1:1" x14ac:dyDescent="0.25">
      <c r="A9787" s="56">
        <v>40766591.599999897</v>
      </c>
    </row>
    <row r="9788" spans="1:1" x14ac:dyDescent="0.25">
      <c r="A9788" s="56">
        <v>29454357.100000001</v>
      </c>
    </row>
    <row r="9789" spans="1:1" x14ac:dyDescent="0.25">
      <c r="A9789" s="56">
        <v>12613028.199999999</v>
      </c>
    </row>
    <row r="9790" spans="1:1" x14ac:dyDescent="0.25">
      <c r="A9790" s="56">
        <v>4181812.6</v>
      </c>
    </row>
    <row r="9791" spans="1:1" x14ac:dyDescent="0.25">
      <c r="A9791" s="56">
        <v>4563039</v>
      </c>
    </row>
    <row r="9792" spans="1:1" x14ac:dyDescent="0.25">
      <c r="A9792" s="56">
        <v>57889524.399999902</v>
      </c>
    </row>
    <row r="9793" spans="1:1" x14ac:dyDescent="0.25">
      <c r="A9793" s="56">
        <v>146878911.5</v>
      </c>
    </row>
    <row r="9794" spans="1:1" x14ac:dyDescent="0.25">
      <c r="A9794" s="56">
        <v>268090439.5</v>
      </c>
    </row>
    <row r="9795" spans="1:1" x14ac:dyDescent="0.25">
      <c r="A9795" s="56">
        <v>2970592.6</v>
      </c>
    </row>
    <row r="9796" spans="1:1" x14ac:dyDescent="0.25">
      <c r="A9796" s="56">
        <v>19739192.800000001</v>
      </c>
    </row>
    <row r="9797" spans="1:1" x14ac:dyDescent="0.25">
      <c r="A9797" s="56">
        <v>389383818.60000002</v>
      </c>
    </row>
    <row r="9798" spans="1:1" x14ac:dyDescent="0.25">
      <c r="A9798" s="56">
        <v>92034412.299999893</v>
      </c>
    </row>
    <row r="9799" spans="1:1" x14ac:dyDescent="0.25">
      <c r="A9799" s="56">
        <v>41301064.599999897</v>
      </c>
    </row>
    <row r="9800" spans="1:1" x14ac:dyDescent="0.25">
      <c r="A9800" s="56">
        <v>0</v>
      </c>
    </row>
    <row r="9801" spans="1:1" x14ac:dyDescent="0.25">
      <c r="A9801" s="56">
        <v>301466208.89999998</v>
      </c>
    </row>
    <row r="9802" spans="1:1" x14ac:dyDescent="0.25">
      <c r="A9802" s="56">
        <v>8477146.7999999896</v>
      </c>
    </row>
    <row r="9803" spans="1:1" x14ac:dyDescent="0.25">
      <c r="A9803" s="56">
        <v>9482200</v>
      </c>
    </row>
    <row r="9804" spans="1:1" x14ac:dyDescent="0.25">
      <c r="A9804" s="56">
        <v>111038393.40000001</v>
      </c>
    </row>
    <row r="9805" spans="1:1" x14ac:dyDescent="0.25">
      <c r="A9805" s="56">
        <v>237788887.80000001</v>
      </c>
    </row>
    <row r="9806" spans="1:1" x14ac:dyDescent="0.25">
      <c r="A9806" s="56">
        <v>4311134.4000000004</v>
      </c>
    </row>
    <row r="9807" spans="1:1" x14ac:dyDescent="0.25">
      <c r="A9807" s="56">
        <v>23181109.599999901</v>
      </c>
    </row>
    <row r="9808" spans="1:1" x14ac:dyDescent="0.25">
      <c r="A9808" s="56">
        <v>0</v>
      </c>
    </row>
    <row r="9809" spans="1:1" x14ac:dyDescent="0.25">
      <c r="A9809" s="56">
        <v>15732744.300000001</v>
      </c>
    </row>
    <row r="9810" spans="1:1" x14ac:dyDescent="0.25">
      <c r="A9810" s="56">
        <v>252361358.59999999</v>
      </c>
    </row>
    <row r="9811" spans="1:1" x14ac:dyDescent="0.25">
      <c r="A9811" s="56">
        <v>5838319.1999999899</v>
      </c>
    </row>
    <row r="9812" spans="1:1" x14ac:dyDescent="0.25">
      <c r="A9812" s="56">
        <v>38550517.399999999</v>
      </c>
    </row>
    <row r="9813" spans="1:1" x14ac:dyDescent="0.25">
      <c r="A9813" s="56">
        <v>23615112.5</v>
      </c>
    </row>
    <row r="9814" spans="1:1" x14ac:dyDescent="0.25">
      <c r="A9814" s="56">
        <v>0</v>
      </c>
    </row>
    <row r="9815" spans="1:1" x14ac:dyDescent="0.25">
      <c r="A9815" s="56">
        <v>0</v>
      </c>
    </row>
    <row r="9816" spans="1:1" x14ac:dyDescent="0.25">
      <c r="A9816" s="56">
        <v>7896819</v>
      </c>
    </row>
    <row r="9817" spans="1:1" x14ac:dyDescent="0.25">
      <c r="A9817" s="56">
        <v>143331787.5</v>
      </c>
    </row>
    <row r="9818" spans="1:1" x14ac:dyDescent="0.25">
      <c r="A9818" s="56">
        <v>21059902.899999999</v>
      </c>
    </row>
    <row r="9819" spans="1:1" x14ac:dyDescent="0.25">
      <c r="A9819" s="56">
        <v>206929743.5</v>
      </c>
    </row>
    <row r="9820" spans="1:1" x14ac:dyDescent="0.25">
      <c r="A9820" s="56">
        <v>5020994.3</v>
      </c>
    </row>
    <row r="9821" spans="1:1" x14ac:dyDescent="0.25">
      <c r="A9821" s="56">
        <v>9402061.5</v>
      </c>
    </row>
    <row r="9822" spans="1:1" x14ac:dyDescent="0.25">
      <c r="A9822" s="56">
        <v>182268611.80000001</v>
      </c>
    </row>
    <row r="9823" spans="1:1" x14ac:dyDescent="0.25">
      <c r="A9823" s="56">
        <v>125686017.5</v>
      </c>
    </row>
    <row r="9824" spans="1:1" x14ac:dyDescent="0.25">
      <c r="A9824" s="56">
        <v>4110472.8</v>
      </c>
    </row>
    <row r="9825" spans="1:1" x14ac:dyDescent="0.25">
      <c r="A9825" s="56">
        <v>56929662.200000003</v>
      </c>
    </row>
    <row r="9826" spans="1:1" x14ac:dyDescent="0.25">
      <c r="A9826" s="56">
        <v>92075027.499999896</v>
      </c>
    </row>
    <row r="9827" spans="1:1" x14ac:dyDescent="0.25">
      <c r="A9827" s="56">
        <v>109433448</v>
      </c>
    </row>
    <row r="9828" spans="1:1" x14ac:dyDescent="0.25">
      <c r="A9828" s="56">
        <v>169062370.40000001</v>
      </c>
    </row>
    <row r="9829" spans="1:1" x14ac:dyDescent="0.25">
      <c r="A9829" s="56">
        <v>15128938.199999999</v>
      </c>
    </row>
    <row r="9830" spans="1:1" x14ac:dyDescent="0.25">
      <c r="A9830" s="56">
        <v>88186633.099999905</v>
      </c>
    </row>
    <row r="9831" spans="1:1" x14ac:dyDescent="0.25">
      <c r="A9831" s="56">
        <v>21529432.100000001</v>
      </c>
    </row>
    <row r="9832" spans="1:1" x14ac:dyDescent="0.25">
      <c r="A9832" s="56">
        <v>23411678.100000001</v>
      </c>
    </row>
    <row r="9833" spans="1:1" x14ac:dyDescent="0.25">
      <c r="A9833" s="56">
        <v>409818725.10000002</v>
      </c>
    </row>
    <row r="9834" spans="1:1" x14ac:dyDescent="0.25">
      <c r="A9834" s="56">
        <v>60976287.299999997</v>
      </c>
    </row>
    <row r="9835" spans="1:1" x14ac:dyDescent="0.25">
      <c r="A9835" s="56">
        <v>666606.80000000005</v>
      </c>
    </row>
    <row r="9836" spans="1:1" x14ac:dyDescent="0.25">
      <c r="A9836" s="56">
        <v>336343252.89999998</v>
      </c>
    </row>
    <row r="9837" spans="1:1" x14ac:dyDescent="0.25">
      <c r="A9837" s="56">
        <v>69605330</v>
      </c>
    </row>
    <row r="9838" spans="1:1" x14ac:dyDescent="0.25">
      <c r="A9838" s="56">
        <v>40266060.099999897</v>
      </c>
    </row>
    <row r="9839" spans="1:1" x14ac:dyDescent="0.25">
      <c r="A9839" s="56">
        <v>0</v>
      </c>
    </row>
    <row r="9840" spans="1:1" x14ac:dyDescent="0.25">
      <c r="A9840" s="56">
        <v>12656431.199999999</v>
      </c>
    </row>
    <row r="9841" spans="1:1" x14ac:dyDescent="0.25">
      <c r="A9841" s="56">
        <v>8899202.8000000007</v>
      </c>
    </row>
    <row r="9842" spans="1:1" x14ac:dyDescent="0.25">
      <c r="A9842" s="56">
        <v>12392210.4</v>
      </c>
    </row>
    <row r="9843" spans="1:1" x14ac:dyDescent="0.25">
      <c r="A9843" s="56">
        <v>33479073</v>
      </c>
    </row>
    <row r="9844" spans="1:1" x14ac:dyDescent="0.25">
      <c r="A9844" s="56">
        <v>55893923.200000003</v>
      </c>
    </row>
    <row r="9845" spans="1:1" x14ac:dyDescent="0.25">
      <c r="A9845" s="56">
        <v>48944819.099999897</v>
      </c>
    </row>
    <row r="9846" spans="1:1" x14ac:dyDescent="0.25">
      <c r="A9846" s="56">
        <v>20642119.399999999</v>
      </c>
    </row>
    <row r="9847" spans="1:1" x14ac:dyDescent="0.25">
      <c r="A9847" s="56">
        <v>40556306.599999897</v>
      </c>
    </row>
    <row r="9848" spans="1:1" x14ac:dyDescent="0.25">
      <c r="A9848" s="56">
        <v>6744793.1999999899</v>
      </c>
    </row>
    <row r="9849" spans="1:1" x14ac:dyDescent="0.25">
      <c r="A9849" s="56">
        <v>0</v>
      </c>
    </row>
    <row r="9850" spans="1:1" x14ac:dyDescent="0.25">
      <c r="A9850" s="56">
        <v>90977897</v>
      </c>
    </row>
    <row r="9851" spans="1:1" x14ac:dyDescent="0.25">
      <c r="A9851" s="56">
        <v>471689706.99999899</v>
      </c>
    </row>
    <row r="9852" spans="1:1" x14ac:dyDescent="0.25">
      <c r="A9852" s="56">
        <v>4036695</v>
      </c>
    </row>
    <row r="9853" spans="1:1" x14ac:dyDescent="0.25">
      <c r="A9853" s="56">
        <v>145465707.69999999</v>
      </c>
    </row>
    <row r="9854" spans="1:1" x14ac:dyDescent="0.25">
      <c r="A9854" s="56">
        <v>6229372.1999999899</v>
      </c>
    </row>
    <row r="9855" spans="1:1" x14ac:dyDescent="0.25">
      <c r="A9855" s="56">
        <v>58678310.100000001</v>
      </c>
    </row>
    <row r="9856" spans="1:1" x14ac:dyDescent="0.25">
      <c r="A9856" s="56">
        <v>317059588.30000001</v>
      </c>
    </row>
    <row r="9857" spans="1:1" x14ac:dyDescent="0.25">
      <c r="A9857" s="56">
        <v>147284099.40000001</v>
      </c>
    </row>
    <row r="9858" spans="1:1" x14ac:dyDescent="0.25">
      <c r="A9858" s="56">
        <v>0</v>
      </c>
    </row>
    <row r="9859" spans="1:1" x14ac:dyDescent="0.25">
      <c r="A9859" s="56">
        <v>46121659.099999897</v>
      </c>
    </row>
    <row r="9860" spans="1:1" x14ac:dyDescent="0.25">
      <c r="A9860" s="56">
        <v>130267790.3</v>
      </c>
    </row>
    <row r="9861" spans="1:1" x14ac:dyDescent="0.25">
      <c r="A9861" s="56">
        <v>77012707.199999899</v>
      </c>
    </row>
    <row r="9862" spans="1:1" x14ac:dyDescent="0.25">
      <c r="A9862" s="56">
        <v>5606488.2000000002</v>
      </c>
    </row>
    <row r="9863" spans="1:1" x14ac:dyDescent="0.25">
      <c r="A9863" s="56">
        <v>23051623.199999999</v>
      </c>
    </row>
    <row r="9864" spans="1:1" x14ac:dyDescent="0.25">
      <c r="A9864" s="56">
        <v>51757949</v>
      </c>
    </row>
    <row r="9865" spans="1:1" x14ac:dyDescent="0.25">
      <c r="A9865" s="56">
        <v>3414580.2</v>
      </c>
    </row>
    <row r="9866" spans="1:1" x14ac:dyDescent="0.25">
      <c r="A9866" s="56">
        <v>5043773.6999999899</v>
      </c>
    </row>
    <row r="9867" spans="1:1" x14ac:dyDescent="0.25">
      <c r="A9867" s="56">
        <v>9615383.0999999996</v>
      </c>
    </row>
    <row r="9868" spans="1:1" x14ac:dyDescent="0.25">
      <c r="A9868" s="56">
        <v>11928848.6</v>
      </c>
    </row>
    <row r="9869" spans="1:1" x14ac:dyDescent="0.25">
      <c r="A9869" s="56">
        <v>0</v>
      </c>
    </row>
    <row r="9870" spans="1:1" x14ac:dyDescent="0.25">
      <c r="A9870" s="56">
        <v>24599169.800000001</v>
      </c>
    </row>
    <row r="9871" spans="1:1" x14ac:dyDescent="0.25">
      <c r="A9871" s="56">
        <v>0</v>
      </c>
    </row>
    <row r="9872" spans="1:1" x14ac:dyDescent="0.25">
      <c r="A9872" s="56">
        <v>0</v>
      </c>
    </row>
    <row r="9873" spans="1:1" x14ac:dyDescent="0.25">
      <c r="A9873" s="56">
        <v>16910460.300000001</v>
      </c>
    </row>
    <row r="9874" spans="1:1" x14ac:dyDescent="0.25">
      <c r="A9874" s="56">
        <v>23487123.699999999</v>
      </c>
    </row>
    <row r="9875" spans="1:1" x14ac:dyDescent="0.25">
      <c r="A9875" s="56">
        <v>79962486.399999902</v>
      </c>
    </row>
    <row r="9876" spans="1:1" x14ac:dyDescent="0.25">
      <c r="A9876" s="56">
        <v>10683265.9</v>
      </c>
    </row>
    <row r="9877" spans="1:1" x14ac:dyDescent="0.25">
      <c r="A9877" s="56">
        <v>12070047.5</v>
      </c>
    </row>
    <row r="9878" spans="1:1" x14ac:dyDescent="0.25">
      <c r="A9878" s="56">
        <v>195717657.80000001</v>
      </c>
    </row>
    <row r="9879" spans="1:1" x14ac:dyDescent="0.25">
      <c r="A9879" s="56">
        <v>88657579.099999905</v>
      </c>
    </row>
    <row r="9880" spans="1:1" x14ac:dyDescent="0.25">
      <c r="A9880" s="56">
        <v>21689138.399999999</v>
      </c>
    </row>
    <row r="9881" spans="1:1" x14ac:dyDescent="0.25">
      <c r="A9881" s="56">
        <v>9207365.8000000007</v>
      </c>
    </row>
    <row r="9882" spans="1:1" x14ac:dyDescent="0.25">
      <c r="A9882" s="56">
        <v>16822212.5</v>
      </c>
    </row>
    <row r="9883" spans="1:1" x14ac:dyDescent="0.25">
      <c r="A9883" s="56">
        <v>123758061.7</v>
      </c>
    </row>
    <row r="9884" spans="1:1" x14ac:dyDescent="0.25">
      <c r="A9884" s="56">
        <v>272679625.89999998</v>
      </c>
    </row>
    <row r="9885" spans="1:1" x14ac:dyDescent="0.25">
      <c r="A9885" s="56">
        <v>0</v>
      </c>
    </row>
    <row r="9886" spans="1:1" x14ac:dyDescent="0.25">
      <c r="A9886" s="56">
        <v>0</v>
      </c>
    </row>
    <row r="9887" spans="1:1" x14ac:dyDescent="0.25">
      <c r="A9887" s="56">
        <v>287482948.89999998</v>
      </c>
    </row>
    <row r="9888" spans="1:1" x14ac:dyDescent="0.25">
      <c r="A9888" s="56">
        <v>63456127.099999897</v>
      </c>
    </row>
    <row r="9889" spans="1:1" x14ac:dyDescent="0.25">
      <c r="A9889" s="56">
        <v>47174077.099999897</v>
      </c>
    </row>
    <row r="9890" spans="1:1" x14ac:dyDescent="0.25">
      <c r="A9890" s="56">
        <v>119386688</v>
      </c>
    </row>
    <row r="9891" spans="1:1" x14ac:dyDescent="0.25">
      <c r="A9891" s="56">
        <v>10433381.300000001</v>
      </c>
    </row>
    <row r="9892" spans="1:1" x14ac:dyDescent="0.25">
      <c r="A9892" s="56">
        <v>9543016</v>
      </c>
    </row>
    <row r="9893" spans="1:1" x14ac:dyDescent="0.25">
      <c r="A9893" s="56">
        <v>29210457.600000001</v>
      </c>
    </row>
    <row r="9894" spans="1:1" x14ac:dyDescent="0.25">
      <c r="A9894" s="56">
        <v>29533626.300000001</v>
      </c>
    </row>
    <row r="9895" spans="1:1" x14ac:dyDescent="0.25">
      <c r="A9895" s="56">
        <v>13908639</v>
      </c>
    </row>
    <row r="9896" spans="1:1" x14ac:dyDescent="0.25">
      <c r="A9896" s="56">
        <v>5539838.6999999899</v>
      </c>
    </row>
    <row r="9897" spans="1:1" x14ac:dyDescent="0.25">
      <c r="A9897" s="56">
        <v>0</v>
      </c>
    </row>
    <row r="9898" spans="1:1" x14ac:dyDescent="0.25">
      <c r="A9898" s="56">
        <v>0</v>
      </c>
    </row>
    <row r="9899" spans="1:1" x14ac:dyDescent="0.25">
      <c r="A9899" s="56">
        <v>42129135.200000003</v>
      </c>
    </row>
    <row r="9900" spans="1:1" x14ac:dyDescent="0.25">
      <c r="A9900" s="56">
        <v>118275742.90000001</v>
      </c>
    </row>
    <row r="9901" spans="1:1" x14ac:dyDescent="0.25">
      <c r="A9901" s="56">
        <v>548018.4</v>
      </c>
    </row>
    <row r="9902" spans="1:1" x14ac:dyDescent="0.25">
      <c r="A9902" s="56">
        <v>759643.2</v>
      </c>
    </row>
    <row r="9903" spans="1:1" x14ac:dyDescent="0.25">
      <c r="A9903" s="56">
        <v>2018460</v>
      </c>
    </row>
    <row r="9904" spans="1:1" x14ac:dyDescent="0.25">
      <c r="A9904" s="56">
        <v>534515287.99999899</v>
      </c>
    </row>
    <row r="9905" spans="1:1" x14ac:dyDescent="0.25">
      <c r="A9905" s="56">
        <v>35785741.599999897</v>
      </c>
    </row>
    <row r="9906" spans="1:1" x14ac:dyDescent="0.25">
      <c r="A9906" s="56">
        <v>10702692.199999999</v>
      </c>
    </row>
    <row r="9907" spans="1:1" x14ac:dyDescent="0.25">
      <c r="A9907" s="56">
        <v>18551533.199999999</v>
      </c>
    </row>
    <row r="9908" spans="1:1" x14ac:dyDescent="0.25">
      <c r="A9908" s="56">
        <v>72599295.799999997</v>
      </c>
    </row>
    <row r="9909" spans="1:1" x14ac:dyDescent="0.25">
      <c r="A9909" s="56">
        <v>87625731.099999905</v>
      </c>
    </row>
    <row r="9910" spans="1:1" x14ac:dyDescent="0.25">
      <c r="A9910" s="56">
        <v>0</v>
      </c>
    </row>
    <row r="9911" spans="1:1" x14ac:dyDescent="0.25">
      <c r="A9911" s="56">
        <v>79918626.799999893</v>
      </c>
    </row>
    <row r="9912" spans="1:1" x14ac:dyDescent="0.25">
      <c r="A9912" s="56">
        <v>15082379.300000001</v>
      </c>
    </row>
    <row r="9913" spans="1:1" x14ac:dyDescent="0.25">
      <c r="A9913" s="56">
        <v>6347785.5</v>
      </c>
    </row>
    <row r="9914" spans="1:1" x14ac:dyDescent="0.25">
      <c r="A9914" s="56">
        <v>20134927.399999999</v>
      </c>
    </row>
    <row r="9915" spans="1:1" x14ac:dyDescent="0.25">
      <c r="A9915" s="56">
        <v>16990935.399999999</v>
      </c>
    </row>
    <row r="9916" spans="1:1" x14ac:dyDescent="0.25">
      <c r="A9916" s="56">
        <v>0</v>
      </c>
    </row>
    <row r="9917" spans="1:1" x14ac:dyDescent="0.25">
      <c r="A9917" s="56">
        <v>50297596.299999997</v>
      </c>
    </row>
    <row r="9918" spans="1:1" x14ac:dyDescent="0.25">
      <c r="A9918" s="56">
        <v>973222</v>
      </c>
    </row>
    <row r="9919" spans="1:1" x14ac:dyDescent="0.25">
      <c r="A9919" s="56">
        <v>0</v>
      </c>
    </row>
    <row r="9920" spans="1:1" x14ac:dyDescent="0.25">
      <c r="A9920" s="56">
        <v>16278526.9</v>
      </c>
    </row>
    <row r="9921" spans="1:1" x14ac:dyDescent="0.25">
      <c r="A9921" s="56">
        <v>13335658.5</v>
      </c>
    </row>
    <row r="9922" spans="1:1" x14ac:dyDescent="0.25">
      <c r="A9922" s="56">
        <v>2828626.6</v>
      </c>
    </row>
    <row r="9923" spans="1:1" x14ac:dyDescent="0.25">
      <c r="A9923" s="56">
        <v>177933568.30000001</v>
      </c>
    </row>
    <row r="9924" spans="1:1" x14ac:dyDescent="0.25">
      <c r="A9924" s="56">
        <v>0</v>
      </c>
    </row>
    <row r="9925" spans="1:1" x14ac:dyDescent="0.25">
      <c r="A9925" s="56">
        <v>17557597.600000001</v>
      </c>
    </row>
    <row r="9926" spans="1:1" x14ac:dyDescent="0.25">
      <c r="A9926" s="56">
        <v>49896377.200000003</v>
      </c>
    </row>
    <row r="9927" spans="1:1" x14ac:dyDescent="0.25">
      <c r="A9927" s="56">
        <v>0</v>
      </c>
    </row>
    <row r="9928" spans="1:1" x14ac:dyDescent="0.25">
      <c r="A9928" s="56">
        <v>9384279.8000000007</v>
      </c>
    </row>
    <row r="9929" spans="1:1" x14ac:dyDescent="0.25">
      <c r="A9929" s="56">
        <v>0</v>
      </c>
    </row>
    <row r="9930" spans="1:1" x14ac:dyDescent="0.25">
      <c r="A9930" s="56">
        <v>252003375.59999999</v>
      </c>
    </row>
    <row r="9931" spans="1:1" x14ac:dyDescent="0.25">
      <c r="A9931" s="56">
        <v>0</v>
      </c>
    </row>
    <row r="9932" spans="1:1" x14ac:dyDescent="0.25">
      <c r="A9932" s="56">
        <v>674654082.5</v>
      </c>
    </row>
    <row r="9933" spans="1:1" x14ac:dyDescent="0.25">
      <c r="A9933" s="56">
        <v>6533211.2999999998</v>
      </c>
    </row>
    <row r="9934" spans="1:1" x14ac:dyDescent="0.25">
      <c r="A9934" s="56">
        <v>7547995.4000000004</v>
      </c>
    </row>
    <row r="9935" spans="1:1" x14ac:dyDescent="0.25">
      <c r="A9935" s="56">
        <v>14310305.5</v>
      </c>
    </row>
    <row r="9936" spans="1:1" x14ac:dyDescent="0.25">
      <c r="A9936" s="56">
        <v>157608206</v>
      </c>
    </row>
    <row r="9937" spans="1:1" x14ac:dyDescent="0.25">
      <c r="A9937" s="56">
        <v>84658882.399999902</v>
      </c>
    </row>
    <row r="9938" spans="1:1" x14ac:dyDescent="0.25">
      <c r="A9938" s="56">
        <v>961851.2</v>
      </c>
    </row>
    <row r="9939" spans="1:1" x14ac:dyDescent="0.25">
      <c r="A9939" s="56">
        <v>92267816.299999893</v>
      </c>
    </row>
    <row r="9940" spans="1:1" x14ac:dyDescent="0.25">
      <c r="A9940" s="56">
        <v>9098610.5999999996</v>
      </c>
    </row>
    <row r="9941" spans="1:1" x14ac:dyDescent="0.25">
      <c r="A9941" s="56">
        <v>47373368.099999897</v>
      </c>
    </row>
    <row r="9942" spans="1:1" x14ac:dyDescent="0.25">
      <c r="A9942" s="56">
        <v>24322428</v>
      </c>
    </row>
    <row r="9943" spans="1:1" x14ac:dyDescent="0.25">
      <c r="A9943" s="56">
        <v>7320991.3999999901</v>
      </c>
    </row>
    <row r="9944" spans="1:1" x14ac:dyDescent="0.25">
      <c r="A9944" s="56">
        <v>681581105.60000002</v>
      </c>
    </row>
    <row r="9945" spans="1:1" x14ac:dyDescent="0.25">
      <c r="A9945" s="56">
        <v>27459754.100000001</v>
      </c>
    </row>
    <row r="9946" spans="1:1" x14ac:dyDescent="0.25">
      <c r="A9946" s="56">
        <v>84299249.299999997</v>
      </c>
    </row>
    <row r="9947" spans="1:1" x14ac:dyDescent="0.25">
      <c r="A9947" s="56">
        <v>28779853.600000001</v>
      </c>
    </row>
    <row r="9948" spans="1:1" x14ac:dyDescent="0.25">
      <c r="A9948" s="56">
        <v>4540678.8</v>
      </c>
    </row>
    <row r="9949" spans="1:1" x14ac:dyDescent="0.25">
      <c r="A9949" s="56">
        <v>10571783.1</v>
      </c>
    </row>
    <row r="9950" spans="1:1" x14ac:dyDescent="0.25">
      <c r="A9950" s="56">
        <v>28861180.100000001</v>
      </c>
    </row>
    <row r="9951" spans="1:1" x14ac:dyDescent="0.25">
      <c r="A9951" s="56">
        <v>97397628.599999905</v>
      </c>
    </row>
    <row r="9952" spans="1:1" x14ac:dyDescent="0.25">
      <c r="A9952" s="56">
        <v>12930436</v>
      </c>
    </row>
    <row r="9953" spans="1:1" x14ac:dyDescent="0.25">
      <c r="A9953" s="56">
        <v>46141141.799999997</v>
      </c>
    </row>
    <row r="9954" spans="1:1" x14ac:dyDescent="0.25">
      <c r="A9954" s="56">
        <v>28988888.199999999</v>
      </c>
    </row>
    <row r="9955" spans="1:1" x14ac:dyDescent="0.25">
      <c r="A9955" s="56">
        <v>137068925.30000001</v>
      </c>
    </row>
    <row r="9956" spans="1:1" x14ac:dyDescent="0.25">
      <c r="A9956" s="56">
        <v>122787.6</v>
      </c>
    </row>
    <row r="9957" spans="1:1" x14ac:dyDescent="0.25">
      <c r="A9957" s="56">
        <v>20755439.800000001</v>
      </c>
    </row>
    <row r="9958" spans="1:1" x14ac:dyDescent="0.25">
      <c r="A9958" s="56">
        <v>53825118.999999903</v>
      </c>
    </row>
    <row r="9959" spans="1:1" x14ac:dyDescent="0.25">
      <c r="A9959" s="56">
        <v>204989317.30000001</v>
      </c>
    </row>
    <row r="9960" spans="1:1" x14ac:dyDescent="0.25">
      <c r="A9960" s="56">
        <v>5954264.6999999899</v>
      </c>
    </row>
    <row r="9961" spans="1:1" x14ac:dyDescent="0.25">
      <c r="A9961" s="56">
        <v>0</v>
      </c>
    </row>
    <row r="9962" spans="1:1" x14ac:dyDescent="0.25">
      <c r="A9962" s="56">
        <v>69260141.599999905</v>
      </c>
    </row>
    <row r="9963" spans="1:1" x14ac:dyDescent="0.25">
      <c r="A9963" s="56">
        <v>154396549</v>
      </c>
    </row>
    <row r="9964" spans="1:1" x14ac:dyDescent="0.25">
      <c r="A9964" s="56">
        <v>3474160</v>
      </c>
    </row>
    <row r="9965" spans="1:1" x14ac:dyDescent="0.25">
      <c r="A9965" s="56">
        <v>457176349.99999899</v>
      </c>
    </row>
    <row r="9966" spans="1:1" x14ac:dyDescent="0.25">
      <c r="A9966" s="56">
        <v>487463754.49999899</v>
      </c>
    </row>
    <row r="9967" spans="1:1" x14ac:dyDescent="0.25">
      <c r="A9967" s="56">
        <v>25292078.899999999</v>
      </c>
    </row>
    <row r="9968" spans="1:1" x14ac:dyDescent="0.25">
      <c r="A9968" s="56">
        <v>38417313.799999997</v>
      </c>
    </row>
    <row r="9969" spans="1:1" x14ac:dyDescent="0.25">
      <c r="A9969" s="56">
        <v>3499331.4</v>
      </c>
    </row>
    <row r="9970" spans="1:1" x14ac:dyDescent="0.25">
      <c r="A9970" s="56">
        <v>28119007.800000001</v>
      </c>
    </row>
    <row r="9971" spans="1:1" x14ac:dyDescent="0.25">
      <c r="A9971" s="56">
        <v>24256811.699999999</v>
      </c>
    </row>
    <row r="9972" spans="1:1" x14ac:dyDescent="0.25">
      <c r="A9972" s="56">
        <v>121386151.90000001</v>
      </c>
    </row>
    <row r="9973" spans="1:1" x14ac:dyDescent="0.25">
      <c r="A9973" s="56">
        <v>3178532.8</v>
      </c>
    </row>
    <row r="9974" spans="1:1" x14ac:dyDescent="0.25">
      <c r="A9974" s="56">
        <v>0</v>
      </c>
    </row>
    <row r="9975" spans="1:1" x14ac:dyDescent="0.25">
      <c r="A9975" s="56">
        <v>41895421.899999999</v>
      </c>
    </row>
    <row r="9976" spans="1:1" x14ac:dyDescent="0.25">
      <c r="A9976" s="56">
        <v>9461478.7999999896</v>
      </c>
    </row>
    <row r="9977" spans="1:1" x14ac:dyDescent="0.25">
      <c r="A9977" s="56">
        <v>21949199.199999999</v>
      </c>
    </row>
    <row r="9978" spans="1:1" x14ac:dyDescent="0.25">
      <c r="A9978" s="56">
        <v>71608218.599999905</v>
      </c>
    </row>
    <row r="9979" spans="1:1" x14ac:dyDescent="0.25">
      <c r="A9979" s="56">
        <v>17729206.100000001</v>
      </c>
    </row>
    <row r="9980" spans="1:1" x14ac:dyDescent="0.25">
      <c r="A9980" s="56">
        <v>6521767</v>
      </c>
    </row>
    <row r="9981" spans="1:1" x14ac:dyDescent="0.25">
      <c r="A9981" s="56">
        <v>24117537</v>
      </c>
    </row>
    <row r="9982" spans="1:1" x14ac:dyDescent="0.25">
      <c r="A9982" s="56">
        <v>0</v>
      </c>
    </row>
    <row r="9983" spans="1:1" x14ac:dyDescent="0.25">
      <c r="A9983" s="56">
        <v>0</v>
      </c>
    </row>
    <row r="9984" spans="1:1" x14ac:dyDescent="0.25">
      <c r="A9984" s="56">
        <v>32678033.899999999</v>
      </c>
    </row>
    <row r="9985" spans="1:1" x14ac:dyDescent="0.25">
      <c r="A9985" s="56">
        <v>0</v>
      </c>
    </row>
    <row r="9986" spans="1:1" x14ac:dyDescent="0.25">
      <c r="A9986" s="56">
        <v>22739617.199999999</v>
      </c>
    </row>
    <row r="9987" spans="1:1" x14ac:dyDescent="0.25">
      <c r="A9987" s="56">
        <v>51073660.100000001</v>
      </c>
    </row>
    <row r="9988" spans="1:1" x14ac:dyDescent="0.25">
      <c r="A9988" s="56">
        <v>14958374.800000001</v>
      </c>
    </row>
    <row r="9989" spans="1:1" x14ac:dyDescent="0.25">
      <c r="A9989" s="56">
        <v>9367316.8999999892</v>
      </c>
    </row>
    <row r="9990" spans="1:1" x14ac:dyDescent="0.25">
      <c r="A9990" s="56">
        <v>17138785</v>
      </c>
    </row>
    <row r="9991" spans="1:1" x14ac:dyDescent="0.25">
      <c r="A9991" s="56">
        <v>58688377</v>
      </c>
    </row>
    <row r="9992" spans="1:1" x14ac:dyDescent="0.25">
      <c r="A9992" s="56">
        <v>126595617.7</v>
      </c>
    </row>
    <row r="9993" spans="1:1" x14ac:dyDescent="0.25">
      <c r="A9993" s="56">
        <v>22262979</v>
      </c>
    </row>
    <row r="9994" spans="1:1" x14ac:dyDescent="0.25">
      <c r="A9994" s="56">
        <v>870494</v>
      </c>
    </row>
    <row r="9995" spans="1:1" x14ac:dyDescent="0.25">
      <c r="A9995" s="56">
        <v>3382931.4</v>
      </c>
    </row>
    <row r="9996" spans="1:1" x14ac:dyDescent="0.25">
      <c r="A9996" s="56">
        <v>63882441.299999997</v>
      </c>
    </row>
    <row r="9997" spans="1:1" x14ac:dyDescent="0.25">
      <c r="A9997" s="56">
        <v>17839335.5</v>
      </c>
    </row>
    <row r="9998" spans="1:1" x14ac:dyDescent="0.25">
      <c r="A9998" s="56">
        <v>15897392.4</v>
      </c>
    </row>
    <row r="9999" spans="1:1" x14ac:dyDescent="0.25">
      <c r="A9999" s="56">
        <v>19022022.199999999</v>
      </c>
    </row>
    <row r="10000" spans="1:1" x14ac:dyDescent="0.25">
      <c r="A10000" s="56">
        <v>81319291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0C6576E239FA4F8A0A35B59C49BA01" ma:contentTypeVersion="13" ma:contentTypeDescription="Crear nuevo documento." ma:contentTypeScope="" ma:versionID="810c253b4b691526655970308fd9b3e7">
  <xsd:schema xmlns:xsd="http://www.w3.org/2001/XMLSchema" xmlns:xs="http://www.w3.org/2001/XMLSchema" xmlns:p="http://schemas.microsoft.com/office/2006/metadata/properties" xmlns:ns3="0bb9dc66-e35d-42e3-9f8d-b5039e414109" xmlns:ns4="db21e96e-bab8-470c-b9aa-b980ec05a95e" targetNamespace="http://schemas.microsoft.com/office/2006/metadata/properties" ma:root="true" ma:fieldsID="4180cb9ed0e1d659ce6a79fa52a7d13f" ns3:_="" ns4:_="">
    <xsd:import namespace="0bb9dc66-e35d-42e3-9f8d-b5039e414109"/>
    <xsd:import namespace="db21e96e-bab8-470c-b9aa-b980ec05a95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b9dc66-e35d-42e3-9f8d-b5039e4141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21e96e-bab8-470c-b9aa-b980ec05a95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bb9dc66-e35d-42e3-9f8d-b5039e414109" xsi:nil="true"/>
  </documentManagement>
</p:properties>
</file>

<file path=customXml/itemProps1.xml><?xml version="1.0" encoding="utf-8"?>
<ds:datastoreItem xmlns:ds="http://schemas.openxmlformats.org/officeDocument/2006/customXml" ds:itemID="{FC71C855-5411-4FD0-8318-46B508DCDF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D4D8EF-0977-42D5-BC21-8F4176D05F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b9dc66-e35d-42e3-9f8d-b5039e414109"/>
    <ds:schemaRef ds:uri="db21e96e-bab8-470c-b9aa-b980ec05a9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DEB896-3064-4CFB-BF01-CEFB181179CC}">
  <ds:schemaRefs>
    <ds:schemaRef ds:uri="db21e96e-bab8-470c-b9aa-b980ec05a95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0bb9dc66-e35d-42e3-9f8d-b5039e41410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Nombres eq.</vt:lpstr>
      <vt:lpstr>datos</vt:lpstr>
      <vt:lpstr>preguntas</vt:lpstr>
      <vt:lpstr>clo</vt:lpstr>
      <vt:lpstr>analysis clo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OCEGUERA GOMEZ, ABRAHAM</dc:creator>
  <cp:keywords/>
  <dc:description/>
  <cp:lastModifiedBy>GOMEZ JIMENEZ, SAMUEL</cp:lastModifiedBy>
  <cp:revision/>
  <dcterms:created xsi:type="dcterms:W3CDTF">2026-05-06T16:45:50Z</dcterms:created>
  <dcterms:modified xsi:type="dcterms:W3CDTF">2026-05-11T22:10:23Z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0x0101009E0C6576E239FA4F8A0A35B59C49BA01</vt:lpwstr>
  </property>
</Properties>
</file>