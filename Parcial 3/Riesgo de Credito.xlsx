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mue\OneDrive\Desktop\TRABAJO\UNI\8VO SEMESTRE\ADMINISTRACION_RIESGOS\Parcial 3\"/>
    </mc:Choice>
  </mc:AlternateContent>
  <xr:revisionPtr revIDLastSave="0" documentId="13_ncr:1_{1CE93C4A-FFFA-4683-BE51-6C69AA1C7E54}" xr6:coauthVersionLast="47" xr6:coauthVersionMax="47" xr10:uidLastSave="{00000000-0000-0000-0000-000000000000}"/>
  <bookViews>
    <workbookView xWindow="-108" yWindow="-108" windowWidth="23256" windowHeight="12456" activeTab="1" xr2:uid="{9C803BB7-A573-4C3E-A51D-ED2F10C94F32}"/>
  </bookViews>
  <sheets>
    <sheet name="E1" sheetId="1" r:id="rId1"/>
    <sheet name="E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36" i="2" l="1"/>
  <c r="I30" i="1"/>
  <c r="K29" i="2"/>
  <c r="K37" i="2" s="1"/>
  <c r="G36" i="2"/>
  <c r="G29" i="2"/>
  <c r="C26" i="2"/>
  <c r="C29" i="2" s="1"/>
  <c r="C37" i="2" s="1"/>
  <c r="C36" i="2"/>
  <c r="F27" i="1"/>
  <c r="F30" i="1" s="1"/>
  <c r="C30" i="1"/>
  <c r="G37" i="2" l="1"/>
</calcChain>
</file>

<file path=xl/sharedStrings.xml><?xml version="1.0" encoding="utf-8"?>
<sst xmlns="http://schemas.openxmlformats.org/spreadsheetml/2006/main" count="60" uniqueCount="18">
  <si>
    <t>CASO A</t>
  </si>
  <si>
    <t>EAD</t>
  </si>
  <si>
    <t>PD</t>
  </si>
  <si>
    <t>LGD</t>
  </si>
  <si>
    <t>Spread</t>
  </si>
  <si>
    <t>CASO B</t>
  </si>
  <si>
    <t>CASO C</t>
  </si>
  <si>
    <t>Siendo conservadores</t>
  </si>
  <si>
    <t>Opex</t>
  </si>
  <si>
    <t>Utilidad</t>
  </si>
  <si>
    <t>RWA</t>
  </si>
  <si>
    <t>Asignación Cap</t>
  </si>
  <si>
    <t>ROE</t>
  </si>
  <si>
    <t>CC</t>
  </si>
  <si>
    <t>Tasa Activa</t>
  </si>
  <si>
    <t>Costo Fondeo</t>
  </si>
  <si>
    <t>+ TIIE</t>
  </si>
  <si>
    <t>SWAP Payer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</si>
</sst>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bgColor indexed="64"/>
      </patternFill>
    </fill>
    <fill>
      <patternFill patternType="solid">
        <fgColor theme="4" tint="0.79998168889431442"/>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10" fontId="0" fillId="0" borderId="0" xfId="0" applyNumberFormat="1"/>
    <xf numFmtId="10" fontId="0" fillId="0" borderId="0" xfId="1" applyNumberFormat="1" applyFont="1"/>
    <xf numFmtId="9" fontId="0" fillId="0" borderId="0" xfId="0" applyNumberFormat="1"/>
    <xf numFmtId="0" fontId="2" fillId="0" borderId="0" xfId="0" applyFont="1"/>
    <xf numFmtId="0" fontId="2" fillId="2" borderId="0" xfId="0" applyFont="1" applyFill="1"/>
    <xf numFmtId="0" fontId="2" fillId="2" borderId="1" xfId="0" applyFont="1" applyFill="1" applyBorder="1"/>
    <xf numFmtId="0" fontId="2" fillId="2" borderId="2" xfId="0" applyFont="1" applyFill="1" applyBorder="1"/>
    <xf numFmtId="0" fontId="0" fillId="0" borderId="3" xfId="0" applyBorder="1"/>
    <xf numFmtId="10" fontId="0" fillId="0" borderId="4" xfId="1" applyNumberFormat="1" applyFont="1" applyBorder="1"/>
    <xf numFmtId="10" fontId="0" fillId="0" borderId="4" xfId="0" applyNumberFormat="1" applyBorder="1"/>
    <xf numFmtId="9" fontId="0" fillId="0" borderId="4" xfId="0" applyNumberFormat="1" applyBorder="1"/>
    <xf numFmtId="0" fontId="0" fillId="0" borderId="5" xfId="0" applyBorder="1"/>
    <xf numFmtId="10" fontId="0" fillId="0" borderId="6" xfId="0" applyNumberFormat="1" applyBorder="1"/>
    <xf numFmtId="9" fontId="0" fillId="0" borderId="6" xfId="0" applyNumberFormat="1" applyBorder="1"/>
    <xf numFmtId="0" fontId="3" fillId="3" borderId="5" xfId="0" applyFont="1" applyFill="1" applyBorder="1"/>
    <xf numFmtId="10" fontId="0" fillId="3" borderId="6" xfId="0" applyNumberFormat="1" applyFill="1" applyBorder="1"/>
    <xf numFmtId="0" fontId="0" fillId="0" borderId="0" xfId="0" quotePrefix="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1</xdr:row>
      <xdr:rowOff>19050</xdr:rowOff>
    </xdr:from>
    <xdr:to>
      <xdr:col>11</xdr:col>
      <xdr:colOff>0</xdr:colOff>
      <xdr:row>23</xdr:row>
      <xdr:rowOff>19050</xdr:rowOff>
    </xdr:to>
    <xdr:sp macro="" textlink="">
      <xdr:nvSpPr>
        <xdr:cNvPr id="2" name="CuadroTexto 1">
          <a:extLst>
            <a:ext uri="{FF2B5EF4-FFF2-40B4-BE49-F238E27FC236}">
              <a16:creationId xmlns:a16="http://schemas.microsoft.com/office/drawing/2014/main" id="{00EFADE4-10C9-F565-13F9-EAEFA7029304}"/>
            </a:ext>
          </a:extLst>
        </xdr:cNvPr>
        <xdr:cNvSpPr txBox="1"/>
      </xdr:nvSpPr>
      <xdr:spPr>
        <a:xfrm>
          <a:off x="768350" y="203200"/>
          <a:ext cx="7613650" cy="405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Calcular la</a:t>
          </a:r>
          <a:r>
            <a:rPr lang="es-MX" sz="1100" baseline="0"/>
            <a:t> sobretasa  o spread de crédito para cada uno de los siguientes préstamos:</a:t>
          </a:r>
        </a:p>
        <a:p>
          <a:endParaRPr lang="es-MX" sz="1100" baseline="0"/>
        </a:p>
        <a:p>
          <a:r>
            <a:rPr lang="es-MX" sz="1100" baseline="0"/>
            <a:t>A) Se trata de un préstamo por 60 millones amortizable a 5 años, pagos de capital iguales (no crecientes, no balloon), la empresa tiene ventas anuales arriba de 300 millones de pesos, no tiene deuda bancaria ni otros pasivos con costo. La tendencia en ventas y utilidad de operación es positiva (crecimiento sostenido). Nuestro modelo de crédito asigna una probabilidad de impago de 1.4%. El crédito sería únicamente con garantía personal del principal accionista y director general. En este tipo de créditos, si llega a haber default suele ser entre el año 3 y año 4.</a:t>
          </a:r>
        </a:p>
        <a:p>
          <a:endParaRPr lang="es-MX" sz="1100" baseline="0"/>
        </a:p>
        <a:p>
          <a:r>
            <a:rPr lang="es-MX" sz="1100" baseline="0"/>
            <a:t>B) Se trata de otro préstamo amortizable por 90 millones a 7 años con un año de gracia en pagos de capital, pagos iguales a partir de finalizado el periodo de gracia. Se trata de una empresa con ventas anuales arriba de 800 millones de pesos. El destino del préstamo es refinanciar pasivos bancarios existentes. Está dando en garantía hipoteca industrial. El EBITDA de la empresa es de 75 millones. De acuerdo a nuestro modelo de crédito, la probabilidad de incumplimiento es de 2.5%. En este tipo de préstamos, cuando llega a haber default, es entre el año 3 y el año 5. El porcentaje de recuperación cuando se tiene hipoteca industrial ronda alrededor del 70%.</a:t>
          </a:r>
        </a:p>
        <a:p>
          <a:endParaRPr lang="es-MX" sz="1100" baseline="0"/>
        </a:p>
        <a:p>
          <a:r>
            <a:rPr lang="es-MX" sz="1100" baseline="0"/>
            <a:t>C) Por último, se tiene una línea de crédito revolvente a 3 años por 50 millones, el plazo máximo de cada disposición es a 180 días (puede ser desde 30 días hasta 180 días) y cada disposición puede ser renovada/refinanciada por un plazo igual o menor pagando unicamente el interés correspondiente cuidando que el plazo total acumulado de las renovaciones no exceda de 3 años. El destino de la línea de crédito es financiar necesidades transitorias de capital de trabajo. La empresa vende arriba de 400 millones anuales, sus cxc e inventarios rondan los 180 millones y sus cxp son en promedio 120 millones. Dadas las características de esta empresas y sus métricas financieras, su probabilidad de default es de 1.8%. El impago en líneas revolvente puede ser en cualquier momento pero sobre todo hacia el final del plazo. Se tiene en garantía las cuentas por cobrar y el inventario, la severidad de la pérdida suele ser alrededor del 40%.</a:t>
          </a:r>
          <a:endParaRPr lang="es-MX"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106680</xdr:colOff>
      <xdr:row>23</xdr:row>
      <xdr:rowOff>76200</xdr:rowOff>
    </xdr:to>
    <xdr:sp macro="" textlink="">
      <xdr:nvSpPr>
        <xdr:cNvPr id="2" name="CuadroTexto 1">
          <a:extLst>
            <a:ext uri="{FF2B5EF4-FFF2-40B4-BE49-F238E27FC236}">
              <a16:creationId xmlns:a16="http://schemas.microsoft.com/office/drawing/2014/main" id="{FD69423C-7081-4D38-84F6-9000809F2F85}"/>
            </a:ext>
          </a:extLst>
        </xdr:cNvPr>
        <xdr:cNvSpPr txBox="1"/>
      </xdr:nvSpPr>
      <xdr:spPr>
        <a:xfrm>
          <a:off x="792480" y="182880"/>
          <a:ext cx="8862060" cy="409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Calcular la</a:t>
          </a:r>
          <a:r>
            <a:rPr lang="es-MX" sz="1100" baseline="0"/>
            <a:t> tasa activa que debemos cobrar para cada uno de los siguientes préstamos (en todos los casos la tasa activa es TIIEF + algo):</a:t>
          </a:r>
        </a:p>
        <a:p>
          <a:endParaRPr lang="es-MX" sz="1100" baseline="0"/>
        </a:p>
        <a:p>
          <a:r>
            <a:rPr lang="es-MX" sz="1100" baseline="0"/>
            <a:t>A) Se trata de un préstamo por 150 millones amortizable a 5 años, pagos de capital iguales y un balloon payment de 50 millones al final del año. La empresa tiene ventas anuales cercanas a 700 millones de pesos con un EBITDA del 19%, tiene deuda bancaria por 180 millones de pesos con otros 2 bancos que le representan un servicio de deuda de 28 millones anuales. La tendencia en ventas y utilidad de operación es flat (no crece). Nuestro modelo de crédito asigna una probabilidad de impago de 2%. En este tipo de créditos, si llega a haber default suele ser al final del plazo. Se tiene en garantía maquinaria y equipo así como una nave industrial por lo que la tasa de recuperación ronda el 60%. Para este préstamo se obtendrá fondeo de la banca de desarrollo a un costo de 6% fijo. La ponderación para este tipo de activo (RWA) es del 100% y nuestra asignación de capital interna es de 12% no obstante que Basilea III establece 10.5%. Nuestro ROE objetivo es del 18%. Por política cada préstamo debe contribuir a cubrir los gastos de operación con medio punto porcentual (50 basis points). La utilidad mínima deben ser 75 puntos base, ideal 100-125.</a:t>
          </a:r>
        </a:p>
        <a:p>
          <a:endParaRPr lang="es-MX" sz="1100" baseline="0"/>
        </a:p>
        <a:p>
          <a:r>
            <a:rPr lang="es-MX" sz="1100" baseline="0"/>
            <a:t>B) Se trata de otro préstamo por 200 millones a 3 años con un solo pago de capital a vencimiento (bullet). Se trata de una empresa con ventas anuales arriba de 1,100 millones de pesos. El destino del préstamo es financiar la remodelación de su planta así como la compra de maquinaria y equipo para modernizar su fabrica. Está dando en garantía hipoteca industrial. El EBITDA de la empresa es de 140 millones. Ya trae otros créditos bancarios por 270 millones amortizables que representan un servicio de deuda de 54 millones. De acuerdo a nuestro modelo de crédito, la probabilidad de incumplimiento es de 1.5%. En este tipo de préstamos, cuando llega a haber default, es  al vencimiento. El porcentaje de recuperación cuando se tiene hipoteca industrial ronda alrededor del 70%. El RWA es 100%, nuestra asignación de capital es del 14%, el ROE ya se mencionó al igual que la contribución para gastos de operación y utilidad mínima. El costo de fondeo de este préstamo es nuestra captación a plazo que es en promedio del 5%. Si el cliente nos pide una tasa fija ¿qué tendriamos que hacer para no perder dinero y sí poder darle una tasa fija?</a:t>
          </a:r>
        </a:p>
        <a:p>
          <a:endParaRPr lang="es-MX" sz="1100" baseline="0"/>
        </a:p>
        <a:p>
          <a:r>
            <a:rPr lang="es-MX" sz="1100" baseline="0"/>
            <a:t>C) Por último, calcula la tasa total para la línea revolvente de la hoja E1, considerando que se fondeará mediante préstamos en el mercado interbancario a TIIEF, el RWA debe ser 100% por tratarse de préstamo corporativo (a empresas), la asignación de capital es del 12% y el ROE ya mencionado, mismo dato para gastos operativos y utilidad mínima objetivo.</a:t>
          </a:r>
          <a:endParaRPr lang="es-MX"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CC15C-7963-44B0-918E-68F101E1D07D}">
  <dimension ref="B25:K30"/>
  <sheetViews>
    <sheetView workbookViewId="0">
      <selection activeCell="M19" sqref="M19"/>
    </sheetView>
  </sheetViews>
  <sheetFormatPr baseColWidth="10" defaultRowHeight="14.4" x14ac:dyDescent="0.3"/>
  <cols>
    <col min="2" max="3" width="12.109375" customWidth="1"/>
  </cols>
  <sheetData>
    <row r="25" spans="2:11" s="4" customFormat="1" x14ac:dyDescent="0.3">
      <c r="B25" s="5" t="s">
        <v>0</v>
      </c>
      <c r="C25" s="5"/>
      <c r="E25" s="5" t="s">
        <v>5</v>
      </c>
      <c r="F25" s="5"/>
      <c r="H25" s="5" t="s">
        <v>6</v>
      </c>
      <c r="I25" s="5"/>
    </row>
    <row r="27" spans="2:11" x14ac:dyDescent="0.3">
      <c r="B27" t="s">
        <v>1</v>
      </c>
      <c r="C27" s="2">
        <v>0.4</v>
      </c>
      <c r="E27" t="s">
        <v>1</v>
      </c>
      <c r="F27" s="2">
        <f>4/6</f>
        <v>0.66666666666666663</v>
      </c>
      <c r="H27" t="s">
        <v>1</v>
      </c>
      <c r="I27" s="2">
        <v>1</v>
      </c>
      <c r="K27" t="s">
        <v>7</v>
      </c>
    </row>
    <row r="28" spans="2:11" x14ac:dyDescent="0.3">
      <c r="B28" t="s">
        <v>2</v>
      </c>
      <c r="C28" s="1">
        <v>1.4E-2</v>
      </c>
      <c r="E28" t="s">
        <v>2</v>
      </c>
      <c r="F28" s="1">
        <v>2.5000000000000001E-2</v>
      </c>
      <c r="H28" t="s">
        <v>2</v>
      </c>
      <c r="I28" s="1">
        <v>1.7999999999999999E-2</v>
      </c>
    </row>
    <row r="29" spans="2:11" x14ac:dyDescent="0.3">
      <c r="B29" t="s">
        <v>3</v>
      </c>
      <c r="C29" s="3">
        <v>0.5</v>
      </c>
      <c r="E29" t="s">
        <v>3</v>
      </c>
      <c r="F29" s="3">
        <v>0.3</v>
      </c>
      <c r="H29" t="s">
        <v>3</v>
      </c>
      <c r="I29" s="3">
        <v>0.4</v>
      </c>
    </row>
    <row r="30" spans="2:11" x14ac:dyDescent="0.3">
      <c r="B30" t="s">
        <v>4</v>
      </c>
      <c r="C30" s="1">
        <f>C27*C28*C29</f>
        <v>2.8000000000000004E-3</v>
      </c>
      <c r="E30" t="s">
        <v>4</v>
      </c>
      <c r="F30" s="1">
        <f>F27*F28*F29</f>
        <v>5.0000000000000001E-3</v>
      </c>
      <c r="H30" t="s">
        <v>4</v>
      </c>
      <c r="I30" s="1">
        <f>I27*I28*I29</f>
        <v>7.1999999999999998E-3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0160A-9ACA-4974-808D-5661D8AD107B}">
  <dimension ref="B24:L38"/>
  <sheetViews>
    <sheetView tabSelected="1" workbookViewId="0">
      <selection activeCell="M34" sqref="M34"/>
    </sheetView>
  </sheetViews>
  <sheetFormatPr baseColWidth="10" defaultRowHeight="14.4" x14ac:dyDescent="0.3"/>
  <cols>
    <col min="2" max="2" width="13.33203125" bestFit="1" customWidth="1"/>
    <col min="6" max="6" width="13.33203125" bestFit="1" customWidth="1"/>
    <col min="10" max="10" width="13.33203125" bestFit="1" customWidth="1"/>
  </cols>
  <sheetData>
    <row r="24" spans="2:11" ht="15" thickBot="1" x14ac:dyDescent="0.35"/>
    <row r="25" spans="2:11" x14ac:dyDescent="0.3">
      <c r="B25" s="6" t="s">
        <v>0</v>
      </c>
      <c r="C25" s="7"/>
      <c r="F25" s="6" t="s">
        <v>5</v>
      </c>
      <c r="G25" s="7"/>
      <c r="J25" s="6" t="s">
        <v>5</v>
      </c>
      <c r="K25" s="7"/>
    </row>
    <row r="26" spans="2:11" x14ac:dyDescent="0.3">
      <c r="B26" s="8" t="s">
        <v>1</v>
      </c>
      <c r="C26" s="9">
        <f>1/3</f>
        <v>0.33333333333333331</v>
      </c>
      <c r="F26" s="8" t="s">
        <v>1</v>
      </c>
      <c r="G26" s="9">
        <v>1</v>
      </c>
      <c r="J26" s="8" t="s">
        <v>1</v>
      </c>
      <c r="K26" s="9">
        <v>1</v>
      </c>
    </row>
    <row r="27" spans="2:11" x14ac:dyDescent="0.3">
      <c r="B27" s="8" t="s">
        <v>2</v>
      </c>
      <c r="C27" s="10">
        <v>0.02</v>
      </c>
      <c r="F27" s="8" t="s">
        <v>2</v>
      </c>
      <c r="G27" s="10">
        <v>1.4999999999999999E-2</v>
      </c>
      <c r="J27" s="8" t="s">
        <v>2</v>
      </c>
      <c r="K27" s="10">
        <v>1.7999999999999999E-2</v>
      </c>
    </row>
    <row r="28" spans="2:11" x14ac:dyDescent="0.3">
      <c r="B28" s="8" t="s">
        <v>3</v>
      </c>
      <c r="C28" s="11">
        <v>0.4</v>
      </c>
      <c r="F28" s="8" t="s">
        <v>3</v>
      </c>
      <c r="G28" s="11">
        <v>0.3</v>
      </c>
      <c r="J28" s="8" t="s">
        <v>3</v>
      </c>
      <c r="K28" s="11">
        <v>0.4</v>
      </c>
    </row>
    <row r="29" spans="2:11" ht="15" thickBot="1" x14ac:dyDescent="0.35">
      <c r="B29" s="12" t="s">
        <v>4</v>
      </c>
      <c r="C29" s="13">
        <f>C26*C27*C28</f>
        <v>2.6666666666666666E-3</v>
      </c>
      <c r="F29" s="12" t="s">
        <v>4</v>
      </c>
      <c r="G29" s="13">
        <f>G26*G27*G28</f>
        <v>4.4999999999999997E-3</v>
      </c>
      <c r="J29" s="12" t="s">
        <v>4</v>
      </c>
      <c r="K29" s="13">
        <f>K26*K27*K28</f>
        <v>7.1999999999999998E-3</v>
      </c>
    </row>
    <row r="30" spans="2:11" x14ac:dyDescent="0.3">
      <c r="B30" s="8" t="s">
        <v>8</v>
      </c>
      <c r="C30" s="10">
        <v>5.0000000000000001E-3</v>
      </c>
      <c r="F30" s="8" t="s">
        <v>8</v>
      </c>
      <c r="G30" s="10">
        <v>5.0000000000000001E-3</v>
      </c>
      <c r="J30" s="8" t="s">
        <v>8</v>
      </c>
      <c r="K30" s="10">
        <v>5.0000000000000001E-3</v>
      </c>
    </row>
    <row r="31" spans="2:11" x14ac:dyDescent="0.3">
      <c r="B31" s="8" t="s">
        <v>9</v>
      </c>
      <c r="C31" s="10">
        <v>7.4999999999999997E-3</v>
      </c>
      <c r="F31" s="8" t="s">
        <v>9</v>
      </c>
      <c r="G31" s="10">
        <v>7.4999999999999997E-3</v>
      </c>
      <c r="J31" s="8" t="s">
        <v>9</v>
      </c>
      <c r="K31" s="10">
        <v>7.4999999999999997E-3</v>
      </c>
    </row>
    <row r="32" spans="2:11" ht="15" thickBot="1" x14ac:dyDescent="0.35">
      <c r="B32" s="12" t="s">
        <v>15</v>
      </c>
      <c r="C32" s="14">
        <v>0.06</v>
      </c>
      <c r="F32" s="12" t="s">
        <v>15</v>
      </c>
      <c r="G32" s="14">
        <v>0.05</v>
      </c>
      <c r="J32" s="12" t="s">
        <v>15</v>
      </c>
      <c r="K32" s="13">
        <v>6.7599999999999993E-2</v>
      </c>
    </row>
    <row r="33" spans="2:12" x14ac:dyDescent="0.3">
      <c r="B33" s="8" t="s">
        <v>10</v>
      </c>
      <c r="C33" s="11">
        <v>1</v>
      </c>
      <c r="F33" s="8" t="s">
        <v>10</v>
      </c>
      <c r="G33" s="11">
        <v>1</v>
      </c>
      <c r="J33" s="8" t="s">
        <v>10</v>
      </c>
      <c r="K33" s="11">
        <v>1</v>
      </c>
    </row>
    <row r="34" spans="2:12" x14ac:dyDescent="0.3">
      <c r="B34" s="8" t="s">
        <v>11</v>
      </c>
      <c r="C34" s="11">
        <v>0.12</v>
      </c>
      <c r="F34" s="8" t="s">
        <v>11</v>
      </c>
      <c r="G34" s="11">
        <v>0.14000000000000001</v>
      </c>
      <c r="J34" s="8" t="s">
        <v>11</v>
      </c>
      <c r="K34" s="11">
        <v>0.12</v>
      </c>
    </row>
    <row r="35" spans="2:12" x14ac:dyDescent="0.3">
      <c r="B35" s="8" t="s">
        <v>12</v>
      </c>
      <c r="C35" s="11">
        <v>0.18</v>
      </c>
      <c r="F35" s="8" t="s">
        <v>12</v>
      </c>
      <c r="G35" s="11">
        <v>0.18</v>
      </c>
      <c r="J35" s="8" t="s">
        <v>12</v>
      </c>
      <c r="K35" s="11">
        <v>0.18</v>
      </c>
    </row>
    <row r="36" spans="2:12" ht="15" thickBot="1" x14ac:dyDescent="0.35">
      <c r="B36" s="12" t="s">
        <v>13</v>
      </c>
      <c r="C36" s="13">
        <f>C33*C34*C35</f>
        <v>2.1599999999999998E-2</v>
      </c>
      <c r="F36" s="12" t="s">
        <v>13</v>
      </c>
      <c r="G36" s="13">
        <f>G33*G34*G35</f>
        <v>2.52E-2</v>
      </c>
      <c r="J36" s="12" t="s">
        <v>13</v>
      </c>
      <c r="K36" s="13">
        <f>K33*K34*K35</f>
        <v>2.1599999999999998E-2</v>
      </c>
    </row>
    <row r="37" spans="2:12" ht="15" thickBot="1" x14ac:dyDescent="0.35">
      <c r="B37" s="15" t="s">
        <v>14</v>
      </c>
      <c r="C37" s="16">
        <f>C29+C30+C31+C32+C36</f>
        <v>9.6766666666666654E-2</v>
      </c>
      <c r="D37" s="17" t="s">
        <v>16</v>
      </c>
      <c r="F37" s="15" t="s">
        <v>14</v>
      </c>
      <c r="G37" s="16">
        <f>G29+G30+G31+G32+G36</f>
        <v>9.2200000000000004E-2</v>
      </c>
      <c r="H37" s="17" t="s">
        <v>16</v>
      </c>
      <c r="J37" s="15" t="s">
        <v>14</v>
      </c>
      <c r="K37" s="16">
        <f>K29+K30+K31+K32+K36</f>
        <v>0.10889999999999998</v>
      </c>
      <c r="L37" s="17" t="s">
        <v>16</v>
      </c>
    </row>
    <row r="38" spans="2:12" x14ac:dyDescent="0.3">
      <c r="F38" t="s">
        <v>17</v>
      </c>
      <c r="J38" t="s">
        <v>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E1</vt:lpstr>
      <vt:lpstr>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OCEGUERA GOMEZ, ABRAHAM</dc:creator>
  <cp:lastModifiedBy>GOMEZ JIMENEZ, SAMUEL</cp:lastModifiedBy>
  <dcterms:created xsi:type="dcterms:W3CDTF">2026-04-27T16:02:18Z</dcterms:created>
  <dcterms:modified xsi:type="dcterms:W3CDTF">2026-05-07T01:21:10Z</dcterms:modified>
</cp:coreProperties>
</file>