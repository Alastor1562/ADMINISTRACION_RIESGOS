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\OneDrive\Desktop\TRABAJO\UNI\8VO SEMESTRE\ADMINISTRACION_RIESGOS\Parcial 3\"/>
    </mc:Choice>
  </mc:AlternateContent>
  <xr:revisionPtr revIDLastSave="0" documentId="13_ncr:1_{AA7A55B4-71A5-4773-9C63-5ECB7CD2B4AA}" xr6:coauthVersionLast="47" xr6:coauthVersionMax="47" xr10:uidLastSave="{00000000-0000-0000-0000-000000000000}"/>
  <bookViews>
    <workbookView xWindow="-23148" yWindow="-108" windowWidth="23256" windowHeight="12456" activeTab="3" xr2:uid="{AAE1D0D8-FBB5-4F20-A66D-3BBC4FDD16B1}"/>
  </bookViews>
  <sheets>
    <sheet name="cartera" sheetId="1" r:id="rId1"/>
    <sheet name="preguntas" sheetId="2" r:id="rId2"/>
    <sheet name="clo" sheetId="4" r:id="rId3"/>
    <sheet name="analisis clo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89" i="5" l="1"/>
  <c r="K38" i="5"/>
  <c r="I8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39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18" i="2"/>
  <c r="I38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13" i="5"/>
  <c r="G19" i="2"/>
  <c r="F7" i="5"/>
  <c r="F6" i="5"/>
  <c r="E6" i="5"/>
  <c r="D1" i="5"/>
  <c r="D6" i="5" a="1"/>
  <c r="D6" i="5" s="1"/>
  <c r="D23" i="5" l="1"/>
  <c r="D30" i="5"/>
  <c r="D21" i="5"/>
  <c r="D100" i="5"/>
  <c r="D92" i="5"/>
  <c r="D84" i="5"/>
  <c r="D76" i="5"/>
  <c r="D68" i="5"/>
  <c r="D60" i="5"/>
  <c r="D52" i="5"/>
  <c r="D44" i="5"/>
  <c r="D36" i="5"/>
  <c r="D28" i="5"/>
  <c r="D20" i="5"/>
  <c r="D12" i="5"/>
  <c r="D95" i="5"/>
  <c r="D79" i="5"/>
  <c r="D63" i="5"/>
  <c r="D55" i="5"/>
  <c r="D39" i="5"/>
  <c r="D15" i="5"/>
  <c r="D102" i="5"/>
  <c r="D86" i="5"/>
  <c r="D70" i="5"/>
  <c r="D54" i="5"/>
  <c r="D14" i="5"/>
  <c r="D101" i="5"/>
  <c r="D93" i="5"/>
  <c r="D85" i="5"/>
  <c r="D77" i="5"/>
  <c r="D69" i="5"/>
  <c r="D61" i="5"/>
  <c r="D53" i="5"/>
  <c r="D45" i="5"/>
  <c r="D37" i="5"/>
  <c r="D29" i="5"/>
  <c r="D13" i="5"/>
  <c r="D99" i="5"/>
  <c r="D91" i="5"/>
  <c r="D83" i="5"/>
  <c r="D75" i="5"/>
  <c r="D67" i="5"/>
  <c r="D59" i="5"/>
  <c r="D51" i="5"/>
  <c r="D43" i="5"/>
  <c r="D35" i="5"/>
  <c r="D27" i="5"/>
  <c r="D19" i="5"/>
  <c r="D11" i="5"/>
  <c r="D31" i="5"/>
  <c r="D38" i="5"/>
  <c r="D10" i="5"/>
  <c r="D97" i="5"/>
  <c r="D89" i="5"/>
  <c r="D81" i="5"/>
  <c r="D73" i="5"/>
  <c r="D65" i="5"/>
  <c r="D57" i="5"/>
  <c r="D49" i="5"/>
  <c r="D41" i="5"/>
  <c r="D33" i="5"/>
  <c r="D25" i="5"/>
  <c r="D17" i="5"/>
  <c r="D9" i="5"/>
  <c r="D103" i="5"/>
  <c r="D87" i="5"/>
  <c r="D71" i="5"/>
  <c r="D47" i="5"/>
  <c r="D7" i="5"/>
  <c r="D94" i="5"/>
  <c r="D78" i="5"/>
  <c r="D62" i="5"/>
  <c r="D46" i="5"/>
  <c r="D22" i="5"/>
  <c r="D98" i="5"/>
  <c r="D90" i="5"/>
  <c r="D82" i="5"/>
  <c r="D74" i="5"/>
  <c r="D66" i="5"/>
  <c r="D58" i="5"/>
  <c r="D50" i="5"/>
  <c r="D42" i="5"/>
  <c r="D34" i="5"/>
  <c r="D26" i="5"/>
  <c r="D18" i="5"/>
  <c r="D96" i="5"/>
  <c r="D88" i="5"/>
  <c r="D80" i="5"/>
  <c r="D72" i="5"/>
  <c r="D64" i="5"/>
  <c r="D56" i="5"/>
  <c r="D48" i="5"/>
  <c r="D40" i="5"/>
  <c r="D32" i="5"/>
  <c r="D24" i="5"/>
  <c r="D16" i="5"/>
  <c r="D8" i="5"/>
  <c r="M16" i="2" l="1"/>
  <c r="L7" i="2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F8" i="5"/>
  <c r="F9" i="5" s="1"/>
  <c r="F10" i="5" s="1"/>
  <c r="F11" i="5" s="1"/>
  <c r="F12" i="5" s="1"/>
  <c r="D3" i="5"/>
  <c r="D2" i="5"/>
  <c r="F13" i="5" l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F50" i="5" s="1"/>
  <c r="F51" i="5" s="1"/>
  <c r="F52" i="5" s="1"/>
  <c r="F53" i="5" s="1"/>
  <c r="F54" i="5" s="1"/>
  <c r="F55" i="5" s="1"/>
  <c r="F56" i="5" s="1"/>
  <c r="F57" i="5" s="1"/>
  <c r="F58" i="5" s="1"/>
  <c r="F59" i="5" s="1"/>
  <c r="F60" i="5" s="1"/>
  <c r="F61" i="5" s="1"/>
  <c r="F62" i="5" s="1"/>
  <c r="F63" i="5" s="1"/>
  <c r="F64" i="5" s="1"/>
  <c r="F65" i="5" s="1"/>
  <c r="F66" i="5" s="1"/>
  <c r="F67" i="5" s="1"/>
  <c r="F68" i="5" s="1"/>
  <c r="F69" i="5" s="1"/>
  <c r="F70" i="5" s="1"/>
  <c r="F71" i="5" s="1"/>
  <c r="F72" i="5" s="1"/>
  <c r="F73" i="5" s="1"/>
  <c r="F74" i="5" s="1"/>
  <c r="F75" i="5" s="1"/>
  <c r="F76" i="5" s="1"/>
  <c r="F77" i="5" s="1"/>
  <c r="F78" i="5" s="1"/>
  <c r="F79" i="5" s="1"/>
  <c r="F80" i="5" s="1"/>
  <c r="F81" i="5" s="1"/>
  <c r="F82" i="5" s="1"/>
  <c r="F83" i="5" s="1"/>
  <c r="F84" i="5" s="1"/>
  <c r="F85" i="5" s="1"/>
  <c r="F86" i="5" s="1"/>
  <c r="F87" i="5" s="1"/>
  <c r="F88" i="5" s="1"/>
  <c r="F89" i="5" s="1"/>
  <c r="F90" i="5" s="1"/>
  <c r="F91" i="5" s="1"/>
  <c r="F92" i="5" s="1"/>
  <c r="F93" i="5" s="1"/>
  <c r="F94" i="5" s="1"/>
  <c r="F95" i="5" s="1"/>
  <c r="F96" i="5" s="1"/>
  <c r="F97" i="5" s="1"/>
  <c r="F98" i="5" s="1"/>
  <c r="F99" i="5" s="1"/>
  <c r="F100" i="5" s="1"/>
  <c r="F101" i="5" s="1"/>
  <c r="F102" i="5" s="1"/>
  <c r="F103" i="5" s="1"/>
  <c r="D13" i="2"/>
</calcChain>
</file>

<file path=xl/sharedStrings.xml><?xml version="1.0" encoding="utf-8"?>
<sst xmlns="http://schemas.openxmlformats.org/spreadsheetml/2006/main" count="38" uniqueCount="29">
  <si>
    <t>Préstamo</t>
  </si>
  <si>
    <t>Saldo Insoluto</t>
  </si>
  <si>
    <t>Probabilidad de Impago</t>
  </si>
  <si>
    <t>Severidad de Pérdida en Caso de Impago</t>
  </si>
  <si>
    <t>1) Calcular la pérdida esperada de crédito, el VaR de Crédito y el CVaR o Expected Shortfall para la cartera de préstamos (nivel de confianza 99%)</t>
  </si>
  <si>
    <t>ECL =</t>
  </si>
  <si>
    <t>VaR =</t>
  </si>
  <si>
    <t>CVaR =</t>
  </si>
  <si>
    <t>2) ¿De cuánto son las UCL de la cartera de préstamos y de cuánto debe ser el capital mínimo del banco para soportar ese nivel de riesgo?</t>
  </si>
  <si>
    <t>3) Si sacas de tu balance todos aquellos créditos con una probabilidad de default mayor o igual a 3% ¿a cuánto se reducen tus UCL y por ende tu requerimiento de capital?</t>
  </si>
  <si>
    <t>4) Si creas un CLO con los préstamos que sacas de tu balance en la pregunta anterior, ¿cuánto dinero necesitas levantar (conseguir) entre inversionistas para lograrlo?</t>
  </si>
  <si>
    <t>Si de ese dinero, 25 millones lo pondrán quienes estén dispuestos a participar en el tranche de equity, 50 millones los del tramo mezanine, 75 millones los del tramo junio y el resto senior</t>
  </si>
  <si>
    <t>¿qué probabilidad tienen los equity de perder toda su inversión (aportación)?</t>
  </si>
  <si>
    <t>¿cuál es la probabilidad que los mezanine empiecen a asumir pérdidas?</t>
  </si>
  <si>
    <t>Otra forma de preguntar es "si el banco tiene un capital de 128 millones, ¿es suficiente para absorber las UCL?</t>
  </si>
  <si>
    <t>b1</t>
  </si>
  <si>
    <t>b2</t>
  </si>
  <si>
    <t>b3</t>
  </si>
  <si>
    <t>Si es capaz de absorber el golpe</t>
  </si>
  <si>
    <t>Max</t>
  </si>
  <si>
    <t>Min</t>
  </si>
  <si>
    <t>Rango</t>
  </si>
  <si>
    <t xml:space="preserve">EL = </t>
  </si>
  <si>
    <t xml:space="preserve">UCL = </t>
  </si>
  <si>
    <t>SPREAD =</t>
  </si>
  <si>
    <t>Sobre Rf</t>
  </si>
  <si>
    <t>Teóricamente correcto</t>
  </si>
  <si>
    <t>En la práctica los equity solo reciben lo que queda al final de</t>
  </si>
  <si>
    <t>cumplirle a los de arriba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</si>
</sst>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_-&quot;$&quot;* #,##0_-;\-&quot;$&quot;* #,##0_-;_-&quot;$&quot;* &quot;-&quot;??_-;_-@_-"/>
    <numFmt numFmtId="165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/>
    <xf numFmtId="10" fontId="0" fillId="0" borderId="0" xfId="2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/>
    <xf numFmtId="44" fontId="3" fillId="0" borderId="0" xfId="1" applyFont="1" applyAlignment="1">
      <alignment horizontal="left" vertical="center"/>
    </xf>
    <xf numFmtId="44" fontId="0" fillId="0" borderId="0" xfId="0" applyNumberFormat="1"/>
    <xf numFmtId="0" fontId="0" fillId="2" borderId="0" xfId="0" applyFill="1" applyAlignment="1">
      <alignment horizontal="center"/>
    </xf>
    <xf numFmtId="11" fontId="0" fillId="0" borderId="0" xfId="0" applyNumberFormat="1"/>
    <xf numFmtId="165" fontId="0" fillId="0" borderId="0" xfId="0" applyNumberFormat="1"/>
    <xf numFmtId="44" fontId="0" fillId="0" borderId="0" xfId="1" applyFont="1"/>
    <xf numFmtId="10" fontId="0" fillId="0" borderId="0" xfId="2" applyNumberFormat="1" applyFont="1"/>
    <xf numFmtId="0" fontId="0" fillId="3" borderId="0" xfId="0" applyFill="1"/>
    <xf numFmtId="10" fontId="0" fillId="3" borderId="0" xfId="2" applyNumberFormat="1" applyFont="1" applyFill="1"/>
    <xf numFmtId="10" fontId="0" fillId="0" borderId="0" xfId="0" applyNumberFormat="1"/>
    <xf numFmtId="44" fontId="0" fillId="3" borderId="0" xfId="1" applyFont="1" applyFill="1"/>
    <xf numFmtId="44" fontId="0" fillId="4" borderId="0" xfId="1" applyFont="1" applyFill="1"/>
    <xf numFmtId="0" fontId="0" fillId="4" borderId="0" xfId="0" applyFill="1"/>
    <xf numFmtId="10" fontId="0" fillId="4" borderId="0" xfId="2" applyNumberFormat="1" applyFont="1" applyFill="1"/>
    <xf numFmtId="44" fontId="0" fillId="5" borderId="0" xfId="1" applyFont="1" applyFill="1"/>
    <xf numFmtId="0" fontId="0" fillId="5" borderId="0" xfId="0" applyFill="1"/>
    <xf numFmtId="10" fontId="0" fillId="5" borderId="0" xfId="2" applyNumberFormat="1" applyFont="1" applyFill="1"/>
    <xf numFmtId="44" fontId="0" fillId="6" borderId="0" xfId="0" applyNumberFormat="1" applyFill="1"/>
    <xf numFmtId="10" fontId="0" fillId="6" borderId="0" xfId="0" applyNumberFormat="1" applyFill="1"/>
  </cellXfs>
  <cellStyles count="3">
    <cellStyle name="Moneda" xfId="1" builtinId="4"/>
    <cellStyle name="Normal" xfId="0" builtinId="0"/>
    <cellStyle name="Porcentaje" xfId="2" builtinId="5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_-;\-&quot;$&quot;* #,##0_-;_-&quot;$&quot;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'analisis clo'!$C$6:$C$103</c:f>
              <c:numCache>
                <c:formatCode>_("$"* #,##0.00_);_("$"* \(#,##0.00\);_("$"* "-"??_);_(@_)</c:formatCode>
                <c:ptCount val="98"/>
                <c:pt idx="0">
                  <c:v>0</c:v>
                </c:pt>
                <c:pt idx="1">
                  <c:v>1000000</c:v>
                </c:pt>
                <c:pt idx="2">
                  <c:v>2000000</c:v>
                </c:pt>
                <c:pt idx="3">
                  <c:v>3000000</c:v>
                </c:pt>
                <c:pt idx="4">
                  <c:v>4000000</c:v>
                </c:pt>
                <c:pt idx="5">
                  <c:v>5000000</c:v>
                </c:pt>
                <c:pt idx="6">
                  <c:v>6000000</c:v>
                </c:pt>
                <c:pt idx="7">
                  <c:v>7000000</c:v>
                </c:pt>
                <c:pt idx="8">
                  <c:v>8000000</c:v>
                </c:pt>
                <c:pt idx="9">
                  <c:v>9000000</c:v>
                </c:pt>
                <c:pt idx="10">
                  <c:v>10000000</c:v>
                </c:pt>
                <c:pt idx="11">
                  <c:v>11000000</c:v>
                </c:pt>
                <c:pt idx="12">
                  <c:v>12000000</c:v>
                </c:pt>
                <c:pt idx="13">
                  <c:v>13000000</c:v>
                </c:pt>
                <c:pt idx="14">
                  <c:v>14000000</c:v>
                </c:pt>
                <c:pt idx="15">
                  <c:v>15000000</c:v>
                </c:pt>
                <c:pt idx="16">
                  <c:v>16000000</c:v>
                </c:pt>
                <c:pt idx="17">
                  <c:v>17000000</c:v>
                </c:pt>
                <c:pt idx="18">
                  <c:v>18000000</c:v>
                </c:pt>
                <c:pt idx="19">
                  <c:v>19000000</c:v>
                </c:pt>
                <c:pt idx="20">
                  <c:v>20000000</c:v>
                </c:pt>
                <c:pt idx="21">
                  <c:v>21000000</c:v>
                </c:pt>
                <c:pt idx="22">
                  <c:v>22000000</c:v>
                </c:pt>
                <c:pt idx="23">
                  <c:v>23000000</c:v>
                </c:pt>
                <c:pt idx="24">
                  <c:v>24000000</c:v>
                </c:pt>
                <c:pt idx="25">
                  <c:v>25000000</c:v>
                </c:pt>
                <c:pt idx="26">
                  <c:v>26000000</c:v>
                </c:pt>
                <c:pt idx="27">
                  <c:v>27000000</c:v>
                </c:pt>
                <c:pt idx="28">
                  <c:v>28000000</c:v>
                </c:pt>
                <c:pt idx="29">
                  <c:v>29000000</c:v>
                </c:pt>
                <c:pt idx="30">
                  <c:v>30000000</c:v>
                </c:pt>
                <c:pt idx="31">
                  <c:v>31000000</c:v>
                </c:pt>
                <c:pt idx="32">
                  <c:v>32000000</c:v>
                </c:pt>
                <c:pt idx="33">
                  <c:v>33000000</c:v>
                </c:pt>
                <c:pt idx="34">
                  <c:v>34000000</c:v>
                </c:pt>
                <c:pt idx="35">
                  <c:v>35000000</c:v>
                </c:pt>
                <c:pt idx="36">
                  <c:v>36000000</c:v>
                </c:pt>
                <c:pt idx="37">
                  <c:v>37000000</c:v>
                </c:pt>
                <c:pt idx="38">
                  <c:v>38000000</c:v>
                </c:pt>
                <c:pt idx="39">
                  <c:v>39000000</c:v>
                </c:pt>
                <c:pt idx="40">
                  <c:v>40000000</c:v>
                </c:pt>
                <c:pt idx="41">
                  <c:v>41000000</c:v>
                </c:pt>
                <c:pt idx="42">
                  <c:v>42000000</c:v>
                </c:pt>
                <c:pt idx="43">
                  <c:v>43000000</c:v>
                </c:pt>
                <c:pt idx="44">
                  <c:v>44000000</c:v>
                </c:pt>
                <c:pt idx="45">
                  <c:v>45000000</c:v>
                </c:pt>
                <c:pt idx="46">
                  <c:v>46000000</c:v>
                </c:pt>
                <c:pt idx="47">
                  <c:v>47000000</c:v>
                </c:pt>
                <c:pt idx="48">
                  <c:v>48000000</c:v>
                </c:pt>
                <c:pt idx="49">
                  <c:v>49000000</c:v>
                </c:pt>
                <c:pt idx="50">
                  <c:v>50000000</c:v>
                </c:pt>
                <c:pt idx="51">
                  <c:v>51000000</c:v>
                </c:pt>
                <c:pt idx="52">
                  <c:v>52000000</c:v>
                </c:pt>
                <c:pt idx="53">
                  <c:v>53000000</c:v>
                </c:pt>
                <c:pt idx="54">
                  <c:v>54000000</c:v>
                </c:pt>
                <c:pt idx="55">
                  <c:v>55000000</c:v>
                </c:pt>
                <c:pt idx="56">
                  <c:v>56000000</c:v>
                </c:pt>
                <c:pt idx="57">
                  <c:v>57000000</c:v>
                </c:pt>
                <c:pt idx="58">
                  <c:v>58000000</c:v>
                </c:pt>
                <c:pt idx="59">
                  <c:v>59000000</c:v>
                </c:pt>
                <c:pt idx="60">
                  <c:v>60000000</c:v>
                </c:pt>
                <c:pt idx="61">
                  <c:v>61000000</c:v>
                </c:pt>
                <c:pt idx="62">
                  <c:v>62000000</c:v>
                </c:pt>
                <c:pt idx="63">
                  <c:v>63000000</c:v>
                </c:pt>
                <c:pt idx="64">
                  <c:v>64000000</c:v>
                </c:pt>
                <c:pt idx="65">
                  <c:v>65000000</c:v>
                </c:pt>
                <c:pt idx="66">
                  <c:v>66000000</c:v>
                </c:pt>
                <c:pt idx="67">
                  <c:v>67000000</c:v>
                </c:pt>
                <c:pt idx="68">
                  <c:v>68000000</c:v>
                </c:pt>
                <c:pt idx="69">
                  <c:v>69000000</c:v>
                </c:pt>
                <c:pt idx="70">
                  <c:v>70000000</c:v>
                </c:pt>
                <c:pt idx="71">
                  <c:v>71000000</c:v>
                </c:pt>
                <c:pt idx="72">
                  <c:v>72000000</c:v>
                </c:pt>
                <c:pt idx="73">
                  <c:v>73000000</c:v>
                </c:pt>
                <c:pt idx="74">
                  <c:v>74000000</c:v>
                </c:pt>
                <c:pt idx="75">
                  <c:v>75000000</c:v>
                </c:pt>
                <c:pt idx="76">
                  <c:v>76000000</c:v>
                </c:pt>
                <c:pt idx="77">
                  <c:v>77000000</c:v>
                </c:pt>
                <c:pt idx="78">
                  <c:v>78000000</c:v>
                </c:pt>
                <c:pt idx="79">
                  <c:v>79000000</c:v>
                </c:pt>
                <c:pt idx="80">
                  <c:v>80000000</c:v>
                </c:pt>
                <c:pt idx="81">
                  <c:v>81000000</c:v>
                </c:pt>
                <c:pt idx="82">
                  <c:v>82000000</c:v>
                </c:pt>
                <c:pt idx="83">
                  <c:v>83000000</c:v>
                </c:pt>
                <c:pt idx="84">
                  <c:v>84000000</c:v>
                </c:pt>
                <c:pt idx="85">
                  <c:v>85000000</c:v>
                </c:pt>
                <c:pt idx="86">
                  <c:v>86000000</c:v>
                </c:pt>
                <c:pt idx="87">
                  <c:v>87000000</c:v>
                </c:pt>
                <c:pt idx="88">
                  <c:v>88000000</c:v>
                </c:pt>
                <c:pt idx="89">
                  <c:v>89000000</c:v>
                </c:pt>
                <c:pt idx="90">
                  <c:v>90000000</c:v>
                </c:pt>
                <c:pt idx="91">
                  <c:v>91000000</c:v>
                </c:pt>
                <c:pt idx="92">
                  <c:v>92000000</c:v>
                </c:pt>
                <c:pt idx="93">
                  <c:v>93000000</c:v>
                </c:pt>
                <c:pt idx="94">
                  <c:v>94000000</c:v>
                </c:pt>
                <c:pt idx="95">
                  <c:v>95000000</c:v>
                </c:pt>
                <c:pt idx="96">
                  <c:v>96000000</c:v>
                </c:pt>
                <c:pt idx="97">
                  <c:v>97000000</c:v>
                </c:pt>
              </c:numCache>
            </c:numRef>
          </c:cat>
          <c:val>
            <c:numRef>
              <c:f>'analisis clo'!$D$6:$D$103</c:f>
              <c:numCache>
                <c:formatCode>General</c:formatCode>
                <c:ptCount val="98"/>
                <c:pt idx="0">
                  <c:v>1827</c:v>
                </c:pt>
                <c:pt idx="1">
                  <c:v>2326</c:v>
                </c:pt>
                <c:pt idx="2">
                  <c:v>704</c:v>
                </c:pt>
                <c:pt idx="3">
                  <c:v>815</c:v>
                </c:pt>
                <c:pt idx="4">
                  <c:v>732</c:v>
                </c:pt>
                <c:pt idx="5">
                  <c:v>476</c:v>
                </c:pt>
                <c:pt idx="6">
                  <c:v>381</c:v>
                </c:pt>
                <c:pt idx="7">
                  <c:v>350</c:v>
                </c:pt>
                <c:pt idx="8">
                  <c:v>267</c:v>
                </c:pt>
                <c:pt idx="9">
                  <c:v>232</c:v>
                </c:pt>
                <c:pt idx="10">
                  <c:v>207</c:v>
                </c:pt>
                <c:pt idx="11">
                  <c:v>177</c:v>
                </c:pt>
                <c:pt idx="12">
                  <c:v>131</c:v>
                </c:pt>
                <c:pt idx="13">
                  <c:v>118</c:v>
                </c:pt>
                <c:pt idx="14">
                  <c:v>99</c:v>
                </c:pt>
                <c:pt idx="15">
                  <c:v>91</c:v>
                </c:pt>
                <c:pt idx="16">
                  <c:v>77</c:v>
                </c:pt>
                <c:pt idx="17">
                  <c:v>91</c:v>
                </c:pt>
                <c:pt idx="18">
                  <c:v>60</c:v>
                </c:pt>
                <c:pt idx="19">
                  <c:v>66</c:v>
                </c:pt>
                <c:pt idx="20">
                  <c:v>52</c:v>
                </c:pt>
                <c:pt idx="21">
                  <c:v>66</c:v>
                </c:pt>
                <c:pt idx="22">
                  <c:v>56</c:v>
                </c:pt>
                <c:pt idx="23">
                  <c:v>38</c:v>
                </c:pt>
                <c:pt idx="24">
                  <c:v>38</c:v>
                </c:pt>
                <c:pt idx="25">
                  <c:v>44</c:v>
                </c:pt>
                <c:pt idx="26">
                  <c:v>28</c:v>
                </c:pt>
                <c:pt idx="27">
                  <c:v>35</c:v>
                </c:pt>
                <c:pt idx="28">
                  <c:v>32</c:v>
                </c:pt>
                <c:pt idx="29">
                  <c:v>28</c:v>
                </c:pt>
                <c:pt idx="30">
                  <c:v>18</c:v>
                </c:pt>
                <c:pt idx="31">
                  <c:v>32</c:v>
                </c:pt>
                <c:pt idx="32">
                  <c:v>19</c:v>
                </c:pt>
                <c:pt idx="33">
                  <c:v>18</c:v>
                </c:pt>
                <c:pt idx="34">
                  <c:v>20</c:v>
                </c:pt>
                <c:pt idx="35">
                  <c:v>11</c:v>
                </c:pt>
                <c:pt idx="36">
                  <c:v>13</c:v>
                </c:pt>
                <c:pt idx="37">
                  <c:v>13</c:v>
                </c:pt>
                <c:pt idx="38">
                  <c:v>19</c:v>
                </c:pt>
                <c:pt idx="39">
                  <c:v>13</c:v>
                </c:pt>
                <c:pt idx="40">
                  <c:v>18</c:v>
                </c:pt>
                <c:pt idx="41">
                  <c:v>7</c:v>
                </c:pt>
                <c:pt idx="42">
                  <c:v>5</c:v>
                </c:pt>
                <c:pt idx="43">
                  <c:v>5</c:v>
                </c:pt>
                <c:pt idx="44">
                  <c:v>7</c:v>
                </c:pt>
                <c:pt idx="45">
                  <c:v>8</c:v>
                </c:pt>
                <c:pt idx="46">
                  <c:v>7</c:v>
                </c:pt>
                <c:pt idx="47">
                  <c:v>7</c:v>
                </c:pt>
                <c:pt idx="48">
                  <c:v>8</c:v>
                </c:pt>
                <c:pt idx="49">
                  <c:v>6</c:v>
                </c:pt>
                <c:pt idx="50">
                  <c:v>5</c:v>
                </c:pt>
                <c:pt idx="51">
                  <c:v>9</c:v>
                </c:pt>
                <c:pt idx="52">
                  <c:v>3</c:v>
                </c:pt>
                <c:pt idx="53">
                  <c:v>2</c:v>
                </c:pt>
                <c:pt idx="54">
                  <c:v>11</c:v>
                </c:pt>
                <c:pt idx="55">
                  <c:v>5</c:v>
                </c:pt>
                <c:pt idx="56">
                  <c:v>4</c:v>
                </c:pt>
                <c:pt idx="57">
                  <c:v>4</c:v>
                </c:pt>
                <c:pt idx="58">
                  <c:v>1</c:v>
                </c:pt>
                <c:pt idx="59">
                  <c:v>3</c:v>
                </c:pt>
                <c:pt idx="60">
                  <c:v>2</c:v>
                </c:pt>
                <c:pt idx="61">
                  <c:v>1</c:v>
                </c:pt>
                <c:pt idx="62">
                  <c:v>4</c:v>
                </c:pt>
                <c:pt idx="63">
                  <c:v>5</c:v>
                </c:pt>
                <c:pt idx="64">
                  <c:v>3</c:v>
                </c:pt>
                <c:pt idx="65">
                  <c:v>0</c:v>
                </c:pt>
                <c:pt idx="66">
                  <c:v>2</c:v>
                </c:pt>
                <c:pt idx="67">
                  <c:v>3</c:v>
                </c:pt>
                <c:pt idx="68">
                  <c:v>2</c:v>
                </c:pt>
                <c:pt idx="69">
                  <c:v>1</c:v>
                </c:pt>
                <c:pt idx="70">
                  <c:v>4</c:v>
                </c:pt>
                <c:pt idx="71">
                  <c:v>3</c:v>
                </c:pt>
                <c:pt idx="72">
                  <c:v>2</c:v>
                </c:pt>
                <c:pt idx="73">
                  <c:v>2</c:v>
                </c:pt>
                <c:pt idx="74">
                  <c:v>1</c:v>
                </c:pt>
                <c:pt idx="75">
                  <c:v>2</c:v>
                </c:pt>
                <c:pt idx="76">
                  <c:v>1</c:v>
                </c:pt>
                <c:pt idx="77">
                  <c:v>1</c:v>
                </c:pt>
                <c:pt idx="78">
                  <c:v>0</c:v>
                </c:pt>
                <c:pt idx="79">
                  <c:v>7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1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1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CD-4D12-875D-3752F8CAF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5796496"/>
        <c:axId val="1725795056"/>
      </c:barChart>
      <c:catAx>
        <c:axId val="1725796496"/>
        <c:scaling>
          <c:orientation val="minMax"/>
        </c:scaling>
        <c:delete val="0"/>
        <c:axPos val="b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25795056"/>
        <c:crosses val="autoZero"/>
        <c:auto val="1"/>
        <c:lblAlgn val="ctr"/>
        <c:lblOffset val="100"/>
        <c:noMultiLvlLbl val="0"/>
      </c:catAx>
      <c:valAx>
        <c:axId val="172579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2579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403860</xdr:colOff>
      <xdr:row>4</xdr:row>
      <xdr:rowOff>57150</xdr:rowOff>
    </xdr:from>
    <xdr:to>
      <xdr:col>14</xdr:col>
      <xdr:colOff>220980</xdr:colOff>
      <xdr:row>19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CF05ED-12DE-0C7F-892B-4B0D3C92C4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DBE397-E6FC-414D-8C94-BFC0959ADF63}" name="Tabla1" displayName="Tabla1" ref="A1:G440" totalsRowShown="0" headerRowDxfId="8" dataDxfId="7">
  <autoFilter ref="A1:G440" xr:uid="{0ADBE397-E6FC-414D-8C94-BFC0959ADF63}"/>
  <sortState xmlns:xlrd2="http://schemas.microsoft.com/office/spreadsheetml/2017/richdata2" ref="A2:G440">
    <sortCondition descending="1" ref="C1:C440"/>
  </sortState>
  <tableColumns count="7">
    <tableColumn id="1" xr3:uid="{3CFF4EED-AAB4-4F78-87B5-E6D1ECCCC7B8}" name="Préstamo" dataDxfId="6"/>
    <tableColumn id="2" xr3:uid="{08DC4D37-85FA-4897-9E74-8F41B19BB3F2}" name="Saldo Insoluto" dataDxfId="5" dataCellStyle="Moneda"/>
    <tableColumn id="3" xr3:uid="{5662B2F8-9E06-4B70-80AB-39093A95C0B1}" name="Probabilidad de Impago" dataDxfId="4" dataCellStyle="Porcentaje"/>
    <tableColumn id="4" xr3:uid="{6586C6F4-EA70-418F-BBA2-6C7406B5465B}" name="Severidad de Pérdida en Caso de Impago" dataDxfId="3"/>
    <tableColumn id="5" xr3:uid="{64EACC93-07F9-4182-A395-A06CA8286EDF}" name="b1" dataDxfId="2"/>
    <tableColumn id="6" xr3:uid="{7BEB5716-4753-4A0C-9D8B-D0E18A9230E6}" name="b2" dataDxfId="1"/>
    <tableColumn id="7" xr3:uid="{675949E0-1574-418B-9009-184B935F95C3}" name="b3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62880-A8CE-4359-8AC5-048E2B40037B}">
  <dimension ref="A1:G440"/>
  <sheetViews>
    <sheetView workbookViewId="0">
      <selection activeCell="J13" sqref="J13"/>
    </sheetView>
  </sheetViews>
  <sheetFormatPr baseColWidth="10" defaultRowHeight="15" x14ac:dyDescent="0.25"/>
  <cols>
    <col min="2" max="2" width="13.7109375" bestFit="1" customWidth="1"/>
    <col min="3" max="3" width="19.7109375" bestFit="1" customWidth="1"/>
    <col min="4" max="4" width="33.5703125" bestFit="1" customWidth="1"/>
    <col min="5" max="7" width="10.85546875" style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s="1" t="s">
        <v>15</v>
      </c>
      <c r="F1" s="1" t="s">
        <v>16</v>
      </c>
      <c r="G1" s="1" t="s">
        <v>17</v>
      </c>
    </row>
    <row r="2" spans="1:7" x14ac:dyDescent="0.25">
      <c r="A2" s="1">
        <v>1</v>
      </c>
      <c r="B2" s="2">
        <v>2938491</v>
      </c>
      <c r="C2" s="3">
        <v>3.6999999999999998E-2</v>
      </c>
      <c r="D2" s="4">
        <v>0.63</v>
      </c>
      <c r="E2" s="1">
        <v>0.32</v>
      </c>
      <c r="F2" s="1">
        <v>0.49</v>
      </c>
      <c r="G2" s="1">
        <v>0.19</v>
      </c>
    </row>
    <row r="3" spans="1:7" x14ac:dyDescent="0.25">
      <c r="A3" s="1">
        <v>2</v>
      </c>
      <c r="B3" s="2">
        <v>2580452</v>
      </c>
      <c r="C3" s="3">
        <v>3.4000000000000002E-2</v>
      </c>
      <c r="D3" s="4">
        <v>0.69</v>
      </c>
      <c r="E3" s="1">
        <v>0.21</v>
      </c>
      <c r="F3" s="1">
        <v>0.48</v>
      </c>
      <c r="G3" s="1">
        <v>0.31000000000000005</v>
      </c>
    </row>
    <row r="4" spans="1:7" x14ac:dyDescent="0.25">
      <c r="A4" s="1">
        <v>3</v>
      </c>
      <c r="B4" s="2">
        <v>3021967</v>
      </c>
      <c r="C4" s="3">
        <v>2.5000000000000001E-2</v>
      </c>
      <c r="D4" s="4">
        <v>0.79</v>
      </c>
      <c r="E4" s="1">
        <v>0.22</v>
      </c>
      <c r="F4" s="1">
        <v>0.44</v>
      </c>
      <c r="G4" s="1">
        <v>0.34000000000000008</v>
      </c>
    </row>
    <row r="5" spans="1:7" x14ac:dyDescent="0.25">
      <c r="A5" s="1">
        <v>4</v>
      </c>
      <c r="B5" s="2">
        <v>4715551</v>
      </c>
      <c r="C5" s="3">
        <v>2.5000000000000001E-2</v>
      </c>
      <c r="D5" s="4">
        <v>0.75</v>
      </c>
      <c r="E5" s="1">
        <v>0.36</v>
      </c>
      <c r="F5" s="1">
        <v>0.28999999999999998</v>
      </c>
      <c r="G5" s="1">
        <v>0.35</v>
      </c>
    </row>
    <row r="6" spans="1:7" x14ac:dyDescent="0.25">
      <c r="A6" s="1">
        <v>5</v>
      </c>
      <c r="B6" s="2">
        <v>4803001</v>
      </c>
      <c r="C6" s="3">
        <v>0.03</v>
      </c>
      <c r="D6" s="4">
        <v>0.61</v>
      </c>
      <c r="E6" s="1">
        <v>0.27</v>
      </c>
      <c r="F6" s="1">
        <v>0.28000000000000003</v>
      </c>
      <c r="G6" s="1">
        <v>0.44999999999999996</v>
      </c>
    </row>
    <row r="7" spans="1:7" x14ac:dyDescent="0.25">
      <c r="A7" s="1">
        <v>6</v>
      </c>
      <c r="B7" s="2">
        <v>1621276</v>
      </c>
      <c r="C7" s="3">
        <v>3.6999999999999998E-2</v>
      </c>
      <c r="D7" s="4">
        <v>0.7</v>
      </c>
      <c r="E7" s="1">
        <v>0.26</v>
      </c>
      <c r="F7" s="1">
        <v>0.25</v>
      </c>
      <c r="G7" s="1">
        <v>0.49</v>
      </c>
    </row>
    <row r="8" spans="1:7" x14ac:dyDescent="0.25">
      <c r="A8" s="1">
        <v>7</v>
      </c>
      <c r="B8" s="2">
        <v>2078628</v>
      </c>
      <c r="C8" s="3">
        <v>2.5000000000000001E-2</v>
      </c>
      <c r="D8" s="4">
        <v>0.76</v>
      </c>
      <c r="E8" s="1">
        <v>0.22</v>
      </c>
      <c r="F8" s="1">
        <v>0.46</v>
      </c>
      <c r="G8" s="1">
        <v>0.32000000000000006</v>
      </c>
    </row>
    <row r="9" spans="1:7" x14ac:dyDescent="0.25">
      <c r="A9" s="1">
        <v>8</v>
      </c>
      <c r="B9" s="2">
        <v>1491201</v>
      </c>
      <c r="C9" s="3">
        <v>3.5999999999999997E-2</v>
      </c>
      <c r="D9" s="4">
        <v>0.64</v>
      </c>
      <c r="E9" s="1">
        <v>0.4</v>
      </c>
      <c r="F9" s="1">
        <v>0.28000000000000003</v>
      </c>
      <c r="G9" s="1">
        <v>0.31999999999999995</v>
      </c>
    </row>
    <row r="10" spans="1:7" x14ac:dyDescent="0.25">
      <c r="A10" s="1">
        <v>9</v>
      </c>
      <c r="B10" s="2">
        <v>3848506</v>
      </c>
      <c r="C10" s="3">
        <v>2.7E-2</v>
      </c>
      <c r="D10" s="4">
        <v>0.67</v>
      </c>
      <c r="E10" s="1">
        <v>0.2</v>
      </c>
      <c r="F10" s="1">
        <v>0.33</v>
      </c>
      <c r="G10" s="1">
        <v>0.46999999999999992</v>
      </c>
    </row>
    <row r="11" spans="1:7" x14ac:dyDescent="0.25">
      <c r="A11" s="1">
        <v>10</v>
      </c>
      <c r="B11" s="2">
        <v>2763920</v>
      </c>
      <c r="C11" s="3">
        <v>2.1999999999999999E-2</v>
      </c>
      <c r="D11" s="4">
        <v>0.79</v>
      </c>
      <c r="E11" s="1">
        <v>0.26</v>
      </c>
      <c r="F11" s="1">
        <v>0.28000000000000003</v>
      </c>
      <c r="G11" s="1">
        <v>0.45999999999999996</v>
      </c>
    </row>
    <row r="12" spans="1:7" x14ac:dyDescent="0.25">
      <c r="A12" s="1">
        <v>11</v>
      </c>
      <c r="B12" s="2">
        <v>2515155</v>
      </c>
      <c r="C12" s="3">
        <v>2.4E-2</v>
      </c>
      <c r="D12" s="4">
        <v>0.77</v>
      </c>
      <c r="E12" s="1">
        <v>0.39</v>
      </c>
      <c r="F12" s="1">
        <v>0.44</v>
      </c>
      <c r="G12" s="1">
        <v>0.17000000000000004</v>
      </c>
    </row>
    <row r="13" spans="1:7" x14ac:dyDescent="0.25">
      <c r="A13" s="1">
        <v>12</v>
      </c>
      <c r="B13" s="2">
        <v>1790753</v>
      </c>
      <c r="C13" s="3">
        <v>3.3000000000000002E-2</v>
      </c>
      <c r="D13" s="4">
        <v>0.77</v>
      </c>
      <c r="E13" s="1">
        <v>0.23</v>
      </c>
      <c r="F13" s="1">
        <v>0.4</v>
      </c>
      <c r="G13" s="1">
        <v>0.37</v>
      </c>
    </row>
    <row r="14" spans="1:7" x14ac:dyDescent="0.25">
      <c r="A14" s="1">
        <v>13</v>
      </c>
      <c r="B14" s="2">
        <v>1011887</v>
      </c>
      <c r="C14" s="3">
        <v>2.5000000000000001E-2</v>
      </c>
      <c r="D14" s="4">
        <v>0.76</v>
      </c>
      <c r="E14" s="1">
        <v>0.17</v>
      </c>
      <c r="F14" s="1">
        <v>0.26</v>
      </c>
      <c r="G14" s="1">
        <v>0.56999999999999995</v>
      </c>
    </row>
    <row r="15" spans="1:7" x14ac:dyDescent="0.25">
      <c r="A15" s="1">
        <v>14</v>
      </c>
      <c r="B15" s="2">
        <v>3982170</v>
      </c>
      <c r="C15" s="3">
        <v>2.3E-2</v>
      </c>
      <c r="D15" s="4">
        <v>0.78</v>
      </c>
      <c r="E15" s="1">
        <v>0.37</v>
      </c>
      <c r="F15" s="1">
        <v>0.46</v>
      </c>
      <c r="G15" s="1">
        <v>0.17000000000000004</v>
      </c>
    </row>
    <row r="16" spans="1:7" x14ac:dyDescent="0.25">
      <c r="A16" s="1">
        <v>15</v>
      </c>
      <c r="B16" s="2">
        <v>2409388</v>
      </c>
      <c r="C16" s="3">
        <v>2.4E-2</v>
      </c>
      <c r="D16" s="4">
        <v>0.67</v>
      </c>
      <c r="E16" s="1">
        <v>0.23</v>
      </c>
      <c r="F16" s="1">
        <v>0.28999999999999998</v>
      </c>
      <c r="G16" s="1">
        <v>0.48</v>
      </c>
    </row>
    <row r="17" spans="1:7" x14ac:dyDescent="0.25">
      <c r="A17" s="1">
        <v>16</v>
      </c>
      <c r="B17" s="2">
        <v>2931405</v>
      </c>
      <c r="C17" s="3">
        <v>2.9000000000000001E-2</v>
      </c>
      <c r="D17" s="4">
        <v>0.6</v>
      </c>
      <c r="E17" s="1">
        <v>0.36</v>
      </c>
      <c r="F17" s="1">
        <v>0.43</v>
      </c>
      <c r="G17" s="1">
        <v>0.21000000000000008</v>
      </c>
    </row>
    <row r="18" spans="1:7" x14ac:dyDescent="0.25">
      <c r="A18" s="1">
        <v>17</v>
      </c>
      <c r="B18" s="2">
        <v>1720249</v>
      </c>
      <c r="C18" s="3">
        <v>2.5000000000000001E-2</v>
      </c>
      <c r="D18" s="4">
        <v>0.6</v>
      </c>
      <c r="E18" s="1">
        <v>0.28000000000000003</v>
      </c>
      <c r="F18" s="1">
        <v>0.32</v>
      </c>
      <c r="G18" s="1">
        <v>0.39999999999999991</v>
      </c>
    </row>
    <row r="19" spans="1:7" x14ac:dyDescent="0.25">
      <c r="A19" s="1">
        <v>18</v>
      </c>
      <c r="B19" s="2">
        <v>1698236</v>
      </c>
      <c r="C19" s="3">
        <v>3.5000000000000003E-2</v>
      </c>
      <c r="D19" s="4">
        <v>0.64</v>
      </c>
      <c r="E19" s="1">
        <v>0.21</v>
      </c>
      <c r="F19" s="1">
        <v>0.2</v>
      </c>
      <c r="G19" s="1">
        <v>0.59000000000000008</v>
      </c>
    </row>
    <row r="20" spans="1:7" x14ac:dyDescent="0.25">
      <c r="A20" s="1">
        <v>19</v>
      </c>
      <c r="B20" s="2">
        <v>3301634</v>
      </c>
      <c r="C20" s="3">
        <v>2.5999999999999999E-2</v>
      </c>
      <c r="D20" s="4">
        <v>0.74</v>
      </c>
      <c r="E20" s="1">
        <v>0.34</v>
      </c>
      <c r="F20" s="1">
        <v>0.25</v>
      </c>
      <c r="G20" s="1">
        <v>0.41</v>
      </c>
    </row>
    <row r="21" spans="1:7" x14ac:dyDescent="0.25">
      <c r="A21" s="1">
        <v>20</v>
      </c>
      <c r="B21" s="2">
        <v>4705478</v>
      </c>
      <c r="C21" s="3">
        <v>3.4000000000000002E-2</v>
      </c>
      <c r="D21" s="4">
        <v>0.63</v>
      </c>
      <c r="E21" s="1">
        <v>0.21</v>
      </c>
      <c r="F21" s="1">
        <v>0.21</v>
      </c>
      <c r="G21" s="1">
        <v>0.58000000000000007</v>
      </c>
    </row>
    <row r="22" spans="1:7" x14ac:dyDescent="0.25">
      <c r="A22" s="1">
        <v>21</v>
      </c>
      <c r="B22" s="2">
        <v>3328609</v>
      </c>
      <c r="C22" s="3">
        <v>3.7999999999999999E-2</v>
      </c>
      <c r="D22" s="4">
        <v>0.68</v>
      </c>
      <c r="E22" s="1">
        <v>0.38</v>
      </c>
      <c r="F22" s="1">
        <v>0.33</v>
      </c>
      <c r="G22" s="1">
        <v>0.28999999999999992</v>
      </c>
    </row>
    <row r="23" spans="1:7" x14ac:dyDescent="0.25">
      <c r="A23" s="1">
        <v>22</v>
      </c>
      <c r="B23" s="2">
        <v>4946659</v>
      </c>
      <c r="C23" s="3">
        <v>3.4000000000000002E-2</v>
      </c>
      <c r="D23" s="4">
        <v>0.8</v>
      </c>
      <c r="E23" s="1">
        <v>0.15</v>
      </c>
      <c r="F23" s="1">
        <v>0.33</v>
      </c>
      <c r="G23" s="1">
        <v>0.51999999999999991</v>
      </c>
    </row>
    <row r="24" spans="1:7" x14ac:dyDescent="0.25">
      <c r="A24" s="1">
        <v>23</v>
      </c>
      <c r="B24" s="2">
        <v>2981242</v>
      </c>
      <c r="C24" s="3">
        <v>3.5000000000000003E-2</v>
      </c>
      <c r="D24" s="4">
        <v>0.62</v>
      </c>
      <c r="E24" s="1">
        <v>0.21</v>
      </c>
      <c r="F24" s="1">
        <v>0.28999999999999998</v>
      </c>
      <c r="G24" s="1">
        <v>0.5</v>
      </c>
    </row>
    <row r="25" spans="1:7" x14ac:dyDescent="0.25">
      <c r="A25" s="1">
        <v>24</v>
      </c>
      <c r="B25" s="2">
        <v>4994862</v>
      </c>
      <c r="C25" s="3">
        <v>2.4E-2</v>
      </c>
      <c r="D25" s="4">
        <v>0.65</v>
      </c>
      <c r="E25" s="1">
        <v>0.27</v>
      </c>
      <c r="F25" s="1">
        <v>0.27</v>
      </c>
      <c r="G25" s="1">
        <v>0.45999999999999996</v>
      </c>
    </row>
    <row r="26" spans="1:7" x14ac:dyDescent="0.25">
      <c r="A26" s="1">
        <v>25</v>
      </c>
      <c r="B26" s="2">
        <v>4845478</v>
      </c>
      <c r="C26" s="3">
        <v>3.3000000000000002E-2</v>
      </c>
      <c r="D26" s="4">
        <v>0.66</v>
      </c>
      <c r="E26" s="1">
        <v>0.24</v>
      </c>
      <c r="F26" s="1">
        <v>0.5</v>
      </c>
      <c r="G26" s="1">
        <v>0.26</v>
      </c>
    </row>
    <row r="27" spans="1:7" x14ac:dyDescent="0.25">
      <c r="A27" s="1">
        <v>26</v>
      </c>
      <c r="B27" s="2">
        <v>2538889</v>
      </c>
      <c r="C27" s="3">
        <v>3.1E-2</v>
      </c>
      <c r="D27" s="4">
        <v>0.74</v>
      </c>
      <c r="E27" s="1">
        <v>0.2</v>
      </c>
      <c r="F27" s="1">
        <v>0.28000000000000003</v>
      </c>
      <c r="G27" s="1">
        <v>0.52</v>
      </c>
    </row>
    <row r="28" spans="1:7" x14ac:dyDescent="0.25">
      <c r="A28" s="1">
        <v>27</v>
      </c>
      <c r="B28" s="2">
        <v>4659444</v>
      </c>
      <c r="C28" s="3">
        <v>0.03</v>
      </c>
      <c r="D28" s="4">
        <v>0.8</v>
      </c>
      <c r="E28" s="1">
        <v>0.35</v>
      </c>
      <c r="F28" s="1">
        <v>0.33</v>
      </c>
      <c r="G28" s="1">
        <v>0.31999999999999995</v>
      </c>
    </row>
    <row r="29" spans="1:7" x14ac:dyDescent="0.25">
      <c r="A29" s="1">
        <v>28</v>
      </c>
      <c r="B29" s="2">
        <v>2761734</v>
      </c>
      <c r="C29" s="3">
        <v>2.3E-2</v>
      </c>
      <c r="D29" s="4">
        <v>0.72</v>
      </c>
      <c r="E29" s="1">
        <v>0.24</v>
      </c>
      <c r="F29" s="1">
        <v>0.37</v>
      </c>
      <c r="G29" s="1">
        <v>0.39</v>
      </c>
    </row>
    <row r="30" spans="1:7" x14ac:dyDescent="0.25">
      <c r="A30" s="1">
        <v>29</v>
      </c>
      <c r="B30" s="2">
        <v>4178105</v>
      </c>
      <c r="C30" s="3">
        <v>2.8000000000000001E-2</v>
      </c>
      <c r="D30" s="4">
        <v>0.79</v>
      </c>
      <c r="E30" s="1">
        <v>0.18</v>
      </c>
      <c r="F30" s="1">
        <v>0.23</v>
      </c>
      <c r="G30" s="1">
        <v>0.59000000000000008</v>
      </c>
    </row>
    <row r="31" spans="1:7" x14ac:dyDescent="0.25">
      <c r="A31" s="1">
        <v>30</v>
      </c>
      <c r="B31" s="2">
        <v>3407826</v>
      </c>
      <c r="C31" s="3">
        <v>0.03</v>
      </c>
      <c r="D31" s="4">
        <v>0.78</v>
      </c>
      <c r="E31" s="1">
        <v>0.27</v>
      </c>
      <c r="F31" s="1">
        <v>0.47</v>
      </c>
      <c r="G31" s="1">
        <v>0.26</v>
      </c>
    </row>
    <row r="32" spans="1:7" x14ac:dyDescent="0.25">
      <c r="A32" s="1">
        <v>31</v>
      </c>
      <c r="B32" s="2">
        <v>3143668</v>
      </c>
      <c r="C32" s="3">
        <v>0.02</v>
      </c>
      <c r="D32" s="4">
        <v>0.63</v>
      </c>
      <c r="E32" s="1">
        <v>0.31</v>
      </c>
      <c r="F32" s="1">
        <v>0.36</v>
      </c>
      <c r="G32" s="1">
        <v>0.33</v>
      </c>
    </row>
    <row r="33" spans="1:7" x14ac:dyDescent="0.25">
      <c r="A33" s="1">
        <v>32</v>
      </c>
      <c r="B33" s="2">
        <v>2990246</v>
      </c>
      <c r="C33" s="3">
        <v>3.3000000000000002E-2</v>
      </c>
      <c r="D33" s="4">
        <v>0.61</v>
      </c>
      <c r="E33" s="1">
        <v>0.38</v>
      </c>
      <c r="F33" s="1">
        <v>0.26</v>
      </c>
      <c r="G33" s="1">
        <v>0.36</v>
      </c>
    </row>
    <row r="34" spans="1:7" x14ac:dyDescent="0.25">
      <c r="A34" s="1">
        <v>33</v>
      </c>
      <c r="B34" s="2">
        <v>4760924</v>
      </c>
      <c r="C34" s="3">
        <v>2.5000000000000001E-2</v>
      </c>
      <c r="D34" s="4">
        <v>0.69</v>
      </c>
      <c r="E34" s="1">
        <v>0.31</v>
      </c>
      <c r="F34" s="1">
        <v>0.28000000000000003</v>
      </c>
      <c r="G34" s="1">
        <v>0.41</v>
      </c>
    </row>
    <row r="35" spans="1:7" x14ac:dyDescent="0.25">
      <c r="A35" s="1">
        <v>34</v>
      </c>
      <c r="B35" s="2">
        <v>3085359</v>
      </c>
      <c r="C35" s="3">
        <v>2.4E-2</v>
      </c>
      <c r="D35" s="4">
        <v>0.79</v>
      </c>
      <c r="E35" s="1">
        <v>0.11</v>
      </c>
      <c r="F35" s="1">
        <v>0.23</v>
      </c>
      <c r="G35" s="1">
        <v>0.66</v>
      </c>
    </row>
    <row r="36" spans="1:7" x14ac:dyDescent="0.25">
      <c r="A36" s="1">
        <v>35</v>
      </c>
      <c r="B36" s="2">
        <v>3035512</v>
      </c>
      <c r="C36" s="3">
        <v>2.5999999999999999E-2</v>
      </c>
      <c r="D36" s="4">
        <v>0.61</v>
      </c>
      <c r="E36" s="1">
        <v>0.27</v>
      </c>
      <c r="F36" s="1">
        <v>0.25</v>
      </c>
      <c r="G36" s="1">
        <v>0.48</v>
      </c>
    </row>
    <row r="37" spans="1:7" x14ac:dyDescent="0.25">
      <c r="A37" s="1">
        <v>36</v>
      </c>
      <c r="B37" s="2">
        <v>4348198</v>
      </c>
      <c r="C37" s="3">
        <v>3.4000000000000002E-2</v>
      </c>
      <c r="D37" s="4">
        <v>0.63</v>
      </c>
      <c r="E37" s="1">
        <v>0.28000000000000003</v>
      </c>
      <c r="F37" s="1">
        <v>0.28000000000000003</v>
      </c>
      <c r="G37" s="1">
        <v>0.43999999999999995</v>
      </c>
    </row>
    <row r="38" spans="1:7" x14ac:dyDescent="0.25">
      <c r="A38" s="1">
        <v>37</v>
      </c>
      <c r="B38" s="2">
        <v>2911677</v>
      </c>
      <c r="C38" s="3">
        <v>0.03</v>
      </c>
      <c r="D38" s="4">
        <v>0.75</v>
      </c>
      <c r="E38" s="1">
        <v>0.2</v>
      </c>
      <c r="F38" s="1">
        <v>0.34</v>
      </c>
      <c r="G38" s="1">
        <v>0.45999999999999991</v>
      </c>
    </row>
    <row r="39" spans="1:7" x14ac:dyDescent="0.25">
      <c r="A39" s="1">
        <v>38</v>
      </c>
      <c r="B39" s="2">
        <v>1431738</v>
      </c>
      <c r="C39" s="3">
        <v>2.4E-2</v>
      </c>
      <c r="D39" s="4">
        <v>0.73</v>
      </c>
      <c r="E39" s="1">
        <v>0.13</v>
      </c>
      <c r="F39" s="1">
        <v>0.36</v>
      </c>
      <c r="G39" s="1">
        <v>0.51</v>
      </c>
    </row>
    <row r="40" spans="1:7" x14ac:dyDescent="0.25">
      <c r="A40" s="1">
        <v>39</v>
      </c>
      <c r="B40" s="2">
        <v>3907101</v>
      </c>
      <c r="C40" s="3">
        <v>3.3000000000000002E-2</v>
      </c>
      <c r="D40" s="4">
        <v>0.62</v>
      </c>
      <c r="E40" s="1">
        <v>0.15</v>
      </c>
      <c r="F40" s="1">
        <v>0.49</v>
      </c>
      <c r="G40" s="1">
        <v>0.36</v>
      </c>
    </row>
    <row r="41" spans="1:7" x14ac:dyDescent="0.25">
      <c r="A41" s="1">
        <v>40</v>
      </c>
      <c r="B41" s="2">
        <v>1799880</v>
      </c>
      <c r="C41" s="3">
        <v>3.5999999999999997E-2</v>
      </c>
      <c r="D41" s="4">
        <v>0.67</v>
      </c>
      <c r="E41" s="1">
        <v>0.15</v>
      </c>
      <c r="F41" s="1">
        <v>0.2</v>
      </c>
      <c r="G41" s="1">
        <v>0.65</v>
      </c>
    </row>
    <row r="42" spans="1:7" x14ac:dyDescent="0.25">
      <c r="A42" s="1">
        <v>41</v>
      </c>
      <c r="B42" s="2">
        <v>2947422</v>
      </c>
      <c r="C42" s="3">
        <v>2.1000000000000001E-2</v>
      </c>
      <c r="D42" s="4">
        <v>0.69</v>
      </c>
      <c r="E42" s="1">
        <v>0.31</v>
      </c>
      <c r="F42" s="1">
        <v>0.26</v>
      </c>
      <c r="G42" s="1">
        <v>0.43</v>
      </c>
    </row>
    <row r="43" spans="1:7" x14ac:dyDescent="0.25">
      <c r="A43" s="1">
        <v>42</v>
      </c>
      <c r="B43" s="2">
        <v>4542955</v>
      </c>
      <c r="C43" s="3">
        <v>2.1000000000000001E-2</v>
      </c>
      <c r="D43" s="4">
        <v>0.61</v>
      </c>
      <c r="E43" s="1">
        <v>0.16</v>
      </c>
      <c r="F43" s="1">
        <v>0.33</v>
      </c>
      <c r="G43" s="1">
        <v>0.5099999999999999</v>
      </c>
    </row>
    <row r="44" spans="1:7" x14ac:dyDescent="0.25">
      <c r="A44" s="1">
        <v>43</v>
      </c>
      <c r="B44" s="2">
        <v>1261379</v>
      </c>
      <c r="C44" s="3">
        <v>2.1999999999999999E-2</v>
      </c>
      <c r="D44" s="4">
        <v>0.75</v>
      </c>
      <c r="E44" s="1">
        <v>0.4</v>
      </c>
      <c r="F44" s="1">
        <v>0.46</v>
      </c>
      <c r="G44" s="1">
        <v>0.14000000000000001</v>
      </c>
    </row>
    <row r="45" spans="1:7" x14ac:dyDescent="0.25">
      <c r="A45" s="1">
        <v>44</v>
      </c>
      <c r="B45" s="2">
        <v>3437571</v>
      </c>
      <c r="C45" s="3">
        <v>3.3000000000000002E-2</v>
      </c>
      <c r="D45" s="4">
        <v>0.62</v>
      </c>
      <c r="E45" s="1">
        <v>0.28000000000000003</v>
      </c>
      <c r="F45" s="1">
        <v>0.38</v>
      </c>
      <c r="G45" s="1">
        <v>0.33999999999999997</v>
      </c>
    </row>
    <row r="46" spans="1:7" x14ac:dyDescent="0.25">
      <c r="A46" s="1">
        <v>45</v>
      </c>
      <c r="B46" s="2">
        <v>2260054</v>
      </c>
      <c r="C46" s="3">
        <v>3.1E-2</v>
      </c>
      <c r="D46" s="4">
        <v>0.63</v>
      </c>
      <c r="E46" s="1">
        <v>0.28000000000000003</v>
      </c>
      <c r="F46" s="1">
        <v>0.43</v>
      </c>
      <c r="G46" s="1">
        <v>0.29000000000000004</v>
      </c>
    </row>
    <row r="47" spans="1:7" x14ac:dyDescent="0.25">
      <c r="A47" s="1">
        <v>46</v>
      </c>
      <c r="B47" s="2">
        <v>3396613</v>
      </c>
      <c r="C47" s="3">
        <v>2.1999999999999999E-2</v>
      </c>
      <c r="D47" s="4">
        <v>0.63</v>
      </c>
      <c r="E47" s="1">
        <v>0.22</v>
      </c>
      <c r="F47" s="1">
        <v>0.28000000000000003</v>
      </c>
      <c r="G47" s="1">
        <v>0.5</v>
      </c>
    </row>
    <row r="48" spans="1:7" x14ac:dyDescent="0.25">
      <c r="A48" s="1">
        <v>47</v>
      </c>
      <c r="B48" s="2">
        <v>3241105</v>
      </c>
      <c r="C48" s="3">
        <v>3.6999999999999998E-2</v>
      </c>
      <c r="D48" s="4">
        <v>0.6</v>
      </c>
      <c r="E48" s="1">
        <v>0.11</v>
      </c>
      <c r="F48" s="1">
        <v>0.21</v>
      </c>
      <c r="G48" s="1">
        <v>0.68</v>
      </c>
    </row>
    <row r="49" spans="1:7" x14ac:dyDescent="0.25">
      <c r="A49" s="1">
        <v>48</v>
      </c>
      <c r="B49" s="2">
        <v>4334844</v>
      </c>
      <c r="C49" s="3">
        <v>3.9E-2</v>
      </c>
      <c r="D49" s="4">
        <v>0.72</v>
      </c>
      <c r="E49" s="1">
        <v>0.11</v>
      </c>
      <c r="F49" s="1">
        <v>0.21</v>
      </c>
      <c r="G49" s="1">
        <v>0.68</v>
      </c>
    </row>
    <row r="50" spans="1:7" x14ac:dyDescent="0.25">
      <c r="A50" s="1">
        <v>49</v>
      </c>
      <c r="B50" s="2">
        <v>3615766</v>
      </c>
      <c r="C50" s="3">
        <v>2.5999999999999999E-2</v>
      </c>
      <c r="D50" s="4">
        <v>0.75</v>
      </c>
      <c r="E50" s="1">
        <v>0.35</v>
      </c>
      <c r="F50" s="1">
        <v>0.5</v>
      </c>
      <c r="G50" s="1">
        <v>0.15000000000000002</v>
      </c>
    </row>
    <row r="51" spans="1:7" x14ac:dyDescent="0.25">
      <c r="A51" s="1">
        <v>50</v>
      </c>
      <c r="B51" s="2">
        <v>4710833</v>
      </c>
      <c r="C51" s="3">
        <v>2.9000000000000001E-2</v>
      </c>
      <c r="D51" s="4">
        <v>0.68</v>
      </c>
      <c r="E51" s="1">
        <v>0.18</v>
      </c>
      <c r="F51" s="1">
        <v>0.2</v>
      </c>
      <c r="G51" s="1">
        <v>0.62000000000000011</v>
      </c>
    </row>
    <row r="52" spans="1:7" x14ac:dyDescent="0.25">
      <c r="A52" s="1">
        <v>51</v>
      </c>
      <c r="B52" s="2">
        <v>2594622</v>
      </c>
      <c r="C52" s="3">
        <v>2.5000000000000001E-2</v>
      </c>
      <c r="D52" s="4">
        <v>0.69</v>
      </c>
      <c r="E52" s="1">
        <v>0.16</v>
      </c>
      <c r="F52" s="1">
        <v>0.31</v>
      </c>
      <c r="G52" s="1">
        <v>0.52999999999999992</v>
      </c>
    </row>
    <row r="53" spans="1:7" x14ac:dyDescent="0.25">
      <c r="A53" s="1">
        <v>52</v>
      </c>
      <c r="B53" s="2">
        <v>3538764</v>
      </c>
      <c r="C53" s="3">
        <v>3.3000000000000002E-2</v>
      </c>
      <c r="D53" s="4">
        <v>0.69</v>
      </c>
      <c r="E53" s="1">
        <v>0.11</v>
      </c>
      <c r="F53" s="1">
        <v>0.21</v>
      </c>
      <c r="G53" s="1">
        <v>0.68</v>
      </c>
    </row>
    <row r="54" spans="1:7" x14ac:dyDescent="0.25">
      <c r="A54" s="1">
        <v>53</v>
      </c>
      <c r="B54" s="2">
        <v>1035357</v>
      </c>
      <c r="C54" s="3">
        <v>3.1E-2</v>
      </c>
      <c r="D54" s="4">
        <v>0.77</v>
      </c>
      <c r="E54" s="1">
        <v>0.21</v>
      </c>
      <c r="F54" s="1">
        <v>0.37</v>
      </c>
      <c r="G54" s="1">
        <v>0.42000000000000004</v>
      </c>
    </row>
    <row r="55" spans="1:7" x14ac:dyDescent="0.25">
      <c r="A55" s="1">
        <v>54</v>
      </c>
      <c r="B55" s="2">
        <v>4393020</v>
      </c>
      <c r="C55" s="3">
        <v>2.1000000000000001E-2</v>
      </c>
      <c r="D55" s="4">
        <v>0.75</v>
      </c>
      <c r="E55" s="1">
        <v>0.21</v>
      </c>
      <c r="F55" s="1">
        <v>0.43</v>
      </c>
      <c r="G55" s="1">
        <v>0.3600000000000001</v>
      </c>
    </row>
    <row r="56" spans="1:7" x14ac:dyDescent="0.25">
      <c r="A56" s="1">
        <v>55</v>
      </c>
      <c r="B56" s="2">
        <v>2175808</v>
      </c>
      <c r="C56" s="3">
        <v>3.3000000000000002E-2</v>
      </c>
      <c r="D56" s="4">
        <v>0.65</v>
      </c>
      <c r="E56" s="1">
        <v>0.23</v>
      </c>
      <c r="F56" s="1">
        <v>0.26</v>
      </c>
      <c r="G56" s="1">
        <v>0.51</v>
      </c>
    </row>
    <row r="57" spans="1:7" x14ac:dyDescent="0.25">
      <c r="A57" s="1">
        <v>56</v>
      </c>
      <c r="B57" s="2">
        <v>3984927</v>
      </c>
      <c r="C57" s="3">
        <v>2.4E-2</v>
      </c>
      <c r="D57" s="4">
        <v>0.7</v>
      </c>
      <c r="E57" s="1">
        <v>0.34</v>
      </c>
      <c r="F57" s="1">
        <v>0.2</v>
      </c>
      <c r="G57" s="1">
        <v>0.46</v>
      </c>
    </row>
    <row r="58" spans="1:7" x14ac:dyDescent="0.25">
      <c r="A58" s="1">
        <v>57</v>
      </c>
      <c r="B58" s="2">
        <v>3248445</v>
      </c>
      <c r="C58" s="3">
        <v>2.1999999999999999E-2</v>
      </c>
      <c r="D58" s="4">
        <v>0.72</v>
      </c>
      <c r="E58" s="1">
        <v>0.14000000000000001</v>
      </c>
      <c r="F58" s="1">
        <v>0.46</v>
      </c>
      <c r="G58" s="1">
        <v>0.4</v>
      </c>
    </row>
    <row r="59" spans="1:7" x14ac:dyDescent="0.25">
      <c r="A59" s="1">
        <v>58</v>
      </c>
      <c r="B59" s="2">
        <v>3144697</v>
      </c>
      <c r="C59" s="3">
        <v>0.04</v>
      </c>
      <c r="D59" s="4">
        <v>0.73</v>
      </c>
      <c r="E59" s="1">
        <v>0.23</v>
      </c>
      <c r="F59" s="1">
        <v>0.43</v>
      </c>
      <c r="G59" s="1">
        <v>0.34000000000000008</v>
      </c>
    </row>
    <row r="60" spans="1:7" x14ac:dyDescent="0.25">
      <c r="A60" s="1">
        <v>59</v>
      </c>
      <c r="B60" s="2">
        <v>4279579</v>
      </c>
      <c r="C60" s="3">
        <v>3.3000000000000002E-2</v>
      </c>
      <c r="D60" s="4">
        <v>0.72</v>
      </c>
      <c r="E60" s="1">
        <v>0.37</v>
      </c>
      <c r="F60" s="1">
        <v>0.23</v>
      </c>
      <c r="G60" s="1">
        <v>0.4</v>
      </c>
    </row>
    <row r="61" spans="1:7" x14ac:dyDescent="0.25">
      <c r="A61" s="1">
        <v>60</v>
      </c>
      <c r="B61" s="2">
        <v>2353897</v>
      </c>
      <c r="C61" s="3">
        <v>3.5000000000000003E-2</v>
      </c>
      <c r="D61" s="4">
        <v>0.79</v>
      </c>
      <c r="E61" s="1">
        <v>0.17</v>
      </c>
      <c r="F61" s="1">
        <v>0.34</v>
      </c>
      <c r="G61" s="1">
        <v>0.48999999999999988</v>
      </c>
    </row>
    <row r="62" spans="1:7" x14ac:dyDescent="0.25">
      <c r="A62" s="1">
        <v>61</v>
      </c>
      <c r="B62" s="2">
        <v>1605937</v>
      </c>
      <c r="C62" s="3">
        <v>3.9E-2</v>
      </c>
      <c r="D62" s="4">
        <v>0.65</v>
      </c>
      <c r="E62" s="1">
        <v>0.32</v>
      </c>
      <c r="F62" s="1">
        <v>0.49</v>
      </c>
      <c r="G62" s="1">
        <v>0.19</v>
      </c>
    </row>
    <row r="63" spans="1:7" x14ac:dyDescent="0.25">
      <c r="A63" s="1">
        <v>62</v>
      </c>
      <c r="B63" s="2">
        <v>1636002</v>
      </c>
      <c r="C63" s="3">
        <v>2.1000000000000001E-2</v>
      </c>
      <c r="D63" s="4">
        <v>0.65</v>
      </c>
      <c r="E63" s="1">
        <v>0.13</v>
      </c>
      <c r="F63" s="1">
        <v>0.32</v>
      </c>
      <c r="G63" s="1">
        <v>0.54999999999999993</v>
      </c>
    </row>
    <row r="64" spans="1:7" x14ac:dyDescent="0.25">
      <c r="A64" s="1">
        <v>63</v>
      </c>
      <c r="B64" s="2">
        <v>4037745</v>
      </c>
      <c r="C64" s="3">
        <v>3.5999999999999997E-2</v>
      </c>
      <c r="D64" s="4">
        <v>0.7</v>
      </c>
      <c r="E64" s="1">
        <v>0.25</v>
      </c>
      <c r="F64" s="1">
        <v>0.25</v>
      </c>
      <c r="G64" s="1">
        <v>0.5</v>
      </c>
    </row>
    <row r="65" spans="1:7" x14ac:dyDescent="0.25">
      <c r="A65" s="1">
        <v>64</v>
      </c>
      <c r="B65" s="2">
        <v>2436769</v>
      </c>
      <c r="C65" s="3">
        <v>3.5000000000000003E-2</v>
      </c>
      <c r="D65" s="4">
        <v>0.72</v>
      </c>
      <c r="E65" s="1">
        <v>0.3</v>
      </c>
      <c r="F65" s="1">
        <v>0.44</v>
      </c>
      <c r="G65" s="1">
        <v>0.26000000000000006</v>
      </c>
    </row>
    <row r="66" spans="1:7" x14ac:dyDescent="0.25">
      <c r="A66" s="1">
        <v>65</v>
      </c>
      <c r="B66" s="2">
        <v>4477876</v>
      </c>
      <c r="C66" s="3">
        <v>3.2000000000000001E-2</v>
      </c>
      <c r="D66" s="4">
        <v>0.69</v>
      </c>
      <c r="E66" s="1">
        <v>0.17</v>
      </c>
      <c r="F66" s="1">
        <v>0.2</v>
      </c>
      <c r="G66" s="1">
        <v>0.63</v>
      </c>
    </row>
    <row r="67" spans="1:7" x14ac:dyDescent="0.25">
      <c r="A67" s="1">
        <v>66</v>
      </c>
      <c r="B67" s="2">
        <v>2938864</v>
      </c>
      <c r="C67" s="3">
        <v>0.04</v>
      </c>
      <c r="D67" s="4">
        <v>0.76</v>
      </c>
      <c r="E67" s="1">
        <v>0.18</v>
      </c>
      <c r="F67" s="1">
        <v>0.39</v>
      </c>
      <c r="G67" s="1">
        <v>0.43</v>
      </c>
    </row>
    <row r="68" spans="1:7" x14ac:dyDescent="0.25">
      <c r="A68" s="1">
        <v>67</v>
      </c>
      <c r="B68" s="2">
        <v>3145856</v>
      </c>
      <c r="C68" s="3">
        <v>3.4000000000000002E-2</v>
      </c>
      <c r="D68" s="4">
        <v>0.68</v>
      </c>
      <c r="E68" s="1">
        <v>0.27</v>
      </c>
      <c r="F68" s="1">
        <v>0.2</v>
      </c>
      <c r="G68" s="1">
        <v>0.53</v>
      </c>
    </row>
    <row r="69" spans="1:7" x14ac:dyDescent="0.25">
      <c r="A69" s="1">
        <v>68</v>
      </c>
      <c r="B69" s="2">
        <v>4650787</v>
      </c>
      <c r="C69" s="3">
        <v>2.1000000000000001E-2</v>
      </c>
      <c r="D69" s="4">
        <v>0.6</v>
      </c>
      <c r="E69" s="1">
        <v>0.39</v>
      </c>
      <c r="F69" s="1">
        <v>0.49</v>
      </c>
      <c r="G69" s="1">
        <v>0.12</v>
      </c>
    </row>
    <row r="70" spans="1:7" x14ac:dyDescent="0.25">
      <c r="A70" s="1">
        <v>69</v>
      </c>
      <c r="B70" s="2">
        <v>4134746</v>
      </c>
      <c r="C70" s="3">
        <v>3.9E-2</v>
      </c>
      <c r="D70" s="4">
        <v>0.6</v>
      </c>
      <c r="E70" s="1">
        <v>0.16</v>
      </c>
      <c r="F70" s="1">
        <v>0.4</v>
      </c>
      <c r="G70" s="1">
        <v>0.43999999999999995</v>
      </c>
    </row>
    <row r="71" spans="1:7" x14ac:dyDescent="0.25">
      <c r="A71" s="1">
        <v>70</v>
      </c>
      <c r="B71" s="2">
        <v>4234169</v>
      </c>
      <c r="C71" s="3">
        <v>3.5000000000000003E-2</v>
      </c>
      <c r="D71" s="4">
        <v>0.7</v>
      </c>
      <c r="E71" s="1">
        <v>0.35</v>
      </c>
      <c r="F71" s="1">
        <v>0.26</v>
      </c>
      <c r="G71" s="1">
        <v>0.39</v>
      </c>
    </row>
    <row r="72" spans="1:7" x14ac:dyDescent="0.25">
      <c r="A72" s="1">
        <v>71</v>
      </c>
      <c r="B72" s="2">
        <v>2916154</v>
      </c>
      <c r="C72" s="3">
        <v>2.4E-2</v>
      </c>
      <c r="D72" s="4">
        <v>0.63</v>
      </c>
      <c r="E72" s="1">
        <v>0.24</v>
      </c>
      <c r="F72" s="1">
        <v>0.37</v>
      </c>
      <c r="G72" s="1">
        <v>0.39</v>
      </c>
    </row>
    <row r="73" spans="1:7" x14ac:dyDescent="0.25">
      <c r="A73" s="1">
        <v>72</v>
      </c>
      <c r="B73" s="2">
        <v>1468468</v>
      </c>
      <c r="C73" s="3">
        <v>3.5000000000000003E-2</v>
      </c>
      <c r="D73" s="4">
        <v>0.8</v>
      </c>
      <c r="E73" s="1">
        <v>0.17</v>
      </c>
      <c r="F73" s="1">
        <v>0.28999999999999998</v>
      </c>
      <c r="G73" s="1">
        <v>0.53999999999999992</v>
      </c>
    </row>
    <row r="74" spans="1:7" x14ac:dyDescent="0.25">
      <c r="A74" s="1">
        <v>73</v>
      </c>
      <c r="B74" s="2">
        <v>4753575</v>
      </c>
      <c r="C74" s="3">
        <v>3.5999999999999997E-2</v>
      </c>
      <c r="D74" s="4">
        <v>0.8</v>
      </c>
      <c r="E74" s="1">
        <v>0.15</v>
      </c>
      <c r="F74" s="1">
        <v>0.22</v>
      </c>
      <c r="G74" s="1">
        <v>0.63</v>
      </c>
    </row>
    <row r="75" spans="1:7" x14ac:dyDescent="0.25">
      <c r="A75" s="1">
        <v>74</v>
      </c>
      <c r="B75" s="2">
        <v>4931725</v>
      </c>
      <c r="C75" s="3">
        <v>2.7E-2</v>
      </c>
      <c r="D75" s="4">
        <v>0.73</v>
      </c>
      <c r="E75" s="1">
        <v>0.18</v>
      </c>
      <c r="F75" s="1">
        <v>0.44</v>
      </c>
      <c r="G75" s="1">
        <v>0.38000000000000006</v>
      </c>
    </row>
    <row r="76" spans="1:7" x14ac:dyDescent="0.25">
      <c r="A76" s="1">
        <v>75</v>
      </c>
      <c r="B76" s="2">
        <v>3183669</v>
      </c>
      <c r="C76" s="3">
        <v>3.5000000000000003E-2</v>
      </c>
      <c r="D76" s="4">
        <v>0.7</v>
      </c>
      <c r="E76" s="1">
        <v>0.26</v>
      </c>
      <c r="F76" s="1">
        <v>0.37</v>
      </c>
      <c r="G76" s="1">
        <v>0.37</v>
      </c>
    </row>
    <row r="77" spans="1:7" x14ac:dyDescent="0.25">
      <c r="A77" s="1">
        <v>76</v>
      </c>
      <c r="B77" s="2">
        <v>2366233</v>
      </c>
      <c r="C77" s="3">
        <v>2.1000000000000001E-2</v>
      </c>
      <c r="D77" s="4">
        <v>0.77</v>
      </c>
      <c r="E77" s="1">
        <v>0.11</v>
      </c>
      <c r="F77" s="1">
        <v>0.38</v>
      </c>
      <c r="G77" s="1">
        <v>0.51</v>
      </c>
    </row>
    <row r="78" spans="1:7" x14ac:dyDescent="0.25">
      <c r="A78" s="1">
        <v>77</v>
      </c>
      <c r="B78" s="2">
        <v>1427353</v>
      </c>
      <c r="C78" s="3">
        <v>2.3E-2</v>
      </c>
      <c r="D78" s="4">
        <v>0.71</v>
      </c>
      <c r="E78" s="1">
        <v>0.32</v>
      </c>
      <c r="F78" s="1">
        <v>0.35</v>
      </c>
      <c r="G78" s="1">
        <v>0.33</v>
      </c>
    </row>
    <row r="79" spans="1:7" x14ac:dyDescent="0.25">
      <c r="A79" s="1">
        <v>78</v>
      </c>
      <c r="B79" s="2">
        <v>2752983</v>
      </c>
      <c r="C79" s="3">
        <v>2.5999999999999999E-2</v>
      </c>
      <c r="D79" s="4">
        <v>0.6</v>
      </c>
      <c r="E79" s="1">
        <v>0.15</v>
      </c>
      <c r="F79" s="1">
        <v>0.42</v>
      </c>
      <c r="G79" s="1">
        <v>0.43000000000000005</v>
      </c>
    </row>
    <row r="80" spans="1:7" x14ac:dyDescent="0.25">
      <c r="A80" s="1">
        <v>79</v>
      </c>
      <c r="B80" s="2">
        <v>3723564</v>
      </c>
      <c r="C80" s="3">
        <v>3.4000000000000002E-2</v>
      </c>
      <c r="D80" s="4">
        <v>0.68</v>
      </c>
      <c r="E80" s="1">
        <v>0.38</v>
      </c>
      <c r="F80" s="1">
        <v>0.39</v>
      </c>
      <c r="G80" s="1">
        <v>0.22999999999999998</v>
      </c>
    </row>
    <row r="81" spans="1:7" x14ac:dyDescent="0.25">
      <c r="A81" s="1">
        <v>80</v>
      </c>
      <c r="B81" s="2">
        <v>4175345</v>
      </c>
      <c r="C81" s="3">
        <v>3.5999999999999997E-2</v>
      </c>
      <c r="D81" s="4">
        <v>0.61</v>
      </c>
      <c r="E81" s="1">
        <v>0.24</v>
      </c>
      <c r="F81" s="1">
        <v>0.32</v>
      </c>
      <c r="G81" s="1">
        <v>0.43999999999999995</v>
      </c>
    </row>
    <row r="82" spans="1:7" x14ac:dyDescent="0.25">
      <c r="A82" s="1">
        <v>81</v>
      </c>
      <c r="B82" s="2">
        <v>1768937</v>
      </c>
      <c r="C82" s="3">
        <v>3.9E-2</v>
      </c>
      <c r="D82" s="4">
        <v>0.73</v>
      </c>
      <c r="E82" s="1">
        <v>0.26</v>
      </c>
      <c r="F82" s="1">
        <v>0.26</v>
      </c>
      <c r="G82" s="1">
        <v>0.48</v>
      </c>
    </row>
    <row r="83" spans="1:7" x14ac:dyDescent="0.25">
      <c r="A83" s="1">
        <v>82</v>
      </c>
      <c r="B83" s="2">
        <v>3019289</v>
      </c>
      <c r="C83" s="3">
        <v>3.4000000000000002E-2</v>
      </c>
      <c r="D83" s="4">
        <v>0.68</v>
      </c>
      <c r="E83" s="1">
        <v>0.1</v>
      </c>
      <c r="F83" s="1">
        <v>0.4</v>
      </c>
      <c r="G83" s="1">
        <v>0.5</v>
      </c>
    </row>
    <row r="84" spans="1:7" x14ac:dyDescent="0.25">
      <c r="A84" s="1">
        <v>83</v>
      </c>
      <c r="B84" s="2">
        <v>3239893</v>
      </c>
      <c r="C84" s="3">
        <v>2.9000000000000001E-2</v>
      </c>
      <c r="D84" s="4">
        <v>0.71</v>
      </c>
      <c r="E84" s="1">
        <v>0.17</v>
      </c>
      <c r="F84" s="1">
        <v>0.28999999999999998</v>
      </c>
      <c r="G84" s="1">
        <v>0.53999999999999992</v>
      </c>
    </row>
    <row r="85" spans="1:7" x14ac:dyDescent="0.25">
      <c r="A85" s="1">
        <v>84</v>
      </c>
      <c r="B85" s="2">
        <v>3543738</v>
      </c>
      <c r="C85" s="3">
        <v>3.6999999999999998E-2</v>
      </c>
      <c r="D85" s="4">
        <v>0.74</v>
      </c>
      <c r="E85" s="1">
        <v>0.36</v>
      </c>
      <c r="F85" s="1">
        <v>0.27</v>
      </c>
      <c r="G85" s="1">
        <v>0.37</v>
      </c>
    </row>
    <row r="86" spans="1:7" x14ac:dyDescent="0.25">
      <c r="A86" s="1">
        <v>85</v>
      </c>
      <c r="B86" s="2">
        <v>2484631</v>
      </c>
      <c r="C86" s="3">
        <v>3.5999999999999997E-2</v>
      </c>
      <c r="D86" s="4">
        <v>0.63</v>
      </c>
      <c r="E86" s="1">
        <v>0.38</v>
      </c>
      <c r="F86" s="1">
        <v>0.31</v>
      </c>
      <c r="G86" s="1">
        <v>0.30999999999999994</v>
      </c>
    </row>
    <row r="87" spans="1:7" x14ac:dyDescent="0.25">
      <c r="A87" s="1">
        <v>86</v>
      </c>
      <c r="B87" s="2">
        <v>2940209</v>
      </c>
      <c r="C87" s="3">
        <v>3.4000000000000002E-2</v>
      </c>
      <c r="D87" s="4">
        <v>0.75</v>
      </c>
      <c r="E87" s="1">
        <v>0.39</v>
      </c>
      <c r="F87" s="1">
        <v>0.22</v>
      </c>
      <c r="G87" s="1">
        <v>0.39</v>
      </c>
    </row>
    <row r="88" spans="1:7" x14ac:dyDescent="0.25">
      <c r="A88" s="1">
        <v>87</v>
      </c>
      <c r="B88" s="2">
        <v>3420302</v>
      </c>
      <c r="C88" s="3">
        <v>0.03</v>
      </c>
      <c r="D88" s="4">
        <v>0.61</v>
      </c>
      <c r="E88" s="1">
        <v>0.26</v>
      </c>
      <c r="F88" s="1">
        <v>0.36</v>
      </c>
      <c r="G88" s="1">
        <v>0.38</v>
      </c>
    </row>
    <row r="89" spans="1:7" x14ac:dyDescent="0.25">
      <c r="A89" s="1">
        <v>88</v>
      </c>
      <c r="B89" s="2">
        <v>2159325</v>
      </c>
      <c r="C89" s="3">
        <v>2.9000000000000001E-2</v>
      </c>
      <c r="D89" s="4">
        <v>0.78</v>
      </c>
      <c r="E89" s="1">
        <v>0.2</v>
      </c>
      <c r="F89" s="1">
        <v>0.42</v>
      </c>
      <c r="G89" s="1">
        <v>0.38000000000000006</v>
      </c>
    </row>
    <row r="90" spans="1:7" x14ac:dyDescent="0.25">
      <c r="A90" s="1">
        <v>89</v>
      </c>
      <c r="B90" s="2">
        <v>4483573</v>
      </c>
      <c r="C90" s="3">
        <v>3.5999999999999997E-2</v>
      </c>
      <c r="D90" s="4">
        <v>0.71</v>
      </c>
      <c r="E90" s="1">
        <v>0.28999999999999998</v>
      </c>
      <c r="F90" s="1">
        <v>0.35</v>
      </c>
      <c r="G90" s="1">
        <v>0.36000000000000004</v>
      </c>
    </row>
    <row r="91" spans="1:7" x14ac:dyDescent="0.25">
      <c r="A91" s="1">
        <v>90</v>
      </c>
      <c r="B91" s="2">
        <v>1260731</v>
      </c>
      <c r="C91" s="3">
        <v>0.04</v>
      </c>
      <c r="D91" s="4">
        <v>0.6</v>
      </c>
      <c r="E91" s="1">
        <v>0.38</v>
      </c>
      <c r="F91" s="1">
        <v>0.2</v>
      </c>
      <c r="G91" s="1">
        <v>0.42000000000000004</v>
      </c>
    </row>
    <row r="92" spans="1:7" x14ac:dyDescent="0.25">
      <c r="A92" s="1">
        <v>91</v>
      </c>
      <c r="B92" s="2">
        <v>2879495</v>
      </c>
      <c r="C92" s="3">
        <v>2.1999999999999999E-2</v>
      </c>
      <c r="D92" s="4">
        <v>0.66</v>
      </c>
      <c r="E92" s="1">
        <v>0.28999999999999998</v>
      </c>
      <c r="F92" s="1">
        <v>0.39</v>
      </c>
      <c r="G92" s="1">
        <v>0.32</v>
      </c>
    </row>
    <row r="93" spans="1:7" x14ac:dyDescent="0.25">
      <c r="A93" s="1">
        <v>92</v>
      </c>
      <c r="B93" s="2">
        <v>3689332</v>
      </c>
      <c r="C93" s="3">
        <v>3.2000000000000001E-2</v>
      </c>
      <c r="D93" s="4">
        <v>0.79</v>
      </c>
      <c r="E93" s="1">
        <v>0.15</v>
      </c>
      <c r="F93" s="1">
        <v>0.26</v>
      </c>
      <c r="G93" s="1">
        <v>0.59</v>
      </c>
    </row>
    <row r="94" spans="1:7" x14ac:dyDescent="0.25">
      <c r="A94" s="1">
        <v>93</v>
      </c>
      <c r="B94" s="2">
        <v>4192902</v>
      </c>
      <c r="C94" s="3">
        <v>2.1000000000000001E-2</v>
      </c>
      <c r="D94" s="4">
        <v>0.64</v>
      </c>
      <c r="E94" s="1">
        <v>0.27</v>
      </c>
      <c r="F94" s="1">
        <v>0.31</v>
      </c>
      <c r="G94" s="1">
        <v>0.41999999999999993</v>
      </c>
    </row>
    <row r="95" spans="1:7" x14ac:dyDescent="0.25">
      <c r="A95" s="1">
        <v>94</v>
      </c>
      <c r="B95" s="2">
        <v>1514679</v>
      </c>
      <c r="C95" s="3">
        <v>2.4E-2</v>
      </c>
      <c r="D95" s="4">
        <v>0.62</v>
      </c>
      <c r="E95" s="1">
        <v>0.15</v>
      </c>
      <c r="F95" s="1">
        <v>0.38</v>
      </c>
      <c r="G95" s="1">
        <v>0.47</v>
      </c>
    </row>
    <row r="96" spans="1:7" x14ac:dyDescent="0.25">
      <c r="A96" s="1">
        <v>95</v>
      </c>
      <c r="B96" s="2">
        <v>1817188</v>
      </c>
      <c r="C96" s="3">
        <v>3.6999999999999998E-2</v>
      </c>
      <c r="D96" s="4">
        <v>0.76</v>
      </c>
      <c r="E96" s="1">
        <v>0.3</v>
      </c>
      <c r="F96" s="1">
        <v>0.21</v>
      </c>
      <c r="G96" s="1">
        <v>0.49000000000000005</v>
      </c>
    </row>
    <row r="97" spans="1:7" x14ac:dyDescent="0.25">
      <c r="A97" s="1">
        <v>96</v>
      </c>
      <c r="B97" s="2">
        <v>2988684</v>
      </c>
      <c r="C97" s="3">
        <v>2.3E-2</v>
      </c>
      <c r="D97" s="4">
        <v>0.75</v>
      </c>
      <c r="E97" s="1">
        <v>0.32</v>
      </c>
      <c r="F97" s="1">
        <v>0.24</v>
      </c>
      <c r="G97" s="1">
        <v>0.44</v>
      </c>
    </row>
    <row r="98" spans="1:7" x14ac:dyDescent="0.25">
      <c r="A98" s="1">
        <v>97</v>
      </c>
      <c r="B98" s="2">
        <v>2298098</v>
      </c>
      <c r="C98" s="3">
        <v>2.3E-2</v>
      </c>
      <c r="D98" s="4">
        <v>0.64</v>
      </c>
      <c r="E98" s="1">
        <v>0.32</v>
      </c>
      <c r="F98" s="1">
        <v>0.46</v>
      </c>
      <c r="G98" s="1">
        <v>0.22000000000000003</v>
      </c>
    </row>
    <row r="99" spans="1:7" x14ac:dyDescent="0.25">
      <c r="A99" s="1">
        <v>98</v>
      </c>
      <c r="B99" s="2">
        <v>2232547</v>
      </c>
      <c r="C99" s="3">
        <v>0.04</v>
      </c>
      <c r="D99" s="4">
        <v>0.63</v>
      </c>
      <c r="E99" s="1">
        <v>0.14000000000000001</v>
      </c>
      <c r="F99" s="1">
        <v>0.5</v>
      </c>
      <c r="G99" s="1">
        <v>0.36</v>
      </c>
    </row>
    <row r="100" spans="1:7" x14ac:dyDescent="0.25">
      <c r="A100" s="1">
        <v>99</v>
      </c>
      <c r="B100" s="2">
        <v>3344020</v>
      </c>
      <c r="C100" s="3">
        <v>3.7999999999999999E-2</v>
      </c>
      <c r="D100" s="4">
        <v>0.79</v>
      </c>
      <c r="E100" s="1">
        <v>0.3</v>
      </c>
      <c r="F100" s="1">
        <v>0.2</v>
      </c>
      <c r="G100" s="1">
        <v>0.5</v>
      </c>
    </row>
    <row r="101" spans="1:7" x14ac:dyDescent="0.25">
      <c r="A101" s="1">
        <v>100</v>
      </c>
      <c r="B101" s="2">
        <v>3761528</v>
      </c>
      <c r="C101" s="3">
        <v>2.1000000000000001E-2</v>
      </c>
      <c r="D101" s="4">
        <v>0.64</v>
      </c>
      <c r="E101" s="1">
        <v>0.23</v>
      </c>
      <c r="F101" s="1">
        <v>0.42</v>
      </c>
      <c r="G101" s="1">
        <v>0.35000000000000009</v>
      </c>
    </row>
    <row r="102" spans="1:7" x14ac:dyDescent="0.25">
      <c r="A102" s="1">
        <v>101</v>
      </c>
      <c r="B102" s="2">
        <v>2106679</v>
      </c>
      <c r="C102" s="3">
        <v>2.1999999999999999E-2</v>
      </c>
      <c r="D102" s="4">
        <v>0.66</v>
      </c>
      <c r="E102" s="1">
        <v>0.23</v>
      </c>
      <c r="F102" s="1">
        <v>0.21</v>
      </c>
      <c r="G102" s="1">
        <v>0.56000000000000005</v>
      </c>
    </row>
    <row r="103" spans="1:7" x14ac:dyDescent="0.25">
      <c r="A103" s="1">
        <v>102</v>
      </c>
      <c r="B103" s="2">
        <v>2514188</v>
      </c>
      <c r="C103" s="3">
        <v>3.2000000000000001E-2</v>
      </c>
      <c r="D103" s="4">
        <v>0.77</v>
      </c>
      <c r="E103" s="1">
        <v>0.28000000000000003</v>
      </c>
      <c r="F103" s="1">
        <v>0.41</v>
      </c>
      <c r="G103" s="1">
        <v>0.31000000000000005</v>
      </c>
    </row>
    <row r="104" spans="1:7" x14ac:dyDescent="0.25">
      <c r="A104" s="1">
        <v>103</v>
      </c>
      <c r="B104" s="2">
        <v>2482378</v>
      </c>
      <c r="C104" s="3">
        <v>3.2000000000000001E-2</v>
      </c>
      <c r="D104" s="4">
        <v>0.66</v>
      </c>
      <c r="E104" s="1">
        <v>0.25</v>
      </c>
      <c r="F104" s="1">
        <v>0.45</v>
      </c>
      <c r="G104" s="1">
        <v>0.30000000000000004</v>
      </c>
    </row>
    <row r="105" spans="1:7" x14ac:dyDescent="0.25">
      <c r="A105" s="1">
        <v>104</v>
      </c>
      <c r="B105" s="2">
        <v>1880174</v>
      </c>
      <c r="C105" s="3">
        <v>3.9E-2</v>
      </c>
      <c r="D105" s="4">
        <v>0.72</v>
      </c>
      <c r="E105" s="1">
        <v>0.14000000000000001</v>
      </c>
      <c r="F105" s="1">
        <v>0.4</v>
      </c>
      <c r="G105" s="1">
        <v>0.45999999999999996</v>
      </c>
    </row>
    <row r="106" spans="1:7" x14ac:dyDescent="0.25">
      <c r="A106" s="1">
        <v>105</v>
      </c>
      <c r="B106" s="2">
        <v>1319110</v>
      </c>
      <c r="C106" s="3">
        <v>3.5999999999999997E-2</v>
      </c>
      <c r="D106" s="4">
        <v>0.68</v>
      </c>
      <c r="E106" s="1">
        <v>0.18</v>
      </c>
      <c r="F106" s="1">
        <v>0.45</v>
      </c>
      <c r="G106" s="1">
        <v>0.37000000000000005</v>
      </c>
    </row>
    <row r="107" spans="1:7" x14ac:dyDescent="0.25">
      <c r="A107" s="1">
        <v>106</v>
      </c>
      <c r="B107" s="2">
        <v>3504075</v>
      </c>
      <c r="C107" s="3">
        <v>2.4E-2</v>
      </c>
      <c r="D107" s="4">
        <v>0.64</v>
      </c>
      <c r="E107" s="1">
        <v>0.25</v>
      </c>
      <c r="F107" s="1">
        <v>0.26</v>
      </c>
      <c r="G107" s="1">
        <v>0.49</v>
      </c>
    </row>
    <row r="108" spans="1:7" x14ac:dyDescent="0.25">
      <c r="A108" s="1">
        <v>107</v>
      </c>
      <c r="B108" s="2">
        <v>2076201</v>
      </c>
      <c r="C108" s="3">
        <v>3.6999999999999998E-2</v>
      </c>
      <c r="D108" s="4">
        <v>0.65</v>
      </c>
      <c r="E108" s="1">
        <v>0.27</v>
      </c>
      <c r="F108" s="1">
        <v>0.28999999999999998</v>
      </c>
      <c r="G108" s="1">
        <v>0.43999999999999995</v>
      </c>
    </row>
    <row r="109" spans="1:7" x14ac:dyDescent="0.25">
      <c r="A109" s="1">
        <v>108</v>
      </c>
      <c r="B109" s="2">
        <v>3040821</v>
      </c>
      <c r="C109" s="3">
        <v>2.9000000000000001E-2</v>
      </c>
      <c r="D109" s="4">
        <v>0.77</v>
      </c>
      <c r="E109" s="1">
        <v>0.39</v>
      </c>
      <c r="F109" s="1">
        <v>0.35</v>
      </c>
      <c r="G109" s="1">
        <v>0.26</v>
      </c>
    </row>
    <row r="110" spans="1:7" x14ac:dyDescent="0.25">
      <c r="A110" s="1">
        <v>109</v>
      </c>
      <c r="B110" s="2">
        <v>4225473</v>
      </c>
      <c r="C110" s="3">
        <v>2.7E-2</v>
      </c>
      <c r="D110" s="4">
        <v>0.71</v>
      </c>
      <c r="E110" s="1">
        <v>0.22</v>
      </c>
      <c r="F110" s="1">
        <v>0.43</v>
      </c>
      <c r="G110" s="1">
        <v>0.35000000000000009</v>
      </c>
    </row>
    <row r="111" spans="1:7" x14ac:dyDescent="0.25">
      <c r="A111" s="1">
        <v>110</v>
      </c>
      <c r="B111" s="2">
        <v>3550616</v>
      </c>
      <c r="C111" s="3">
        <v>0.03</v>
      </c>
      <c r="D111" s="4">
        <v>0.74</v>
      </c>
      <c r="E111" s="1">
        <v>0.24</v>
      </c>
      <c r="F111" s="1">
        <v>0.28000000000000003</v>
      </c>
      <c r="G111" s="1">
        <v>0.48</v>
      </c>
    </row>
    <row r="112" spans="1:7" x14ac:dyDescent="0.25">
      <c r="A112" s="1">
        <v>111</v>
      </c>
      <c r="B112" s="2">
        <v>3658058</v>
      </c>
      <c r="C112" s="3">
        <v>2.7E-2</v>
      </c>
      <c r="D112" s="4">
        <v>0.61</v>
      </c>
      <c r="E112" s="1">
        <v>0.17</v>
      </c>
      <c r="F112" s="1">
        <v>0.41</v>
      </c>
      <c r="G112" s="1">
        <v>0.42000000000000004</v>
      </c>
    </row>
    <row r="113" spans="1:7" x14ac:dyDescent="0.25">
      <c r="A113" s="1">
        <v>112</v>
      </c>
      <c r="B113" s="2">
        <v>4859813</v>
      </c>
      <c r="C113" s="3">
        <v>0.02</v>
      </c>
      <c r="D113" s="4">
        <v>0.74</v>
      </c>
      <c r="E113" s="1">
        <v>0.28000000000000003</v>
      </c>
      <c r="F113" s="1">
        <v>0.49</v>
      </c>
      <c r="G113" s="1">
        <v>0.22999999999999998</v>
      </c>
    </row>
    <row r="114" spans="1:7" x14ac:dyDescent="0.25">
      <c r="A114" s="1">
        <v>113</v>
      </c>
      <c r="B114" s="2">
        <v>1958393</v>
      </c>
      <c r="C114" s="3">
        <v>2.9000000000000001E-2</v>
      </c>
      <c r="D114" s="4">
        <v>0.68</v>
      </c>
      <c r="E114" s="1">
        <v>0.3</v>
      </c>
      <c r="F114" s="1">
        <v>0.34</v>
      </c>
      <c r="G114" s="1">
        <v>0.35999999999999993</v>
      </c>
    </row>
    <row r="115" spans="1:7" x14ac:dyDescent="0.25">
      <c r="A115" s="1">
        <v>114</v>
      </c>
      <c r="B115" s="2">
        <v>1240873</v>
      </c>
      <c r="C115" s="3">
        <v>3.2000000000000001E-2</v>
      </c>
      <c r="D115" s="4">
        <v>0.67</v>
      </c>
      <c r="E115" s="1">
        <v>0.21</v>
      </c>
      <c r="F115" s="1">
        <v>0.21</v>
      </c>
      <c r="G115" s="1">
        <v>0.58000000000000007</v>
      </c>
    </row>
    <row r="116" spans="1:7" x14ac:dyDescent="0.25">
      <c r="A116" s="1">
        <v>115</v>
      </c>
      <c r="B116" s="2">
        <v>3102508</v>
      </c>
      <c r="C116" s="3">
        <v>2.7E-2</v>
      </c>
      <c r="D116" s="4">
        <v>0.64</v>
      </c>
      <c r="E116" s="1">
        <v>0.28999999999999998</v>
      </c>
      <c r="F116" s="1">
        <v>0.37</v>
      </c>
      <c r="G116" s="1">
        <v>0.34</v>
      </c>
    </row>
    <row r="117" spans="1:7" x14ac:dyDescent="0.25">
      <c r="A117" s="1">
        <v>116</v>
      </c>
      <c r="B117" s="2">
        <v>1308514</v>
      </c>
      <c r="C117" s="3">
        <v>3.1E-2</v>
      </c>
      <c r="D117" s="4">
        <v>0.69</v>
      </c>
      <c r="E117" s="1">
        <v>0.37</v>
      </c>
      <c r="F117" s="1">
        <v>0.49</v>
      </c>
      <c r="G117" s="1">
        <v>0.14000000000000001</v>
      </c>
    </row>
    <row r="118" spans="1:7" x14ac:dyDescent="0.25">
      <c r="A118" s="1">
        <v>117</v>
      </c>
      <c r="B118" s="2">
        <v>4666822</v>
      </c>
      <c r="C118" s="3">
        <v>2.1999999999999999E-2</v>
      </c>
      <c r="D118" s="4">
        <v>0.64</v>
      </c>
      <c r="E118" s="1">
        <v>0.15</v>
      </c>
      <c r="F118" s="1">
        <v>0.42</v>
      </c>
      <c r="G118" s="1">
        <v>0.43000000000000005</v>
      </c>
    </row>
    <row r="119" spans="1:7" x14ac:dyDescent="0.25">
      <c r="A119" s="1">
        <v>118</v>
      </c>
      <c r="B119" s="2">
        <v>3261529</v>
      </c>
      <c r="C119" s="3">
        <v>2.8000000000000001E-2</v>
      </c>
      <c r="D119" s="4">
        <v>0.61</v>
      </c>
      <c r="E119" s="1">
        <v>0.25</v>
      </c>
      <c r="F119" s="1">
        <v>0.45</v>
      </c>
      <c r="G119" s="1">
        <v>0.30000000000000004</v>
      </c>
    </row>
    <row r="120" spans="1:7" x14ac:dyDescent="0.25">
      <c r="A120" s="1">
        <v>119</v>
      </c>
      <c r="B120" s="2">
        <v>3330835</v>
      </c>
      <c r="C120" s="3">
        <v>3.7999999999999999E-2</v>
      </c>
      <c r="D120" s="4">
        <v>0.63</v>
      </c>
      <c r="E120" s="1">
        <v>0.19</v>
      </c>
      <c r="F120" s="1">
        <v>0.4</v>
      </c>
      <c r="G120" s="1">
        <v>0.41</v>
      </c>
    </row>
    <row r="121" spans="1:7" x14ac:dyDescent="0.25">
      <c r="A121" s="1">
        <v>120</v>
      </c>
      <c r="B121" s="2">
        <v>1798115</v>
      </c>
      <c r="C121" s="3">
        <v>0.02</v>
      </c>
      <c r="D121" s="4">
        <v>0.64</v>
      </c>
      <c r="E121" s="1">
        <v>0.3</v>
      </c>
      <c r="F121" s="1">
        <v>0.38</v>
      </c>
      <c r="G121" s="1">
        <v>0.32</v>
      </c>
    </row>
    <row r="122" spans="1:7" x14ac:dyDescent="0.25">
      <c r="A122" s="1">
        <v>121</v>
      </c>
      <c r="B122" s="2">
        <v>2706892</v>
      </c>
      <c r="C122" s="3">
        <v>2.8000000000000001E-2</v>
      </c>
      <c r="D122" s="4">
        <v>0.7</v>
      </c>
      <c r="E122" s="1">
        <v>0.19</v>
      </c>
      <c r="F122" s="1">
        <v>0.41</v>
      </c>
      <c r="G122" s="1">
        <v>0.40000000000000008</v>
      </c>
    </row>
    <row r="123" spans="1:7" x14ac:dyDescent="0.25">
      <c r="A123" s="1">
        <v>122</v>
      </c>
      <c r="B123" s="2">
        <v>3424157</v>
      </c>
      <c r="C123" s="3">
        <v>3.2000000000000001E-2</v>
      </c>
      <c r="D123" s="4">
        <v>0.8</v>
      </c>
      <c r="E123" s="1">
        <v>0.28999999999999998</v>
      </c>
      <c r="F123" s="1">
        <v>0.45</v>
      </c>
      <c r="G123" s="1">
        <v>0.26000000000000006</v>
      </c>
    </row>
    <row r="124" spans="1:7" x14ac:dyDescent="0.25">
      <c r="A124" s="1">
        <v>123</v>
      </c>
      <c r="B124" s="2">
        <v>3584400</v>
      </c>
      <c r="C124" s="3">
        <v>2.3E-2</v>
      </c>
      <c r="D124" s="4">
        <v>0.62</v>
      </c>
      <c r="E124" s="1">
        <v>0.32</v>
      </c>
      <c r="F124" s="1">
        <v>0.25</v>
      </c>
      <c r="G124" s="1">
        <v>0.43</v>
      </c>
    </row>
    <row r="125" spans="1:7" x14ac:dyDescent="0.25">
      <c r="A125" s="1">
        <v>124</v>
      </c>
      <c r="B125" s="2">
        <v>1328540</v>
      </c>
      <c r="C125" s="3">
        <v>3.2000000000000001E-2</v>
      </c>
      <c r="D125" s="4">
        <v>0.6</v>
      </c>
      <c r="E125" s="1">
        <v>0.15</v>
      </c>
      <c r="F125" s="1">
        <v>0.28000000000000003</v>
      </c>
      <c r="G125" s="1">
        <v>0.56999999999999995</v>
      </c>
    </row>
    <row r="126" spans="1:7" x14ac:dyDescent="0.25">
      <c r="A126" s="1">
        <v>125</v>
      </c>
      <c r="B126" s="2">
        <v>3136824</v>
      </c>
      <c r="C126" s="3">
        <v>2.9000000000000001E-2</v>
      </c>
      <c r="D126" s="4">
        <v>0.71</v>
      </c>
      <c r="E126" s="1">
        <v>0.4</v>
      </c>
      <c r="F126" s="1">
        <v>0.36</v>
      </c>
      <c r="G126" s="1">
        <v>0.24</v>
      </c>
    </row>
    <row r="127" spans="1:7" x14ac:dyDescent="0.25">
      <c r="A127" s="1">
        <v>126</v>
      </c>
      <c r="B127" s="2">
        <v>875553</v>
      </c>
      <c r="C127" s="3">
        <v>2.7E-2</v>
      </c>
      <c r="D127" s="4">
        <v>0.38</v>
      </c>
      <c r="E127" s="1">
        <v>0.28000000000000003</v>
      </c>
      <c r="F127" s="1">
        <v>0.5</v>
      </c>
      <c r="G127" s="1">
        <v>0.21999999999999997</v>
      </c>
    </row>
    <row r="128" spans="1:7" x14ac:dyDescent="0.25">
      <c r="A128" s="1">
        <v>127</v>
      </c>
      <c r="B128" s="2">
        <v>344014</v>
      </c>
      <c r="C128" s="3">
        <v>4.7E-2</v>
      </c>
      <c r="D128" s="4">
        <v>0.26</v>
      </c>
      <c r="E128" s="1">
        <v>0.27</v>
      </c>
      <c r="F128" s="1">
        <v>0.48</v>
      </c>
      <c r="G128" s="1">
        <v>0.25</v>
      </c>
    </row>
    <row r="129" spans="1:7" x14ac:dyDescent="0.25">
      <c r="A129" s="1">
        <v>128</v>
      </c>
      <c r="B129" s="2">
        <v>810303</v>
      </c>
      <c r="C129" s="3">
        <v>1.7999999999999999E-2</v>
      </c>
      <c r="D129" s="4">
        <v>0.35</v>
      </c>
      <c r="E129" s="1">
        <v>0.31</v>
      </c>
      <c r="F129" s="1">
        <v>0.35</v>
      </c>
      <c r="G129" s="1">
        <v>0.34</v>
      </c>
    </row>
    <row r="130" spans="1:7" x14ac:dyDescent="0.25">
      <c r="A130" s="1">
        <v>129</v>
      </c>
      <c r="B130" s="2">
        <v>264900</v>
      </c>
      <c r="C130" s="3">
        <v>2.5999999999999999E-2</v>
      </c>
      <c r="D130" s="4">
        <v>0.38</v>
      </c>
      <c r="E130" s="1">
        <v>0.16</v>
      </c>
      <c r="F130" s="1">
        <v>0.47</v>
      </c>
      <c r="G130" s="1">
        <v>0.37</v>
      </c>
    </row>
    <row r="131" spans="1:7" x14ac:dyDescent="0.25">
      <c r="A131" s="1">
        <v>130</v>
      </c>
      <c r="B131" s="2">
        <v>818563</v>
      </c>
      <c r="C131" s="3">
        <v>4.2000000000000003E-2</v>
      </c>
      <c r="D131" s="4">
        <v>0.28999999999999998</v>
      </c>
      <c r="E131" s="1">
        <v>0.12</v>
      </c>
      <c r="F131" s="1">
        <v>0.5</v>
      </c>
      <c r="G131" s="1">
        <v>0.38</v>
      </c>
    </row>
    <row r="132" spans="1:7" x14ac:dyDescent="0.25">
      <c r="A132" s="1">
        <v>131</v>
      </c>
      <c r="B132" s="2">
        <v>702725</v>
      </c>
      <c r="C132" s="3">
        <v>1.7000000000000001E-2</v>
      </c>
      <c r="D132" s="4">
        <v>0.21</v>
      </c>
      <c r="E132" s="1">
        <v>0.33</v>
      </c>
      <c r="F132" s="1">
        <v>0.26</v>
      </c>
      <c r="G132" s="1">
        <v>0.41</v>
      </c>
    </row>
    <row r="133" spans="1:7" x14ac:dyDescent="0.25">
      <c r="A133" s="1">
        <v>132</v>
      </c>
      <c r="B133" s="2">
        <v>727932</v>
      </c>
      <c r="C133" s="3">
        <v>3.9E-2</v>
      </c>
      <c r="D133" s="4">
        <v>0.28000000000000003</v>
      </c>
      <c r="E133" s="1">
        <v>0.4</v>
      </c>
      <c r="F133" s="1">
        <v>0.2</v>
      </c>
      <c r="G133" s="1">
        <v>0.4</v>
      </c>
    </row>
    <row r="134" spans="1:7" x14ac:dyDescent="0.25">
      <c r="A134" s="1">
        <v>133</v>
      </c>
      <c r="B134" s="2">
        <v>863223</v>
      </c>
      <c r="C134" s="3">
        <v>1.7999999999999999E-2</v>
      </c>
      <c r="D134" s="4">
        <v>0.27</v>
      </c>
      <c r="E134" s="1">
        <v>0.22</v>
      </c>
      <c r="F134" s="1">
        <v>0.45</v>
      </c>
      <c r="G134" s="1">
        <v>0.33000000000000007</v>
      </c>
    </row>
    <row r="135" spans="1:7" x14ac:dyDescent="0.25">
      <c r="A135" s="1">
        <v>134</v>
      </c>
      <c r="B135" s="2">
        <v>532243</v>
      </c>
      <c r="C135" s="3">
        <v>1.9E-2</v>
      </c>
      <c r="D135" s="4">
        <v>0.37</v>
      </c>
      <c r="E135" s="1">
        <v>0.11</v>
      </c>
      <c r="F135" s="1">
        <v>0.35</v>
      </c>
      <c r="G135" s="1">
        <v>0.54</v>
      </c>
    </row>
    <row r="136" spans="1:7" x14ac:dyDescent="0.25">
      <c r="A136" s="1">
        <v>135</v>
      </c>
      <c r="B136" s="2">
        <v>565463</v>
      </c>
      <c r="C136" s="3">
        <v>3.3000000000000002E-2</v>
      </c>
      <c r="D136" s="4">
        <v>0.22</v>
      </c>
      <c r="E136" s="1">
        <v>0.14000000000000001</v>
      </c>
      <c r="F136" s="1">
        <v>0.31</v>
      </c>
      <c r="G136" s="1">
        <v>0.54999999999999993</v>
      </c>
    </row>
    <row r="137" spans="1:7" x14ac:dyDescent="0.25">
      <c r="A137" s="1">
        <v>136</v>
      </c>
      <c r="B137" s="2">
        <v>651723</v>
      </c>
      <c r="C137" s="3">
        <v>1.9E-2</v>
      </c>
      <c r="D137" s="4">
        <v>0.4</v>
      </c>
      <c r="E137" s="1">
        <v>0.34</v>
      </c>
      <c r="F137" s="1">
        <v>0.42</v>
      </c>
      <c r="G137" s="1">
        <v>0.24000000000000005</v>
      </c>
    </row>
    <row r="138" spans="1:7" x14ac:dyDescent="0.25">
      <c r="A138" s="1">
        <v>137</v>
      </c>
      <c r="B138" s="2">
        <v>280656</v>
      </c>
      <c r="C138" s="3">
        <v>2.8000000000000001E-2</v>
      </c>
      <c r="D138" s="4">
        <v>0.37</v>
      </c>
      <c r="E138" s="1">
        <v>0.38</v>
      </c>
      <c r="F138" s="1">
        <v>0.44</v>
      </c>
      <c r="G138" s="1">
        <v>0.18000000000000005</v>
      </c>
    </row>
    <row r="139" spans="1:7" x14ac:dyDescent="0.25">
      <c r="A139" s="1">
        <v>138</v>
      </c>
      <c r="B139" s="2">
        <v>289981</v>
      </c>
      <c r="C139" s="3">
        <v>3.3000000000000002E-2</v>
      </c>
      <c r="D139" s="4">
        <v>0.35</v>
      </c>
      <c r="E139" s="1">
        <v>0.38</v>
      </c>
      <c r="F139" s="1">
        <v>0.33</v>
      </c>
      <c r="G139" s="1">
        <v>0.28999999999999992</v>
      </c>
    </row>
    <row r="140" spans="1:7" x14ac:dyDescent="0.25">
      <c r="A140" s="1">
        <v>139</v>
      </c>
      <c r="B140" s="2">
        <v>249963</v>
      </c>
      <c r="C140" s="3">
        <v>4.8000000000000001E-2</v>
      </c>
      <c r="D140" s="4">
        <v>0.28000000000000003</v>
      </c>
      <c r="E140" s="1">
        <v>0.11</v>
      </c>
      <c r="F140" s="1">
        <v>0.31</v>
      </c>
      <c r="G140" s="1">
        <v>0.57999999999999996</v>
      </c>
    </row>
    <row r="141" spans="1:7" x14ac:dyDescent="0.25">
      <c r="A141" s="1">
        <v>140</v>
      </c>
      <c r="B141" s="2">
        <v>139807</v>
      </c>
      <c r="C141" s="3">
        <v>0.04</v>
      </c>
      <c r="D141" s="4">
        <v>0.34</v>
      </c>
      <c r="E141" s="1">
        <v>0.38</v>
      </c>
      <c r="F141" s="1">
        <v>0.28000000000000003</v>
      </c>
      <c r="G141" s="1">
        <v>0.33999999999999997</v>
      </c>
    </row>
    <row r="142" spans="1:7" x14ac:dyDescent="0.25">
      <c r="A142" s="1">
        <v>141</v>
      </c>
      <c r="B142" s="2">
        <v>370122</v>
      </c>
      <c r="C142" s="3">
        <v>2.9000000000000001E-2</v>
      </c>
      <c r="D142" s="4">
        <v>0.24</v>
      </c>
      <c r="E142" s="1">
        <v>0.11</v>
      </c>
      <c r="F142" s="1">
        <v>0.2</v>
      </c>
      <c r="G142" s="1">
        <v>0.69000000000000006</v>
      </c>
    </row>
    <row r="143" spans="1:7" x14ac:dyDescent="0.25">
      <c r="A143" s="1">
        <v>142</v>
      </c>
      <c r="B143" s="2">
        <v>635715</v>
      </c>
      <c r="C143" s="3">
        <v>4.9000000000000002E-2</v>
      </c>
      <c r="D143" s="4">
        <v>0.3</v>
      </c>
      <c r="E143" s="1">
        <v>0.21</v>
      </c>
      <c r="F143" s="1">
        <v>0.49</v>
      </c>
      <c r="G143" s="1">
        <v>0.30000000000000004</v>
      </c>
    </row>
    <row r="144" spans="1:7" x14ac:dyDescent="0.25">
      <c r="A144" s="1">
        <v>143</v>
      </c>
      <c r="B144" s="2">
        <v>763087</v>
      </c>
      <c r="C144" s="3">
        <v>3.9E-2</v>
      </c>
      <c r="D144" s="4">
        <v>0.28999999999999998</v>
      </c>
      <c r="E144" s="1">
        <v>0.23</v>
      </c>
      <c r="F144" s="1">
        <v>0.2</v>
      </c>
      <c r="G144" s="1">
        <v>0.57000000000000006</v>
      </c>
    </row>
    <row r="145" spans="1:7" x14ac:dyDescent="0.25">
      <c r="A145" s="1">
        <v>144</v>
      </c>
      <c r="B145" s="2">
        <v>189194</v>
      </c>
      <c r="C145" s="3">
        <v>2.3E-2</v>
      </c>
      <c r="D145" s="4">
        <v>0.22</v>
      </c>
      <c r="E145" s="1">
        <v>0.31</v>
      </c>
      <c r="F145" s="1">
        <v>0.28000000000000003</v>
      </c>
      <c r="G145" s="1">
        <v>0.41</v>
      </c>
    </row>
    <row r="146" spans="1:7" x14ac:dyDescent="0.25">
      <c r="A146" s="1">
        <v>145</v>
      </c>
      <c r="B146" s="2">
        <v>741232</v>
      </c>
      <c r="C146" s="3">
        <v>4.1000000000000002E-2</v>
      </c>
      <c r="D146" s="4">
        <v>0.21</v>
      </c>
      <c r="E146" s="1">
        <v>0.35</v>
      </c>
      <c r="F146" s="1">
        <v>0.21</v>
      </c>
      <c r="G146" s="1">
        <v>0.44000000000000006</v>
      </c>
    </row>
    <row r="147" spans="1:7" x14ac:dyDescent="0.25">
      <c r="A147" s="1">
        <v>146</v>
      </c>
      <c r="B147" s="2">
        <v>239149</v>
      </c>
      <c r="C147" s="3">
        <v>4.3999999999999997E-2</v>
      </c>
      <c r="D147" s="4">
        <v>0.2</v>
      </c>
      <c r="E147" s="1">
        <v>0.24</v>
      </c>
      <c r="F147" s="1">
        <v>0.23</v>
      </c>
      <c r="G147" s="1">
        <v>0.53</v>
      </c>
    </row>
    <row r="148" spans="1:7" x14ac:dyDescent="0.25">
      <c r="A148" s="1">
        <v>147</v>
      </c>
      <c r="B148" s="2">
        <v>453916</v>
      </c>
      <c r="C148" s="3">
        <v>1.0999999999999999E-2</v>
      </c>
      <c r="D148" s="4">
        <v>0.36</v>
      </c>
      <c r="E148" s="1">
        <v>0.39</v>
      </c>
      <c r="F148" s="1">
        <v>0.22</v>
      </c>
      <c r="G148" s="1">
        <v>0.39</v>
      </c>
    </row>
    <row r="149" spans="1:7" x14ac:dyDescent="0.25">
      <c r="A149" s="1">
        <v>148</v>
      </c>
      <c r="B149" s="2">
        <v>177367</v>
      </c>
      <c r="C149" s="3">
        <v>4.2000000000000003E-2</v>
      </c>
      <c r="D149" s="4">
        <v>0.36</v>
      </c>
      <c r="E149" s="1">
        <v>0.12</v>
      </c>
      <c r="F149" s="1">
        <v>0.2</v>
      </c>
      <c r="G149" s="1">
        <v>0.68</v>
      </c>
    </row>
    <row r="150" spans="1:7" x14ac:dyDescent="0.25">
      <c r="A150" s="1">
        <v>149</v>
      </c>
      <c r="B150" s="2">
        <v>458181</v>
      </c>
      <c r="C150" s="3">
        <v>3.4000000000000002E-2</v>
      </c>
      <c r="D150" s="4">
        <v>0.25</v>
      </c>
      <c r="E150" s="1">
        <v>0.38</v>
      </c>
      <c r="F150" s="1">
        <v>0.39</v>
      </c>
      <c r="G150" s="1">
        <v>0.22999999999999998</v>
      </c>
    </row>
    <row r="151" spans="1:7" x14ac:dyDescent="0.25">
      <c r="A151" s="1">
        <v>150</v>
      </c>
      <c r="B151" s="2">
        <v>524995</v>
      </c>
      <c r="C151" s="3">
        <v>2.7E-2</v>
      </c>
      <c r="D151" s="4">
        <v>0.22</v>
      </c>
      <c r="E151" s="1">
        <v>0.19</v>
      </c>
      <c r="F151" s="1">
        <v>0.37</v>
      </c>
      <c r="G151" s="1">
        <v>0.44</v>
      </c>
    </row>
    <row r="152" spans="1:7" x14ac:dyDescent="0.25">
      <c r="A152" s="1">
        <v>151</v>
      </c>
      <c r="B152" s="2">
        <v>686667</v>
      </c>
      <c r="C152" s="3">
        <v>3.5999999999999997E-2</v>
      </c>
      <c r="D152" s="4">
        <v>0.34</v>
      </c>
      <c r="E152" s="1">
        <v>0.14000000000000001</v>
      </c>
      <c r="F152" s="1">
        <v>0.38</v>
      </c>
      <c r="G152" s="1">
        <v>0.48</v>
      </c>
    </row>
    <row r="153" spans="1:7" x14ac:dyDescent="0.25">
      <c r="A153" s="1">
        <v>152</v>
      </c>
      <c r="B153" s="2">
        <v>404677</v>
      </c>
      <c r="C153" s="3">
        <v>2.5000000000000001E-2</v>
      </c>
      <c r="D153" s="4">
        <v>0.37</v>
      </c>
      <c r="E153" s="1">
        <v>0.14000000000000001</v>
      </c>
      <c r="F153" s="1">
        <v>0.33</v>
      </c>
      <c r="G153" s="1">
        <v>0.52999999999999992</v>
      </c>
    </row>
    <row r="154" spans="1:7" x14ac:dyDescent="0.25">
      <c r="A154" s="1">
        <v>153</v>
      </c>
      <c r="B154" s="2">
        <v>176972</v>
      </c>
      <c r="C154" s="3">
        <v>3.9E-2</v>
      </c>
      <c r="D154" s="4">
        <v>0.3</v>
      </c>
      <c r="E154" s="1">
        <v>0.1</v>
      </c>
      <c r="F154" s="1">
        <v>0.49</v>
      </c>
      <c r="G154" s="1">
        <v>0.41000000000000003</v>
      </c>
    </row>
    <row r="155" spans="1:7" x14ac:dyDescent="0.25">
      <c r="A155" s="1">
        <v>154</v>
      </c>
      <c r="B155" s="2">
        <v>455972</v>
      </c>
      <c r="C155" s="3">
        <v>3.2000000000000001E-2</v>
      </c>
      <c r="D155" s="4">
        <v>0.33</v>
      </c>
      <c r="E155" s="1">
        <v>0.28000000000000003</v>
      </c>
      <c r="F155" s="1">
        <v>0.34</v>
      </c>
      <c r="G155" s="1">
        <v>0.37999999999999989</v>
      </c>
    </row>
    <row r="156" spans="1:7" x14ac:dyDescent="0.25">
      <c r="A156" s="1">
        <v>155</v>
      </c>
      <c r="B156" s="2">
        <v>338613</v>
      </c>
      <c r="C156" s="3">
        <v>2.3E-2</v>
      </c>
      <c r="D156" s="4">
        <v>0.28000000000000003</v>
      </c>
      <c r="E156" s="1">
        <v>0.34</v>
      </c>
      <c r="F156" s="1">
        <v>0.3</v>
      </c>
      <c r="G156" s="1">
        <v>0.35999999999999993</v>
      </c>
    </row>
    <row r="157" spans="1:7" x14ac:dyDescent="0.25">
      <c r="A157" s="1">
        <v>156</v>
      </c>
      <c r="B157" s="2">
        <v>381399</v>
      </c>
      <c r="C157" s="3">
        <v>3.2000000000000001E-2</v>
      </c>
      <c r="D157" s="4">
        <v>0.26</v>
      </c>
      <c r="E157" s="1">
        <v>0.28999999999999998</v>
      </c>
      <c r="F157" s="1">
        <v>0.25</v>
      </c>
      <c r="G157" s="1">
        <v>0.46</v>
      </c>
    </row>
    <row r="158" spans="1:7" x14ac:dyDescent="0.25">
      <c r="A158" s="1">
        <v>157</v>
      </c>
      <c r="B158" s="2">
        <v>809298</v>
      </c>
      <c r="C158" s="3">
        <v>4.2999999999999997E-2</v>
      </c>
      <c r="D158" s="4">
        <v>0.26</v>
      </c>
      <c r="E158" s="1">
        <v>0.38</v>
      </c>
      <c r="F158" s="1">
        <v>0.28999999999999998</v>
      </c>
      <c r="G158" s="1">
        <v>0.32999999999999996</v>
      </c>
    </row>
    <row r="159" spans="1:7" x14ac:dyDescent="0.25">
      <c r="A159" s="1">
        <v>158</v>
      </c>
      <c r="B159" s="2">
        <v>301118</v>
      </c>
      <c r="C159" s="3">
        <v>0.05</v>
      </c>
      <c r="D159" s="4">
        <v>0.37</v>
      </c>
      <c r="E159" s="1">
        <v>0.4</v>
      </c>
      <c r="F159" s="1">
        <v>0.22</v>
      </c>
      <c r="G159" s="1">
        <v>0.38</v>
      </c>
    </row>
    <row r="160" spans="1:7" x14ac:dyDescent="0.25">
      <c r="A160" s="1">
        <v>159</v>
      </c>
      <c r="B160" s="2">
        <v>165621</v>
      </c>
      <c r="C160" s="3">
        <v>1.4E-2</v>
      </c>
      <c r="D160" s="4">
        <v>0.25</v>
      </c>
      <c r="E160" s="1">
        <v>0.13</v>
      </c>
      <c r="F160" s="1">
        <v>0.28000000000000003</v>
      </c>
      <c r="G160" s="1">
        <v>0.59</v>
      </c>
    </row>
    <row r="161" spans="1:7" x14ac:dyDescent="0.25">
      <c r="A161" s="1">
        <v>160</v>
      </c>
      <c r="B161" s="2">
        <v>397650</v>
      </c>
      <c r="C161" s="3">
        <v>1.2999999999999999E-2</v>
      </c>
      <c r="D161" s="4">
        <v>0.35</v>
      </c>
      <c r="E161" s="1">
        <v>0.31</v>
      </c>
      <c r="F161" s="1">
        <v>0.33</v>
      </c>
      <c r="G161" s="1">
        <v>0.35999999999999993</v>
      </c>
    </row>
    <row r="162" spans="1:7" x14ac:dyDescent="0.25">
      <c r="A162" s="1">
        <v>161</v>
      </c>
      <c r="B162" s="2">
        <v>848949</v>
      </c>
      <c r="C162" s="3">
        <v>0.04</v>
      </c>
      <c r="D162" s="4">
        <v>0.27</v>
      </c>
      <c r="E162" s="1">
        <v>0.23</v>
      </c>
      <c r="F162" s="1">
        <v>0.26</v>
      </c>
      <c r="G162" s="1">
        <v>0.51</v>
      </c>
    </row>
    <row r="163" spans="1:7" x14ac:dyDescent="0.25">
      <c r="A163" s="1">
        <v>162</v>
      </c>
      <c r="B163" s="2">
        <v>545744</v>
      </c>
      <c r="C163" s="3">
        <v>1.7000000000000001E-2</v>
      </c>
      <c r="D163" s="4">
        <v>0.2</v>
      </c>
      <c r="E163" s="1">
        <v>0.31</v>
      </c>
      <c r="F163" s="1">
        <v>0.35</v>
      </c>
      <c r="G163" s="1">
        <v>0.34</v>
      </c>
    </row>
    <row r="164" spans="1:7" x14ac:dyDescent="0.25">
      <c r="A164" s="1">
        <v>163</v>
      </c>
      <c r="B164" s="2">
        <v>123166</v>
      </c>
      <c r="C164" s="3">
        <v>2.4E-2</v>
      </c>
      <c r="D164" s="4">
        <v>0.37</v>
      </c>
      <c r="E164" s="1">
        <v>0.26</v>
      </c>
      <c r="F164" s="1">
        <v>0.48</v>
      </c>
      <c r="G164" s="1">
        <v>0.26</v>
      </c>
    </row>
    <row r="165" spans="1:7" x14ac:dyDescent="0.25">
      <c r="A165" s="1">
        <v>164</v>
      </c>
      <c r="B165" s="2">
        <v>612515</v>
      </c>
      <c r="C165" s="3">
        <v>4.2999999999999997E-2</v>
      </c>
      <c r="D165" s="4">
        <v>0.28999999999999998</v>
      </c>
      <c r="E165" s="1">
        <v>0.11</v>
      </c>
      <c r="F165" s="1">
        <v>0.45</v>
      </c>
      <c r="G165" s="1">
        <v>0.44000000000000006</v>
      </c>
    </row>
    <row r="166" spans="1:7" x14ac:dyDescent="0.25">
      <c r="A166" s="1">
        <v>165</v>
      </c>
      <c r="B166" s="2">
        <v>348908</v>
      </c>
      <c r="C166" s="3">
        <v>4.1000000000000002E-2</v>
      </c>
      <c r="D166" s="4">
        <v>0.28999999999999998</v>
      </c>
      <c r="E166" s="1">
        <v>0.3</v>
      </c>
      <c r="F166" s="1">
        <v>0.45</v>
      </c>
      <c r="G166" s="1">
        <v>0.25000000000000006</v>
      </c>
    </row>
    <row r="167" spans="1:7" x14ac:dyDescent="0.25">
      <c r="A167" s="1">
        <v>166</v>
      </c>
      <c r="B167" s="2">
        <v>242695</v>
      </c>
      <c r="C167" s="3">
        <v>3.2000000000000001E-2</v>
      </c>
      <c r="D167" s="4">
        <v>0.35</v>
      </c>
      <c r="E167" s="1">
        <v>0.31</v>
      </c>
      <c r="F167" s="1">
        <v>0.48</v>
      </c>
      <c r="G167" s="1">
        <v>0.21000000000000002</v>
      </c>
    </row>
    <row r="168" spans="1:7" x14ac:dyDescent="0.25">
      <c r="A168" s="1">
        <v>167</v>
      </c>
      <c r="B168" s="2">
        <v>803923</v>
      </c>
      <c r="C168" s="3">
        <v>3.5999999999999997E-2</v>
      </c>
      <c r="D168" s="4">
        <v>0.31</v>
      </c>
      <c r="E168" s="1">
        <v>0.38</v>
      </c>
      <c r="F168" s="1">
        <v>0.46</v>
      </c>
      <c r="G168" s="1">
        <v>0.16000000000000003</v>
      </c>
    </row>
    <row r="169" spans="1:7" x14ac:dyDescent="0.25">
      <c r="A169" s="1">
        <v>168</v>
      </c>
      <c r="B169" s="2">
        <v>250814</v>
      </c>
      <c r="C169" s="3">
        <v>2.3E-2</v>
      </c>
      <c r="D169" s="4">
        <v>0.26</v>
      </c>
      <c r="E169" s="1">
        <v>0.18</v>
      </c>
      <c r="F169" s="1">
        <v>0.35</v>
      </c>
      <c r="G169" s="1">
        <v>0.47000000000000003</v>
      </c>
    </row>
    <row r="170" spans="1:7" x14ac:dyDescent="0.25">
      <c r="A170" s="1">
        <v>169</v>
      </c>
      <c r="B170" s="2">
        <v>137609</v>
      </c>
      <c r="C170" s="3">
        <v>3.6999999999999998E-2</v>
      </c>
      <c r="D170" s="4">
        <v>0.34</v>
      </c>
      <c r="E170" s="1">
        <v>0.35</v>
      </c>
      <c r="F170" s="1">
        <v>0.42</v>
      </c>
      <c r="G170" s="1">
        <v>0.23000000000000009</v>
      </c>
    </row>
    <row r="171" spans="1:7" x14ac:dyDescent="0.25">
      <c r="A171" s="1">
        <v>170</v>
      </c>
      <c r="B171" s="2">
        <v>779000</v>
      </c>
      <c r="C171" s="3">
        <v>2.3E-2</v>
      </c>
      <c r="D171" s="4">
        <v>0.27</v>
      </c>
      <c r="E171" s="1">
        <v>0.35</v>
      </c>
      <c r="F171" s="1">
        <v>0.5</v>
      </c>
      <c r="G171" s="1">
        <v>0.15000000000000002</v>
      </c>
    </row>
    <row r="172" spans="1:7" x14ac:dyDescent="0.25">
      <c r="A172" s="1">
        <v>171</v>
      </c>
      <c r="B172" s="2">
        <v>227697</v>
      </c>
      <c r="C172" s="3">
        <v>4.4999999999999998E-2</v>
      </c>
      <c r="D172" s="4">
        <v>0.37</v>
      </c>
      <c r="E172" s="1">
        <v>0.12</v>
      </c>
      <c r="F172" s="1">
        <v>0.44</v>
      </c>
      <c r="G172" s="1">
        <v>0.44000000000000006</v>
      </c>
    </row>
    <row r="173" spans="1:7" x14ac:dyDescent="0.25">
      <c r="A173" s="1">
        <v>172</v>
      </c>
      <c r="B173" s="2">
        <v>227400</v>
      </c>
      <c r="C173" s="3">
        <v>0.02</v>
      </c>
      <c r="D173" s="4">
        <v>0.39</v>
      </c>
      <c r="E173" s="1">
        <v>0.12</v>
      </c>
      <c r="F173" s="1">
        <v>0.38</v>
      </c>
      <c r="G173" s="1">
        <v>0.5</v>
      </c>
    </row>
    <row r="174" spans="1:7" x14ac:dyDescent="0.25">
      <c r="A174" s="1">
        <v>173</v>
      </c>
      <c r="B174" s="2">
        <v>519046</v>
      </c>
      <c r="C174" s="3">
        <v>0.03</v>
      </c>
      <c r="D174" s="4">
        <v>0.4</v>
      </c>
      <c r="E174" s="1">
        <v>0.36</v>
      </c>
      <c r="F174" s="1">
        <v>0.21</v>
      </c>
      <c r="G174" s="1">
        <v>0.43000000000000005</v>
      </c>
    </row>
    <row r="175" spans="1:7" x14ac:dyDescent="0.25">
      <c r="A175" s="1">
        <v>174</v>
      </c>
      <c r="B175" s="2">
        <v>258981</v>
      </c>
      <c r="C175" s="3">
        <v>1.0999999999999999E-2</v>
      </c>
      <c r="D175" s="4">
        <v>0.21</v>
      </c>
      <c r="E175" s="1">
        <v>0.33</v>
      </c>
      <c r="F175" s="1">
        <v>0.49</v>
      </c>
      <c r="G175" s="1">
        <v>0.18</v>
      </c>
    </row>
    <row r="176" spans="1:7" x14ac:dyDescent="0.25">
      <c r="A176" s="1">
        <v>175</v>
      </c>
      <c r="B176" s="2">
        <v>458557</v>
      </c>
      <c r="C176" s="3">
        <v>1.0999999999999999E-2</v>
      </c>
      <c r="D176" s="4">
        <v>0.33</v>
      </c>
      <c r="E176" s="1">
        <v>0.34</v>
      </c>
      <c r="F176" s="1">
        <v>0.36</v>
      </c>
      <c r="G176" s="1">
        <v>0.3</v>
      </c>
    </row>
    <row r="177" spans="1:7" x14ac:dyDescent="0.25">
      <c r="A177" s="1">
        <v>176</v>
      </c>
      <c r="B177" s="2">
        <v>334283</v>
      </c>
      <c r="C177" s="3">
        <v>0.03</v>
      </c>
      <c r="D177" s="4">
        <v>0.24</v>
      </c>
      <c r="E177" s="1">
        <v>0.26</v>
      </c>
      <c r="F177" s="1">
        <v>0.39</v>
      </c>
      <c r="G177" s="1">
        <v>0.35</v>
      </c>
    </row>
    <row r="178" spans="1:7" x14ac:dyDescent="0.25">
      <c r="A178" s="1">
        <v>177</v>
      </c>
      <c r="B178" s="2">
        <v>349632</v>
      </c>
      <c r="C178" s="3">
        <v>4.8000000000000001E-2</v>
      </c>
      <c r="D178" s="4">
        <v>0.27</v>
      </c>
      <c r="E178" s="1">
        <v>0.23</v>
      </c>
      <c r="F178" s="1">
        <v>0.34</v>
      </c>
      <c r="G178" s="1">
        <v>0.42999999999999994</v>
      </c>
    </row>
    <row r="179" spans="1:7" x14ac:dyDescent="0.25">
      <c r="A179" s="1">
        <v>178</v>
      </c>
      <c r="B179" s="2">
        <v>547416</v>
      </c>
      <c r="C179" s="3">
        <v>4.2999999999999997E-2</v>
      </c>
      <c r="D179" s="4">
        <v>0.22</v>
      </c>
      <c r="E179" s="1">
        <v>0.27</v>
      </c>
      <c r="F179" s="1">
        <v>0.22</v>
      </c>
      <c r="G179" s="1">
        <v>0.51</v>
      </c>
    </row>
    <row r="180" spans="1:7" x14ac:dyDescent="0.25">
      <c r="A180" s="1">
        <v>179</v>
      </c>
      <c r="B180" s="2">
        <v>549324</v>
      </c>
      <c r="C180" s="3">
        <v>3.9E-2</v>
      </c>
      <c r="D180" s="4">
        <v>0.36</v>
      </c>
      <c r="E180" s="1">
        <v>0.21</v>
      </c>
      <c r="F180" s="1">
        <v>0.26</v>
      </c>
      <c r="G180" s="1">
        <v>0.53</v>
      </c>
    </row>
    <row r="181" spans="1:7" x14ac:dyDescent="0.25">
      <c r="A181" s="1">
        <v>180</v>
      </c>
      <c r="B181" s="2">
        <v>351776</v>
      </c>
      <c r="C181" s="3">
        <v>4.3999999999999997E-2</v>
      </c>
      <c r="D181" s="4">
        <v>0.21</v>
      </c>
      <c r="E181" s="1">
        <v>0.31</v>
      </c>
      <c r="F181" s="1">
        <v>0.2</v>
      </c>
      <c r="G181" s="1">
        <v>0.49000000000000005</v>
      </c>
    </row>
    <row r="182" spans="1:7" x14ac:dyDescent="0.25">
      <c r="A182" s="1">
        <v>181</v>
      </c>
      <c r="B182" s="2">
        <v>668103</v>
      </c>
      <c r="C182" s="3">
        <v>1.7999999999999999E-2</v>
      </c>
      <c r="D182" s="4">
        <v>0.2</v>
      </c>
      <c r="E182" s="1">
        <v>0.21</v>
      </c>
      <c r="F182" s="1">
        <v>0.28999999999999998</v>
      </c>
      <c r="G182" s="1">
        <v>0.5</v>
      </c>
    </row>
    <row r="183" spans="1:7" x14ac:dyDescent="0.25">
      <c r="A183" s="1">
        <v>182</v>
      </c>
      <c r="B183" s="2">
        <v>759635</v>
      </c>
      <c r="C183" s="3">
        <v>4.2999999999999997E-2</v>
      </c>
      <c r="D183" s="4">
        <v>0.22</v>
      </c>
      <c r="E183" s="1">
        <v>0.23</v>
      </c>
      <c r="F183" s="1">
        <v>0.42</v>
      </c>
      <c r="G183" s="1">
        <v>0.35000000000000009</v>
      </c>
    </row>
    <row r="184" spans="1:7" x14ac:dyDescent="0.25">
      <c r="A184" s="1">
        <v>183</v>
      </c>
      <c r="B184" s="2">
        <v>589698</v>
      </c>
      <c r="C184" s="3">
        <v>4.7E-2</v>
      </c>
      <c r="D184" s="4">
        <v>0.36</v>
      </c>
      <c r="E184" s="1">
        <v>0.23</v>
      </c>
      <c r="F184" s="1">
        <v>0.45</v>
      </c>
      <c r="G184" s="1">
        <v>0.32000000000000006</v>
      </c>
    </row>
    <row r="185" spans="1:7" x14ac:dyDescent="0.25">
      <c r="A185" s="1">
        <v>184</v>
      </c>
      <c r="B185" s="2">
        <v>145356</v>
      </c>
      <c r="C185" s="3">
        <v>3.9E-2</v>
      </c>
      <c r="D185" s="4">
        <v>0.38</v>
      </c>
      <c r="E185" s="1">
        <v>0.16</v>
      </c>
      <c r="F185" s="1">
        <v>0.33</v>
      </c>
      <c r="G185" s="1">
        <v>0.5099999999999999</v>
      </c>
    </row>
    <row r="186" spans="1:7" x14ac:dyDescent="0.25">
      <c r="A186" s="1">
        <v>185</v>
      </c>
      <c r="B186" s="2">
        <v>792959</v>
      </c>
      <c r="C186" s="3">
        <v>1.2E-2</v>
      </c>
      <c r="D186" s="4">
        <v>0.24</v>
      </c>
      <c r="E186" s="1">
        <v>0.35</v>
      </c>
      <c r="F186" s="1">
        <v>0.42</v>
      </c>
      <c r="G186" s="1">
        <v>0.23000000000000009</v>
      </c>
    </row>
    <row r="187" spans="1:7" x14ac:dyDescent="0.25">
      <c r="A187" s="1">
        <v>186</v>
      </c>
      <c r="B187" s="2">
        <v>702728</v>
      </c>
      <c r="C187" s="3">
        <v>1.0999999999999999E-2</v>
      </c>
      <c r="D187" s="4">
        <v>0.36</v>
      </c>
      <c r="E187" s="1">
        <v>0.35</v>
      </c>
      <c r="F187" s="1">
        <v>0.33</v>
      </c>
      <c r="G187" s="1">
        <v>0.31999999999999995</v>
      </c>
    </row>
    <row r="188" spans="1:7" x14ac:dyDescent="0.25">
      <c r="A188" s="1">
        <v>187</v>
      </c>
      <c r="B188" s="2">
        <v>663741</v>
      </c>
      <c r="C188" s="3">
        <v>2.5999999999999999E-2</v>
      </c>
      <c r="D188" s="4">
        <v>0.24</v>
      </c>
      <c r="E188" s="1">
        <v>0.32</v>
      </c>
      <c r="F188" s="1">
        <v>0.33</v>
      </c>
      <c r="G188" s="1">
        <v>0.34999999999999992</v>
      </c>
    </row>
    <row r="189" spans="1:7" x14ac:dyDescent="0.25">
      <c r="A189" s="1">
        <v>188</v>
      </c>
      <c r="B189" s="2">
        <v>778896</v>
      </c>
      <c r="C189" s="3">
        <v>3.6999999999999998E-2</v>
      </c>
      <c r="D189" s="4">
        <v>0.4</v>
      </c>
      <c r="E189" s="1">
        <v>0.38</v>
      </c>
      <c r="F189" s="1">
        <v>0.43</v>
      </c>
      <c r="G189" s="1">
        <v>0.19000000000000006</v>
      </c>
    </row>
    <row r="190" spans="1:7" x14ac:dyDescent="0.25">
      <c r="A190" s="1">
        <v>189</v>
      </c>
      <c r="B190" s="2">
        <v>451805</v>
      </c>
      <c r="C190" s="3">
        <v>0.03</v>
      </c>
      <c r="D190" s="4">
        <v>0.39</v>
      </c>
      <c r="E190" s="1">
        <v>0.36</v>
      </c>
      <c r="F190" s="1">
        <v>0.25</v>
      </c>
      <c r="G190" s="1">
        <v>0.39</v>
      </c>
    </row>
    <row r="191" spans="1:7" x14ac:dyDescent="0.25">
      <c r="A191" s="1">
        <v>190</v>
      </c>
      <c r="B191" s="2">
        <v>577995</v>
      </c>
      <c r="C191" s="3">
        <v>4.4999999999999998E-2</v>
      </c>
      <c r="D191" s="4">
        <v>0.31</v>
      </c>
      <c r="E191" s="1">
        <v>0.25</v>
      </c>
      <c r="F191" s="1">
        <v>0.4</v>
      </c>
      <c r="G191" s="1">
        <v>0.35</v>
      </c>
    </row>
    <row r="192" spans="1:7" x14ac:dyDescent="0.25">
      <c r="A192" s="1">
        <v>191</v>
      </c>
      <c r="B192" s="2">
        <v>339643</v>
      </c>
      <c r="C192" s="3">
        <v>2.1000000000000001E-2</v>
      </c>
      <c r="D192" s="4">
        <v>0.27</v>
      </c>
      <c r="E192" s="1">
        <v>0.34</v>
      </c>
      <c r="F192" s="1">
        <v>0.28999999999999998</v>
      </c>
      <c r="G192" s="1">
        <v>0.36999999999999994</v>
      </c>
    </row>
    <row r="193" spans="1:7" x14ac:dyDescent="0.25">
      <c r="A193" s="1">
        <v>192</v>
      </c>
      <c r="B193" s="2">
        <v>716420</v>
      </c>
      <c r="C193" s="3">
        <v>1.2999999999999999E-2</v>
      </c>
      <c r="D193" s="4">
        <v>0.27</v>
      </c>
      <c r="E193" s="1">
        <v>0.34</v>
      </c>
      <c r="F193" s="1">
        <v>0.28999999999999998</v>
      </c>
      <c r="G193" s="1">
        <v>0.36999999999999994</v>
      </c>
    </row>
    <row r="194" spans="1:7" x14ac:dyDescent="0.25">
      <c r="A194" s="1">
        <v>193</v>
      </c>
      <c r="B194" s="2">
        <v>803781</v>
      </c>
      <c r="C194" s="3">
        <v>2.1999999999999999E-2</v>
      </c>
      <c r="D194" s="4">
        <v>0.32</v>
      </c>
      <c r="E194" s="1">
        <v>0.31</v>
      </c>
      <c r="F194" s="1">
        <v>0.27</v>
      </c>
      <c r="G194" s="1">
        <v>0.42</v>
      </c>
    </row>
    <row r="195" spans="1:7" x14ac:dyDescent="0.25">
      <c r="A195" s="1">
        <v>194</v>
      </c>
      <c r="B195" s="2">
        <v>422030</v>
      </c>
      <c r="C195" s="3">
        <v>4.5999999999999999E-2</v>
      </c>
      <c r="D195" s="4">
        <v>0.4</v>
      </c>
      <c r="E195" s="1">
        <v>0.16</v>
      </c>
      <c r="F195" s="1">
        <v>0.28999999999999998</v>
      </c>
      <c r="G195" s="1">
        <v>0.54999999999999993</v>
      </c>
    </row>
    <row r="196" spans="1:7" x14ac:dyDescent="0.25">
      <c r="A196" s="1">
        <v>195</v>
      </c>
      <c r="B196" s="2">
        <v>334101</v>
      </c>
      <c r="C196" s="3">
        <v>1.2999999999999999E-2</v>
      </c>
      <c r="D196" s="4">
        <v>0.24</v>
      </c>
      <c r="E196" s="1">
        <v>0.35</v>
      </c>
      <c r="F196" s="1">
        <v>0.28000000000000003</v>
      </c>
      <c r="G196" s="1">
        <v>0.37</v>
      </c>
    </row>
    <row r="197" spans="1:7" x14ac:dyDescent="0.25">
      <c r="A197" s="1">
        <v>196</v>
      </c>
      <c r="B197" s="2">
        <v>767750</v>
      </c>
      <c r="C197" s="3">
        <v>0.02</v>
      </c>
      <c r="D197" s="4">
        <v>0.25</v>
      </c>
      <c r="E197" s="1">
        <v>0.26</v>
      </c>
      <c r="F197" s="1">
        <v>0.36</v>
      </c>
      <c r="G197" s="1">
        <v>0.38</v>
      </c>
    </row>
    <row r="198" spans="1:7" x14ac:dyDescent="0.25">
      <c r="A198" s="1">
        <v>197</v>
      </c>
      <c r="B198" s="2">
        <v>387715</v>
      </c>
      <c r="C198" s="3">
        <v>3.2000000000000001E-2</v>
      </c>
      <c r="D198" s="4">
        <v>0.28999999999999998</v>
      </c>
      <c r="E198" s="1">
        <v>0.14000000000000001</v>
      </c>
      <c r="F198" s="1">
        <v>0.45</v>
      </c>
      <c r="G198" s="1">
        <v>0.41000000000000003</v>
      </c>
    </row>
    <row r="199" spans="1:7" x14ac:dyDescent="0.25">
      <c r="A199" s="1">
        <v>198</v>
      </c>
      <c r="B199" s="2">
        <v>349670</v>
      </c>
      <c r="C199" s="3">
        <v>3.3000000000000002E-2</v>
      </c>
      <c r="D199" s="4">
        <v>0.22</v>
      </c>
      <c r="E199" s="1">
        <v>0.25</v>
      </c>
      <c r="F199" s="1">
        <v>0.35</v>
      </c>
      <c r="G199" s="1">
        <v>0.4</v>
      </c>
    </row>
    <row r="200" spans="1:7" x14ac:dyDescent="0.25">
      <c r="A200" s="1">
        <v>199</v>
      </c>
      <c r="B200" s="2">
        <v>241611</v>
      </c>
      <c r="C200" s="3">
        <v>3.5999999999999997E-2</v>
      </c>
      <c r="D200" s="4">
        <v>0.25</v>
      </c>
      <c r="E200" s="1">
        <v>0.2</v>
      </c>
      <c r="F200" s="1">
        <v>0.41</v>
      </c>
      <c r="G200" s="1">
        <v>0.39000000000000007</v>
      </c>
    </row>
    <row r="201" spans="1:7" x14ac:dyDescent="0.25">
      <c r="A201" s="1">
        <v>200</v>
      </c>
      <c r="B201" s="2">
        <v>299096</v>
      </c>
      <c r="C201" s="3">
        <v>1.7000000000000001E-2</v>
      </c>
      <c r="D201" s="4">
        <v>0.4</v>
      </c>
      <c r="E201" s="1">
        <v>0.12</v>
      </c>
      <c r="F201" s="1">
        <v>0.49</v>
      </c>
      <c r="G201" s="1">
        <v>0.39</v>
      </c>
    </row>
    <row r="202" spans="1:7" x14ac:dyDescent="0.25">
      <c r="A202" s="1">
        <v>201</v>
      </c>
      <c r="B202" s="2">
        <v>129199</v>
      </c>
      <c r="C202" s="3">
        <v>0.03</v>
      </c>
      <c r="D202" s="4">
        <v>0.21</v>
      </c>
      <c r="E202" s="1">
        <v>0.2</v>
      </c>
      <c r="F202" s="1">
        <v>0.42</v>
      </c>
      <c r="G202" s="1">
        <v>0.38000000000000006</v>
      </c>
    </row>
    <row r="203" spans="1:7" x14ac:dyDescent="0.25">
      <c r="A203" s="1">
        <v>202</v>
      </c>
      <c r="B203" s="2">
        <v>626288</v>
      </c>
      <c r="C203" s="3">
        <v>0.01</v>
      </c>
      <c r="D203" s="4">
        <v>0.37</v>
      </c>
      <c r="E203" s="1">
        <v>0.2</v>
      </c>
      <c r="F203" s="1">
        <v>0.35</v>
      </c>
      <c r="G203" s="1">
        <v>0.45</v>
      </c>
    </row>
    <row r="204" spans="1:7" x14ac:dyDescent="0.25">
      <c r="A204" s="1">
        <v>203</v>
      </c>
      <c r="B204" s="2">
        <v>892802</v>
      </c>
      <c r="C204" s="3">
        <v>2.9000000000000001E-2</v>
      </c>
      <c r="D204" s="4">
        <v>0.34</v>
      </c>
      <c r="E204" s="1">
        <v>0.13</v>
      </c>
      <c r="F204" s="1">
        <v>0.35</v>
      </c>
      <c r="G204" s="1">
        <v>0.52</v>
      </c>
    </row>
    <row r="205" spans="1:7" x14ac:dyDescent="0.25">
      <c r="A205" s="1">
        <v>204</v>
      </c>
      <c r="B205" s="2">
        <v>323542</v>
      </c>
      <c r="C205" s="3">
        <v>0.01</v>
      </c>
      <c r="D205" s="4">
        <v>0.32</v>
      </c>
      <c r="E205" s="1">
        <v>0.25</v>
      </c>
      <c r="F205" s="1">
        <v>0.28000000000000003</v>
      </c>
      <c r="G205" s="1">
        <v>0.47</v>
      </c>
    </row>
    <row r="206" spans="1:7" x14ac:dyDescent="0.25">
      <c r="A206" s="1">
        <v>205</v>
      </c>
      <c r="B206" s="2">
        <v>691905</v>
      </c>
      <c r="C206" s="3">
        <v>4.5999999999999999E-2</v>
      </c>
      <c r="D206" s="4">
        <v>0.21</v>
      </c>
      <c r="E206" s="1">
        <v>0.33</v>
      </c>
      <c r="F206" s="1">
        <v>0.49</v>
      </c>
      <c r="G206" s="1">
        <v>0.18</v>
      </c>
    </row>
    <row r="207" spans="1:7" x14ac:dyDescent="0.25">
      <c r="A207" s="1">
        <v>206</v>
      </c>
      <c r="B207" s="2">
        <v>569929</v>
      </c>
      <c r="C207" s="3">
        <v>2.1000000000000001E-2</v>
      </c>
      <c r="D207" s="4">
        <v>0.28999999999999998</v>
      </c>
      <c r="E207" s="1">
        <v>0.33</v>
      </c>
      <c r="F207" s="1">
        <v>0.31</v>
      </c>
      <c r="G207" s="1">
        <v>0.35999999999999993</v>
      </c>
    </row>
    <row r="208" spans="1:7" x14ac:dyDescent="0.25">
      <c r="A208" s="1">
        <v>207</v>
      </c>
      <c r="B208" s="2">
        <v>776169</v>
      </c>
      <c r="C208" s="3">
        <v>0.05</v>
      </c>
      <c r="D208" s="4">
        <v>0.4</v>
      </c>
      <c r="E208" s="1">
        <v>0.14000000000000001</v>
      </c>
      <c r="F208" s="1">
        <v>0.48</v>
      </c>
      <c r="G208" s="1">
        <v>0.38</v>
      </c>
    </row>
    <row r="209" spans="1:7" x14ac:dyDescent="0.25">
      <c r="A209" s="1">
        <v>208</v>
      </c>
      <c r="B209" s="2">
        <v>426977</v>
      </c>
      <c r="C209" s="3">
        <v>4.7E-2</v>
      </c>
      <c r="D209" s="4">
        <v>0.28999999999999998</v>
      </c>
      <c r="E209" s="1">
        <v>0.37</v>
      </c>
      <c r="F209" s="1">
        <v>0.26</v>
      </c>
      <c r="G209" s="1">
        <v>0.37</v>
      </c>
    </row>
    <row r="210" spans="1:7" x14ac:dyDescent="0.25">
      <c r="A210" s="1">
        <v>209</v>
      </c>
      <c r="B210" s="2">
        <v>823482</v>
      </c>
      <c r="C210" s="3">
        <v>3.5000000000000003E-2</v>
      </c>
      <c r="D210" s="4">
        <v>0.35</v>
      </c>
      <c r="E210" s="1">
        <v>0.18</v>
      </c>
      <c r="F210" s="1">
        <v>0.36</v>
      </c>
      <c r="G210" s="1">
        <v>0.46</v>
      </c>
    </row>
    <row r="211" spans="1:7" x14ac:dyDescent="0.25">
      <c r="A211" s="1">
        <v>210</v>
      </c>
      <c r="B211" s="2">
        <v>444171</v>
      </c>
      <c r="C211" s="3">
        <v>0.03</v>
      </c>
      <c r="D211" s="4">
        <v>0.26</v>
      </c>
      <c r="E211" s="1">
        <v>0.21</v>
      </c>
      <c r="F211" s="1">
        <v>0.4</v>
      </c>
      <c r="G211" s="1">
        <v>0.39</v>
      </c>
    </row>
    <row r="212" spans="1:7" x14ac:dyDescent="0.25">
      <c r="A212" s="1">
        <v>211</v>
      </c>
      <c r="B212" s="2">
        <v>118094</v>
      </c>
      <c r="C212" s="3">
        <v>3.4000000000000002E-2</v>
      </c>
      <c r="D212" s="4">
        <v>0.31</v>
      </c>
      <c r="E212" s="1">
        <v>0.3</v>
      </c>
      <c r="F212" s="1">
        <v>0.38</v>
      </c>
      <c r="G212" s="1">
        <v>0.32</v>
      </c>
    </row>
    <row r="213" spans="1:7" x14ac:dyDescent="0.25">
      <c r="A213" s="1">
        <v>212</v>
      </c>
      <c r="B213" s="2">
        <v>480829</v>
      </c>
      <c r="C213" s="3">
        <v>1.9E-2</v>
      </c>
      <c r="D213" s="4">
        <v>0.23</v>
      </c>
      <c r="E213" s="1">
        <v>0.12</v>
      </c>
      <c r="F213" s="1">
        <v>0.48</v>
      </c>
      <c r="G213" s="1">
        <v>0.4</v>
      </c>
    </row>
    <row r="214" spans="1:7" x14ac:dyDescent="0.25">
      <c r="A214" s="1">
        <v>213</v>
      </c>
      <c r="B214" s="2">
        <v>261839</v>
      </c>
      <c r="C214" s="3">
        <v>2.1000000000000001E-2</v>
      </c>
      <c r="D214" s="4">
        <v>0.28000000000000003</v>
      </c>
      <c r="E214" s="1">
        <v>0.15</v>
      </c>
      <c r="F214" s="1">
        <v>0.5</v>
      </c>
      <c r="G214" s="1">
        <v>0.35</v>
      </c>
    </row>
    <row r="215" spans="1:7" x14ac:dyDescent="0.25">
      <c r="A215" s="1">
        <v>214</v>
      </c>
      <c r="B215" s="2">
        <v>294138</v>
      </c>
      <c r="C215" s="3">
        <v>1.6E-2</v>
      </c>
      <c r="D215" s="4">
        <v>0.2</v>
      </c>
      <c r="E215" s="1">
        <v>0.2</v>
      </c>
      <c r="F215" s="1">
        <v>0.46</v>
      </c>
      <c r="G215" s="1">
        <v>0.34</v>
      </c>
    </row>
    <row r="216" spans="1:7" x14ac:dyDescent="0.25">
      <c r="A216" s="1">
        <v>215</v>
      </c>
      <c r="B216" s="2">
        <v>233993</v>
      </c>
      <c r="C216" s="3">
        <v>0.02</v>
      </c>
      <c r="D216" s="4">
        <v>0.32</v>
      </c>
      <c r="E216" s="1">
        <v>0.27</v>
      </c>
      <c r="F216" s="1">
        <v>0.21</v>
      </c>
      <c r="G216" s="1">
        <v>0.52</v>
      </c>
    </row>
    <row r="217" spans="1:7" x14ac:dyDescent="0.25">
      <c r="A217" s="1">
        <v>216</v>
      </c>
      <c r="B217" s="2">
        <v>296427</v>
      </c>
      <c r="C217" s="3">
        <v>4.3999999999999997E-2</v>
      </c>
      <c r="D217" s="4">
        <v>0.33</v>
      </c>
      <c r="E217" s="1">
        <v>0.36</v>
      </c>
      <c r="F217" s="1">
        <v>0.31</v>
      </c>
      <c r="G217" s="1">
        <v>0.32999999999999996</v>
      </c>
    </row>
    <row r="218" spans="1:7" x14ac:dyDescent="0.25">
      <c r="A218" s="1">
        <v>217</v>
      </c>
      <c r="B218" s="2">
        <v>201770</v>
      </c>
      <c r="C218" s="3">
        <v>3.1E-2</v>
      </c>
      <c r="D218" s="4">
        <v>0.39</v>
      </c>
      <c r="E218" s="1">
        <v>0.21</v>
      </c>
      <c r="F218" s="1">
        <v>0.2</v>
      </c>
      <c r="G218" s="1">
        <v>0.59000000000000008</v>
      </c>
    </row>
    <row r="219" spans="1:7" x14ac:dyDescent="0.25">
      <c r="A219" s="1">
        <v>218</v>
      </c>
      <c r="B219" s="2">
        <v>646722</v>
      </c>
      <c r="C219" s="3">
        <v>4.4999999999999998E-2</v>
      </c>
      <c r="D219" s="4">
        <v>0.31</v>
      </c>
      <c r="E219" s="1">
        <v>0.34</v>
      </c>
      <c r="F219" s="1">
        <v>0.27</v>
      </c>
      <c r="G219" s="1">
        <v>0.38999999999999996</v>
      </c>
    </row>
    <row r="220" spans="1:7" x14ac:dyDescent="0.25">
      <c r="A220" s="1">
        <v>219</v>
      </c>
      <c r="B220" s="2">
        <v>858042</v>
      </c>
      <c r="C220" s="3">
        <v>1.9E-2</v>
      </c>
      <c r="D220" s="4">
        <v>0.4</v>
      </c>
      <c r="E220" s="1">
        <v>0.35</v>
      </c>
      <c r="F220" s="1">
        <v>0.4</v>
      </c>
      <c r="G220" s="1">
        <v>0.25</v>
      </c>
    </row>
    <row r="221" spans="1:7" x14ac:dyDescent="0.25">
      <c r="A221" s="1">
        <v>220</v>
      </c>
      <c r="B221" s="2">
        <v>418128</v>
      </c>
      <c r="C221" s="3">
        <v>4.2000000000000003E-2</v>
      </c>
      <c r="D221" s="4">
        <v>0.36</v>
      </c>
      <c r="E221" s="1">
        <v>0.31</v>
      </c>
      <c r="F221" s="1">
        <v>0.48</v>
      </c>
      <c r="G221" s="1">
        <v>0.21000000000000002</v>
      </c>
    </row>
    <row r="222" spans="1:7" x14ac:dyDescent="0.25">
      <c r="A222" s="1">
        <v>221</v>
      </c>
      <c r="B222" s="2">
        <v>787610</v>
      </c>
      <c r="C222" s="3">
        <v>1.0999999999999999E-2</v>
      </c>
      <c r="D222" s="4">
        <v>0.21</v>
      </c>
      <c r="E222" s="1">
        <v>0.28000000000000003</v>
      </c>
      <c r="F222" s="1">
        <v>0.43</v>
      </c>
      <c r="G222" s="1">
        <v>0.29000000000000004</v>
      </c>
    </row>
    <row r="223" spans="1:7" x14ac:dyDescent="0.25">
      <c r="A223" s="1">
        <v>222</v>
      </c>
      <c r="B223" s="2">
        <v>182470</v>
      </c>
      <c r="C223" s="3">
        <v>3.7999999999999999E-2</v>
      </c>
      <c r="D223" s="4">
        <v>0.33</v>
      </c>
      <c r="E223" s="1">
        <v>0.28000000000000003</v>
      </c>
      <c r="F223" s="1">
        <v>0.33</v>
      </c>
      <c r="G223" s="1">
        <v>0.3899999999999999</v>
      </c>
    </row>
    <row r="224" spans="1:7" x14ac:dyDescent="0.25">
      <c r="A224" s="1">
        <v>223</v>
      </c>
      <c r="B224" s="2">
        <v>626911</v>
      </c>
      <c r="C224" s="3">
        <v>4.2999999999999997E-2</v>
      </c>
      <c r="D224" s="4">
        <v>0.25</v>
      </c>
      <c r="E224" s="1">
        <v>0.22</v>
      </c>
      <c r="F224" s="1">
        <v>0.36</v>
      </c>
      <c r="G224" s="1">
        <v>0.42000000000000004</v>
      </c>
    </row>
    <row r="225" spans="1:7" x14ac:dyDescent="0.25">
      <c r="A225" s="1">
        <v>224</v>
      </c>
      <c r="B225" s="2">
        <v>372876</v>
      </c>
      <c r="C225" s="3">
        <v>4.1000000000000002E-2</v>
      </c>
      <c r="D225" s="4">
        <v>0.32</v>
      </c>
      <c r="E225" s="1">
        <v>0.17</v>
      </c>
      <c r="F225" s="1">
        <v>0.41</v>
      </c>
      <c r="G225" s="1">
        <v>0.42000000000000004</v>
      </c>
    </row>
    <row r="226" spans="1:7" x14ac:dyDescent="0.25">
      <c r="A226" s="1">
        <v>225</v>
      </c>
      <c r="B226" s="2">
        <v>624970</v>
      </c>
      <c r="C226" s="3">
        <v>4.4999999999999998E-2</v>
      </c>
      <c r="D226" s="4">
        <v>0.22</v>
      </c>
      <c r="E226" s="1">
        <v>0.26</v>
      </c>
      <c r="F226" s="1">
        <v>0.2</v>
      </c>
      <c r="G226" s="1">
        <v>0.54</v>
      </c>
    </row>
    <row r="227" spans="1:7" x14ac:dyDescent="0.25">
      <c r="A227" s="1">
        <v>226</v>
      </c>
      <c r="B227" s="2">
        <v>765642</v>
      </c>
      <c r="C227" s="3">
        <v>4.9000000000000002E-2</v>
      </c>
      <c r="D227" s="4">
        <v>0.27</v>
      </c>
      <c r="E227" s="1">
        <v>0.19</v>
      </c>
      <c r="F227" s="1">
        <v>0.22</v>
      </c>
      <c r="G227" s="1">
        <v>0.59000000000000008</v>
      </c>
    </row>
    <row r="228" spans="1:7" x14ac:dyDescent="0.25">
      <c r="A228" s="1">
        <v>227</v>
      </c>
      <c r="B228" s="2">
        <v>743941</v>
      </c>
      <c r="C228" s="3">
        <v>1.4999999999999999E-2</v>
      </c>
      <c r="D228" s="4">
        <v>0.2</v>
      </c>
      <c r="E228" s="1">
        <v>0.33</v>
      </c>
      <c r="F228" s="1">
        <v>0.22</v>
      </c>
      <c r="G228" s="1">
        <v>0.45</v>
      </c>
    </row>
    <row r="229" spans="1:7" x14ac:dyDescent="0.25">
      <c r="A229" s="1">
        <v>228</v>
      </c>
      <c r="B229" s="2">
        <v>208820</v>
      </c>
      <c r="C229" s="3">
        <v>0.03</v>
      </c>
      <c r="D229" s="4">
        <v>0.3</v>
      </c>
      <c r="E229" s="1">
        <v>0.33</v>
      </c>
      <c r="F229" s="1">
        <v>0.25</v>
      </c>
      <c r="G229" s="1">
        <v>0.42</v>
      </c>
    </row>
    <row r="230" spans="1:7" x14ac:dyDescent="0.25">
      <c r="A230" s="1">
        <v>229</v>
      </c>
      <c r="B230" s="2">
        <v>684880</v>
      </c>
      <c r="C230" s="3">
        <v>2.4E-2</v>
      </c>
      <c r="D230" s="4">
        <v>0.24</v>
      </c>
      <c r="E230" s="1">
        <v>0.11</v>
      </c>
      <c r="F230" s="1">
        <v>0.49</v>
      </c>
      <c r="G230" s="1">
        <v>0.4</v>
      </c>
    </row>
    <row r="231" spans="1:7" x14ac:dyDescent="0.25">
      <c r="A231" s="1">
        <v>230</v>
      </c>
      <c r="B231" s="2">
        <v>590626</v>
      </c>
      <c r="C231" s="3">
        <v>1.4E-2</v>
      </c>
      <c r="D231" s="4">
        <v>0.24</v>
      </c>
      <c r="E231" s="1">
        <v>0.19</v>
      </c>
      <c r="F231" s="1">
        <v>0.33</v>
      </c>
      <c r="G231" s="1">
        <v>0.47999999999999993</v>
      </c>
    </row>
    <row r="232" spans="1:7" x14ac:dyDescent="0.25">
      <c r="A232" s="1">
        <v>231</v>
      </c>
      <c r="B232" s="2">
        <v>804358</v>
      </c>
      <c r="C232" s="3">
        <v>3.1E-2</v>
      </c>
      <c r="D232" s="4">
        <v>0.23</v>
      </c>
      <c r="E232" s="1">
        <v>0.12</v>
      </c>
      <c r="F232" s="1">
        <v>0.42</v>
      </c>
      <c r="G232" s="1">
        <v>0.46000000000000008</v>
      </c>
    </row>
    <row r="233" spans="1:7" x14ac:dyDescent="0.25">
      <c r="A233" s="1">
        <v>232</v>
      </c>
      <c r="B233" s="2">
        <v>290576</v>
      </c>
      <c r="C233" s="3">
        <v>3.5000000000000003E-2</v>
      </c>
      <c r="D233" s="4">
        <v>0.4</v>
      </c>
      <c r="E233" s="1">
        <v>0.22</v>
      </c>
      <c r="F233" s="1">
        <v>0.33</v>
      </c>
      <c r="G233" s="1">
        <v>0.44999999999999996</v>
      </c>
    </row>
    <row r="234" spans="1:7" x14ac:dyDescent="0.25">
      <c r="A234" s="1">
        <v>233</v>
      </c>
      <c r="B234" s="2">
        <v>265393</v>
      </c>
      <c r="C234" s="3">
        <v>3.7999999999999999E-2</v>
      </c>
      <c r="D234" s="4">
        <v>0.22</v>
      </c>
      <c r="E234" s="1">
        <v>0.16</v>
      </c>
      <c r="F234" s="1">
        <v>0.42</v>
      </c>
      <c r="G234" s="1">
        <v>0.42000000000000004</v>
      </c>
    </row>
    <row r="235" spans="1:7" x14ac:dyDescent="0.25">
      <c r="A235" s="1">
        <v>234</v>
      </c>
      <c r="B235" s="2">
        <v>530102</v>
      </c>
      <c r="C235" s="3">
        <v>2.8000000000000001E-2</v>
      </c>
      <c r="D235" s="4">
        <v>0.25</v>
      </c>
      <c r="E235" s="1">
        <v>0.22</v>
      </c>
      <c r="F235" s="1">
        <v>0.44</v>
      </c>
      <c r="G235" s="1">
        <v>0.34000000000000008</v>
      </c>
    </row>
    <row r="236" spans="1:7" x14ac:dyDescent="0.25">
      <c r="A236" s="1">
        <v>235</v>
      </c>
      <c r="B236" s="2">
        <v>174610</v>
      </c>
      <c r="C236" s="3">
        <v>3.9E-2</v>
      </c>
      <c r="D236" s="4">
        <v>0.35</v>
      </c>
      <c r="E236" s="1">
        <v>0.27</v>
      </c>
      <c r="F236" s="1">
        <v>0.25</v>
      </c>
      <c r="G236" s="1">
        <v>0.48</v>
      </c>
    </row>
    <row r="237" spans="1:7" x14ac:dyDescent="0.25">
      <c r="A237" s="1">
        <v>236</v>
      </c>
      <c r="B237" s="2">
        <v>843956</v>
      </c>
      <c r="C237" s="3">
        <v>4.2000000000000003E-2</v>
      </c>
      <c r="D237" s="4">
        <v>0.39</v>
      </c>
      <c r="E237" s="1">
        <v>0.33</v>
      </c>
      <c r="F237" s="1">
        <v>0.44</v>
      </c>
      <c r="G237" s="1">
        <v>0.23000000000000004</v>
      </c>
    </row>
    <row r="238" spans="1:7" x14ac:dyDescent="0.25">
      <c r="A238" s="1">
        <v>237</v>
      </c>
      <c r="B238" s="2">
        <v>553723</v>
      </c>
      <c r="C238" s="3">
        <v>0.01</v>
      </c>
      <c r="D238" s="4">
        <v>0.4</v>
      </c>
      <c r="E238" s="1">
        <v>0.22</v>
      </c>
      <c r="F238" s="1">
        <v>0.28000000000000003</v>
      </c>
      <c r="G238" s="1">
        <v>0.5</v>
      </c>
    </row>
    <row r="239" spans="1:7" x14ac:dyDescent="0.25">
      <c r="A239" s="1">
        <v>238</v>
      </c>
      <c r="B239" s="2">
        <v>875857</v>
      </c>
      <c r="C239" s="3">
        <v>1.9E-2</v>
      </c>
      <c r="D239" s="4">
        <v>0.4</v>
      </c>
      <c r="E239" s="1">
        <v>0.15</v>
      </c>
      <c r="F239" s="1">
        <v>0.26</v>
      </c>
      <c r="G239" s="1">
        <v>0.59</v>
      </c>
    </row>
    <row r="240" spans="1:7" x14ac:dyDescent="0.25">
      <c r="A240" s="1">
        <v>239</v>
      </c>
      <c r="B240" s="2">
        <v>487345</v>
      </c>
      <c r="C240" s="3">
        <v>3.6999999999999998E-2</v>
      </c>
      <c r="D240" s="4">
        <v>0.28999999999999998</v>
      </c>
      <c r="E240" s="1">
        <v>0.35</v>
      </c>
      <c r="F240" s="1">
        <v>0.42</v>
      </c>
      <c r="G240" s="1">
        <v>0.23000000000000009</v>
      </c>
    </row>
    <row r="241" spans="1:7" x14ac:dyDescent="0.25">
      <c r="A241" s="1">
        <v>240</v>
      </c>
      <c r="B241" s="2">
        <v>854195</v>
      </c>
      <c r="C241" s="3">
        <v>3.5999999999999997E-2</v>
      </c>
      <c r="D241" s="4">
        <v>0.3</v>
      </c>
      <c r="E241" s="1">
        <v>0.32</v>
      </c>
      <c r="F241" s="1">
        <v>0.36</v>
      </c>
      <c r="G241" s="1">
        <v>0.32</v>
      </c>
    </row>
    <row r="242" spans="1:7" x14ac:dyDescent="0.25">
      <c r="A242" s="1">
        <v>241</v>
      </c>
      <c r="B242" s="2">
        <v>344482</v>
      </c>
      <c r="C242" s="3">
        <v>3.3000000000000002E-2</v>
      </c>
      <c r="D242" s="4">
        <v>0.38</v>
      </c>
      <c r="E242" s="1">
        <v>0.34</v>
      </c>
      <c r="F242" s="1">
        <v>0.22</v>
      </c>
      <c r="G242" s="1">
        <v>0.44</v>
      </c>
    </row>
    <row r="243" spans="1:7" x14ac:dyDescent="0.25">
      <c r="A243" s="1">
        <v>242</v>
      </c>
      <c r="B243" s="2">
        <v>611485</v>
      </c>
      <c r="C243" s="3">
        <v>0.02</v>
      </c>
      <c r="D243" s="4">
        <v>0.28000000000000003</v>
      </c>
      <c r="E243" s="1">
        <v>0.22</v>
      </c>
      <c r="F243" s="1">
        <v>0.21</v>
      </c>
      <c r="G243" s="1">
        <v>0.57000000000000006</v>
      </c>
    </row>
    <row r="244" spans="1:7" x14ac:dyDescent="0.25">
      <c r="A244" s="1">
        <v>243</v>
      </c>
      <c r="B244" s="2">
        <v>732620</v>
      </c>
      <c r="C244" s="3">
        <v>0.01</v>
      </c>
      <c r="D244" s="4">
        <v>0.28999999999999998</v>
      </c>
      <c r="E244" s="1">
        <v>0.17</v>
      </c>
      <c r="F244" s="1">
        <v>0.23</v>
      </c>
      <c r="G244" s="1">
        <v>0.6</v>
      </c>
    </row>
    <row r="245" spans="1:7" x14ac:dyDescent="0.25">
      <c r="A245" s="1">
        <v>244</v>
      </c>
      <c r="B245" s="2">
        <v>725986</v>
      </c>
      <c r="C245" s="3">
        <v>3.7999999999999999E-2</v>
      </c>
      <c r="D245" s="4">
        <v>0.36</v>
      </c>
      <c r="E245" s="1">
        <v>0.18</v>
      </c>
      <c r="F245" s="1">
        <v>0.28000000000000003</v>
      </c>
      <c r="G245" s="1">
        <v>0.54</v>
      </c>
    </row>
    <row r="246" spans="1:7" x14ac:dyDescent="0.25">
      <c r="A246" s="1">
        <v>245</v>
      </c>
      <c r="B246" s="2">
        <v>825005</v>
      </c>
      <c r="C246" s="3">
        <v>4.4999999999999998E-2</v>
      </c>
      <c r="D246" s="4">
        <v>0.21</v>
      </c>
      <c r="E246" s="1">
        <v>0.24</v>
      </c>
      <c r="F246" s="1">
        <v>0.2</v>
      </c>
      <c r="G246" s="1">
        <v>0.56000000000000005</v>
      </c>
    </row>
    <row r="247" spans="1:7" x14ac:dyDescent="0.25">
      <c r="A247" s="1">
        <v>246</v>
      </c>
      <c r="B247" s="2">
        <v>299038</v>
      </c>
      <c r="C247" s="3">
        <v>4.7E-2</v>
      </c>
      <c r="D247" s="4">
        <v>0.22</v>
      </c>
      <c r="E247" s="1">
        <v>0.17</v>
      </c>
      <c r="F247" s="1">
        <v>0.25</v>
      </c>
      <c r="G247" s="1">
        <v>0.57999999999999996</v>
      </c>
    </row>
    <row r="248" spans="1:7" x14ac:dyDescent="0.25">
      <c r="A248" s="1">
        <v>247</v>
      </c>
      <c r="B248" s="2">
        <v>848981</v>
      </c>
      <c r="C248" s="3">
        <v>4.8000000000000001E-2</v>
      </c>
      <c r="D248" s="4">
        <v>0.33</v>
      </c>
      <c r="E248" s="1">
        <v>0.11</v>
      </c>
      <c r="F248" s="1">
        <v>0.21</v>
      </c>
      <c r="G248" s="1">
        <v>0.68</v>
      </c>
    </row>
    <row r="249" spans="1:7" x14ac:dyDescent="0.25">
      <c r="A249" s="1">
        <v>248</v>
      </c>
      <c r="B249" s="2">
        <v>160899</v>
      </c>
      <c r="C249" s="3">
        <v>2.3E-2</v>
      </c>
      <c r="D249" s="4">
        <v>0.2</v>
      </c>
      <c r="E249" s="1">
        <v>0.25</v>
      </c>
      <c r="F249" s="1">
        <v>0.46</v>
      </c>
      <c r="G249" s="1">
        <v>0.29000000000000004</v>
      </c>
    </row>
    <row r="250" spans="1:7" x14ac:dyDescent="0.25">
      <c r="A250" s="1">
        <v>249</v>
      </c>
      <c r="B250" s="2">
        <v>837074</v>
      </c>
      <c r="C250" s="3">
        <v>2.5000000000000001E-2</v>
      </c>
      <c r="D250" s="4">
        <v>0.3</v>
      </c>
      <c r="E250" s="1">
        <v>0.16</v>
      </c>
      <c r="F250" s="1">
        <v>0.5</v>
      </c>
      <c r="G250" s="1">
        <v>0.33999999999999997</v>
      </c>
    </row>
    <row r="251" spans="1:7" x14ac:dyDescent="0.25">
      <c r="A251" s="1">
        <v>250</v>
      </c>
      <c r="B251" s="2">
        <v>566016</v>
      </c>
      <c r="C251" s="3">
        <v>3.5999999999999997E-2</v>
      </c>
      <c r="D251" s="4">
        <v>0.33</v>
      </c>
      <c r="E251" s="1">
        <v>0.37</v>
      </c>
      <c r="F251" s="1">
        <v>0.39</v>
      </c>
      <c r="G251" s="1">
        <v>0.24</v>
      </c>
    </row>
    <row r="252" spans="1:7" x14ac:dyDescent="0.25">
      <c r="A252" s="1">
        <v>251</v>
      </c>
      <c r="B252" s="2">
        <v>621665</v>
      </c>
      <c r="C252" s="3">
        <v>3.4000000000000002E-2</v>
      </c>
      <c r="D252" s="4">
        <v>0.3</v>
      </c>
      <c r="E252" s="1">
        <v>0.26</v>
      </c>
      <c r="F252" s="1">
        <v>0.21</v>
      </c>
      <c r="G252" s="1">
        <v>0.53</v>
      </c>
    </row>
    <row r="253" spans="1:7" x14ac:dyDescent="0.25">
      <c r="A253" s="1">
        <v>252</v>
      </c>
      <c r="B253" s="2">
        <v>830008</v>
      </c>
      <c r="C253" s="3">
        <v>4.8000000000000001E-2</v>
      </c>
      <c r="D253" s="4">
        <v>0.34</v>
      </c>
      <c r="E253" s="1">
        <v>0.27</v>
      </c>
      <c r="F253" s="1">
        <v>0.48</v>
      </c>
      <c r="G253" s="1">
        <v>0.25</v>
      </c>
    </row>
    <row r="254" spans="1:7" x14ac:dyDescent="0.25">
      <c r="A254" s="1">
        <v>253</v>
      </c>
      <c r="B254" s="2">
        <v>202790</v>
      </c>
      <c r="C254" s="3">
        <v>2.1000000000000001E-2</v>
      </c>
      <c r="D254" s="4">
        <v>0.39</v>
      </c>
      <c r="E254" s="1">
        <v>0.31</v>
      </c>
      <c r="F254" s="1">
        <v>0.36</v>
      </c>
      <c r="G254" s="1">
        <v>0.33</v>
      </c>
    </row>
    <row r="255" spans="1:7" x14ac:dyDescent="0.25">
      <c r="A255" s="1">
        <v>254</v>
      </c>
      <c r="B255" s="2">
        <v>198913</v>
      </c>
      <c r="C255" s="3">
        <v>2.1000000000000001E-2</v>
      </c>
      <c r="D255" s="4">
        <v>0.34</v>
      </c>
      <c r="E255" s="1">
        <v>0.11</v>
      </c>
      <c r="F255" s="1">
        <v>0.25</v>
      </c>
      <c r="G255" s="1">
        <v>0.64</v>
      </c>
    </row>
    <row r="256" spans="1:7" x14ac:dyDescent="0.25">
      <c r="A256" s="1">
        <v>255</v>
      </c>
      <c r="B256" s="2">
        <v>174383</v>
      </c>
      <c r="C256" s="3">
        <v>3.3000000000000002E-2</v>
      </c>
      <c r="D256" s="4">
        <v>0.32</v>
      </c>
      <c r="E256" s="1">
        <v>0.11</v>
      </c>
      <c r="F256" s="1">
        <v>0.27</v>
      </c>
      <c r="G256" s="1">
        <v>0.62</v>
      </c>
    </row>
    <row r="257" spans="1:7" x14ac:dyDescent="0.25">
      <c r="A257" s="1">
        <v>256</v>
      </c>
      <c r="B257" s="2">
        <v>772219</v>
      </c>
      <c r="C257" s="3">
        <v>1.7000000000000001E-2</v>
      </c>
      <c r="D257" s="4">
        <v>0.35</v>
      </c>
      <c r="E257" s="1">
        <v>0.19</v>
      </c>
      <c r="F257" s="1">
        <v>0.23</v>
      </c>
      <c r="G257" s="1">
        <v>0.58000000000000007</v>
      </c>
    </row>
    <row r="258" spans="1:7" x14ac:dyDescent="0.25">
      <c r="A258" s="1">
        <v>257</v>
      </c>
      <c r="B258" s="2">
        <v>713036</v>
      </c>
      <c r="C258" s="3">
        <v>0.02</v>
      </c>
      <c r="D258" s="4">
        <v>0.32</v>
      </c>
      <c r="E258" s="1">
        <v>0.22</v>
      </c>
      <c r="F258" s="1">
        <v>0.27</v>
      </c>
      <c r="G258" s="1">
        <v>0.51</v>
      </c>
    </row>
    <row r="259" spans="1:7" x14ac:dyDescent="0.25">
      <c r="A259" s="1">
        <v>258</v>
      </c>
      <c r="B259" s="2">
        <v>818992</v>
      </c>
      <c r="C259" s="3">
        <v>0.01</v>
      </c>
      <c r="D259" s="4">
        <v>0.2</v>
      </c>
      <c r="E259" s="1">
        <v>0.24</v>
      </c>
      <c r="F259" s="1">
        <v>0.28000000000000003</v>
      </c>
      <c r="G259" s="1">
        <v>0.48</v>
      </c>
    </row>
    <row r="260" spans="1:7" x14ac:dyDescent="0.25">
      <c r="A260" s="1">
        <v>259</v>
      </c>
      <c r="B260" s="2">
        <v>487213</v>
      </c>
      <c r="C260" s="3">
        <v>0.01</v>
      </c>
      <c r="D260" s="4">
        <v>0.39</v>
      </c>
      <c r="E260" s="1">
        <v>0.28000000000000003</v>
      </c>
      <c r="F260" s="1">
        <v>0.46</v>
      </c>
      <c r="G260" s="1">
        <v>0.26</v>
      </c>
    </row>
    <row r="261" spans="1:7" x14ac:dyDescent="0.25">
      <c r="A261" s="1">
        <v>260</v>
      </c>
      <c r="B261" s="2">
        <v>486146</v>
      </c>
      <c r="C261" s="3">
        <v>3.6999999999999998E-2</v>
      </c>
      <c r="D261" s="4">
        <v>0.38</v>
      </c>
      <c r="E261" s="1">
        <v>0.23</v>
      </c>
      <c r="F261" s="1">
        <v>0.22</v>
      </c>
      <c r="G261" s="1">
        <v>0.55000000000000004</v>
      </c>
    </row>
    <row r="262" spans="1:7" x14ac:dyDescent="0.25">
      <c r="A262" s="1">
        <v>261</v>
      </c>
      <c r="B262" s="2">
        <v>795167</v>
      </c>
      <c r="C262" s="3">
        <v>4.2999999999999997E-2</v>
      </c>
      <c r="D262" s="4">
        <v>0.28999999999999998</v>
      </c>
      <c r="E262" s="1">
        <v>0.22</v>
      </c>
      <c r="F262" s="1">
        <v>0.44</v>
      </c>
      <c r="G262" s="1">
        <v>0.34000000000000008</v>
      </c>
    </row>
    <row r="263" spans="1:7" x14ac:dyDescent="0.25">
      <c r="A263" s="1">
        <v>262</v>
      </c>
      <c r="B263" s="2">
        <v>836956</v>
      </c>
      <c r="C263" s="3">
        <v>3.6999999999999998E-2</v>
      </c>
      <c r="D263" s="4">
        <v>0.27</v>
      </c>
      <c r="E263" s="1">
        <v>0.17</v>
      </c>
      <c r="F263" s="1">
        <v>0.28999999999999998</v>
      </c>
      <c r="G263" s="1">
        <v>0.53999999999999992</v>
      </c>
    </row>
    <row r="264" spans="1:7" x14ac:dyDescent="0.25">
      <c r="A264" s="1">
        <v>263</v>
      </c>
      <c r="B264" s="2">
        <v>197919</v>
      </c>
      <c r="C264" s="3">
        <v>1.9E-2</v>
      </c>
      <c r="D264" s="4">
        <v>0.4</v>
      </c>
      <c r="E264" s="1">
        <v>0.26</v>
      </c>
      <c r="F264" s="1">
        <v>0.49</v>
      </c>
      <c r="G264" s="1">
        <v>0.25</v>
      </c>
    </row>
    <row r="265" spans="1:7" x14ac:dyDescent="0.25">
      <c r="A265" s="1">
        <v>264</v>
      </c>
      <c r="B265" s="2">
        <v>610462</v>
      </c>
      <c r="C265" s="3">
        <v>1.4E-2</v>
      </c>
      <c r="D265" s="4">
        <v>0.35</v>
      </c>
      <c r="E265" s="1">
        <v>0.35</v>
      </c>
      <c r="F265" s="1">
        <v>0.45</v>
      </c>
      <c r="G265" s="1">
        <v>0.20000000000000007</v>
      </c>
    </row>
    <row r="266" spans="1:7" x14ac:dyDescent="0.25">
      <c r="A266" s="1">
        <v>265</v>
      </c>
      <c r="B266" s="2">
        <v>194968</v>
      </c>
      <c r="C266" s="3">
        <v>4.7E-2</v>
      </c>
      <c r="D266" s="4">
        <v>0.2</v>
      </c>
      <c r="E266" s="1">
        <v>0.26</v>
      </c>
      <c r="F266" s="1">
        <v>0.36</v>
      </c>
      <c r="G266" s="1">
        <v>0.38</v>
      </c>
    </row>
    <row r="267" spans="1:7" x14ac:dyDescent="0.25">
      <c r="A267" s="1">
        <v>266</v>
      </c>
      <c r="B267" s="2">
        <v>373354</v>
      </c>
      <c r="C267" s="3">
        <v>1.9E-2</v>
      </c>
      <c r="D267" s="4">
        <v>0.4</v>
      </c>
      <c r="E267" s="1">
        <v>0.39</v>
      </c>
      <c r="F267" s="1">
        <v>0.23</v>
      </c>
      <c r="G267" s="1">
        <v>0.38</v>
      </c>
    </row>
    <row r="268" spans="1:7" x14ac:dyDescent="0.25">
      <c r="A268" s="1">
        <v>267</v>
      </c>
      <c r="B268" s="2">
        <v>644987</v>
      </c>
      <c r="C268" s="3">
        <v>3.9E-2</v>
      </c>
      <c r="D268" s="4">
        <v>0.28000000000000003</v>
      </c>
      <c r="E268" s="1">
        <v>0.17</v>
      </c>
      <c r="F268" s="1">
        <v>0.25</v>
      </c>
      <c r="G268" s="1">
        <v>0.57999999999999996</v>
      </c>
    </row>
    <row r="269" spans="1:7" x14ac:dyDescent="0.25">
      <c r="A269" s="1">
        <v>268</v>
      </c>
      <c r="B269" s="2">
        <v>169006</v>
      </c>
      <c r="C269" s="3">
        <v>3.7999999999999999E-2</v>
      </c>
      <c r="D269" s="4">
        <v>0.36</v>
      </c>
      <c r="E269" s="1">
        <v>0.27</v>
      </c>
      <c r="F269" s="1">
        <v>0.46</v>
      </c>
      <c r="G269" s="1">
        <v>0.27</v>
      </c>
    </row>
    <row r="270" spans="1:7" x14ac:dyDescent="0.25">
      <c r="A270" s="1">
        <v>269</v>
      </c>
      <c r="B270" s="2">
        <v>112122</v>
      </c>
      <c r="C270" s="3">
        <v>0.02</v>
      </c>
      <c r="D270" s="4">
        <v>0.22</v>
      </c>
      <c r="E270" s="1">
        <v>0.31</v>
      </c>
      <c r="F270" s="1">
        <v>0.39</v>
      </c>
      <c r="G270" s="1">
        <v>0.3</v>
      </c>
    </row>
    <row r="271" spans="1:7" x14ac:dyDescent="0.25">
      <c r="A271" s="1">
        <v>270</v>
      </c>
      <c r="B271" s="2">
        <v>237111</v>
      </c>
      <c r="C271" s="3">
        <v>4.4999999999999998E-2</v>
      </c>
      <c r="D271" s="4">
        <v>0.35</v>
      </c>
      <c r="E271" s="1">
        <v>0.22</v>
      </c>
      <c r="F271" s="1">
        <v>0.23</v>
      </c>
      <c r="G271" s="1">
        <v>0.55000000000000004</v>
      </c>
    </row>
    <row r="272" spans="1:7" x14ac:dyDescent="0.25">
      <c r="A272" s="1">
        <v>271</v>
      </c>
      <c r="B272" s="2">
        <v>358924</v>
      </c>
      <c r="C272" s="3">
        <v>3.2000000000000001E-2</v>
      </c>
      <c r="D272" s="4">
        <v>0.36</v>
      </c>
      <c r="E272" s="1">
        <v>0.18</v>
      </c>
      <c r="F272" s="1">
        <v>0.49</v>
      </c>
      <c r="G272" s="1">
        <v>0.33</v>
      </c>
    </row>
    <row r="273" spans="1:7" x14ac:dyDescent="0.25">
      <c r="A273" s="1">
        <v>272</v>
      </c>
      <c r="B273" s="2">
        <v>112612</v>
      </c>
      <c r="C273" s="3">
        <v>4.2000000000000003E-2</v>
      </c>
      <c r="D273" s="4">
        <v>0.34</v>
      </c>
      <c r="E273" s="1">
        <v>0.25</v>
      </c>
      <c r="F273" s="1">
        <v>0.4</v>
      </c>
      <c r="G273" s="1">
        <v>0.35</v>
      </c>
    </row>
    <row r="274" spans="1:7" x14ac:dyDescent="0.25">
      <c r="A274" s="1">
        <v>273</v>
      </c>
      <c r="B274" s="2">
        <v>533774</v>
      </c>
      <c r="C274" s="3">
        <v>3.5000000000000003E-2</v>
      </c>
      <c r="D274" s="4">
        <v>0.32</v>
      </c>
      <c r="E274" s="1">
        <v>0.21</v>
      </c>
      <c r="F274" s="1">
        <v>0.37</v>
      </c>
      <c r="G274" s="1">
        <v>0.42000000000000004</v>
      </c>
    </row>
    <row r="275" spans="1:7" x14ac:dyDescent="0.25">
      <c r="A275" s="1">
        <v>274</v>
      </c>
      <c r="B275" s="2">
        <v>527104</v>
      </c>
      <c r="C275" s="3">
        <v>2.5999999999999999E-2</v>
      </c>
      <c r="D275" s="4">
        <v>0.28999999999999998</v>
      </c>
      <c r="E275" s="1">
        <v>0.16</v>
      </c>
      <c r="F275" s="1">
        <v>0.49</v>
      </c>
      <c r="G275" s="1">
        <v>0.35</v>
      </c>
    </row>
    <row r="276" spans="1:7" x14ac:dyDescent="0.25">
      <c r="A276" s="1">
        <v>275</v>
      </c>
      <c r="B276" s="2">
        <v>815982</v>
      </c>
      <c r="C276" s="3">
        <v>2.4E-2</v>
      </c>
      <c r="D276" s="4">
        <v>0.33</v>
      </c>
      <c r="E276" s="1">
        <v>0.15</v>
      </c>
      <c r="F276" s="1">
        <v>0.3</v>
      </c>
      <c r="G276" s="1">
        <v>0.54999999999999993</v>
      </c>
    </row>
    <row r="277" spans="1:7" x14ac:dyDescent="0.25">
      <c r="A277" s="1">
        <v>276</v>
      </c>
      <c r="B277" s="2">
        <v>191089</v>
      </c>
      <c r="C277" s="3">
        <v>1.0999999999999999E-2</v>
      </c>
      <c r="D277" s="4">
        <v>0.37</v>
      </c>
      <c r="E277" s="1">
        <v>0.31</v>
      </c>
      <c r="F277" s="1">
        <v>0.32</v>
      </c>
      <c r="G277" s="1">
        <v>0.36999999999999994</v>
      </c>
    </row>
    <row r="278" spans="1:7" x14ac:dyDescent="0.25">
      <c r="A278" s="1">
        <v>277</v>
      </c>
      <c r="B278" s="2">
        <v>853148</v>
      </c>
      <c r="C278" s="3">
        <v>1.4999999999999999E-2</v>
      </c>
      <c r="D278" s="4">
        <v>0.21</v>
      </c>
      <c r="E278" s="1">
        <v>0.32</v>
      </c>
      <c r="F278" s="1">
        <v>0.2</v>
      </c>
      <c r="G278" s="1">
        <v>0.48000000000000004</v>
      </c>
    </row>
    <row r="279" spans="1:7" x14ac:dyDescent="0.25">
      <c r="A279" s="1">
        <v>278</v>
      </c>
      <c r="B279" s="2">
        <v>680522</v>
      </c>
      <c r="C279" s="3">
        <v>2.8000000000000001E-2</v>
      </c>
      <c r="D279" s="4">
        <v>0.38</v>
      </c>
      <c r="E279" s="1">
        <v>0.14000000000000001</v>
      </c>
      <c r="F279" s="1">
        <v>0.38</v>
      </c>
      <c r="G279" s="1">
        <v>0.48</v>
      </c>
    </row>
    <row r="280" spans="1:7" x14ac:dyDescent="0.25">
      <c r="A280" s="1">
        <v>279</v>
      </c>
      <c r="B280" s="2">
        <v>135395</v>
      </c>
      <c r="C280" s="3">
        <v>4.1000000000000002E-2</v>
      </c>
      <c r="D280" s="4">
        <v>0.21</v>
      </c>
      <c r="E280" s="1">
        <v>0.1</v>
      </c>
      <c r="F280" s="1">
        <v>0.36</v>
      </c>
      <c r="G280" s="1">
        <v>0.54</v>
      </c>
    </row>
    <row r="281" spans="1:7" x14ac:dyDescent="0.25">
      <c r="A281" s="1">
        <v>280</v>
      </c>
      <c r="B281" s="2">
        <v>527656</v>
      </c>
      <c r="C281" s="3">
        <v>0.04</v>
      </c>
      <c r="D281" s="4">
        <v>0.3</v>
      </c>
      <c r="E281" s="1">
        <v>0.14000000000000001</v>
      </c>
      <c r="F281" s="1">
        <v>0.49</v>
      </c>
      <c r="G281" s="1">
        <v>0.37</v>
      </c>
    </row>
    <row r="282" spans="1:7" x14ac:dyDescent="0.25">
      <c r="A282" s="1">
        <v>281</v>
      </c>
      <c r="B282" s="2">
        <v>118566</v>
      </c>
      <c r="C282" s="3">
        <v>2.5999999999999999E-2</v>
      </c>
      <c r="D282" s="4">
        <v>0.4</v>
      </c>
      <c r="E282" s="1">
        <v>0.39</v>
      </c>
      <c r="F282" s="1">
        <v>0.44</v>
      </c>
      <c r="G282" s="1">
        <v>0.17000000000000004</v>
      </c>
    </row>
    <row r="283" spans="1:7" x14ac:dyDescent="0.25">
      <c r="A283" s="1">
        <v>282</v>
      </c>
      <c r="B283" s="2">
        <v>270476</v>
      </c>
      <c r="C283" s="3">
        <v>4.2000000000000003E-2</v>
      </c>
      <c r="D283" s="4">
        <v>0.33</v>
      </c>
      <c r="E283" s="1">
        <v>0.27</v>
      </c>
      <c r="F283" s="1">
        <v>0.49</v>
      </c>
      <c r="G283" s="1">
        <v>0.24</v>
      </c>
    </row>
    <row r="284" spans="1:7" x14ac:dyDescent="0.25">
      <c r="A284" s="1">
        <v>283</v>
      </c>
      <c r="B284" s="2">
        <v>407064</v>
      </c>
      <c r="C284" s="3">
        <v>2.5999999999999999E-2</v>
      </c>
      <c r="D284" s="4">
        <v>0.39</v>
      </c>
      <c r="E284" s="1">
        <v>0.17</v>
      </c>
      <c r="F284" s="1">
        <v>0.37</v>
      </c>
      <c r="G284" s="1">
        <v>0.45999999999999996</v>
      </c>
    </row>
    <row r="285" spans="1:7" x14ac:dyDescent="0.25">
      <c r="A285" s="1">
        <v>284</v>
      </c>
      <c r="B285" s="2">
        <v>852871</v>
      </c>
      <c r="C285" s="3">
        <v>2.3E-2</v>
      </c>
      <c r="D285" s="4">
        <v>0.28000000000000003</v>
      </c>
      <c r="E285" s="1">
        <v>0.21</v>
      </c>
      <c r="F285" s="1">
        <v>0.4</v>
      </c>
      <c r="G285" s="1">
        <v>0.39</v>
      </c>
    </row>
    <row r="286" spans="1:7" x14ac:dyDescent="0.25">
      <c r="A286" s="1">
        <v>285</v>
      </c>
      <c r="B286" s="2">
        <v>453068</v>
      </c>
      <c r="C286" s="3">
        <v>0.01</v>
      </c>
      <c r="D286" s="4">
        <v>0.39</v>
      </c>
      <c r="E286" s="1">
        <v>0.28999999999999998</v>
      </c>
      <c r="F286" s="1">
        <v>0.47</v>
      </c>
      <c r="G286" s="1">
        <v>0.24000000000000005</v>
      </c>
    </row>
    <row r="287" spans="1:7" x14ac:dyDescent="0.25">
      <c r="A287" s="1">
        <v>286</v>
      </c>
      <c r="B287" s="2">
        <v>747471</v>
      </c>
      <c r="C287" s="3">
        <v>2.5999999999999999E-2</v>
      </c>
      <c r="D287" s="4">
        <v>0.31</v>
      </c>
      <c r="E287" s="1">
        <v>0.37</v>
      </c>
      <c r="F287" s="1">
        <v>0.41</v>
      </c>
      <c r="G287" s="1">
        <v>0.22000000000000008</v>
      </c>
    </row>
    <row r="288" spans="1:7" x14ac:dyDescent="0.25">
      <c r="A288" s="1">
        <v>287</v>
      </c>
      <c r="B288" s="2">
        <v>723080</v>
      </c>
      <c r="C288" s="3">
        <v>2.4E-2</v>
      </c>
      <c r="D288" s="4">
        <v>0.21</v>
      </c>
      <c r="E288" s="1">
        <v>0.35</v>
      </c>
      <c r="F288" s="1">
        <v>0.47</v>
      </c>
      <c r="G288" s="1">
        <v>0.18000000000000005</v>
      </c>
    </row>
    <row r="289" spans="1:7" x14ac:dyDescent="0.25">
      <c r="A289" s="1">
        <v>288</v>
      </c>
      <c r="B289" s="2">
        <v>119047</v>
      </c>
      <c r="C289" s="3">
        <v>4.8000000000000001E-2</v>
      </c>
      <c r="D289" s="4">
        <v>0.3</v>
      </c>
      <c r="E289" s="1">
        <v>0.14000000000000001</v>
      </c>
      <c r="F289" s="1">
        <v>0.2</v>
      </c>
      <c r="G289" s="1">
        <v>0.66</v>
      </c>
    </row>
    <row r="290" spans="1:7" x14ac:dyDescent="0.25">
      <c r="A290" s="1">
        <v>289</v>
      </c>
      <c r="B290" s="2">
        <v>111038</v>
      </c>
      <c r="C290" s="3">
        <v>1.2E-2</v>
      </c>
      <c r="D290" s="4">
        <v>0.24</v>
      </c>
      <c r="E290" s="1">
        <v>0.38</v>
      </c>
      <c r="F290" s="1">
        <v>0.31</v>
      </c>
      <c r="G290" s="1">
        <v>0.30999999999999994</v>
      </c>
    </row>
    <row r="291" spans="1:7" x14ac:dyDescent="0.25">
      <c r="A291" s="1">
        <v>290</v>
      </c>
      <c r="B291" s="2">
        <v>439422</v>
      </c>
      <c r="C291" s="3">
        <v>3.7999999999999999E-2</v>
      </c>
      <c r="D291" s="4">
        <v>0.33</v>
      </c>
      <c r="E291" s="1">
        <v>0.22</v>
      </c>
      <c r="F291" s="1">
        <v>0.26</v>
      </c>
      <c r="G291" s="1">
        <v>0.52</v>
      </c>
    </row>
    <row r="292" spans="1:7" x14ac:dyDescent="0.25">
      <c r="A292" s="1">
        <v>291</v>
      </c>
      <c r="B292" s="2">
        <v>792269</v>
      </c>
      <c r="C292" s="3">
        <v>1.4E-2</v>
      </c>
      <c r="D292" s="4">
        <v>0.22</v>
      </c>
      <c r="E292" s="1">
        <v>0.4</v>
      </c>
      <c r="F292" s="1">
        <v>0.32</v>
      </c>
      <c r="G292" s="1">
        <v>0.27999999999999992</v>
      </c>
    </row>
    <row r="293" spans="1:7" x14ac:dyDescent="0.25">
      <c r="A293" s="1">
        <v>292</v>
      </c>
      <c r="B293" s="2">
        <v>482113</v>
      </c>
      <c r="C293" s="3">
        <v>3.5999999999999997E-2</v>
      </c>
      <c r="D293" s="4">
        <v>0.34</v>
      </c>
      <c r="E293" s="1">
        <v>0.33</v>
      </c>
      <c r="F293" s="1">
        <v>0.3</v>
      </c>
      <c r="G293" s="1">
        <v>0.36999999999999994</v>
      </c>
    </row>
    <row r="294" spans="1:7" x14ac:dyDescent="0.25">
      <c r="A294" s="1">
        <v>293</v>
      </c>
      <c r="B294" s="2">
        <v>160640</v>
      </c>
      <c r="C294" s="3">
        <v>2.3E-2</v>
      </c>
      <c r="D294" s="4">
        <v>0.4</v>
      </c>
      <c r="E294" s="1">
        <v>0.23</v>
      </c>
      <c r="F294" s="1">
        <v>0.47</v>
      </c>
      <c r="G294" s="1">
        <v>0.30000000000000004</v>
      </c>
    </row>
    <row r="295" spans="1:7" x14ac:dyDescent="0.25">
      <c r="A295" s="1">
        <v>294</v>
      </c>
      <c r="B295" s="2">
        <v>453354</v>
      </c>
      <c r="C295" s="3">
        <v>4.9000000000000002E-2</v>
      </c>
      <c r="D295" s="4">
        <v>0.35</v>
      </c>
      <c r="E295" s="1">
        <v>0.38</v>
      </c>
      <c r="F295" s="1">
        <v>0.39</v>
      </c>
      <c r="G295" s="1">
        <v>0.22999999999999998</v>
      </c>
    </row>
    <row r="296" spans="1:7" x14ac:dyDescent="0.25">
      <c r="A296" s="1">
        <v>295</v>
      </c>
      <c r="B296" s="2">
        <v>688559</v>
      </c>
      <c r="C296" s="3">
        <v>2.3E-2</v>
      </c>
      <c r="D296" s="4">
        <v>0.31</v>
      </c>
      <c r="E296" s="1">
        <v>0.37</v>
      </c>
      <c r="F296" s="1">
        <v>0.47</v>
      </c>
      <c r="G296" s="1">
        <v>0.16000000000000003</v>
      </c>
    </row>
    <row r="297" spans="1:7" x14ac:dyDescent="0.25">
      <c r="A297" s="1">
        <v>296</v>
      </c>
      <c r="B297" s="2">
        <v>360546</v>
      </c>
      <c r="C297" s="3">
        <v>1.7999999999999999E-2</v>
      </c>
      <c r="D297" s="4">
        <v>0.24</v>
      </c>
      <c r="E297" s="1">
        <v>0.25</v>
      </c>
      <c r="F297" s="1">
        <v>0.45</v>
      </c>
      <c r="G297" s="1">
        <v>0.30000000000000004</v>
      </c>
    </row>
    <row r="298" spans="1:7" x14ac:dyDescent="0.25">
      <c r="A298" s="1">
        <v>297</v>
      </c>
      <c r="B298" s="2">
        <v>580849</v>
      </c>
      <c r="C298" s="3">
        <v>0.04</v>
      </c>
      <c r="D298" s="4">
        <v>0.28000000000000003</v>
      </c>
      <c r="E298" s="1">
        <v>0.31</v>
      </c>
      <c r="F298" s="1">
        <v>0.38</v>
      </c>
      <c r="G298" s="1">
        <v>0.31</v>
      </c>
    </row>
    <row r="299" spans="1:7" x14ac:dyDescent="0.25">
      <c r="A299" s="1">
        <v>298</v>
      </c>
      <c r="B299" s="2">
        <v>302338</v>
      </c>
      <c r="C299" s="3">
        <v>3.9E-2</v>
      </c>
      <c r="D299" s="4">
        <v>0.33</v>
      </c>
      <c r="E299" s="1">
        <v>0.32</v>
      </c>
      <c r="F299" s="1">
        <v>0.37</v>
      </c>
      <c r="G299" s="1">
        <v>0.31</v>
      </c>
    </row>
    <row r="300" spans="1:7" x14ac:dyDescent="0.25">
      <c r="A300" s="1">
        <v>299</v>
      </c>
      <c r="B300" s="2">
        <v>816742</v>
      </c>
      <c r="C300" s="3">
        <v>1.4999999999999999E-2</v>
      </c>
      <c r="D300" s="4">
        <v>0.26</v>
      </c>
      <c r="E300" s="1">
        <v>0.11</v>
      </c>
      <c r="F300" s="1">
        <v>0.37</v>
      </c>
      <c r="G300" s="1">
        <v>0.52</v>
      </c>
    </row>
    <row r="301" spans="1:7" x14ac:dyDescent="0.25">
      <c r="A301" s="1">
        <v>300</v>
      </c>
      <c r="B301" s="2">
        <v>492157</v>
      </c>
      <c r="C301" s="3">
        <v>3.2000000000000001E-2</v>
      </c>
      <c r="D301" s="4">
        <v>0.33</v>
      </c>
      <c r="E301" s="1">
        <v>0.2</v>
      </c>
      <c r="F301" s="1">
        <v>0.36</v>
      </c>
      <c r="G301" s="1">
        <v>0.44</v>
      </c>
    </row>
    <row r="302" spans="1:7" x14ac:dyDescent="0.25">
      <c r="A302" s="1">
        <v>301</v>
      </c>
      <c r="B302" s="2">
        <v>850794</v>
      </c>
      <c r="C302" s="3">
        <v>1.6E-2</v>
      </c>
      <c r="D302" s="4">
        <v>0.3</v>
      </c>
      <c r="E302" s="1">
        <v>0.24</v>
      </c>
      <c r="F302" s="1">
        <v>0.24</v>
      </c>
      <c r="G302" s="1">
        <v>0.52</v>
      </c>
    </row>
    <row r="303" spans="1:7" x14ac:dyDescent="0.25">
      <c r="A303" s="1">
        <v>302</v>
      </c>
      <c r="B303" s="2">
        <v>839228</v>
      </c>
      <c r="C303" s="3">
        <v>2.8000000000000001E-2</v>
      </c>
      <c r="D303" s="4">
        <v>0.24</v>
      </c>
      <c r="E303" s="1">
        <v>0.12</v>
      </c>
      <c r="F303" s="1">
        <v>0.49</v>
      </c>
      <c r="G303" s="1">
        <v>0.39</v>
      </c>
    </row>
    <row r="304" spans="1:7" x14ac:dyDescent="0.25">
      <c r="A304" s="1">
        <v>303</v>
      </c>
      <c r="B304" s="2">
        <v>875660</v>
      </c>
      <c r="C304" s="3">
        <v>3.4000000000000002E-2</v>
      </c>
      <c r="D304" s="4">
        <v>0.36</v>
      </c>
      <c r="E304" s="1">
        <v>0.28999999999999998</v>
      </c>
      <c r="F304" s="1">
        <v>0.48</v>
      </c>
      <c r="G304" s="1">
        <v>0.23000000000000004</v>
      </c>
    </row>
    <row r="305" spans="1:7" x14ac:dyDescent="0.25">
      <c r="A305" s="1">
        <v>304</v>
      </c>
      <c r="B305" s="2">
        <v>506915</v>
      </c>
      <c r="C305" s="3">
        <v>2.9000000000000001E-2</v>
      </c>
      <c r="D305" s="4">
        <v>0.3</v>
      </c>
      <c r="E305" s="1">
        <v>0.19</v>
      </c>
      <c r="F305" s="1">
        <v>0.31</v>
      </c>
      <c r="G305" s="1">
        <v>0.49999999999999994</v>
      </c>
    </row>
    <row r="306" spans="1:7" x14ac:dyDescent="0.25">
      <c r="A306" s="1">
        <v>305</v>
      </c>
      <c r="B306" s="2">
        <v>422226</v>
      </c>
      <c r="C306" s="3">
        <v>1.7999999999999999E-2</v>
      </c>
      <c r="D306" s="4">
        <v>0.35</v>
      </c>
      <c r="E306" s="1">
        <v>0.15</v>
      </c>
      <c r="F306" s="1">
        <v>0.37</v>
      </c>
      <c r="G306" s="1">
        <v>0.48</v>
      </c>
    </row>
    <row r="307" spans="1:7" x14ac:dyDescent="0.25">
      <c r="A307" s="1">
        <v>306</v>
      </c>
      <c r="B307" s="2">
        <v>784110</v>
      </c>
      <c r="C307" s="3">
        <v>3.6999999999999998E-2</v>
      </c>
      <c r="D307" s="4">
        <v>0.28999999999999998</v>
      </c>
      <c r="E307" s="1">
        <v>0.3</v>
      </c>
      <c r="F307" s="1">
        <v>0.23</v>
      </c>
      <c r="G307" s="1">
        <v>0.47000000000000003</v>
      </c>
    </row>
    <row r="308" spans="1:7" x14ac:dyDescent="0.25">
      <c r="A308" s="1">
        <v>307</v>
      </c>
      <c r="B308" s="2">
        <v>305398</v>
      </c>
      <c r="C308" s="3">
        <v>4.3999999999999997E-2</v>
      </c>
      <c r="D308" s="4">
        <v>0.2</v>
      </c>
      <c r="E308" s="1">
        <v>0.4</v>
      </c>
      <c r="F308" s="1">
        <v>0.21</v>
      </c>
      <c r="G308" s="1">
        <v>0.39</v>
      </c>
    </row>
    <row r="309" spans="1:7" x14ac:dyDescent="0.25">
      <c r="A309" s="1">
        <v>308</v>
      </c>
      <c r="B309" s="2">
        <v>493212</v>
      </c>
      <c r="C309" s="3">
        <v>0.02</v>
      </c>
      <c r="D309" s="4">
        <v>0.39</v>
      </c>
      <c r="E309" s="1">
        <v>0.12</v>
      </c>
      <c r="F309" s="1">
        <v>0.5</v>
      </c>
      <c r="G309" s="1">
        <v>0.38</v>
      </c>
    </row>
    <row r="310" spans="1:7" x14ac:dyDescent="0.25">
      <c r="A310" s="1">
        <v>309</v>
      </c>
      <c r="B310" s="2">
        <v>448577</v>
      </c>
      <c r="C310" s="3">
        <v>3.5000000000000003E-2</v>
      </c>
      <c r="D310" s="4">
        <v>0.31</v>
      </c>
      <c r="E310" s="1">
        <v>0.36</v>
      </c>
      <c r="F310" s="1">
        <v>0.47</v>
      </c>
      <c r="G310" s="1">
        <v>0.17000000000000004</v>
      </c>
    </row>
    <row r="311" spans="1:7" x14ac:dyDescent="0.25">
      <c r="A311" s="1">
        <v>310</v>
      </c>
      <c r="B311" s="2">
        <v>223413</v>
      </c>
      <c r="C311" s="3">
        <v>2.5000000000000001E-2</v>
      </c>
      <c r="D311" s="4">
        <v>0.34</v>
      </c>
      <c r="E311" s="1">
        <v>0.28000000000000003</v>
      </c>
      <c r="F311" s="1">
        <v>0.25</v>
      </c>
      <c r="G311" s="1">
        <v>0.47</v>
      </c>
    </row>
    <row r="312" spans="1:7" x14ac:dyDescent="0.25">
      <c r="A312" s="1">
        <v>311</v>
      </c>
      <c r="B312" s="2">
        <v>227839</v>
      </c>
      <c r="C312" s="3">
        <v>4.8000000000000001E-2</v>
      </c>
      <c r="D312" s="4">
        <v>0.28000000000000003</v>
      </c>
      <c r="E312" s="1">
        <v>0.12</v>
      </c>
      <c r="F312" s="1">
        <v>0.42</v>
      </c>
      <c r="G312" s="1">
        <v>0.46000000000000008</v>
      </c>
    </row>
    <row r="313" spans="1:7" x14ac:dyDescent="0.25">
      <c r="A313" s="1">
        <v>312</v>
      </c>
      <c r="B313" s="2">
        <v>487873</v>
      </c>
      <c r="C313" s="3">
        <v>4.4999999999999998E-2</v>
      </c>
      <c r="D313" s="4">
        <v>0.28999999999999998</v>
      </c>
      <c r="E313" s="1">
        <v>0.38</v>
      </c>
      <c r="F313" s="1">
        <v>0.35</v>
      </c>
      <c r="G313" s="1">
        <v>0.27</v>
      </c>
    </row>
    <row r="314" spans="1:7" x14ac:dyDescent="0.25">
      <c r="A314" s="1">
        <v>313</v>
      </c>
      <c r="B314" s="2">
        <v>255561</v>
      </c>
      <c r="C314" s="3">
        <v>0.01</v>
      </c>
      <c r="D314" s="4">
        <v>0.38</v>
      </c>
      <c r="E314" s="1">
        <v>0.26</v>
      </c>
      <c r="F314" s="1">
        <v>0.31</v>
      </c>
      <c r="G314" s="1">
        <v>0.42999999999999994</v>
      </c>
    </row>
    <row r="315" spans="1:7" x14ac:dyDescent="0.25">
      <c r="A315" s="1">
        <v>314</v>
      </c>
      <c r="B315" s="2">
        <v>230066</v>
      </c>
      <c r="C315" s="3">
        <v>0.05</v>
      </c>
      <c r="D315" s="4">
        <v>0.3</v>
      </c>
      <c r="E315" s="1">
        <v>0.39</v>
      </c>
      <c r="F315" s="1">
        <v>0.38</v>
      </c>
      <c r="G315" s="1">
        <v>0.22999999999999998</v>
      </c>
    </row>
    <row r="316" spans="1:7" x14ac:dyDescent="0.25">
      <c r="A316" s="1">
        <v>315</v>
      </c>
      <c r="B316" s="2">
        <v>375639</v>
      </c>
      <c r="C316" s="3">
        <v>1.6E-2</v>
      </c>
      <c r="D316" s="4">
        <v>0.25</v>
      </c>
      <c r="E316" s="1">
        <v>0.17</v>
      </c>
      <c r="F316" s="1">
        <v>0.26</v>
      </c>
      <c r="G316" s="1">
        <v>0.56999999999999995</v>
      </c>
    </row>
    <row r="317" spans="1:7" x14ac:dyDescent="0.25">
      <c r="A317" s="1">
        <v>316</v>
      </c>
      <c r="B317" s="2">
        <v>112576</v>
      </c>
      <c r="C317" s="3">
        <v>4.1000000000000002E-2</v>
      </c>
      <c r="D317" s="4">
        <v>0.26</v>
      </c>
      <c r="E317" s="1">
        <v>0.2</v>
      </c>
      <c r="F317" s="1">
        <v>0.31</v>
      </c>
      <c r="G317" s="1">
        <v>0.48999999999999994</v>
      </c>
    </row>
    <row r="318" spans="1:7" x14ac:dyDescent="0.25">
      <c r="A318" s="1">
        <v>317</v>
      </c>
      <c r="B318" s="2">
        <v>351583</v>
      </c>
      <c r="C318" s="3">
        <v>0.03</v>
      </c>
      <c r="D318" s="4">
        <v>0.21</v>
      </c>
      <c r="E318" s="1">
        <v>0.32</v>
      </c>
      <c r="F318" s="1">
        <v>0.5</v>
      </c>
      <c r="G318" s="1">
        <v>0.18</v>
      </c>
    </row>
    <row r="319" spans="1:7" x14ac:dyDescent="0.25">
      <c r="A319" s="1">
        <v>318</v>
      </c>
      <c r="B319" s="2">
        <v>880727</v>
      </c>
      <c r="C319" s="3">
        <v>0.02</v>
      </c>
      <c r="D319" s="4">
        <v>0.31</v>
      </c>
      <c r="E319" s="1">
        <v>0.36</v>
      </c>
      <c r="F319" s="1">
        <v>0.28999999999999998</v>
      </c>
      <c r="G319" s="1">
        <v>0.35</v>
      </c>
    </row>
    <row r="320" spans="1:7" x14ac:dyDescent="0.25">
      <c r="A320" s="1">
        <v>319</v>
      </c>
      <c r="B320" s="2">
        <v>106162</v>
      </c>
      <c r="C320" s="3">
        <v>3.5999999999999997E-2</v>
      </c>
      <c r="D320" s="4">
        <v>0.26</v>
      </c>
      <c r="E320" s="1">
        <v>0.37</v>
      </c>
      <c r="F320" s="1">
        <v>0.5</v>
      </c>
      <c r="G320" s="1">
        <v>0.13</v>
      </c>
    </row>
    <row r="321" spans="1:7" x14ac:dyDescent="0.25">
      <c r="A321" s="1">
        <v>320</v>
      </c>
      <c r="B321" s="2">
        <v>852358</v>
      </c>
      <c r="C321" s="3">
        <v>4.9000000000000002E-2</v>
      </c>
      <c r="D321" s="4">
        <v>0.37</v>
      </c>
      <c r="E321" s="1">
        <v>0.37</v>
      </c>
      <c r="F321" s="1">
        <v>0.21</v>
      </c>
      <c r="G321" s="1">
        <v>0.42000000000000004</v>
      </c>
    </row>
    <row r="322" spans="1:7" x14ac:dyDescent="0.25">
      <c r="A322" s="1">
        <v>321</v>
      </c>
      <c r="B322" s="2">
        <v>350102</v>
      </c>
      <c r="C322" s="3">
        <v>4.9000000000000002E-2</v>
      </c>
      <c r="D322" s="4">
        <v>0.34</v>
      </c>
      <c r="E322" s="1">
        <v>0.37</v>
      </c>
      <c r="F322" s="1">
        <v>0.3</v>
      </c>
      <c r="G322" s="1">
        <v>0.32999999999999996</v>
      </c>
    </row>
    <row r="323" spans="1:7" x14ac:dyDescent="0.25">
      <c r="A323" s="1">
        <v>322</v>
      </c>
      <c r="B323" s="2">
        <v>357785</v>
      </c>
      <c r="C323" s="3">
        <v>3.7999999999999999E-2</v>
      </c>
      <c r="D323" s="4">
        <v>0.36</v>
      </c>
      <c r="E323" s="1">
        <v>0.24</v>
      </c>
      <c r="F323" s="1">
        <v>0.36</v>
      </c>
      <c r="G323" s="1">
        <v>0.4</v>
      </c>
    </row>
    <row r="324" spans="1:7" x14ac:dyDescent="0.25">
      <c r="A324" s="1">
        <v>323</v>
      </c>
      <c r="B324" s="2">
        <v>837748</v>
      </c>
      <c r="C324" s="3">
        <v>1.9E-2</v>
      </c>
      <c r="D324" s="4">
        <v>0.26</v>
      </c>
      <c r="E324" s="1">
        <v>0.24</v>
      </c>
      <c r="F324" s="1">
        <v>0.34</v>
      </c>
      <c r="G324" s="1">
        <v>0.41999999999999993</v>
      </c>
    </row>
    <row r="325" spans="1:7" x14ac:dyDescent="0.25">
      <c r="A325" s="1">
        <v>324</v>
      </c>
      <c r="B325" s="2">
        <v>624579</v>
      </c>
      <c r="C325" s="3">
        <v>1.7000000000000001E-2</v>
      </c>
      <c r="D325" s="4">
        <v>0.27</v>
      </c>
      <c r="E325" s="1">
        <v>0.28999999999999998</v>
      </c>
      <c r="F325" s="1">
        <v>0.43</v>
      </c>
      <c r="G325" s="1">
        <v>0.28000000000000008</v>
      </c>
    </row>
    <row r="326" spans="1:7" x14ac:dyDescent="0.25">
      <c r="A326" s="1">
        <v>325</v>
      </c>
      <c r="B326" s="2">
        <v>213426</v>
      </c>
      <c r="C326" s="3">
        <v>4.4999999999999998E-2</v>
      </c>
      <c r="D326" s="4">
        <v>0.26</v>
      </c>
      <c r="E326" s="1">
        <v>0.19</v>
      </c>
      <c r="F326" s="1">
        <v>0.48</v>
      </c>
      <c r="G326" s="1">
        <v>0.33</v>
      </c>
    </row>
    <row r="327" spans="1:7" x14ac:dyDescent="0.25">
      <c r="A327" s="1">
        <v>326</v>
      </c>
      <c r="B327" s="2">
        <v>119029</v>
      </c>
      <c r="C327" s="3">
        <v>1.7000000000000001E-2</v>
      </c>
      <c r="D327" s="4">
        <v>0.37</v>
      </c>
      <c r="E327" s="1">
        <v>0.37</v>
      </c>
      <c r="F327" s="1">
        <v>0.48</v>
      </c>
      <c r="G327" s="1">
        <v>0.15000000000000002</v>
      </c>
    </row>
    <row r="328" spans="1:7" x14ac:dyDescent="0.25">
      <c r="A328" s="1">
        <v>327</v>
      </c>
      <c r="B328" s="2">
        <v>452071</v>
      </c>
      <c r="C328" s="3">
        <v>3.7999999999999999E-2</v>
      </c>
      <c r="D328" s="4">
        <v>0.33</v>
      </c>
      <c r="E328" s="1">
        <v>0.24</v>
      </c>
      <c r="F328" s="1">
        <v>0.35</v>
      </c>
      <c r="G328" s="1">
        <v>0.41000000000000003</v>
      </c>
    </row>
    <row r="329" spans="1:7" x14ac:dyDescent="0.25">
      <c r="A329" s="1">
        <v>328</v>
      </c>
      <c r="B329" s="2">
        <v>759265</v>
      </c>
      <c r="C329" s="3">
        <v>0.02</v>
      </c>
      <c r="D329" s="4">
        <v>0.38</v>
      </c>
      <c r="E329" s="1">
        <v>0.15</v>
      </c>
      <c r="F329" s="1">
        <v>0.44</v>
      </c>
      <c r="G329" s="1">
        <v>0.41000000000000003</v>
      </c>
    </row>
    <row r="330" spans="1:7" x14ac:dyDescent="0.25">
      <c r="A330" s="1">
        <v>329</v>
      </c>
      <c r="B330" s="2">
        <v>810868</v>
      </c>
      <c r="C330" s="3">
        <v>4.2000000000000003E-2</v>
      </c>
      <c r="D330" s="4">
        <v>0.38</v>
      </c>
      <c r="E330" s="1">
        <v>0.11</v>
      </c>
      <c r="F330" s="1">
        <v>0.39</v>
      </c>
      <c r="G330" s="1">
        <v>0.5</v>
      </c>
    </row>
    <row r="331" spans="1:7" x14ac:dyDescent="0.25">
      <c r="A331" s="1">
        <v>330</v>
      </c>
      <c r="B331" s="2">
        <v>590693</v>
      </c>
      <c r="C331" s="3">
        <v>4.7E-2</v>
      </c>
      <c r="D331" s="4">
        <v>0.35</v>
      </c>
      <c r="E331" s="1">
        <v>0.28999999999999998</v>
      </c>
      <c r="F331" s="1">
        <v>0.31</v>
      </c>
      <c r="G331" s="1">
        <v>0.39999999999999997</v>
      </c>
    </row>
    <row r="332" spans="1:7" x14ac:dyDescent="0.25">
      <c r="A332" s="1">
        <v>331</v>
      </c>
      <c r="B332" s="2">
        <v>857902</v>
      </c>
      <c r="C332" s="3">
        <v>1.0999999999999999E-2</v>
      </c>
      <c r="D332" s="4">
        <v>0.4</v>
      </c>
      <c r="E332" s="1">
        <v>0.31</v>
      </c>
      <c r="F332" s="1">
        <v>0.49</v>
      </c>
      <c r="G332" s="1">
        <v>0.2</v>
      </c>
    </row>
    <row r="333" spans="1:7" x14ac:dyDescent="0.25">
      <c r="A333" s="1">
        <v>332</v>
      </c>
      <c r="B333" s="2">
        <v>276468</v>
      </c>
      <c r="C333" s="3">
        <v>1.9E-2</v>
      </c>
      <c r="D333" s="4">
        <v>0.28000000000000003</v>
      </c>
      <c r="E333" s="1">
        <v>0.26</v>
      </c>
      <c r="F333" s="1">
        <v>0.33</v>
      </c>
      <c r="G333" s="1">
        <v>0.40999999999999992</v>
      </c>
    </row>
    <row r="334" spans="1:7" x14ac:dyDescent="0.25">
      <c r="A334" s="1">
        <v>333</v>
      </c>
      <c r="B334" s="2">
        <v>579735</v>
      </c>
      <c r="C334" s="3">
        <v>1.2E-2</v>
      </c>
      <c r="D334" s="4">
        <v>0.26</v>
      </c>
      <c r="E334" s="1">
        <v>0.36</v>
      </c>
      <c r="F334" s="1">
        <v>0.24</v>
      </c>
      <c r="G334" s="1">
        <v>0.4</v>
      </c>
    </row>
    <row r="335" spans="1:7" x14ac:dyDescent="0.25">
      <c r="A335" s="1">
        <v>334</v>
      </c>
      <c r="B335" s="2">
        <v>388751</v>
      </c>
      <c r="C335" s="3">
        <v>4.2000000000000003E-2</v>
      </c>
      <c r="D335" s="4">
        <v>0.38</v>
      </c>
      <c r="E335" s="1">
        <v>0.33</v>
      </c>
      <c r="F335" s="1">
        <v>0.41</v>
      </c>
      <c r="G335" s="1">
        <v>0.26000000000000006</v>
      </c>
    </row>
    <row r="336" spans="1:7" x14ac:dyDescent="0.25">
      <c r="A336" s="1">
        <v>335</v>
      </c>
      <c r="B336" s="2">
        <v>153840</v>
      </c>
      <c r="C336" s="3">
        <v>2.7E-2</v>
      </c>
      <c r="D336" s="4">
        <v>0.37</v>
      </c>
      <c r="E336" s="1">
        <v>0.27</v>
      </c>
      <c r="F336" s="1">
        <v>0.47</v>
      </c>
      <c r="G336" s="1">
        <v>0.26</v>
      </c>
    </row>
    <row r="337" spans="1:7" x14ac:dyDescent="0.25">
      <c r="A337" s="1">
        <v>336</v>
      </c>
      <c r="B337" s="2">
        <v>724166</v>
      </c>
      <c r="C337" s="3">
        <v>1.0999999999999999E-2</v>
      </c>
      <c r="D337" s="4">
        <v>0.21</v>
      </c>
      <c r="E337" s="1">
        <v>0.21</v>
      </c>
      <c r="F337" s="1">
        <v>0.34</v>
      </c>
      <c r="G337" s="1">
        <v>0.44999999999999996</v>
      </c>
    </row>
    <row r="338" spans="1:7" x14ac:dyDescent="0.25">
      <c r="A338" s="1">
        <v>337</v>
      </c>
      <c r="B338" s="2">
        <v>148973</v>
      </c>
      <c r="C338" s="3">
        <v>3.5999999999999997E-2</v>
      </c>
      <c r="D338" s="4">
        <v>0.35</v>
      </c>
      <c r="E338" s="1">
        <v>0.35</v>
      </c>
      <c r="F338" s="1">
        <v>0.32</v>
      </c>
      <c r="G338" s="1">
        <v>0.32999999999999996</v>
      </c>
    </row>
    <row r="339" spans="1:7" x14ac:dyDescent="0.25">
      <c r="A339" s="1">
        <v>338</v>
      </c>
      <c r="B339" s="2">
        <v>455306</v>
      </c>
      <c r="C339" s="3">
        <v>0.01</v>
      </c>
      <c r="D339" s="4">
        <v>0.38</v>
      </c>
      <c r="E339" s="1">
        <v>0.14000000000000001</v>
      </c>
      <c r="F339" s="1">
        <v>0.36</v>
      </c>
      <c r="G339" s="1">
        <v>0.5</v>
      </c>
    </row>
    <row r="340" spans="1:7" x14ac:dyDescent="0.25">
      <c r="A340" s="1">
        <v>339</v>
      </c>
      <c r="B340" s="2">
        <v>103616</v>
      </c>
      <c r="C340" s="3">
        <v>2.9000000000000001E-2</v>
      </c>
      <c r="D340" s="4">
        <v>0.39</v>
      </c>
      <c r="E340" s="1">
        <v>0.32</v>
      </c>
      <c r="F340" s="1">
        <v>0.21</v>
      </c>
      <c r="G340" s="1">
        <v>0.47000000000000003</v>
      </c>
    </row>
    <row r="341" spans="1:7" x14ac:dyDescent="0.25">
      <c r="A341" s="1">
        <v>340</v>
      </c>
      <c r="B341" s="2">
        <v>359909</v>
      </c>
      <c r="C341" s="3">
        <v>0.02</v>
      </c>
      <c r="D341" s="4">
        <v>0.3</v>
      </c>
      <c r="E341" s="1">
        <v>0.22</v>
      </c>
      <c r="F341" s="1">
        <v>0.47</v>
      </c>
      <c r="G341" s="1">
        <v>0.31000000000000005</v>
      </c>
    </row>
    <row r="342" spans="1:7" x14ac:dyDescent="0.25">
      <c r="A342" s="1">
        <v>341</v>
      </c>
      <c r="B342" s="2">
        <v>860475</v>
      </c>
      <c r="C342" s="3">
        <v>3.4000000000000002E-2</v>
      </c>
      <c r="D342" s="4">
        <v>0.3</v>
      </c>
      <c r="E342" s="1">
        <v>0.32</v>
      </c>
      <c r="F342" s="1">
        <v>0.42</v>
      </c>
      <c r="G342" s="1">
        <v>0.26000000000000006</v>
      </c>
    </row>
    <row r="343" spans="1:7" x14ac:dyDescent="0.25">
      <c r="A343" s="1">
        <v>342</v>
      </c>
      <c r="B343" s="2">
        <v>346618</v>
      </c>
      <c r="C343" s="3">
        <v>1.6E-2</v>
      </c>
      <c r="D343" s="4">
        <v>0.2</v>
      </c>
      <c r="E343" s="1">
        <v>0.36</v>
      </c>
      <c r="F343" s="1">
        <v>0.22</v>
      </c>
      <c r="G343" s="1">
        <v>0.42000000000000004</v>
      </c>
    </row>
    <row r="344" spans="1:7" x14ac:dyDescent="0.25">
      <c r="A344" s="1">
        <v>343</v>
      </c>
      <c r="B344" s="2">
        <v>244760</v>
      </c>
      <c r="C344" s="3">
        <v>2.8000000000000001E-2</v>
      </c>
      <c r="D344" s="4">
        <v>0.27</v>
      </c>
      <c r="E344" s="1">
        <v>0.15</v>
      </c>
      <c r="F344" s="1">
        <v>0.34</v>
      </c>
      <c r="G344" s="1">
        <v>0.5099999999999999</v>
      </c>
    </row>
    <row r="345" spans="1:7" x14ac:dyDescent="0.25">
      <c r="A345" s="1">
        <v>344</v>
      </c>
      <c r="B345" s="2">
        <v>576607</v>
      </c>
      <c r="C345" s="3">
        <v>3.5000000000000003E-2</v>
      </c>
      <c r="D345" s="4">
        <v>0.39</v>
      </c>
      <c r="E345" s="1">
        <v>0.21</v>
      </c>
      <c r="F345" s="1">
        <v>0.27</v>
      </c>
      <c r="G345" s="1">
        <v>0.52</v>
      </c>
    </row>
    <row r="346" spans="1:7" x14ac:dyDescent="0.25">
      <c r="A346" s="1">
        <v>345</v>
      </c>
      <c r="B346" s="2">
        <v>714978</v>
      </c>
      <c r="C346" s="3">
        <v>4.3999999999999997E-2</v>
      </c>
      <c r="D346" s="4">
        <v>0.21</v>
      </c>
      <c r="E346" s="1">
        <v>0.17</v>
      </c>
      <c r="F346" s="1">
        <v>0.46</v>
      </c>
      <c r="G346" s="1">
        <v>0.37</v>
      </c>
    </row>
    <row r="347" spans="1:7" x14ac:dyDescent="0.25">
      <c r="A347" s="1">
        <v>346</v>
      </c>
      <c r="B347" s="2">
        <v>639650</v>
      </c>
      <c r="C347" s="3">
        <v>1.4E-2</v>
      </c>
      <c r="D347" s="4">
        <v>0.35</v>
      </c>
      <c r="E347" s="1">
        <v>0.32</v>
      </c>
      <c r="F347" s="1">
        <v>0.43</v>
      </c>
      <c r="G347" s="1">
        <v>0.25000000000000006</v>
      </c>
    </row>
    <row r="348" spans="1:7" x14ac:dyDescent="0.25">
      <c r="A348" s="1">
        <v>347</v>
      </c>
      <c r="B348" s="2">
        <v>877032</v>
      </c>
      <c r="C348" s="3">
        <v>1.4999999999999999E-2</v>
      </c>
      <c r="D348" s="4">
        <v>0.32</v>
      </c>
      <c r="E348" s="1">
        <v>0.3</v>
      </c>
      <c r="F348" s="1">
        <v>0.23</v>
      </c>
      <c r="G348" s="1">
        <v>0.47000000000000003</v>
      </c>
    </row>
    <row r="349" spans="1:7" x14ac:dyDescent="0.25">
      <c r="A349" s="1">
        <v>348</v>
      </c>
      <c r="B349" s="2">
        <v>789073</v>
      </c>
      <c r="C349" s="3">
        <v>0.05</v>
      </c>
      <c r="D349" s="4">
        <v>0.31</v>
      </c>
      <c r="E349" s="1">
        <v>0.25</v>
      </c>
      <c r="F349" s="1">
        <v>0.44</v>
      </c>
      <c r="G349" s="1">
        <v>0.31000000000000005</v>
      </c>
    </row>
    <row r="350" spans="1:7" x14ac:dyDescent="0.25">
      <c r="A350" s="1">
        <v>349</v>
      </c>
      <c r="B350" s="2">
        <v>197365</v>
      </c>
      <c r="C350" s="3">
        <v>2.1000000000000001E-2</v>
      </c>
      <c r="D350" s="4">
        <v>0.2</v>
      </c>
      <c r="E350" s="1">
        <v>0.37</v>
      </c>
      <c r="F350" s="1">
        <v>0.24</v>
      </c>
      <c r="G350" s="1">
        <v>0.39</v>
      </c>
    </row>
    <row r="351" spans="1:7" x14ac:dyDescent="0.25">
      <c r="A351" s="1">
        <v>350</v>
      </c>
      <c r="B351" s="2">
        <v>364649</v>
      </c>
      <c r="C351" s="3">
        <v>1.7000000000000001E-2</v>
      </c>
      <c r="D351" s="4">
        <v>0.37</v>
      </c>
      <c r="E351" s="1">
        <v>0.36</v>
      </c>
      <c r="F351" s="1">
        <v>0.28000000000000003</v>
      </c>
      <c r="G351" s="1">
        <v>0.36</v>
      </c>
    </row>
    <row r="352" spans="1:7" x14ac:dyDescent="0.25">
      <c r="A352" s="1">
        <v>351</v>
      </c>
      <c r="B352" s="2">
        <v>736783</v>
      </c>
      <c r="C352" s="3">
        <v>2.1999999999999999E-2</v>
      </c>
      <c r="D352" s="4">
        <v>0.25</v>
      </c>
      <c r="E352" s="1">
        <v>0.35</v>
      </c>
      <c r="F352" s="1">
        <v>0.34</v>
      </c>
      <c r="G352" s="1">
        <v>0.30999999999999994</v>
      </c>
    </row>
    <row r="353" spans="1:7" x14ac:dyDescent="0.25">
      <c r="A353" s="1">
        <v>352</v>
      </c>
      <c r="B353" s="2">
        <v>259805</v>
      </c>
      <c r="C353" s="3">
        <v>1.4999999999999999E-2</v>
      </c>
      <c r="D353" s="4">
        <v>0.34</v>
      </c>
      <c r="E353" s="1">
        <v>0.39</v>
      </c>
      <c r="F353" s="1">
        <v>0.39</v>
      </c>
      <c r="G353" s="1">
        <v>0.21999999999999997</v>
      </c>
    </row>
    <row r="354" spans="1:7" x14ac:dyDescent="0.25">
      <c r="A354" s="1">
        <v>353</v>
      </c>
      <c r="B354" s="2">
        <v>400062</v>
      </c>
      <c r="C354" s="3">
        <v>3.9E-2</v>
      </c>
      <c r="D354" s="4">
        <v>0.35</v>
      </c>
      <c r="E354" s="1">
        <v>0.28999999999999998</v>
      </c>
      <c r="F354" s="1">
        <v>0.28000000000000003</v>
      </c>
      <c r="G354" s="1">
        <v>0.43</v>
      </c>
    </row>
    <row r="355" spans="1:7" x14ac:dyDescent="0.25">
      <c r="A355" s="1">
        <v>354</v>
      </c>
      <c r="B355" s="2">
        <v>344905</v>
      </c>
      <c r="C355" s="3">
        <v>3.7999999999999999E-2</v>
      </c>
      <c r="D355" s="4">
        <v>0.26</v>
      </c>
      <c r="E355" s="1">
        <v>0.17</v>
      </c>
      <c r="F355" s="1">
        <v>0.32</v>
      </c>
      <c r="G355" s="1">
        <v>0.5099999999999999</v>
      </c>
    </row>
    <row r="356" spans="1:7" x14ac:dyDescent="0.25">
      <c r="A356" s="1">
        <v>355</v>
      </c>
      <c r="B356" s="2">
        <v>357002</v>
      </c>
      <c r="C356" s="3">
        <v>3.5999999999999997E-2</v>
      </c>
      <c r="D356" s="4">
        <v>0.31</v>
      </c>
      <c r="E356" s="1">
        <v>0.22</v>
      </c>
      <c r="F356" s="1">
        <v>0.26</v>
      </c>
      <c r="G356" s="1">
        <v>0.52</v>
      </c>
    </row>
    <row r="357" spans="1:7" x14ac:dyDescent="0.25">
      <c r="A357" s="1">
        <v>356</v>
      </c>
      <c r="B357" s="2">
        <v>526122</v>
      </c>
      <c r="C357" s="3">
        <v>0.01</v>
      </c>
      <c r="D357" s="4">
        <v>0.33</v>
      </c>
      <c r="E357" s="1">
        <v>0.1</v>
      </c>
      <c r="F357" s="1">
        <v>0.47</v>
      </c>
      <c r="G357" s="1">
        <v>0.43000000000000005</v>
      </c>
    </row>
    <row r="358" spans="1:7" x14ac:dyDescent="0.25">
      <c r="A358" s="1">
        <v>357</v>
      </c>
      <c r="B358" s="2">
        <v>165481</v>
      </c>
      <c r="C358" s="3">
        <v>4.5999999999999999E-2</v>
      </c>
      <c r="D358" s="4">
        <v>0.35</v>
      </c>
      <c r="E358" s="1">
        <v>0.39</v>
      </c>
      <c r="F358" s="1">
        <v>0.36</v>
      </c>
      <c r="G358" s="1">
        <v>0.25</v>
      </c>
    </row>
    <row r="359" spans="1:7" x14ac:dyDescent="0.25">
      <c r="A359" s="1">
        <v>358</v>
      </c>
      <c r="B359" s="2">
        <v>675545</v>
      </c>
      <c r="C359" s="3">
        <v>4.1000000000000002E-2</v>
      </c>
      <c r="D359" s="4">
        <v>0.38</v>
      </c>
      <c r="E359" s="1">
        <v>0.16</v>
      </c>
      <c r="F359" s="1">
        <v>0.24</v>
      </c>
      <c r="G359" s="1">
        <v>0.6</v>
      </c>
    </row>
    <row r="360" spans="1:7" x14ac:dyDescent="0.25">
      <c r="A360" s="1">
        <v>359</v>
      </c>
      <c r="B360" s="2">
        <v>321125</v>
      </c>
      <c r="C360" s="3">
        <v>2.5999999999999999E-2</v>
      </c>
      <c r="D360" s="4">
        <v>0.35</v>
      </c>
      <c r="E360" s="1">
        <v>0.18</v>
      </c>
      <c r="F360" s="1">
        <v>0.25</v>
      </c>
      <c r="G360" s="1">
        <v>0.57000000000000006</v>
      </c>
    </row>
    <row r="361" spans="1:7" x14ac:dyDescent="0.25">
      <c r="A361" s="1">
        <v>360</v>
      </c>
      <c r="B361" s="2">
        <v>340158</v>
      </c>
      <c r="C361" s="3">
        <v>3.4000000000000002E-2</v>
      </c>
      <c r="D361" s="4">
        <v>0.23</v>
      </c>
      <c r="E361" s="1">
        <v>0.4</v>
      </c>
      <c r="F361" s="1">
        <v>0.26</v>
      </c>
      <c r="G361" s="1">
        <v>0.33999999999999997</v>
      </c>
    </row>
    <row r="362" spans="1:7" x14ac:dyDescent="0.25">
      <c r="A362" s="1">
        <v>361</v>
      </c>
      <c r="B362" s="2">
        <v>205277</v>
      </c>
      <c r="C362" s="3">
        <v>3.2000000000000001E-2</v>
      </c>
      <c r="D362" s="4">
        <v>0.35</v>
      </c>
      <c r="E362" s="1">
        <v>0.35</v>
      </c>
      <c r="F362" s="1">
        <v>0.38</v>
      </c>
      <c r="G362" s="1">
        <v>0.27</v>
      </c>
    </row>
    <row r="363" spans="1:7" x14ac:dyDescent="0.25">
      <c r="A363" s="1">
        <v>362</v>
      </c>
      <c r="B363" s="2">
        <v>129927</v>
      </c>
      <c r="C363" s="3">
        <v>0.03</v>
      </c>
      <c r="D363" s="4">
        <v>0.26</v>
      </c>
      <c r="E363" s="1">
        <v>0.21</v>
      </c>
      <c r="F363" s="1">
        <v>0.47</v>
      </c>
      <c r="G363" s="1">
        <v>0.32000000000000006</v>
      </c>
    </row>
    <row r="364" spans="1:7" x14ac:dyDescent="0.25">
      <c r="A364" s="1">
        <v>363</v>
      </c>
      <c r="B364" s="2">
        <v>219442</v>
      </c>
      <c r="C364" s="3">
        <v>3.5999999999999997E-2</v>
      </c>
      <c r="D364" s="4">
        <v>0.3</v>
      </c>
      <c r="E364" s="1">
        <v>0.18</v>
      </c>
      <c r="F364" s="1">
        <v>0.33</v>
      </c>
      <c r="G364" s="1">
        <v>0.48999999999999994</v>
      </c>
    </row>
    <row r="365" spans="1:7" x14ac:dyDescent="0.25">
      <c r="A365" s="1">
        <v>364</v>
      </c>
      <c r="B365" s="2">
        <v>756493</v>
      </c>
      <c r="C365" s="3">
        <v>4.7E-2</v>
      </c>
      <c r="D365" s="4">
        <v>0.34</v>
      </c>
      <c r="E365" s="1">
        <v>0.39</v>
      </c>
      <c r="F365" s="1">
        <v>0.36</v>
      </c>
      <c r="G365" s="1">
        <v>0.25</v>
      </c>
    </row>
    <row r="366" spans="1:7" x14ac:dyDescent="0.25">
      <c r="A366" s="1">
        <v>365</v>
      </c>
      <c r="B366" s="2">
        <v>389938</v>
      </c>
      <c r="C366" s="3">
        <v>3.9E-2</v>
      </c>
      <c r="D366" s="4">
        <v>0.27</v>
      </c>
      <c r="E366" s="1">
        <v>0.35</v>
      </c>
      <c r="F366" s="1">
        <v>0.23</v>
      </c>
      <c r="G366" s="1">
        <v>0.42000000000000004</v>
      </c>
    </row>
    <row r="367" spans="1:7" x14ac:dyDescent="0.25">
      <c r="A367" s="1">
        <v>366</v>
      </c>
      <c r="B367" s="2">
        <v>572067</v>
      </c>
      <c r="C367" s="3">
        <v>3.1E-2</v>
      </c>
      <c r="D367" s="4">
        <v>0.26</v>
      </c>
      <c r="E367" s="1">
        <v>0.18</v>
      </c>
      <c r="F367" s="1">
        <v>0.23</v>
      </c>
      <c r="G367" s="1">
        <v>0.59000000000000008</v>
      </c>
    </row>
    <row r="368" spans="1:7" x14ac:dyDescent="0.25">
      <c r="A368" s="1">
        <v>367</v>
      </c>
      <c r="B368" s="2">
        <v>717942</v>
      </c>
      <c r="C368" s="3">
        <v>4.2000000000000003E-2</v>
      </c>
      <c r="D368" s="4">
        <v>0.25</v>
      </c>
      <c r="E368" s="1">
        <v>0.18</v>
      </c>
      <c r="F368" s="1">
        <v>0.42</v>
      </c>
      <c r="G368" s="1">
        <v>0.40000000000000008</v>
      </c>
    </row>
    <row r="369" spans="1:7" x14ac:dyDescent="0.25">
      <c r="A369" s="1">
        <v>368</v>
      </c>
      <c r="B369" s="2">
        <v>693842</v>
      </c>
      <c r="C369" s="3">
        <v>2.5999999999999999E-2</v>
      </c>
      <c r="D369" s="4">
        <v>0.33</v>
      </c>
      <c r="E369" s="1">
        <v>0.12</v>
      </c>
      <c r="F369" s="1">
        <v>0.23</v>
      </c>
      <c r="G369" s="1">
        <v>0.65</v>
      </c>
    </row>
    <row r="370" spans="1:7" x14ac:dyDescent="0.25">
      <c r="A370" s="1">
        <v>369</v>
      </c>
      <c r="B370" s="2">
        <v>103551</v>
      </c>
      <c r="C370" s="3">
        <v>3.2000000000000001E-2</v>
      </c>
      <c r="D370" s="4">
        <v>0.26</v>
      </c>
      <c r="E370" s="1">
        <v>0.23</v>
      </c>
      <c r="F370" s="1">
        <v>0.44</v>
      </c>
      <c r="G370" s="1">
        <v>0.33000000000000007</v>
      </c>
    </row>
    <row r="371" spans="1:7" x14ac:dyDescent="0.25">
      <c r="A371" s="1">
        <v>370</v>
      </c>
      <c r="B371" s="2">
        <v>158846</v>
      </c>
      <c r="C371" s="3">
        <v>4.4999999999999998E-2</v>
      </c>
      <c r="D371" s="4">
        <v>0.28000000000000003</v>
      </c>
      <c r="E371" s="1">
        <v>0.4</v>
      </c>
      <c r="F371" s="1">
        <v>0.44</v>
      </c>
      <c r="G371" s="1">
        <v>0.16000000000000003</v>
      </c>
    </row>
    <row r="372" spans="1:7" x14ac:dyDescent="0.25">
      <c r="A372" s="1">
        <v>371</v>
      </c>
      <c r="B372" s="2">
        <v>831471</v>
      </c>
      <c r="C372" s="3">
        <v>1.0999999999999999E-2</v>
      </c>
      <c r="D372" s="4">
        <v>0.37</v>
      </c>
      <c r="E372" s="1">
        <v>0.36</v>
      </c>
      <c r="F372" s="1">
        <v>0.44</v>
      </c>
      <c r="G372" s="1">
        <v>0.20000000000000007</v>
      </c>
    </row>
    <row r="373" spans="1:7" x14ac:dyDescent="0.25">
      <c r="A373" s="1">
        <v>372</v>
      </c>
      <c r="B373" s="2">
        <v>377839</v>
      </c>
      <c r="C373" s="3">
        <v>0.02</v>
      </c>
      <c r="D373" s="4">
        <v>0.21</v>
      </c>
      <c r="E373" s="1">
        <v>0.39</v>
      </c>
      <c r="F373" s="1">
        <v>0.34</v>
      </c>
      <c r="G373" s="1">
        <v>0.26999999999999991</v>
      </c>
    </row>
    <row r="374" spans="1:7" x14ac:dyDescent="0.25">
      <c r="A374" s="1">
        <v>373</v>
      </c>
      <c r="B374" s="2">
        <v>394686</v>
      </c>
      <c r="C374" s="3">
        <v>1.7999999999999999E-2</v>
      </c>
      <c r="D374" s="4">
        <v>0.23</v>
      </c>
      <c r="E374" s="1">
        <v>0.38</v>
      </c>
      <c r="F374" s="1">
        <v>0.33</v>
      </c>
      <c r="G374" s="1">
        <v>0.28999999999999992</v>
      </c>
    </row>
    <row r="375" spans="1:7" x14ac:dyDescent="0.25">
      <c r="A375" s="1">
        <v>374</v>
      </c>
      <c r="B375" s="2">
        <v>109254</v>
      </c>
      <c r="C375" s="3">
        <v>4.2000000000000003E-2</v>
      </c>
      <c r="D375" s="4">
        <v>0.33</v>
      </c>
      <c r="E375" s="1">
        <v>0.3</v>
      </c>
      <c r="F375" s="1">
        <v>0.28999999999999998</v>
      </c>
      <c r="G375" s="1">
        <v>0.41</v>
      </c>
    </row>
    <row r="376" spans="1:7" x14ac:dyDescent="0.25">
      <c r="A376" s="1">
        <v>375</v>
      </c>
      <c r="B376" s="2">
        <v>557400</v>
      </c>
      <c r="C376" s="3">
        <v>2.5999999999999999E-2</v>
      </c>
      <c r="D376" s="4">
        <v>0.27</v>
      </c>
      <c r="E376" s="1">
        <v>0.37</v>
      </c>
      <c r="F376" s="1">
        <v>0.28999999999999998</v>
      </c>
      <c r="G376" s="1">
        <v>0.33999999999999997</v>
      </c>
    </row>
    <row r="377" spans="1:7" x14ac:dyDescent="0.25">
      <c r="A377" s="1">
        <v>376</v>
      </c>
      <c r="B377" s="2">
        <v>881145</v>
      </c>
      <c r="C377" s="3">
        <v>2.3E-2</v>
      </c>
      <c r="D377" s="4">
        <v>0.4</v>
      </c>
      <c r="E377" s="1">
        <v>0.1</v>
      </c>
      <c r="F377" s="1">
        <v>0.38</v>
      </c>
      <c r="G377" s="1">
        <v>0.52</v>
      </c>
    </row>
    <row r="378" spans="1:7" x14ac:dyDescent="0.25">
      <c r="A378" s="1">
        <v>377</v>
      </c>
      <c r="B378" s="2">
        <v>636886</v>
      </c>
      <c r="C378" s="3">
        <v>2.7E-2</v>
      </c>
      <c r="D378" s="4">
        <v>0.27</v>
      </c>
      <c r="E378" s="1">
        <v>0.26</v>
      </c>
      <c r="F378" s="1">
        <v>0.49</v>
      </c>
      <c r="G378" s="1">
        <v>0.25</v>
      </c>
    </row>
    <row r="379" spans="1:7" x14ac:dyDescent="0.25">
      <c r="A379" s="1">
        <v>378</v>
      </c>
      <c r="B379" s="2">
        <v>262859</v>
      </c>
      <c r="C379" s="3">
        <v>3.6999999999999998E-2</v>
      </c>
      <c r="D379" s="4">
        <v>0.25</v>
      </c>
      <c r="E379" s="1">
        <v>0.28999999999999998</v>
      </c>
      <c r="F379" s="1">
        <v>0.35</v>
      </c>
      <c r="G379" s="1">
        <v>0.36000000000000004</v>
      </c>
    </row>
    <row r="380" spans="1:7" x14ac:dyDescent="0.25">
      <c r="A380" s="1">
        <v>379</v>
      </c>
      <c r="B380" s="2">
        <v>398789</v>
      </c>
      <c r="C380" s="3">
        <v>3.2000000000000001E-2</v>
      </c>
      <c r="D380" s="4">
        <v>0.34</v>
      </c>
      <c r="E380" s="1">
        <v>0.19</v>
      </c>
      <c r="F380" s="1">
        <v>0.33</v>
      </c>
      <c r="G380" s="1">
        <v>0.47999999999999993</v>
      </c>
    </row>
    <row r="381" spans="1:7" x14ac:dyDescent="0.25">
      <c r="A381" s="1">
        <v>380</v>
      </c>
      <c r="B381" s="2">
        <v>112949</v>
      </c>
      <c r="C381" s="3">
        <v>0.02</v>
      </c>
      <c r="D381" s="4">
        <v>0.25</v>
      </c>
      <c r="E381" s="1">
        <v>0.26</v>
      </c>
      <c r="F381" s="1">
        <v>0.2</v>
      </c>
      <c r="G381" s="1">
        <v>0.54</v>
      </c>
    </row>
    <row r="382" spans="1:7" x14ac:dyDescent="0.25">
      <c r="A382" s="1">
        <v>381</v>
      </c>
      <c r="B382" s="2">
        <v>782185</v>
      </c>
      <c r="C382" s="3">
        <v>4.5999999999999999E-2</v>
      </c>
      <c r="D382" s="4">
        <v>0.28000000000000003</v>
      </c>
      <c r="E382" s="1">
        <v>0.18</v>
      </c>
      <c r="F382" s="1">
        <v>0.37</v>
      </c>
      <c r="G382" s="1">
        <v>0.45</v>
      </c>
    </row>
    <row r="383" spans="1:7" x14ac:dyDescent="0.25">
      <c r="A383" s="1">
        <v>382</v>
      </c>
      <c r="B383" s="2">
        <v>611344</v>
      </c>
      <c r="C383" s="3">
        <v>1.4999999999999999E-2</v>
      </c>
      <c r="D383" s="4">
        <v>0.23</v>
      </c>
      <c r="E383" s="1">
        <v>0.21</v>
      </c>
      <c r="F383" s="1">
        <v>0.28999999999999998</v>
      </c>
      <c r="G383" s="1">
        <v>0.5</v>
      </c>
    </row>
    <row r="384" spans="1:7" x14ac:dyDescent="0.25">
      <c r="A384" s="1">
        <v>383</v>
      </c>
      <c r="B384" s="2">
        <v>502400</v>
      </c>
      <c r="C384" s="3">
        <v>1.2999999999999999E-2</v>
      </c>
      <c r="D384" s="4">
        <v>0.31</v>
      </c>
      <c r="E384" s="1">
        <v>0.35</v>
      </c>
      <c r="F384" s="1">
        <v>0.4</v>
      </c>
      <c r="G384" s="1">
        <v>0.25</v>
      </c>
    </row>
    <row r="385" spans="1:7" x14ac:dyDescent="0.25">
      <c r="A385" s="1">
        <v>384</v>
      </c>
      <c r="B385" s="2">
        <v>629176</v>
      </c>
      <c r="C385" s="3">
        <v>0.02</v>
      </c>
      <c r="D385" s="4">
        <v>0.25</v>
      </c>
      <c r="E385" s="1">
        <v>0.11</v>
      </c>
      <c r="F385" s="1">
        <v>0.3</v>
      </c>
      <c r="G385" s="1">
        <v>0.59</v>
      </c>
    </row>
    <row r="386" spans="1:7" x14ac:dyDescent="0.25">
      <c r="A386" s="1">
        <v>385</v>
      </c>
      <c r="B386" s="2">
        <v>733285</v>
      </c>
      <c r="C386" s="3">
        <v>3.5999999999999997E-2</v>
      </c>
      <c r="D386" s="4">
        <v>0.33</v>
      </c>
      <c r="E386" s="1">
        <v>0.19</v>
      </c>
      <c r="F386" s="1">
        <v>0.45</v>
      </c>
      <c r="G386" s="1">
        <v>0.36000000000000004</v>
      </c>
    </row>
    <row r="387" spans="1:7" x14ac:dyDescent="0.25">
      <c r="A387" s="1">
        <v>386</v>
      </c>
      <c r="B387" s="2">
        <v>446075</v>
      </c>
      <c r="C387" s="3">
        <v>1.4E-2</v>
      </c>
      <c r="D387" s="4">
        <v>0.26</v>
      </c>
      <c r="E387" s="1">
        <v>0.28000000000000003</v>
      </c>
      <c r="F387" s="1">
        <v>0.36</v>
      </c>
      <c r="G387" s="1">
        <v>0.36</v>
      </c>
    </row>
    <row r="388" spans="1:7" x14ac:dyDescent="0.25">
      <c r="A388" s="1">
        <v>387</v>
      </c>
      <c r="B388" s="2">
        <v>850438</v>
      </c>
      <c r="C388" s="3">
        <v>2.1000000000000001E-2</v>
      </c>
      <c r="D388" s="4">
        <v>0.34</v>
      </c>
      <c r="E388" s="1">
        <v>0.17</v>
      </c>
      <c r="F388" s="1">
        <v>0.37</v>
      </c>
      <c r="G388" s="1">
        <v>0.45999999999999996</v>
      </c>
    </row>
    <row r="389" spans="1:7" x14ac:dyDescent="0.25">
      <c r="A389" s="1">
        <v>388</v>
      </c>
      <c r="B389" s="2">
        <v>247554</v>
      </c>
      <c r="C389" s="3">
        <v>3.7999999999999999E-2</v>
      </c>
      <c r="D389" s="4">
        <v>0.24</v>
      </c>
      <c r="E389" s="1">
        <v>0.15</v>
      </c>
      <c r="F389" s="1">
        <v>0.41</v>
      </c>
      <c r="G389" s="1">
        <v>0.44000000000000006</v>
      </c>
    </row>
    <row r="390" spans="1:7" x14ac:dyDescent="0.25">
      <c r="A390" s="1">
        <v>389</v>
      </c>
      <c r="B390" s="2">
        <v>665341</v>
      </c>
      <c r="C390" s="3">
        <v>3.5999999999999997E-2</v>
      </c>
      <c r="D390" s="4">
        <v>0.27</v>
      </c>
      <c r="E390" s="1">
        <v>0.2</v>
      </c>
      <c r="F390" s="1">
        <v>0.21</v>
      </c>
      <c r="G390" s="1">
        <v>0.59000000000000008</v>
      </c>
    </row>
    <row r="391" spans="1:7" x14ac:dyDescent="0.25">
      <c r="A391" s="1">
        <v>390</v>
      </c>
      <c r="B391" s="2">
        <v>167873</v>
      </c>
      <c r="C391" s="3">
        <v>3.5999999999999997E-2</v>
      </c>
      <c r="D391" s="4">
        <v>0.37</v>
      </c>
      <c r="E391" s="1">
        <v>0.21</v>
      </c>
      <c r="F391" s="1">
        <v>0.48</v>
      </c>
      <c r="G391" s="1">
        <v>0.31000000000000005</v>
      </c>
    </row>
    <row r="392" spans="1:7" x14ac:dyDescent="0.25">
      <c r="A392" s="1">
        <v>391</v>
      </c>
      <c r="B392" s="2">
        <v>453580</v>
      </c>
      <c r="C392" s="3">
        <v>1.2E-2</v>
      </c>
      <c r="D392" s="4">
        <v>0.34</v>
      </c>
      <c r="E392" s="1">
        <v>0.36</v>
      </c>
      <c r="F392" s="1">
        <v>0.36</v>
      </c>
      <c r="G392" s="1">
        <v>0.28000000000000003</v>
      </c>
    </row>
    <row r="393" spans="1:7" x14ac:dyDescent="0.25">
      <c r="A393" s="1">
        <v>392</v>
      </c>
      <c r="B393" s="2">
        <v>310890</v>
      </c>
      <c r="C393" s="3">
        <v>3.5999999999999997E-2</v>
      </c>
      <c r="D393" s="4">
        <v>0.34</v>
      </c>
      <c r="E393" s="1">
        <v>0.13</v>
      </c>
      <c r="F393" s="1">
        <v>0.31</v>
      </c>
      <c r="G393" s="1">
        <v>0.55999999999999994</v>
      </c>
    </row>
    <row r="394" spans="1:7" x14ac:dyDescent="0.25">
      <c r="A394" s="1">
        <v>393</v>
      </c>
      <c r="B394" s="2">
        <v>799073</v>
      </c>
      <c r="C394" s="3">
        <v>2.3E-2</v>
      </c>
      <c r="D394" s="4">
        <v>0.25</v>
      </c>
      <c r="E394" s="1">
        <v>0.38</v>
      </c>
      <c r="F394" s="1">
        <v>0.48</v>
      </c>
      <c r="G394" s="1">
        <v>0.14000000000000001</v>
      </c>
    </row>
    <row r="395" spans="1:7" x14ac:dyDescent="0.25">
      <c r="A395" s="1">
        <v>394</v>
      </c>
      <c r="B395" s="2">
        <v>461770</v>
      </c>
      <c r="C395" s="3">
        <v>4.8000000000000001E-2</v>
      </c>
      <c r="D395" s="4">
        <v>0.33</v>
      </c>
      <c r="E395" s="1">
        <v>0.21</v>
      </c>
      <c r="F395" s="1">
        <v>0.48</v>
      </c>
      <c r="G395" s="1">
        <v>0.31000000000000005</v>
      </c>
    </row>
    <row r="396" spans="1:7" x14ac:dyDescent="0.25">
      <c r="A396" s="1">
        <v>395</v>
      </c>
      <c r="B396" s="2">
        <v>799565</v>
      </c>
      <c r="C396" s="3">
        <v>4.2000000000000003E-2</v>
      </c>
      <c r="D396" s="4">
        <v>0.28000000000000003</v>
      </c>
      <c r="E396" s="1">
        <v>0.17</v>
      </c>
      <c r="F396" s="1">
        <v>0.41</v>
      </c>
      <c r="G396" s="1">
        <v>0.42000000000000004</v>
      </c>
    </row>
    <row r="397" spans="1:7" x14ac:dyDescent="0.25">
      <c r="A397" s="1">
        <v>396</v>
      </c>
      <c r="B397" s="2">
        <v>112087</v>
      </c>
      <c r="C397" s="3">
        <v>4.8000000000000001E-2</v>
      </c>
      <c r="D397" s="4">
        <v>0.39</v>
      </c>
      <c r="E397" s="1">
        <v>0.28999999999999998</v>
      </c>
      <c r="F397" s="1">
        <v>0.28999999999999998</v>
      </c>
      <c r="G397" s="1">
        <v>0.42</v>
      </c>
    </row>
    <row r="398" spans="1:7" x14ac:dyDescent="0.25">
      <c r="A398" s="1">
        <v>397</v>
      </c>
      <c r="B398" s="2">
        <v>835080</v>
      </c>
      <c r="C398" s="3">
        <v>1.7000000000000001E-2</v>
      </c>
      <c r="D398" s="4">
        <v>0.27</v>
      </c>
      <c r="E398" s="1">
        <v>0.28000000000000003</v>
      </c>
      <c r="F398" s="1">
        <v>0.43</v>
      </c>
      <c r="G398" s="1">
        <v>0.29000000000000004</v>
      </c>
    </row>
    <row r="399" spans="1:7" x14ac:dyDescent="0.25">
      <c r="A399" s="1">
        <v>398</v>
      </c>
      <c r="B399" s="2">
        <v>611060</v>
      </c>
      <c r="C399" s="3">
        <v>4.9000000000000002E-2</v>
      </c>
      <c r="D399" s="4">
        <v>0.35</v>
      </c>
      <c r="E399" s="1">
        <v>0.37</v>
      </c>
      <c r="F399" s="1">
        <v>0.4</v>
      </c>
      <c r="G399" s="1">
        <v>0.22999999999999998</v>
      </c>
    </row>
    <row r="400" spans="1:7" x14ac:dyDescent="0.25">
      <c r="A400" s="1">
        <v>399</v>
      </c>
      <c r="B400" s="2">
        <v>889945</v>
      </c>
      <c r="C400" s="3">
        <v>2.3E-2</v>
      </c>
      <c r="D400" s="4">
        <v>0.4</v>
      </c>
      <c r="E400" s="1">
        <v>0.37</v>
      </c>
      <c r="F400" s="1">
        <v>0.35</v>
      </c>
      <c r="G400" s="1">
        <v>0.28000000000000003</v>
      </c>
    </row>
    <row r="401" spans="1:7" x14ac:dyDescent="0.25">
      <c r="A401" s="1">
        <v>400</v>
      </c>
      <c r="B401" s="2">
        <v>324993</v>
      </c>
      <c r="C401" s="3">
        <v>0.02</v>
      </c>
      <c r="D401" s="4">
        <v>0.25</v>
      </c>
      <c r="E401" s="1">
        <v>0.1</v>
      </c>
      <c r="F401" s="1">
        <v>0.5</v>
      </c>
      <c r="G401" s="1">
        <v>0.4</v>
      </c>
    </row>
    <row r="402" spans="1:7" x14ac:dyDescent="0.25">
      <c r="A402" s="1">
        <v>401</v>
      </c>
      <c r="B402" s="2">
        <v>676822</v>
      </c>
      <c r="C402" s="3">
        <v>2.7E-2</v>
      </c>
      <c r="D402" s="4">
        <v>0.26</v>
      </c>
      <c r="E402" s="1">
        <v>0.27</v>
      </c>
      <c r="F402" s="1">
        <v>0.27</v>
      </c>
      <c r="G402" s="1">
        <v>0.45999999999999996</v>
      </c>
    </row>
    <row r="403" spans="1:7" x14ac:dyDescent="0.25">
      <c r="A403" s="1">
        <v>402</v>
      </c>
      <c r="B403" s="2">
        <v>219607</v>
      </c>
      <c r="C403" s="3">
        <v>4.8000000000000001E-2</v>
      </c>
      <c r="D403" s="4">
        <v>0.28999999999999998</v>
      </c>
      <c r="E403" s="1">
        <v>0.16</v>
      </c>
      <c r="F403" s="1">
        <v>0.28000000000000003</v>
      </c>
      <c r="G403" s="1">
        <v>0.55999999999999994</v>
      </c>
    </row>
    <row r="404" spans="1:7" x14ac:dyDescent="0.25">
      <c r="A404" s="1">
        <v>403</v>
      </c>
      <c r="B404" s="2">
        <v>173578</v>
      </c>
      <c r="C404" s="3">
        <v>1.4E-2</v>
      </c>
      <c r="D404" s="4">
        <v>0.27</v>
      </c>
      <c r="E404" s="1">
        <v>0.14000000000000001</v>
      </c>
      <c r="F404" s="1">
        <v>0.21</v>
      </c>
      <c r="G404" s="1">
        <v>0.65</v>
      </c>
    </row>
    <row r="405" spans="1:7" x14ac:dyDescent="0.25">
      <c r="A405" s="1">
        <v>404</v>
      </c>
      <c r="B405" s="2">
        <v>729156</v>
      </c>
      <c r="C405" s="3">
        <v>1.4999999999999999E-2</v>
      </c>
      <c r="D405" s="4">
        <v>0.31</v>
      </c>
      <c r="E405" s="1">
        <v>0.24</v>
      </c>
      <c r="F405" s="1">
        <v>0.43</v>
      </c>
      <c r="G405" s="1">
        <v>0.33000000000000007</v>
      </c>
    </row>
    <row r="406" spans="1:7" x14ac:dyDescent="0.25">
      <c r="A406" s="1">
        <v>405</v>
      </c>
      <c r="B406" s="2">
        <v>394136</v>
      </c>
      <c r="C406" s="3">
        <v>4.4999999999999998E-2</v>
      </c>
      <c r="D406" s="4">
        <v>0.38</v>
      </c>
      <c r="E406" s="1">
        <v>0.13</v>
      </c>
      <c r="F406" s="1">
        <v>0.28999999999999998</v>
      </c>
      <c r="G406" s="1">
        <v>0.57999999999999996</v>
      </c>
    </row>
    <row r="407" spans="1:7" x14ac:dyDescent="0.25">
      <c r="A407" s="1">
        <v>406</v>
      </c>
      <c r="B407" s="2">
        <v>343936</v>
      </c>
      <c r="C407" s="3">
        <v>4.2000000000000003E-2</v>
      </c>
      <c r="D407" s="4">
        <v>0.31</v>
      </c>
      <c r="E407" s="1">
        <v>0.21</v>
      </c>
      <c r="F407" s="1">
        <v>0.22</v>
      </c>
      <c r="G407" s="1">
        <v>0.57000000000000006</v>
      </c>
    </row>
    <row r="408" spans="1:7" x14ac:dyDescent="0.25">
      <c r="A408" s="1">
        <v>407</v>
      </c>
      <c r="B408" s="2">
        <v>747994</v>
      </c>
      <c r="C408" s="3">
        <v>3.6999999999999998E-2</v>
      </c>
      <c r="D408" s="4">
        <v>0.23</v>
      </c>
      <c r="E408" s="1">
        <v>0.3</v>
      </c>
      <c r="F408" s="1">
        <v>0.45</v>
      </c>
      <c r="G408" s="1">
        <v>0.25000000000000006</v>
      </c>
    </row>
    <row r="409" spans="1:7" x14ac:dyDescent="0.25">
      <c r="A409" s="1">
        <v>408</v>
      </c>
      <c r="B409" s="2">
        <v>460651</v>
      </c>
      <c r="C409" s="3">
        <v>2.5999999999999999E-2</v>
      </c>
      <c r="D409" s="4">
        <v>0.32</v>
      </c>
      <c r="E409" s="1">
        <v>0.36</v>
      </c>
      <c r="F409" s="1">
        <v>0.22</v>
      </c>
      <c r="G409" s="1">
        <v>0.42000000000000004</v>
      </c>
    </row>
    <row r="410" spans="1:7" x14ac:dyDescent="0.25">
      <c r="A410" s="1">
        <v>409</v>
      </c>
      <c r="B410" s="2">
        <v>361513</v>
      </c>
      <c r="C410" s="3">
        <v>3.3000000000000002E-2</v>
      </c>
      <c r="D410" s="4">
        <v>0.38</v>
      </c>
      <c r="E410" s="1">
        <v>0.25</v>
      </c>
      <c r="F410" s="1">
        <v>0.46</v>
      </c>
      <c r="G410" s="1">
        <v>0.29000000000000004</v>
      </c>
    </row>
    <row r="411" spans="1:7" x14ac:dyDescent="0.25">
      <c r="A411" s="1">
        <v>410</v>
      </c>
      <c r="B411" s="2">
        <v>638700</v>
      </c>
      <c r="C411" s="3">
        <v>2.8000000000000001E-2</v>
      </c>
      <c r="D411" s="4">
        <v>0.3</v>
      </c>
      <c r="E411" s="1">
        <v>0.14000000000000001</v>
      </c>
      <c r="F411" s="1">
        <v>0.31</v>
      </c>
      <c r="G411" s="1">
        <v>0.54999999999999993</v>
      </c>
    </row>
    <row r="412" spans="1:7" x14ac:dyDescent="0.25">
      <c r="A412" s="1">
        <v>411</v>
      </c>
      <c r="B412" s="2">
        <v>607509</v>
      </c>
      <c r="C412" s="3">
        <v>4.2999999999999997E-2</v>
      </c>
      <c r="D412" s="4">
        <v>0.25</v>
      </c>
      <c r="E412" s="1">
        <v>0.12</v>
      </c>
      <c r="F412" s="1">
        <v>0.26</v>
      </c>
      <c r="G412" s="1">
        <v>0.62</v>
      </c>
    </row>
    <row r="413" spans="1:7" x14ac:dyDescent="0.25">
      <c r="A413" s="1">
        <v>412</v>
      </c>
      <c r="B413" s="2">
        <v>314669</v>
      </c>
      <c r="C413" s="3">
        <v>2.5999999999999999E-2</v>
      </c>
      <c r="D413" s="4">
        <v>0.37</v>
      </c>
      <c r="E413" s="1">
        <v>0.35</v>
      </c>
      <c r="F413" s="1">
        <v>0.49</v>
      </c>
      <c r="G413" s="1">
        <v>0.16000000000000003</v>
      </c>
    </row>
    <row r="414" spans="1:7" x14ac:dyDescent="0.25">
      <c r="A414" s="1">
        <v>413</v>
      </c>
      <c r="B414" s="2">
        <v>214777</v>
      </c>
      <c r="C414" s="3">
        <v>3.1E-2</v>
      </c>
      <c r="D414" s="4">
        <v>0.32</v>
      </c>
      <c r="E414" s="1">
        <v>0.38</v>
      </c>
      <c r="F414" s="1">
        <v>0.38</v>
      </c>
      <c r="G414" s="1">
        <v>0.24</v>
      </c>
    </row>
    <row r="415" spans="1:7" x14ac:dyDescent="0.25">
      <c r="A415" s="1">
        <v>414</v>
      </c>
      <c r="B415" s="2">
        <v>566368</v>
      </c>
      <c r="C415" s="3">
        <v>4.5999999999999999E-2</v>
      </c>
      <c r="D415" s="4">
        <v>0.21</v>
      </c>
      <c r="E415" s="1">
        <v>0.25</v>
      </c>
      <c r="F415" s="1">
        <v>0.28000000000000003</v>
      </c>
      <c r="G415" s="1">
        <v>0.47</v>
      </c>
    </row>
    <row r="416" spans="1:7" x14ac:dyDescent="0.25">
      <c r="A416" s="1">
        <v>415</v>
      </c>
      <c r="B416" s="2">
        <v>889804</v>
      </c>
      <c r="C416" s="3">
        <v>3.1E-2</v>
      </c>
      <c r="D416" s="4">
        <v>0.24</v>
      </c>
      <c r="E416" s="1">
        <v>0.36</v>
      </c>
      <c r="F416" s="1">
        <v>0.42</v>
      </c>
      <c r="G416" s="1">
        <v>0.22000000000000008</v>
      </c>
    </row>
    <row r="417" spans="1:7" x14ac:dyDescent="0.25">
      <c r="A417" s="1">
        <v>416</v>
      </c>
      <c r="B417" s="2">
        <v>750774</v>
      </c>
      <c r="C417" s="3">
        <v>2.9000000000000001E-2</v>
      </c>
      <c r="D417" s="4">
        <v>0.35</v>
      </c>
      <c r="E417" s="1">
        <v>0.27</v>
      </c>
      <c r="F417" s="1">
        <v>0.42</v>
      </c>
      <c r="G417" s="1">
        <v>0.31000000000000005</v>
      </c>
    </row>
    <row r="418" spans="1:7" x14ac:dyDescent="0.25">
      <c r="A418" s="1">
        <v>417</v>
      </c>
      <c r="B418" s="2">
        <v>368778</v>
      </c>
      <c r="C418" s="3">
        <v>4.5999999999999999E-2</v>
      </c>
      <c r="D418" s="4">
        <v>0.23</v>
      </c>
      <c r="E418" s="1">
        <v>0.25</v>
      </c>
      <c r="F418" s="1">
        <v>0.37</v>
      </c>
      <c r="G418" s="1">
        <v>0.38</v>
      </c>
    </row>
    <row r="419" spans="1:7" x14ac:dyDescent="0.25">
      <c r="A419" s="1">
        <v>418</v>
      </c>
      <c r="B419" s="2">
        <v>840050</v>
      </c>
      <c r="C419" s="3">
        <v>4.4999999999999998E-2</v>
      </c>
      <c r="D419" s="4">
        <v>0.28999999999999998</v>
      </c>
      <c r="E419" s="1">
        <v>0.38</v>
      </c>
      <c r="F419" s="1">
        <v>0.35</v>
      </c>
      <c r="G419" s="1">
        <v>0.27</v>
      </c>
    </row>
    <row r="420" spans="1:7" x14ac:dyDescent="0.25">
      <c r="A420" s="1">
        <v>419</v>
      </c>
      <c r="B420" s="2">
        <v>498120</v>
      </c>
      <c r="C420" s="3">
        <v>1.4E-2</v>
      </c>
      <c r="D420" s="4">
        <v>0.33</v>
      </c>
      <c r="E420" s="1">
        <v>0.33</v>
      </c>
      <c r="F420" s="1">
        <v>0.5</v>
      </c>
      <c r="G420" s="1">
        <v>0.16999999999999998</v>
      </c>
    </row>
    <row r="421" spans="1:7" x14ac:dyDescent="0.25">
      <c r="A421" s="1">
        <v>420</v>
      </c>
      <c r="B421" s="2">
        <v>352238</v>
      </c>
      <c r="C421" s="3">
        <v>4.5999999999999999E-2</v>
      </c>
      <c r="D421" s="4">
        <v>0.28999999999999998</v>
      </c>
      <c r="E421" s="1">
        <v>0.25</v>
      </c>
      <c r="F421" s="1">
        <v>0.42</v>
      </c>
      <c r="G421" s="1">
        <v>0.33000000000000007</v>
      </c>
    </row>
    <row r="422" spans="1:7" x14ac:dyDescent="0.25">
      <c r="A422" s="1">
        <v>421</v>
      </c>
      <c r="B422" s="2">
        <v>735030</v>
      </c>
      <c r="C422" s="3">
        <v>1.4E-2</v>
      </c>
      <c r="D422" s="4">
        <v>0.28999999999999998</v>
      </c>
      <c r="E422" s="1">
        <v>0.31</v>
      </c>
      <c r="F422" s="1">
        <v>0.44</v>
      </c>
      <c r="G422" s="1">
        <v>0.25000000000000006</v>
      </c>
    </row>
    <row r="423" spans="1:7" x14ac:dyDescent="0.25">
      <c r="A423" s="1">
        <v>422</v>
      </c>
      <c r="B423" s="2">
        <v>334362</v>
      </c>
      <c r="C423" s="3">
        <v>1.4E-2</v>
      </c>
      <c r="D423" s="4">
        <v>0.3</v>
      </c>
      <c r="E423" s="1">
        <v>0.28999999999999998</v>
      </c>
      <c r="F423" s="1">
        <v>0.26</v>
      </c>
      <c r="G423" s="1">
        <v>0.45</v>
      </c>
    </row>
    <row r="424" spans="1:7" x14ac:dyDescent="0.25">
      <c r="A424" s="1">
        <v>423</v>
      </c>
      <c r="B424" s="2">
        <v>151691</v>
      </c>
      <c r="C424" s="3">
        <v>1.0999999999999999E-2</v>
      </c>
      <c r="D424" s="4">
        <v>0.32</v>
      </c>
      <c r="E424" s="1">
        <v>0.38</v>
      </c>
      <c r="F424" s="1">
        <v>0.32</v>
      </c>
      <c r="G424" s="1">
        <v>0.29999999999999993</v>
      </c>
    </row>
    <row r="425" spans="1:7" x14ac:dyDescent="0.25">
      <c r="A425" s="1">
        <v>424</v>
      </c>
      <c r="B425" s="2">
        <v>294342</v>
      </c>
      <c r="C425" s="3">
        <v>0.05</v>
      </c>
      <c r="D425" s="4">
        <v>0.28999999999999998</v>
      </c>
      <c r="E425" s="1">
        <v>0.35</v>
      </c>
      <c r="F425" s="1">
        <v>0.25</v>
      </c>
      <c r="G425" s="1">
        <v>0.4</v>
      </c>
    </row>
    <row r="426" spans="1:7" x14ac:dyDescent="0.25">
      <c r="A426" s="1">
        <v>425</v>
      </c>
      <c r="B426" s="2">
        <v>874534</v>
      </c>
      <c r="C426" s="3">
        <v>4.3999999999999997E-2</v>
      </c>
      <c r="D426" s="4">
        <v>0.36</v>
      </c>
      <c r="E426" s="1">
        <v>0.11</v>
      </c>
      <c r="F426" s="1">
        <v>0.23</v>
      </c>
      <c r="G426" s="1">
        <v>0.66</v>
      </c>
    </row>
    <row r="427" spans="1:7" x14ac:dyDescent="0.25">
      <c r="A427" s="1">
        <v>426</v>
      </c>
      <c r="B427" s="2">
        <v>650005</v>
      </c>
      <c r="C427" s="3">
        <v>3.3000000000000002E-2</v>
      </c>
      <c r="D427" s="4">
        <v>0.27</v>
      </c>
      <c r="E427" s="1">
        <v>0.19</v>
      </c>
      <c r="F427" s="1">
        <v>0.43</v>
      </c>
      <c r="G427" s="1">
        <v>0.38000000000000006</v>
      </c>
    </row>
    <row r="428" spans="1:7" x14ac:dyDescent="0.25">
      <c r="A428" s="1">
        <v>427</v>
      </c>
      <c r="B428" s="2">
        <v>787329</v>
      </c>
      <c r="C428" s="3">
        <v>2.1000000000000001E-2</v>
      </c>
      <c r="D428" s="4">
        <v>0.39</v>
      </c>
      <c r="E428" s="1">
        <v>0.17</v>
      </c>
      <c r="F428" s="1">
        <v>0.39</v>
      </c>
      <c r="G428" s="1">
        <v>0.43999999999999995</v>
      </c>
    </row>
    <row r="429" spans="1:7" x14ac:dyDescent="0.25">
      <c r="A429" s="1">
        <v>428</v>
      </c>
      <c r="B429" s="2">
        <v>811869</v>
      </c>
      <c r="C429" s="3">
        <v>4.2999999999999997E-2</v>
      </c>
      <c r="D429" s="4">
        <v>0.32</v>
      </c>
      <c r="E429" s="1">
        <v>0.24</v>
      </c>
      <c r="F429" s="1">
        <v>0.28999999999999998</v>
      </c>
      <c r="G429" s="1">
        <v>0.47</v>
      </c>
    </row>
    <row r="430" spans="1:7" x14ac:dyDescent="0.25">
      <c r="A430" s="1">
        <v>429</v>
      </c>
      <c r="B430" s="2">
        <v>592426</v>
      </c>
      <c r="C430" s="3">
        <v>4.9000000000000002E-2</v>
      </c>
      <c r="D430" s="4">
        <v>0.33</v>
      </c>
      <c r="E430" s="1">
        <v>0.32</v>
      </c>
      <c r="F430" s="1">
        <v>0.48</v>
      </c>
      <c r="G430" s="1">
        <v>0.2</v>
      </c>
    </row>
    <row r="431" spans="1:7" x14ac:dyDescent="0.25">
      <c r="A431" s="1">
        <v>430</v>
      </c>
      <c r="B431" s="2">
        <v>344442</v>
      </c>
      <c r="C431" s="3">
        <v>3.1E-2</v>
      </c>
      <c r="D431" s="4">
        <v>0.35</v>
      </c>
      <c r="E431" s="1">
        <v>0.17</v>
      </c>
      <c r="F431" s="1">
        <v>0.49</v>
      </c>
      <c r="G431" s="1">
        <v>0.33999999999999997</v>
      </c>
    </row>
    <row r="432" spans="1:7" x14ac:dyDescent="0.25">
      <c r="A432" s="1">
        <v>431</v>
      </c>
      <c r="B432" s="2">
        <v>680912</v>
      </c>
      <c r="C432" s="3">
        <v>1.9E-2</v>
      </c>
      <c r="D432" s="4">
        <v>0.28999999999999998</v>
      </c>
      <c r="E432" s="1">
        <v>0.37</v>
      </c>
      <c r="F432" s="1">
        <v>0.2</v>
      </c>
      <c r="G432" s="1">
        <v>0.43000000000000005</v>
      </c>
    </row>
    <row r="433" spans="1:7" x14ac:dyDescent="0.25">
      <c r="A433" s="1">
        <v>432</v>
      </c>
      <c r="B433" s="2">
        <v>335984</v>
      </c>
      <c r="C433" s="3">
        <v>2.4E-2</v>
      </c>
      <c r="D433" s="4">
        <v>0.27</v>
      </c>
      <c r="E433" s="1">
        <v>0.15</v>
      </c>
      <c r="F433" s="1">
        <v>0.21</v>
      </c>
      <c r="G433" s="1">
        <v>0.64</v>
      </c>
    </row>
    <row r="434" spans="1:7" x14ac:dyDescent="0.25">
      <c r="A434" s="1">
        <v>433</v>
      </c>
      <c r="B434" s="2">
        <v>518197</v>
      </c>
      <c r="C434" s="3">
        <v>4.5999999999999999E-2</v>
      </c>
      <c r="D434" s="4">
        <v>0.3</v>
      </c>
      <c r="E434" s="1">
        <v>0.12</v>
      </c>
      <c r="F434" s="1">
        <v>0.35</v>
      </c>
      <c r="G434" s="1">
        <v>0.53</v>
      </c>
    </row>
    <row r="435" spans="1:7" x14ac:dyDescent="0.25">
      <c r="A435" s="1">
        <v>434</v>
      </c>
      <c r="B435" s="2">
        <v>293562</v>
      </c>
      <c r="C435" s="3">
        <v>4.4999999999999998E-2</v>
      </c>
      <c r="D435" s="4">
        <v>0.34</v>
      </c>
      <c r="E435" s="1">
        <v>0.13</v>
      </c>
      <c r="F435" s="1">
        <v>0.34</v>
      </c>
      <c r="G435" s="1">
        <v>0.52999999999999992</v>
      </c>
    </row>
    <row r="436" spans="1:7" x14ac:dyDescent="0.25">
      <c r="A436" s="1">
        <v>435</v>
      </c>
      <c r="B436" s="2">
        <v>731337</v>
      </c>
      <c r="C436" s="3">
        <v>4.1000000000000002E-2</v>
      </c>
      <c r="D436" s="4">
        <v>0.36</v>
      </c>
      <c r="E436" s="1">
        <v>0.39</v>
      </c>
      <c r="F436" s="1">
        <v>0.43</v>
      </c>
      <c r="G436" s="1">
        <v>0.18000000000000005</v>
      </c>
    </row>
    <row r="437" spans="1:7" x14ac:dyDescent="0.25">
      <c r="A437" s="1">
        <v>436</v>
      </c>
      <c r="B437" s="2">
        <v>324387</v>
      </c>
      <c r="C437" s="3">
        <v>3.3000000000000002E-2</v>
      </c>
      <c r="D437" s="4">
        <v>0.38</v>
      </c>
      <c r="E437" s="1">
        <v>0.28999999999999998</v>
      </c>
      <c r="F437" s="1">
        <v>0.42</v>
      </c>
      <c r="G437" s="1">
        <v>0.29000000000000009</v>
      </c>
    </row>
    <row r="438" spans="1:7" x14ac:dyDescent="0.25">
      <c r="A438" s="1">
        <v>437</v>
      </c>
      <c r="B438" s="2">
        <v>608730</v>
      </c>
      <c r="C438" s="3">
        <v>0.04</v>
      </c>
      <c r="D438" s="4">
        <v>0.39</v>
      </c>
      <c r="E438" s="1">
        <v>0.38</v>
      </c>
      <c r="F438" s="1">
        <v>0.27</v>
      </c>
      <c r="G438" s="1">
        <v>0.35</v>
      </c>
    </row>
    <row r="439" spans="1:7" x14ac:dyDescent="0.25">
      <c r="A439" s="1">
        <v>438</v>
      </c>
      <c r="B439" s="2">
        <v>590846</v>
      </c>
      <c r="C439" s="3">
        <v>3.6999999999999998E-2</v>
      </c>
      <c r="D439" s="4">
        <v>0.31</v>
      </c>
      <c r="E439" s="1">
        <v>0.2</v>
      </c>
      <c r="F439" s="1">
        <v>0.35</v>
      </c>
      <c r="G439" s="1">
        <v>0.45</v>
      </c>
    </row>
    <row r="440" spans="1:7" x14ac:dyDescent="0.25">
      <c r="A440" s="1">
        <v>439</v>
      </c>
      <c r="B440" s="2">
        <v>502088</v>
      </c>
      <c r="C440" s="3">
        <v>4.2000000000000003E-2</v>
      </c>
      <c r="D440" s="4">
        <v>0.2</v>
      </c>
      <c r="E440" s="1">
        <v>0.35</v>
      </c>
      <c r="F440" s="1">
        <v>0.5</v>
      </c>
      <c r="G440" s="1">
        <v>0.15000000000000002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840F-A692-412B-B5EA-4F5FD1ED685E}">
  <dimension ref="C2:M19"/>
  <sheetViews>
    <sheetView workbookViewId="0">
      <selection activeCell="I18" sqref="I18"/>
    </sheetView>
  </sheetViews>
  <sheetFormatPr baseColWidth="10" defaultRowHeight="15" x14ac:dyDescent="0.25"/>
  <cols>
    <col min="3" max="3" width="22.7109375" customWidth="1"/>
    <col min="4" max="4" width="20" bestFit="1" customWidth="1"/>
    <col min="12" max="12" width="15" bestFit="1" customWidth="1"/>
    <col min="13" max="13" width="16.140625" bestFit="1" customWidth="1"/>
  </cols>
  <sheetData>
    <row r="2" spans="3:13" x14ac:dyDescent="0.25">
      <c r="C2" t="s">
        <v>4</v>
      </c>
    </row>
    <row r="3" spans="3:13" x14ac:dyDescent="0.25">
      <c r="C3" t="s">
        <v>5</v>
      </c>
      <c r="D3" s="6">
        <v>9259030.6300000008</v>
      </c>
    </row>
    <row r="4" spans="3:13" x14ac:dyDescent="0.25">
      <c r="C4" t="s">
        <v>6</v>
      </c>
      <c r="D4" s="6">
        <v>88773494.180000007</v>
      </c>
    </row>
    <row r="5" spans="3:13" x14ac:dyDescent="0.25">
      <c r="C5" t="s">
        <v>7</v>
      </c>
      <c r="D5" s="6">
        <v>115612105.26000001</v>
      </c>
    </row>
    <row r="7" spans="3:13" x14ac:dyDescent="0.25">
      <c r="C7" t="s">
        <v>8</v>
      </c>
      <c r="L7" s="7">
        <f>D4-D3</f>
        <v>79514463.550000012</v>
      </c>
    </row>
    <row r="8" spans="3:13" x14ac:dyDescent="0.25">
      <c r="C8" s="5" t="s">
        <v>14</v>
      </c>
      <c r="L8" t="s">
        <v>18</v>
      </c>
    </row>
    <row r="10" spans="3:13" x14ac:dyDescent="0.25">
      <c r="C10" t="s">
        <v>9</v>
      </c>
    </row>
    <row r="11" spans="3:13" x14ac:dyDescent="0.25">
      <c r="C11" t="s">
        <v>5</v>
      </c>
      <c r="D11" s="6">
        <v>3515965.43</v>
      </c>
    </row>
    <row r="12" spans="3:13" x14ac:dyDescent="0.25">
      <c r="C12" t="s">
        <v>6</v>
      </c>
      <c r="D12" s="6">
        <v>36617443.369999997</v>
      </c>
    </row>
    <row r="13" spans="3:13" x14ac:dyDescent="0.25">
      <c r="C13" t="s">
        <v>23</v>
      </c>
      <c r="D13" s="6">
        <f>D12-D11</f>
        <v>33101477.939999998</v>
      </c>
    </row>
    <row r="16" spans="3:13" x14ac:dyDescent="0.25">
      <c r="C16" t="s">
        <v>10</v>
      </c>
      <c r="M16" s="11">
        <f>SUM(clo!B2:B238)</f>
        <v>276574358</v>
      </c>
    </row>
    <row r="17" spans="3:7" x14ac:dyDescent="0.25">
      <c r="C17" t="s">
        <v>11</v>
      </c>
    </row>
    <row r="18" spans="3:7" x14ac:dyDescent="0.25">
      <c r="C18" t="s">
        <v>12</v>
      </c>
      <c r="G18" s="15">
        <f>1-'analisis clo'!F38</f>
        <v>2.8699999999999615E-2</v>
      </c>
    </row>
    <row r="19" spans="3:7" x14ac:dyDescent="0.25">
      <c r="C19" t="s">
        <v>13</v>
      </c>
      <c r="G19" s="15">
        <f>1-'analisis clo'!F39</f>
        <v>2.6899999999999591E-2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C2120-966F-4136-A2E7-2427E021B01C}">
  <dimension ref="A1:G440"/>
  <sheetViews>
    <sheetView workbookViewId="0">
      <selection activeCell="C19" sqref="C19"/>
    </sheetView>
  </sheetViews>
  <sheetFormatPr baseColWidth="10" defaultRowHeight="15" x14ac:dyDescent="0.25"/>
  <cols>
    <col min="2" max="2" width="14" customWidth="1"/>
    <col min="3" max="3" width="21.5703125" customWidth="1"/>
    <col min="4" max="4" width="35" customWidth="1"/>
    <col min="5" max="7" width="11.5703125" style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s="1" t="s">
        <v>15</v>
      </c>
      <c r="F1" s="1" t="s">
        <v>16</v>
      </c>
      <c r="G1" s="1" t="s">
        <v>17</v>
      </c>
    </row>
    <row r="2" spans="1:7" x14ac:dyDescent="0.25">
      <c r="A2" s="8">
        <v>158</v>
      </c>
      <c r="B2" s="2">
        <v>301118</v>
      </c>
      <c r="C2" s="3">
        <v>0.05</v>
      </c>
      <c r="D2" s="4">
        <v>0.37</v>
      </c>
      <c r="E2" s="1">
        <v>0.4</v>
      </c>
      <c r="F2" s="1">
        <v>0.22</v>
      </c>
      <c r="G2" s="1">
        <v>0.38</v>
      </c>
    </row>
    <row r="3" spans="1:7" x14ac:dyDescent="0.25">
      <c r="A3" s="8">
        <v>207</v>
      </c>
      <c r="B3" s="2">
        <v>776169</v>
      </c>
      <c r="C3" s="3">
        <v>0.05</v>
      </c>
      <c r="D3" s="4">
        <v>0.4</v>
      </c>
      <c r="E3" s="1">
        <v>0.14000000000000001</v>
      </c>
      <c r="F3" s="1">
        <v>0.48</v>
      </c>
      <c r="G3" s="1">
        <v>0.38</v>
      </c>
    </row>
    <row r="4" spans="1:7" x14ac:dyDescent="0.25">
      <c r="A4" s="8">
        <v>314</v>
      </c>
      <c r="B4" s="2">
        <v>230066</v>
      </c>
      <c r="C4" s="3">
        <v>0.05</v>
      </c>
      <c r="D4" s="4">
        <v>0.3</v>
      </c>
      <c r="E4" s="1">
        <v>0.39</v>
      </c>
      <c r="F4" s="1">
        <v>0.38</v>
      </c>
      <c r="G4" s="1">
        <v>0.22999999999999998</v>
      </c>
    </row>
    <row r="5" spans="1:7" x14ac:dyDescent="0.25">
      <c r="A5" s="8">
        <v>348</v>
      </c>
      <c r="B5" s="2">
        <v>789073</v>
      </c>
      <c r="C5" s="3">
        <v>0.05</v>
      </c>
      <c r="D5" s="4">
        <v>0.31</v>
      </c>
      <c r="E5" s="1">
        <v>0.25</v>
      </c>
      <c r="F5" s="1">
        <v>0.44</v>
      </c>
      <c r="G5" s="1">
        <v>0.31000000000000005</v>
      </c>
    </row>
    <row r="6" spans="1:7" x14ac:dyDescent="0.25">
      <c r="A6" s="8">
        <v>424</v>
      </c>
      <c r="B6" s="2">
        <v>294342</v>
      </c>
      <c r="C6" s="3">
        <v>0.05</v>
      </c>
      <c r="D6" s="4">
        <v>0.28999999999999998</v>
      </c>
      <c r="E6" s="1">
        <v>0.35</v>
      </c>
      <c r="F6" s="1">
        <v>0.25</v>
      </c>
      <c r="G6" s="1">
        <v>0.4</v>
      </c>
    </row>
    <row r="7" spans="1:7" x14ac:dyDescent="0.25">
      <c r="A7" s="8">
        <v>142</v>
      </c>
      <c r="B7" s="2">
        <v>635715</v>
      </c>
      <c r="C7" s="3">
        <v>4.9000000000000002E-2</v>
      </c>
      <c r="D7" s="4">
        <v>0.3</v>
      </c>
      <c r="E7" s="1">
        <v>0.21</v>
      </c>
      <c r="F7" s="1">
        <v>0.49</v>
      </c>
      <c r="G7" s="1">
        <v>0.30000000000000004</v>
      </c>
    </row>
    <row r="8" spans="1:7" x14ac:dyDescent="0.25">
      <c r="A8" s="8">
        <v>226</v>
      </c>
      <c r="B8" s="2">
        <v>765642</v>
      </c>
      <c r="C8" s="3">
        <v>4.9000000000000002E-2</v>
      </c>
      <c r="D8" s="4">
        <v>0.27</v>
      </c>
      <c r="E8" s="1">
        <v>0.19</v>
      </c>
      <c r="F8" s="1">
        <v>0.22</v>
      </c>
      <c r="G8" s="1">
        <v>0.59000000000000008</v>
      </c>
    </row>
    <row r="9" spans="1:7" x14ac:dyDescent="0.25">
      <c r="A9" s="8">
        <v>294</v>
      </c>
      <c r="B9" s="2">
        <v>453354</v>
      </c>
      <c r="C9" s="3">
        <v>4.9000000000000002E-2</v>
      </c>
      <c r="D9" s="4">
        <v>0.35</v>
      </c>
      <c r="E9" s="1">
        <v>0.38</v>
      </c>
      <c r="F9" s="1">
        <v>0.39</v>
      </c>
      <c r="G9" s="1">
        <v>0.22999999999999998</v>
      </c>
    </row>
    <row r="10" spans="1:7" x14ac:dyDescent="0.25">
      <c r="A10" s="8">
        <v>320</v>
      </c>
      <c r="B10" s="2">
        <v>852358</v>
      </c>
      <c r="C10" s="3">
        <v>4.9000000000000002E-2</v>
      </c>
      <c r="D10" s="4">
        <v>0.37</v>
      </c>
      <c r="E10" s="1">
        <v>0.37</v>
      </c>
      <c r="F10" s="1">
        <v>0.21</v>
      </c>
      <c r="G10" s="1">
        <v>0.42000000000000004</v>
      </c>
    </row>
    <row r="11" spans="1:7" x14ac:dyDescent="0.25">
      <c r="A11" s="8">
        <v>321</v>
      </c>
      <c r="B11" s="2">
        <v>350102</v>
      </c>
      <c r="C11" s="3">
        <v>4.9000000000000002E-2</v>
      </c>
      <c r="D11" s="4">
        <v>0.34</v>
      </c>
      <c r="E11" s="1">
        <v>0.37</v>
      </c>
      <c r="F11" s="1">
        <v>0.3</v>
      </c>
      <c r="G11" s="1">
        <v>0.32999999999999996</v>
      </c>
    </row>
    <row r="12" spans="1:7" x14ac:dyDescent="0.25">
      <c r="A12" s="8">
        <v>398</v>
      </c>
      <c r="B12" s="2">
        <v>611060</v>
      </c>
      <c r="C12" s="3">
        <v>4.9000000000000002E-2</v>
      </c>
      <c r="D12" s="4">
        <v>0.35</v>
      </c>
      <c r="E12" s="1">
        <v>0.37</v>
      </c>
      <c r="F12" s="1">
        <v>0.4</v>
      </c>
      <c r="G12" s="1">
        <v>0.22999999999999998</v>
      </c>
    </row>
    <row r="13" spans="1:7" x14ac:dyDescent="0.25">
      <c r="A13" s="8">
        <v>429</v>
      </c>
      <c r="B13" s="2">
        <v>592426</v>
      </c>
      <c r="C13" s="3">
        <v>4.9000000000000002E-2</v>
      </c>
      <c r="D13" s="4">
        <v>0.33</v>
      </c>
      <c r="E13" s="1">
        <v>0.32</v>
      </c>
      <c r="F13" s="1">
        <v>0.48</v>
      </c>
      <c r="G13" s="1">
        <v>0.2</v>
      </c>
    </row>
    <row r="14" spans="1:7" x14ac:dyDescent="0.25">
      <c r="A14" s="8">
        <v>139</v>
      </c>
      <c r="B14" s="2">
        <v>249963</v>
      </c>
      <c r="C14" s="3">
        <v>4.8000000000000001E-2</v>
      </c>
      <c r="D14" s="4">
        <v>0.28000000000000003</v>
      </c>
      <c r="E14" s="1">
        <v>0.11</v>
      </c>
      <c r="F14" s="1">
        <v>0.31</v>
      </c>
      <c r="G14" s="1">
        <v>0.57999999999999996</v>
      </c>
    </row>
    <row r="15" spans="1:7" x14ac:dyDescent="0.25">
      <c r="A15" s="8">
        <v>177</v>
      </c>
      <c r="B15" s="2">
        <v>349632</v>
      </c>
      <c r="C15" s="3">
        <v>4.8000000000000001E-2</v>
      </c>
      <c r="D15" s="4">
        <v>0.27</v>
      </c>
      <c r="E15" s="1">
        <v>0.23</v>
      </c>
      <c r="F15" s="1">
        <v>0.34</v>
      </c>
      <c r="G15" s="1">
        <v>0.42999999999999994</v>
      </c>
    </row>
    <row r="16" spans="1:7" x14ac:dyDescent="0.25">
      <c r="A16" s="8">
        <v>247</v>
      </c>
      <c r="B16" s="2">
        <v>848981</v>
      </c>
      <c r="C16" s="3">
        <v>4.8000000000000001E-2</v>
      </c>
      <c r="D16" s="4">
        <v>0.33</v>
      </c>
      <c r="E16" s="1">
        <v>0.11</v>
      </c>
      <c r="F16" s="1">
        <v>0.21</v>
      </c>
      <c r="G16" s="1">
        <v>0.68</v>
      </c>
    </row>
    <row r="17" spans="1:7" x14ac:dyDescent="0.25">
      <c r="A17" s="8">
        <v>252</v>
      </c>
      <c r="B17" s="2">
        <v>830008</v>
      </c>
      <c r="C17" s="3">
        <v>4.8000000000000001E-2</v>
      </c>
      <c r="D17" s="4">
        <v>0.34</v>
      </c>
      <c r="E17" s="1">
        <v>0.27</v>
      </c>
      <c r="F17" s="1">
        <v>0.48</v>
      </c>
      <c r="G17" s="1">
        <v>0.25</v>
      </c>
    </row>
    <row r="18" spans="1:7" x14ac:dyDescent="0.25">
      <c r="A18" s="8">
        <v>288</v>
      </c>
      <c r="B18" s="2">
        <v>119047</v>
      </c>
      <c r="C18" s="3">
        <v>4.8000000000000001E-2</v>
      </c>
      <c r="D18" s="4">
        <v>0.3</v>
      </c>
      <c r="E18" s="1">
        <v>0.14000000000000001</v>
      </c>
      <c r="F18" s="1">
        <v>0.2</v>
      </c>
      <c r="G18" s="1">
        <v>0.66</v>
      </c>
    </row>
    <row r="19" spans="1:7" x14ac:dyDescent="0.25">
      <c r="A19" s="8">
        <v>311</v>
      </c>
      <c r="B19" s="2">
        <v>227839</v>
      </c>
      <c r="C19" s="3">
        <v>4.8000000000000001E-2</v>
      </c>
      <c r="D19" s="4">
        <v>0.28000000000000003</v>
      </c>
      <c r="E19" s="1">
        <v>0.12</v>
      </c>
      <c r="F19" s="1">
        <v>0.42</v>
      </c>
      <c r="G19" s="1">
        <v>0.46000000000000008</v>
      </c>
    </row>
    <row r="20" spans="1:7" x14ac:dyDescent="0.25">
      <c r="A20" s="8">
        <v>394</v>
      </c>
      <c r="B20" s="2">
        <v>461770</v>
      </c>
      <c r="C20" s="3">
        <v>4.8000000000000001E-2</v>
      </c>
      <c r="D20" s="4">
        <v>0.33</v>
      </c>
      <c r="E20" s="1">
        <v>0.21</v>
      </c>
      <c r="F20" s="1">
        <v>0.48</v>
      </c>
      <c r="G20" s="1">
        <v>0.31000000000000005</v>
      </c>
    </row>
    <row r="21" spans="1:7" x14ac:dyDescent="0.25">
      <c r="A21" s="8">
        <v>396</v>
      </c>
      <c r="B21" s="2">
        <v>112087</v>
      </c>
      <c r="C21" s="3">
        <v>4.8000000000000001E-2</v>
      </c>
      <c r="D21" s="4">
        <v>0.39</v>
      </c>
      <c r="E21" s="1">
        <v>0.28999999999999998</v>
      </c>
      <c r="F21" s="1">
        <v>0.28999999999999998</v>
      </c>
      <c r="G21" s="1">
        <v>0.42</v>
      </c>
    </row>
    <row r="22" spans="1:7" x14ac:dyDescent="0.25">
      <c r="A22" s="8">
        <v>402</v>
      </c>
      <c r="B22" s="2">
        <v>219607</v>
      </c>
      <c r="C22" s="3">
        <v>4.8000000000000001E-2</v>
      </c>
      <c r="D22" s="4">
        <v>0.28999999999999998</v>
      </c>
      <c r="E22" s="1">
        <v>0.16</v>
      </c>
      <c r="F22" s="1">
        <v>0.28000000000000003</v>
      </c>
      <c r="G22" s="1">
        <v>0.55999999999999994</v>
      </c>
    </row>
    <row r="23" spans="1:7" x14ac:dyDescent="0.25">
      <c r="A23" s="8">
        <v>127</v>
      </c>
      <c r="B23" s="2">
        <v>344014</v>
      </c>
      <c r="C23" s="3">
        <v>4.7E-2</v>
      </c>
      <c r="D23" s="4">
        <v>0.26</v>
      </c>
      <c r="E23" s="1">
        <v>0.27</v>
      </c>
      <c r="F23" s="1">
        <v>0.48</v>
      </c>
      <c r="G23" s="1">
        <v>0.25</v>
      </c>
    </row>
    <row r="24" spans="1:7" x14ac:dyDescent="0.25">
      <c r="A24" s="8">
        <v>183</v>
      </c>
      <c r="B24" s="2">
        <v>589698</v>
      </c>
      <c r="C24" s="3">
        <v>4.7E-2</v>
      </c>
      <c r="D24" s="4">
        <v>0.36</v>
      </c>
      <c r="E24" s="1">
        <v>0.23</v>
      </c>
      <c r="F24" s="1">
        <v>0.45</v>
      </c>
      <c r="G24" s="1">
        <v>0.32000000000000006</v>
      </c>
    </row>
    <row r="25" spans="1:7" x14ac:dyDescent="0.25">
      <c r="A25" s="8">
        <v>208</v>
      </c>
      <c r="B25" s="2">
        <v>426977</v>
      </c>
      <c r="C25" s="3">
        <v>4.7E-2</v>
      </c>
      <c r="D25" s="4">
        <v>0.28999999999999998</v>
      </c>
      <c r="E25" s="1">
        <v>0.37</v>
      </c>
      <c r="F25" s="1">
        <v>0.26</v>
      </c>
      <c r="G25" s="1">
        <v>0.37</v>
      </c>
    </row>
    <row r="26" spans="1:7" x14ac:dyDescent="0.25">
      <c r="A26" s="8">
        <v>246</v>
      </c>
      <c r="B26" s="2">
        <v>299038</v>
      </c>
      <c r="C26" s="3">
        <v>4.7E-2</v>
      </c>
      <c r="D26" s="4">
        <v>0.22</v>
      </c>
      <c r="E26" s="1">
        <v>0.17</v>
      </c>
      <c r="F26" s="1">
        <v>0.25</v>
      </c>
      <c r="G26" s="1">
        <v>0.57999999999999996</v>
      </c>
    </row>
    <row r="27" spans="1:7" x14ac:dyDescent="0.25">
      <c r="A27" s="8">
        <v>265</v>
      </c>
      <c r="B27" s="2">
        <v>194968</v>
      </c>
      <c r="C27" s="3">
        <v>4.7E-2</v>
      </c>
      <c r="D27" s="4">
        <v>0.2</v>
      </c>
      <c r="E27" s="1">
        <v>0.26</v>
      </c>
      <c r="F27" s="1">
        <v>0.36</v>
      </c>
      <c r="G27" s="1">
        <v>0.38</v>
      </c>
    </row>
    <row r="28" spans="1:7" x14ac:dyDescent="0.25">
      <c r="A28" s="8">
        <v>330</v>
      </c>
      <c r="B28" s="2">
        <v>590693</v>
      </c>
      <c r="C28" s="3">
        <v>4.7E-2</v>
      </c>
      <c r="D28" s="4">
        <v>0.35</v>
      </c>
      <c r="E28" s="1">
        <v>0.28999999999999998</v>
      </c>
      <c r="F28" s="1">
        <v>0.31</v>
      </c>
      <c r="G28" s="1">
        <v>0.39999999999999997</v>
      </c>
    </row>
    <row r="29" spans="1:7" x14ac:dyDescent="0.25">
      <c r="A29" s="8">
        <v>364</v>
      </c>
      <c r="B29" s="2">
        <v>756493</v>
      </c>
      <c r="C29" s="3">
        <v>4.7E-2</v>
      </c>
      <c r="D29" s="4">
        <v>0.34</v>
      </c>
      <c r="E29" s="1">
        <v>0.39</v>
      </c>
      <c r="F29" s="1">
        <v>0.36</v>
      </c>
      <c r="G29" s="1">
        <v>0.25</v>
      </c>
    </row>
    <row r="30" spans="1:7" x14ac:dyDescent="0.25">
      <c r="A30" s="8">
        <v>194</v>
      </c>
      <c r="B30" s="2">
        <v>422030</v>
      </c>
      <c r="C30" s="3">
        <v>4.5999999999999999E-2</v>
      </c>
      <c r="D30" s="4">
        <v>0.4</v>
      </c>
      <c r="E30" s="1">
        <v>0.16</v>
      </c>
      <c r="F30" s="1">
        <v>0.28999999999999998</v>
      </c>
      <c r="G30" s="1">
        <v>0.54999999999999993</v>
      </c>
    </row>
    <row r="31" spans="1:7" x14ac:dyDescent="0.25">
      <c r="A31" s="8">
        <v>205</v>
      </c>
      <c r="B31" s="2">
        <v>691905</v>
      </c>
      <c r="C31" s="3">
        <v>4.5999999999999999E-2</v>
      </c>
      <c r="D31" s="4">
        <v>0.21</v>
      </c>
      <c r="E31" s="1">
        <v>0.33</v>
      </c>
      <c r="F31" s="1">
        <v>0.49</v>
      </c>
      <c r="G31" s="1">
        <v>0.18</v>
      </c>
    </row>
    <row r="32" spans="1:7" x14ac:dyDescent="0.25">
      <c r="A32" s="8">
        <v>357</v>
      </c>
      <c r="B32" s="2">
        <v>165481</v>
      </c>
      <c r="C32" s="3">
        <v>4.5999999999999999E-2</v>
      </c>
      <c r="D32" s="4">
        <v>0.35</v>
      </c>
      <c r="E32" s="1">
        <v>0.39</v>
      </c>
      <c r="F32" s="1">
        <v>0.36</v>
      </c>
      <c r="G32" s="1">
        <v>0.25</v>
      </c>
    </row>
    <row r="33" spans="1:7" x14ac:dyDescent="0.25">
      <c r="A33" s="8">
        <v>381</v>
      </c>
      <c r="B33" s="2">
        <v>782185</v>
      </c>
      <c r="C33" s="3">
        <v>4.5999999999999999E-2</v>
      </c>
      <c r="D33" s="4">
        <v>0.28000000000000003</v>
      </c>
      <c r="E33" s="1">
        <v>0.18</v>
      </c>
      <c r="F33" s="1">
        <v>0.37</v>
      </c>
      <c r="G33" s="1">
        <v>0.45</v>
      </c>
    </row>
    <row r="34" spans="1:7" x14ac:dyDescent="0.25">
      <c r="A34" s="8">
        <v>414</v>
      </c>
      <c r="B34" s="2">
        <v>566368</v>
      </c>
      <c r="C34" s="3">
        <v>4.5999999999999999E-2</v>
      </c>
      <c r="D34" s="4">
        <v>0.21</v>
      </c>
      <c r="E34" s="1">
        <v>0.25</v>
      </c>
      <c r="F34" s="1">
        <v>0.28000000000000003</v>
      </c>
      <c r="G34" s="1">
        <v>0.47</v>
      </c>
    </row>
    <row r="35" spans="1:7" x14ac:dyDescent="0.25">
      <c r="A35" s="8">
        <v>417</v>
      </c>
      <c r="B35" s="2">
        <v>368778</v>
      </c>
      <c r="C35" s="3">
        <v>4.5999999999999999E-2</v>
      </c>
      <c r="D35" s="4">
        <v>0.23</v>
      </c>
      <c r="E35" s="1">
        <v>0.25</v>
      </c>
      <c r="F35" s="1">
        <v>0.37</v>
      </c>
      <c r="G35" s="1">
        <v>0.38</v>
      </c>
    </row>
    <row r="36" spans="1:7" x14ac:dyDescent="0.25">
      <c r="A36" s="8">
        <v>420</v>
      </c>
      <c r="B36" s="2">
        <v>352238</v>
      </c>
      <c r="C36" s="3">
        <v>4.5999999999999999E-2</v>
      </c>
      <c r="D36" s="4">
        <v>0.28999999999999998</v>
      </c>
      <c r="E36" s="1">
        <v>0.25</v>
      </c>
      <c r="F36" s="1">
        <v>0.42</v>
      </c>
      <c r="G36" s="1">
        <v>0.33000000000000007</v>
      </c>
    </row>
    <row r="37" spans="1:7" x14ac:dyDescent="0.25">
      <c r="A37" s="8">
        <v>433</v>
      </c>
      <c r="B37" s="2">
        <v>518197</v>
      </c>
      <c r="C37" s="3">
        <v>4.5999999999999999E-2</v>
      </c>
      <c r="D37" s="4">
        <v>0.3</v>
      </c>
      <c r="E37" s="1">
        <v>0.12</v>
      </c>
      <c r="F37" s="1">
        <v>0.35</v>
      </c>
      <c r="G37" s="1">
        <v>0.53</v>
      </c>
    </row>
    <row r="38" spans="1:7" x14ac:dyDescent="0.25">
      <c r="A38" s="8">
        <v>171</v>
      </c>
      <c r="B38" s="2">
        <v>227697</v>
      </c>
      <c r="C38" s="3">
        <v>4.4999999999999998E-2</v>
      </c>
      <c r="D38" s="4">
        <v>0.37</v>
      </c>
      <c r="E38" s="1">
        <v>0.12</v>
      </c>
      <c r="F38" s="1">
        <v>0.44</v>
      </c>
      <c r="G38" s="1">
        <v>0.44000000000000006</v>
      </c>
    </row>
    <row r="39" spans="1:7" x14ac:dyDescent="0.25">
      <c r="A39" s="8">
        <v>190</v>
      </c>
      <c r="B39" s="2">
        <v>577995</v>
      </c>
      <c r="C39" s="3">
        <v>4.4999999999999998E-2</v>
      </c>
      <c r="D39" s="4">
        <v>0.31</v>
      </c>
      <c r="E39" s="1">
        <v>0.25</v>
      </c>
      <c r="F39" s="1">
        <v>0.4</v>
      </c>
      <c r="G39" s="1">
        <v>0.35</v>
      </c>
    </row>
    <row r="40" spans="1:7" x14ac:dyDescent="0.25">
      <c r="A40" s="8">
        <v>218</v>
      </c>
      <c r="B40" s="2">
        <v>646722</v>
      </c>
      <c r="C40" s="3">
        <v>4.4999999999999998E-2</v>
      </c>
      <c r="D40" s="4">
        <v>0.31</v>
      </c>
      <c r="E40" s="1">
        <v>0.34</v>
      </c>
      <c r="F40" s="1">
        <v>0.27</v>
      </c>
      <c r="G40" s="1">
        <v>0.38999999999999996</v>
      </c>
    </row>
    <row r="41" spans="1:7" x14ac:dyDescent="0.25">
      <c r="A41" s="8">
        <v>225</v>
      </c>
      <c r="B41" s="2">
        <v>624970</v>
      </c>
      <c r="C41" s="3">
        <v>4.4999999999999998E-2</v>
      </c>
      <c r="D41" s="4">
        <v>0.22</v>
      </c>
      <c r="E41" s="1">
        <v>0.26</v>
      </c>
      <c r="F41" s="1">
        <v>0.2</v>
      </c>
      <c r="G41" s="1">
        <v>0.54</v>
      </c>
    </row>
    <row r="42" spans="1:7" x14ac:dyDescent="0.25">
      <c r="A42" s="8">
        <v>245</v>
      </c>
      <c r="B42" s="2">
        <v>825005</v>
      </c>
      <c r="C42" s="3">
        <v>4.4999999999999998E-2</v>
      </c>
      <c r="D42" s="4">
        <v>0.21</v>
      </c>
      <c r="E42" s="1">
        <v>0.24</v>
      </c>
      <c r="F42" s="1">
        <v>0.2</v>
      </c>
      <c r="G42" s="1">
        <v>0.56000000000000005</v>
      </c>
    </row>
    <row r="43" spans="1:7" x14ac:dyDescent="0.25">
      <c r="A43" s="8">
        <v>270</v>
      </c>
      <c r="B43" s="2">
        <v>237111</v>
      </c>
      <c r="C43" s="3">
        <v>4.4999999999999998E-2</v>
      </c>
      <c r="D43" s="4">
        <v>0.35</v>
      </c>
      <c r="E43" s="1">
        <v>0.22</v>
      </c>
      <c r="F43" s="1">
        <v>0.23</v>
      </c>
      <c r="G43" s="1">
        <v>0.55000000000000004</v>
      </c>
    </row>
    <row r="44" spans="1:7" x14ac:dyDescent="0.25">
      <c r="A44" s="8">
        <v>312</v>
      </c>
      <c r="B44" s="2">
        <v>487873</v>
      </c>
      <c r="C44" s="3">
        <v>4.4999999999999998E-2</v>
      </c>
      <c r="D44" s="4">
        <v>0.28999999999999998</v>
      </c>
      <c r="E44" s="1">
        <v>0.38</v>
      </c>
      <c r="F44" s="1">
        <v>0.35</v>
      </c>
      <c r="G44" s="1">
        <v>0.27</v>
      </c>
    </row>
    <row r="45" spans="1:7" x14ac:dyDescent="0.25">
      <c r="A45" s="8">
        <v>325</v>
      </c>
      <c r="B45" s="2">
        <v>213426</v>
      </c>
      <c r="C45" s="3">
        <v>4.4999999999999998E-2</v>
      </c>
      <c r="D45" s="4">
        <v>0.26</v>
      </c>
      <c r="E45" s="1">
        <v>0.19</v>
      </c>
      <c r="F45" s="1">
        <v>0.48</v>
      </c>
      <c r="G45" s="1">
        <v>0.33</v>
      </c>
    </row>
    <row r="46" spans="1:7" x14ac:dyDescent="0.25">
      <c r="A46" s="8">
        <v>370</v>
      </c>
      <c r="B46" s="2">
        <v>158846</v>
      </c>
      <c r="C46" s="3">
        <v>4.4999999999999998E-2</v>
      </c>
      <c r="D46" s="4">
        <v>0.28000000000000003</v>
      </c>
      <c r="E46" s="1">
        <v>0.4</v>
      </c>
      <c r="F46" s="1">
        <v>0.44</v>
      </c>
      <c r="G46" s="1">
        <v>0.16000000000000003</v>
      </c>
    </row>
    <row r="47" spans="1:7" x14ac:dyDescent="0.25">
      <c r="A47" s="8">
        <v>405</v>
      </c>
      <c r="B47" s="2">
        <v>394136</v>
      </c>
      <c r="C47" s="3">
        <v>4.4999999999999998E-2</v>
      </c>
      <c r="D47" s="4">
        <v>0.38</v>
      </c>
      <c r="E47" s="1">
        <v>0.13</v>
      </c>
      <c r="F47" s="1">
        <v>0.28999999999999998</v>
      </c>
      <c r="G47" s="1">
        <v>0.57999999999999996</v>
      </c>
    </row>
    <row r="48" spans="1:7" x14ac:dyDescent="0.25">
      <c r="A48" s="8">
        <v>418</v>
      </c>
      <c r="B48" s="2">
        <v>840050</v>
      </c>
      <c r="C48" s="3">
        <v>4.4999999999999998E-2</v>
      </c>
      <c r="D48" s="4">
        <v>0.28999999999999998</v>
      </c>
      <c r="E48" s="1">
        <v>0.38</v>
      </c>
      <c r="F48" s="1">
        <v>0.35</v>
      </c>
      <c r="G48" s="1">
        <v>0.27</v>
      </c>
    </row>
    <row r="49" spans="1:7" x14ac:dyDescent="0.25">
      <c r="A49" s="8">
        <v>434</v>
      </c>
      <c r="B49" s="2">
        <v>293562</v>
      </c>
      <c r="C49" s="3">
        <v>4.4999999999999998E-2</v>
      </c>
      <c r="D49" s="4">
        <v>0.34</v>
      </c>
      <c r="E49" s="1">
        <v>0.13</v>
      </c>
      <c r="F49" s="1">
        <v>0.34</v>
      </c>
      <c r="G49" s="1">
        <v>0.52999999999999992</v>
      </c>
    </row>
    <row r="50" spans="1:7" x14ac:dyDescent="0.25">
      <c r="A50" s="8">
        <v>146</v>
      </c>
      <c r="B50" s="2">
        <v>239149</v>
      </c>
      <c r="C50" s="3">
        <v>4.3999999999999997E-2</v>
      </c>
      <c r="D50" s="4">
        <v>0.2</v>
      </c>
      <c r="E50" s="1">
        <v>0.24</v>
      </c>
      <c r="F50" s="1">
        <v>0.23</v>
      </c>
      <c r="G50" s="1">
        <v>0.53</v>
      </c>
    </row>
    <row r="51" spans="1:7" x14ac:dyDescent="0.25">
      <c r="A51" s="8">
        <v>180</v>
      </c>
      <c r="B51" s="2">
        <v>351776</v>
      </c>
      <c r="C51" s="3">
        <v>4.3999999999999997E-2</v>
      </c>
      <c r="D51" s="4">
        <v>0.21</v>
      </c>
      <c r="E51" s="1">
        <v>0.31</v>
      </c>
      <c r="F51" s="1">
        <v>0.2</v>
      </c>
      <c r="G51" s="1">
        <v>0.49000000000000005</v>
      </c>
    </row>
    <row r="52" spans="1:7" x14ac:dyDescent="0.25">
      <c r="A52" s="8">
        <v>216</v>
      </c>
      <c r="B52" s="2">
        <v>296427</v>
      </c>
      <c r="C52" s="3">
        <v>4.3999999999999997E-2</v>
      </c>
      <c r="D52" s="4">
        <v>0.33</v>
      </c>
      <c r="E52" s="1">
        <v>0.36</v>
      </c>
      <c r="F52" s="1">
        <v>0.31</v>
      </c>
      <c r="G52" s="1">
        <v>0.32999999999999996</v>
      </c>
    </row>
    <row r="53" spans="1:7" x14ac:dyDescent="0.25">
      <c r="A53" s="8">
        <v>307</v>
      </c>
      <c r="B53" s="2">
        <v>305398</v>
      </c>
      <c r="C53" s="3">
        <v>4.3999999999999997E-2</v>
      </c>
      <c r="D53" s="4">
        <v>0.2</v>
      </c>
      <c r="E53" s="1">
        <v>0.4</v>
      </c>
      <c r="F53" s="1">
        <v>0.21</v>
      </c>
      <c r="G53" s="1">
        <v>0.39</v>
      </c>
    </row>
    <row r="54" spans="1:7" x14ac:dyDescent="0.25">
      <c r="A54" s="8">
        <v>345</v>
      </c>
      <c r="B54" s="2">
        <v>714978</v>
      </c>
      <c r="C54" s="3">
        <v>4.3999999999999997E-2</v>
      </c>
      <c r="D54" s="4">
        <v>0.21</v>
      </c>
      <c r="E54" s="1">
        <v>0.17</v>
      </c>
      <c r="F54" s="1">
        <v>0.46</v>
      </c>
      <c r="G54" s="1">
        <v>0.37</v>
      </c>
    </row>
    <row r="55" spans="1:7" x14ac:dyDescent="0.25">
      <c r="A55" s="8">
        <v>425</v>
      </c>
      <c r="B55" s="2">
        <v>874534</v>
      </c>
      <c r="C55" s="3">
        <v>4.3999999999999997E-2</v>
      </c>
      <c r="D55" s="4">
        <v>0.36</v>
      </c>
      <c r="E55" s="1">
        <v>0.11</v>
      </c>
      <c r="F55" s="1">
        <v>0.23</v>
      </c>
      <c r="G55" s="1">
        <v>0.66</v>
      </c>
    </row>
    <row r="56" spans="1:7" x14ac:dyDescent="0.25">
      <c r="A56" s="8">
        <v>157</v>
      </c>
      <c r="B56" s="2">
        <v>809298</v>
      </c>
      <c r="C56" s="3">
        <v>4.2999999999999997E-2</v>
      </c>
      <c r="D56" s="4">
        <v>0.26</v>
      </c>
      <c r="E56" s="1">
        <v>0.38</v>
      </c>
      <c r="F56" s="1">
        <v>0.28999999999999998</v>
      </c>
      <c r="G56" s="1">
        <v>0.32999999999999996</v>
      </c>
    </row>
    <row r="57" spans="1:7" x14ac:dyDescent="0.25">
      <c r="A57" s="8">
        <v>164</v>
      </c>
      <c r="B57" s="2">
        <v>612515</v>
      </c>
      <c r="C57" s="3">
        <v>4.2999999999999997E-2</v>
      </c>
      <c r="D57" s="4">
        <v>0.28999999999999998</v>
      </c>
      <c r="E57" s="1">
        <v>0.11</v>
      </c>
      <c r="F57" s="1">
        <v>0.45</v>
      </c>
      <c r="G57" s="1">
        <v>0.44000000000000006</v>
      </c>
    </row>
    <row r="58" spans="1:7" x14ac:dyDescent="0.25">
      <c r="A58" s="8">
        <v>178</v>
      </c>
      <c r="B58" s="2">
        <v>547416</v>
      </c>
      <c r="C58" s="3">
        <v>4.2999999999999997E-2</v>
      </c>
      <c r="D58" s="4">
        <v>0.22</v>
      </c>
      <c r="E58" s="1">
        <v>0.27</v>
      </c>
      <c r="F58" s="1">
        <v>0.22</v>
      </c>
      <c r="G58" s="1">
        <v>0.51</v>
      </c>
    </row>
    <row r="59" spans="1:7" x14ac:dyDescent="0.25">
      <c r="A59" s="8">
        <v>182</v>
      </c>
      <c r="B59" s="2">
        <v>759635</v>
      </c>
      <c r="C59" s="3">
        <v>4.2999999999999997E-2</v>
      </c>
      <c r="D59" s="4">
        <v>0.22</v>
      </c>
      <c r="E59" s="1">
        <v>0.23</v>
      </c>
      <c r="F59" s="1">
        <v>0.42</v>
      </c>
      <c r="G59" s="1">
        <v>0.35000000000000009</v>
      </c>
    </row>
    <row r="60" spans="1:7" x14ac:dyDescent="0.25">
      <c r="A60" s="8">
        <v>223</v>
      </c>
      <c r="B60" s="2">
        <v>626911</v>
      </c>
      <c r="C60" s="3">
        <v>4.2999999999999997E-2</v>
      </c>
      <c r="D60" s="4">
        <v>0.25</v>
      </c>
      <c r="E60" s="1">
        <v>0.22</v>
      </c>
      <c r="F60" s="1">
        <v>0.36</v>
      </c>
      <c r="G60" s="1">
        <v>0.42000000000000004</v>
      </c>
    </row>
    <row r="61" spans="1:7" x14ac:dyDescent="0.25">
      <c r="A61" s="8">
        <v>261</v>
      </c>
      <c r="B61" s="2">
        <v>795167</v>
      </c>
      <c r="C61" s="3">
        <v>4.2999999999999997E-2</v>
      </c>
      <c r="D61" s="4">
        <v>0.28999999999999998</v>
      </c>
      <c r="E61" s="1">
        <v>0.22</v>
      </c>
      <c r="F61" s="1">
        <v>0.44</v>
      </c>
      <c r="G61" s="1">
        <v>0.34000000000000008</v>
      </c>
    </row>
    <row r="62" spans="1:7" x14ac:dyDescent="0.25">
      <c r="A62" s="8">
        <v>411</v>
      </c>
      <c r="B62" s="2">
        <v>607509</v>
      </c>
      <c r="C62" s="3">
        <v>4.2999999999999997E-2</v>
      </c>
      <c r="D62" s="4">
        <v>0.25</v>
      </c>
      <c r="E62" s="1">
        <v>0.12</v>
      </c>
      <c r="F62" s="1">
        <v>0.26</v>
      </c>
      <c r="G62" s="1">
        <v>0.62</v>
      </c>
    </row>
    <row r="63" spans="1:7" x14ac:dyDescent="0.25">
      <c r="A63" s="8">
        <v>428</v>
      </c>
      <c r="B63" s="2">
        <v>811869</v>
      </c>
      <c r="C63" s="3">
        <v>4.2999999999999997E-2</v>
      </c>
      <c r="D63" s="4">
        <v>0.32</v>
      </c>
      <c r="E63" s="1">
        <v>0.24</v>
      </c>
      <c r="F63" s="1">
        <v>0.28999999999999998</v>
      </c>
      <c r="G63" s="1">
        <v>0.47</v>
      </c>
    </row>
    <row r="64" spans="1:7" x14ac:dyDescent="0.25">
      <c r="A64" s="8">
        <v>130</v>
      </c>
      <c r="B64" s="2">
        <v>818563</v>
      </c>
      <c r="C64" s="3">
        <v>4.2000000000000003E-2</v>
      </c>
      <c r="D64" s="4">
        <v>0.28999999999999998</v>
      </c>
      <c r="E64" s="1">
        <v>0.12</v>
      </c>
      <c r="F64" s="1">
        <v>0.5</v>
      </c>
      <c r="G64" s="1">
        <v>0.38</v>
      </c>
    </row>
    <row r="65" spans="1:7" x14ac:dyDescent="0.25">
      <c r="A65" s="8">
        <v>148</v>
      </c>
      <c r="B65" s="2">
        <v>177367</v>
      </c>
      <c r="C65" s="3">
        <v>4.2000000000000003E-2</v>
      </c>
      <c r="D65" s="4">
        <v>0.36</v>
      </c>
      <c r="E65" s="1">
        <v>0.12</v>
      </c>
      <c r="F65" s="1">
        <v>0.2</v>
      </c>
      <c r="G65" s="1">
        <v>0.68</v>
      </c>
    </row>
    <row r="66" spans="1:7" x14ac:dyDescent="0.25">
      <c r="A66" s="8">
        <v>220</v>
      </c>
      <c r="B66" s="2">
        <v>418128</v>
      </c>
      <c r="C66" s="3">
        <v>4.2000000000000003E-2</v>
      </c>
      <c r="D66" s="4">
        <v>0.36</v>
      </c>
      <c r="E66" s="1">
        <v>0.31</v>
      </c>
      <c r="F66" s="1">
        <v>0.48</v>
      </c>
      <c r="G66" s="1">
        <v>0.21000000000000002</v>
      </c>
    </row>
    <row r="67" spans="1:7" x14ac:dyDescent="0.25">
      <c r="A67" s="8">
        <v>236</v>
      </c>
      <c r="B67" s="2">
        <v>843956</v>
      </c>
      <c r="C67" s="3">
        <v>4.2000000000000003E-2</v>
      </c>
      <c r="D67" s="4">
        <v>0.39</v>
      </c>
      <c r="E67" s="1">
        <v>0.33</v>
      </c>
      <c r="F67" s="1">
        <v>0.44</v>
      </c>
      <c r="G67" s="1">
        <v>0.23000000000000004</v>
      </c>
    </row>
    <row r="68" spans="1:7" x14ac:dyDescent="0.25">
      <c r="A68" s="8">
        <v>272</v>
      </c>
      <c r="B68" s="2">
        <v>112612</v>
      </c>
      <c r="C68" s="3">
        <v>4.2000000000000003E-2</v>
      </c>
      <c r="D68" s="4">
        <v>0.34</v>
      </c>
      <c r="E68" s="1">
        <v>0.25</v>
      </c>
      <c r="F68" s="1">
        <v>0.4</v>
      </c>
      <c r="G68" s="1">
        <v>0.35</v>
      </c>
    </row>
    <row r="69" spans="1:7" x14ac:dyDescent="0.25">
      <c r="A69" s="8">
        <v>282</v>
      </c>
      <c r="B69" s="2">
        <v>270476</v>
      </c>
      <c r="C69" s="3">
        <v>4.2000000000000003E-2</v>
      </c>
      <c r="D69" s="4">
        <v>0.33</v>
      </c>
      <c r="E69" s="1">
        <v>0.27</v>
      </c>
      <c r="F69" s="1">
        <v>0.49</v>
      </c>
      <c r="G69" s="1">
        <v>0.24</v>
      </c>
    </row>
    <row r="70" spans="1:7" x14ac:dyDescent="0.25">
      <c r="A70" s="8">
        <v>329</v>
      </c>
      <c r="B70" s="2">
        <v>810868</v>
      </c>
      <c r="C70" s="3">
        <v>4.2000000000000003E-2</v>
      </c>
      <c r="D70" s="4">
        <v>0.38</v>
      </c>
      <c r="E70" s="1">
        <v>0.11</v>
      </c>
      <c r="F70" s="1">
        <v>0.39</v>
      </c>
      <c r="G70" s="1">
        <v>0.5</v>
      </c>
    </row>
    <row r="71" spans="1:7" x14ac:dyDescent="0.25">
      <c r="A71" s="8">
        <v>334</v>
      </c>
      <c r="B71" s="2">
        <v>388751</v>
      </c>
      <c r="C71" s="3">
        <v>4.2000000000000003E-2</v>
      </c>
      <c r="D71" s="4">
        <v>0.38</v>
      </c>
      <c r="E71" s="1">
        <v>0.33</v>
      </c>
      <c r="F71" s="1">
        <v>0.41</v>
      </c>
      <c r="G71" s="1">
        <v>0.26000000000000006</v>
      </c>
    </row>
    <row r="72" spans="1:7" x14ac:dyDescent="0.25">
      <c r="A72" s="8">
        <v>367</v>
      </c>
      <c r="B72" s="2">
        <v>717942</v>
      </c>
      <c r="C72" s="3">
        <v>4.2000000000000003E-2</v>
      </c>
      <c r="D72" s="4">
        <v>0.25</v>
      </c>
      <c r="E72" s="1">
        <v>0.18</v>
      </c>
      <c r="F72" s="1">
        <v>0.42</v>
      </c>
      <c r="G72" s="1">
        <v>0.40000000000000008</v>
      </c>
    </row>
    <row r="73" spans="1:7" x14ac:dyDescent="0.25">
      <c r="A73" s="8">
        <v>374</v>
      </c>
      <c r="B73" s="2">
        <v>109254</v>
      </c>
      <c r="C73" s="3">
        <v>4.2000000000000003E-2</v>
      </c>
      <c r="D73" s="4">
        <v>0.33</v>
      </c>
      <c r="E73" s="1">
        <v>0.3</v>
      </c>
      <c r="F73" s="1">
        <v>0.28999999999999998</v>
      </c>
      <c r="G73" s="1">
        <v>0.41</v>
      </c>
    </row>
    <row r="74" spans="1:7" x14ac:dyDescent="0.25">
      <c r="A74" s="8">
        <v>395</v>
      </c>
      <c r="B74" s="2">
        <v>799565</v>
      </c>
      <c r="C74" s="3">
        <v>4.2000000000000003E-2</v>
      </c>
      <c r="D74" s="4">
        <v>0.28000000000000003</v>
      </c>
      <c r="E74" s="1">
        <v>0.17</v>
      </c>
      <c r="F74" s="1">
        <v>0.41</v>
      </c>
      <c r="G74" s="1">
        <v>0.42000000000000004</v>
      </c>
    </row>
    <row r="75" spans="1:7" x14ac:dyDescent="0.25">
      <c r="A75" s="8">
        <v>406</v>
      </c>
      <c r="B75" s="2">
        <v>343936</v>
      </c>
      <c r="C75" s="3">
        <v>4.2000000000000003E-2</v>
      </c>
      <c r="D75" s="4">
        <v>0.31</v>
      </c>
      <c r="E75" s="1">
        <v>0.21</v>
      </c>
      <c r="F75" s="1">
        <v>0.22</v>
      </c>
      <c r="G75" s="1">
        <v>0.57000000000000006</v>
      </c>
    </row>
    <row r="76" spans="1:7" x14ac:dyDescent="0.25">
      <c r="A76" s="8">
        <v>439</v>
      </c>
      <c r="B76" s="2">
        <v>502088</v>
      </c>
      <c r="C76" s="3">
        <v>4.2000000000000003E-2</v>
      </c>
      <c r="D76" s="4">
        <v>0.2</v>
      </c>
      <c r="E76" s="1">
        <v>0.35</v>
      </c>
      <c r="F76" s="1">
        <v>0.5</v>
      </c>
      <c r="G76" s="1">
        <v>0.15000000000000002</v>
      </c>
    </row>
    <row r="77" spans="1:7" x14ac:dyDescent="0.25">
      <c r="A77" s="8">
        <v>145</v>
      </c>
      <c r="B77" s="2">
        <v>741232</v>
      </c>
      <c r="C77" s="3">
        <v>4.1000000000000002E-2</v>
      </c>
      <c r="D77" s="4">
        <v>0.21</v>
      </c>
      <c r="E77" s="1">
        <v>0.35</v>
      </c>
      <c r="F77" s="1">
        <v>0.21</v>
      </c>
      <c r="G77" s="1">
        <v>0.44000000000000006</v>
      </c>
    </row>
    <row r="78" spans="1:7" x14ac:dyDescent="0.25">
      <c r="A78" s="8">
        <v>165</v>
      </c>
      <c r="B78" s="2">
        <v>348908</v>
      </c>
      <c r="C78" s="3">
        <v>4.1000000000000002E-2</v>
      </c>
      <c r="D78" s="4">
        <v>0.28999999999999998</v>
      </c>
      <c r="E78" s="1">
        <v>0.3</v>
      </c>
      <c r="F78" s="1">
        <v>0.45</v>
      </c>
      <c r="G78" s="1">
        <v>0.25000000000000006</v>
      </c>
    </row>
    <row r="79" spans="1:7" x14ac:dyDescent="0.25">
      <c r="A79" s="8">
        <v>224</v>
      </c>
      <c r="B79" s="2">
        <v>372876</v>
      </c>
      <c r="C79" s="3">
        <v>4.1000000000000002E-2</v>
      </c>
      <c r="D79" s="4">
        <v>0.32</v>
      </c>
      <c r="E79" s="1">
        <v>0.17</v>
      </c>
      <c r="F79" s="1">
        <v>0.41</v>
      </c>
      <c r="G79" s="1">
        <v>0.42000000000000004</v>
      </c>
    </row>
    <row r="80" spans="1:7" x14ac:dyDescent="0.25">
      <c r="A80" s="8">
        <v>279</v>
      </c>
      <c r="B80" s="2">
        <v>135395</v>
      </c>
      <c r="C80" s="3">
        <v>4.1000000000000002E-2</v>
      </c>
      <c r="D80" s="4">
        <v>0.21</v>
      </c>
      <c r="E80" s="1">
        <v>0.1</v>
      </c>
      <c r="F80" s="1">
        <v>0.36</v>
      </c>
      <c r="G80" s="1">
        <v>0.54</v>
      </c>
    </row>
    <row r="81" spans="1:7" x14ac:dyDescent="0.25">
      <c r="A81" s="8">
        <v>316</v>
      </c>
      <c r="B81" s="2">
        <v>112576</v>
      </c>
      <c r="C81" s="3">
        <v>4.1000000000000002E-2</v>
      </c>
      <c r="D81" s="4">
        <v>0.26</v>
      </c>
      <c r="E81" s="1">
        <v>0.2</v>
      </c>
      <c r="F81" s="1">
        <v>0.31</v>
      </c>
      <c r="G81" s="1">
        <v>0.48999999999999994</v>
      </c>
    </row>
    <row r="82" spans="1:7" x14ac:dyDescent="0.25">
      <c r="A82" s="8">
        <v>358</v>
      </c>
      <c r="B82" s="2">
        <v>675545</v>
      </c>
      <c r="C82" s="3">
        <v>4.1000000000000002E-2</v>
      </c>
      <c r="D82" s="4">
        <v>0.38</v>
      </c>
      <c r="E82" s="1">
        <v>0.16</v>
      </c>
      <c r="F82" s="1">
        <v>0.24</v>
      </c>
      <c r="G82" s="1">
        <v>0.6</v>
      </c>
    </row>
    <row r="83" spans="1:7" x14ac:dyDescent="0.25">
      <c r="A83" s="8">
        <v>435</v>
      </c>
      <c r="B83" s="2">
        <v>731337</v>
      </c>
      <c r="C83" s="3">
        <v>4.1000000000000002E-2</v>
      </c>
      <c r="D83" s="4">
        <v>0.36</v>
      </c>
      <c r="E83" s="1">
        <v>0.39</v>
      </c>
      <c r="F83" s="1">
        <v>0.43</v>
      </c>
      <c r="G83" s="1">
        <v>0.18000000000000005</v>
      </c>
    </row>
    <row r="84" spans="1:7" x14ac:dyDescent="0.25">
      <c r="A84" s="8">
        <v>58</v>
      </c>
      <c r="B84" s="2">
        <v>3144697</v>
      </c>
      <c r="C84" s="3">
        <v>0.04</v>
      </c>
      <c r="D84" s="4">
        <v>0.73</v>
      </c>
      <c r="E84" s="1">
        <v>0.23</v>
      </c>
      <c r="F84" s="1">
        <v>0.43</v>
      </c>
      <c r="G84" s="1">
        <v>0.34000000000000008</v>
      </c>
    </row>
    <row r="85" spans="1:7" x14ac:dyDescent="0.25">
      <c r="A85" s="8">
        <v>66</v>
      </c>
      <c r="B85" s="2">
        <v>2938864</v>
      </c>
      <c r="C85" s="3">
        <v>0.04</v>
      </c>
      <c r="D85" s="4">
        <v>0.76</v>
      </c>
      <c r="E85" s="1">
        <v>0.18</v>
      </c>
      <c r="F85" s="1">
        <v>0.39</v>
      </c>
      <c r="G85" s="1">
        <v>0.43</v>
      </c>
    </row>
    <row r="86" spans="1:7" x14ac:dyDescent="0.25">
      <c r="A86" s="8">
        <v>90</v>
      </c>
      <c r="B86" s="2">
        <v>1260731</v>
      </c>
      <c r="C86" s="3">
        <v>0.04</v>
      </c>
      <c r="D86" s="4">
        <v>0.6</v>
      </c>
      <c r="E86" s="1">
        <v>0.38</v>
      </c>
      <c r="F86" s="1">
        <v>0.2</v>
      </c>
      <c r="G86" s="1">
        <v>0.42000000000000004</v>
      </c>
    </row>
    <row r="87" spans="1:7" x14ac:dyDescent="0.25">
      <c r="A87" s="8">
        <v>98</v>
      </c>
      <c r="B87" s="2">
        <v>2232547</v>
      </c>
      <c r="C87" s="3">
        <v>0.04</v>
      </c>
      <c r="D87" s="4">
        <v>0.63</v>
      </c>
      <c r="E87" s="1">
        <v>0.14000000000000001</v>
      </c>
      <c r="F87" s="1">
        <v>0.5</v>
      </c>
      <c r="G87" s="1">
        <v>0.36</v>
      </c>
    </row>
    <row r="88" spans="1:7" x14ac:dyDescent="0.25">
      <c r="A88" s="8">
        <v>140</v>
      </c>
      <c r="B88" s="2">
        <v>139807</v>
      </c>
      <c r="C88" s="3">
        <v>0.04</v>
      </c>
      <c r="D88" s="4">
        <v>0.34</v>
      </c>
      <c r="E88" s="1">
        <v>0.38</v>
      </c>
      <c r="F88" s="1">
        <v>0.28000000000000003</v>
      </c>
      <c r="G88" s="1">
        <v>0.33999999999999997</v>
      </c>
    </row>
    <row r="89" spans="1:7" x14ac:dyDescent="0.25">
      <c r="A89" s="8">
        <v>161</v>
      </c>
      <c r="B89" s="2">
        <v>848949</v>
      </c>
      <c r="C89" s="3">
        <v>0.04</v>
      </c>
      <c r="D89" s="4">
        <v>0.27</v>
      </c>
      <c r="E89" s="1">
        <v>0.23</v>
      </c>
      <c r="F89" s="1">
        <v>0.26</v>
      </c>
      <c r="G89" s="1">
        <v>0.51</v>
      </c>
    </row>
    <row r="90" spans="1:7" x14ac:dyDescent="0.25">
      <c r="A90" s="8">
        <v>280</v>
      </c>
      <c r="B90" s="2">
        <v>527656</v>
      </c>
      <c r="C90" s="3">
        <v>0.04</v>
      </c>
      <c r="D90" s="4">
        <v>0.3</v>
      </c>
      <c r="E90" s="1">
        <v>0.14000000000000001</v>
      </c>
      <c r="F90" s="1">
        <v>0.49</v>
      </c>
      <c r="G90" s="1">
        <v>0.37</v>
      </c>
    </row>
    <row r="91" spans="1:7" x14ac:dyDescent="0.25">
      <c r="A91" s="8">
        <v>297</v>
      </c>
      <c r="B91" s="2">
        <v>580849</v>
      </c>
      <c r="C91" s="3">
        <v>0.04</v>
      </c>
      <c r="D91" s="4">
        <v>0.28000000000000003</v>
      </c>
      <c r="E91" s="1">
        <v>0.31</v>
      </c>
      <c r="F91" s="1">
        <v>0.38</v>
      </c>
      <c r="G91" s="1">
        <v>0.31</v>
      </c>
    </row>
    <row r="92" spans="1:7" x14ac:dyDescent="0.25">
      <c r="A92" s="8">
        <v>437</v>
      </c>
      <c r="B92" s="2">
        <v>608730</v>
      </c>
      <c r="C92" s="3">
        <v>0.04</v>
      </c>
      <c r="D92" s="4">
        <v>0.39</v>
      </c>
      <c r="E92" s="1">
        <v>0.38</v>
      </c>
      <c r="F92" s="1">
        <v>0.27</v>
      </c>
      <c r="G92" s="1">
        <v>0.35</v>
      </c>
    </row>
    <row r="93" spans="1:7" x14ac:dyDescent="0.25">
      <c r="A93" s="8">
        <v>48</v>
      </c>
      <c r="B93" s="2">
        <v>4334844</v>
      </c>
      <c r="C93" s="3">
        <v>3.9E-2</v>
      </c>
      <c r="D93" s="4">
        <v>0.72</v>
      </c>
      <c r="E93" s="1">
        <v>0.11</v>
      </c>
      <c r="F93" s="1">
        <v>0.21</v>
      </c>
      <c r="G93" s="1">
        <v>0.68</v>
      </c>
    </row>
    <row r="94" spans="1:7" x14ac:dyDescent="0.25">
      <c r="A94" s="8">
        <v>61</v>
      </c>
      <c r="B94" s="2">
        <v>1605937</v>
      </c>
      <c r="C94" s="3">
        <v>3.9E-2</v>
      </c>
      <c r="D94" s="4">
        <v>0.65</v>
      </c>
      <c r="E94" s="1">
        <v>0.32</v>
      </c>
      <c r="F94" s="1">
        <v>0.49</v>
      </c>
      <c r="G94" s="1">
        <v>0.19</v>
      </c>
    </row>
    <row r="95" spans="1:7" x14ac:dyDescent="0.25">
      <c r="A95" s="8">
        <v>69</v>
      </c>
      <c r="B95" s="2">
        <v>4134746</v>
      </c>
      <c r="C95" s="3">
        <v>3.9E-2</v>
      </c>
      <c r="D95" s="4">
        <v>0.6</v>
      </c>
      <c r="E95" s="1">
        <v>0.16</v>
      </c>
      <c r="F95" s="1">
        <v>0.4</v>
      </c>
      <c r="G95" s="1">
        <v>0.43999999999999995</v>
      </c>
    </row>
    <row r="96" spans="1:7" x14ac:dyDescent="0.25">
      <c r="A96" s="8">
        <v>81</v>
      </c>
      <c r="B96" s="2">
        <v>1768937</v>
      </c>
      <c r="C96" s="3">
        <v>3.9E-2</v>
      </c>
      <c r="D96" s="4">
        <v>0.73</v>
      </c>
      <c r="E96" s="1">
        <v>0.26</v>
      </c>
      <c r="F96" s="1">
        <v>0.26</v>
      </c>
      <c r="G96" s="1">
        <v>0.48</v>
      </c>
    </row>
    <row r="97" spans="1:7" x14ac:dyDescent="0.25">
      <c r="A97" s="8">
        <v>104</v>
      </c>
      <c r="B97" s="2">
        <v>1880174</v>
      </c>
      <c r="C97" s="3">
        <v>3.9E-2</v>
      </c>
      <c r="D97" s="4">
        <v>0.72</v>
      </c>
      <c r="E97" s="1">
        <v>0.14000000000000001</v>
      </c>
      <c r="F97" s="1">
        <v>0.4</v>
      </c>
      <c r="G97" s="1">
        <v>0.45999999999999996</v>
      </c>
    </row>
    <row r="98" spans="1:7" x14ac:dyDescent="0.25">
      <c r="A98" s="8">
        <v>132</v>
      </c>
      <c r="B98" s="2">
        <v>727932</v>
      </c>
      <c r="C98" s="3">
        <v>3.9E-2</v>
      </c>
      <c r="D98" s="4">
        <v>0.28000000000000003</v>
      </c>
      <c r="E98" s="1">
        <v>0.4</v>
      </c>
      <c r="F98" s="1">
        <v>0.2</v>
      </c>
      <c r="G98" s="1">
        <v>0.4</v>
      </c>
    </row>
    <row r="99" spans="1:7" x14ac:dyDescent="0.25">
      <c r="A99" s="8">
        <v>143</v>
      </c>
      <c r="B99" s="2">
        <v>763087</v>
      </c>
      <c r="C99" s="3">
        <v>3.9E-2</v>
      </c>
      <c r="D99" s="4">
        <v>0.28999999999999998</v>
      </c>
      <c r="E99" s="1">
        <v>0.23</v>
      </c>
      <c r="F99" s="1">
        <v>0.2</v>
      </c>
      <c r="G99" s="1">
        <v>0.57000000000000006</v>
      </c>
    </row>
    <row r="100" spans="1:7" x14ac:dyDescent="0.25">
      <c r="A100" s="8">
        <v>153</v>
      </c>
      <c r="B100" s="2">
        <v>176972</v>
      </c>
      <c r="C100" s="3">
        <v>3.9E-2</v>
      </c>
      <c r="D100" s="4">
        <v>0.3</v>
      </c>
      <c r="E100" s="1">
        <v>0.1</v>
      </c>
      <c r="F100" s="1">
        <v>0.49</v>
      </c>
      <c r="G100" s="1">
        <v>0.41000000000000003</v>
      </c>
    </row>
    <row r="101" spans="1:7" x14ac:dyDescent="0.25">
      <c r="A101" s="8">
        <v>179</v>
      </c>
      <c r="B101" s="2">
        <v>549324</v>
      </c>
      <c r="C101" s="3">
        <v>3.9E-2</v>
      </c>
      <c r="D101" s="4">
        <v>0.36</v>
      </c>
      <c r="E101" s="1">
        <v>0.21</v>
      </c>
      <c r="F101" s="1">
        <v>0.26</v>
      </c>
      <c r="G101" s="1">
        <v>0.53</v>
      </c>
    </row>
    <row r="102" spans="1:7" x14ac:dyDescent="0.25">
      <c r="A102" s="8">
        <v>184</v>
      </c>
      <c r="B102" s="2">
        <v>145356</v>
      </c>
      <c r="C102" s="3">
        <v>3.9E-2</v>
      </c>
      <c r="D102" s="4">
        <v>0.38</v>
      </c>
      <c r="E102" s="1">
        <v>0.16</v>
      </c>
      <c r="F102" s="1">
        <v>0.33</v>
      </c>
      <c r="G102" s="1">
        <v>0.5099999999999999</v>
      </c>
    </row>
    <row r="103" spans="1:7" x14ac:dyDescent="0.25">
      <c r="A103" s="8">
        <v>235</v>
      </c>
      <c r="B103" s="2">
        <v>174610</v>
      </c>
      <c r="C103" s="3">
        <v>3.9E-2</v>
      </c>
      <c r="D103" s="4">
        <v>0.35</v>
      </c>
      <c r="E103" s="1">
        <v>0.27</v>
      </c>
      <c r="F103" s="1">
        <v>0.25</v>
      </c>
      <c r="G103" s="1">
        <v>0.48</v>
      </c>
    </row>
    <row r="104" spans="1:7" x14ac:dyDescent="0.25">
      <c r="A104" s="8">
        <v>267</v>
      </c>
      <c r="B104" s="2">
        <v>644987</v>
      </c>
      <c r="C104" s="3">
        <v>3.9E-2</v>
      </c>
      <c r="D104" s="4">
        <v>0.28000000000000003</v>
      </c>
      <c r="E104" s="1">
        <v>0.17</v>
      </c>
      <c r="F104" s="1">
        <v>0.25</v>
      </c>
      <c r="G104" s="1">
        <v>0.57999999999999996</v>
      </c>
    </row>
    <row r="105" spans="1:7" x14ac:dyDescent="0.25">
      <c r="A105" s="8">
        <v>298</v>
      </c>
      <c r="B105" s="2">
        <v>302338</v>
      </c>
      <c r="C105" s="3">
        <v>3.9E-2</v>
      </c>
      <c r="D105" s="4">
        <v>0.33</v>
      </c>
      <c r="E105" s="1">
        <v>0.32</v>
      </c>
      <c r="F105" s="1">
        <v>0.37</v>
      </c>
      <c r="G105" s="1">
        <v>0.31</v>
      </c>
    </row>
    <row r="106" spans="1:7" x14ac:dyDescent="0.25">
      <c r="A106" s="8">
        <v>353</v>
      </c>
      <c r="B106" s="2">
        <v>400062</v>
      </c>
      <c r="C106" s="3">
        <v>3.9E-2</v>
      </c>
      <c r="D106" s="4">
        <v>0.35</v>
      </c>
      <c r="E106" s="1">
        <v>0.28999999999999998</v>
      </c>
      <c r="F106" s="1">
        <v>0.28000000000000003</v>
      </c>
      <c r="G106" s="1">
        <v>0.43</v>
      </c>
    </row>
    <row r="107" spans="1:7" x14ac:dyDescent="0.25">
      <c r="A107" s="8">
        <v>365</v>
      </c>
      <c r="B107" s="2">
        <v>389938</v>
      </c>
      <c r="C107" s="3">
        <v>3.9E-2</v>
      </c>
      <c r="D107" s="4">
        <v>0.27</v>
      </c>
      <c r="E107" s="1">
        <v>0.35</v>
      </c>
      <c r="F107" s="1">
        <v>0.23</v>
      </c>
      <c r="G107" s="1">
        <v>0.42000000000000004</v>
      </c>
    </row>
    <row r="108" spans="1:7" x14ac:dyDescent="0.25">
      <c r="A108" s="8">
        <v>21</v>
      </c>
      <c r="B108" s="2">
        <v>3328609</v>
      </c>
      <c r="C108" s="3">
        <v>3.7999999999999999E-2</v>
      </c>
      <c r="D108" s="4">
        <v>0.68</v>
      </c>
      <c r="E108" s="1">
        <v>0.38</v>
      </c>
      <c r="F108" s="1">
        <v>0.33</v>
      </c>
      <c r="G108" s="1">
        <v>0.28999999999999992</v>
      </c>
    </row>
    <row r="109" spans="1:7" x14ac:dyDescent="0.25">
      <c r="A109" s="8">
        <v>99</v>
      </c>
      <c r="B109" s="2">
        <v>3344020</v>
      </c>
      <c r="C109" s="3">
        <v>3.7999999999999999E-2</v>
      </c>
      <c r="D109" s="4">
        <v>0.79</v>
      </c>
      <c r="E109" s="1">
        <v>0.3</v>
      </c>
      <c r="F109" s="1">
        <v>0.2</v>
      </c>
      <c r="G109" s="1">
        <v>0.5</v>
      </c>
    </row>
    <row r="110" spans="1:7" x14ac:dyDescent="0.25">
      <c r="A110" s="8">
        <v>119</v>
      </c>
      <c r="B110" s="2">
        <v>3330835</v>
      </c>
      <c r="C110" s="3">
        <v>3.7999999999999999E-2</v>
      </c>
      <c r="D110" s="4">
        <v>0.63</v>
      </c>
      <c r="E110" s="1">
        <v>0.19</v>
      </c>
      <c r="F110" s="1">
        <v>0.4</v>
      </c>
      <c r="G110" s="1">
        <v>0.41</v>
      </c>
    </row>
    <row r="111" spans="1:7" x14ac:dyDescent="0.25">
      <c r="A111" s="8">
        <v>222</v>
      </c>
      <c r="B111" s="2">
        <v>182470</v>
      </c>
      <c r="C111" s="3">
        <v>3.7999999999999999E-2</v>
      </c>
      <c r="D111" s="4">
        <v>0.33</v>
      </c>
      <c r="E111" s="1">
        <v>0.28000000000000003</v>
      </c>
      <c r="F111" s="1">
        <v>0.33</v>
      </c>
      <c r="G111" s="1">
        <v>0.3899999999999999</v>
      </c>
    </row>
    <row r="112" spans="1:7" x14ac:dyDescent="0.25">
      <c r="A112" s="8">
        <v>233</v>
      </c>
      <c r="B112" s="2">
        <v>265393</v>
      </c>
      <c r="C112" s="3">
        <v>3.7999999999999999E-2</v>
      </c>
      <c r="D112" s="4">
        <v>0.22</v>
      </c>
      <c r="E112" s="1">
        <v>0.16</v>
      </c>
      <c r="F112" s="1">
        <v>0.42</v>
      </c>
      <c r="G112" s="1">
        <v>0.42000000000000004</v>
      </c>
    </row>
    <row r="113" spans="1:7" x14ac:dyDescent="0.25">
      <c r="A113" s="8">
        <v>244</v>
      </c>
      <c r="B113" s="2">
        <v>725986</v>
      </c>
      <c r="C113" s="3">
        <v>3.7999999999999999E-2</v>
      </c>
      <c r="D113" s="4">
        <v>0.36</v>
      </c>
      <c r="E113" s="1">
        <v>0.18</v>
      </c>
      <c r="F113" s="1">
        <v>0.28000000000000003</v>
      </c>
      <c r="G113" s="1">
        <v>0.54</v>
      </c>
    </row>
    <row r="114" spans="1:7" x14ac:dyDescent="0.25">
      <c r="A114" s="8">
        <v>268</v>
      </c>
      <c r="B114" s="2">
        <v>169006</v>
      </c>
      <c r="C114" s="3">
        <v>3.7999999999999999E-2</v>
      </c>
      <c r="D114" s="4">
        <v>0.36</v>
      </c>
      <c r="E114" s="1">
        <v>0.27</v>
      </c>
      <c r="F114" s="1">
        <v>0.46</v>
      </c>
      <c r="G114" s="1">
        <v>0.27</v>
      </c>
    </row>
    <row r="115" spans="1:7" x14ac:dyDescent="0.25">
      <c r="A115" s="8">
        <v>290</v>
      </c>
      <c r="B115" s="2">
        <v>439422</v>
      </c>
      <c r="C115" s="3">
        <v>3.7999999999999999E-2</v>
      </c>
      <c r="D115" s="4">
        <v>0.33</v>
      </c>
      <c r="E115" s="1">
        <v>0.22</v>
      </c>
      <c r="F115" s="1">
        <v>0.26</v>
      </c>
      <c r="G115" s="1">
        <v>0.52</v>
      </c>
    </row>
    <row r="116" spans="1:7" x14ac:dyDescent="0.25">
      <c r="A116" s="8">
        <v>322</v>
      </c>
      <c r="B116" s="2">
        <v>357785</v>
      </c>
      <c r="C116" s="3">
        <v>3.7999999999999999E-2</v>
      </c>
      <c r="D116" s="4">
        <v>0.36</v>
      </c>
      <c r="E116" s="1">
        <v>0.24</v>
      </c>
      <c r="F116" s="1">
        <v>0.36</v>
      </c>
      <c r="G116" s="1">
        <v>0.4</v>
      </c>
    </row>
    <row r="117" spans="1:7" x14ac:dyDescent="0.25">
      <c r="A117" s="8">
        <v>327</v>
      </c>
      <c r="B117" s="2">
        <v>452071</v>
      </c>
      <c r="C117" s="3">
        <v>3.7999999999999999E-2</v>
      </c>
      <c r="D117" s="4">
        <v>0.33</v>
      </c>
      <c r="E117" s="1">
        <v>0.24</v>
      </c>
      <c r="F117" s="1">
        <v>0.35</v>
      </c>
      <c r="G117" s="1">
        <v>0.41000000000000003</v>
      </c>
    </row>
    <row r="118" spans="1:7" x14ac:dyDescent="0.25">
      <c r="A118" s="8">
        <v>354</v>
      </c>
      <c r="B118" s="2">
        <v>344905</v>
      </c>
      <c r="C118" s="3">
        <v>3.7999999999999999E-2</v>
      </c>
      <c r="D118" s="4">
        <v>0.26</v>
      </c>
      <c r="E118" s="1">
        <v>0.17</v>
      </c>
      <c r="F118" s="1">
        <v>0.32</v>
      </c>
      <c r="G118" s="1">
        <v>0.5099999999999999</v>
      </c>
    </row>
    <row r="119" spans="1:7" x14ac:dyDescent="0.25">
      <c r="A119" s="8">
        <v>388</v>
      </c>
      <c r="B119" s="2">
        <v>247554</v>
      </c>
      <c r="C119" s="3">
        <v>3.7999999999999999E-2</v>
      </c>
      <c r="D119" s="4">
        <v>0.24</v>
      </c>
      <c r="E119" s="1">
        <v>0.15</v>
      </c>
      <c r="F119" s="1">
        <v>0.41</v>
      </c>
      <c r="G119" s="1">
        <v>0.44000000000000006</v>
      </c>
    </row>
    <row r="120" spans="1:7" x14ac:dyDescent="0.25">
      <c r="A120" s="8">
        <v>1</v>
      </c>
      <c r="B120" s="2">
        <v>2938491</v>
      </c>
      <c r="C120" s="3">
        <v>3.6999999999999998E-2</v>
      </c>
      <c r="D120" s="4">
        <v>0.63</v>
      </c>
      <c r="E120" s="1">
        <v>0.32</v>
      </c>
      <c r="F120" s="1">
        <v>0.49</v>
      </c>
      <c r="G120" s="1">
        <v>0.19</v>
      </c>
    </row>
    <row r="121" spans="1:7" x14ac:dyDescent="0.25">
      <c r="A121" s="8">
        <v>6</v>
      </c>
      <c r="B121" s="2">
        <v>1621276</v>
      </c>
      <c r="C121" s="3">
        <v>3.6999999999999998E-2</v>
      </c>
      <c r="D121" s="4">
        <v>0.7</v>
      </c>
      <c r="E121" s="1">
        <v>0.26</v>
      </c>
      <c r="F121" s="1">
        <v>0.25</v>
      </c>
      <c r="G121" s="1">
        <v>0.49</v>
      </c>
    </row>
    <row r="122" spans="1:7" x14ac:dyDescent="0.25">
      <c r="A122" s="8">
        <v>47</v>
      </c>
      <c r="B122" s="2">
        <v>3241105</v>
      </c>
      <c r="C122" s="3">
        <v>3.6999999999999998E-2</v>
      </c>
      <c r="D122" s="4">
        <v>0.6</v>
      </c>
      <c r="E122" s="1">
        <v>0.11</v>
      </c>
      <c r="F122" s="1">
        <v>0.21</v>
      </c>
      <c r="G122" s="1">
        <v>0.68</v>
      </c>
    </row>
    <row r="123" spans="1:7" x14ac:dyDescent="0.25">
      <c r="A123" s="8">
        <v>84</v>
      </c>
      <c r="B123" s="2">
        <v>3543738</v>
      </c>
      <c r="C123" s="3">
        <v>3.6999999999999998E-2</v>
      </c>
      <c r="D123" s="4">
        <v>0.74</v>
      </c>
      <c r="E123" s="1">
        <v>0.36</v>
      </c>
      <c r="F123" s="1">
        <v>0.27</v>
      </c>
      <c r="G123" s="1">
        <v>0.37</v>
      </c>
    </row>
    <row r="124" spans="1:7" x14ac:dyDescent="0.25">
      <c r="A124" s="8">
        <v>95</v>
      </c>
      <c r="B124" s="2">
        <v>1817188</v>
      </c>
      <c r="C124" s="3">
        <v>3.6999999999999998E-2</v>
      </c>
      <c r="D124" s="4">
        <v>0.76</v>
      </c>
      <c r="E124" s="1">
        <v>0.3</v>
      </c>
      <c r="F124" s="1">
        <v>0.21</v>
      </c>
      <c r="G124" s="1">
        <v>0.49000000000000005</v>
      </c>
    </row>
    <row r="125" spans="1:7" x14ac:dyDescent="0.25">
      <c r="A125" s="8">
        <v>107</v>
      </c>
      <c r="B125" s="2">
        <v>2076201</v>
      </c>
      <c r="C125" s="3">
        <v>3.6999999999999998E-2</v>
      </c>
      <c r="D125" s="4">
        <v>0.65</v>
      </c>
      <c r="E125" s="1">
        <v>0.27</v>
      </c>
      <c r="F125" s="1">
        <v>0.28999999999999998</v>
      </c>
      <c r="G125" s="1">
        <v>0.43999999999999995</v>
      </c>
    </row>
    <row r="126" spans="1:7" x14ac:dyDescent="0.25">
      <c r="A126" s="8">
        <v>169</v>
      </c>
      <c r="B126" s="2">
        <v>137609</v>
      </c>
      <c r="C126" s="3">
        <v>3.6999999999999998E-2</v>
      </c>
      <c r="D126" s="4">
        <v>0.34</v>
      </c>
      <c r="E126" s="1">
        <v>0.35</v>
      </c>
      <c r="F126" s="1">
        <v>0.42</v>
      </c>
      <c r="G126" s="1">
        <v>0.23000000000000009</v>
      </c>
    </row>
    <row r="127" spans="1:7" x14ac:dyDescent="0.25">
      <c r="A127" s="8">
        <v>188</v>
      </c>
      <c r="B127" s="2">
        <v>778896</v>
      </c>
      <c r="C127" s="3">
        <v>3.6999999999999998E-2</v>
      </c>
      <c r="D127" s="4">
        <v>0.4</v>
      </c>
      <c r="E127" s="1">
        <v>0.38</v>
      </c>
      <c r="F127" s="1">
        <v>0.43</v>
      </c>
      <c r="G127" s="1">
        <v>0.19000000000000006</v>
      </c>
    </row>
    <row r="128" spans="1:7" x14ac:dyDescent="0.25">
      <c r="A128" s="8">
        <v>239</v>
      </c>
      <c r="B128" s="2">
        <v>487345</v>
      </c>
      <c r="C128" s="3">
        <v>3.6999999999999998E-2</v>
      </c>
      <c r="D128" s="4">
        <v>0.28999999999999998</v>
      </c>
      <c r="E128" s="1">
        <v>0.35</v>
      </c>
      <c r="F128" s="1">
        <v>0.42</v>
      </c>
      <c r="G128" s="1">
        <v>0.23000000000000009</v>
      </c>
    </row>
    <row r="129" spans="1:7" x14ac:dyDescent="0.25">
      <c r="A129" s="8">
        <v>260</v>
      </c>
      <c r="B129" s="2">
        <v>486146</v>
      </c>
      <c r="C129" s="3">
        <v>3.6999999999999998E-2</v>
      </c>
      <c r="D129" s="4">
        <v>0.38</v>
      </c>
      <c r="E129" s="1">
        <v>0.23</v>
      </c>
      <c r="F129" s="1">
        <v>0.22</v>
      </c>
      <c r="G129" s="1">
        <v>0.55000000000000004</v>
      </c>
    </row>
    <row r="130" spans="1:7" x14ac:dyDescent="0.25">
      <c r="A130" s="8">
        <v>262</v>
      </c>
      <c r="B130" s="2">
        <v>836956</v>
      </c>
      <c r="C130" s="3">
        <v>3.6999999999999998E-2</v>
      </c>
      <c r="D130" s="4">
        <v>0.27</v>
      </c>
      <c r="E130" s="1">
        <v>0.17</v>
      </c>
      <c r="F130" s="1">
        <v>0.28999999999999998</v>
      </c>
      <c r="G130" s="1">
        <v>0.53999999999999992</v>
      </c>
    </row>
    <row r="131" spans="1:7" x14ac:dyDescent="0.25">
      <c r="A131" s="8">
        <v>306</v>
      </c>
      <c r="B131" s="2">
        <v>784110</v>
      </c>
      <c r="C131" s="3">
        <v>3.6999999999999998E-2</v>
      </c>
      <c r="D131" s="4">
        <v>0.28999999999999998</v>
      </c>
      <c r="E131" s="1">
        <v>0.3</v>
      </c>
      <c r="F131" s="1">
        <v>0.23</v>
      </c>
      <c r="G131" s="1">
        <v>0.47000000000000003</v>
      </c>
    </row>
    <row r="132" spans="1:7" x14ac:dyDescent="0.25">
      <c r="A132" s="8">
        <v>378</v>
      </c>
      <c r="B132" s="2">
        <v>262859</v>
      </c>
      <c r="C132" s="3">
        <v>3.6999999999999998E-2</v>
      </c>
      <c r="D132" s="4">
        <v>0.25</v>
      </c>
      <c r="E132" s="1">
        <v>0.28999999999999998</v>
      </c>
      <c r="F132" s="1">
        <v>0.35</v>
      </c>
      <c r="G132" s="1">
        <v>0.36000000000000004</v>
      </c>
    </row>
    <row r="133" spans="1:7" x14ac:dyDescent="0.25">
      <c r="A133" s="8">
        <v>407</v>
      </c>
      <c r="B133" s="2">
        <v>747994</v>
      </c>
      <c r="C133" s="3">
        <v>3.6999999999999998E-2</v>
      </c>
      <c r="D133" s="4">
        <v>0.23</v>
      </c>
      <c r="E133" s="1">
        <v>0.3</v>
      </c>
      <c r="F133" s="1">
        <v>0.45</v>
      </c>
      <c r="G133" s="1">
        <v>0.25000000000000006</v>
      </c>
    </row>
    <row r="134" spans="1:7" x14ac:dyDescent="0.25">
      <c r="A134" s="8">
        <v>438</v>
      </c>
      <c r="B134" s="2">
        <v>590846</v>
      </c>
      <c r="C134" s="3">
        <v>3.6999999999999998E-2</v>
      </c>
      <c r="D134" s="4">
        <v>0.31</v>
      </c>
      <c r="E134" s="1">
        <v>0.2</v>
      </c>
      <c r="F134" s="1">
        <v>0.35</v>
      </c>
      <c r="G134" s="1">
        <v>0.45</v>
      </c>
    </row>
    <row r="135" spans="1:7" x14ac:dyDescent="0.25">
      <c r="A135" s="8">
        <v>8</v>
      </c>
      <c r="B135" s="2">
        <v>1491201</v>
      </c>
      <c r="C135" s="3">
        <v>3.5999999999999997E-2</v>
      </c>
      <c r="D135" s="4">
        <v>0.64</v>
      </c>
      <c r="E135" s="1">
        <v>0.4</v>
      </c>
      <c r="F135" s="1">
        <v>0.28000000000000003</v>
      </c>
      <c r="G135" s="1">
        <v>0.31999999999999995</v>
      </c>
    </row>
    <row r="136" spans="1:7" x14ac:dyDescent="0.25">
      <c r="A136" s="8">
        <v>40</v>
      </c>
      <c r="B136" s="2">
        <v>1799880</v>
      </c>
      <c r="C136" s="3">
        <v>3.5999999999999997E-2</v>
      </c>
      <c r="D136" s="4">
        <v>0.67</v>
      </c>
      <c r="E136" s="1">
        <v>0.15</v>
      </c>
      <c r="F136" s="1">
        <v>0.2</v>
      </c>
      <c r="G136" s="1">
        <v>0.65</v>
      </c>
    </row>
    <row r="137" spans="1:7" x14ac:dyDescent="0.25">
      <c r="A137" s="8">
        <v>63</v>
      </c>
      <c r="B137" s="2">
        <v>4037745</v>
      </c>
      <c r="C137" s="3">
        <v>3.5999999999999997E-2</v>
      </c>
      <c r="D137" s="4">
        <v>0.7</v>
      </c>
      <c r="E137" s="1">
        <v>0.25</v>
      </c>
      <c r="F137" s="1">
        <v>0.25</v>
      </c>
      <c r="G137" s="1">
        <v>0.5</v>
      </c>
    </row>
    <row r="138" spans="1:7" x14ac:dyDescent="0.25">
      <c r="A138" s="8">
        <v>73</v>
      </c>
      <c r="B138" s="2">
        <v>4753575</v>
      </c>
      <c r="C138" s="3">
        <v>3.5999999999999997E-2</v>
      </c>
      <c r="D138" s="4">
        <v>0.8</v>
      </c>
      <c r="E138" s="1">
        <v>0.15</v>
      </c>
      <c r="F138" s="1">
        <v>0.22</v>
      </c>
      <c r="G138" s="1">
        <v>0.63</v>
      </c>
    </row>
    <row r="139" spans="1:7" x14ac:dyDescent="0.25">
      <c r="A139" s="8">
        <v>80</v>
      </c>
      <c r="B139" s="2">
        <v>4175345</v>
      </c>
      <c r="C139" s="3">
        <v>3.5999999999999997E-2</v>
      </c>
      <c r="D139" s="4">
        <v>0.61</v>
      </c>
      <c r="E139" s="1">
        <v>0.24</v>
      </c>
      <c r="F139" s="1">
        <v>0.32</v>
      </c>
      <c r="G139" s="1">
        <v>0.43999999999999995</v>
      </c>
    </row>
    <row r="140" spans="1:7" x14ac:dyDescent="0.25">
      <c r="A140" s="8">
        <v>85</v>
      </c>
      <c r="B140" s="2">
        <v>2484631</v>
      </c>
      <c r="C140" s="3">
        <v>3.5999999999999997E-2</v>
      </c>
      <c r="D140" s="4">
        <v>0.63</v>
      </c>
      <c r="E140" s="1">
        <v>0.38</v>
      </c>
      <c r="F140" s="1">
        <v>0.31</v>
      </c>
      <c r="G140" s="1">
        <v>0.30999999999999994</v>
      </c>
    </row>
    <row r="141" spans="1:7" x14ac:dyDescent="0.25">
      <c r="A141" s="8">
        <v>89</v>
      </c>
      <c r="B141" s="2">
        <v>4483573</v>
      </c>
      <c r="C141" s="3">
        <v>3.5999999999999997E-2</v>
      </c>
      <c r="D141" s="4">
        <v>0.71</v>
      </c>
      <c r="E141" s="1">
        <v>0.28999999999999998</v>
      </c>
      <c r="F141" s="1">
        <v>0.35</v>
      </c>
      <c r="G141" s="1">
        <v>0.36000000000000004</v>
      </c>
    </row>
    <row r="142" spans="1:7" x14ac:dyDescent="0.25">
      <c r="A142" s="8">
        <v>105</v>
      </c>
      <c r="B142" s="2">
        <v>1319110</v>
      </c>
      <c r="C142" s="3">
        <v>3.5999999999999997E-2</v>
      </c>
      <c r="D142" s="4">
        <v>0.68</v>
      </c>
      <c r="E142" s="1">
        <v>0.18</v>
      </c>
      <c r="F142" s="1">
        <v>0.45</v>
      </c>
      <c r="G142" s="1">
        <v>0.37000000000000005</v>
      </c>
    </row>
    <row r="143" spans="1:7" x14ac:dyDescent="0.25">
      <c r="A143" s="8">
        <v>151</v>
      </c>
      <c r="B143" s="2">
        <v>686667</v>
      </c>
      <c r="C143" s="3">
        <v>3.5999999999999997E-2</v>
      </c>
      <c r="D143" s="4">
        <v>0.34</v>
      </c>
      <c r="E143" s="1">
        <v>0.14000000000000001</v>
      </c>
      <c r="F143" s="1">
        <v>0.38</v>
      </c>
      <c r="G143" s="1">
        <v>0.48</v>
      </c>
    </row>
    <row r="144" spans="1:7" x14ac:dyDescent="0.25">
      <c r="A144" s="8">
        <v>167</v>
      </c>
      <c r="B144" s="2">
        <v>803923</v>
      </c>
      <c r="C144" s="3">
        <v>3.5999999999999997E-2</v>
      </c>
      <c r="D144" s="4">
        <v>0.31</v>
      </c>
      <c r="E144" s="1">
        <v>0.38</v>
      </c>
      <c r="F144" s="1">
        <v>0.46</v>
      </c>
      <c r="G144" s="1">
        <v>0.16000000000000003</v>
      </c>
    </row>
    <row r="145" spans="1:7" x14ac:dyDescent="0.25">
      <c r="A145" s="8">
        <v>199</v>
      </c>
      <c r="B145" s="2">
        <v>241611</v>
      </c>
      <c r="C145" s="3">
        <v>3.5999999999999997E-2</v>
      </c>
      <c r="D145" s="4">
        <v>0.25</v>
      </c>
      <c r="E145" s="1">
        <v>0.2</v>
      </c>
      <c r="F145" s="1">
        <v>0.41</v>
      </c>
      <c r="G145" s="1">
        <v>0.39000000000000007</v>
      </c>
    </row>
    <row r="146" spans="1:7" x14ac:dyDescent="0.25">
      <c r="A146" s="8">
        <v>240</v>
      </c>
      <c r="B146" s="2">
        <v>854195</v>
      </c>
      <c r="C146" s="3">
        <v>3.5999999999999997E-2</v>
      </c>
      <c r="D146" s="4">
        <v>0.3</v>
      </c>
      <c r="E146" s="1">
        <v>0.32</v>
      </c>
      <c r="F146" s="1">
        <v>0.36</v>
      </c>
      <c r="G146" s="1">
        <v>0.32</v>
      </c>
    </row>
    <row r="147" spans="1:7" x14ac:dyDescent="0.25">
      <c r="A147" s="8">
        <v>250</v>
      </c>
      <c r="B147" s="2">
        <v>566016</v>
      </c>
      <c r="C147" s="3">
        <v>3.5999999999999997E-2</v>
      </c>
      <c r="D147" s="4">
        <v>0.33</v>
      </c>
      <c r="E147" s="1">
        <v>0.37</v>
      </c>
      <c r="F147" s="1">
        <v>0.39</v>
      </c>
      <c r="G147" s="1">
        <v>0.24</v>
      </c>
    </row>
    <row r="148" spans="1:7" x14ac:dyDescent="0.25">
      <c r="A148" s="8">
        <v>292</v>
      </c>
      <c r="B148" s="2">
        <v>482113</v>
      </c>
      <c r="C148" s="3">
        <v>3.5999999999999997E-2</v>
      </c>
      <c r="D148" s="4">
        <v>0.34</v>
      </c>
      <c r="E148" s="1">
        <v>0.33</v>
      </c>
      <c r="F148" s="1">
        <v>0.3</v>
      </c>
      <c r="G148" s="1">
        <v>0.36999999999999994</v>
      </c>
    </row>
    <row r="149" spans="1:7" x14ac:dyDescent="0.25">
      <c r="A149" s="8">
        <v>319</v>
      </c>
      <c r="B149" s="2">
        <v>106162</v>
      </c>
      <c r="C149" s="3">
        <v>3.5999999999999997E-2</v>
      </c>
      <c r="D149" s="4">
        <v>0.26</v>
      </c>
      <c r="E149" s="1">
        <v>0.37</v>
      </c>
      <c r="F149" s="1">
        <v>0.5</v>
      </c>
      <c r="G149" s="1">
        <v>0.13</v>
      </c>
    </row>
    <row r="150" spans="1:7" x14ac:dyDescent="0.25">
      <c r="A150" s="8">
        <v>337</v>
      </c>
      <c r="B150" s="2">
        <v>148973</v>
      </c>
      <c r="C150" s="3">
        <v>3.5999999999999997E-2</v>
      </c>
      <c r="D150" s="4">
        <v>0.35</v>
      </c>
      <c r="E150" s="1">
        <v>0.35</v>
      </c>
      <c r="F150" s="1">
        <v>0.32</v>
      </c>
      <c r="G150" s="1">
        <v>0.32999999999999996</v>
      </c>
    </row>
    <row r="151" spans="1:7" x14ac:dyDescent="0.25">
      <c r="A151" s="8">
        <v>355</v>
      </c>
      <c r="B151" s="2">
        <v>357002</v>
      </c>
      <c r="C151" s="3">
        <v>3.5999999999999997E-2</v>
      </c>
      <c r="D151" s="4">
        <v>0.31</v>
      </c>
      <c r="E151" s="1">
        <v>0.22</v>
      </c>
      <c r="F151" s="1">
        <v>0.26</v>
      </c>
      <c r="G151" s="1">
        <v>0.52</v>
      </c>
    </row>
    <row r="152" spans="1:7" x14ac:dyDescent="0.25">
      <c r="A152" s="8">
        <v>363</v>
      </c>
      <c r="B152" s="2">
        <v>219442</v>
      </c>
      <c r="C152" s="3">
        <v>3.5999999999999997E-2</v>
      </c>
      <c r="D152" s="4">
        <v>0.3</v>
      </c>
      <c r="E152" s="1">
        <v>0.18</v>
      </c>
      <c r="F152" s="1">
        <v>0.33</v>
      </c>
      <c r="G152" s="1">
        <v>0.48999999999999994</v>
      </c>
    </row>
    <row r="153" spans="1:7" x14ac:dyDescent="0.25">
      <c r="A153" s="8">
        <v>385</v>
      </c>
      <c r="B153" s="2">
        <v>733285</v>
      </c>
      <c r="C153" s="3">
        <v>3.5999999999999997E-2</v>
      </c>
      <c r="D153" s="4">
        <v>0.33</v>
      </c>
      <c r="E153" s="1">
        <v>0.19</v>
      </c>
      <c r="F153" s="1">
        <v>0.45</v>
      </c>
      <c r="G153" s="1">
        <v>0.36000000000000004</v>
      </c>
    </row>
    <row r="154" spans="1:7" x14ac:dyDescent="0.25">
      <c r="A154" s="8">
        <v>389</v>
      </c>
      <c r="B154" s="2">
        <v>665341</v>
      </c>
      <c r="C154" s="3">
        <v>3.5999999999999997E-2</v>
      </c>
      <c r="D154" s="4">
        <v>0.27</v>
      </c>
      <c r="E154" s="1">
        <v>0.2</v>
      </c>
      <c r="F154" s="1">
        <v>0.21</v>
      </c>
      <c r="G154" s="1">
        <v>0.59000000000000008</v>
      </c>
    </row>
    <row r="155" spans="1:7" x14ac:dyDescent="0.25">
      <c r="A155" s="8">
        <v>390</v>
      </c>
      <c r="B155" s="2">
        <v>167873</v>
      </c>
      <c r="C155" s="3">
        <v>3.5999999999999997E-2</v>
      </c>
      <c r="D155" s="4">
        <v>0.37</v>
      </c>
      <c r="E155" s="1">
        <v>0.21</v>
      </c>
      <c r="F155" s="1">
        <v>0.48</v>
      </c>
      <c r="G155" s="1">
        <v>0.31000000000000005</v>
      </c>
    </row>
    <row r="156" spans="1:7" x14ac:dyDescent="0.25">
      <c r="A156" s="8">
        <v>392</v>
      </c>
      <c r="B156" s="2">
        <v>310890</v>
      </c>
      <c r="C156" s="3">
        <v>3.5999999999999997E-2</v>
      </c>
      <c r="D156" s="4">
        <v>0.34</v>
      </c>
      <c r="E156" s="1">
        <v>0.13</v>
      </c>
      <c r="F156" s="1">
        <v>0.31</v>
      </c>
      <c r="G156" s="1">
        <v>0.55999999999999994</v>
      </c>
    </row>
    <row r="157" spans="1:7" x14ac:dyDescent="0.25">
      <c r="A157" s="8">
        <v>18</v>
      </c>
      <c r="B157" s="2">
        <v>1698236</v>
      </c>
      <c r="C157" s="3">
        <v>3.5000000000000003E-2</v>
      </c>
      <c r="D157" s="4">
        <v>0.64</v>
      </c>
      <c r="E157" s="1">
        <v>0.21</v>
      </c>
      <c r="F157" s="1">
        <v>0.2</v>
      </c>
      <c r="G157" s="1">
        <v>0.59000000000000008</v>
      </c>
    </row>
    <row r="158" spans="1:7" x14ac:dyDescent="0.25">
      <c r="A158" s="8">
        <v>23</v>
      </c>
      <c r="B158" s="2">
        <v>2981242</v>
      </c>
      <c r="C158" s="3">
        <v>3.5000000000000003E-2</v>
      </c>
      <c r="D158" s="4">
        <v>0.62</v>
      </c>
      <c r="E158" s="1">
        <v>0.21</v>
      </c>
      <c r="F158" s="1">
        <v>0.28999999999999998</v>
      </c>
      <c r="G158" s="1">
        <v>0.5</v>
      </c>
    </row>
    <row r="159" spans="1:7" x14ac:dyDescent="0.25">
      <c r="A159" s="8">
        <v>60</v>
      </c>
      <c r="B159" s="2">
        <v>2353897</v>
      </c>
      <c r="C159" s="3">
        <v>3.5000000000000003E-2</v>
      </c>
      <c r="D159" s="4">
        <v>0.79</v>
      </c>
      <c r="E159" s="1">
        <v>0.17</v>
      </c>
      <c r="F159" s="1">
        <v>0.34</v>
      </c>
      <c r="G159" s="1">
        <v>0.48999999999999988</v>
      </c>
    </row>
    <row r="160" spans="1:7" x14ac:dyDescent="0.25">
      <c r="A160" s="8">
        <v>64</v>
      </c>
      <c r="B160" s="2">
        <v>2436769</v>
      </c>
      <c r="C160" s="3">
        <v>3.5000000000000003E-2</v>
      </c>
      <c r="D160" s="4">
        <v>0.72</v>
      </c>
      <c r="E160" s="1">
        <v>0.3</v>
      </c>
      <c r="F160" s="1">
        <v>0.44</v>
      </c>
      <c r="G160" s="1">
        <v>0.26000000000000006</v>
      </c>
    </row>
    <row r="161" spans="1:7" x14ac:dyDescent="0.25">
      <c r="A161" s="8">
        <v>70</v>
      </c>
      <c r="B161" s="2">
        <v>4234169</v>
      </c>
      <c r="C161" s="3">
        <v>3.5000000000000003E-2</v>
      </c>
      <c r="D161" s="4">
        <v>0.7</v>
      </c>
      <c r="E161" s="1">
        <v>0.35</v>
      </c>
      <c r="F161" s="1">
        <v>0.26</v>
      </c>
      <c r="G161" s="1">
        <v>0.39</v>
      </c>
    </row>
    <row r="162" spans="1:7" x14ac:dyDescent="0.25">
      <c r="A162" s="8">
        <v>72</v>
      </c>
      <c r="B162" s="2">
        <v>1468468</v>
      </c>
      <c r="C162" s="3">
        <v>3.5000000000000003E-2</v>
      </c>
      <c r="D162" s="4">
        <v>0.8</v>
      </c>
      <c r="E162" s="1">
        <v>0.17</v>
      </c>
      <c r="F162" s="1">
        <v>0.28999999999999998</v>
      </c>
      <c r="G162" s="1">
        <v>0.53999999999999992</v>
      </c>
    </row>
    <row r="163" spans="1:7" x14ac:dyDescent="0.25">
      <c r="A163" s="8">
        <v>75</v>
      </c>
      <c r="B163" s="2">
        <v>3183669</v>
      </c>
      <c r="C163" s="3">
        <v>3.5000000000000003E-2</v>
      </c>
      <c r="D163" s="4">
        <v>0.7</v>
      </c>
      <c r="E163" s="1">
        <v>0.26</v>
      </c>
      <c r="F163" s="1">
        <v>0.37</v>
      </c>
      <c r="G163" s="1">
        <v>0.37</v>
      </c>
    </row>
    <row r="164" spans="1:7" x14ac:dyDescent="0.25">
      <c r="A164" s="8">
        <v>209</v>
      </c>
      <c r="B164" s="2">
        <v>823482</v>
      </c>
      <c r="C164" s="3">
        <v>3.5000000000000003E-2</v>
      </c>
      <c r="D164" s="4">
        <v>0.35</v>
      </c>
      <c r="E164" s="1">
        <v>0.18</v>
      </c>
      <c r="F164" s="1">
        <v>0.36</v>
      </c>
      <c r="G164" s="1">
        <v>0.46</v>
      </c>
    </row>
    <row r="165" spans="1:7" x14ac:dyDescent="0.25">
      <c r="A165" s="8">
        <v>232</v>
      </c>
      <c r="B165" s="2">
        <v>290576</v>
      </c>
      <c r="C165" s="3">
        <v>3.5000000000000003E-2</v>
      </c>
      <c r="D165" s="4">
        <v>0.4</v>
      </c>
      <c r="E165" s="1">
        <v>0.22</v>
      </c>
      <c r="F165" s="1">
        <v>0.33</v>
      </c>
      <c r="G165" s="1">
        <v>0.44999999999999996</v>
      </c>
    </row>
    <row r="166" spans="1:7" x14ac:dyDescent="0.25">
      <c r="A166" s="8">
        <v>273</v>
      </c>
      <c r="B166" s="2">
        <v>533774</v>
      </c>
      <c r="C166" s="3">
        <v>3.5000000000000003E-2</v>
      </c>
      <c r="D166" s="4">
        <v>0.32</v>
      </c>
      <c r="E166" s="1">
        <v>0.21</v>
      </c>
      <c r="F166" s="1">
        <v>0.37</v>
      </c>
      <c r="G166" s="1">
        <v>0.42000000000000004</v>
      </c>
    </row>
    <row r="167" spans="1:7" x14ac:dyDescent="0.25">
      <c r="A167" s="8">
        <v>309</v>
      </c>
      <c r="B167" s="2">
        <v>448577</v>
      </c>
      <c r="C167" s="3">
        <v>3.5000000000000003E-2</v>
      </c>
      <c r="D167" s="4">
        <v>0.31</v>
      </c>
      <c r="E167" s="1">
        <v>0.36</v>
      </c>
      <c r="F167" s="1">
        <v>0.47</v>
      </c>
      <c r="G167" s="1">
        <v>0.17000000000000004</v>
      </c>
    </row>
    <row r="168" spans="1:7" x14ac:dyDescent="0.25">
      <c r="A168" s="8">
        <v>344</v>
      </c>
      <c r="B168" s="2">
        <v>576607</v>
      </c>
      <c r="C168" s="3">
        <v>3.5000000000000003E-2</v>
      </c>
      <c r="D168" s="4">
        <v>0.39</v>
      </c>
      <c r="E168" s="1">
        <v>0.21</v>
      </c>
      <c r="F168" s="1">
        <v>0.27</v>
      </c>
      <c r="G168" s="1">
        <v>0.52</v>
      </c>
    </row>
    <row r="169" spans="1:7" x14ac:dyDescent="0.25">
      <c r="A169" s="8">
        <v>2</v>
      </c>
      <c r="B169" s="2">
        <v>2580452</v>
      </c>
      <c r="C169" s="3">
        <v>3.4000000000000002E-2</v>
      </c>
      <c r="D169" s="4">
        <v>0.69</v>
      </c>
      <c r="E169" s="1">
        <v>0.21</v>
      </c>
      <c r="F169" s="1">
        <v>0.48</v>
      </c>
      <c r="G169" s="1">
        <v>0.31000000000000005</v>
      </c>
    </row>
    <row r="170" spans="1:7" x14ac:dyDescent="0.25">
      <c r="A170" s="8">
        <v>20</v>
      </c>
      <c r="B170" s="2">
        <v>4705478</v>
      </c>
      <c r="C170" s="3">
        <v>3.4000000000000002E-2</v>
      </c>
      <c r="D170" s="4">
        <v>0.63</v>
      </c>
      <c r="E170" s="1">
        <v>0.21</v>
      </c>
      <c r="F170" s="1">
        <v>0.21</v>
      </c>
      <c r="G170" s="1">
        <v>0.58000000000000007</v>
      </c>
    </row>
    <row r="171" spans="1:7" x14ac:dyDescent="0.25">
      <c r="A171" s="8">
        <v>22</v>
      </c>
      <c r="B171" s="2">
        <v>4946659</v>
      </c>
      <c r="C171" s="3">
        <v>3.4000000000000002E-2</v>
      </c>
      <c r="D171" s="4">
        <v>0.8</v>
      </c>
      <c r="E171" s="1">
        <v>0.15</v>
      </c>
      <c r="F171" s="1">
        <v>0.33</v>
      </c>
      <c r="G171" s="1">
        <v>0.51999999999999991</v>
      </c>
    </row>
    <row r="172" spans="1:7" x14ac:dyDescent="0.25">
      <c r="A172" s="8">
        <v>36</v>
      </c>
      <c r="B172" s="2">
        <v>4348198</v>
      </c>
      <c r="C172" s="3">
        <v>3.4000000000000002E-2</v>
      </c>
      <c r="D172" s="4">
        <v>0.63</v>
      </c>
      <c r="E172" s="1">
        <v>0.28000000000000003</v>
      </c>
      <c r="F172" s="1">
        <v>0.28000000000000003</v>
      </c>
      <c r="G172" s="1">
        <v>0.43999999999999995</v>
      </c>
    </row>
    <row r="173" spans="1:7" x14ac:dyDescent="0.25">
      <c r="A173" s="8">
        <v>67</v>
      </c>
      <c r="B173" s="2">
        <v>3145856</v>
      </c>
      <c r="C173" s="3">
        <v>3.4000000000000002E-2</v>
      </c>
      <c r="D173" s="4">
        <v>0.68</v>
      </c>
      <c r="E173" s="1">
        <v>0.27</v>
      </c>
      <c r="F173" s="1">
        <v>0.2</v>
      </c>
      <c r="G173" s="1">
        <v>0.53</v>
      </c>
    </row>
    <row r="174" spans="1:7" x14ac:dyDescent="0.25">
      <c r="A174" s="8">
        <v>79</v>
      </c>
      <c r="B174" s="2">
        <v>3723564</v>
      </c>
      <c r="C174" s="3">
        <v>3.4000000000000002E-2</v>
      </c>
      <c r="D174" s="4">
        <v>0.68</v>
      </c>
      <c r="E174" s="1">
        <v>0.38</v>
      </c>
      <c r="F174" s="1">
        <v>0.39</v>
      </c>
      <c r="G174" s="1">
        <v>0.22999999999999998</v>
      </c>
    </row>
    <row r="175" spans="1:7" x14ac:dyDescent="0.25">
      <c r="A175" s="8">
        <v>82</v>
      </c>
      <c r="B175" s="2">
        <v>3019289</v>
      </c>
      <c r="C175" s="3">
        <v>3.4000000000000002E-2</v>
      </c>
      <c r="D175" s="4">
        <v>0.68</v>
      </c>
      <c r="E175" s="1">
        <v>0.1</v>
      </c>
      <c r="F175" s="1">
        <v>0.4</v>
      </c>
      <c r="G175" s="1">
        <v>0.5</v>
      </c>
    </row>
    <row r="176" spans="1:7" x14ac:dyDescent="0.25">
      <c r="A176" s="8">
        <v>86</v>
      </c>
      <c r="B176" s="2">
        <v>2940209</v>
      </c>
      <c r="C176" s="3">
        <v>3.4000000000000002E-2</v>
      </c>
      <c r="D176" s="4">
        <v>0.75</v>
      </c>
      <c r="E176" s="1">
        <v>0.39</v>
      </c>
      <c r="F176" s="1">
        <v>0.22</v>
      </c>
      <c r="G176" s="1">
        <v>0.39</v>
      </c>
    </row>
    <row r="177" spans="1:7" x14ac:dyDescent="0.25">
      <c r="A177" s="8">
        <v>149</v>
      </c>
      <c r="B177" s="2">
        <v>458181</v>
      </c>
      <c r="C177" s="3">
        <v>3.4000000000000002E-2</v>
      </c>
      <c r="D177" s="4">
        <v>0.25</v>
      </c>
      <c r="E177" s="1">
        <v>0.38</v>
      </c>
      <c r="F177" s="1">
        <v>0.39</v>
      </c>
      <c r="G177" s="1">
        <v>0.22999999999999998</v>
      </c>
    </row>
    <row r="178" spans="1:7" x14ac:dyDescent="0.25">
      <c r="A178" s="8">
        <v>211</v>
      </c>
      <c r="B178" s="2">
        <v>118094</v>
      </c>
      <c r="C178" s="3">
        <v>3.4000000000000002E-2</v>
      </c>
      <c r="D178" s="4">
        <v>0.31</v>
      </c>
      <c r="E178" s="1">
        <v>0.3</v>
      </c>
      <c r="F178" s="1">
        <v>0.38</v>
      </c>
      <c r="G178" s="1">
        <v>0.32</v>
      </c>
    </row>
    <row r="179" spans="1:7" x14ac:dyDescent="0.25">
      <c r="A179" s="8">
        <v>251</v>
      </c>
      <c r="B179" s="2">
        <v>621665</v>
      </c>
      <c r="C179" s="3">
        <v>3.4000000000000002E-2</v>
      </c>
      <c r="D179" s="4">
        <v>0.3</v>
      </c>
      <c r="E179" s="1">
        <v>0.26</v>
      </c>
      <c r="F179" s="1">
        <v>0.21</v>
      </c>
      <c r="G179" s="1">
        <v>0.53</v>
      </c>
    </row>
    <row r="180" spans="1:7" x14ac:dyDescent="0.25">
      <c r="A180" s="8">
        <v>303</v>
      </c>
      <c r="B180" s="2">
        <v>875660</v>
      </c>
      <c r="C180" s="3">
        <v>3.4000000000000002E-2</v>
      </c>
      <c r="D180" s="4">
        <v>0.36</v>
      </c>
      <c r="E180" s="1">
        <v>0.28999999999999998</v>
      </c>
      <c r="F180" s="1">
        <v>0.48</v>
      </c>
      <c r="G180" s="1">
        <v>0.23000000000000004</v>
      </c>
    </row>
    <row r="181" spans="1:7" x14ac:dyDescent="0.25">
      <c r="A181" s="8">
        <v>341</v>
      </c>
      <c r="B181" s="2">
        <v>860475</v>
      </c>
      <c r="C181" s="3">
        <v>3.4000000000000002E-2</v>
      </c>
      <c r="D181" s="4">
        <v>0.3</v>
      </c>
      <c r="E181" s="1">
        <v>0.32</v>
      </c>
      <c r="F181" s="1">
        <v>0.42</v>
      </c>
      <c r="G181" s="1">
        <v>0.26000000000000006</v>
      </c>
    </row>
    <row r="182" spans="1:7" x14ac:dyDescent="0.25">
      <c r="A182" s="8">
        <v>360</v>
      </c>
      <c r="B182" s="2">
        <v>340158</v>
      </c>
      <c r="C182" s="3">
        <v>3.4000000000000002E-2</v>
      </c>
      <c r="D182" s="4">
        <v>0.23</v>
      </c>
      <c r="E182" s="1">
        <v>0.4</v>
      </c>
      <c r="F182" s="1">
        <v>0.26</v>
      </c>
      <c r="G182" s="1">
        <v>0.33999999999999997</v>
      </c>
    </row>
    <row r="183" spans="1:7" x14ac:dyDescent="0.25">
      <c r="A183" s="8">
        <v>12</v>
      </c>
      <c r="B183" s="2">
        <v>1790753</v>
      </c>
      <c r="C183" s="3">
        <v>3.3000000000000002E-2</v>
      </c>
      <c r="D183" s="4">
        <v>0.77</v>
      </c>
      <c r="E183" s="1">
        <v>0.23</v>
      </c>
      <c r="F183" s="1">
        <v>0.4</v>
      </c>
      <c r="G183" s="1">
        <v>0.37</v>
      </c>
    </row>
    <row r="184" spans="1:7" x14ac:dyDescent="0.25">
      <c r="A184" s="8">
        <v>25</v>
      </c>
      <c r="B184" s="2">
        <v>4845478</v>
      </c>
      <c r="C184" s="3">
        <v>3.3000000000000002E-2</v>
      </c>
      <c r="D184" s="4">
        <v>0.66</v>
      </c>
      <c r="E184" s="1">
        <v>0.24</v>
      </c>
      <c r="F184" s="1">
        <v>0.5</v>
      </c>
      <c r="G184" s="1">
        <v>0.26</v>
      </c>
    </row>
    <row r="185" spans="1:7" x14ac:dyDescent="0.25">
      <c r="A185" s="8">
        <v>32</v>
      </c>
      <c r="B185" s="2">
        <v>2990246</v>
      </c>
      <c r="C185" s="3">
        <v>3.3000000000000002E-2</v>
      </c>
      <c r="D185" s="4">
        <v>0.61</v>
      </c>
      <c r="E185" s="1">
        <v>0.38</v>
      </c>
      <c r="F185" s="1">
        <v>0.26</v>
      </c>
      <c r="G185" s="1">
        <v>0.36</v>
      </c>
    </row>
    <row r="186" spans="1:7" x14ac:dyDescent="0.25">
      <c r="A186" s="8">
        <v>39</v>
      </c>
      <c r="B186" s="2">
        <v>3907101</v>
      </c>
      <c r="C186" s="3">
        <v>3.3000000000000002E-2</v>
      </c>
      <c r="D186" s="4">
        <v>0.62</v>
      </c>
      <c r="E186" s="1">
        <v>0.15</v>
      </c>
      <c r="F186" s="1">
        <v>0.49</v>
      </c>
      <c r="G186" s="1">
        <v>0.36</v>
      </c>
    </row>
    <row r="187" spans="1:7" x14ac:dyDescent="0.25">
      <c r="A187" s="8">
        <v>44</v>
      </c>
      <c r="B187" s="2">
        <v>3437571</v>
      </c>
      <c r="C187" s="3">
        <v>3.3000000000000002E-2</v>
      </c>
      <c r="D187" s="4">
        <v>0.62</v>
      </c>
      <c r="E187" s="1">
        <v>0.28000000000000003</v>
      </c>
      <c r="F187" s="1">
        <v>0.38</v>
      </c>
      <c r="G187" s="1">
        <v>0.33999999999999997</v>
      </c>
    </row>
    <row r="188" spans="1:7" x14ac:dyDescent="0.25">
      <c r="A188" s="8">
        <v>52</v>
      </c>
      <c r="B188" s="2">
        <v>3538764</v>
      </c>
      <c r="C188" s="3">
        <v>3.3000000000000002E-2</v>
      </c>
      <c r="D188" s="4">
        <v>0.69</v>
      </c>
      <c r="E188" s="1">
        <v>0.11</v>
      </c>
      <c r="F188" s="1">
        <v>0.21</v>
      </c>
      <c r="G188" s="1">
        <v>0.68</v>
      </c>
    </row>
    <row r="189" spans="1:7" x14ac:dyDescent="0.25">
      <c r="A189" s="8">
        <v>55</v>
      </c>
      <c r="B189" s="2">
        <v>2175808</v>
      </c>
      <c r="C189" s="3">
        <v>3.3000000000000002E-2</v>
      </c>
      <c r="D189" s="4">
        <v>0.65</v>
      </c>
      <c r="E189" s="1">
        <v>0.23</v>
      </c>
      <c r="F189" s="1">
        <v>0.26</v>
      </c>
      <c r="G189" s="1">
        <v>0.51</v>
      </c>
    </row>
    <row r="190" spans="1:7" x14ac:dyDescent="0.25">
      <c r="A190" s="8">
        <v>59</v>
      </c>
      <c r="B190" s="2">
        <v>4279579</v>
      </c>
      <c r="C190" s="3">
        <v>3.3000000000000002E-2</v>
      </c>
      <c r="D190" s="4">
        <v>0.72</v>
      </c>
      <c r="E190" s="1">
        <v>0.37</v>
      </c>
      <c r="F190" s="1">
        <v>0.23</v>
      </c>
      <c r="G190" s="1">
        <v>0.4</v>
      </c>
    </row>
    <row r="191" spans="1:7" x14ac:dyDescent="0.25">
      <c r="A191" s="8">
        <v>135</v>
      </c>
      <c r="B191" s="2">
        <v>565463</v>
      </c>
      <c r="C191" s="3">
        <v>3.3000000000000002E-2</v>
      </c>
      <c r="D191" s="4">
        <v>0.22</v>
      </c>
      <c r="E191" s="1">
        <v>0.14000000000000001</v>
      </c>
      <c r="F191" s="1">
        <v>0.31</v>
      </c>
      <c r="G191" s="1">
        <v>0.54999999999999993</v>
      </c>
    </row>
    <row r="192" spans="1:7" x14ac:dyDescent="0.25">
      <c r="A192" s="8">
        <v>138</v>
      </c>
      <c r="B192" s="2">
        <v>289981</v>
      </c>
      <c r="C192" s="3">
        <v>3.3000000000000002E-2</v>
      </c>
      <c r="D192" s="4">
        <v>0.35</v>
      </c>
      <c r="E192" s="1">
        <v>0.38</v>
      </c>
      <c r="F192" s="1">
        <v>0.33</v>
      </c>
      <c r="G192" s="1">
        <v>0.28999999999999992</v>
      </c>
    </row>
    <row r="193" spans="1:7" x14ac:dyDescent="0.25">
      <c r="A193" s="8">
        <v>198</v>
      </c>
      <c r="B193" s="2">
        <v>349670</v>
      </c>
      <c r="C193" s="3">
        <v>3.3000000000000002E-2</v>
      </c>
      <c r="D193" s="4">
        <v>0.22</v>
      </c>
      <c r="E193" s="1">
        <v>0.25</v>
      </c>
      <c r="F193" s="1">
        <v>0.35</v>
      </c>
      <c r="G193" s="1">
        <v>0.4</v>
      </c>
    </row>
    <row r="194" spans="1:7" x14ac:dyDescent="0.25">
      <c r="A194" s="8">
        <v>241</v>
      </c>
      <c r="B194" s="2">
        <v>344482</v>
      </c>
      <c r="C194" s="3">
        <v>3.3000000000000002E-2</v>
      </c>
      <c r="D194" s="4">
        <v>0.38</v>
      </c>
      <c r="E194" s="1">
        <v>0.34</v>
      </c>
      <c r="F194" s="1">
        <v>0.22</v>
      </c>
      <c r="G194" s="1">
        <v>0.44</v>
      </c>
    </row>
    <row r="195" spans="1:7" x14ac:dyDescent="0.25">
      <c r="A195" s="8">
        <v>255</v>
      </c>
      <c r="B195" s="2">
        <v>174383</v>
      </c>
      <c r="C195" s="3">
        <v>3.3000000000000002E-2</v>
      </c>
      <c r="D195" s="4">
        <v>0.32</v>
      </c>
      <c r="E195" s="1">
        <v>0.11</v>
      </c>
      <c r="F195" s="1">
        <v>0.27</v>
      </c>
      <c r="G195" s="1">
        <v>0.62</v>
      </c>
    </row>
    <row r="196" spans="1:7" x14ac:dyDescent="0.25">
      <c r="A196" s="8">
        <v>409</v>
      </c>
      <c r="B196" s="2">
        <v>361513</v>
      </c>
      <c r="C196" s="3">
        <v>3.3000000000000002E-2</v>
      </c>
      <c r="D196" s="4">
        <v>0.38</v>
      </c>
      <c r="E196" s="1">
        <v>0.25</v>
      </c>
      <c r="F196" s="1">
        <v>0.46</v>
      </c>
      <c r="G196" s="1">
        <v>0.29000000000000004</v>
      </c>
    </row>
    <row r="197" spans="1:7" x14ac:dyDescent="0.25">
      <c r="A197" s="8">
        <v>426</v>
      </c>
      <c r="B197" s="2">
        <v>650005</v>
      </c>
      <c r="C197" s="3">
        <v>3.3000000000000002E-2</v>
      </c>
      <c r="D197" s="4">
        <v>0.27</v>
      </c>
      <c r="E197" s="1">
        <v>0.19</v>
      </c>
      <c r="F197" s="1">
        <v>0.43</v>
      </c>
      <c r="G197" s="1">
        <v>0.38000000000000006</v>
      </c>
    </row>
    <row r="198" spans="1:7" x14ac:dyDescent="0.25">
      <c r="A198" s="8">
        <v>436</v>
      </c>
      <c r="B198" s="2">
        <v>324387</v>
      </c>
      <c r="C198" s="3">
        <v>3.3000000000000002E-2</v>
      </c>
      <c r="D198" s="4">
        <v>0.38</v>
      </c>
      <c r="E198" s="1">
        <v>0.28999999999999998</v>
      </c>
      <c r="F198" s="1">
        <v>0.42</v>
      </c>
      <c r="G198" s="1">
        <v>0.29000000000000009</v>
      </c>
    </row>
    <row r="199" spans="1:7" x14ac:dyDescent="0.25">
      <c r="A199" s="8">
        <v>65</v>
      </c>
      <c r="B199" s="2">
        <v>4477876</v>
      </c>
      <c r="C199" s="3">
        <v>3.2000000000000001E-2</v>
      </c>
      <c r="D199" s="4">
        <v>0.69</v>
      </c>
      <c r="E199" s="1">
        <v>0.17</v>
      </c>
      <c r="F199" s="1">
        <v>0.2</v>
      </c>
      <c r="G199" s="1">
        <v>0.63</v>
      </c>
    </row>
    <row r="200" spans="1:7" x14ac:dyDescent="0.25">
      <c r="A200" s="8">
        <v>92</v>
      </c>
      <c r="B200" s="2">
        <v>3689332</v>
      </c>
      <c r="C200" s="3">
        <v>3.2000000000000001E-2</v>
      </c>
      <c r="D200" s="4">
        <v>0.79</v>
      </c>
      <c r="E200" s="1">
        <v>0.15</v>
      </c>
      <c r="F200" s="1">
        <v>0.26</v>
      </c>
      <c r="G200" s="1">
        <v>0.59</v>
      </c>
    </row>
    <row r="201" spans="1:7" x14ac:dyDescent="0.25">
      <c r="A201" s="8">
        <v>102</v>
      </c>
      <c r="B201" s="2">
        <v>2514188</v>
      </c>
      <c r="C201" s="3">
        <v>3.2000000000000001E-2</v>
      </c>
      <c r="D201" s="4">
        <v>0.77</v>
      </c>
      <c r="E201" s="1">
        <v>0.28000000000000003</v>
      </c>
      <c r="F201" s="1">
        <v>0.41</v>
      </c>
      <c r="G201" s="1">
        <v>0.31000000000000005</v>
      </c>
    </row>
    <row r="202" spans="1:7" x14ac:dyDescent="0.25">
      <c r="A202" s="8">
        <v>103</v>
      </c>
      <c r="B202" s="2">
        <v>2482378</v>
      </c>
      <c r="C202" s="3">
        <v>3.2000000000000001E-2</v>
      </c>
      <c r="D202" s="4">
        <v>0.66</v>
      </c>
      <c r="E202" s="1">
        <v>0.25</v>
      </c>
      <c r="F202" s="1">
        <v>0.45</v>
      </c>
      <c r="G202" s="1">
        <v>0.30000000000000004</v>
      </c>
    </row>
    <row r="203" spans="1:7" x14ac:dyDescent="0.25">
      <c r="A203" s="8">
        <v>114</v>
      </c>
      <c r="B203" s="2">
        <v>1240873</v>
      </c>
      <c r="C203" s="3">
        <v>3.2000000000000001E-2</v>
      </c>
      <c r="D203" s="4">
        <v>0.67</v>
      </c>
      <c r="E203" s="1">
        <v>0.21</v>
      </c>
      <c r="F203" s="1">
        <v>0.21</v>
      </c>
      <c r="G203" s="1">
        <v>0.58000000000000007</v>
      </c>
    </row>
    <row r="204" spans="1:7" x14ac:dyDescent="0.25">
      <c r="A204" s="8">
        <v>122</v>
      </c>
      <c r="B204" s="2">
        <v>3424157</v>
      </c>
      <c r="C204" s="3">
        <v>3.2000000000000001E-2</v>
      </c>
      <c r="D204" s="4">
        <v>0.8</v>
      </c>
      <c r="E204" s="1">
        <v>0.28999999999999998</v>
      </c>
      <c r="F204" s="1">
        <v>0.45</v>
      </c>
      <c r="G204" s="1">
        <v>0.26000000000000006</v>
      </c>
    </row>
    <row r="205" spans="1:7" x14ac:dyDescent="0.25">
      <c r="A205" s="8">
        <v>124</v>
      </c>
      <c r="B205" s="2">
        <v>1328540</v>
      </c>
      <c r="C205" s="3">
        <v>3.2000000000000001E-2</v>
      </c>
      <c r="D205" s="4">
        <v>0.6</v>
      </c>
      <c r="E205" s="1">
        <v>0.15</v>
      </c>
      <c r="F205" s="1">
        <v>0.28000000000000003</v>
      </c>
      <c r="G205" s="1">
        <v>0.56999999999999995</v>
      </c>
    </row>
    <row r="206" spans="1:7" x14ac:dyDescent="0.25">
      <c r="A206" s="8">
        <v>154</v>
      </c>
      <c r="B206" s="2">
        <v>455972</v>
      </c>
      <c r="C206" s="3">
        <v>3.2000000000000001E-2</v>
      </c>
      <c r="D206" s="4">
        <v>0.33</v>
      </c>
      <c r="E206" s="1">
        <v>0.28000000000000003</v>
      </c>
      <c r="F206" s="1">
        <v>0.34</v>
      </c>
      <c r="G206" s="1">
        <v>0.37999999999999989</v>
      </c>
    </row>
    <row r="207" spans="1:7" x14ac:dyDescent="0.25">
      <c r="A207" s="8">
        <v>156</v>
      </c>
      <c r="B207" s="2">
        <v>381399</v>
      </c>
      <c r="C207" s="3">
        <v>3.2000000000000001E-2</v>
      </c>
      <c r="D207" s="4">
        <v>0.26</v>
      </c>
      <c r="E207" s="1">
        <v>0.28999999999999998</v>
      </c>
      <c r="F207" s="1">
        <v>0.25</v>
      </c>
      <c r="G207" s="1">
        <v>0.46</v>
      </c>
    </row>
    <row r="208" spans="1:7" x14ac:dyDescent="0.25">
      <c r="A208" s="8">
        <v>166</v>
      </c>
      <c r="B208" s="2">
        <v>242695</v>
      </c>
      <c r="C208" s="3">
        <v>3.2000000000000001E-2</v>
      </c>
      <c r="D208" s="4">
        <v>0.35</v>
      </c>
      <c r="E208" s="1">
        <v>0.31</v>
      </c>
      <c r="F208" s="1">
        <v>0.48</v>
      </c>
      <c r="G208" s="1">
        <v>0.21000000000000002</v>
      </c>
    </row>
    <row r="209" spans="1:7" x14ac:dyDescent="0.25">
      <c r="A209" s="8">
        <v>197</v>
      </c>
      <c r="B209" s="2">
        <v>387715</v>
      </c>
      <c r="C209" s="3">
        <v>3.2000000000000001E-2</v>
      </c>
      <c r="D209" s="4">
        <v>0.28999999999999998</v>
      </c>
      <c r="E209" s="1">
        <v>0.14000000000000001</v>
      </c>
      <c r="F209" s="1">
        <v>0.45</v>
      </c>
      <c r="G209" s="1">
        <v>0.41000000000000003</v>
      </c>
    </row>
    <row r="210" spans="1:7" x14ac:dyDescent="0.25">
      <c r="A210" s="8">
        <v>271</v>
      </c>
      <c r="B210" s="2">
        <v>358924</v>
      </c>
      <c r="C210" s="3">
        <v>3.2000000000000001E-2</v>
      </c>
      <c r="D210" s="4">
        <v>0.36</v>
      </c>
      <c r="E210" s="1">
        <v>0.18</v>
      </c>
      <c r="F210" s="1">
        <v>0.49</v>
      </c>
      <c r="G210" s="1">
        <v>0.33</v>
      </c>
    </row>
    <row r="211" spans="1:7" x14ac:dyDescent="0.25">
      <c r="A211" s="8">
        <v>300</v>
      </c>
      <c r="B211" s="2">
        <v>492157</v>
      </c>
      <c r="C211" s="3">
        <v>3.2000000000000001E-2</v>
      </c>
      <c r="D211" s="4">
        <v>0.33</v>
      </c>
      <c r="E211" s="1">
        <v>0.2</v>
      </c>
      <c r="F211" s="1">
        <v>0.36</v>
      </c>
      <c r="G211" s="1">
        <v>0.44</v>
      </c>
    </row>
    <row r="212" spans="1:7" x14ac:dyDescent="0.25">
      <c r="A212" s="8">
        <v>361</v>
      </c>
      <c r="B212" s="2">
        <v>205277</v>
      </c>
      <c r="C212" s="3">
        <v>3.2000000000000001E-2</v>
      </c>
      <c r="D212" s="4">
        <v>0.35</v>
      </c>
      <c r="E212" s="1">
        <v>0.35</v>
      </c>
      <c r="F212" s="1">
        <v>0.38</v>
      </c>
      <c r="G212" s="1">
        <v>0.27</v>
      </c>
    </row>
    <row r="213" spans="1:7" x14ac:dyDescent="0.25">
      <c r="A213" s="8">
        <v>369</v>
      </c>
      <c r="B213" s="2">
        <v>103551</v>
      </c>
      <c r="C213" s="3">
        <v>3.2000000000000001E-2</v>
      </c>
      <c r="D213" s="4">
        <v>0.26</v>
      </c>
      <c r="E213" s="1">
        <v>0.23</v>
      </c>
      <c r="F213" s="1">
        <v>0.44</v>
      </c>
      <c r="G213" s="1">
        <v>0.33000000000000007</v>
      </c>
    </row>
    <row r="214" spans="1:7" x14ac:dyDescent="0.25">
      <c r="A214" s="8">
        <v>379</v>
      </c>
      <c r="B214" s="2">
        <v>398789</v>
      </c>
      <c r="C214" s="3">
        <v>3.2000000000000001E-2</v>
      </c>
      <c r="D214" s="4">
        <v>0.34</v>
      </c>
      <c r="E214" s="1">
        <v>0.19</v>
      </c>
      <c r="F214" s="1">
        <v>0.33</v>
      </c>
      <c r="G214" s="1">
        <v>0.47999999999999993</v>
      </c>
    </row>
    <row r="215" spans="1:7" x14ac:dyDescent="0.25">
      <c r="A215" s="8">
        <v>26</v>
      </c>
      <c r="B215" s="2">
        <v>2538889</v>
      </c>
      <c r="C215" s="3">
        <v>3.1E-2</v>
      </c>
      <c r="D215" s="4">
        <v>0.74</v>
      </c>
      <c r="E215" s="1">
        <v>0.2</v>
      </c>
      <c r="F215" s="1">
        <v>0.28000000000000003</v>
      </c>
      <c r="G215" s="1">
        <v>0.52</v>
      </c>
    </row>
    <row r="216" spans="1:7" x14ac:dyDescent="0.25">
      <c r="A216" s="8">
        <v>45</v>
      </c>
      <c r="B216" s="2">
        <v>2260054</v>
      </c>
      <c r="C216" s="3">
        <v>3.1E-2</v>
      </c>
      <c r="D216" s="4">
        <v>0.63</v>
      </c>
      <c r="E216" s="1">
        <v>0.28000000000000003</v>
      </c>
      <c r="F216" s="1">
        <v>0.43</v>
      </c>
      <c r="G216" s="1">
        <v>0.29000000000000004</v>
      </c>
    </row>
    <row r="217" spans="1:7" x14ac:dyDescent="0.25">
      <c r="A217" s="8">
        <v>53</v>
      </c>
      <c r="B217" s="2">
        <v>1035357</v>
      </c>
      <c r="C217" s="3">
        <v>3.1E-2</v>
      </c>
      <c r="D217" s="4">
        <v>0.77</v>
      </c>
      <c r="E217" s="1">
        <v>0.21</v>
      </c>
      <c r="F217" s="1">
        <v>0.37</v>
      </c>
      <c r="G217" s="1">
        <v>0.42000000000000004</v>
      </c>
    </row>
    <row r="218" spans="1:7" x14ac:dyDescent="0.25">
      <c r="A218" s="8">
        <v>116</v>
      </c>
      <c r="B218" s="2">
        <v>1308514</v>
      </c>
      <c r="C218" s="3">
        <v>3.1E-2</v>
      </c>
      <c r="D218" s="4">
        <v>0.69</v>
      </c>
      <c r="E218" s="1">
        <v>0.37</v>
      </c>
      <c r="F218" s="1">
        <v>0.49</v>
      </c>
      <c r="G218" s="1">
        <v>0.14000000000000001</v>
      </c>
    </row>
    <row r="219" spans="1:7" x14ac:dyDescent="0.25">
      <c r="A219" s="8">
        <v>217</v>
      </c>
      <c r="B219" s="2">
        <v>201770</v>
      </c>
      <c r="C219" s="3">
        <v>3.1E-2</v>
      </c>
      <c r="D219" s="4">
        <v>0.39</v>
      </c>
      <c r="E219" s="1">
        <v>0.21</v>
      </c>
      <c r="F219" s="1">
        <v>0.2</v>
      </c>
      <c r="G219" s="1">
        <v>0.59000000000000008</v>
      </c>
    </row>
    <row r="220" spans="1:7" x14ac:dyDescent="0.25">
      <c r="A220" s="8">
        <v>231</v>
      </c>
      <c r="B220" s="2">
        <v>804358</v>
      </c>
      <c r="C220" s="3">
        <v>3.1E-2</v>
      </c>
      <c r="D220" s="4">
        <v>0.23</v>
      </c>
      <c r="E220" s="1">
        <v>0.12</v>
      </c>
      <c r="F220" s="1">
        <v>0.42</v>
      </c>
      <c r="G220" s="1">
        <v>0.46000000000000008</v>
      </c>
    </row>
    <row r="221" spans="1:7" x14ac:dyDescent="0.25">
      <c r="A221" s="8">
        <v>366</v>
      </c>
      <c r="B221" s="2">
        <v>572067</v>
      </c>
      <c r="C221" s="3">
        <v>3.1E-2</v>
      </c>
      <c r="D221" s="4">
        <v>0.26</v>
      </c>
      <c r="E221" s="1">
        <v>0.18</v>
      </c>
      <c r="F221" s="1">
        <v>0.23</v>
      </c>
      <c r="G221" s="1">
        <v>0.59000000000000008</v>
      </c>
    </row>
    <row r="222" spans="1:7" x14ac:dyDescent="0.25">
      <c r="A222" s="8">
        <v>413</v>
      </c>
      <c r="B222" s="2">
        <v>214777</v>
      </c>
      <c r="C222" s="3">
        <v>3.1E-2</v>
      </c>
      <c r="D222" s="4">
        <v>0.32</v>
      </c>
      <c r="E222" s="1">
        <v>0.38</v>
      </c>
      <c r="F222" s="1">
        <v>0.38</v>
      </c>
      <c r="G222" s="1">
        <v>0.24</v>
      </c>
    </row>
    <row r="223" spans="1:7" x14ac:dyDescent="0.25">
      <c r="A223" s="8">
        <v>415</v>
      </c>
      <c r="B223" s="2">
        <v>889804</v>
      </c>
      <c r="C223" s="3">
        <v>3.1E-2</v>
      </c>
      <c r="D223" s="4">
        <v>0.24</v>
      </c>
      <c r="E223" s="1">
        <v>0.36</v>
      </c>
      <c r="F223" s="1">
        <v>0.42</v>
      </c>
      <c r="G223" s="1">
        <v>0.22000000000000008</v>
      </c>
    </row>
    <row r="224" spans="1:7" x14ac:dyDescent="0.25">
      <c r="A224" s="8">
        <v>430</v>
      </c>
      <c r="B224" s="2">
        <v>344442</v>
      </c>
      <c r="C224" s="3">
        <v>3.1E-2</v>
      </c>
      <c r="D224" s="4">
        <v>0.35</v>
      </c>
      <c r="E224" s="1">
        <v>0.17</v>
      </c>
      <c r="F224" s="1">
        <v>0.49</v>
      </c>
      <c r="G224" s="1">
        <v>0.33999999999999997</v>
      </c>
    </row>
    <row r="225" spans="1:7" x14ac:dyDescent="0.25">
      <c r="A225" s="8">
        <v>5</v>
      </c>
      <c r="B225" s="2">
        <v>4803001</v>
      </c>
      <c r="C225" s="3">
        <v>0.03</v>
      </c>
      <c r="D225" s="4">
        <v>0.61</v>
      </c>
      <c r="E225" s="1">
        <v>0.27</v>
      </c>
      <c r="F225" s="1">
        <v>0.28000000000000003</v>
      </c>
      <c r="G225" s="1">
        <v>0.44999999999999996</v>
      </c>
    </row>
    <row r="226" spans="1:7" x14ac:dyDescent="0.25">
      <c r="A226" s="8">
        <v>27</v>
      </c>
      <c r="B226" s="2">
        <v>4659444</v>
      </c>
      <c r="C226" s="3">
        <v>0.03</v>
      </c>
      <c r="D226" s="4">
        <v>0.8</v>
      </c>
      <c r="E226" s="1">
        <v>0.35</v>
      </c>
      <c r="F226" s="1">
        <v>0.33</v>
      </c>
      <c r="G226" s="1">
        <v>0.31999999999999995</v>
      </c>
    </row>
    <row r="227" spans="1:7" x14ac:dyDescent="0.25">
      <c r="A227" s="8">
        <v>30</v>
      </c>
      <c r="B227" s="2">
        <v>3407826</v>
      </c>
      <c r="C227" s="3">
        <v>0.03</v>
      </c>
      <c r="D227" s="4">
        <v>0.78</v>
      </c>
      <c r="E227" s="1">
        <v>0.27</v>
      </c>
      <c r="F227" s="1">
        <v>0.47</v>
      </c>
      <c r="G227" s="1">
        <v>0.26</v>
      </c>
    </row>
    <row r="228" spans="1:7" x14ac:dyDescent="0.25">
      <c r="A228" s="8">
        <v>37</v>
      </c>
      <c r="B228" s="2">
        <v>2911677</v>
      </c>
      <c r="C228" s="3">
        <v>0.03</v>
      </c>
      <c r="D228" s="4">
        <v>0.75</v>
      </c>
      <c r="E228" s="1">
        <v>0.2</v>
      </c>
      <c r="F228" s="1">
        <v>0.34</v>
      </c>
      <c r="G228" s="1">
        <v>0.45999999999999991</v>
      </c>
    </row>
    <row r="229" spans="1:7" x14ac:dyDescent="0.25">
      <c r="A229" s="8">
        <v>87</v>
      </c>
      <c r="B229" s="2">
        <v>3420302</v>
      </c>
      <c r="C229" s="3">
        <v>0.03</v>
      </c>
      <c r="D229" s="4">
        <v>0.61</v>
      </c>
      <c r="E229" s="1">
        <v>0.26</v>
      </c>
      <c r="F229" s="1">
        <v>0.36</v>
      </c>
      <c r="G229" s="1">
        <v>0.38</v>
      </c>
    </row>
    <row r="230" spans="1:7" x14ac:dyDescent="0.25">
      <c r="A230" s="8">
        <v>110</v>
      </c>
      <c r="B230" s="2">
        <v>3550616</v>
      </c>
      <c r="C230" s="3">
        <v>0.03</v>
      </c>
      <c r="D230" s="4">
        <v>0.74</v>
      </c>
      <c r="E230" s="1">
        <v>0.24</v>
      </c>
      <c r="F230" s="1">
        <v>0.28000000000000003</v>
      </c>
      <c r="G230" s="1">
        <v>0.48</v>
      </c>
    </row>
    <row r="231" spans="1:7" x14ac:dyDescent="0.25">
      <c r="A231" s="8">
        <v>173</v>
      </c>
      <c r="B231" s="2">
        <v>519046</v>
      </c>
      <c r="C231" s="3">
        <v>0.03</v>
      </c>
      <c r="D231" s="4">
        <v>0.4</v>
      </c>
      <c r="E231" s="1">
        <v>0.36</v>
      </c>
      <c r="F231" s="1">
        <v>0.21</v>
      </c>
      <c r="G231" s="1">
        <v>0.43000000000000005</v>
      </c>
    </row>
    <row r="232" spans="1:7" x14ac:dyDescent="0.25">
      <c r="A232" s="8">
        <v>176</v>
      </c>
      <c r="B232" s="2">
        <v>334283</v>
      </c>
      <c r="C232" s="3">
        <v>0.03</v>
      </c>
      <c r="D232" s="4">
        <v>0.24</v>
      </c>
      <c r="E232" s="1">
        <v>0.26</v>
      </c>
      <c r="F232" s="1">
        <v>0.39</v>
      </c>
      <c r="G232" s="1">
        <v>0.35</v>
      </c>
    </row>
    <row r="233" spans="1:7" x14ac:dyDescent="0.25">
      <c r="A233" s="8">
        <v>189</v>
      </c>
      <c r="B233" s="2">
        <v>451805</v>
      </c>
      <c r="C233" s="3">
        <v>0.03</v>
      </c>
      <c r="D233" s="4">
        <v>0.39</v>
      </c>
      <c r="E233" s="1">
        <v>0.36</v>
      </c>
      <c r="F233" s="1">
        <v>0.25</v>
      </c>
      <c r="G233" s="1">
        <v>0.39</v>
      </c>
    </row>
    <row r="234" spans="1:7" x14ac:dyDescent="0.25">
      <c r="A234" s="8">
        <v>201</v>
      </c>
      <c r="B234" s="2">
        <v>129199</v>
      </c>
      <c r="C234" s="3">
        <v>0.03</v>
      </c>
      <c r="D234" s="4">
        <v>0.21</v>
      </c>
      <c r="E234" s="1">
        <v>0.2</v>
      </c>
      <c r="F234" s="1">
        <v>0.42</v>
      </c>
      <c r="G234" s="1">
        <v>0.38000000000000006</v>
      </c>
    </row>
    <row r="235" spans="1:7" x14ac:dyDescent="0.25">
      <c r="A235" s="8">
        <v>210</v>
      </c>
      <c r="B235" s="2">
        <v>444171</v>
      </c>
      <c r="C235" s="3">
        <v>0.03</v>
      </c>
      <c r="D235" s="4">
        <v>0.26</v>
      </c>
      <c r="E235" s="1">
        <v>0.21</v>
      </c>
      <c r="F235" s="1">
        <v>0.4</v>
      </c>
      <c r="G235" s="1">
        <v>0.39</v>
      </c>
    </row>
    <row r="236" spans="1:7" x14ac:dyDescent="0.25">
      <c r="A236" s="8">
        <v>228</v>
      </c>
      <c r="B236" s="2">
        <v>208820</v>
      </c>
      <c r="C236" s="3">
        <v>0.03</v>
      </c>
      <c r="D236" s="4">
        <v>0.3</v>
      </c>
      <c r="E236" s="1">
        <v>0.33</v>
      </c>
      <c r="F236" s="1">
        <v>0.25</v>
      </c>
      <c r="G236" s="1">
        <v>0.42</v>
      </c>
    </row>
    <row r="237" spans="1:7" x14ac:dyDescent="0.25">
      <c r="A237" s="8">
        <v>317</v>
      </c>
      <c r="B237" s="2">
        <v>351583</v>
      </c>
      <c r="C237" s="3">
        <v>0.03</v>
      </c>
      <c r="D237" s="4">
        <v>0.21</v>
      </c>
      <c r="E237" s="1">
        <v>0.32</v>
      </c>
      <c r="F237" s="1">
        <v>0.5</v>
      </c>
      <c r="G237" s="1">
        <v>0.18</v>
      </c>
    </row>
    <row r="238" spans="1:7" x14ac:dyDescent="0.25">
      <c r="A238" s="8">
        <v>362</v>
      </c>
      <c r="B238" s="2">
        <v>129927</v>
      </c>
      <c r="C238" s="3">
        <v>0.03</v>
      </c>
      <c r="D238" s="4">
        <v>0.26</v>
      </c>
      <c r="E238" s="1">
        <v>0.21</v>
      </c>
      <c r="F238" s="1">
        <v>0.47</v>
      </c>
      <c r="G238" s="1">
        <v>0.32000000000000006</v>
      </c>
    </row>
    <row r="239" spans="1:7" x14ac:dyDescent="0.25">
      <c r="A239" s="1">
        <v>16</v>
      </c>
      <c r="B239" s="2">
        <v>2931405</v>
      </c>
      <c r="C239" s="3">
        <v>2.9000000000000001E-2</v>
      </c>
      <c r="D239" s="4">
        <v>0.6</v>
      </c>
      <c r="E239" s="1">
        <v>0.36</v>
      </c>
      <c r="F239" s="1">
        <v>0.43</v>
      </c>
      <c r="G239" s="1">
        <v>0.21000000000000008</v>
      </c>
    </row>
    <row r="240" spans="1:7" x14ac:dyDescent="0.25">
      <c r="A240" s="1">
        <v>50</v>
      </c>
      <c r="B240" s="2">
        <v>4710833</v>
      </c>
      <c r="C240" s="3">
        <v>2.9000000000000001E-2</v>
      </c>
      <c r="D240" s="4">
        <v>0.68</v>
      </c>
      <c r="E240" s="1">
        <v>0.18</v>
      </c>
      <c r="F240" s="1">
        <v>0.2</v>
      </c>
      <c r="G240" s="1">
        <v>0.62000000000000011</v>
      </c>
    </row>
    <row r="241" spans="1:7" x14ac:dyDescent="0.25">
      <c r="A241" s="1">
        <v>83</v>
      </c>
      <c r="B241" s="2">
        <v>3239893</v>
      </c>
      <c r="C241" s="3">
        <v>2.9000000000000001E-2</v>
      </c>
      <c r="D241" s="4">
        <v>0.71</v>
      </c>
      <c r="E241" s="1">
        <v>0.17</v>
      </c>
      <c r="F241" s="1">
        <v>0.28999999999999998</v>
      </c>
      <c r="G241" s="1">
        <v>0.53999999999999992</v>
      </c>
    </row>
    <row r="242" spans="1:7" x14ac:dyDescent="0.25">
      <c r="A242" s="1">
        <v>88</v>
      </c>
      <c r="B242" s="2">
        <v>2159325</v>
      </c>
      <c r="C242" s="3">
        <v>2.9000000000000001E-2</v>
      </c>
      <c r="D242" s="4">
        <v>0.78</v>
      </c>
      <c r="E242" s="1">
        <v>0.2</v>
      </c>
      <c r="F242" s="1">
        <v>0.42</v>
      </c>
      <c r="G242" s="1">
        <v>0.38000000000000006</v>
      </c>
    </row>
    <row r="243" spans="1:7" x14ac:dyDescent="0.25">
      <c r="A243" s="1">
        <v>108</v>
      </c>
      <c r="B243" s="2">
        <v>3040821</v>
      </c>
      <c r="C243" s="3">
        <v>2.9000000000000001E-2</v>
      </c>
      <c r="D243" s="4">
        <v>0.77</v>
      </c>
      <c r="E243" s="1">
        <v>0.39</v>
      </c>
      <c r="F243" s="1">
        <v>0.35</v>
      </c>
      <c r="G243" s="1">
        <v>0.26</v>
      </c>
    </row>
    <row r="244" spans="1:7" x14ac:dyDescent="0.25">
      <c r="A244" s="1">
        <v>113</v>
      </c>
      <c r="B244" s="2">
        <v>1958393</v>
      </c>
      <c r="C244" s="3">
        <v>2.9000000000000001E-2</v>
      </c>
      <c r="D244" s="4">
        <v>0.68</v>
      </c>
      <c r="E244" s="1">
        <v>0.3</v>
      </c>
      <c r="F244" s="1">
        <v>0.34</v>
      </c>
      <c r="G244" s="1">
        <v>0.35999999999999993</v>
      </c>
    </row>
    <row r="245" spans="1:7" x14ac:dyDescent="0.25">
      <c r="A245" s="1">
        <v>125</v>
      </c>
      <c r="B245" s="2">
        <v>3136824</v>
      </c>
      <c r="C245" s="3">
        <v>2.9000000000000001E-2</v>
      </c>
      <c r="D245" s="4">
        <v>0.71</v>
      </c>
      <c r="E245" s="1">
        <v>0.4</v>
      </c>
      <c r="F245" s="1">
        <v>0.36</v>
      </c>
      <c r="G245" s="1">
        <v>0.24</v>
      </c>
    </row>
    <row r="246" spans="1:7" x14ac:dyDescent="0.25">
      <c r="A246" s="1">
        <v>141</v>
      </c>
      <c r="B246" s="2">
        <v>370122</v>
      </c>
      <c r="C246" s="3">
        <v>2.9000000000000001E-2</v>
      </c>
      <c r="D246" s="4">
        <v>0.24</v>
      </c>
      <c r="E246" s="1">
        <v>0.11</v>
      </c>
      <c r="F246" s="1">
        <v>0.2</v>
      </c>
      <c r="G246" s="1">
        <v>0.69000000000000006</v>
      </c>
    </row>
    <row r="247" spans="1:7" x14ac:dyDescent="0.25">
      <c r="A247" s="1">
        <v>203</v>
      </c>
      <c r="B247" s="2">
        <v>892802</v>
      </c>
      <c r="C247" s="3">
        <v>2.9000000000000001E-2</v>
      </c>
      <c r="D247" s="4">
        <v>0.34</v>
      </c>
      <c r="E247" s="1">
        <v>0.13</v>
      </c>
      <c r="F247" s="1">
        <v>0.35</v>
      </c>
      <c r="G247" s="1">
        <v>0.52</v>
      </c>
    </row>
    <row r="248" spans="1:7" x14ac:dyDescent="0.25">
      <c r="A248" s="1">
        <v>304</v>
      </c>
      <c r="B248" s="2">
        <v>506915</v>
      </c>
      <c r="C248" s="3">
        <v>2.9000000000000001E-2</v>
      </c>
      <c r="D248" s="4">
        <v>0.3</v>
      </c>
      <c r="E248" s="1">
        <v>0.19</v>
      </c>
      <c r="F248" s="1">
        <v>0.31</v>
      </c>
      <c r="G248" s="1">
        <v>0.49999999999999994</v>
      </c>
    </row>
    <row r="249" spans="1:7" x14ac:dyDescent="0.25">
      <c r="A249" s="1">
        <v>339</v>
      </c>
      <c r="B249" s="2">
        <v>103616</v>
      </c>
      <c r="C249" s="3">
        <v>2.9000000000000001E-2</v>
      </c>
      <c r="D249" s="4">
        <v>0.39</v>
      </c>
      <c r="E249" s="1">
        <v>0.32</v>
      </c>
      <c r="F249" s="1">
        <v>0.21</v>
      </c>
      <c r="G249" s="1">
        <v>0.47000000000000003</v>
      </c>
    </row>
    <row r="250" spans="1:7" x14ac:dyDescent="0.25">
      <c r="A250" s="1">
        <v>416</v>
      </c>
      <c r="B250" s="2">
        <v>750774</v>
      </c>
      <c r="C250" s="3">
        <v>2.9000000000000001E-2</v>
      </c>
      <c r="D250" s="4">
        <v>0.35</v>
      </c>
      <c r="E250" s="1">
        <v>0.27</v>
      </c>
      <c r="F250" s="1">
        <v>0.42</v>
      </c>
      <c r="G250" s="1">
        <v>0.31000000000000005</v>
      </c>
    </row>
    <row r="251" spans="1:7" x14ac:dyDescent="0.25">
      <c r="A251" s="1">
        <v>29</v>
      </c>
      <c r="B251" s="2">
        <v>4178105</v>
      </c>
      <c r="C251" s="3">
        <v>2.8000000000000001E-2</v>
      </c>
      <c r="D251" s="4">
        <v>0.79</v>
      </c>
      <c r="E251" s="1">
        <v>0.18</v>
      </c>
      <c r="F251" s="1">
        <v>0.23</v>
      </c>
      <c r="G251" s="1">
        <v>0.59000000000000008</v>
      </c>
    </row>
    <row r="252" spans="1:7" x14ac:dyDescent="0.25">
      <c r="A252" s="1">
        <v>118</v>
      </c>
      <c r="B252" s="2">
        <v>3261529</v>
      </c>
      <c r="C252" s="3">
        <v>2.8000000000000001E-2</v>
      </c>
      <c r="D252" s="4">
        <v>0.61</v>
      </c>
      <c r="E252" s="1">
        <v>0.25</v>
      </c>
      <c r="F252" s="1">
        <v>0.45</v>
      </c>
      <c r="G252" s="1">
        <v>0.30000000000000004</v>
      </c>
    </row>
    <row r="253" spans="1:7" x14ac:dyDescent="0.25">
      <c r="A253" s="1">
        <v>121</v>
      </c>
      <c r="B253" s="2">
        <v>2706892</v>
      </c>
      <c r="C253" s="3">
        <v>2.8000000000000001E-2</v>
      </c>
      <c r="D253" s="4">
        <v>0.7</v>
      </c>
      <c r="E253" s="1">
        <v>0.19</v>
      </c>
      <c r="F253" s="1">
        <v>0.41</v>
      </c>
      <c r="G253" s="1">
        <v>0.40000000000000008</v>
      </c>
    </row>
    <row r="254" spans="1:7" x14ac:dyDescent="0.25">
      <c r="A254" s="1">
        <v>137</v>
      </c>
      <c r="B254" s="2">
        <v>280656</v>
      </c>
      <c r="C254" s="3">
        <v>2.8000000000000001E-2</v>
      </c>
      <c r="D254" s="4">
        <v>0.37</v>
      </c>
      <c r="E254" s="1">
        <v>0.38</v>
      </c>
      <c r="F254" s="1">
        <v>0.44</v>
      </c>
      <c r="G254" s="1">
        <v>0.18000000000000005</v>
      </c>
    </row>
    <row r="255" spans="1:7" x14ac:dyDescent="0.25">
      <c r="A255" s="1">
        <v>234</v>
      </c>
      <c r="B255" s="2">
        <v>530102</v>
      </c>
      <c r="C255" s="3">
        <v>2.8000000000000001E-2</v>
      </c>
      <c r="D255" s="4">
        <v>0.25</v>
      </c>
      <c r="E255" s="1">
        <v>0.22</v>
      </c>
      <c r="F255" s="1">
        <v>0.44</v>
      </c>
      <c r="G255" s="1">
        <v>0.34000000000000008</v>
      </c>
    </row>
    <row r="256" spans="1:7" x14ac:dyDescent="0.25">
      <c r="A256" s="1">
        <v>278</v>
      </c>
      <c r="B256" s="2">
        <v>680522</v>
      </c>
      <c r="C256" s="3">
        <v>2.8000000000000001E-2</v>
      </c>
      <c r="D256" s="4">
        <v>0.38</v>
      </c>
      <c r="E256" s="1">
        <v>0.14000000000000001</v>
      </c>
      <c r="F256" s="1">
        <v>0.38</v>
      </c>
      <c r="G256" s="1">
        <v>0.48</v>
      </c>
    </row>
    <row r="257" spans="1:7" x14ac:dyDescent="0.25">
      <c r="A257" s="1">
        <v>302</v>
      </c>
      <c r="B257" s="2">
        <v>839228</v>
      </c>
      <c r="C257" s="3">
        <v>2.8000000000000001E-2</v>
      </c>
      <c r="D257" s="4">
        <v>0.24</v>
      </c>
      <c r="E257" s="1">
        <v>0.12</v>
      </c>
      <c r="F257" s="1">
        <v>0.49</v>
      </c>
      <c r="G257" s="1">
        <v>0.39</v>
      </c>
    </row>
    <row r="258" spans="1:7" x14ac:dyDescent="0.25">
      <c r="A258" s="1">
        <v>343</v>
      </c>
      <c r="B258" s="2">
        <v>244760</v>
      </c>
      <c r="C258" s="3">
        <v>2.8000000000000001E-2</v>
      </c>
      <c r="D258" s="4">
        <v>0.27</v>
      </c>
      <c r="E258" s="1">
        <v>0.15</v>
      </c>
      <c r="F258" s="1">
        <v>0.34</v>
      </c>
      <c r="G258" s="1">
        <v>0.5099999999999999</v>
      </c>
    </row>
    <row r="259" spans="1:7" x14ac:dyDescent="0.25">
      <c r="A259" s="1">
        <v>410</v>
      </c>
      <c r="B259" s="2">
        <v>638700</v>
      </c>
      <c r="C259" s="3">
        <v>2.8000000000000001E-2</v>
      </c>
      <c r="D259" s="4">
        <v>0.3</v>
      </c>
      <c r="E259" s="1">
        <v>0.14000000000000001</v>
      </c>
      <c r="F259" s="1">
        <v>0.31</v>
      </c>
      <c r="G259" s="1">
        <v>0.54999999999999993</v>
      </c>
    </row>
    <row r="260" spans="1:7" x14ac:dyDescent="0.25">
      <c r="A260" s="1">
        <v>9</v>
      </c>
      <c r="B260" s="2">
        <v>3848506</v>
      </c>
      <c r="C260" s="3">
        <v>2.7E-2</v>
      </c>
      <c r="D260" s="4">
        <v>0.67</v>
      </c>
      <c r="E260" s="1">
        <v>0.2</v>
      </c>
      <c r="F260" s="1">
        <v>0.33</v>
      </c>
      <c r="G260" s="1">
        <v>0.46999999999999992</v>
      </c>
    </row>
    <row r="261" spans="1:7" x14ac:dyDescent="0.25">
      <c r="A261" s="1">
        <v>74</v>
      </c>
      <c r="B261" s="2">
        <v>4931725</v>
      </c>
      <c r="C261" s="3">
        <v>2.7E-2</v>
      </c>
      <c r="D261" s="4">
        <v>0.73</v>
      </c>
      <c r="E261" s="1">
        <v>0.18</v>
      </c>
      <c r="F261" s="1">
        <v>0.44</v>
      </c>
      <c r="G261" s="1">
        <v>0.38000000000000006</v>
      </c>
    </row>
    <row r="262" spans="1:7" x14ac:dyDescent="0.25">
      <c r="A262" s="1">
        <v>109</v>
      </c>
      <c r="B262" s="2">
        <v>4225473</v>
      </c>
      <c r="C262" s="3">
        <v>2.7E-2</v>
      </c>
      <c r="D262" s="4">
        <v>0.71</v>
      </c>
      <c r="E262" s="1">
        <v>0.22</v>
      </c>
      <c r="F262" s="1">
        <v>0.43</v>
      </c>
      <c r="G262" s="1">
        <v>0.35000000000000009</v>
      </c>
    </row>
    <row r="263" spans="1:7" x14ac:dyDescent="0.25">
      <c r="A263" s="1">
        <v>111</v>
      </c>
      <c r="B263" s="2">
        <v>3658058</v>
      </c>
      <c r="C263" s="3">
        <v>2.7E-2</v>
      </c>
      <c r="D263" s="4">
        <v>0.61</v>
      </c>
      <c r="E263" s="1">
        <v>0.17</v>
      </c>
      <c r="F263" s="1">
        <v>0.41</v>
      </c>
      <c r="G263" s="1">
        <v>0.42000000000000004</v>
      </c>
    </row>
    <row r="264" spans="1:7" x14ac:dyDescent="0.25">
      <c r="A264" s="1">
        <v>115</v>
      </c>
      <c r="B264" s="2">
        <v>3102508</v>
      </c>
      <c r="C264" s="3">
        <v>2.7E-2</v>
      </c>
      <c r="D264" s="4">
        <v>0.64</v>
      </c>
      <c r="E264" s="1">
        <v>0.28999999999999998</v>
      </c>
      <c r="F264" s="1">
        <v>0.37</v>
      </c>
      <c r="G264" s="1">
        <v>0.34</v>
      </c>
    </row>
    <row r="265" spans="1:7" x14ac:dyDescent="0.25">
      <c r="A265" s="1">
        <v>126</v>
      </c>
      <c r="B265" s="2">
        <v>875553</v>
      </c>
      <c r="C265" s="3">
        <v>2.7E-2</v>
      </c>
      <c r="D265" s="4">
        <v>0.38</v>
      </c>
      <c r="E265" s="1">
        <v>0.28000000000000003</v>
      </c>
      <c r="F265" s="1">
        <v>0.5</v>
      </c>
      <c r="G265" s="1">
        <v>0.21999999999999997</v>
      </c>
    </row>
    <row r="266" spans="1:7" x14ac:dyDescent="0.25">
      <c r="A266" s="1">
        <v>150</v>
      </c>
      <c r="B266" s="2">
        <v>524995</v>
      </c>
      <c r="C266" s="3">
        <v>2.7E-2</v>
      </c>
      <c r="D266" s="4">
        <v>0.22</v>
      </c>
      <c r="E266" s="1">
        <v>0.19</v>
      </c>
      <c r="F266" s="1">
        <v>0.37</v>
      </c>
      <c r="G266" s="1">
        <v>0.44</v>
      </c>
    </row>
    <row r="267" spans="1:7" x14ac:dyDescent="0.25">
      <c r="A267" s="1">
        <v>335</v>
      </c>
      <c r="B267" s="2">
        <v>153840</v>
      </c>
      <c r="C267" s="3">
        <v>2.7E-2</v>
      </c>
      <c r="D267" s="4">
        <v>0.37</v>
      </c>
      <c r="E267" s="1">
        <v>0.27</v>
      </c>
      <c r="F267" s="1">
        <v>0.47</v>
      </c>
      <c r="G267" s="1">
        <v>0.26</v>
      </c>
    </row>
    <row r="268" spans="1:7" x14ac:dyDescent="0.25">
      <c r="A268" s="1">
        <v>377</v>
      </c>
      <c r="B268" s="2">
        <v>636886</v>
      </c>
      <c r="C268" s="3">
        <v>2.7E-2</v>
      </c>
      <c r="D268" s="4">
        <v>0.27</v>
      </c>
      <c r="E268" s="1">
        <v>0.26</v>
      </c>
      <c r="F268" s="1">
        <v>0.49</v>
      </c>
      <c r="G268" s="1">
        <v>0.25</v>
      </c>
    </row>
    <row r="269" spans="1:7" x14ac:dyDescent="0.25">
      <c r="A269" s="1">
        <v>401</v>
      </c>
      <c r="B269" s="2">
        <v>676822</v>
      </c>
      <c r="C269" s="3">
        <v>2.7E-2</v>
      </c>
      <c r="D269" s="4">
        <v>0.26</v>
      </c>
      <c r="E269" s="1">
        <v>0.27</v>
      </c>
      <c r="F269" s="1">
        <v>0.27</v>
      </c>
      <c r="G269" s="1">
        <v>0.45999999999999996</v>
      </c>
    </row>
    <row r="270" spans="1:7" x14ac:dyDescent="0.25">
      <c r="A270" s="1">
        <v>19</v>
      </c>
      <c r="B270" s="2">
        <v>3301634</v>
      </c>
      <c r="C270" s="3">
        <v>2.5999999999999999E-2</v>
      </c>
      <c r="D270" s="4">
        <v>0.74</v>
      </c>
      <c r="E270" s="1">
        <v>0.34</v>
      </c>
      <c r="F270" s="1">
        <v>0.25</v>
      </c>
      <c r="G270" s="1">
        <v>0.41</v>
      </c>
    </row>
    <row r="271" spans="1:7" x14ac:dyDescent="0.25">
      <c r="A271" s="1">
        <v>35</v>
      </c>
      <c r="B271" s="2">
        <v>3035512</v>
      </c>
      <c r="C271" s="3">
        <v>2.5999999999999999E-2</v>
      </c>
      <c r="D271" s="4">
        <v>0.61</v>
      </c>
      <c r="E271" s="1">
        <v>0.27</v>
      </c>
      <c r="F271" s="1">
        <v>0.25</v>
      </c>
      <c r="G271" s="1">
        <v>0.48</v>
      </c>
    </row>
    <row r="272" spans="1:7" x14ac:dyDescent="0.25">
      <c r="A272" s="1">
        <v>49</v>
      </c>
      <c r="B272" s="2">
        <v>3615766</v>
      </c>
      <c r="C272" s="3">
        <v>2.5999999999999999E-2</v>
      </c>
      <c r="D272" s="4">
        <v>0.75</v>
      </c>
      <c r="E272" s="1">
        <v>0.35</v>
      </c>
      <c r="F272" s="1">
        <v>0.5</v>
      </c>
      <c r="G272" s="1">
        <v>0.15000000000000002</v>
      </c>
    </row>
    <row r="273" spans="1:7" x14ac:dyDescent="0.25">
      <c r="A273" s="1">
        <v>78</v>
      </c>
      <c r="B273" s="2">
        <v>2752983</v>
      </c>
      <c r="C273" s="3">
        <v>2.5999999999999999E-2</v>
      </c>
      <c r="D273" s="4">
        <v>0.6</v>
      </c>
      <c r="E273" s="1">
        <v>0.15</v>
      </c>
      <c r="F273" s="1">
        <v>0.42</v>
      </c>
      <c r="G273" s="1">
        <v>0.43000000000000005</v>
      </c>
    </row>
    <row r="274" spans="1:7" x14ac:dyDescent="0.25">
      <c r="A274" s="1">
        <v>129</v>
      </c>
      <c r="B274" s="2">
        <v>264900</v>
      </c>
      <c r="C274" s="3">
        <v>2.5999999999999999E-2</v>
      </c>
      <c r="D274" s="4">
        <v>0.38</v>
      </c>
      <c r="E274" s="1">
        <v>0.16</v>
      </c>
      <c r="F274" s="1">
        <v>0.47</v>
      </c>
      <c r="G274" s="1">
        <v>0.37</v>
      </c>
    </row>
    <row r="275" spans="1:7" x14ac:dyDescent="0.25">
      <c r="A275" s="1">
        <v>187</v>
      </c>
      <c r="B275" s="2">
        <v>663741</v>
      </c>
      <c r="C275" s="3">
        <v>2.5999999999999999E-2</v>
      </c>
      <c r="D275" s="4">
        <v>0.24</v>
      </c>
      <c r="E275" s="1">
        <v>0.32</v>
      </c>
      <c r="F275" s="1">
        <v>0.33</v>
      </c>
      <c r="G275" s="1">
        <v>0.34999999999999992</v>
      </c>
    </row>
    <row r="276" spans="1:7" x14ac:dyDescent="0.25">
      <c r="A276" s="1">
        <v>274</v>
      </c>
      <c r="B276" s="2">
        <v>527104</v>
      </c>
      <c r="C276" s="3">
        <v>2.5999999999999999E-2</v>
      </c>
      <c r="D276" s="4">
        <v>0.28999999999999998</v>
      </c>
      <c r="E276" s="1">
        <v>0.16</v>
      </c>
      <c r="F276" s="1">
        <v>0.49</v>
      </c>
      <c r="G276" s="1">
        <v>0.35</v>
      </c>
    </row>
    <row r="277" spans="1:7" x14ac:dyDescent="0.25">
      <c r="A277" s="1">
        <v>281</v>
      </c>
      <c r="B277" s="2">
        <v>118566</v>
      </c>
      <c r="C277" s="3">
        <v>2.5999999999999999E-2</v>
      </c>
      <c r="D277" s="4">
        <v>0.4</v>
      </c>
      <c r="E277" s="1">
        <v>0.39</v>
      </c>
      <c r="F277" s="1">
        <v>0.44</v>
      </c>
      <c r="G277" s="1">
        <v>0.17000000000000004</v>
      </c>
    </row>
    <row r="278" spans="1:7" x14ac:dyDescent="0.25">
      <c r="A278" s="1">
        <v>283</v>
      </c>
      <c r="B278" s="2">
        <v>407064</v>
      </c>
      <c r="C278" s="3">
        <v>2.5999999999999999E-2</v>
      </c>
      <c r="D278" s="4">
        <v>0.39</v>
      </c>
      <c r="E278" s="1">
        <v>0.17</v>
      </c>
      <c r="F278" s="1">
        <v>0.37</v>
      </c>
      <c r="G278" s="1">
        <v>0.45999999999999996</v>
      </c>
    </row>
    <row r="279" spans="1:7" x14ac:dyDescent="0.25">
      <c r="A279" s="1">
        <v>286</v>
      </c>
      <c r="B279" s="2">
        <v>747471</v>
      </c>
      <c r="C279" s="3">
        <v>2.5999999999999999E-2</v>
      </c>
      <c r="D279" s="4">
        <v>0.31</v>
      </c>
      <c r="E279" s="1">
        <v>0.37</v>
      </c>
      <c r="F279" s="1">
        <v>0.41</v>
      </c>
      <c r="G279" s="1">
        <v>0.22000000000000008</v>
      </c>
    </row>
    <row r="280" spans="1:7" x14ac:dyDescent="0.25">
      <c r="A280" s="1">
        <v>359</v>
      </c>
      <c r="B280" s="2">
        <v>321125</v>
      </c>
      <c r="C280" s="3">
        <v>2.5999999999999999E-2</v>
      </c>
      <c r="D280" s="4">
        <v>0.35</v>
      </c>
      <c r="E280" s="1">
        <v>0.18</v>
      </c>
      <c r="F280" s="1">
        <v>0.25</v>
      </c>
      <c r="G280" s="1">
        <v>0.57000000000000006</v>
      </c>
    </row>
    <row r="281" spans="1:7" x14ac:dyDescent="0.25">
      <c r="A281" s="1">
        <v>368</v>
      </c>
      <c r="B281" s="2">
        <v>693842</v>
      </c>
      <c r="C281" s="3">
        <v>2.5999999999999999E-2</v>
      </c>
      <c r="D281" s="4">
        <v>0.33</v>
      </c>
      <c r="E281" s="1">
        <v>0.12</v>
      </c>
      <c r="F281" s="1">
        <v>0.23</v>
      </c>
      <c r="G281" s="1">
        <v>0.65</v>
      </c>
    </row>
    <row r="282" spans="1:7" x14ac:dyDescent="0.25">
      <c r="A282" s="1">
        <v>375</v>
      </c>
      <c r="B282" s="2">
        <v>557400</v>
      </c>
      <c r="C282" s="3">
        <v>2.5999999999999999E-2</v>
      </c>
      <c r="D282" s="4">
        <v>0.27</v>
      </c>
      <c r="E282" s="1">
        <v>0.37</v>
      </c>
      <c r="F282" s="1">
        <v>0.28999999999999998</v>
      </c>
      <c r="G282" s="1">
        <v>0.33999999999999997</v>
      </c>
    </row>
    <row r="283" spans="1:7" x14ac:dyDescent="0.25">
      <c r="A283" s="1">
        <v>408</v>
      </c>
      <c r="B283" s="2">
        <v>460651</v>
      </c>
      <c r="C283" s="3">
        <v>2.5999999999999999E-2</v>
      </c>
      <c r="D283" s="4">
        <v>0.32</v>
      </c>
      <c r="E283" s="1">
        <v>0.36</v>
      </c>
      <c r="F283" s="1">
        <v>0.22</v>
      </c>
      <c r="G283" s="1">
        <v>0.42000000000000004</v>
      </c>
    </row>
    <row r="284" spans="1:7" x14ac:dyDescent="0.25">
      <c r="A284" s="1">
        <v>412</v>
      </c>
      <c r="B284" s="2">
        <v>314669</v>
      </c>
      <c r="C284" s="3">
        <v>2.5999999999999999E-2</v>
      </c>
      <c r="D284" s="4">
        <v>0.37</v>
      </c>
      <c r="E284" s="1">
        <v>0.35</v>
      </c>
      <c r="F284" s="1">
        <v>0.49</v>
      </c>
      <c r="G284" s="1">
        <v>0.16000000000000003</v>
      </c>
    </row>
    <row r="285" spans="1:7" x14ac:dyDescent="0.25">
      <c r="A285" s="1">
        <v>3</v>
      </c>
      <c r="B285" s="2">
        <v>3021967</v>
      </c>
      <c r="C285" s="3">
        <v>2.5000000000000001E-2</v>
      </c>
      <c r="D285" s="4">
        <v>0.79</v>
      </c>
      <c r="E285" s="1">
        <v>0.22</v>
      </c>
      <c r="F285" s="1">
        <v>0.44</v>
      </c>
      <c r="G285" s="1">
        <v>0.34000000000000008</v>
      </c>
    </row>
    <row r="286" spans="1:7" x14ac:dyDescent="0.25">
      <c r="A286" s="1">
        <v>4</v>
      </c>
      <c r="B286" s="2">
        <v>4715551</v>
      </c>
      <c r="C286" s="3">
        <v>2.5000000000000001E-2</v>
      </c>
      <c r="D286" s="4">
        <v>0.75</v>
      </c>
      <c r="E286" s="1">
        <v>0.36</v>
      </c>
      <c r="F286" s="1">
        <v>0.28999999999999998</v>
      </c>
      <c r="G286" s="1">
        <v>0.35</v>
      </c>
    </row>
    <row r="287" spans="1:7" x14ac:dyDescent="0.25">
      <c r="A287" s="1">
        <v>7</v>
      </c>
      <c r="B287" s="2">
        <v>2078628</v>
      </c>
      <c r="C287" s="3">
        <v>2.5000000000000001E-2</v>
      </c>
      <c r="D287" s="4">
        <v>0.76</v>
      </c>
      <c r="E287" s="1">
        <v>0.22</v>
      </c>
      <c r="F287" s="1">
        <v>0.46</v>
      </c>
      <c r="G287" s="1">
        <v>0.32000000000000006</v>
      </c>
    </row>
    <row r="288" spans="1:7" x14ac:dyDescent="0.25">
      <c r="A288" s="1">
        <v>13</v>
      </c>
      <c r="B288" s="2">
        <v>1011887</v>
      </c>
      <c r="C288" s="3">
        <v>2.5000000000000001E-2</v>
      </c>
      <c r="D288" s="4">
        <v>0.76</v>
      </c>
      <c r="E288" s="1">
        <v>0.17</v>
      </c>
      <c r="F288" s="1">
        <v>0.26</v>
      </c>
      <c r="G288" s="1">
        <v>0.56999999999999995</v>
      </c>
    </row>
    <row r="289" spans="1:7" x14ac:dyDescent="0.25">
      <c r="A289" s="1">
        <v>17</v>
      </c>
      <c r="B289" s="2">
        <v>1720249</v>
      </c>
      <c r="C289" s="3">
        <v>2.5000000000000001E-2</v>
      </c>
      <c r="D289" s="4">
        <v>0.6</v>
      </c>
      <c r="E289" s="1">
        <v>0.28000000000000003</v>
      </c>
      <c r="F289" s="1">
        <v>0.32</v>
      </c>
      <c r="G289" s="1">
        <v>0.39999999999999991</v>
      </c>
    </row>
    <row r="290" spans="1:7" x14ac:dyDescent="0.25">
      <c r="A290" s="1">
        <v>33</v>
      </c>
      <c r="B290" s="2">
        <v>4760924</v>
      </c>
      <c r="C290" s="3">
        <v>2.5000000000000001E-2</v>
      </c>
      <c r="D290" s="4">
        <v>0.69</v>
      </c>
      <c r="E290" s="1">
        <v>0.31</v>
      </c>
      <c r="F290" s="1">
        <v>0.28000000000000003</v>
      </c>
      <c r="G290" s="1">
        <v>0.41</v>
      </c>
    </row>
    <row r="291" spans="1:7" x14ac:dyDescent="0.25">
      <c r="A291" s="1">
        <v>51</v>
      </c>
      <c r="B291" s="2">
        <v>2594622</v>
      </c>
      <c r="C291" s="3">
        <v>2.5000000000000001E-2</v>
      </c>
      <c r="D291" s="4">
        <v>0.69</v>
      </c>
      <c r="E291" s="1">
        <v>0.16</v>
      </c>
      <c r="F291" s="1">
        <v>0.31</v>
      </c>
      <c r="G291" s="1">
        <v>0.52999999999999992</v>
      </c>
    </row>
    <row r="292" spans="1:7" x14ac:dyDescent="0.25">
      <c r="A292" s="1">
        <v>152</v>
      </c>
      <c r="B292" s="2">
        <v>404677</v>
      </c>
      <c r="C292" s="3">
        <v>2.5000000000000001E-2</v>
      </c>
      <c r="D292" s="4">
        <v>0.37</v>
      </c>
      <c r="E292" s="1">
        <v>0.14000000000000001</v>
      </c>
      <c r="F292" s="1">
        <v>0.33</v>
      </c>
      <c r="G292" s="1">
        <v>0.52999999999999992</v>
      </c>
    </row>
    <row r="293" spans="1:7" x14ac:dyDescent="0.25">
      <c r="A293" s="1">
        <v>249</v>
      </c>
      <c r="B293" s="2">
        <v>837074</v>
      </c>
      <c r="C293" s="3">
        <v>2.5000000000000001E-2</v>
      </c>
      <c r="D293" s="4">
        <v>0.3</v>
      </c>
      <c r="E293" s="1">
        <v>0.16</v>
      </c>
      <c r="F293" s="1">
        <v>0.5</v>
      </c>
      <c r="G293" s="1">
        <v>0.33999999999999997</v>
      </c>
    </row>
    <row r="294" spans="1:7" x14ac:dyDescent="0.25">
      <c r="A294" s="1">
        <v>310</v>
      </c>
      <c r="B294" s="2">
        <v>223413</v>
      </c>
      <c r="C294" s="3">
        <v>2.5000000000000001E-2</v>
      </c>
      <c r="D294" s="4">
        <v>0.34</v>
      </c>
      <c r="E294" s="1">
        <v>0.28000000000000003</v>
      </c>
      <c r="F294" s="1">
        <v>0.25</v>
      </c>
      <c r="G294" s="1">
        <v>0.47</v>
      </c>
    </row>
    <row r="295" spans="1:7" x14ac:dyDescent="0.25">
      <c r="A295" s="1">
        <v>11</v>
      </c>
      <c r="B295" s="2">
        <v>2515155</v>
      </c>
      <c r="C295" s="3">
        <v>2.4E-2</v>
      </c>
      <c r="D295" s="4">
        <v>0.77</v>
      </c>
      <c r="E295" s="1">
        <v>0.39</v>
      </c>
      <c r="F295" s="1">
        <v>0.44</v>
      </c>
      <c r="G295" s="1">
        <v>0.17000000000000004</v>
      </c>
    </row>
    <row r="296" spans="1:7" x14ac:dyDescent="0.25">
      <c r="A296" s="1">
        <v>15</v>
      </c>
      <c r="B296" s="2">
        <v>2409388</v>
      </c>
      <c r="C296" s="3">
        <v>2.4E-2</v>
      </c>
      <c r="D296" s="4">
        <v>0.67</v>
      </c>
      <c r="E296" s="1">
        <v>0.23</v>
      </c>
      <c r="F296" s="1">
        <v>0.28999999999999998</v>
      </c>
      <c r="G296" s="1">
        <v>0.48</v>
      </c>
    </row>
    <row r="297" spans="1:7" x14ac:dyDescent="0.25">
      <c r="A297" s="1">
        <v>24</v>
      </c>
      <c r="B297" s="2">
        <v>4994862</v>
      </c>
      <c r="C297" s="3">
        <v>2.4E-2</v>
      </c>
      <c r="D297" s="4">
        <v>0.65</v>
      </c>
      <c r="E297" s="1">
        <v>0.27</v>
      </c>
      <c r="F297" s="1">
        <v>0.27</v>
      </c>
      <c r="G297" s="1">
        <v>0.45999999999999996</v>
      </c>
    </row>
    <row r="298" spans="1:7" x14ac:dyDescent="0.25">
      <c r="A298" s="1">
        <v>34</v>
      </c>
      <c r="B298" s="2">
        <v>3085359</v>
      </c>
      <c r="C298" s="3">
        <v>2.4E-2</v>
      </c>
      <c r="D298" s="4">
        <v>0.79</v>
      </c>
      <c r="E298" s="1">
        <v>0.11</v>
      </c>
      <c r="F298" s="1">
        <v>0.23</v>
      </c>
      <c r="G298" s="1">
        <v>0.66</v>
      </c>
    </row>
    <row r="299" spans="1:7" x14ac:dyDescent="0.25">
      <c r="A299" s="1">
        <v>38</v>
      </c>
      <c r="B299" s="2">
        <v>1431738</v>
      </c>
      <c r="C299" s="3">
        <v>2.4E-2</v>
      </c>
      <c r="D299" s="4">
        <v>0.73</v>
      </c>
      <c r="E299" s="1">
        <v>0.13</v>
      </c>
      <c r="F299" s="1">
        <v>0.36</v>
      </c>
      <c r="G299" s="1">
        <v>0.51</v>
      </c>
    </row>
    <row r="300" spans="1:7" x14ac:dyDescent="0.25">
      <c r="A300" s="1">
        <v>56</v>
      </c>
      <c r="B300" s="2">
        <v>3984927</v>
      </c>
      <c r="C300" s="3">
        <v>2.4E-2</v>
      </c>
      <c r="D300" s="4">
        <v>0.7</v>
      </c>
      <c r="E300" s="1">
        <v>0.34</v>
      </c>
      <c r="F300" s="1">
        <v>0.2</v>
      </c>
      <c r="G300" s="1">
        <v>0.46</v>
      </c>
    </row>
    <row r="301" spans="1:7" x14ac:dyDescent="0.25">
      <c r="A301" s="1">
        <v>71</v>
      </c>
      <c r="B301" s="2">
        <v>2916154</v>
      </c>
      <c r="C301" s="3">
        <v>2.4E-2</v>
      </c>
      <c r="D301" s="4">
        <v>0.63</v>
      </c>
      <c r="E301" s="1">
        <v>0.24</v>
      </c>
      <c r="F301" s="1">
        <v>0.37</v>
      </c>
      <c r="G301" s="1">
        <v>0.39</v>
      </c>
    </row>
    <row r="302" spans="1:7" x14ac:dyDescent="0.25">
      <c r="A302" s="1">
        <v>94</v>
      </c>
      <c r="B302" s="2">
        <v>1514679</v>
      </c>
      <c r="C302" s="3">
        <v>2.4E-2</v>
      </c>
      <c r="D302" s="4">
        <v>0.62</v>
      </c>
      <c r="E302" s="1">
        <v>0.15</v>
      </c>
      <c r="F302" s="1">
        <v>0.38</v>
      </c>
      <c r="G302" s="1">
        <v>0.47</v>
      </c>
    </row>
    <row r="303" spans="1:7" x14ac:dyDescent="0.25">
      <c r="A303" s="1">
        <v>106</v>
      </c>
      <c r="B303" s="2">
        <v>3504075</v>
      </c>
      <c r="C303" s="3">
        <v>2.4E-2</v>
      </c>
      <c r="D303" s="4">
        <v>0.64</v>
      </c>
      <c r="E303" s="1">
        <v>0.25</v>
      </c>
      <c r="F303" s="1">
        <v>0.26</v>
      </c>
      <c r="G303" s="1">
        <v>0.49</v>
      </c>
    </row>
    <row r="304" spans="1:7" x14ac:dyDescent="0.25">
      <c r="A304" s="1">
        <v>163</v>
      </c>
      <c r="B304" s="2">
        <v>123166</v>
      </c>
      <c r="C304" s="3">
        <v>2.4E-2</v>
      </c>
      <c r="D304" s="4">
        <v>0.37</v>
      </c>
      <c r="E304" s="1">
        <v>0.26</v>
      </c>
      <c r="F304" s="1">
        <v>0.48</v>
      </c>
      <c r="G304" s="1">
        <v>0.26</v>
      </c>
    </row>
    <row r="305" spans="1:7" x14ac:dyDescent="0.25">
      <c r="A305" s="1">
        <v>229</v>
      </c>
      <c r="B305" s="2">
        <v>684880</v>
      </c>
      <c r="C305" s="3">
        <v>2.4E-2</v>
      </c>
      <c r="D305" s="4">
        <v>0.24</v>
      </c>
      <c r="E305" s="1">
        <v>0.11</v>
      </c>
      <c r="F305" s="1">
        <v>0.49</v>
      </c>
      <c r="G305" s="1">
        <v>0.4</v>
      </c>
    </row>
    <row r="306" spans="1:7" x14ac:dyDescent="0.25">
      <c r="A306" s="1">
        <v>275</v>
      </c>
      <c r="B306" s="2">
        <v>815982</v>
      </c>
      <c r="C306" s="3">
        <v>2.4E-2</v>
      </c>
      <c r="D306" s="4">
        <v>0.33</v>
      </c>
      <c r="E306" s="1">
        <v>0.15</v>
      </c>
      <c r="F306" s="1">
        <v>0.3</v>
      </c>
      <c r="G306" s="1">
        <v>0.54999999999999993</v>
      </c>
    </row>
    <row r="307" spans="1:7" x14ac:dyDescent="0.25">
      <c r="A307" s="1">
        <v>287</v>
      </c>
      <c r="B307" s="2">
        <v>723080</v>
      </c>
      <c r="C307" s="3">
        <v>2.4E-2</v>
      </c>
      <c r="D307" s="4">
        <v>0.21</v>
      </c>
      <c r="E307" s="1">
        <v>0.35</v>
      </c>
      <c r="F307" s="1">
        <v>0.47</v>
      </c>
      <c r="G307" s="1">
        <v>0.18000000000000005</v>
      </c>
    </row>
    <row r="308" spans="1:7" x14ac:dyDescent="0.25">
      <c r="A308" s="1">
        <v>432</v>
      </c>
      <c r="B308" s="2">
        <v>335984</v>
      </c>
      <c r="C308" s="3">
        <v>2.4E-2</v>
      </c>
      <c r="D308" s="4">
        <v>0.27</v>
      </c>
      <c r="E308" s="1">
        <v>0.15</v>
      </c>
      <c r="F308" s="1">
        <v>0.21</v>
      </c>
      <c r="G308" s="1">
        <v>0.64</v>
      </c>
    </row>
    <row r="309" spans="1:7" x14ac:dyDescent="0.25">
      <c r="A309" s="1">
        <v>14</v>
      </c>
      <c r="B309" s="2">
        <v>3982170</v>
      </c>
      <c r="C309" s="3">
        <v>2.3E-2</v>
      </c>
      <c r="D309" s="4">
        <v>0.78</v>
      </c>
      <c r="E309" s="1">
        <v>0.37</v>
      </c>
      <c r="F309" s="1">
        <v>0.46</v>
      </c>
      <c r="G309" s="1">
        <v>0.17000000000000004</v>
      </c>
    </row>
    <row r="310" spans="1:7" x14ac:dyDescent="0.25">
      <c r="A310" s="1">
        <v>28</v>
      </c>
      <c r="B310" s="2">
        <v>2761734</v>
      </c>
      <c r="C310" s="3">
        <v>2.3E-2</v>
      </c>
      <c r="D310" s="4">
        <v>0.72</v>
      </c>
      <c r="E310" s="1">
        <v>0.24</v>
      </c>
      <c r="F310" s="1">
        <v>0.37</v>
      </c>
      <c r="G310" s="1">
        <v>0.39</v>
      </c>
    </row>
    <row r="311" spans="1:7" x14ac:dyDescent="0.25">
      <c r="A311" s="1">
        <v>77</v>
      </c>
      <c r="B311" s="2">
        <v>1427353</v>
      </c>
      <c r="C311" s="3">
        <v>2.3E-2</v>
      </c>
      <c r="D311" s="4">
        <v>0.71</v>
      </c>
      <c r="E311" s="1">
        <v>0.32</v>
      </c>
      <c r="F311" s="1">
        <v>0.35</v>
      </c>
      <c r="G311" s="1">
        <v>0.33</v>
      </c>
    </row>
    <row r="312" spans="1:7" x14ac:dyDescent="0.25">
      <c r="A312" s="1">
        <v>96</v>
      </c>
      <c r="B312" s="2">
        <v>2988684</v>
      </c>
      <c r="C312" s="3">
        <v>2.3E-2</v>
      </c>
      <c r="D312" s="4">
        <v>0.75</v>
      </c>
      <c r="E312" s="1">
        <v>0.32</v>
      </c>
      <c r="F312" s="1">
        <v>0.24</v>
      </c>
      <c r="G312" s="1">
        <v>0.44</v>
      </c>
    </row>
    <row r="313" spans="1:7" x14ac:dyDescent="0.25">
      <c r="A313" s="1">
        <v>97</v>
      </c>
      <c r="B313" s="2">
        <v>2298098</v>
      </c>
      <c r="C313" s="3">
        <v>2.3E-2</v>
      </c>
      <c r="D313" s="4">
        <v>0.64</v>
      </c>
      <c r="E313" s="1">
        <v>0.32</v>
      </c>
      <c r="F313" s="1">
        <v>0.46</v>
      </c>
      <c r="G313" s="1">
        <v>0.22000000000000003</v>
      </c>
    </row>
    <row r="314" spans="1:7" x14ac:dyDescent="0.25">
      <c r="A314" s="1">
        <v>123</v>
      </c>
      <c r="B314" s="2">
        <v>3584400</v>
      </c>
      <c r="C314" s="3">
        <v>2.3E-2</v>
      </c>
      <c r="D314" s="4">
        <v>0.62</v>
      </c>
      <c r="E314" s="1">
        <v>0.32</v>
      </c>
      <c r="F314" s="1">
        <v>0.25</v>
      </c>
      <c r="G314" s="1">
        <v>0.43</v>
      </c>
    </row>
    <row r="315" spans="1:7" x14ac:dyDescent="0.25">
      <c r="A315" s="1">
        <v>144</v>
      </c>
      <c r="B315" s="2">
        <v>189194</v>
      </c>
      <c r="C315" s="3">
        <v>2.3E-2</v>
      </c>
      <c r="D315" s="4">
        <v>0.22</v>
      </c>
      <c r="E315" s="1">
        <v>0.31</v>
      </c>
      <c r="F315" s="1">
        <v>0.28000000000000003</v>
      </c>
      <c r="G315" s="1">
        <v>0.41</v>
      </c>
    </row>
    <row r="316" spans="1:7" x14ac:dyDescent="0.25">
      <c r="A316" s="1">
        <v>155</v>
      </c>
      <c r="B316" s="2">
        <v>338613</v>
      </c>
      <c r="C316" s="3">
        <v>2.3E-2</v>
      </c>
      <c r="D316" s="4">
        <v>0.28000000000000003</v>
      </c>
      <c r="E316" s="1">
        <v>0.34</v>
      </c>
      <c r="F316" s="1">
        <v>0.3</v>
      </c>
      <c r="G316" s="1">
        <v>0.35999999999999993</v>
      </c>
    </row>
    <row r="317" spans="1:7" x14ac:dyDescent="0.25">
      <c r="A317" s="1">
        <v>168</v>
      </c>
      <c r="B317" s="2">
        <v>250814</v>
      </c>
      <c r="C317" s="3">
        <v>2.3E-2</v>
      </c>
      <c r="D317" s="4">
        <v>0.26</v>
      </c>
      <c r="E317" s="1">
        <v>0.18</v>
      </c>
      <c r="F317" s="1">
        <v>0.35</v>
      </c>
      <c r="G317" s="1">
        <v>0.47000000000000003</v>
      </c>
    </row>
    <row r="318" spans="1:7" x14ac:dyDescent="0.25">
      <c r="A318" s="1">
        <v>170</v>
      </c>
      <c r="B318" s="2">
        <v>779000</v>
      </c>
      <c r="C318" s="3">
        <v>2.3E-2</v>
      </c>
      <c r="D318" s="4">
        <v>0.27</v>
      </c>
      <c r="E318" s="1">
        <v>0.35</v>
      </c>
      <c r="F318" s="1">
        <v>0.5</v>
      </c>
      <c r="G318" s="1">
        <v>0.15000000000000002</v>
      </c>
    </row>
    <row r="319" spans="1:7" x14ac:dyDescent="0.25">
      <c r="A319" s="1">
        <v>248</v>
      </c>
      <c r="B319" s="2">
        <v>160899</v>
      </c>
      <c r="C319" s="3">
        <v>2.3E-2</v>
      </c>
      <c r="D319" s="4">
        <v>0.2</v>
      </c>
      <c r="E319" s="1">
        <v>0.25</v>
      </c>
      <c r="F319" s="1">
        <v>0.46</v>
      </c>
      <c r="G319" s="1">
        <v>0.29000000000000004</v>
      </c>
    </row>
    <row r="320" spans="1:7" x14ac:dyDescent="0.25">
      <c r="A320" s="1">
        <v>284</v>
      </c>
      <c r="B320" s="2">
        <v>852871</v>
      </c>
      <c r="C320" s="3">
        <v>2.3E-2</v>
      </c>
      <c r="D320" s="4">
        <v>0.28000000000000003</v>
      </c>
      <c r="E320" s="1">
        <v>0.21</v>
      </c>
      <c r="F320" s="1">
        <v>0.4</v>
      </c>
      <c r="G320" s="1">
        <v>0.39</v>
      </c>
    </row>
    <row r="321" spans="1:7" x14ac:dyDescent="0.25">
      <c r="A321" s="1">
        <v>293</v>
      </c>
      <c r="B321" s="2">
        <v>160640</v>
      </c>
      <c r="C321" s="3">
        <v>2.3E-2</v>
      </c>
      <c r="D321" s="4">
        <v>0.4</v>
      </c>
      <c r="E321" s="1">
        <v>0.23</v>
      </c>
      <c r="F321" s="1">
        <v>0.47</v>
      </c>
      <c r="G321" s="1">
        <v>0.30000000000000004</v>
      </c>
    </row>
    <row r="322" spans="1:7" x14ac:dyDescent="0.25">
      <c r="A322" s="1">
        <v>295</v>
      </c>
      <c r="B322" s="2">
        <v>688559</v>
      </c>
      <c r="C322" s="3">
        <v>2.3E-2</v>
      </c>
      <c r="D322" s="4">
        <v>0.31</v>
      </c>
      <c r="E322" s="1">
        <v>0.37</v>
      </c>
      <c r="F322" s="1">
        <v>0.47</v>
      </c>
      <c r="G322" s="1">
        <v>0.16000000000000003</v>
      </c>
    </row>
    <row r="323" spans="1:7" x14ac:dyDescent="0.25">
      <c r="A323" s="1">
        <v>376</v>
      </c>
      <c r="B323" s="2">
        <v>881145</v>
      </c>
      <c r="C323" s="3">
        <v>2.3E-2</v>
      </c>
      <c r="D323" s="4">
        <v>0.4</v>
      </c>
      <c r="E323" s="1">
        <v>0.1</v>
      </c>
      <c r="F323" s="1">
        <v>0.38</v>
      </c>
      <c r="G323" s="1">
        <v>0.52</v>
      </c>
    </row>
    <row r="324" spans="1:7" x14ac:dyDescent="0.25">
      <c r="A324" s="1">
        <v>393</v>
      </c>
      <c r="B324" s="2">
        <v>799073</v>
      </c>
      <c r="C324" s="3">
        <v>2.3E-2</v>
      </c>
      <c r="D324" s="4">
        <v>0.25</v>
      </c>
      <c r="E324" s="1">
        <v>0.38</v>
      </c>
      <c r="F324" s="1">
        <v>0.48</v>
      </c>
      <c r="G324" s="1">
        <v>0.14000000000000001</v>
      </c>
    </row>
    <row r="325" spans="1:7" x14ac:dyDescent="0.25">
      <c r="A325" s="1">
        <v>399</v>
      </c>
      <c r="B325" s="2">
        <v>889945</v>
      </c>
      <c r="C325" s="3">
        <v>2.3E-2</v>
      </c>
      <c r="D325" s="4">
        <v>0.4</v>
      </c>
      <c r="E325" s="1">
        <v>0.37</v>
      </c>
      <c r="F325" s="1">
        <v>0.35</v>
      </c>
      <c r="G325" s="1">
        <v>0.28000000000000003</v>
      </c>
    </row>
    <row r="326" spans="1:7" x14ac:dyDescent="0.25">
      <c r="A326" s="1">
        <v>10</v>
      </c>
      <c r="B326" s="2">
        <v>2763920</v>
      </c>
      <c r="C326" s="3">
        <v>2.1999999999999999E-2</v>
      </c>
      <c r="D326" s="4">
        <v>0.79</v>
      </c>
      <c r="E326" s="1">
        <v>0.26</v>
      </c>
      <c r="F326" s="1">
        <v>0.28000000000000003</v>
      </c>
      <c r="G326" s="1">
        <v>0.45999999999999996</v>
      </c>
    </row>
    <row r="327" spans="1:7" x14ac:dyDescent="0.25">
      <c r="A327" s="1">
        <v>43</v>
      </c>
      <c r="B327" s="2">
        <v>1261379</v>
      </c>
      <c r="C327" s="3">
        <v>2.1999999999999999E-2</v>
      </c>
      <c r="D327" s="4">
        <v>0.75</v>
      </c>
      <c r="E327" s="1">
        <v>0.4</v>
      </c>
      <c r="F327" s="1">
        <v>0.46</v>
      </c>
      <c r="G327" s="1">
        <v>0.14000000000000001</v>
      </c>
    </row>
    <row r="328" spans="1:7" x14ac:dyDescent="0.25">
      <c r="A328" s="1">
        <v>46</v>
      </c>
      <c r="B328" s="2">
        <v>3396613</v>
      </c>
      <c r="C328" s="3">
        <v>2.1999999999999999E-2</v>
      </c>
      <c r="D328" s="4">
        <v>0.63</v>
      </c>
      <c r="E328" s="1">
        <v>0.22</v>
      </c>
      <c r="F328" s="1">
        <v>0.28000000000000003</v>
      </c>
      <c r="G328" s="1">
        <v>0.5</v>
      </c>
    </row>
    <row r="329" spans="1:7" x14ac:dyDescent="0.25">
      <c r="A329" s="1">
        <v>57</v>
      </c>
      <c r="B329" s="2">
        <v>3248445</v>
      </c>
      <c r="C329" s="3">
        <v>2.1999999999999999E-2</v>
      </c>
      <c r="D329" s="4">
        <v>0.72</v>
      </c>
      <c r="E329" s="1">
        <v>0.14000000000000001</v>
      </c>
      <c r="F329" s="1">
        <v>0.46</v>
      </c>
      <c r="G329" s="1">
        <v>0.4</v>
      </c>
    </row>
    <row r="330" spans="1:7" x14ac:dyDescent="0.25">
      <c r="A330" s="1">
        <v>91</v>
      </c>
      <c r="B330" s="2">
        <v>2879495</v>
      </c>
      <c r="C330" s="3">
        <v>2.1999999999999999E-2</v>
      </c>
      <c r="D330" s="4">
        <v>0.66</v>
      </c>
      <c r="E330" s="1">
        <v>0.28999999999999998</v>
      </c>
      <c r="F330" s="1">
        <v>0.39</v>
      </c>
      <c r="G330" s="1">
        <v>0.32</v>
      </c>
    </row>
    <row r="331" spans="1:7" x14ac:dyDescent="0.25">
      <c r="A331" s="1">
        <v>101</v>
      </c>
      <c r="B331" s="2">
        <v>2106679</v>
      </c>
      <c r="C331" s="3">
        <v>2.1999999999999999E-2</v>
      </c>
      <c r="D331" s="4">
        <v>0.66</v>
      </c>
      <c r="E331" s="1">
        <v>0.23</v>
      </c>
      <c r="F331" s="1">
        <v>0.21</v>
      </c>
      <c r="G331" s="1">
        <v>0.56000000000000005</v>
      </c>
    </row>
    <row r="332" spans="1:7" x14ac:dyDescent="0.25">
      <c r="A332" s="1">
        <v>117</v>
      </c>
      <c r="B332" s="2">
        <v>4666822</v>
      </c>
      <c r="C332" s="3">
        <v>2.1999999999999999E-2</v>
      </c>
      <c r="D332" s="4">
        <v>0.64</v>
      </c>
      <c r="E332" s="1">
        <v>0.15</v>
      </c>
      <c r="F332" s="1">
        <v>0.42</v>
      </c>
      <c r="G332" s="1">
        <v>0.43000000000000005</v>
      </c>
    </row>
    <row r="333" spans="1:7" x14ac:dyDescent="0.25">
      <c r="A333" s="1">
        <v>193</v>
      </c>
      <c r="B333" s="2">
        <v>803781</v>
      </c>
      <c r="C333" s="3">
        <v>2.1999999999999999E-2</v>
      </c>
      <c r="D333" s="4">
        <v>0.32</v>
      </c>
      <c r="E333" s="1">
        <v>0.31</v>
      </c>
      <c r="F333" s="1">
        <v>0.27</v>
      </c>
      <c r="G333" s="1">
        <v>0.42</v>
      </c>
    </row>
    <row r="334" spans="1:7" x14ac:dyDescent="0.25">
      <c r="A334" s="1">
        <v>351</v>
      </c>
      <c r="B334" s="2">
        <v>736783</v>
      </c>
      <c r="C334" s="3">
        <v>2.1999999999999999E-2</v>
      </c>
      <c r="D334" s="4">
        <v>0.25</v>
      </c>
      <c r="E334" s="1">
        <v>0.35</v>
      </c>
      <c r="F334" s="1">
        <v>0.34</v>
      </c>
      <c r="G334" s="1">
        <v>0.30999999999999994</v>
      </c>
    </row>
    <row r="335" spans="1:7" x14ac:dyDescent="0.25">
      <c r="A335" s="1">
        <v>41</v>
      </c>
      <c r="B335" s="2">
        <v>2947422</v>
      </c>
      <c r="C335" s="3">
        <v>2.1000000000000001E-2</v>
      </c>
      <c r="D335" s="4">
        <v>0.69</v>
      </c>
      <c r="E335" s="1">
        <v>0.31</v>
      </c>
      <c r="F335" s="1">
        <v>0.26</v>
      </c>
      <c r="G335" s="1">
        <v>0.43</v>
      </c>
    </row>
    <row r="336" spans="1:7" x14ac:dyDescent="0.25">
      <c r="A336" s="1">
        <v>42</v>
      </c>
      <c r="B336" s="2">
        <v>4542955</v>
      </c>
      <c r="C336" s="3">
        <v>2.1000000000000001E-2</v>
      </c>
      <c r="D336" s="4">
        <v>0.61</v>
      </c>
      <c r="E336" s="1">
        <v>0.16</v>
      </c>
      <c r="F336" s="1">
        <v>0.33</v>
      </c>
      <c r="G336" s="1">
        <v>0.5099999999999999</v>
      </c>
    </row>
    <row r="337" spans="1:7" x14ac:dyDescent="0.25">
      <c r="A337" s="1">
        <v>54</v>
      </c>
      <c r="B337" s="2">
        <v>4393020</v>
      </c>
      <c r="C337" s="3">
        <v>2.1000000000000001E-2</v>
      </c>
      <c r="D337" s="4">
        <v>0.75</v>
      </c>
      <c r="E337" s="1">
        <v>0.21</v>
      </c>
      <c r="F337" s="1">
        <v>0.43</v>
      </c>
      <c r="G337" s="1">
        <v>0.3600000000000001</v>
      </c>
    </row>
    <row r="338" spans="1:7" x14ac:dyDescent="0.25">
      <c r="A338" s="1">
        <v>62</v>
      </c>
      <c r="B338" s="2">
        <v>1636002</v>
      </c>
      <c r="C338" s="3">
        <v>2.1000000000000001E-2</v>
      </c>
      <c r="D338" s="4">
        <v>0.65</v>
      </c>
      <c r="E338" s="1">
        <v>0.13</v>
      </c>
      <c r="F338" s="1">
        <v>0.32</v>
      </c>
      <c r="G338" s="1">
        <v>0.54999999999999993</v>
      </c>
    </row>
    <row r="339" spans="1:7" x14ac:dyDescent="0.25">
      <c r="A339" s="1">
        <v>68</v>
      </c>
      <c r="B339" s="2">
        <v>4650787</v>
      </c>
      <c r="C339" s="3">
        <v>2.1000000000000001E-2</v>
      </c>
      <c r="D339" s="4">
        <v>0.6</v>
      </c>
      <c r="E339" s="1">
        <v>0.39</v>
      </c>
      <c r="F339" s="1">
        <v>0.49</v>
      </c>
      <c r="G339" s="1">
        <v>0.12</v>
      </c>
    </row>
    <row r="340" spans="1:7" x14ac:dyDescent="0.25">
      <c r="A340" s="1">
        <v>76</v>
      </c>
      <c r="B340" s="2">
        <v>2366233</v>
      </c>
      <c r="C340" s="3">
        <v>2.1000000000000001E-2</v>
      </c>
      <c r="D340" s="4">
        <v>0.77</v>
      </c>
      <c r="E340" s="1">
        <v>0.11</v>
      </c>
      <c r="F340" s="1">
        <v>0.38</v>
      </c>
      <c r="G340" s="1">
        <v>0.51</v>
      </c>
    </row>
    <row r="341" spans="1:7" x14ac:dyDescent="0.25">
      <c r="A341" s="1">
        <v>93</v>
      </c>
      <c r="B341" s="2">
        <v>4192902</v>
      </c>
      <c r="C341" s="3">
        <v>2.1000000000000001E-2</v>
      </c>
      <c r="D341" s="4">
        <v>0.64</v>
      </c>
      <c r="E341" s="1">
        <v>0.27</v>
      </c>
      <c r="F341" s="1">
        <v>0.31</v>
      </c>
      <c r="G341" s="1">
        <v>0.41999999999999993</v>
      </c>
    </row>
    <row r="342" spans="1:7" x14ac:dyDescent="0.25">
      <c r="A342" s="1">
        <v>100</v>
      </c>
      <c r="B342" s="2">
        <v>3761528</v>
      </c>
      <c r="C342" s="3">
        <v>2.1000000000000001E-2</v>
      </c>
      <c r="D342" s="4">
        <v>0.64</v>
      </c>
      <c r="E342" s="1">
        <v>0.23</v>
      </c>
      <c r="F342" s="1">
        <v>0.42</v>
      </c>
      <c r="G342" s="1">
        <v>0.35000000000000009</v>
      </c>
    </row>
    <row r="343" spans="1:7" x14ac:dyDescent="0.25">
      <c r="A343" s="1">
        <v>191</v>
      </c>
      <c r="B343" s="2">
        <v>339643</v>
      </c>
      <c r="C343" s="3">
        <v>2.1000000000000001E-2</v>
      </c>
      <c r="D343" s="4">
        <v>0.27</v>
      </c>
      <c r="E343" s="1">
        <v>0.34</v>
      </c>
      <c r="F343" s="1">
        <v>0.28999999999999998</v>
      </c>
      <c r="G343" s="1">
        <v>0.36999999999999994</v>
      </c>
    </row>
    <row r="344" spans="1:7" x14ac:dyDescent="0.25">
      <c r="A344" s="1">
        <v>206</v>
      </c>
      <c r="B344" s="2">
        <v>569929</v>
      </c>
      <c r="C344" s="3">
        <v>2.1000000000000001E-2</v>
      </c>
      <c r="D344" s="4">
        <v>0.28999999999999998</v>
      </c>
      <c r="E344" s="1">
        <v>0.33</v>
      </c>
      <c r="F344" s="1">
        <v>0.31</v>
      </c>
      <c r="G344" s="1">
        <v>0.35999999999999993</v>
      </c>
    </row>
    <row r="345" spans="1:7" x14ac:dyDescent="0.25">
      <c r="A345" s="1">
        <v>213</v>
      </c>
      <c r="B345" s="2">
        <v>261839</v>
      </c>
      <c r="C345" s="3">
        <v>2.1000000000000001E-2</v>
      </c>
      <c r="D345" s="4">
        <v>0.28000000000000003</v>
      </c>
      <c r="E345" s="1">
        <v>0.15</v>
      </c>
      <c r="F345" s="1">
        <v>0.5</v>
      </c>
      <c r="G345" s="1">
        <v>0.35</v>
      </c>
    </row>
    <row r="346" spans="1:7" x14ac:dyDescent="0.25">
      <c r="A346" s="1">
        <v>253</v>
      </c>
      <c r="B346" s="2">
        <v>202790</v>
      </c>
      <c r="C346" s="3">
        <v>2.1000000000000001E-2</v>
      </c>
      <c r="D346" s="4">
        <v>0.39</v>
      </c>
      <c r="E346" s="1">
        <v>0.31</v>
      </c>
      <c r="F346" s="1">
        <v>0.36</v>
      </c>
      <c r="G346" s="1">
        <v>0.33</v>
      </c>
    </row>
    <row r="347" spans="1:7" x14ac:dyDescent="0.25">
      <c r="A347" s="1">
        <v>254</v>
      </c>
      <c r="B347" s="2">
        <v>198913</v>
      </c>
      <c r="C347" s="3">
        <v>2.1000000000000001E-2</v>
      </c>
      <c r="D347" s="4">
        <v>0.34</v>
      </c>
      <c r="E347" s="1">
        <v>0.11</v>
      </c>
      <c r="F347" s="1">
        <v>0.25</v>
      </c>
      <c r="G347" s="1">
        <v>0.64</v>
      </c>
    </row>
    <row r="348" spans="1:7" x14ac:dyDescent="0.25">
      <c r="A348" s="1">
        <v>349</v>
      </c>
      <c r="B348" s="2">
        <v>197365</v>
      </c>
      <c r="C348" s="3">
        <v>2.1000000000000001E-2</v>
      </c>
      <c r="D348" s="4">
        <v>0.2</v>
      </c>
      <c r="E348" s="1">
        <v>0.37</v>
      </c>
      <c r="F348" s="1">
        <v>0.24</v>
      </c>
      <c r="G348" s="1">
        <v>0.39</v>
      </c>
    </row>
    <row r="349" spans="1:7" x14ac:dyDescent="0.25">
      <c r="A349" s="1">
        <v>387</v>
      </c>
      <c r="B349" s="2">
        <v>850438</v>
      </c>
      <c r="C349" s="3">
        <v>2.1000000000000001E-2</v>
      </c>
      <c r="D349" s="4">
        <v>0.34</v>
      </c>
      <c r="E349" s="1">
        <v>0.17</v>
      </c>
      <c r="F349" s="1">
        <v>0.37</v>
      </c>
      <c r="G349" s="1">
        <v>0.45999999999999996</v>
      </c>
    </row>
    <row r="350" spans="1:7" x14ac:dyDescent="0.25">
      <c r="A350" s="1">
        <v>427</v>
      </c>
      <c r="B350" s="2">
        <v>787329</v>
      </c>
      <c r="C350" s="3">
        <v>2.1000000000000001E-2</v>
      </c>
      <c r="D350" s="4">
        <v>0.39</v>
      </c>
      <c r="E350" s="1">
        <v>0.17</v>
      </c>
      <c r="F350" s="1">
        <v>0.39</v>
      </c>
      <c r="G350" s="1">
        <v>0.43999999999999995</v>
      </c>
    </row>
    <row r="351" spans="1:7" x14ac:dyDescent="0.25">
      <c r="A351" s="1">
        <v>31</v>
      </c>
      <c r="B351" s="2">
        <v>3143668</v>
      </c>
      <c r="C351" s="3">
        <v>0.02</v>
      </c>
      <c r="D351" s="4">
        <v>0.63</v>
      </c>
      <c r="E351" s="1">
        <v>0.31</v>
      </c>
      <c r="F351" s="1">
        <v>0.36</v>
      </c>
      <c r="G351" s="1">
        <v>0.33</v>
      </c>
    </row>
    <row r="352" spans="1:7" x14ac:dyDescent="0.25">
      <c r="A352" s="1">
        <v>112</v>
      </c>
      <c r="B352" s="2">
        <v>4859813</v>
      </c>
      <c r="C352" s="3">
        <v>0.02</v>
      </c>
      <c r="D352" s="4">
        <v>0.74</v>
      </c>
      <c r="E352" s="1">
        <v>0.28000000000000003</v>
      </c>
      <c r="F352" s="1">
        <v>0.49</v>
      </c>
      <c r="G352" s="1">
        <v>0.22999999999999998</v>
      </c>
    </row>
    <row r="353" spans="1:7" x14ac:dyDescent="0.25">
      <c r="A353" s="1">
        <v>120</v>
      </c>
      <c r="B353" s="2">
        <v>1798115</v>
      </c>
      <c r="C353" s="3">
        <v>0.02</v>
      </c>
      <c r="D353" s="4">
        <v>0.64</v>
      </c>
      <c r="E353" s="1">
        <v>0.3</v>
      </c>
      <c r="F353" s="1">
        <v>0.38</v>
      </c>
      <c r="G353" s="1">
        <v>0.32</v>
      </c>
    </row>
    <row r="354" spans="1:7" x14ac:dyDescent="0.25">
      <c r="A354" s="1">
        <v>172</v>
      </c>
      <c r="B354" s="2">
        <v>227400</v>
      </c>
      <c r="C354" s="3">
        <v>0.02</v>
      </c>
      <c r="D354" s="4">
        <v>0.39</v>
      </c>
      <c r="E354" s="1">
        <v>0.12</v>
      </c>
      <c r="F354" s="1">
        <v>0.38</v>
      </c>
      <c r="G354" s="1">
        <v>0.5</v>
      </c>
    </row>
    <row r="355" spans="1:7" x14ac:dyDescent="0.25">
      <c r="A355" s="1">
        <v>196</v>
      </c>
      <c r="B355" s="2">
        <v>767750</v>
      </c>
      <c r="C355" s="3">
        <v>0.02</v>
      </c>
      <c r="D355" s="4">
        <v>0.25</v>
      </c>
      <c r="E355" s="1">
        <v>0.26</v>
      </c>
      <c r="F355" s="1">
        <v>0.36</v>
      </c>
      <c r="G355" s="1">
        <v>0.38</v>
      </c>
    </row>
    <row r="356" spans="1:7" x14ac:dyDescent="0.25">
      <c r="A356" s="1">
        <v>215</v>
      </c>
      <c r="B356" s="2">
        <v>233993</v>
      </c>
      <c r="C356" s="3">
        <v>0.02</v>
      </c>
      <c r="D356" s="4">
        <v>0.32</v>
      </c>
      <c r="E356" s="1">
        <v>0.27</v>
      </c>
      <c r="F356" s="1">
        <v>0.21</v>
      </c>
      <c r="G356" s="1">
        <v>0.52</v>
      </c>
    </row>
    <row r="357" spans="1:7" x14ac:dyDescent="0.25">
      <c r="A357" s="1">
        <v>242</v>
      </c>
      <c r="B357" s="2">
        <v>611485</v>
      </c>
      <c r="C357" s="3">
        <v>0.02</v>
      </c>
      <c r="D357" s="4">
        <v>0.28000000000000003</v>
      </c>
      <c r="E357" s="1">
        <v>0.22</v>
      </c>
      <c r="F357" s="1">
        <v>0.21</v>
      </c>
      <c r="G357" s="1">
        <v>0.57000000000000006</v>
      </c>
    </row>
    <row r="358" spans="1:7" x14ac:dyDescent="0.25">
      <c r="A358" s="1">
        <v>257</v>
      </c>
      <c r="B358" s="2">
        <v>713036</v>
      </c>
      <c r="C358" s="3">
        <v>0.02</v>
      </c>
      <c r="D358" s="4">
        <v>0.32</v>
      </c>
      <c r="E358" s="1">
        <v>0.22</v>
      </c>
      <c r="F358" s="1">
        <v>0.27</v>
      </c>
      <c r="G358" s="1">
        <v>0.51</v>
      </c>
    </row>
    <row r="359" spans="1:7" x14ac:dyDescent="0.25">
      <c r="A359" s="1">
        <v>269</v>
      </c>
      <c r="B359" s="2">
        <v>112122</v>
      </c>
      <c r="C359" s="3">
        <v>0.02</v>
      </c>
      <c r="D359" s="4">
        <v>0.22</v>
      </c>
      <c r="E359" s="1">
        <v>0.31</v>
      </c>
      <c r="F359" s="1">
        <v>0.39</v>
      </c>
      <c r="G359" s="1">
        <v>0.3</v>
      </c>
    </row>
    <row r="360" spans="1:7" x14ac:dyDescent="0.25">
      <c r="A360" s="1">
        <v>308</v>
      </c>
      <c r="B360" s="2">
        <v>493212</v>
      </c>
      <c r="C360" s="3">
        <v>0.02</v>
      </c>
      <c r="D360" s="4">
        <v>0.39</v>
      </c>
      <c r="E360" s="1">
        <v>0.12</v>
      </c>
      <c r="F360" s="1">
        <v>0.5</v>
      </c>
      <c r="G360" s="1">
        <v>0.38</v>
      </c>
    </row>
    <row r="361" spans="1:7" x14ac:dyDescent="0.25">
      <c r="A361" s="1">
        <v>318</v>
      </c>
      <c r="B361" s="2">
        <v>880727</v>
      </c>
      <c r="C361" s="3">
        <v>0.02</v>
      </c>
      <c r="D361" s="4">
        <v>0.31</v>
      </c>
      <c r="E361" s="1">
        <v>0.36</v>
      </c>
      <c r="F361" s="1">
        <v>0.28999999999999998</v>
      </c>
      <c r="G361" s="1">
        <v>0.35</v>
      </c>
    </row>
    <row r="362" spans="1:7" x14ac:dyDescent="0.25">
      <c r="A362" s="1">
        <v>328</v>
      </c>
      <c r="B362" s="2">
        <v>759265</v>
      </c>
      <c r="C362" s="3">
        <v>0.02</v>
      </c>
      <c r="D362" s="4">
        <v>0.38</v>
      </c>
      <c r="E362" s="1">
        <v>0.15</v>
      </c>
      <c r="F362" s="1">
        <v>0.44</v>
      </c>
      <c r="G362" s="1">
        <v>0.41000000000000003</v>
      </c>
    </row>
    <row r="363" spans="1:7" x14ac:dyDescent="0.25">
      <c r="A363" s="1">
        <v>340</v>
      </c>
      <c r="B363" s="2">
        <v>359909</v>
      </c>
      <c r="C363" s="3">
        <v>0.02</v>
      </c>
      <c r="D363" s="4">
        <v>0.3</v>
      </c>
      <c r="E363" s="1">
        <v>0.22</v>
      </c>
      <c r="F363" s="1">
        <v>0.47</v>
      </c>
      <c r="G363" s="1">
        <v>0.31000000000000005</v>
      </c>
    </row>
    <row r="364" spans="1:7" x14ac:dyDescent="0.25">
      <c r="A364" s="1">
        <v>372</v>
      </c>
      <c r="B364" s="2">
        <v>377839</v>
      </c>
      <c r="C364" s="3">
        <v>0.02</v>
      </c>
      <c r="D364" s="4">
        <v>0.21</v>
      </c>
      <c r="E364" s="1">
        <v>0.39</v>
      </c>
      <c r="F364" s="1">
        <v>0.34</v>
      </c>
      <c r="G364" s="1">
        <v>0.26999999999999991</v>
      </c>
    </row>
    <row r="365" spans="1:7" x14ac:dyDescent="0.25">
      <c r="A365" s="1">
        <v>380</v>
      </c>
      <c r="B365" s="2">
        <v>112949</v>
      </c>
      <c r="C365" s="3">
        <v>0.02</v>
      </c>
      <c r="D365" s="4">
        <v>0.25</v>
      </c>
      <c r="E365" s="1">
        <v>0.26</v>
      </c>
      <c r="F365" s="1">
        <v>0.2</v>
      </c>
      <c r="G365" s="1">
        <v>0.54</v>
      </c>
    </row>
    <row r="366" spans="1:7" x14ac:dyDescent="0.25">
      <c r="A366" s="1">
        <v>384</v>
      </c>
      <c r="B366" s="2">
        <v>629176</v>
      </c>
      <c r="C366" s="3">
        <v>0.02</v>
      </c>
      <c r="D366" s="4">
        <v>0.25</v>
      </c>
      <c r="E366" s="1">
        <v>0.11</v>
      </c>
      <c r="F366" s="1">
        <v>0.3</v>
      </c>
      <c r="G366" s="1">
        <v>0.59</v>
      </c>
    </row>
    <row r="367" spans="1:7" x14ac:dyDescent="0.25">
      <c r="A367" s="1">
        <v>400</v>
      </c>
      <c r="B367" s="2">
        <v>324993</v>
      </c>
      <c r="C367" s="3">
        <v>0.02</v>
      </c>
      <c r="D367" s="4">
        <v>0.25</v>
      </c>
      <c r="E367" s="1">
        <v>0.1</v>
      </c>
      <c r="F367" s="1">
        <v>0.5</v>
      </c>
      <c r="G367" s="1">
        <v>0.4</v>
      </c>
    </row>
    <row r="368" spans="1:7" x14ac:dyDescent="0.25">
      <c r="A368" s="1">
        <v>134</v>
      </c>
      <c r="B368" s="2">
        <v>532243</v>
      </c>
      <c r="C368" s="3">
        <v>1.9E-2</v>
      </c>
      <c r="D368" s="4">
        <v>0.37</v>
      </c>
      <c r="E368" s="1">
        <v>0.11</v>
      </c>
      <c r="F368" s="1">
        <v>0.35</v>
      </c>
      <c r="G368" s="1">
        <v>0.54</v>
      </c>
    </row>
    <row r="369" spans="1:7" x14ac:dyDescent="0.25">
      <c r="A369" s="1">
        <v>136</v>
      </c>
      <c r="B369" s="2">
        <v>651723</v>
      </c>
      <c r="C369" s="3">
        <v>1.9E-2</v>
      </c>
      <c r="D369" s="4">
        <v>0.4</v>
      </c>
      <c r="E369" s="1">
        <v>0.34</v>
      </c>
      <c r="F369" s="1">
        <v>0.42</v>
      </c>
      <c r="G369" s="1">
        <v>0.24000000000000005</v>
      </c>
    </row>
    <row r="370" spans="1:7" x14ac:dyDescent="0.25">
      <c r="A370" s="1">
        <v>212</v>
      </c>
      <c r="B370" s="2">
        <v>480829</v>
      </c>
      <c r="C370" s="3">
        <v>1.9E-2</v>
      </c>
      <c r="D370" s="4">
        <v>0.23</v>
      </c>
      <c r="E370" s="1">
        <v>0.12</v>
      </c>
      <c r="F370" s="1">
        <v>0.48</v>
      </c>
      <c r="G370" s="1">
        <v>0.4</v>
      </c>
    </row>
    <row r="371" spans="1:7" x14ac:dyDescent="0.25">
      <c r="A371" s="1">
        <v>219</v>
      </c>
      <c r="B371" s="2">
        <v>858042</v>
      </c>
      <c r="C371" s="3">
        <v>1.9E-2</v>
      </c>
      <c r="D371" s="4">
        <v>0.4</v>
      </c>
      <c r="E371" s="1">
        <v>0.35</v>
      </c>
      <c r="F371" s="1">
        <v>0.4</v>
      </c>
      <c r="G371" s="1">
        <v>0.25</v>
      </c>
    </row>
    <row r="372" spans="1:7" x14ac:dyDescent="0.25">
      <c r="A372" s="1">
        <v>238</v>
      </c>
      <c r="B372" s="2">
        <v>875857</v>
      </c>
      <c r="C372" s="3">
        <v>1.9E-2</v>
      </c>
      <c r="D372" s="4">
        <v>0.4</v>
      </c>
      <c r="E372" s="1">
        <v>0.15</v>
      </c>
      <c r="F372" s="1">
        <v>0.26</v>
      </c>
      <c r="G372" s="1">
        <v>0.59</v>
      </c>
    </row>
    <row r="373" spans="1:7" x14ac:dyDescent="0.25">
      <c r="A373" s="1">
        <v>263</v>
      </c>
      <c r="B373" s="2">
        <v>197919</v>
      </c>
      <c r="C373" s="3">
        <v>1.9E-2</v>
      </c>
      <c r="D373" s="4">
        <v>0.4</v>
      </c>
      <c r="E373" s="1">
        <v>0.26</v>
      </c>
      <c r="F373" s="1">
        <v>0.49</v>
      </c>
      <c r="G373" s="1">
        <v>0.25</v>
      </c>
    </row>
    <row r="374" spans="1:7" x14ac:dyDescent="0.25">
      <c r="A374" s="1">
        <v>266</v>
      </c>
      <c r="B374" s="2">
        <v>373354</v>
      </c>
      <c r="C374" s="3">
        <v>1.9E-2</v>
      </c>
      <c r="D374" s="4">
        <v>0.4</v>
      </c>
      <c r="E374" s="1">
        <v>0.39</v>
      </c>
      <c r="F374" s="1">
        <v>0.23</v>
      </c>
      <c r="G374" s="1">
        <v>0.38</v>
      </c>
    </row>
    <row r="375" spans="1:7" x14ac:dyDescent="0.25">
      <c r="A375" s="1">
        <v>323</v>
      </c>
      <c r="B375" s="2">
        <v>837748</v>
      </c>
      <c r="C375" s="3">
        <v>1.9E-2</v>
      </c>
      <c r="D375" s="4">
        <v>0.26</v>
      </c>
      <c r="E375" s="1">
        <v>0.24</v>
      </c>
      <c r="F375" s="1">
        <v>0.34</v>
      </c>
      <c r="G375" s="1">
        <v>0.41999999999999993</v>
      </c>
    </row>
    <row r="376" spans="1:7" x14ac:dyDescent="0.25">
      <c r="A376" s="1">
        <v>332</v>
      </c>
      <c r="B376" s="2">
        <v>276468</v>
      </c>
      <c r="C376" s="3">
        <v>1.9E-2</v>
      </c>
      <c r="D376" s="4">
        <v>0.28000000000000003</v>
      </c>
      <c r="E376" s="1">
        <v>0.26</v>
      </c>
      <c r="F376" s="1">
        <v>0.33</v>
      </c>
      <c r="G376" s="1">
        <v>0.40999999999999992</v>
      </c>
    </row>
    <row r="377" spans="1:7" x14ac:dyDescent="0.25">
      <c r="A377" s="1">
        <v>431</v>
      </c>
      <c r="B377" s="2">
        <v>680912</v>
      </c>
      <c r="C377" s="3">
        <v>1.9E-2</v>
      </c>
      <c r="D377" s="4">
        <v>0.28999999999999998</v>
      </c>
      <c r="E377" s="1">
        <v>0.37</v>
      </c>
      <c r="F377" s="1">
        <v>0.2</v>
      </c>
      <c r="G377" s="1">
        <v>0.43000000000000005</v>
      </c>
    </row>
    <row r="378" spans="1:7" x14ac:dyDescent="0.25">
      <c r="A378" s="1">
        <v>128</v>
      </c>
      <c r="B378" s="2">
        <v>810303</v>
      </c>
      <c r="C378" s="3">
        <v>1.7999999999999999E-2</v>
      </c>
      <c r="D378" s="4">
        <v>0.35</v>
      </c>
      <c r="E378" s="1">
        <v>0.31</v>
      </c>
      <c r="F378" s="1">
        <v>0.35</v>
      </c>
      <c r="G378" s="1">
        <v>0.34</v>
      </c>
    </row>
    <row r="379" spans="1:7" x14ac:dyDescent="0.25">
      <c r="A379" s="1">
        <v>133</v>
      </c>
      <c r="B379" s="2">
        <v>863223</v>
      </c>
      <c r="C379" s="3">
        <v>1.7999999999999999E-2</v>
      </c>
      <c r="D379" s="4">
        <v>0.27</v>
      </c>
      <c r="E379" s="1">
        <v>0.22</v>
      </c>
      <c r="F379" s="1">
        <v>0.45</v>
      </c>
      <c r="G379" s="1">
        <v>0.33000000000000007</v>
      </c>
    </row>
    <row r="380" spans="1:7" x14ac:dyDescent="0.25">
      <c r="A380" s="1">
        <v>181</v>
      </c>
      <c r="B380" s="2">
        <v>668103</v>
      </c>
      <c r="C380" s="3">
        <v>1.7999999999999999E-2</v>
      </c>
      <c r="D380" s="4">
        <v>0.2</v>
      </c>
      <c r="E380" s="1">
        <v>0.21</v>
      </c>
      <c r="F380" s="1">
        <v>0.28999999999999998</v>
      </c>
      <c r="G380" s="1">
        <v>0.5</v>
      </c>
    </row>
    <row r="381" spans="1:7" x14ac:dyDescent="0.25">
      <c r="A381" s="1">
        <v>296</v>
      </c>
      <c r="B381" s="2">
        <v>360546</v>
      </c>
      <c r="C381" s="3">
        <v>1.7999999999999999E-2</v>
      </c>
      <c r="D381" s="4">
        <v>0.24</v>
      </c>
      <c r="E381" s="1">
        <v>0.25</v>
      </c>
      <c r="F381" s="1">
        <v>0.45</v>
      </c>
      <c r="G381" s="1">
        <v>0.30000000000000004</v>
      </c>
    </row>
    <row r="382" spans="1:7" x14ac:dyDescent="0.25">
      <c r="A382" s="1">
        <v>305</v>
      </c>
      <c r="B382" s="2">
        <v>422226</v>
      </c>
      <c r="C382" s="3">
        <v>1.7999999999999999E-2</v>
      </c>
      <c r="D382" s="4">
        <v>0.35</v>
      </c>
      <c r="E382" s="1">
        <v>0.15</v>
      </c>
      <c r="F382" s="1">
        <v>0.37</v>
      </c>
      <c r="G382" s="1">
        <v>0.48</v>
      </c>
    </row>
    <row r="383" spans="1:7" x14ac:dyDescent="0.25">
      <c r="A383" s="1">
        <v>373</v>
      </c>
      <c r="B383" s="2">
        <v>394686</v>
      </c>
      <c r="C383" s="3">
        <v>1.7999999999999999E-2</v>
      </c>
      <c r="D383" s="4">
        <v>0.23</v>
      </c>
      <c r="E383" s="1">
        <v>0.38</v>
      </c>
      <c r="F383" s="1">
        <v>0.33</v>
      </c>
      <c r="G383" s="1">
        <v>0.28999999999999992</v>
      </c>
    </row>
    <row r="384" spans="1:7" x14ac:dyDescent="0.25">
      <c r="A384" s="1">
        <v>131</v>
      </c>
      <c r="B384" s="2">
        <v>702725</v>
      </c>
      <c r="C384" s="3">
        <v>1.7000000000000001E-2</v>
      </c>
      <c r="D384" s="4">
        <v>0.21</v>
      </c>
      <c r="E384" s="1">
        <v>0.33</v>
      </c>
      <c r="F384" s="1">
        <v>0.26</v>
      </c>
      <c r="G384" s="1">
        <v>0.41</v>
      </c>
    </row>
    <row r="385" spans="1:7" x14ac:dyDescent="0.25">
      <c r="A385" s="1">
        <v>162</v>
      </c>
      <c r="B385" s="2">
        <v>545744</v>
      </c>
      <c r="C385" s="3">
        <v>1.7000000000000001E-2</v>
      </c>
      <c r="D385" s="4">
        <v>0.2</v>
      </c>
      <c r="E385" s="1">
        <v>0.31</v>
      </c>
      <c r="F385" s="1">
        <v>0.35</v>
      </c>
      <c r="G385" s="1">
        <v>0.34</v>
      </c>
    </row>
    <row r="386" spans="1:7" x14ac:dyDescent="0.25">
      <c r="A386" s="1">
        <v>200</v>
      </c>
      <c r="B386" s="2">
        <v>299096</v>
      </c>
      <c r="C386" s="3">
        <v>1.7000000000000001E-2</v>
      </c>
      <c r="D386" s="4">
        <v>0.4</v>
      </c>
      <c r="E386" s="1">
        <v>0.12</v>
      </c>
      <c r="F386" s="1">
        <v>0.49</v>
      </c>
      <c r="G386" s="1">
        <v>0.39</v>
      </c>
    </row>
    <row r="387" spans="1:7" x14ac:dyDescent="0.25">
      <c r="A387" s="1">
        <v>256</v>
      </c>
      <c r="B387" s="2">
        <v>772219</v>
      </c>
      <c r="C387" s="3">
        <v>1.7000000000000001E-2</v>
      </c>
      <c r="D387" s="4">
        <v>0.35</v>
      </c>
      <c r="E387" s="1">
        <v>0.19</v>
      </c>
      <c r="F387" s="1">
        <v>0.23</v>
      </c>
      <c r="G387" s="1">
        <v>0.58000000000000007</v>
      </c>
    </row>
    <row r="388" spans="1:7" x14ac:dyDescent="0.25">
      <c r="A388" s="1">
        <v>324</v>
      </c>
      <c r="B388" s="2">
        <v>624579</v>
      </c>
      <c r="C388" s="3">
        <v>1.7000000000000001E-2</v>
      </c>
      <c r="D388" s="4">
        <v>0.27</v>
      </c>
      <c r="E388" s="1">
        <v>0.28999999999999998</v>
      </c>
      <c r="F388" s="1">
        <v>0.43</v>
      </c>
      <c r="G388" s="1">
        <v>0.28000000000000008</v>
      </c>
    </row>
    <row r="389" spans="1:7" x14ac:dyDescent="0.25">
      <c r="A389" s="1">
        <v>326</v>
      </c>
      <c r="B389" s="2">
        <v>119029</v>
      </c>
      <c r="C389" s="3">
        <v>1.7000000000000001E-2</v>
      </c>
      <c r="D389" s="4">
        <v>0.37</v>
      </c>
      <c r="E389" s="1">
        <v>0.37</v>
      </c>
      <c r="F389" s="1">
        <v>0.48</v>
      </c>
      <c r="G389" s="1">
        <v>0.15000000000000002</v>
      </c>
    </row>
    <row r="390" spans="1:7" x14ac:dyDescent="0.25">
      <c r="A390" s="1">
        <v>350</v>
      </c>
      <c r="B390" s="2">
        <v>364649</v>
      </c>
      <c r="C390" s="3">
        <v>1.7000000000000001E-2</v>
      </c>
      <c r="D390" s="4">
        <v>0.37</v>
      </c>
      <c r="E390" s="1">
        <v>0.36</v>
      </c>
      <c r="F390" s="1">
        <v>0.28000000000000003</v>
      </c>
      <c r="G390" s="1">
        <v>0.36</v>
      </c>
    </row>
    <row r="391" spans="1:7" x14ac:dyDescent="0.25">
      <c r="A391" s="1">
        <v>397</v>
      </c>
      <c r="B391" s="2">
        <v>835080</v>
      </c>
      <c r="C391" s="3">
        <v>1.7000000000000001E-2</v>
      </c>
      <c r="D391" s="4">
        <v>0.27</v>
      </c>
      <c r="E391" s="1">
        <v>0.28000000000000003</v>
      </c>
      <c r="F391" s="1">
        <v>0.43</v>
      </c>
      <c r="G391" s="1">
        <v>0.29000000000000004</v>
      </c>
    </row>
    <row r="392" spans="1:7" x14ac:dyDescent="0.25">
      <c r="A392" s="1">
        <v>214</v>
      </c>
      <c r="B392" s="2">
        <v>294138</v>
      </c>
      <c r="C392" s="3">
        <v>1.6E-2</v>
      </c>
      <c r="D392" s="4">
        <v>0.2</v>
      </c>
      <c r="E392" s="1">
        <v>0.2</v>
      </c>
      <c r="F392" s="1">
        <v>0.46</v>
      </c>
      <c r="G392" s="1">
        <v>0.34</v>
      </c>
    </row>
    <row r="393" spans="1:7" x14ac:dyDescent="0.25">
      <c r="A393" s="1">
        <v>301</v>
      </c>
      <c r="B393" s="2">
        <v>850794</v>
      </c>
      <c r="C393" s="3">
        <v>1.6E-2</v>
      </c>
      <c r="D393" s="4">
        <v>0.3</v>
      </c>
      <c r="E393" s="1">
        <v>0.24</v>
      </c>
      <c r="F393" s="1">
        <v>0.24</v>
      </c>
      <c r="G393" s="1">
        <v>0.52</v>
      </c>
    </row>
    <row r="394" spans="1:7" x14ac:dyDescent="0.25">
      <c r="A394" s="1">
        <v>315</v>
      </c>
      <c r="B394" s="2">
        <v>375639</v>
      </c>
      <c r="C394" s="3">
        <v>1.6E-2</v>
      </c>
      <c r="D394" s="4">
        <v>0.25</v>
      </c>
      <c r="E394" s="1">
        <v>0.17</v>
      </c>
      <c r="F394" s="1">
        <v>0.26</v>
      </c>
      <c r="G394" s="1">
        <v>0.56999999999999995</v>
      </c>
    </row>
    <row r="395" spans="1:7" x14ac:dyDescent="0.25">
      <c r="A395" s="1">
        <v>342</v>
      </c>
      <c r="B395" s="2">
        <v>346618</v>
      </c>
      <c r="C395" s="3">
        <v>1.6E-2</v>
      </c>
      <c r="D395" s="4">
        <v>0.2</v>
      </c>
      <c r="E395" s="1">
        <v>0.36</v>
      </c>
      <c r="F395" s="1">
        <v>0.22</v>
      </c>
      <c r="G395" s="1">
        <v>0.42000000000000004</v>
      </c>
    </row>
    <row r="396" spans="1:7" x14ac:dyDescent="0.25">
      <c r="A396" s="1">
        <v>227</v>
      </c>
      <c r="B396" s="2">
        <v>743941</v>
      </c>
      <c r="C396" s="3">
        <v>1.4999999999999999E-2</v>
      </c>
      <c r="D396" s="4">
        <v>0.2</v>
      </c>
      <c r="E396" s="1">
        <v>0.33</v>
      </c>
      <c r="F396" s="1">
        <v>0.22</v>
      </c>
      <c r="G396" s="1">
        <v>0.45</v>
      </c>
    </row>
    <row r="397" spans="1:7" x14ac:dyDescent="0.25">
      <c r="A397" s="1">
        <v>277</v>
      </c>
      <c r="B397" s="2">
        <v>853148</v>
      </c>
      <c r="C397" s="3">
        <v>1.4999999999999999E-2</v>
      </c>
      <c r="D397" s="4">
        <v>0.21</v>
      </c>
      <c r="E397" s="1">
        <v>0.32</v>
      </c>
      <c r="F397" s="1">
        <v>0.2</v>
      </c>
      <c r="G397" s="1">
        <v>0.48000000000000004</v>
      </c>
    </row>
    <row r="398" spans="1:7" x14ac:dyDescent="0.25">
      <c r="A398" s="1">
        <v>299</v>
      </c>
      <c r="B398" s="2">
        <v>816742</v>
      </c>
      <c r="C398" s="3">
        <v>1.4999999999999999E-2</v>
      </c>
      <c r="D398" s="4">
        <v>0.26</v>
      </c>
      <c r="E398" s="1">
        <v>0.11</v>
      </c>
      <c r="F398" s="1">
        <v>0.37</v>
      </c>
      <c r="G398" s="1">
        <v>0.52</v>
      </c>
    </row>
    <row r="399" spans="1:7" x14ac:dyDescent="0.25">
      <c r="A399" s="1">
        <v>347</v>
      </c>
      <c r="B399" s="2">
        <v>877032</v>
      </c>
      <c r="C399" s="3">
        <v>1.4999999999999999E-2</v>
      </c>
      <c r="D399" s="4">
        <v>0.32</v>
      </c>
      <c r="E399" s="1">
        <v>0.3</v>
      </c>
      <c r="F399" s="1">
        <v>0.23</v>
      </c>
      <c r="G399" s="1">
        <v>0.47000000000000003</v>
      </c>
    </row>
    <row r="400" spans="1:7" x14ac:dyDescent="0.25">
      <c r="A400" s="1">
        <v>352</v>
      </c>
      <c r="B400" s="2">
        <v>259805</v>
      </c>
      <c r="C400" s="3">
        <v>1.4999999999999999E-2</v>
      </c>
      <c r="D400" s="4">
        <v>0.34</v>
      </c>
      <c r="E400" s="1">
        <v>0.39</v>
      </c>
      <c r="F400" s="1">
        <v>0.39</v>
      </c>
      <c r="G400" s="1">
        <v>0.21999999999999997</v>
      </c>
    </row>
    <row r="401" spans="1:7" x14ac:dyDescent="0.25">
      <c r="A401" s="1">
        <v>382</v>
      </c>
      <c r="B401" s="2">
        <v>611344</v>
      </c>
      <c r="C401" s="3">
        <v>1.4999999999999999E-2</v>
      </c>
      <c r="D401" s="4">
        <v>0.23</v>
      </c>
      <c r="E401" s="1">
        <v>0.21</v>
      </c>
      <c r="F401" s="1">
        <v>0.28999999999999998</v>
      </c>
      <c r="G401" s="1">
        <v>0.5</v>
      </c>
    </row>
    <row r="402" spans="1:7" x14ac:dyDescent="0.25">
      <c r="A402" s="1">
        <v>404</v>
      </c>
      <c r="B402" s="2">
        <v>729156</v>
      </c>
      <c r="C402" s="3">
        <v>1.4999999999999999E-2</v>
      </c>
      <c r="D402" s="4">
        <v>0.31</v>
      </c>
      <c r="E402" s="1">
        <v>0.24</v>
      </c>
      <c r="F402" s="1">
        <v>0.43</v>
      </c>
      <c r="G402" s="1">
        <v>0.33000000000000007</v>
      </c>
    </row>
    <row r="403" spans="1:7" x14ac:dyDescent="0.25">
      <c r="A403" s="1">
        <v>159</v>
      </c>
      <c r="B403" s="2">
        <v>165621</v>
      </c>
      <c r="C403" s="3">
        <v>1.4E-2</v>
      </c>
      <c r="D403" s="4">
        <v>0.25</v>
      </c>
      <c r="E403" s="1">
        <v>0.13</v>
      </c>
      <c r="F403" s="1">
        <v>0.28000000000000003</v>
      </c>
      <c r="G403" s="1">
        <v>0.59</v>
      </c>
    </row>
    <row r="404" spans="1:7" x14ac:dyDescent="0.25">
      <c r="A404" s="1">
        <v>230</v>
      </c>
      <c r="B404" s="2">
        <v>590626</v>
      </c>
      <c r="C404" s="3">
        <v>1.4E-2</v>
      </c>
      <c r="D404" s="4">
        <v>0.24</v>
      </c>
      <c r="E404" s="1">
        <v>0.19</v>
      </c>
      <c r="F404" s="1">
        <v>0.33</v>
      </c>
      <c r="G404" s="1">
        <v>0.47999999999999993</v>
      </c>
    </row>
    <row r="405" spans="1:7" x14ac:dyDescent="0.25">
      <c r="A405" s="1">
        <v>264</v>
      </c>
      <c r="B405" s="2">
        <v>610462</v>
      </c>
      <c r="C405" s="3">
        <v>1.4E-2</v>
      </c>
      <c r="D405" s="4">
        <v>0.35</v>
      </c>
      <c r="E405" s="1">
        <v>0.35</v>
      </c>
      <c r="F405" s="1">
        <v>0.45</v>
      </c>
      <c r="G405" s="1">
        <v>0.20000000000000007</v>
      </c>
    </row>
    <row r="406" spans="1:7" x14ac:dyDescent="0.25">
      <c r="A406" s="1">
        <v>291</v>
      </c>
      <c r="B406" s="2">
        <v>792269</v>
      </c>
      <c r="C406" s="3">
        <v>1.4E-2</v>
      </c>
      <c r="D406" s="4">
        <v>0.22</v>
      </c>
      <c r="E406" s="1">
        <v>0.4</v>
      </c>
      <c r="F406" s="1">
        <v>0.32</v>
      </c>
      <c r="G406" s="1">
        <v>0.27999999999999992</v>
      </c>
    </row>
    <row r="407" spans="1:7" x14ac:dyDescent="0.25">
      <c r="A407" s="1">
        <v>346</v>
      </c>
      <c r="B407" s="2">
        <v>639650</v>
      </c>
      <c r="C407" s="3">
        <v>1.4E-2</v>
      </c>
      <c r="D407" s="4">
        <v>0.35</v>
      </c>
      <c r="E407" s="1">
        <v>0.32</v>
      </c>
      <c r="F407" s="1">
        <v>0.43</v>
      </c>
      <c r="G407" s="1">
        <v>0.25000000000000006</v>
      </c>
    </row>
    <row r="408" spans="1:7" x14ac:dyDescent="0.25">
      <c r="A408" s="1">
        <v>386</v>
      </c>
      <c r="B408" s="2">
        <v>446075</v>
      </c>
      <c r="C408" s="3">
        <v>1.4E-2</v>
      </c>
      <c r="D408" s="4">
        <v>0.26</v>
      </c>
      <c r="E408" s="1">
        <v>0.28000000000000003</v>
      </c>
      <c r="F408" s="1">
        <v>0.36</v>
      </c>
      <c r="G408" s="1">
        <v>0.36</v>
      </c>
    </row>
    <row r="409" spans="1:7" x14ac:dyDescent="0.25">
      <c r="A409" s="1">
        <v>403</v>
      </c>
      <c r="B409" s="2">
        <v>173578</v>
      </c>
      <c r="C409" s="3">
        <v>1.4E-2</v>
      </c>
      <c r="D409" s="4">
        <v>0.27</v>
      </c>
      <c r="E409" s="1">
        <v>0.14000000000000001</v>
      </c>
      <c r="F409" s="1">
        <v>0.21</v>
      </c>
      <c r="G409" s="1">
        <v>0.65</v>
      </c>
    </row>
    <row r="410" spans="1:7" x14ac:dyDescent="0.25">
      <c r="A410" s="1">
        <v>419</v>
      </c>
      <c r="B410" s="2">
        <v>498120</v>
      </c>
      <c r="C410" s="3">
        <v>1.4E-2</v>
      </c>
      <c r="D410" s="4">
        <v>0.33</v>
      </c>
      <c r="E410" s="1">
        <v>0.33</v>
      </c>
      <c r="F410" s="1">
        <v>0.5</v>
      </c>
      <c r="G410" s="1">
        <v>0.16999999999999998</v>
      </c>
    </row>
    <row r="411" spans="1:7" x14ac:dyDescent="0.25">
      <c r="A411" s="1">
        <v>421</v>
      </c>
      <c r="B411" s="2">
        <v>735030</v>
      </c>
      <c r="C411" s="3">
        <v>1.4E-2</v>
      </c>
      <c r="D411" s="4">
        <v>0.28999999999999998</v>
      </c>
      <c r="E411" s="1">
        <v>0.31</v>
      </c>
      <c r="F411" s="1">
        <v>0.44</v>
      </c>
      <c r="G411" s="1">
        <v>0.25000000000000006</v>
      </c>
    </row>
    <row r="412" spans="1:7" x14ac:dyDescent="0.25">
      <c r="A412" s="1">
        <v>422</v>
      </c>
      <c r="B412" s="2">
        <v>334362</v>
      </c>
      <c r="C412" s="3">
        <v>1.4E-2</v>
      </c>
      <c r="D412" s="4">
        <v>0.3</v>
      </c>
      <c r="E412" s="1">
        <v>0.28999999999999998</v>
      </c>
      <c r="F412" s="1">
        <v>0.26</v>
      </c>
      <c r="G412" s="1">
        <v>0.45</v>
      </c>
    </row>
    <row r="413" spans="1:7" x14ac:dyDescent="0.25">
      <c r="A413" s="1">
        <v>160</v>
      </c>
      <c r="B413" s="2">
        <v>397650</v>
      </c>
      <c r="C413" s="3">
        <v>1.2999999999999999E-2</v>
      </c>
      <c r="D413" s="4">
        <v>0.35</v>
      </c>
      <c r="E413" s="1">
        <v>0.31</v>
      </c>
      <c r="F413" s="1">
        <v>0.33</v>
      </c>
      <c r="G413" s="1">
        <v>0.35999999999999993</v>
      </c>
    </row>
    <row r="414" spans="1:7" x14ac:dyDescent="0.25">
      <c r="A414" s="1">
        <v>192</v>
      </c>
      <c r="B414" s="2">
        <v>716420</v>
      </c>
      <c r="C414" s="3">
        <v>1.2999999999999999E-2</v>
      </c>
      <c r="D414" s="4">
        <v>0.27</v>
      </c>
      <c r="E414" s="1">
        <v>0.34</v>
      </c>
      <c r="F414" s="1">
        <v>0.28999999999999998</v>
      </c>
      <c r="G414" s="1">
        <v>0.36999999999999994</v>
      </c>
    </row>
    <row r="415" spans="1:7" x14ac:dyDescent="0.25">
      <c r="A415" s="1">
        <v>195</v>
      </c>
      <c r="B415" s="2">
        <v>334101</v>
      </c>
      <c r="C415" s="3">
        <v>1.2999999999999999E-2</v>
      </c>
      <c r="D415" s="4">
        <v>0.24</v>
      </c>
      <c r="E415" s="1">
        <v>0.35</v>
      </c>
      <c r="F415" s="1">
        <v>0.28000000000000003</v>
      </c>
      <c r="G415" s="1">
        <v>0.37</v>
      </c>
    </row>
    <row r="416" spans="1:7" x14ac:dyDescent="0.25">
      <c r="A416" s="1">
        <v>383</v>
      </c>
      <c r="B416" s="2">
        <v>502400</v>
      </c>
      <c r="C416" s="3">
        <v>1.2999999999999999E-2</v>
      </c>
      <c r="D416" s="4">
        <v>0.31</v>
      </c>
      <c r="E416" s="1">
        <v>0.35</v>
      </c>
      <c r="F416" s="1">
        <v>0.4</v>
      </c>
      <c r="G416" s="1">
        <v>0.25</v>
      </c>
    </row>
    <row r="417" spans="1:7" x14ac:dyDescent="0.25">
      <c r="A417" s="1">
        <v>185</v>
      </c>
      <c r="B417" s="2">
        <v>792959</v>
      </c>
      <c r="C417" s="3">
        <v>1.2E-2</v>
      </c>
      <c r="D417" s="4">
        <v>0.24</v>
      </c>
      <c r="E417" s="1">
        <v>0.35</v>
      </c>
      <c r="F417" s="1">
        <v>0.42</v>
      </c>
      <c r="G417" s="1">
        <v>0.23000000000000009</v>
      </c>
    </row>
    <row r="418" spans="1:7" x14ac:dyDescent="0.25">
      <c r="A418" s="1">
        <v>289</v>
      </c>
      <c r="B418" s="2">
        <v>111038</v>
      </c>
      <c r="C418" s="3">
        <v>1.2E-2</v>
      </c>
      <c r="D418" s="4">
        <v>0.24</v>
      </c>
      <c r="E418" s="1">
        <v>0.38</v>
      </c>
      <c r="F418" s="1">
        <v>0.31</v>
      </c>
      <c r="G418" s="1">
        <v>0.30999999999999994</v>
      </c>
    </row>
    <row r="419" spans="1:7" x14ac:dyDescent="0.25">
      <c r="A419" s="1">
        <v>333</v>
      </c>
      <c r="B419" s="2">
        <v>579735</v>
      </c>
      <c r="C419" s="3">
        <v>1.2E-2</v>
      </c>
      <c r="D419" s="4">
        <v>0.26</v>
      </c>
      <c r="E419" s="1">
        <v>0.36</v>
      </c>
      <c r="F419" s="1">
        <v>0.24</v>
      </c>
      <c r="G419" s="1">
        <v>0.4</v>
      </c>
    </row>
    <row r="420" spans="1:7" x14ac:dyDescent="0.25">
      <c r="A420" s="1">
        <v>391</v>
      </c>
      <c r="B420" s="2">
        <v>453580</v>
      </c>
      <c r="C420" s="3">
        <v>1.2E-2</v>
      </c>
      <c r="D420" s="4">
        <v>0.34</v>
      </c>
      <c r="E420" s="1">
        <v>0.36</v>
      </c>
      <c r="F420" s="1">
        <v>0.36</v>
      </c>
      <c r="G420" s="1">
        <v>0.28000000000000003</v>
      </c>
    </row>
    <row r="421" spans="1:7" x14ac:dyDescent="0.25">
      <c r="A421" s="1">
        <v>147</v>
      </c>
      <c r="B421" s="2">
        <v>453916</v>
      </c>
      <c r="C421" s="3">
        <v>1.0999999999999999E-2</v>
      </c>
      <c r="D421" s="4">
        <v>0.36</v>
      </c>
      <c r="E421" s="1">
        <v>0.39</v>
      </c>
      <c r="F421" s="1">
        <v>0.22</v>
      </c>
      <c r="G421" s="1">
        <v>0.39</v>
      </c>
    </row>
    <row r="422" spans="1:7" x14ac:dyDescent="0.25">
      <c r="A422" s="1">
        <v>174</v>
      </c>
      <c r="B422" s="2">
        <v>258981</v>
      </c>
      <c r="C422" s="3">
        <v>1.0999999999999999E-2</v>
      </c>
      <c r="D422" s="4">
        <v>0.21</v>
      </c>
      <c r="E422" s="1">
        <v>0.33</v>
      </c>
      <c r="F422" s="1">
        <v>0.49</v>
      </c>
      <c r="G422" s="1">
        <v>0.18</v>
      </c>
    </row>
    <row r="423" spans="1:7" x14ac:dyDescent="0.25">
      <c r="A423" s="1">
        <v>175</v>
      </c>
      <c r="B423" s="2">
        <v>458557</v>
      </c>
      <c r="C423" s="3">
        <v>1.0999999999999999E-2</v>
      </c>
      <c r="D423" s="4">
        <v>0.33</v>
      </c>
      <c r="E423" s="1">
        <v>0.34</v>
      </c>
      <c r="F423" s="1">
        <v>0.36</v>
      </c>
      <c r="G423" s="1">
        <v>0.3</v>
      </c>
    </row>
    <row r="424" spans="1:7" x14ac:dyDescent="0.25">
      <c r="A424" s="1">
        <v>186</v>
      </c>
      <c r="B424" s="2">
        <v>702728</v>
      </c>
      <c r="C424" s="3">
        <v>1.0999999999999999E-2</v>
      </c>
      <c r="D424" s="4">
        <v>0.36</v>
      </c>
      <c r="E424" s="1">
        <v>0.35</v>
      </c>
      <c r="F424" s="1">
        <v>0.33</v>
      </c>
      <c r="G424" s="1">
        <v>0.31999999999999995</v>
      </c>
    </row>
    <row r="425" spans="1:7" x14ac:dyDescent="0.25">
      <c r="A425" s="1">
        <v>221</v>
      </c>
      <c r="B425" s="2">
        <v>787610</v>
      </c>
      <c r="C425" s="3">
        <v>1.0999999999999999E-2</v>
      </c>
      <c r="D425" s="4">
        <v>0.21</v>
      </c>
      <c r="E425" s="1">
        <v>0.28000000000000003</v>
      </c>
      <c r="F425" s="1">
        <v>0.43</v>
      </c>
      <c r="G425" s="1">
        <v>0.29000000000000004</v>
      </c>
    </row>
    <row r="426" spans="1:7" x14ac:dyDescent="0.25">
      <c r="A426" s="1">
        <v>276</v>
      </c>
      <c r="B426" s="2">
        <v>191089</v>
      </c>
      <c r="C426" s="3">
        <v>1.0999999999999999E-2</v>
      </c>
      <c r="D426" s="4">
        <v>0.37</v>
      </c>
      <c r="E426" s="1">
        <v>0.31</v>
      </c>
      <c r="F426" s="1">
        <v>0.32</v>
      </c>
      <c r="G426" s="1">
        <v>0.36999999999999994</v>
      </c>
    </row>
    <row r="427" spans="1:7" x14ac:dyDescent="0.25">
      <c r="A427" s="1">
        <v>331</v>
      </c>
      <c r="B427" s="2">
        <v>857902</v>
      </c>
      <c r="C427" s="3">
        <v>1.0999999999999999E-2</v>
      </c>
      <c r="D427" s="4">
        <v>0.4</v>
      </c>
      <c r="E427" s="1">
        <v>0.31</v>
      </c>
      <c r="F427" s="1">
        <v>0.49</v>
      </c>
      <c r="G427" s="1">
        <v>0.2</v>
      </c>
    </row>
    <row r="428" spans="1:7" x14ac:dyDescent="0.25">
      <c r="A428" s="1">
        <v>336</v>
      </c>
      <c r="B428" s="2">
        <v>724166</v>
      </c>
      <c r="C428" s="3">
        <v>1.0999999999999999E-2</v>
      </c>
      <c r="D428" s="4">
        <v>0.21</v>
      </c>
      <c r="E428" s="1">
        <v>0.21</v>
      </c>
      <c r="F428" s="1">
        <v>0.34</v>
      </c>
      <c r="G428" s="1">
        <v>0.44999999999999996</v>
      </c>
    </row>
    <row r="429" spans="1:7" x14ac:dyDescent="0.25">
      <c r="A429" s="1">
        <v>371</v>
      </c>
      <c r="B429" s="2">
        <v>831471</v>
      </c>
      <c r="C429" s="3">
        <v>1.0999999999999999E-2</v>
      </c>
      <c r="D429" s="4">
        <v>0.37</v>
      </c>
      <c r="E429" s="1">
        <v>0.36</v>
      </c>
      <c r="F429" s="1">
        <v>0.44</v>
      </c>
      <c r="G429" s="1">
        <v>0.20000000000000007</v>
      </c>
    </row>
    <row r="430" spans="1:7" x14ac:dyDescent="0.25">
      <c r="A430" s="1">
        <v>423</v>
      </c>
      <c r="B430" s="2">
        <v>151691</v>
      </c>
      <c r="C430" s="3">
        <v>1.0999999999999999E-2</v>
      </c>
      <c r="D430" s="4">
        <v>0.32</v>
      </c>
      <c r="E430" s="1">
        <v>0.38</v>
      </c>
      <c r="F430" s="1">
        <v>0.32</v>
      </c>
      <c r="G430" s="1">
        <v>0.29999999999999993</v>
      </c>
    </row>
    <row r="431" spans="1:7" x14ac:dyDescent="0.25">
      <c r="A431" s="1">
        <v>202</v>
      </c>
      <c r="B431" s="2">
        <v>626288</v>
      </c>
      <c r="C431" s="3">
        <v>0.01</v>
      </c>
      <c r="D431" s="4">
        <v>0.37</v>
      </c>
      <c r="E431" s="1">
        <v>0.2</v>
      </c>
      <c r="F431" s="1">
        <v>0.35</v>
      </c>
      <c r="G431" s="1">
        <v>0.45</v>
      </c>
    </row>
    <row r="432" spans="1:7" x14ac:dyDescent="0.25">
      <c r="A432" s="1">
        <v>204</v>
      </c>
      <c r="B432" s="2">
        <v>323542</v>
      </c>
      <c r="C432" s="3">
        <v>0.01</v>
      </c>
      <c r="D432" s="4">
        <v>0.32</v>
      </c>
      <c r="E432" s="1">
        <v>0.25</v>
      </c>
      <c r="F432" s="1">
        <v>0.28000000000000003</v>
      </c>
      <c r="G432" s="1">
        <v>0.47</v>
      </c>
    </row>
    <row r="433" spans="1:7" x14ac:dyDescent="0.25">
      <c r="A433" s="1">
        <v>237</v>
      </c>
      <c r="B433" s="2">
        <v>553723</v>
      </c>
      <c r="C433" s="3">
        <v>0.01</v>
      </c>
      <c r="D433" s="4">
        <v>0.4</v>
      </c>
      <c r="E433" s="1">
        <v>0.22</v>
      </c>
      <c r="F433" s="1">
        <v>0.28000000000000003</v>
      </c>
      <c r="G433" s="1">
        <v>0.5</v>
      </c>
    </row>
    <row r="434" spans="1:7" x14ac:dyDescent="0.25">
      <c r="A434" s="1">
        <v>243</v>
      </c>
      <c r="B434" s="2">
        <v>732620</v>
      </c>
      <c r="C434" s="3">
        <v>0.01</v>
      </c>
      <c r="D434" s="4">
        <v>0.28999999999999998</v>
      </c>
      <c r="E434" s="1">
        <v>0.17</v>
      </c>
      <c r="F434" s="1">
        <v>0.23</v>
      </c>
      <c r="G434" s="1">
        <v>0.6</v>
      </c>
    </row>
    <row r="435" spans="1:7" x14ac:dyDescent="0.25">
      <c r="A435" s="1">
        <v>258</v>
      </c>
      <c r="B435" s="2">
        <v>818992</v>
      </c>
      <c r="C435" s="3">
        <v>0.01</v>
      </c>
      <c r="D435" s="4">
        <v>0.2</v>
      </c>
      <c r="E435" s="1">
        <v>0.24</v>
      </c>
      <c r="F435" s="1">
        <v>0.28000000000000003</v>
      </c>
      <c r="G435" s="1">
        <v>0.48</v>
      </c>
    </row>
    <row r="436" spans="1:7" x14ac:dyDescent="0.25">
      <c r="A436" s="1">
        <v>259</v>
      </c>
      <c r="B436" s="2">
        <v>487213</v>
      </c>
      <c r="C436" s="3">
        <v>0.01</v>
      </c>
      <c r="D436" s="4">
        <v>0.39</v>
      </c>
      <c r="E436" s="1">
        <v>0.28000000000000003</v>
      </c>
      <c r="F436" s="1">
        <v>0.46</v>
      </c>
      <c r="G436" s="1">
        <v>0.26</v>
      </c>
    </row>
    <row r="437" spans="1:7" x14ac:dyDescent="0.25">
      <c r="A437" s="1">
        <v>285</v>
      </c>
      <c r="B437" s="2">
        <v>453068</v>
      </c>
      <c r="C437" s="3">
        <v>0.01</v>
      </c>
      <c r="D437" s="4">
        <v>0.39</v>
      </c>
      <c r="E437" s="1">
        <v>0.28999999999999998</v>
      </c>
      <c r="F437" s="1">
        <v>0.47</v>
      </c>
      <c r="G437" s="1">
        <v>0.24000000000000005</v>
      </c>
    </row>
    <row r="438" spans="1:7" x14ac:dyDescent="0.25">
      <c r="A438" s="1">
        <v>313</v>
      </c>
      <c r="B438" s="2">
        <v>255561</v>
      </c>
      <c r="C438" s="3">
        <v>0.01</v>
      </c>
      <c r="D438" s="4">
        <v>0.38</v>
      </c>
      <c r="E438" s="1">
        <v>0.26</v>
      </c>
      <c r="F438" s="1">
        <v>0.31</v>
      </c>
      <c r="G438" s="1">
        <v>0.42999999999999994</v>
      </c>
    </row>
    <row r="439" spans="1:7" x14ac:dyDescent="0.25">
      <c r="A439" s="1">
        <v>338</v>
      </c>
      <c r="B439" s="2">
        <v>455306</v>
      </c>
      <c r="C439" s="3">
        <v>0.01</v>
      </c>
      <c r="D439" s="4">
        <v>0.38</v>
      </c>
      <c r="E439" s="1">
        <v>0.14000000000000001</v>
      </c>
      <c r="F439" s="1">
        <v>0.36</v>
      </c>
      <c r="G439" s="1">
        <v>0.5</v>
      </c>
    </row>
    <row r="440" spans="1:7" x14ac:dyDescent="0.25">
      <c r="A440" s="1">
        <v>356</v>
      </c>
      <c r="B440" s="2">
        <v>526122</v>
      </c>
      <c r="C440" s="3">
        <v>0.01</v>
      </c>
      <c r="D440" s="4">
        <v>0.33</v>
      </c>
      <c r="E440" s="1">
        <v>0.1</v>
      </c>
      <c r="F440" s="1">
        <v>0.47</v>
      </c>
      <c r="G440" s="1">
        <v>0.43000000000000005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81BA7-9C57-4BA5-A84E-920C700AB773}">
  <dimension ref="A1:M10000"/>
  <sheetViews>
    <sheetView tabSelected="1" topLeftCell="A61" workbookViewId="0">
      <selection activeCell="P68" sqref="P68"/>
    </sheetView>
  </sheetViews>
  <sheetFormatPr baseColWidth="10" defaultRowHeight="15" x14ac:dyDescent="0.25"/>
  <cols>
    <col min="3" max="4" width="15.42578125" bestFit="1" customWidth="1"/>
    <col min="7" max="7" width="18.28515625" bestFit="1" customWidth="1"/>
    <col min="9" max="9" width="15.42578125" bestFit="1" customWidth="1"/>
  </cols>
  <sheetData>
    <row r="1" spans="1:8" x14ac:dyDescent="0.25">
      <c r="A1" s="9">
        <v>5949985.5899999896</v>
      </c>
      <c r="C1" t="s">
        <v>19</v>
      </c>
      <c r="D1" s="10">
        <f>MAX(A1:A10000)</f>
        <v>96415550.420000002</v>
      </c>
      <c r="F1" t="s">
        <v>22</v>
      </c>
      <c r="G1" s="6">
        <v>5475692.7599999998</v>
      </c>
    </row>
    <row r="2" spans="1:8" x14ac:dyDescent="0.25">
      <c r="A2" s="9">
        <v>1522992.14</v>
      </c>
      <c r="C2" t="s">
        <v>20</v>
      </c>
      <c r="D2" s="10">
        <f>MIN(A1:A10000)</f>
        <v>0</v>
      </c>
    </row>
    <row r="3" spans="1:8" x14ac:dyDescent="0.25">
      <c r="A3">
        <v>0</v>
      </c>
      <c r="C3" t="s">
        <v>21</v>
      </c>
      <c r="D3" s="7">
        <f>D1-D2</f>
        <v>96415550.420000002</v>
      </c>
    </row>
    <row r="4" spans="1:8" x14ac:dyDescent="0.25">
      <c r="A4" s="9">
        <v>1234352.55</v>
      </c>
    </row>
    <row r="5" spans="1:8" x14ac:dyDescent="0.25">
      <c r="A5" s="9">
        <v>433420.61</v>
      </c>
    </row>
    <row r="6" spans="1:8" x14ac:dyDescent="0.25">
      <c r="A6" s="9">
        <v>10405355.01</v>
      </c>
      <c r="C6" s="16">
        <v>0</v>
      </c>
      <c r="D6" s="13">
        <f t="array" ref="D6:D103">FREQUENCY(A1:A10000,C6:C103)</f>
        <v>1827</v>
      </c>
      <c r="E6" s="14">
        <f>D6/10000</f>
        <v>0.1827</v>
      </c>
      <c r="F6" s="14">
        <f>E6</f>
        <v>0.1827</v>
      </c>
    </row>
    <row r="7" spans="1:8" x14ac:dyDescent="0.25">
      <c r="A7" s="9">
        <v>18095789.73</v>
      </c>
      <c r="C7" s="16">
        <v>1000000</v>
      </c>
      <c r="D7" s="13">
        <v>2326</v>
      </c>
      <c r="E7" s="14">
        <f t="shared" ref="E7:E70" si="0">D7/10000</f>
        <v>0.2326</v>
      </c>
      <c r="F7" s="14">
        <f>E7+F6</f>
        <v>0.4153</v>
      </c>
    </row>
    <row r="8" spans="1:8" x14ac:dyDescent="0.25">
      <c r="A8">
        <v>0</v>
      </c>
      <c r="C8" s="16">
        <v>2000000</v>
      </c>
      <c r="D8" s="13">
        <v>704</v>
      </c>
      <c r="E8" s="14">
        <f t="shared" si="0"/>
        <v>7.0400000000000004E-2</v>
      </c>
      <c r="F8" s="14">
        <f t="shared" ref="F8:F71" si="1">E8+F7</f>
        <v>0.48570000000000002</v>
      </c>
    </row>
    <row r="9" spans="1:8" x14ac:dyDescent="0.25">
      <c r="A9" s="9">
        <v>45648556.710000001</v>
      </c>
      <c r="C9" s="16">
        <v>3000000</v>
      </c>
      <c r="D9" s="13">
        <v>815</v>
      </c>
      <c r="E9" s="14">
        <f t="shared" si="0"/>
        <v>8.1500000000000003E-2</v>
      </c>
      <c r="F9" s="14">
        <f t="shared" si="1"/>
        <v>0.56720000000000004</v>
      </c>
    </row>
    <row r="10" spans="1:8" x14ac:dyDescent="0.25">
      <c r="A10" s="9">
        <v>3307160.16</v>
      </c>
      <c r="C10" s="16">
        <v>4000000</v>
      </c>
      <c r="D10" s="13">
        <v>732</v>
      </c>
      <c r="E10" s="14">
        <f t="shared" si="0"/>
        <v>7.3200000000000001E-2</v>
      </c>
      <c r="F10" s="14">
        <f t="shared" si="1"/>
        <v>0.64040000000000008</v>
      </c>
    </row>
    <row r="11" spans="1:8" x14ac:dyDescent="0.25">
      <c r="A11" s="9">
        <v>5599802.2199999997</v>
      </c>
      <c r="C11" s="16">
        <v>5000000</v>
      </c>
      <c r="D11" s="13">
        <v>476</v>
      </c>
      <c r="E11" s="14">
        <f t="shared" si="0"/>
        <v>4.7600000000000003E-2</v>
      </c>
      <c r="F11" s="14">
        <f t="shared" si="1"/>
        <v>0.68800000000000006</v>
      </c>
    </row>
    <row r="12" spans="1:8" x14ac:dyDescent="0.25">
      <c r="A12">
        <v>42526629</v>
      </c>
      <c r="C12" s="16">
        <v>6000000</v>
      </c>
      <c r="D12" s="13">
        <v>381</v>
      </c>
      <c r="E12" s="14">
        <f t="shared" si="0"/>
        <v>3.8100000000000002E-2</v>
      </c>
      <c r="F12" s="14">
        <f t="shared" si="1"/>
        <v>0.72610000000000008</v>
      </c>
    </row>
    <row r="13" spans="1:8" x14ac:dyDescent="0.25">
      <c r="A13" s="9">
        <v>30815875.23</v>
      </c>
      <c r="C13" s="17">
        <v>7000000</v>
      </c>
      <c r="D13" s="18">
        <v>350</v>
      </c>
      <c r="E13" s="19">
        <f t="shared" si="0"/>
        <v>3.5000000000000003E-2</v>
      </c>
      <c r="F13" s="19">
        <f t="shared" si="1"/>
        <v>0.76110000000000011</v>
      </c>
      <c r="G13" s="7">
        <f>C13-$C$12</f>
        <v>1000000</v>
      </c>
      <c r="H13" s="15">
        <f>1-F13</f>
        <v>0.23889999999999989</v>
      </c>
    </row>
    <row r="14" spans="1:8" x14ac:dyDescent="0.25">
      <c r="A14" s="9">
        <v>2142419.64</v>
      </c>
      <c r="C14" s="17">
        <v>8000000</v>
      </c>
      <c r="D14" s="18">
        <v>267</v>
      </c>
      <c r="E14" s="19">
        <f t="shared" si="0"/>
        <v>2.6700000000000002E-2</v>
      </c>
      <c r="F14" s="19">
        <f t="shared" si="1"/>
        <v>0.78780000000000006</v>
      </c>
      <c r="G14" s="7">
        <f t="shared" ref="G14:G38" si="2">C14-$C$12</f>
        <v>2000000</v>
      </c>
      <c r="H14" s="15">
        <f t="shared" ref="H14:H38" si="3">1-F14</f>
        <v>0.21219999999999994</v>
      </c>
    </row>
    <row r="15" spans="1:8" x14ac:dyDescent="0.25">
      <c r="A15" s="9">
        <v>7113010.6099999901</v>
      </c>
      <c r="C15" s="17">
        <v>9000000</v>
      </c>
      <c r="D15" s="18">
        <v>232</v>
      </c>
      <c r="E15" s="19">
        <f t="shared" si="0"/>
        <v>2.3199999999999998E-2</v>
      </c>
      <c r="F15" s="19">
        <f t="shared" si="1"/>
        <v>0.81100000000000005</v>
      </c>
      <c r="G15" s="7">
        <f t="shared" si="2"/>
        <v>3000000</v>
      </c>
      <c r="H15" s="15">
        <f t="shared" si="3"/>
        <v>0.18899999999999995</v>
      </c>
    </row>
    <row r="16" spans="1:8" x14ac:dyDescent="0.25">
      <c r="A16" s="9">
        <v>221295.23</v>
      </c>
      <c r="C16" s="17">
        <v>10000000</v>
      </c>
      <c r="D16" s="18">
        <v>207</v>
      </c>
      <c r="E16" s="19">
        <f t="shared" si="0"/>
        <v>2.07E-2</v>
      </c>
      <c r="F16" s="19">
        <f t="shared" si="1"/>
        <v>0.83170000000000011</v>
      </c>
      <c r="G16" s="7">
        <f t="shared" si="2"/>
        <v>4000000</v>
      </c>
      <c r="H16" s="15">
        <f t="shared" si="3"/>
        <v>0.16829999999999989</v>
      </c>
    </row>
    <row r="17" spans="1:8" x14ac:dyDescent="0.25">
      <c r="A17" s="9">
        <v>12230098.939999999</v>
      </c>
      <c r="C17" s="17">
        <v>11000000</v>
      </c>
      <c r="D17" s="18">
        <v>177</v>
      </c>
      <c r="E17" s="19">
        <f t="shared" si="0"/>
        <v>1.77E-2</v>
      </c>
      <c r="F17" s="19">
        <f t="shared" si="1"/>
        <v>0.84940000000000015</v>
      </c>
      <c r="G17" s="7">
        <f t="shared" si="2"/>
        <v>5000000</v>
      </c>
      <c r="H17" s="15">
        <f t="shared" si="3"/>
        <v>0.15059999999999985</v>
      </c>
    </row>
    <row r="18" spans="1:8" x14ac:dyDescent="0.25">
      <c r="A18" s="9">
        <v>1051690.6200000001</v>
      </c>
      <c r="C18" s="17">
        <v>12000000</v>
      </c>
      <c r="D18" s="18">
        <v>131</v>
      </c>
      <c r="E18" s="19">
        <f t="shared" si="0"/>
        <v>1.3100000000000001E-2</v>
      </c>
      <c r="F18" s="19">
        <f t="shared" si="1"/>
        <v>0.86250000000000016</v>
      </c>
      <c r="G18" s="7">
        <f t="shared" si="2"/>
        <v>6000000</v>
      </c>
      <c r="H18" s="15">
        <f t="shared" si="3"/>
        <v>0.13749999999999984</v>
      </c>
    </row>
    <row r="19" spans="1:8" x14ac:dyDescent="0.25">
      <c r="A19" s="9">
        <v>16055505.560000001</v>
      </c>
      <c r="C19" s="17">
        <v>13000000</v>
      </c>
      <c r="D19" s="18">
        <v>118</v>
      </c>
      <c r="E19" s="19">
        <f t="shared" si="0"/>
        <v>1.18E-2</v>
      </c>
      <c r="F19" s="19">
        <f t="shared" si="1"/>
        <v>0.87430000000000019</v>
      </c>
      <c r="G19" s="7">
        <f t="shared" si="2"/>
        <v>7000000</v>
      </c>
      <c r="H19" s="15">
        <f t="shared" si="3"/>
        <v>0.12569999999999981</v>
      </c>
    </row>
    <row r="20" spans="1:8" x14ac:dyDescent="0.25">
      <c r="A20" s="9">
        <v>16768023.880000001</v>
      </c>
      <c r="C20" s="17">
        <v>14000000</v>
      </c>
      <c r="D20" s="18">
        <v>99</v>
      </c>
      <c r="E20" s="19">
        <f t="shared" si="0"/>
        <v>9.9000000000000008E-3</v>
      </c>
      <c r="F20" s="19">
        <f t="shared" si="1"/>
        <v>0.88420000000000021</v>
      </c>
      <c r="G20" s="7">
        <f t="shared" si="2"/>
        <v>8000000</v>
      </c>
      <c r="H20" s="15">
        <f t="shared" si="3"/>
        <v>0.11579999999999979</v>
      </c>
    </row>
    <row r="21" spans="1:8" x14ac:dyDescent="0.25">
      <c r="A21" s="9">
        <v>1326474.3</v>
      </c>
      <c r="C21" s="17">
        <v>15000000</v>
      </c>
      <c r="D21" s="18">
        <v>91</v>
      </c>
      <c r="E21" s="19">
        <f t="shared" si="0"/>
        <v>9.1000000000000004E-3</v>
      </c>
      <c r="F21" s="19">
        <f t="shared" si="1"/>
        <v>0.8933000000000002</v>
      </c>
      <c r="G21" s="7">
        <f t="shared" si="2"/>
        <v>9000000</v>
      </c>
      <c r="H21" s="15">
        <f t="shared" si="3"/>
        <v>0.1066999999999998</v>
      </c>
    </row>
    <row r="22" spans="1:8" x14ac:dyDescent="0.25">
      <c r="A22">
        <v>0</v>
      </c>
      <c r="C22" s="17">
        <v>16000000</v>
      </c>
      <c r="D22" s="18">
        <v>77</v>
      </c>
      <c r="E22" s="19">
        <f t="shared" si="0"/>
        <v>7.7000000000000002E-3</v>
      </c>
      <c r="F22" s="19">
        <f t="shared" si="1"/>
        <v>0.90100000000000025</v>
      </c>
      <c r="G22" s="7">
        <f t="shared" si="2"/>
        <v>10000000</v>
      </c>
      <c r="H22" s="15">
        <f t="shared" si="3"/>
        <v>9.8999999999999755E-2</v>
      </c>
    </row>
    <row r="23" spans="1:8" x14ac:dyDescent="0.25">
      <c r="A23" s="9">
        <v>5352068.18</v>
      </c>
      <c r="C23" s="17">
        <v>17000000</v>
      </c>
      <c r="D23" s="18">
        <v>91</v>
      </c>
      <c r="E23" s="19">
        <f t="shared" si="0"/>
        <v>9.1000000000000004E-3</v>
      </c>
      <c r="F23" s="19">
        <f t="shared" si="1"/>
        <v>0.91010000000000024</v>
      </c>
      <c r="G23" s="7">
        <f t="shared" si="2"/>
        <v>11000000</v>
      </c>
      <c r="H23" s="15">
        <f t="shared" si="3"/>
        <v>8.9899999999999758E-2</v>
      </c>
    </row>
    <row r="24" spans="1:8" x14ac:dyDescent="0.25">
      <c r="A24">
        <v>0</v>
      </c>
      <c r="C24" s="17">
        <v>18000000</v>
      </c>
      <c r="D24" s="18">
        <v>60</v>
      </c>
      <c r="E24" s="19">
        <f t="shared" si="0"/>
        <v>6.0000000000000001E-3</v>
      </c>
      <c r="F24" s="19">
        <f t="shared" si="1"/>
        <v>0.91610000000000025</v>
      </c>
      <c r="G24" s="7">
        <f t="shared" si="2"/>
        <v>12000000</v>
      </c>
      <c r="H24" s="15">
        <f t="shared" si="3"/>
        <v>8.3899999999999753E-2</v>
      </c>
    </row>
    <row r="25" spans="1:8" x14ac:dyDescent="0.25">
      <c r="A25" s="9">
        <v>8628397.5</v>
      </c>
      <c r="C25" s="17">
        <v>19000000</v>
      </c>
      <c r="D25" s="18">
        <v>66</v>
      </c>
      <c r="E25" s="19">
        <f t="shared" si="0"/>
        <v>6.6E-3</v>
      </c>
      <c r="F25" s="19">
        <f t="shared" si="1"/>
        <v>0.9227000000000003</v>
      </c>
      <c r="G25" s="7">
        <f t="shared" si="2"/>
        <v>13000000</v>
      </c>
      <c r="H25" s="15">
        <f t="shared" si="3"/>
        <v>7.7299999999999702E-2</v>
      </c>
    </row>
    <row r="26" spans="1:8" x14ac:dyDescent="0.25">
      <c r="A26" s="9">
        <v>2584484.2200000002</v>
      </c>
      <c r="C26" s="17">
        <v>20000000</v>
      </c>
      <c r="D26" s="18">
        <v>52</v>
      </c>
      <c r="E26" s="19">
        <f t="shared" si="0"/>
        <v>5.1999999999999998E-3</v>
      </c>
      <c r="F26" s="19">
        <f t="shared" si="1"/>
        <v>0.92790000000000028</v>
      </c>
      <c r="G26" s="7">
        <f t="shared" si="2"/>
        <v>14000000</v>
      </c>
      <c r="H26" s="15">
        <f t="shared" si="3"/>
        <v>7.209999999999972E-2</v>
      </c>
    </row>
    <row r="27" spans="1:8" x14ac:dyDescent="0.25">
      <c r="A27" s="9">
        <v>111413.66</v>
      </c>
      <c r="C27" s="17">
        <v>21000000</v>
      </c>
      <c r="D27" s="18">
        <v>66</v>
      </c>
      <c r="E27" s="19">
        <f t="shared" si="0"/>
        <v>6.6E-3</v>
      </c>
      <c r="F27" s="19">
        <f t="shared" si="1"/>
        <v>0.93450000000000033</v>
      </c>
      <c r="G27" s="7">
        <f t="shared" si="2"/>
        <v>15000000</v>
      </c>
      <c r="H27" s="15">
        <f t="shared" si="3"/>
        <v>6.549999999999967E-2</v>
      </c>
    </row>
    <row r="28" spans="1:8" x14ac:dyDescent="0.25">
      <c r="A28" s="9">
        <v>510563.42</v>
      </c>
      <c r="C28" s="17">
        <v>22000000</v>
      </c>
      <c r="D28" s="18">
        <v>56</v>
      </c>
      <c r="E28" s="19">
        <f t="shared" si="0"/>
        <v>5.5999999999999999E-3</v>
      </c>
      <c r="F28" s="19">
        <f t="shared" si="1"/>
        <v>0.94010000000000038</v>
      </c>
      <c r="G28" s="7">
        <f t="shared" si="2"/>
        <v>16000000</v>
      </c>
      <c r="H28" s="15">
        <f t="shared" si="3"/>
        <v>5.989999999999962E-2</v>
      </c>
    </row>
    <row r="29" spans="1:8" x14ac:dyDescent="0.25">
      <c r="A29">
        <v>0</v>
      </c>
      <c r="C29" s="17">
        <v>23000000</v>
      </c>
      <c r="D29" s="18">
        <v>38</v>
      </c>
      <c r="E29" s="19">
        <f t="shared" si="0"/>
        <v>3.8E-3</v>
      </c>
      <c r="F29" s="19">
        <f t="shared" si="1"/>
        <v>0.94390000000000041</v>
      </c>
      <c r="G29" s="7">
        <f t="shared" si="2"/>
        <v>17000000</v>
      </c>
      <c r="H29" s="15">
        <f t="shared" si="3"/>
        <v>5.6099999999999595E-2</v>
      </c>
    </row>
    <row r="30" spans="1:8" x14ac:dyDescent="0.25">
      <c r="A30" s="9">
        <v>714673.52</v>
      </c>
      <c r="C30" s="17">
        <v>24000000</v>
      </c>
      <c r="D30" s="18">
        <v>38</v>
      </c>
      <c r="E30" s="19">
        <f t="shared" si="0"/>
        <v>3.8E-3</v>
      </c>
      <c r="F30" s="19">
        <f t="shared" si="1"/>
        <v>0.94770000000000043</v>
      </c>
      <c r="G30" s="7">
        <f t="shared" si="2"/>
        <v>18000000</v>
      </c>
      <c r="H30" s="15">
        <f t="shared" si="3"/>
        <v>5.2299999999999569E-2</v>
      </c>
    </row>
    <row r="31" spans="1:8" x14ac:dyDescent="0.25">
      <c r="A31" s="9">
        <v>921060.21</v>
      </c>
      <c r="C31" s="17">
        <v>25000000</v>
      </c>
      <c r="D31" s="18">
        <v>44</v>
      </c>
      <c r="E31" s="19">
        <f t="shared" si="0"/>
        <v>4.4000000000000003E-3</v>
      </c>
      <c r="F31" s="19">
        <f t="shared" si="1"/>
        <v>0.95210000000000039</v>
      </c>
      <c r="G31" s="7">
        <f t="shared" si="2"/>
        <v>19000000</v>
      </c>
      <c r="H31" s="15">
        <f t="shared" si="3"/>
        <v>4.789999999999961E-2</v>
      </c>
    </row>
    <row r="32" spans="1:8" x14ac:dyDescent="0.25">
      <c r="A32" s="9">
        <v>11489810.25</v>
      </c>
      <c r="C32" s="17">
        <v>26000000</v>
      </c>
      <c r="D32" s="18">
        <v>28</v>
      </c>
      <c r="E32" s="19">
        <f t="shared" si="0"/>
        <v>2.8E-3</v>
      </c>
      <c r="F32" s="19">
        <f t="shared" si="1"/>
        <v>0.95490000000000042</v>
      </c>
      <c r="G32" s="7">
        <f t="shared" si="2"/>
        <v>20000000</v>
      </c>
      <c r="H32" s="15">
        <f t="shared" si="3"/>
        <v>4.5099999999999585E-2</v>
      </c>
    </row>
    <row r="33" spans="1:12" x14ac:dyDescent="0.25">
      <c r="A33" s="9">
        <v>1941879.87</v>
      </c>
      <c r="C33" s="17">
        <v>27000000</v>
      </c>
      <c r="D33" s="18">
        <v>35</v>
      </c>
      <c r="E33" s="19">
        <f t="shared" si="0"/>
        <v>3.5000000000000001E-3</v>
      </c>
      <c r="F33" s="19">
        <f t="shared" si="1"/>
        <v>0.95840000000000036</v>
      </c>
      <c r="G33" s="7">
        <f t="shared" si="2"/>
        <v>21000000</v>
      </c>
      <c r="H33" s="15">
        <f t="shared" si="3"/>
        <v>4.1599999999999637E-2</v>
      </c>
    </row>
    <row r="34" spans="1:12" x14ac:dyDescent="0.25">
      <c r="A34" s="9">
        <v>2568213.9900000002</v>
      </c>
      <c r="C34" s="17">
        <v>28000000</v>
      </c>
      <c r="D34" s="18">
        <v>32</v>
      </c>
      <c r="E34" s="19">
        <f t="shared" si="0"/>
        <v>3.2000000000000002E-3</v>
      </c>
      <c r="F34" s="19">
        <f t="shared" si="1"/>
        <v>0.96160000000000034</v>
      </c>
      <c r="G34" s="7">
        <f t="shared" si="2"/>
        <v>22000000</v>
      </c>
      <c r="H34" s="15">
        <f t="shared" si="3"/>
        <v>3.8399999999999657E-2</v>
      </c>
    </row>
    <row r="35" spans="1:12" x14ac:dyDescent="0.25">
      <c r="A35" s="9">
        <v>115484.46</v>
      </c>
      <c r="C35" s="17">
        <v>29000000</v>
      </c>
      <c r="D35" s="18">
        <v>28</v>
      </c>
      <c r="E35" s="19">
        <f t="shared" si="0"/>
        <v>2.8E-3</v>
      </c>
      <c r="F35" s="19">
        <f t="shared" si="1"/>
        <v>0.96440000000000037</v>
      </c>
      <c r="G35" s="7">
        <f t="shared" si="2"/>
        <v>23000000</v>
      </c>
      <c r="H35" s="15">
        <f t="shared" si="3"/>
        <v>3.5599999999999632E-2</v>
      </c>
    </row>
    <row r="36" spans="1:12" x14ac:dyDescent="0.25">
      <c r="A36" s="9">
        <v>17168849.420000002</v>
      </c>
      <c r="C36" s="17">
        <v>30000000</v>
      </c>
      <c r="D36" s="18">
        <v>18</v>
      </c>
      <c r="E36" s="19">
        <f t="shared" si="0"/>
        <v>1.8E-3</v>
      </c>
      <c r="F36" s="19">
        <f t="shared" si="1"/>
        <v>0.96620000000000039</v>
      </c>
      <c r="G36" s="7">
        <f t="shared" si="2"/>
        <v>24000000</v>
      </c>
      <c r="H36" s="15">
        <f t="shared" si="3"/>
        <v>3.3799999999999608E-2</v>
      </c>
    </row>
    <row r="37" spans="1:12" x14ac:dyDescent="0.25">
      <c r="A37">
        <v>0</v>
      </c>
      <c r="C37" s="17">
        <v>31000000</v>
      </c>
      <c r="D37" s="18">
        <v>32</v>
      </c>
      <c r="E37" s="19">
        <f t="shared" si="0"/>
        <v>3.2000000000000002E-3</v>
      </c>
      <c r="F37" s="19">
        <f t="shared" si="1"/>
        <v>0.96940000000000037</v>
      </c>
      <c r="G37" s="7">
        <f t="shared" si="2"/>
        <v>25000000</v>
      </c>
      <c r="H37" s="15">
        <f t="shared" si="3"/>
        <v>3.0599999999999627E-2</v>
      </c>
    </row>
    <row r="38" spans="1:12" x14ac:dyDescent="0.25">
      <c r="A38" s="9">
        <v>21691294.32</v>
      </c>
      <c r="C38" s="17">
        <v>32000000</v>
      </c>
      <c r="D38" s="18">
        <v>19</v>
      </c>
      <c r="E38" s="19">
        <f t="shared" si="0"/>
        <v>1.9E-3</v>
      </c>
      <c r="F38" s="19">
        <f t="shared" si="1"/>
        <v>0.97130000000000039</v>
      </c>
      <c r="G38" s="7">
        <f t="shared" si="2"/>
        <v>26000000</v>
      </c>
      <c r="H38" s="15">
        <f t="shared" si="3"/>
        <v>2.8699999999999615E-2</v>
      </c>
      <c r="I38" s="11">
        <f>SUMPRODUCT(G13:G38,H13:H38)</f>
        <v>21755799.999999877</v>
      </c>
      <c r="K38" s="12">
        <f>I38/25000000</f>
        <v>0.87023199999999512</v>
      </c>
      <c r="L38" t="s">
        <v>26</v>
      </c>
    </row>
    <row r="39" spans="1:12" x14ac:dyDescent="0.25">
      <c r="A39" s="9">
        <v>3957327.2</v>
      </c>
      <c r="C39" s="20">
        <v>33000000</v>
      </c>
      <c r="D39" s="21">
        <v>18</v>
      </c>
      <c r="E39" s="22">
        <f t="shared" si="0"/>
        <v>1.8E-3</v>
      </c>
      <c r="F39" s="22">
        <f t="shared" si="1"/>
        <v>0.97310000000000041</v>
      </c>
      <c r="G39" s="23">
        <f>C39-$C$38</f>
        <v>1000000</v>
      </c>
      <c r="H39" s="24">
        <f>1-F39</f>
        <v>2.6899999999999591E-2</v>
      </c>
      <c r="L39" t="s">
        <v>27</v>
      </c>
    </row>
    <row r="40" spans="1:12" x14ac:dyDescent="0.25">
      <c r="A40">
        <v>0</v>
      </c>
      <c r="C40" s="20">
        <v>34000000</v>
      </c>
      <c r="D40" s="21">
        <v>20</v>
      </c>
      <c r="E40" s="22">
        <f t="shared" si="0"/>
        <v>2E-3</v>
      </c>
      <c r="F40" s="22">
        <f t="shared" si="1"/>
        <v>0.97510000000000041</v>
      </c>
      <c r="G40" s="23">
        <f t="shared" ref="G40:G89" si="4">C40-$C$38</f>
        <v>2000000</v>
      </c>
      <c r="H40" s="24">
        <f t="shared" ref="H40:H89" si="5">1-F40</f>
        <v>2.4899999999999589E-2</v>
      </c>
      <c r="L40" t="s">
        <v>28</v>
      </c>
    </row>
    <row r="41" spans="1:12" x14ac:dyDescent="0.25">
      <c r="A41" s="9">
        <v>3791350.12</v>
      </c>
      <c r="C41" s="20">
        <v>35000000</v>
      </c>
      <c r="D41" s="21">
        <v>11</v>
      </c>
      <c r="E41" s="22">
        <f t="shared" si="0"/>
        <v>1.1000000000000001E-3</v>
      </c>
      <c r="F41" s="22">
        <f t="shared" si="1"/>
        <v>0.9762000000000004</v>
      </c>
      <c r="G41" s="23">
        <f t="shared" si="4"/>
        <v>3000000</v>
      </c>
      <c r="H41" s="24">
        <f t="shared" si="5"/>
        <v>2.3799999999999599E-2</v>
      </c>
    </row>
    <row r="42" spans="1:12" x14ac:dyDescent="0.25">
      <c r="A42">
        <v>0</v>
      </c>
      <c r="C42" s="20">
        <v>36000000</v>
      </c>
      <c r="D42" s="21">
        <v>13</v>
      </c>
      <c r="E42" s="22">
        <f t="shared" si="0"/>
        <v>1.2999999999999999E-3</v>
      </c>
      <c r="F42" s="22">
        <f t="shared" si="1"/>
        <v>0.97750000000000037</v>
      </c>
      <c r="G42" s="23">
        <f t="shared" si="4"/>
        <v>4000000</v>
      </c>
      <c r="H42" s="24">
        <f t="shared" si="5"/>
        <v>2.2499999999999631E-2</v>
      </c>
    </row>
    <row r="43" spans="1:12" x14ac:dyDescent="0.25">
      <c r="A43" s="9">
        <v>654822.47</v>
      </c>
      <c r="C43" s="20">
        <v>37000000</v>
      </c>
      <c r="D43" s="21">
        <v>13</v>
      </c>
      <c r="E43" s="22">
        <f t="shared" si="0"/>
        <v>1.2999999999999999E-3</v>
      </c>
      <c r="F43" s="22">
        <f t="shared" si="1"/>
        <v>0.97880000000000034</v>
      </c>
      <c r="G43" s="23">
        <f t="shared" si="4"/>
        <v>5000000</v>
      </c>
      <c r="H43" s="24">
        <f t="shared" si="5"/>
        <v>2.1199999999999664E-2</v>
      </c>
    </row>
    <row r="44" spans="1:12" x14ac:dyDescent="0.25">
      <c r="A44" s="9">
        <v>464899.21</v>
      </c>
      <c r="C44" s="20">
        <v>38000000</v>
      </c>
      <c r="D44" s="21">
        <v>19</v>
      </c>
      <c r="E44" s="22">
        <f t="shared" si="0"/>
        <v>1.9E-3</v>
      </c>
      <c r="F44" s="22">
        <f t="shared" si="1"/>
        <v>0.98070000000000035</v>
      </c>
      <c r="G44" s="23">
        <f t="shared" si="4"/>
        <v>6000000</v>
      </c>
      <c r="H44" s="24">
        <f t="shared" si="5"/>
        <v>1.9299999999999651E-2</v>
      </c>
    </row>
    <row r="45" spans="1:12" x14ac:dyDescent="0.25">
      <c r="A45" s="9">
        <v>748252.37</v>
      </c>
      <c r="C45" s="20">
        <v>39000000</v>
      </c>
      <c r="D45" s="21">
        <v>13</v>
      </c>
      <c r="E45" s="22">
        <f t="shared" si="0"/>
        <v>1.2999999999999999E-3</v>
      </c>
      <c r="F45" s="22">
        <f t="shared" si="1"/>
        <v>0.98200000000000032</v>
      </c>
      <c r="G45" s="23">
        <f t="shared" si="4"/>
        <v>7000000</v>
      </c>
      <c r="H45" s="24">
        <f t="shared" si="5"/>
        <v>1.7999999999999683E-2</v>
      </c>
    </row>
    <row r="46" spans="1:12" x14ac:dyDescent="0.25">
      <c r="A46" s="9">
        <v>5721816.9800000004</v>
      </c>
      <c r="C46" s="20">
        <v>40000000</v>
      </c>
      <c r="D46" s="21">
        <v>18</v>
      </c>
      <c r="E46" s="22">
        <f t="shared" si="0"/>
        <v>1.8E-3</v>
      </c>
      <c r="F46" s="22">
        <f t="shared" si="1"/>
        <v>0.98380000000000034</v>
      </c>
      <c r="G46" s="23">
        <f t="shared" si="4"/>
        <v>8000000</v>
      </c>
      <c r="H46" s="24">
        <f t="shared" si="5"/>
        <v>1.6199999999999659E-2</v>
      </c>
    </row>
    <row r="47" spans="1:12" x14ac:dyDescent="0.25">
      <c r="A47" s="9">
        <v>8533331.7599999998</v>
      </c>
      <c r="C47" s="20">
        <v>41000000</v>
      </c>
      <c r="D47" s="21">
        <v>7</v>
      </c>
      <c r="E47" s="22">
        <f t="shared" si="0"/>
        <v>6.9999999999999999E-4</v>
      </c>
      <c r="F47" s="22">
        <f t="shared" si="1"/>
        <v>0.98450000000000037</v>
      </c>
      <c r="G47" s="23">
        <f t="shared" si="4"/>
        <v>9000000</v>
      </c>
      <c r="H47" s="24">
        <f t="shared" si="5"/>
        <v>1.5499999999999625E-2</v>
      </c>
    </row>
    <row r="48" spans="1:12" x14ac:dyDescent="0.25">
      <c r="A48" s="9">
        <v>4457705.4800000004</v>
      </c>
      <c r="C48" s="20">
        <v>42000000</v>
      </c>
      <c r="D48" s="21">
        <v>5</v>
      </c>
      <c r="E48" s="22">
        <f t="shared" si="0"/>
        <v>5.0000000000000001E-4</v>
      </c>
      <c r="F48" s="22">
        <f t="shared" si="1"/>
        <v>0.98500000000000032</v>
      </c>
      <c r="G48" s="23">
        <f t="shared" si="4"/>
        <v>10000000</v>
      </c>
      <c r="H48" s="24">
        <f t="shared" si="5"/>
        <v>1.499999999999968E-2</v>
      </c>
    </row>
    <row r="49" spans="1:8" x14ac:dyDescent="0.25">
      <c r="A49" s="9">
        <v>257649.18</v>
      </c>
      <c r="C49" s="20">
        <v>43000000</v>
      </c>
      <c r="D49" s="21">
        <v>5</v>
      </c>
      <c r="E49" s="22">
        <f t="shared" si="0"/>
        <v>5.0000000000000001E-4</v>
      </c>
      <c r="F49" s="22">
        <f t="shared" si="1"/>
        <v>0.98550000000000026</v>
      </c>
      <c r="G49" s="23">
        <f t="shared" si="4"/>
        <v>11000000</v>
      </c>
      <c r="H49" s="24">
        <f t="shared" si="5"/>
        <v>1.4499999999999735E-2</v>
      </c>
    </row>
    <row r="50" spans="1:8" x14ac:dyDescent="0.25">
      <c r="A50" s="9">
        <v>13637318.73</v>
      </c>
      <c r="C50" s="20">
        <v>44000000</v>
      </c>
      <c r="D50" s="21">
        <v>7</v>
      </c>
      <c r="E50" s="22">
        <f t="shared" si="0"/>
        <v>6.9999999999999999E-4</v>
      </c>
      <c r="F50" s="22">
        <f t="shared" si="1"/>
        <v>0.9862000000000003</v>
      </c>
      <c r="G50" s="23">
        <f t="shared" si="4"/>
        <v>12000000</v>
      </c>
      <c r="H50" s="24">
        <f t="shared" si="5"/>
        <v>1.3799999999999701E-2</v>
      </c>
    </row>
    <row r="51" spans="1:8" x14ac:dyDescent="0.25">
      <c r="A51" s="9">
        <v>2030022.18</v>
      </c>
      <c r="C51" s="20">
        <v>45000000</v>
      </c>
      <c r="D51" s="21">
        <v>8</v>
      </c>
      <c r="E51" s="22">
        <f t="shared" si="0"/>
        <v>8.0000000000000004E-4</v>
      </c>
      <c r="F51" s="22">
        <f t="shared" si="1"/>
        <v>0.98700000000000032</v>
      </c>
      <c r="G51" s="23">
        <f t="shared" si="4"/>
        <v>13000000</v>
      </c>
      <c r="H51" s="24">
        <f t="shared" si="5"/>
        <v>1.2999999999999678E-2</v>
      </c>
    </row>
    <row r="52" spans="1:8" x14ac:dyDescent="0.25">
      <c r="A52" s="9">
        <v>1026755.9</v>
      </c>
      <c r="C52" s="20">
        <v>46000000</v>
      </c>
      <c r="D52" s="21">
        <v>7</v>
      </c>
      <c r="E52" s="22">
        <f t="shared" si="0"/>
        <v>6.9999999999999999E-4</v>
      </c>
      <c r="F52" s="22">
        <f t="shared" si="1"/>
        <v>0.98770000000000036</v>
      </c>
      <c r="G52" s="23">
        <f t="shared" si="4"/>
        <v>14000000</v>
      </c>
      <c r="H52" s="24">
        <f t="shared" si="5"/>
        <v>1.2299999999999645E-2</v>
      </c>
    </row>
    <row r="53" spans="1:8" x14ac:dyDescent="0.25">
      <c r="A53" s="9">
        <v>177629.35</v>
      </c>
      <c r="C53" s="20">
        <v>47000000</v>
      </c>
      <c r="D53" s="21">
        <v>7</v>
      </c>
      <c r="E53" s="22">
        <f t="shared" si="0"/>
        <v>6.9999999999999999E-4</v>
      </c>
      <c r="F53" s="22">
        <f t="shared" si="1"/>
        <v>0.98840000000000039</v>
      </c>
      <c r="G53" s="23">
        <f t="shared" si="4"/>
        <v>15000000</v>
      </c>
      <c r="H53" s="24">
        <f t="shared" si="5"/>
        <v>1.1599999999999611E-2</v>
      </c>
    </row>
    <row r="54" spans="1:8" x14ac:dyDescent="0.25">
      <c r="A54">
        <v>0</v>
      </c>
      <c r="C54" s="20">
        <v>48000000</v>
      </c>
      <c r="D54" s="21">
        <v>8</v>
      </c>
      <c r="E54" s="22">
        <f t="shared" si="0"/>
        <v>8.0000000000000004E-4</v>
      </c>
      <c r="F54" s="22">
        <f t="shared" si="1"/>
        <v>0.98920000000000041</v>
      </c>
      <c r="G54" s="23">
        <f t="shared" si="4"/>
        <v>16000000</v>
      </c>
      <c r="H54" s="24">
        <f t="shared" si="5"/>
        <v>1.0799999999999588E-2</v>
      </c>
    </row>
    <row r="55" spans="1:8" x14ac:dyDescent="0.25">
      <c r="A55" s="9">
        <v>65714.75</v>
      </c>
      <c r="C55" s="20">
        <v>49000000</v>
      </c>
      <c r="D55" s="21">
        <v>6</v>
      </c>
      <c r="E55" s="22">
        <f t="shared" si="0"/>
        <v>5.9999999999999995E-4</v>
      </c>
      <c r="F55" s="22">
        <f t="shared" si="1"/>
        <v>0.98980000000000046</v>
      </c>
      <c r="G55" s="23">
        <f t="shared" si="4"/>
        <v>17000000</v>
      </c>
      <c r="H55" s="24">
        <f t="shared" si="5"/>
        <v>1.0199999999999543E-2</v>
      </c>
    </row>
    <row r="56" spans="1:8" x14ac:dyDescent="0.25">
      <c r="A56" s="9">
        <v>6620219.6099999901</v>
      </c>
      <c r="C56" s="20">
        <v>50000000</v>
      </c>
      <c r="D56" s="21">
        <v>5</v>
      </c>
      <c r="E56" s="22">
        <f t="shared" si="0"/>
        <v>5.0000000000000001E-4</v>
      </c>
      <c r="F56" s="22">
        <f t="shared" si="1"/>
        <v>0.9903000000000004</v>
      </c>
      <c r="G56" s="23">
        <f t="shared" si="4"/>
        <v>18000000</v>
      </c>
      <c r="H56" s="24">
        <f t="shared" si="5"/>
        <v>9.6999999999995978E-3</v>
      </c>
    </row>
    <row r="57" spans="1:8" x14ac:dyDescent="0.25">
      <c r="A57" s="9">
        <v>2865021.4</v>
      </c>
      <c r="C57" s="20">
        <v>51000000</v>
      </c>
      <c r="D57" s="21">
        <v>9</v>
      </c>
      <c r="E57" s="22">
        <f t="shared" si="0"/>
        <v>8.9999999999999998E-4</v>
      </c>
      <c r="F57" s="22">
        <f t="shared" si="1"/>
        <v>0.99120000000000041</v>
      </c>
      <c r="G57" s="23">
        <f t="shared" si="4"/>
        <v>19000000</v>
      </c>
      <c r="H57" s="24">
        <f t="shared" si="5"/>
        <v>8.7999999999995859E-3</v>
      </c>
    </row>
    <row r="58" spans="1:8" x14ac:dyDescent="0.25">
      <c r="A58" s="9">
        <v>14589895.300000001</v>
      </c>
      <c r="C58" s="20">
        <v>52000000</v>
      </c>
      <c r="D58" s="21">
        <v>3</v>
      </c>
      <c r="E58" s="22">
        <f t="shared" si="0"/>
        <v>2.9999999999999997E-4</v>
      </c>
      <c r="F58" s="22">
        <f t="shared" si="1"/>
        <v>0.99150000000000038</v>
      </c>
      <c r="G58" s="23">
        <f t="shared" si="4"/>
        <v>20000000</v>
      </c>
      <c r="H58" s="24">
        <f t="shared" si="5"/>
        <v>8.499999999999619E-3</v>
      </c>
    </row>
    <row r="59" spans="1:8" x14ac:dyDescent="0.25">
      <c r="A59" s="9">
        <v>9569397.0199999996</v>
      </c>
      <c r="C59" s="20">
        <v>53000000</v>
      </c>
      <c r="D59" s="21">
        <v>2</v>
      </c>
      <c r="E59" s="22">
        <f t="shared" si="0"/>
        <v>2.0000000000000001E-4</v>
      </c>
      <c r="F59" s="22">
        <f t="shared" si="1"/>
        <v>0.99170000000000036</v>
      </c>
      <c r="G59" s="23">
        <f t="shared" si="4"/>
        <v>21000000</v>
      </c>
      <c r="H59" s="24">
        <f t="shared" si="5"/>
        <v>8.299999999999641E-3</v>
      </c>
    </row>
    <row r="60" spans="1:8" x14ac:dyDescent="0.25">
      <c r="A60" s="9">
        <v>15603602.09</v>
      </c>
      <c r="C60" s="20">
        <v>54000000</v>
      </c>
      <c r="D60" s="21">
        <v>11</v>
      </c>
      <c r="E60" s="22">
        <f t="shared" si="0"/>
        <v>1.1000000000000001E-3</v>
      </c>
      <c r="F60" s="22">
        <f t="shared" si="1"/>
        <v>0.99280000000000035</v>
      </c>
      <c r="G60" s="23">
        <f t="shared" si="4"/>
        <v>22000000</v>
      </c>
      <c r="H60" s="24">
        <f t="shared" si="5"/>
        <v>7.1999999999996511E-3</v>
      </c>
    </row>
    <row r="61" spans="1:8" x14ac:dyDescent="0.25">
      <c r="A61" s="9">
        <v>2322315.7400000002</v>
      </c>
      <c r="C61" s="20">
        <v>55000000</v>
      </c>
      <c r="D61" s="21">
        <v>5</v>
      </c>
      <c r="E61" s="22">
        <f t="shared" si="0"/>
        <v>5.0000000000000001E-4</v>
      </c>
      <c r="F61" s="22">
        <f t="shared" si="1"/>
        <v>0.99330000000000029</v>
      </c>
      <c r="G61" s="23">
        <f t="shared" si="4"/>
        <v>23000000</v>
      </c>
      <c r="H61" s="24">
        <f t="shared" si="5"/>
        <v>6.6999999999997062E-3</v>
      </c>
    </row>
    <row r="62" spans="1:8" x14ac:dyDescent="0.25">
      <c r="A62" s="9">
        <v>28808253.91</v>
      </c>
      <c r="C62" s="20">
        <v>56000000</v>
      </c>
      <c r="D62" s="21">
        <v>4</v>
      </c>
      <c r="E62" s="22">
        <f t="shared" si="0"/>
        <v>4.0000000000000002E-4</v>
      </c>
      <c r="F62" s="22">
        <f t="shared" si="1"/>
        <v>0.99370000000000025</v>
      </c>
      <c r="G62" s="23">
        <f t="shared" si="4"/>
        <v>24000000</v>
      </c>
      <c r="H62" s="24">
        <f t="shared" si="5"/>
        <v>6.2999999999997502E-3</v>
      </c>
    </row>
    <row r="63" spans="1:8" x14ac:dyDescent="0.25">
      <c r="A63" s="9">
        <v>4426548.46</v>
      </c>
      <c r="C63" s="20">
        <v>57000000</v>
      </c>
      <c r="D63" s="21">
        <v>4</v>
      </c>
      <c r="E63" s="22">
        <f t="shared" si="0"/>
        <v>4.0000000000000002E-4</v>
      </c>
      <c r="F63" s="22">
        <f t="shared" si="1"/>
        <v>0.99410000000000021</v>
      </c>
      <c r="G63" s="23">
        <f t="shared" si="4"/>
        <v>25000000</v>
      </c>
      <c r="H63" s="24">
        <f t="shared" si="5"/>
        <v>5.8999999999997943E-3</v>
      </c>
    </row>
    <row r="64" spans="1:8" x14ac:dyDescent="0.25">
      <c r="A64" s="9">
        <v>3073577.36</v>
      </c>
      <c r="C64" s="20">
        <v>58000000</v>
      </c>
      <c r="D64" s="21">
        <v>1</v>
      </c>
      <c r="E64" s="22">
        <f t="shared" si="0"/>
        <v>1E-4</v>
      </c>
      <c r="F64" s="22">
        <f t="shared" si="1"/>
        <v>0.99420000000000019</v>
      </c>
      <c r="G64" s="23">
        <f t="shared" si="4"/>
        <v>26000000</v>
      </c>
      <c r="H64" s="24">
        <f t="shared" si="5"/>
        <v>5.7999999999998053E-3</v>
      </c>
    </row>
    <row r="65" spans="1:8" x14ac:dyDescent="0.25">
      <c r="A65" s="9">
        <v>8447566.3699999992</v>
      </c>
      <c r="C65" s="20">
        <v>59000000</v>
      </c>
      <c r="D65" s="21">
        <v>3</v>
      </c>
      <c r="E65" s="22">
        <f t="shared" si="0"/>
        <v>2.9999999999999997E-4</v>
      </c>
      <c r="F65" s="22">
        <f t="shared" si="1"/>
        <v>0.99450000000000016</v>
      </c>
      <c r="G65" s="23">
        <f t="shared" si="4"/>
        <v>27000000</v>
      </c>
      <c r="H65" s="24">
        <f t="shared" si="5"/>
        <v>5.4999999999998384E-3</v>
      </c>
    </row>
    <row r="66" spans="1:8" x14ac:dyDescent="0.25">
      <c r="A66" s="9">
        <v>777943.73</v>
      </c>
      <c r="C66" s="20">
        <v>60000000</v>
      </c>
      <c r="D66" s="21">
        <v>2</v>
      </c>
      <c r="E66" s="22">
        <f t="shared" si="0"/>
        <v>2.0000000000000001E-4</v>
      </c>
      <c r="F66" s="22">
        <f t="shared" si="1"/>
        <v>0.99470000000000014</v>
      </c>
      <c r="G66" s="23">
        <f t="shared" si="4"/>
        <v>28000000</v>
      </c>
      <c r="H66" s="24">
        <f t="shared" si="5"/>
        <v>5.2999999999998604E-3</v>
      </c>
    </row>
    <row r="67" spans="1:8" x14ac:dyDescent="0.25">
      <c r="A67" s="9">
        <v>58269700.18</v>
      </c>
      <c r="C67" s="20">
        <v>61000000</v>
      </c>
      <c r="D67" s="21">
        <v>1</v>
      </c>
      <c r="E67" s="22">
        <f t="shared" si="0"/>
        <v>1E-4</v>
      </c>
      <c r="F67" s="22">
        <f t="shared" si="1"/>
        <v>0.99480000000000013</v>
      </c>
      <c r="G67" s="23">
        <f t="shared" si="4"/>
        <v>29000000</v>
      </c>
      <c r="H67" s="24">
        <f t="shared" si="5"/>
        <v>5.1999999999998714E-3</v>
      </c>
    </row>
    <row r="68" spans="1:8" x14ac:dyDescent="0.25">
      <c r="A68" s="9">
        <v>39512429.219999999</v>
      </c>
      <c r="C68" s="20">
        <v>62000000</v>
      </c>
      <c r="D68" s="21">
        <v>4</v>
      </c>
      <c r="E68" s="22">
        <f t="shared" si="0"/>
        <v>4.0000000000000002E-4</v>
      </c>
      <c r="F68" s="22">
        <f t="shared" si="1"/>
        <v>0.99520000000000008</v>
      </c>
      <c r="G68" s="23">
        <f t="shared" si="4"/>
        <v>30000000</v>
      </c>
      <c r="H68" s="24">
        <f t="shared" si="5"/>
        <v>4.7999999999999154E-3</v>
      </c>
    </row>
    <row r="69" spans="1:8" x14ac:dyDescent="0.25">
      <c r="A69" s="9">
        <v>6148652.8499999996</v>
      </c>
      <c r="C69" s="20">
        <v>63000000</v>
      </c>
      <c r="D69" s="21">
        <v>5</v>
      </c>
      <c r="E69" s="22">
        <f t="shared" si="0"/>
        <v>5.0000000000000001E-4</v>
      </c>
      <c r="F69" s="22">
        <f t="shared" si="1"/>
        <v>0.99570000000000003</v>
      </c>
      <c r="G69" s="23">
        <f t="shared" si="4"/>
        <v>31000000</v>
      </c>
      <c r="H69" s="24">
        <f t="shared" si="5"/>
        <v>4.2999999999999705E-3</v>
      </c>
    </row>
    <row r="70" spans="1:8" x14ac:dyDescent="0.25">
      <c r="A70">
        <v>0</v>
      </c>
      <c r="C70" s="20">
        <v>64000000</v>
      </c>
      <c r="D70" s="21">
        <v>3</v>
      </c>
      <c r="E70" s="22">
        <f t="shared" si="0"/>
        <v>2.9999999999999997E-4</v>
      </c>
      <c r="F70" s="22">
        <f t="shared" si="1"/>
        <v>0.996</v>
      </c>
      <c r="G70" s="23">
        <f t="shared" si="4"/>
        <v>32000000</v>
      </c>
      <c r="H70" s="24">
        <f t="shared" si="5"/>
        <v>4.0000000000000036E-3</v>
      </c>
    </row>
    <row r="71" spans="1:8" x14ac:dyDescent="0.25">
      <c r="A71">
        <v>0</v>
      </c>
      <c r="C71" s="20">
        <v>65000000</v>
      </c>
      <c r="D71" s="21">
        <v>0</v>
      </c>
      <c r="E71" s="22">
        <f t="shared" ref="E71:E103" si="6">D71/10000</f>
        <v>0</v>
      </c>
      <c r="F71" s="22">
        <f t="shared" si="1"/>
        <v>0.996</v>
      </c>
      <c r="G71" s="23">
        <f t="shared" si="4"/>
        <v>33000000</v>
      </c>
      <c r="H71" s="24">
        <f t="shared" si="5"/>
        <v>4.0000000000000036E-3</v>
      </c>
    </row>
    <row r="72" spans="1:8" x14ac:dyDescent="0.25">
      <c r="A72" s="9">
        <v>5531481.5999999996</v>
      </c>
      <c r="C72" s="20">
        <v>66000000</v>
      </c>
      <c r="D72" s="21">
        <v>2</v>
      </c>
      <c r="E72" s="22">
        <f t="shared" si="6"/>
        <v>2.0000000000000001E-4</v>
      </c>
      <c r="F72" s="22">
        <f t="shared" ref="F72:F103" si="7">E72+F71</f>
        <v>0.99619999999999997</v>
      </c>
      <c r="G72" s="23">
        <f t="shared" si="4"/>
        <v>34000000</v>
      </c>
      <c r="H72" s="24">
        <f t="shared" si="5"/>
        <v>3.8000000000000256E-3</v>
      </c>
    </row>
    <row r="73" spans="1:8" x14ac:dyDescent="0.25">
      <c r="A73">
        <v>0</v>
      </c>
      <c r="C73" s="20">
        <v>67000000</v>
      </c>
      <c r="D73" s="21">
        <v>3</v>
      </c>
      <c r="E73" s="22">
        <f t="shared" si="6"/>
        <v>2.9999999999999997E-4</v>
      </c>
      <c r="F73" s="22">
        <f t="shared" si="7"/>
        <v>0.99649999999999994</v>
      </c>
      <c r="G73" s="23">
        <f t="shared" si="4"/>
        <v>35000000</v>
      </c>
      <c r="H73" s="24">
        <f t="shared" si="5"/>
        <v>3.5000000000000586E-3</v>
      </c>
    </row>
    <row r="74" spans="1:8" x14ac:dyDescent="0.25">
      <c r="A74" s="9">
        <v>481211.03</v>
      </c>
      <c r="C74" s="20">
        <v>68000000</v>
      </c>
      <c r="D74" s="21">
        <v>2</v>
      </c>
      <c r="E74" s="22">
        <f t="shared" si="6"/>
        <v>2.0000000000000001E-4</v>
      </c>
      <c r="F74" s="22">
        <f t="shared" si="7"/>
        <v>0.99669999999999992</v>
      </c>
      <c r="G74" s="23">
        <f t="shared" si="4"/>
        <v>36000000</v>
      </c>
      <c r="H74" s="24">
        <f t="shared" si="5"/>
        <v>3.3000000000000806E-3</v>
      </c>
    </row>
    <row r="75" spans="1:8" x14ac:dyDescent="0.25">
      <c r="A75" s="9">
        <v>27659361.039999999</v>
      </c>
      <c r="C75" s="20">
        <v>69000000</v>
      </c>
      <c r="D75" s="21">
        <v>1</v>
      </c>
      <c r="E75" s="22">
        <f t="shared" si="6"/>
        <v>1E-4</v>
      </c>
      <c r="F75" s="22">
        <f t="shared" si="7"/>
        <v>0.99679999999999991</v>
      </c>
      <c r="G75" s="23">
        <f t="shared" si="4"/>
        <v>37000000</v>
      </c>
      <c r="H75" s="24">
        <f t="shared" si="5"/>
        <v>3.2000000000000917E-3</v>
      </c>
    </row>
    <row r="76" spans="1:8" x14ac:dyDescent="0.25">
      <c r="A76" s="9">
        <v>338219.49</v>
      </c>
      <c r="C76" s="20">
        <v>70000000</v>
      </c>
      <c r="D76" s="21">
        <v>4</v>
      </c>
      <c r="E76" s="22">
        <f t="shared" si="6"/>
        <v>4.0000000000000002E-4</v>
      </c>
      <c r="F76" s="22">
        <f t="shared" si="7"/>
        <v>0.99719999999999986</v>
      </c>
      <c r="G76" s="23">
        <f t="shared" si="4"/>
        <v>38000000</v>
      </c>
      <c r="H76" s="24">
        <f t="shared" si="5"/>
        <v>2.8000000000001357E-3</v>
      </c>
    </row>
    <row r="77" spans="1:8" x14ac:dyDescent="0.25">
      <c r="A77" s="9">
        <v>1596579.05</v>
      </c>
      <c r="C77" s="20">
        <v>71000000</v>
      </c>
      <c r="D77" s="21">
        <v>3</v>
      </c>
      <c r="E77" s="22">
        <f t="shared" si="6"/>
        <v>2.9999999999999997E-4</v>
      </c>
      <c r="F77" s="22">
        <f t="shared" si="7"/>
        <v>0.99749999999999983</v>
      </c>
      <c r="G77" s="23">
        <f t="shared" si="4"/>
        <v>39000000</v>
      </c>
      <c r="H77" s="24">
        <f t="shared" si="5"/>
        <v>2.5000000000001688E-3</v>
      </c>
    </row>
    <row r="78" spans="1:8" x14ac:dyDescent="0.25">
      <c r="A78" s="9">
        <v>248587.6</v>
      </c>
      <c r="C78" s="20">
        <v>72000000</v>
      </c>
      <c r="D78" s="21">
        <v>2</v>
      </c>
      <c r="E78" s="22">
        <f t="shared" si="6"/>
        <v>2.0000000000000001E-4</v>
      </c>
      <c r="F78" s="22">
        <f t="shared" si="7"/>
        <v>0.99769999999999981</v>
      </c>
      <c r="G78" s="23">
        <f t="shared" si="4"/>
        <v>40000000</v>
      </c>
      <c r="H78" s="24">
        <f t="shared" si="5"/>
        <v>2.3000000000001908E-3</v>
      </c>
    </row>
    <row r="79" spans="1:8" x14ac:dyDescent="0.25">
      <c r="A79" s="9">
        <v>517451.7</v>
      </c>
      <c r="C79" s="20">
        <v>73000000</v>
      </c>
      <c r="D79" s="21">
        <v>2</v>
      </c>
      <c r="E79" s="22">
        <f t="shared" si="6"/>
        <v>2.0000000000000001E-4</v>
      </c>
      <c r="F79" s="22">
        <f t="shared" si="7"/>
        <v>0.99789999999999979</v>
      </c>
      <c r="G79" s="23">
        <f t="shared" si="4"/>
        <v>41000000</v>
      </c>
      <c r="H79" s="24">
        <f t="shared" si="5"/>
        <v>2.1000000000002128E-3</v>
      </c>
    </row>
    <row r="80" spans="1:8" x14ac:dyDescent="0.25">
      <c r="A80" s="9">
        <v>3372589.99</v>
      </c>
      <c r="C80" s="20">
        <v>74000000</v>
      </c>
      <c r="D80" s="21">
        <v>1</v>
      </c>
      <c r="E80" s="22">
        <f t="shared" si="6"/>
        <v>1E-4</v>
      </c>
      <c r="F80" s="22">
        <f t="shared" si="7"/>
        <v>0.99799999999999978</v>
      </c>
      <c r="G80" s="23">
        <f t="shared" si="4"/>
        <v>42000000</v>
      </c>
      <c r="H80" s="24">
        <f t="shared" si="5"/>
        <v>2.0000000000002238E-3</v>
      </c>
    </row>
    <row r="81" spans="1:13" x14ac:dyDescent="0.25">
      <c r="A81" s="9">
        <v>3869255.81</v>
      </c>
      <c r="C81" s="20">
        <v>75000000</v>
      </c>
      <c r="D81" s="21">
        <v>2</v>
      </c>
      <c r="E81" s="22">
        <f t="shared" si="6"/>
        <v>2.0000000000000001E-4</v>
      </c>
      <c r="F81" s="22">
        <f t="shared" si="7"/>
        <v>0.99819999999999975</v>
      </c>
      <c r="G81" s="23">
        <f t="shared" si="4"/>
        <v>43000000</v>
      </c>
      <c r="H81" s="24">
        <f t="shared" si="5"/>
        <v>1.8000000000002458E-3</v>
      </c>
    </row>
    <row r="82" spans="1:13" x14ac:dyDescent="0.25">
      <c r="A82" s="9">
        <v>388615.84</v>
      </c>
      <c r="C82" s="20">
        <v>76000000</v>
      </c>
      <c r="D82" s="21">
        <v>1</v>
      </c>
      <c r="E82" s="22">
        <f t="shared" si="6"/>
        <v>1E-4</v>
      </c>
      <c r="F82" s="22">
        <f t="shared" si="7"/>
        <v>0.99829999999999974</v>
      </c>
      <c r="G82" s="23">
        <f t="shared" si="4"/>
        <v>44000000</v>
      </c>
      <c r="H82" s="24">
        <f t="shared" si="5"/>
        <v>1.7000000000002569E-3</v>
      </c>
    </row>
    <row r="83" spans="1:13" x14ac:dyDescent="0.25">
      <c r="A83" s="9">
        <v>27390817.399999999</v>
      </c>
      <c r="C83" s="20">
        <v>77000000</v>
      </c>
      <c r="D83" s="21">
        <v>1</v>
      </c>
      <c r="E83" s="22">
        <f t="shared" si="6"/>
        <v>1E-4</v>
      </c>
      <c r="F83" s="22">
        <f t="shared" si="7"/>
        <v>0.99839999999999973</v>
      </c>
      <c r="G83" s="23">
        <f t="shared" si="4"/>
        <v>45000000</v>
      </c>
      <c r="H83" s="24">
        <f t="shared" si="5"/>
        <v>1.6000000000002679E-3</v>
      </c>
    </row>
    <row r="84" spans="1:13" x14ac:dyDescent="0.25">
      <c r="A84" s="9">
        <v>1263695.8</v>
      </c>
      <c r="C84" s="20">
        <v>78000000</v>
      </c>
      <c r="D84" s="21">
        <v>0</v>
      </c>
      <c r="E84" s="22">
        <f t="shared" si="6"/>
        <v>0</v>
      </c>
      <c r="F84" s="22">
        <f t="shared" si="7"/>
        <v>0.99839999999999973</v>
      </c>
      <c r="G84" s="23">
        <f t="shared" si="4"/>
        <v>46000000</v>
      </c>
      <c r="H84" s="24">
        <f t="shared" si="5"/>
        <v>1.6000000000002679E-3</v>
      </c>
    </row>
    <row r="85" spans="1:13" x14ac:dyDescent="0.25">
      <c r="A85" s="9">
        <v>661022.96</v>
      </c>
      <c r="C85" s="20">
        <v>79000000</v>
      </c>
      <c r="D85" s="21">
        <v>7</v>
      </c>
      <c r="E85" s="22">
        <f t="shared" si="6"/>
        <v>6.9999999999999999E-4</v>
      </c>
      <c r="F85" s="22">
        <f t="shared" si="7"/>
        <v>0.99909999999999977</v>
      </c>
      <c r="G85" s="23">
        <f t="shared" si="4"/>
        <v>47000000</v>
      </c>
      <c r="H85" s="24">
        <f t="shared" si="5"/>
        <v>9.0000000000023395E-4</v>
      </c>
    </row>
    <row r="86" spans="1:13" x14ac:dyDescent="0.25">
      <c r="A86" s="9">
        <v>4705463.1500000004</v>
      </c>
      <c r="C86" s="20">
        <v>80000000</v>
      </c>
      <c r="D86" s="21">
        <v>1</v>
      </c>
      <c r="E86" s="22">
        <f t="shared" si="6"/>
        <v>1E-4</v>
      </c>
      <c r="F86" s="22">
        <f t="shared" si="7"/>
        <v>0.99919999999999976</v>
      </c>
      <c r="G86" s="23">
        <f t="shared" si="4"/>
        <v>48000000</v>
      </c>
      <c r="H86" s="24">
        <f t="shared" si="5"/>
        <v>8.0000000000024496E-4</v>
      </c>
    </row>
    <row r="87" spans="1:13" x14ac:dyDescent="0.25">
      <c r="A87" s="9">
        <v>16747359.390000001</v>
      </c>
      <c r="C87" s="20">
        <v>81000000</v>
      </c>
      <c r="D87" s="21">
        <v>1</v>
      </c>
      <c r="E87" s="22">
        <f t="shared" si="6"/>
        <v>1E-4</v>
      </c>
      <c r="F87" s="22">
        <f t="shared" si="7"/>
        <v>0.99929999999999974</v>
      </c>
      <c r="G87" s="23">
        <f t="shared" si="4"/>
        <v>49000000</v>
      </c>
      <c r="H87" s="24">
        <f t="shared" si="5"/>
        <v>7.0000000000025597E-4</v>
      </c>
    </row>
    <row r="88" spans="1:13" x14ac:dyDescent="0.25">
      <c r="A88" s="9">
        <v>5033610.3499999996</v>
      </c>
      <c r="C88" s="20">
        <v>82000000</v>
      </c>
      <c r="D88" s="21">
        <v>1</v>
      </c>
      <c r="E88" s="22">
        <f t="shared" si="6"/>
        <v>1E-4</v>
      </c>
      <c r="F88" s="22">
        <f t="shared" si="7"/>
        <v>0.99939999999999973</v>
      </c>
      <c r="G88" s="23">
        <f t="shared" si="4"/>
        <v>50000000</v>
      </c>
      <c r="H88" s="24">
        <f t="shared" si="5"/>
        <v>6.0000000000026699E-4</v>
      </c>
    </row>
    <row r="89" spans="1:13" x14ac:dyDescent="0.25">
      <c r="A89" s="9">
        <v>1618096.16</v>
      </c>
      <c r="C89" s="20">
        <v>83000000</v>
      </c>
      <c r="D89" s="21">
        <v>0</v>
      </c>
      <c r="E89" s="22">
        <f t="shared" si="6"/>
        <v>0</v>
      </c>
      <c r="F89" s="22">
        <f t="shared" si="7"/>
        <v>0.99939999999999973</v>
      </c>
      <c r="G89" s="23">
        <f t="shared" si="4"/>
        <v>51000000</v>
      </c>
      <c r="H89" s="24">
        <f t="shared" si="5"/>
        <v>6.0000000000026699E-4</v>
      </c>
      <c r="I89" s="11">
        <f>SUMPRODUCT(G39:G89,H39:H89)</f>
        <v>6052900.0000000242</v>
      </c>
      <c r="K89" t="s">
        <v>24</v>
      </c>
      <c r="L89" s="12">
        <f>I89/50000000</f>
        <v>0.12105800000000048</v>
      </c>
      <c r="M89" t="s">
        <v>25</v>
      </c>
    </row>
    <row r="90" spans="1:13" x14ac:dyDescent="0.25">
      <c r="A90" s="9">
        <v>3123755.65</v>
      </c>
      <c r="C90" s="11">
        <v>84000000</v>
      </c>
      <c r="D90">
        <v>0</v>
      </c>
      <c r="E90" s="12">
        <f t="shared" si="6"/>
        <v>0</v>
      </c>
      <c r="F90" s="12">
        <f t="shared" si="7"/>
        <v>0.99939999999999973</v>
      </c>
    </row>
    <row r="91" spans="1:13" x14ac:dyDescent="0.25">
      <c r="A91" s="9">
        <v>6689370.2800000003</v>
      </c>
      <c r="C91" s="11">
        <v>85000000</v>
      </c>
      <c r="D91">
        <v>0</v>
      </c>
      <c r="E91" s="12">
        <f t="shared" si="6"/>
        <v>0</v>
      </c>
      <c r="F91" s="12">
        <f t="shared" si="7"/>
        <v>0.99939999999999973</v>
      </c>
    </row>
    <row r="92" spans="1:13" x14ac:dyDescent="0.25">
      <c r="A92">
        <v>0</v>
      </c>
      <c r="C92" s="11">
        <v>86000000</v>
      </c>
      <c r="D92">
        <v>0</v>
      </c>
      <c r="E92" s="12">
        <f t="shared" si="6"/>
        <v>0</v>
      </c>
      <c r="F92" s="12">
        <f t="shared" si="7"/>
        <v>0.99939999999999973</v>
      </c>
    </row>
    <row r="93" spans="1:13" x14ac:dyDescent="0.25">
      <c r="A93" s="9">
        <v>3690678.74</v>
      </c>
      <c r="C93" s="11">
        <v>87000000</v>
      </c>
      <c r="D93">
        <v>1</v>
      </c>
      <c r="E93" s="12">
        <f t="shared" si="6"/>
        <v>1E-4</v>
      </c>
      <c r="F93" s="12">
        <f t="shared" si="7"/>
        <v>0.99949999999999972</v>
      </c>
    </row>
    <row r="94" spans="1:13" x14ac:dyDescent="0.25">
      <c r="A94">
        <v>0</v>
      </c>
      <c r="C94" s="11">
        <v>88000000</v>
      </c>
      <c r="D94">
        <v>1</v>
      </c>
      <c r="E94" s="12">
        <f t="shared" si="6"/>
        <v>1E-4</v>
      </c>
      <c r="F94" s="12">
        <f t="shared" si="7"/>
        <v>0.99959999999999971</v>
      </c>
    </row>
    <row r="95" spans="1:13" x14ac:dyDescent="0.25">
      <c r="A95" s="9">
        <v>17003355.440000001</v>
      </c>
      <c r="C95" s="11">
        <v>89000000</v>
      </c>
      <c r="D95">
        <v>0</v>
      </c>
      <c r="E95" s="12">
        <f t="shared" si="6"/>
        <v>0</v>
      </c>
      <c r="F95" s="12">
        <f t="shared" si="7"/>
        <v>0.99959999999999971</v>
      </c>
    </row>
    <row r="96" spans="1:13" x14ac:dyDescent="0.25">
      <c r="A96">
        <v>0</v>
      </c>
      <c r="C96" s="11">
        <v>90000000</v>
      </c>
      <c r="D96">
        <v>1</v>
      </c>
      <c r="E96" s="12">
        <f t="shared" si="6"/>
        <v>1E-4</v>
      </c>
      <c r="F96" s="12">
        <f t="shared" si="7"/>
        <v>0.9996999999999997</v>
      </c>
    </row>
    <row r="97" spans="1:6" x14ac:dyDescent="0.25">
      <c r="A97" s="9">
        <v>8534636.1199999992</v>
      </c>
      <c r="C97" s="11">
        <v>91000000</v>
      </c>
      <c r="D97">
        <v>0</v>
      </c>
      <c r="E97" s="12">
        <f t="shared" si="6"/>
        <v>0</v>
      </c>
      <c r="F97" s="12">
        <f t="shared" si="7"/>
        <v>0.9996999999999997</v>
      </c>
    </row>
    <row r="98" spans="1:6" x14ac:dyDescent="0.25">
      <c r="A98" s="9">
        <v>30127489.309999999</v>
      </c>
      <c r="C98" s="11">
        <v>92000000</v>
      </c>
      <c r="D98">
        <v>1</v>
      </c>
      <c r="E98" s="12">
        <f t="shared" si="6"/>
        <v>1E-4</v>
      </c>
      <c r="F98" s="12">
        <f t="shared" si="7"/>
        <v>0.99979999999999969</v>
      </c>
    </row>
    <row r="99" spans="1:6" x14ac:dyDescent="0.25">
      <c r="A99" s="9">
        <v>31378633.780000001</v>
      </c>
      <c r="C99" s="11">
        <v>93000000</v>
      </c>
      <c r="D99">
        <v>0</v>
      </c>
      <c r="E99" s="12">
        <f t="shared" si="6"/>
        <v>0</v>
      </c>
      <c r="F99" s="12">
        <f t="shared" si="7"/>
        <v>0.99979999999999969</v>
      </c>
    </row>
    <row r="100" spans="1:6" x14ac:dyDescent="0.25">
      <c r="A100">
        <v>0</v>
      </c>
      <c r="C100" s="11">
        <v>94000000</v>
      </c>
      <c r="D100">
        <v>0</v>
      </c>
      <c r="E100" s="12">
        <f t="shared" si="6"/>
        <v>0</v>
      </c>
      <c r="F100" s="12">
        <f t="shared" si="7"/>
        <v>0.99979999999999969</v>
      </c>
    </row>
    <row r="101" spans="1:6" x14ac:dyDescent="0.25">
      <c r="A101" s="9">
        <v>2157263.35</v>
      </c>
      <c r="C101" s="11">
        <v>95000000</v>
      </c>
      <c r="D101">
        <v>0</v>
      </c>
      <c r="E101" s="12">
        <f t="shared" si="6"/>
        <v>0</v>
      </c>
      <c r="F101" s="12">
        <f t="shared" si="7"/>
        <v>0.99979999999999969</v>
      </c>
    </row>
    <row r="102" spans="1:6" x14ac:dyDescent="0.25">
      <c r="A102" s="9">
        <v>3607450.91</v>
      </c>
      <c r="C102" s="11">
        <v>96000000</v>
      </c>
      <c r="D102">
        <v>1</v>
      </c>
      <c r="E102" s="12">
        <f t="shared" si="6"/>
        <v>1E-4</v>
      </c>
      <c r="F102" s="12">
        <f t="shared" si="7"/>
        <v>0.99989999999999968</v>
      </c>
    </row>
    <row r="103" spans="1:6" x14ac:dyDescent="0.25">
      <c r="A103" s="9">
        <v>28431687.609999999</v>
      </c>
      <c r="C103" s="11">
        <v>97000000</v>
      </c>
      <c r="D103">
        <v>1</v>
      </c>
      <c r="E103" s="12">
        <f t="shared" si="6"/>
        <v>1E-4</v>
      </c>
      <c r="F103" s="12">
        <f t="shared" si="7"/>
        <v>0.99999999999999967</v>
      </c>
    </row>
    <row r="104" spans="1:6" x14ac:dyDescent="0.25">
      <c r="A104" s="9">
        <v>65714.75</v>
      </c>
    </row>
    <row r="105" spans="1:6" x14ac:dyDescent="0.25">
      <c r="A105">
        <v>0</v>
      </c>
    </row>
    <row r="106" spans="1:6" x14ac:dyDescent="0.25">
      <c r="A106" s="9">
        <v>6482220.4500000002</v>
      </c>
    </row>
    <row r="107" spans="1:6" x14ac:dyDescent="0.25">
      <c r="A107" s="9">
        <v>6284073.7899999898</v>
      </c>
    </row>
    <row r="108" spans="1:6" x14ac:dyDescent="0.25">
      <c r="A108">
        <v>0</v>
      </c>
    </row>
    <row r="109" spans="1:6" x14ac:dyDescent="0.25">
      <c r="A109" s="9">
        <v>749263.86999999895</v>
      </c>
    </row>
    <row r="110" spans="1:6" x14ac:dyDescent="0.25">
      <c r="A110">
        <v>0</v>
      </c>
    </row>
    <row r="111" spans="1:6" x14ac:dyDescent="0.25">
      <c r="A111">
        <v>0</v>
      </c>
    </row>
    <row r="112" spans="1:6" x14ac:dyDescent="0.25">
      <c r="A112" s="9">
        <v>344197.05</v>
      </c>
    </row>
    <row r="113" spans="1:1" x14ac:dyDescent="0.25">
      <c r="A113" s="9">
        <v>53691202.039999999</v>
      </c>
    </row>
    <row r="114" spans="1:1" x14ac:dyDescent="0.25">
      <c r="A114" s="9">
        <v>16146343.289999999</v>
      </c>
    </row>
    <row r="115" spans="1:1" x14ac:dyDescent="0.25">
      <c r="A115" s="9">
        <v>5826830.6500000004</v>
      </c>
    </row>
    <row r="116" spans="1:1" x14ac:dyDescent="0.25">
      <c r="A116" s="9">
        <v>1152659.3999999999</v>
      </c>
    </row>
    <row r="117" spans="1:1" x14ac:dyDescent="0.25">
      <c r="A117">
        <v>0</v>
      </c>
    </row>
    <row r="118" spans="1:1" x14ac:dyDescent="0.25">
      <c r="A118" s="9">
        <v>303939.62</v>
      </c>
    </row>
    <row r="119" spans="1:1" x14ac:dyDescent="0.25">
      <c r="A119">
        <v>0</v>
      </c>
    </row>
    <row r="120" spans="1:1" x14ac:dyDescent="0.25">
      <c r="A120" s="9">
        <v>28846908.140000001</v>
      </c>
    </row>
    <row r="121" spans="1:1" x14ac:dyDescent="0.25">
      <c r="A121" s="9">
        <v>5401025.3599999901</v>
      </c>
    </row>
    <row r="122" spans="1:1" x14ac:dyDescent="0.25">
      <c r="A122" s="9">
        <v>24026916.84</v>
      </c>
    </row>
    <row r="123" spans="1:1" x14ac:dyDescent="0.25">
      <c r="A123" s="9">
        <v>8459530.8699999899</v>
      </c>
    </row>
    <row r="124" spans="1:1" x14ac:dyDescent="0.25">
      <c r="A124">
        <v>0</v>
      </c>
    </row>
    <row r="125" spans="1:1" x14ac:dyDescent="0.25">
      <c r="A125" s="9">
        <v>3554697.95</v>
      </c>
    </row>
    <row r="126" spans="1:1" x14ac:dyDescent="0.25">
      <c r="A126" s="9">
        <v>55802.559999999998</v>
      </c>
    </row>
    <row r="127" spans="1:1" x14ac:dyDescent="0.25">
      <c r="A127">
        <v>0</v>
      </c>
    </row>
    <row r="128" spans="1:1" x14ac:dyDescent="0.25">
      <c r="A128" s="9">
        <v>7190707.6199999899</v>
      </c>
    </row>
    <row r="129" spans="1:1" x14ac:dyDescent="0.25">
      <c r="A129" s="9">
        <v>303448.28999999998</v>
      </c>
    </row>
    <row r="130" spans="1:1" x14ac:dyDescent="0.25">
      <c r="A130" s="9">
        <v>323992.90000000002</v>
      </c>
    </row>
    <row r="131" spans="1:1" x14ac:dyDescent="0.25">
      <c r="A131">
        <v>0</v>
      </c>
    </row>
    <row r="132" spans="1:1" x14ac:dyDescent="0.25">
      <c r="A132">
        <v>0</v>
      </c>
    </row>
    <row r="133" spans="1:1" x14ac:dyDescent="0.25">
      <c r="A133">
        <v>0</v>
      </c>
    </row>
    <row r="134" spans="1:1" x14ac:dyDescent="0.25">
      <c r="A134" s="9">
        <v>449757.21</v>
      </c>
    </row>
    <row r="135" spans="1:1" x14ac:dyDescent="0.25">
      <c r="A135" s="9">
        <v>361563.12999999902</v>
      </c>
    </row>
    <row r="136" spans="1:1" x14ac:dyDescent="0.25">
      <c r="A136" s="9">
        <v>7732801.0899999999</v>
      </c>
    </row>
    <row r="137" spans="1:1" x14ac:dyDescent="0.25">
      <c r="A137" s="9">
        <v>106620.16</v>
      </c>
    </row>
    <row r="138" spans="1:1" x14ac:dyDescent="0.25">
      <c r="A138" s="9">
        <v>7356403.6499999901</v>
      </c>
    </row>
    <row r="139" spans="1:1" x14ac:dyDescent="0.25">
      <c r="A139">
        <v>0</v>
      </c>
    </row>
    <row r="140" spans="1:1" x14ac:dyDescent="0.25">
      <c r="A140" s="9">
        <v>18208511.73</v>
      </c>
    </row>
    <row r="141" spans="1:1" x14ac:dyDescent="0.25">
      <c r="A141" s="9">
        <v>517985.09</v>
      </c>
    </row>
    <row r="142" spans="1:1" x14ac:dyDescent="0.25">
      <c r="A142" s="9">
        <v>5801677.8300000001</v>
      </c>
    </row>
    <row r="143" spans="1:1" x14ac:dyDescent="0.25">
      <c r="A143" s="9">
        <v>3490166.03</v>
      </c>
    </row>
    <row r="144" spans="1:1" x14ac:dyDescent="0.25">
      <c r="A144" s="9">
        <v>9352515.0800000001</v>
      </c>
    </row>
    <row r="145" spans="1:1" x14ac:dyDescent="0.25">
      <c r="A145" s="9">
        <v>6455297.5599999996</v>
      </c>
    </row>
    <row r="146" spans="1:1" x14ac:dyDescent="0.25">
      <c r="A146">
        <v>0</v>
      </c>
    </row>
    <row r="147" spans="1:1" x14ac:dyDescent="0.25">
      <c r="A147">
        <v>1944663</v>
      </c>
    </row>
    <row r="148" spans="1:1" x14ac:dyDescent="0.25">
      <c r="A148" s="9">
        <v>5413745.6100000003</v>
      </c>
    </row>
    <row r="149" spans="1:1" x14ac:dyDescent="0.25">
      <c r="A149" s="9">
        <v>313414.21000000002</v>
      </c>
    </row>
    <row r="150" spans="1:1" x14ac:dyDescent="0.25">
      <c r="A150" s="9">
        <v>6093361.6599999899</v>
      </c>
    </row>
    <row r="151" spans="1:1" x14ac:dyDescent="0.25">
      <c r="A151" s="9">
        <v>368183.22</v>
      </c>
    </row>
    <row r="152" spans="1:1" x14ac:dyDescent="0.25">
      <c r="A152" s="9">
        <v>3556392.93</v>
      </c>
    </row>
    <row r="153" spans="1:1" x14ac:dyDescent="0.25">
      <c r="A153" s="9">
        <v>3092782.97</v>
      </c>
    </row>
    <row r="154" spans="1:1" x14ac:dyDescent="0.25">
      <c r="A154" s="9">
        <v>4681069.7899999898</v>
      </c>
    </row>
    <row r="155" spans="1:1" x14ac:dyDescent="0.25">
      <c r="A155" s="9">
        <v>1859578.63</v>
      </c>
    </row>
    <row r="156" spans="1:1" x14ac:dyDescent="0.25">
      <c r="A156">
        <v>0</v>
      </c>
    </row>
    <row r="157" spans="1:1" x14ac:dyDescent="0.25">
      <c r="A157" s="9">
        <v>1353725.28</v>
      </c>
    </row>
    <row r="158" spans="1:1" x14ac:dyDescent="0.25">
      <c r="A158" s="9">
        <v>2247206.6800000002</v>
      </c>
    </row>
    <row r="159" spans="1:1" x14ac:dyDescent="0.25">
      <c r="A159" s="9">
        <v>20597698.609999999</v>
      </c>
    </row>
    <row r="160" spans="1:1" x14ac:dyDescent="0.25">
      <c r="A160">
        <v>0</v>
      </c>
    </row>
    <row r="161" spans="1:1" x14ac:dyDescent="0.25">
      <c r="A161" s="9">
        <v>8543613.6199999899</v>
      </c>
    </row>
    <row r="162" spans="1:1" x14ac:dyDescent="0.25">
      <c r="A162" s="9">
        <v>300020.32</v>
      </c>
    </row>
    <row r="163" spans="1:1" x14ac:dyDescent="0.25">
      <c r="A163" s="9">
        <v>149183.43</v>
      </c>
    </row>
    <row r="164" spans="1:1" x14ac:dyDescent="0.25">
      <c r="A164" s="9">
        <v>6862280.9800000004</v>
      </c>
    </row>
    <row r="165" spans="1:1" x14ac:dyDescent="0.25">
      <c r="A165" s="9">
        <v>1260122.0900000001</v>
      </c>
    </row>
    <row r="166" spans="1:1" x14ac:dyDescent="0.25">
      <c r="A166" s="9">
        <v>573266.179999999</v>
      </c>
    </row>
    <row r="167" spans="1:1" x14ac:dyDescent="0.25">
      <c r="A167" s="9">
        <v>5567814.2699999996</v>
      </c>
    </row>
    <row r="168" spans="1:1" x14ac:dyDescent="0.25">
      <c r="A168" s="9">
        <v>4226170.99</v>
      </c>
    </row>
    <row r="169" spans="1:1" x14ac:dyDescent="0.25">
      <c r="A169">
        <v>0</v>
      </c>
    </row>
    <row r="170" spans="1:1" x14ac:dyDescent="0.25">
      <c r="A170" s="9">
        <v>2409735.87</v>
      </c>
    </row>
    <row r="171" spans="1:1" x14ac:dyDescent="0.25">
      <c r="A171" s="9">
        <v>3466692.76</v>
      </c>
    </row>
    <row r="172" spans="1:1" x14ac:dyDescent="0.25">
      <c r="A172" s="9">
        <v>254708.4</v>
      </c>
    </row>
    <row r="173" spans="1:1" x14ac:dyDescent="0.25">
      <c r="A173" s="9">
        <v>1591094.9</v>
      </c>
    </row>
    <row r="174" spans="1:1" x14ac:dyDescent="0.25">
      <c r="A174">
        <v>0</v>
      </c>
    </row>
    <row r="175" spans="1:1" x14ac:dyDescent="0.25">
      <c r="A175">
        <v>218712</v>
      </c>
    </row>
    <row r="176" spans="1:1" x14ac:dyDescent="0.25">
      <c r="A176" s="9">
        <v>153527.42000000001</v>
      </c>
    </row>
    <row r="177" spans="1:1" x14ac:dyDescent="0.25">
      <c r="A177" s="9">
        <v>48419059.469999999</v>
      </c>
    </row>
    <row r="178" spans="1:1" x14ac:dyDescent="0.25">
      <c r="A178" s="9">
        <v>5302466.3899999997</v>
      </c>
    </row>
    <row r="179" spans="1:1" x14ac:dyDescent="0.25">
      <c r="A179" s="9">
        <v>47534.38</v>
      </c>
    </row>
    <row r="180" spans="1:1" x14ac:dyDescent="0.25">
      <c r="A180" s="9">
        <v>34572728.079999998</v>
      </c>
    </row>
    <row r="181" spans="1:1" x14ac:dyDescent="0.25">
      <c r="A181" s="9">
        <v>179642.07</v>
      </c>
    </row>
    <row r="182" spans="1:1" x14ac:dyDescent="0.25">
      <c r="A182" s="9">
        <v>2008457.92</v>
      </c>
    </row>
    <row r="183" spans="1:1" x14ac:dyDescent="0.25">
      <c r="A183" s="9">
        <v>86299554.200000003</v>
      </c>
    </row>
    <row r="184" spans="1:1" x14ac:dyDescent="0.25">
      <c r="A184" s="9">
        <v>7047924.02999999</v>
      </c>
    </row>
    <row r="185" spans="1:1" x14ac:dyDescent="0.25">
      <c r="A185" s="9">
        <v>156727.75</v>
      </c>
    </row>
    <row r="186" spans="1:1" x14ac:dyDescent="0.25">
      <c r="A186" s="9">
        <v>414001.26</v>
      </c>
    </row>
    <row r="187" spans="1:1" x14ac:dyDescent="0.25">
      <c r="A187" s="9">
        <v>4975511.17</v>
      </c>
    </row>
    <row r="188" spans="1:1" x14ac:dyDescent="0.25">
      <c r="A188" s="9">
        <v>228008.02</v>
      </c>
    </row>
    <row r="189" spans="1:1" x14ac:dyDescent="0.25">
      <c r="A189">
        <v>0</v>
      </c>
    </row>
    <row r="190" spans="1:1" x14ac:dyDescent="0.25">
      <c r="A190">
        <v>0</v>
      </c>
    </row>
    <row r="191" spans="1:1" x14ac:dyDescent="0.25">
      <c r="A191" s="9">
        <v>4170327.58</v>
      </c>
    </row>
    <row r="192" spans="1:1" x14ac:dyDescent="0.25">
      <c r="A192" s="9">
        <v>347312.75</v>
      </c>
    </row>
    <row r="193" spans="1:1" x14ac:dyDescent="0.25">
      <c r="A193" s="9">
        <v>277698.15000000002</v>
      </c>
    </row>
    <row r="194" spans="1:1" x14ac:dyDescent="0.25">
      <c r="A194" s="9">
        <v>1758228.93</v>
      </c>
    </row>
    <row r="195" spans="1:1" x14ac:dyDescent="0.25">
      <c r="A195">
        <v>0</v>
      </c>
    </row>
    <row r="196" spans="1:1" x14ac:dyDescent="0.25">
      <c r="A196" s="9">
        <v>759928.87</v>
      </c>
    </row>
    <row r="197" spans="1:1" x14ac:dyDescent="0.25">
      <c r="A197" s="9">
        <v>1628346.15</v>
      </c>
    </row>
    <row r="198" spans="1:1" x14ac:dyDescent="0.25">
      <c r="A198" s="9">
        <v>12842000.189999999</v>
      </c>
    </row>
    <row r="199" spans="1:1" x14ac:dyDescent="0.25">
      <c r="A199">
        <v>0</v>
      </c>
    </row>
    <row r="200" spans="1:1" x14ac:dyDescent="0.25">
      <c r="A200" s="9">
        <v>15623882.52</v>
      </c>
    </row>
    <row r="201" spans="1:1" x14ac:dyDescent="0.25">
      <c r="A201" s="9">
        <v>6916834.8999999901</v>
      </c>
    </row>
    <row r="202" spans="1:1" x14ac:dyDescent="0.25">
      <c r="A202" s="9">
        <v>35272863.100000001</v>
      </c>
    </row>
    <row r="203" spans="1:1" x14ac:dyDescent="0.25">
      <c r="A203" s="9">
        <v>1205919.6000000001</v>
      </c>
    </row>
    <row r="204" spans="1:1" x14ac:dyDescent="0.25">
      <c r="A204">
        <v>0</v>
      </c>
    </row>
    <row r="205" spans="1:1" x14ac:dyDescent="0.25">
      <c r="A205" s="9">
        <v>10004820.890000001</v>
      </c>
    </row>
    <row r="206" spans="1:1" x14ac:dyDescent="0.25">
      <c r="A206" s="9">
        <v>10844333.59</v>
      </c>
    </row>
    <row r="207" spans="1:1" x14ac:dyDescent="0.25">
      <c r="A207" s="9">
        <v>7838077.1299999999</v>
      </c>
    </row>
    <row r="208" spans="1:1" x14ac:dyDescent="0.25">
      <c r="A208" s="9">
        <v>19496358.059999999</v>
      </c>
    </row>
    <row r="209" spans="1:1" x14ac:dyDescent="0.25">
      <c r="A209" s="9">
        <v>877389.27</v>
      </c>
    </row>
    <row r="210" spans="1:1" x14ac:dyDescent="0.25">
      <c r="A210">
        <v>0</v>
      </c>
    </row>
    <row r="211" spans="1:1" x14ac:dyDescent="0.25">
      <c r="A211">
        <v>0</v>
      </c>
    </row>
    <row r="212" spans="1:1" x14ac:dyDescent="0.25">
      <c r="A212" s="9">
        <v>145009.26</v>
      </c>
    </row>
    <row r="213" spans="1:1" x14ac:dyDescent="0.25">
      <c r="A213">
        <v>0</v>
      </c>
    </row>
    <row r="214" spans="1:1" x14ac:dyDescent="0.25">
      <c r="A214" s="9">
        <v>15127986.619999999</v>
      </c>
    </row>
    <row r="215" spans="1:1" x14ac:dyDescent="0.25">
      <c r="A215" s="9">
        <v>2411880.09</v>
      </c>
    </row>
    <row r="216" spans="1:1" x14ac:dyDescent="0.25">
      <c r="A216" s="9">
        <v>2098426.0499999998</v>
      </c>
    </row>
    <row r="217" spans="1:1" x14ac:dyDescent="0.25">
      <c r="A217" s="9">
        <v>1434152.8</v>
      </c>
    </row>
    <row r="218" spans="1:1" x14ac:dyDescent="0.25">
      <c r="A218" s="9">
        <v>2626480.9199999901</v>
      </c>
    </row>
    <row r="219" spans="1:1" x14ac:dyDescent="0.25">
      <c r="A219" s="9">
        <v>2870195.39</v>
      </c>
    </row>
    <row r="220" spans="1:1" x14ac:dyDescent="0.25">
      <c r="A220" s="9">
        <v>3181590.82</v>
      </c>
    </row>
    <row r="221" spans="1:1" x14ac:dyDescent="0.25">
      <c r="A221" s="9">
        <v>288218.7</v>
      </c>
    </row>
    <row r="222" spans="1:1" x14ac:dyDescent="0.25">
      <c r="A222" s="9">
        <v>149771.68</v>
      </c>
    </row>
    <row r="223" spans="1:1" x14ac:dyDescent="0.25">
      <c r="A223" s="9">
        <v>571470.05000000005</v>
      </c>
    </row>
    <row r="224" spans="1:1" x14ac:dyDescent="0.25">
      <c r="A224" s="9">
        <v>5374150.9800000004</v>
      </c>
    </row>
    <row r="225" spans="1:1" x14ac:dyDescent="0.25">
      <c r="A225">
        <v>0</v>
      </c>
    </row>
    <row r="226" spans="1:1" x14ac:dyDescent="0.25">
      <c r="A226" s="9">
        <v>2541666.48</v>
      </c>
    </row>
    <row r="227" spans="1:1" x14ac:dyDescent="0.25">
      <c r="A227" s="9">
        <v>6282915.4699999997</v>
      </c>
    </row>
    <row r="228" spans="1:1" x14ac:dyDescent="0.25">
      <c r="A228" s="9">
        <v>28432.95</v>
      </c>
    </row>
    <row r="229" spans="1:1" x14ac:dyDescent="0.25">
      <c r="A229" s="9">
        <v>20886365</v>
      </c>
    </row>
    <row r="230" spans="1:1" x14ac:dyDescent="0.25">
      <c r="A230" s="9">
        <v>428008.47</v>
      </c>
    </row>
    <row r="231" spans="1:1" x14ac:dyDescent="0.25">
      <c r="A231" s="9">
        <v>173251.05</v>
      </c>
    </row>
    <row r="232" spans="1:1" x14ac:dyDescent="0.25">
      <c r="A232" s="9">
        <v>105283.26</v>
      </c>
    </row>
    <row r="233" spans="1:1" x14ac:dyDescent="0.25">
      <c r="A233" s="9">
        <v>78296248.810000002</v>
      </c>
    </row>
    <row r="234" spans="1:1" x14ac:dyDescent="0.25">
      <c r="A234" s="9">
        <v>14186245.619999999</v>
      </c>
    </row>
    <row r="235" spans="1:1" x14ac:dyDescent="0.25">
      <c r="A235" s="9">
        <v>4240103.8499999996</v>
      </c>
    </row>
    <row r="236" spans="1:1" x14ac:dyDescent="0.25">
      <c r="A236" s="9">
        <v>221295.23</v>
      </c>
    </row>
    <row r="237" spans="1:1" x14ac:dyDescent="0.25">
      <c r="A237" s="9">
        <v>6753038.5499999998</v>
      </c>
    </row>
    <row r="238" spans="1:1" x14ac:dyDescent="0.25">
      <c r="A238">
        <v>0</v>
      </c>
    </row>
    <row r="239" spans="1:1" x14ac:dyDescent="0.25">
      <c r="A239" s="9">
        <v>1971898.4</v>
      </c>
    </row>
    <row r="240" spans="1:1" x14ac:dyDescent="0.25">
      <c r="A240">
        <v>0</v>
      </c>
    </row>
    <row r="241" spans="1:1" x14ac:dyDescent="0.25">
      <c r="A241">
        <v>0</v>
      </c>
    </row>
    <row r="242" spans="1:1" x14ac:dyDescent="0.25">
      <c r="A242" s="9">
        <v>63686.03</v>
      </c>
    </row>
    <row r="243" spans="1:1" x14ac:dyDescent="0.25">
      <c r="A243" s="9">
        <v>30694056.129999999</v>
      </c>
    </row>
    <row r="244" spans="1:1" x14ac:dyDescent="0.25">
      <c r="A244" s="9">
        <v>1314558.93</v>
      </c>
    </row>
    <row r="245" spans="1:1" x14ac:dyDescent="0.25">
      <c r="A245" s="9">
        <v>167119.70000000001</v>
      </c>
    </row>
    <row r="246" spans="1:1" x14ac:dyDescent="0.25">
      <c r="A246" s="9">
        <v>2914572.28</v>
      </c>
    </row>
    <row r="247" spans="1:1" x14ac:dyDescent="0.25">
      <c r="A247" s="9">
        <v>5303346.76</v>
      </c>
    </row>
    <row r="248" spans="1:1" x14ac:dyDescent="0.25">
      <c r="A248" s="9">
        <v>1865382.61</v>
      </c>
    </row>
    <row r="249" spans="1:1" x14ac:dyDescent="0.25">
      <c r="A249" s="9">
        <v>5759710.0700000003</v>
      </c>
    </row>
    <row r="250" spans="1:1" x14ac:dyDescent="0.25">
      <c r="A250" s="9">
        <v>1586207.72</v>
      </c>
    </row>
    <row r="251" spans="1:1" x14ac:dyDescent="0.25">
      <c r="A251" s="9">
        <v>7913839.3199999901</v>
      </c>
    </row>
    <row r="252" spans="1:1" x14ac:dyDescent="0.25">
      <c r="A252" s="9">
        <v>9505314.9000000004</v>
      </c>
    </row>
    <row r="253" spans="1:1" x14ac:dyDescent="0.25">
      <c r="A253" s="9">
        <v>9247570.1400000006</v>
      </c>
    </row>
    <row r="254" spans="1:1" x14ac:dyDescent="0.25">
      <c r="A254" s="9">
        <v>14096830.83</v>
      </c>
    </row>
    <row r="255" spans="1:1" x14ac:dyDescent="0.25">
      <c r="A255" s="9">
        <v>13452552.890000001</v>
      </c>
    </row>
    <row r="256" spans="1:1" x14ac:dyDescent="0.25">
      <c r="A256" s="9">
        <v>2165168.56</v>
      </c>
    </row>
    <row r="257" spans="1:1" x14ac:dyDescent="0.25">
      <c r="A257">
        <v>0</v>
      </c>
    </row>
    <row r="258" spans="1:1" x14ac:dyDescent="0.25">
      <c r="A258" s="9">
        <v>532008.04</v>
      </c>
    </row>
    <row r="259" spans="1:1" x14ac:dyDescent="0.25">
      <c r="A259" s="9">
        <v>193295.96</v>
      </c>
    </row>
    <row r="260" spans="1:1" x14ac:dyDescent="0.25">
      <c r="A260" s="9">
        <v>197756.64</v>
      </c>
    </row>
    <row r="261" spans="1:1" x14ac:dyDescent="0.25">
      <c r="A261" s="9">
        <v>2441747.16</v>
      </c>
    </row>
    <row r="262" spans="1:1" x14ac:dyDescent="0.25">
      <c r="A262" s="9">
        <v>16090716.67</v>
      </c>
    </row>
    <row r="263" spans="1:1" x14ac:dyDescent="0.25">
      <c r="A263" s="9">
        <v>4365995.88</v>
      </c>
    </row>
    <row r="264" spans="1:1" x14ac:dyDescent="0.25">
      <c r="A264" s="9">
        <v>124401.86</v>
      </c>
    </row>
    <row r="265" spans="1:1" x14ac:dyDescent="0.25">
      <c r="A265" s="9">
        <v>388214.76</v>
      </c>
    </row>
    <row r="266" spans="1:1" x14ac:dyDescent="0.25">
      <c r="A266" s="9">
        <v>4849998.0999999996</v>
      </c>
    </row>
    <row r="267" spans="1:1" x14ac:dyDescent="0.25">
      <c r="A267" s="9">
        <v>11687384.470000001</v>
      </c>
    </row>
    <row r="268" spans="1:1" x14ac:dyDescent="0.25">
      <c r="A268" s="9">
        <v>4350529.58</v>
      </c>
    </row>
    <row r="269" spans="1:1" x14ac:dyDescent="0.25">
      <c r="A269" s="9">
        <v>736977.08</v>
      </c>
    </row>
    <row r="270" spans="1:1" x14ac:dyDescent="0.25">
      <c r="A270" s="9">
        <v>168115.79</v>
      </c>
    </row>
    <row r="271" spans="1:1" x14ac:dyDescent="0.25">
      <c r="A271" s="9">
        <v>2927770.3799999901</v>
      </c>
    </row>
    <row r="272" spans="1:1" x14ac:dyDescent="0.25">
      <c r="A272" s="9">
        <v>9496323.3399999905</v>
      </c>
    </row>
    <row r="273" spans="1:1" x14ac:dyDescent="0.25">
      <c r="A273" s="9">
        <v>3549715.16</v>
      </c>
    </row>
    <row r="274" spans="1:1" x14ac:dyDescent="0.25">
      <c r="A274">
        <v>0</v>
      </c>
    </row>
    <row r="275" spans="1:1" x14ac:dyDescent="0.25">
      <c r="A275">
        <v>0</v>
      </c>
    </row>
    <row r="276" spans="1:1" x14ac:dyDescent="0.25">
      <c r="A276" s="9">
        <v>15201140.93</v>
      </c>
    </row>
    <row r="277" spans="1:1" x14ac:dyDescent="0.25">
      <c r="A277">
        <v>0</v>
      </c>
    </row>
    <row r="278" spans="1:1" x14ac:dyDescent="0.25">
      <c r="A278">
        <v>797124</v>
      </c>
    </row>
    <row r="279" spans="1:1" x14ac:dyDescent="0.25">
      <c r="A279" s="9">
        <v>23064473.370000001</v>
      </c>
    </row>
    <row r="280" spans="1:1" x14ac:dyDescent="0.25">
      <c r="A280" s="9">
        <v>49556509.130000003</v>
      </c>
    </row>
    <row r="281" spans="1:1" x14ac:dyDescent="0.25">
      <c r="A281" s="9">
        <v>170807.67999999999</v>
      </c>
    </row>
    <row r="282" spans="1:1" x14ac:dyDescent="0.25">
      <c r="A282" s="9">
        <v>1643535.43</v>
      </c>
    </row>
    <row r="283" spans="1:1" x14ac:dyDescent="0.25">
      <c r="A283">
        <v>0</v>
      </c>
    </row>
    <row r="284" spans="1:1" x14ac:dyDescent="0.25">
      <c r="A284" s="9">
        <v>69989.64</v>
      </c>
    </row>
    <row r="285" spans="1:1" x14ac:dyDescent="0.25">
      <c r="A285" s="9">
        <v>25865809.129999999</v>
      </c>
    </row>
    <row r="286" spans="1:1" x14ac:dyDescent="0.25">
      <c r="A286" s="9">
        <v>12158711.4</v>
      </c>
    </row>
    <row r="287" spans="1:1" x14ac:dyDescent="0.25">
      <c r="A287" s="9">
        <v>2309072.34</v>
      </c>
    </row>
    <row r="288" spans="1:1" x14ac:dyDescent="0.25">
      <c r="A288">
        <v>0</v>
      </c>
    </row>
    <row r="289" spans="1:1" x14ac:dyDescent="0.25">
      <c r="A289" s="9">
        <v>128802.6</v>
      </c>
    </row>
    <row r="290" spans="1:1" x14ac:dyDescent="0.25">
      <c r="A290">
        <v>0</v>
      </c>
    </row>
    <row r="291" spans="1:1" x14ac:dyDescent="0.25">
      <c r="A291" s="9">
        <v>6200829.29</v>
      </c>
    </row>
    <row r="292" spans="1:1" x14ac:dyDescent="0.25">
      <c r="A292" s="9">
        <v>13597745.34</v>
      </c>
    </row>
    <row r="293" spans="1:1" x14ac:dyDescent="0.25">
      <c r="A293" s="9">
        <v>345111.8</v>
      </c>
    </row>
    <row r="294" spans="1:1" x14ac:dyDescent="0.25">
      <c r="A294" s="9">
        <v>12516236.880000001</v>
      </c>
    </row>
    <row r="295" spans="1:1" x14ac:dyDescent="0.25">
      <c r="A295" s="9">
        <v>69989.64</v>
      </c>
    </row>
    <row r="296" spans="1:1" x14ac:dyDescent="0.25">
      <c r="A296" s="9">
        <v>551064.75</v>
      </c>
    </row>
    <row r="297" spans="1:1" x14ac:dyDescent="0.25">
      <c r="A297" s="9">
        <v>6965539.3899999997</v>
      </c>
    </row>
    <row r="298" spans="1:1" x14ac:dyDescent="0.25">
      <c r="A298">
        <v>0</v>
      </c>
    </row>
    <row r="299" spans="1:1" x14ac:dyDescent="0.25">
      <c r="A299">
        <v>0</v>
      </c>
    </row>
    <row r="300" spans="1:1" x14ac:dyDescent="0.25">
      <c r="A300" s="9">
        <v>14647005.109999999</v>
      </c>
    </row>
    <row r="301" spans="1:1" x14ac:dyDescent="0.25">
      <c r="A301" s="9">
        <v>150470.76</v>
      </c>
    </row>
    <row r="302" spans="1:1" x14ac:dyDescent="0.25">
      <c r="A302" s="9">
        <v>89675.3</v>
      </c>
    </row>
    <row r="303" spans="1:1" x14ac:dyDescent="0.25">
      <c r="A303" s="9">
        <v>38686996.289999902</v>
      </c>
    </row>
    <row r="304" spans="1:1" x14ac:dyDescent="0.25">
      <c r="A304">
        <v>0</v>
      </c>
    </row>
    <row r="305" spans="1:1" x14ac:dyDescent="0.25">
      <c r="A305">
        <v>15669559</v>
      </c>
    </row>
    <row r="306" spans="1:1" x14ac:dyDescent="0.25">
      <c r="A306" s="9">
        <v>13780517.57</v>
      </c>
    </row>
    <row r="307" spans="1:1" x14ac:dyDescent="0.25">
      <c r="A307" s="9">
        <v>5303061.12</v>
      </c>
    </row>
    <row r="308" spans="1:1" x14ac:dyDescent="0.25">
      <c r="A308">
        <v>0</v>
      </c>
    </row>
    <row r="309" spans="1:1" x14ac:dyDescent="0.25">
      <c r="A309" s="9">
        <v>7599066.5800000001</v>
      </c>
    </row>
    <row r="310" spans="1:1" x14ac:dyDescent="0.25">
      <c r="A310" s="9">
        <v>5110145.0199999996</v>
      </c>
    </row>
    <row r="311" spans="1:1" x14ac:dyDescent="0.25">
      <c r="A311" s="9">
        <v>314832.24</v>
      </c>
    </row>
    <row r="312" spans="1:1" x14ac:dyDescent="0.25">
      <c r="A312" s="9">
        <v>36354008.240000002</v>
      </c>
    </row>
    <row r="313" spans="1:1" x14ac:dyDescent="0.25">
      <c r="A313" s="9">
        <v>12313141.029999999</v>
      </c>
    </row>
    <row r="314" spans="1:1" x14ac:dyDescent="0.25">
      <c r="A314">
        <v>0</v>
      </c>
    </row>
    <row r="315" spans="1:1" x14ac:dyDescent="0.25">
      <c r="A315" s="9">
        <v>1789780.04</v>
      </c>
    </row>
    <row r="316" spans="1:1" x14ac:dyDescent="0.25">
      <c r="A316" s="9">
        <v>24920216.079999998</v>
      </c>
    </row>
    <row r="317" spans="1:1" x14ac:dyDescent="0.25">
      <c r="A317" s="9">
        <v>5588287.6100000003</v>
      </c>
    </row>
    <row r="318" spans="1:1" x14ac:dyDescent="0.25">
      <c r="A318" s="9">
        <v>16863929.649999999</v>
      </c>
    </row>
    <row r="319" spans="1:1" x14ac:dyDescent="0.25">
      <c r="A319" s="9">
        <v>16277991.43</v>
      </c>
    </row>
    <row r="320" spans="1:1" x14ac:dyDescent="0.25">
      <c r="A320" s="9">
        <v>288218.7</v>
      </c>
    </row>
    <row r="321" spans="1:1" x14ac:dyDescent="0.25">
      <c r="A321" s="9">
        <v>5714985.5499999998</v>
      </c>
    </row>
    <row r="322" spans="1:1" x14ac:dyDescent="0.25">
      <c r="A322" s="9">
        <v>99811.08</v>
      </c>
    </row>
    <row r="323" spans="1:1" x14ac:dyDescent="0.25">
      <c r="A323" s="9">
        <v>12644210.029999999</v>
      </c>
    </row>
    <row r="324" spans="1:1" x14ac:dyDescent="0.25">
      <c r="A324" s="9">
        <v>3183962.26</v>
      </c>
    </row>
    <row r="325" spans="1:1" x14ac:dyDescent="0.25">
      <c r="A325" s="9">
        <v>337169.47</v>
      </c>
    </row>
    <row r="326" spans="1:1" x14ac:dyDescent="0.25">
      <c r="A326" s="9">
        <v>13961639.67</v>
      </c>
    </row>
    <row r="327" spans="1:1" x14ac:dyDescent="0.25">
      <c r="A327" s="9">
        <v>1648815.93</v>
      </c>
    </row>
    <row r="328" spans="1:1" x14ac:dyDescent="0.25">
      <c r="A328" s="9">
        <v>314832.24</v>
      </c>
    </row>
    <row r="329" spans="1:1" x14ac:dyDescent="0.25">
      <c r="A329">
        <v>0</v>
      </c>
    </row>
    <row r="330" spans="1:1" x14ac:dyDescent="0.25">
      <c r="A330" s="9">
        <v>6225190.1900000004</v>
      </c>
    </row>
    <row r="331" spans="1:1" x14ac:dyDescent="0.25">
      <c r="A331" s="9">
        <v>2332738.17</v>
      </c>
    </row>
    <row r="332" spans="1:1" x14ac:dyDescent="0.25">
      <c r="A332" s="9">
        <v>4260602.43</v>
      </c>
    </row>
    <row r="333" spans="1:1" x14ac:dyDescent="0.25">
      <c r="A333" s="9">
        <v>13045563.199999999</v>
      </c>
    </row>
    <row r="334" spans="1:1" x14ac:dyDescent="0.25">
      <c r="A334" s="9">
        <v>2287919.5</v>
      </c>
    </row>
    <row r="335" spans="1:1" x14ac:dyDescent="0.25">
      <c r="A335" s="9">
        <v>5010459.6900000004</v>
      </c>
    </row>
    <row r="336" spans="1:1" x14ac:dyDescent="0.25">
      <c r="A336" s="9">
        <v>5666456.04</v>
      </c>
    </row>
    <row r="337" spans="1:1" x14ac:dyDescent="0.25">
      <c r="A337" s="9">
        <v>6980935.1500000004</v>
      </c>
    </row>
    <row r="338" spans="1:1" x14ac:dyDescent="0.25">
      <c r="A338" s="9">
        <v>4947583.76</v>
      </c>
    </row>
    <row r="339" spans="1:1" x14ac:dyDescent="0.25">
      <c r="A339" s="9">
        <v>2330789.8199999998</v>
      </c>
    </row>
    <row r="340" spans="1:1" x14ac:dyDescent="0.25">
      <c r="A340">
        <v>0</v>
      </c>
    </row>
    <row r="341" spans="1:1" x14ac:dyDescent="0.25">
      <c r="A341" s="9">
        <v>1789246.86</v>
      </c>
    </row>
    <row r="342" spans="1:1" x14ac:dyDescent="0.25">
      <c r="A342">
        <v>0</v>
      </c>
    </row>
    <row r="343" spans="1:1" x14ac:dyDescent="0.25">
      <c r="A343" s="9">
        <v>38468824.130000003</v>
      </c>
    </row>
    <row r="344" spans="1:1" x14ac:dyDescent="0.25">
      <c r="A344" s="9">
        <v>2096417.62</v>
      </c>
    </row>
    <row r="345" spans="1:1" x14ac:dyDescent="0.25">
      <c r="A345" s="9">
        <v>1406504.61</v>
      </c>
    </row>
    <row r="346" spans="1:1" x14ac:dyDescent="0.25">
      <c r="A346" s="9">
        <v>29607950.670000002</v>
      </c>
    </row>
    <row r="347" spans="1:1" x14ac:dyDescent="0.25">
      <c r="A347" s="9">
        <v>2098426.0499999998</v>
      </c>
    </row>
    <row r="348" spans="1:1" x14ac:dyDescent="0.25">
      <c r="A348" s="9">
        <v>2887742.18</v>
      </c>
    </row>
    <row r="349" spans="1:1" x14ac:dyDescent="0.25">
      <c r="A349" s="9">
        <v>1088320.45</v>
      </c>
    </row>
    <row r="350" spans="1:1" x14ac:dyDescent="0.25">
      <c r="A350" s="9">
        <v>795030.96</v>
      </c>
    </row>
    <row r="351" spans="1:1" x14ac:dyDescent="0.25">
      <c r="A351" s="9">
        <v>329142.84000000003</v>
      </c>
    </row>
    <row r="352" spans="1:1" x14ac:dyDescent="0.25">
      <c r="A352" s="9">
        <v>5389961.7599999998</v>
      </c>
    </row>
    <row r="353" spans="1:1" x14ac:dyDescent="0.25">
      <c r="A353" s="9">
        <v>243614.5</v>
      </c>
    </row>
    <row r="354" spans="1:1" x14ac:dyDescent="0.25">
      <c r="A354" s="9">
        <v>8810490.6999999993</v>
      </c>
    </row>
    <row r="355" spans="1:1" x14ac:dyDescent="0.25">
      <c r="A355">
        <v>0</v>
      </c>
    </row>
    <row r="356" spans="1:1" x14ac:dyDescent="0.25">
      <c r="A356" s="9">
        <v>3602973.74</v>
      </c>
    </row>
    <row r="357" spans="1:1" x14ac:dyDescent="0.25">
      <c r="A357" s="9">
        <v>10615429.67</v>
      </c>
    </row>
    <row r="358" spans="1:1" x14ac:dyDescent="0.25">
      <c r="A358" s="9">
        <v>798651.45</v>
      </c>
    </row>
    <row r="359" spans="1:1" x14ac:dyDescent="0.25">
      <c r="A359" s="9">
        <v>84247.89</v>
      </c>
    </row>
    <row r="360" spans="1:1" x14ac:dyDescent="0.25">
      <c r="A360" s="9">
        <v>12241782.550000001</v>
      </c>
    </row>
    <row r="361" spans="1:1" x14ac:dyDescent="0.25">
      <c r="A361" s="9">
        <v>4456094.09</v>
      </c>
    </row>
    <row r="362" spans="1:1" x14ac:dyDescent="0.25">
      <c r="A362">
        <v>0</v>
      </c>
    </row>
    <row r="363" spans="1:1" x14ac:dyDescent="0.25">
      <c r="A363" s="9">
        <v>198314.48</v>
      </c>
    </row>
    <row r="364" spans="1:1" x14ac:dyDescent="0.25">
      <c r="A364" s="9">
        <v>179916.43</v>
      </c>
    </row>
    <row r="365" spans="1:1" x14ac:dyDescent="0.25">
      <c r="A365" s="9">
        <v>2965361.92</v>
      </c>
    </row>
    <row r="366" spans="1:1" x14ac:dyDescent="0.25">
      <c r="A366" s="9">
        <v>480183.47</v>
      </c>
    </row>
    <row r="367" spans="1:1" x14ac:dyDescent="0.25">
      <c r="A367" s="9">
        <v>4419999.58</v>
      </c>
    </row>
    <row r="368" spans="1:1" x14ac:dyDescent="0.25">
      <c r="A368" s="9">
        <v>1291324.01</v>
      </c>
    </row>
    <row r="369" spans="1:1" x14ac:dyDescent="0.25">
      <c r="A369">
        <v>0</v>
      </c>
    </row>
    <row r="370" spans="1:1" x14ac:dyDescent="0.25">
      <c r="A370" s="9">
        <v>2945170.51</v>
      </c>
    </row>
    <row r="371" spans="1:1" x14ac:dyDescent="0.25">
      <c r="A371" s="9">
        <v>3609631.18</v>
      </c>
    </row>
    <row r="372" spans="1:1" x14ac:dyDescent="0.25">
      <c r="A372" s="9">
        <v>432701.46</v>
      </c>
    </row>
    <row r="373" spans="1:1" x14ac:dyDescent="0.25">
      <c r="A373" s="9">
        <v>150470.76</v>
      </c>
    </row>
    <row r="374" spans="1:1" x14ac:dyDescent="0.25">
      <c r="A374" s="9">
        <v>37979654.489999898</v>
      </c>
    </row>
    <row r="375" spans="1:1" x14ac:dyDescent="0.25">
      <c r="A375" s="9">
        <v>71464543.760000005</v>
      </c>
    </row>
    <row r="376" spans="1:1" x14ac:dyDescent="0.25">
      <c r="A376" s="9">
        <v>2411457.75</v>
      </c>
    </row>
    <row r="377" spans="1:1" x14ac:dyDescent="0.25">
      <c r="A377" s="9">
        <v>3621438.68</v>
      </c>
    </row>
    <row r="378" spans="1:1" x14ac:dyDescent="0.25">
      <c r="A378" s="9">
        <v>3089734.44</v>
      </c>
    </row>
    <row r="379" spans="1:1" x14ac:dyDescent="0.25">
      <c r="A379" s="9">
        <v>27399411.719999999</v>
      </c>
    </row>
    <row r="380" spans="1:1" x14ac:dyDescent="0.25">
      <c r="A380" s="9">
        <v>559537.13999999897</v>
      </c>
    </row>
    <row r="381" spans="1:1" x14ac:dyDescent="0.25">
      <c r="A381" s="9">
        <v>492563.34</v>
      </c>
    </row>
    <row r="382" spans="1:1" x14ac:dyDescent="0.25">
      <c r="A382">
        <v>0</v>
      </c>
    </row>
    <row r="383" spans="1:1" x14ac:dyDescent="0.25">
      <c r="A383" s="9">
        <v>5919885.6999999899</v>
      </c>
    </row>
    <row r="384" spans="1:1" x14ac:dyDescent="0.25">
      <c r="A384">
        <v>0</v>
      </c>
    </row>
    <row r="385" spans="1:1" x14ac:dyDescent="0.25">
      <c r="A385">
        <v>0</v>
      </c>
    </row>
    <row r="386" spans="1:1" x14ac:dyDescent="0.25">
      <c r="A386">
        <v>0</v>
      </c>
    </row>
    <row r="387" spans="1:1" x14ac:dyDescent="0.25">
      <c r="A387" s="9">
        <v>262079.26</v>
      </c>
    </row>
    <row r="388" spans="1:1" x14ac:dyDescent="0.25">
      <c r="A388" s="9">
        <v>5203094.47</v>
      </c>
    </row>
    <row r="389" spans="1:1" x14ac:dyDescent="0.25">
      <c r="A389" s="9">
        <v>3479912.2</v>
      </c>
    </row>
    <row r="390" spans="1:1" x14ac:dyDescent="0.25">
      <c r="A390" s="9">
        <v>8258792.4499999899</v>
      </c>
    </row>
    <row r="391" spans="1:1" x14ac:dyDescent="0.25">
      <c r="A391" s="9">
        <v>10277196.050000001</v>
      </c>
    </row>
    <row r="392" spans="1:1" x14ac:dyDescent="0.25">
      <c r="A392" s="9">
        <v>14792235.630000001</v>
      </c>
    </row>
    <row r="393" spans="1:1" x14ac:dyDescent="0.25">
      <c r="A393" s="9">
        <v>180596.36</v>
      </c>
    </row>
    <row r="394" spans="1:1" x14ac:dyDescent="0.25">
      <c r="A394" s="9">
        <v>2476471.54</v>
      </c>
    </row>
    <row r="395" spans="1:1" x14ac:dyDescent="0.25">
      <c r="A395" s="9">
        <v>20221099.010000002</v>
      </c>
    </row>
    <row r="396" spans="1:1" x14ac:dyDescent="0.25">
      <c r="A396" s="9">
        <v>3014001.67</v>
      </c>
    </row>
    <row r="397" spans="1:1" x14ac:dyDescent="0.25">
      <c r="A397" s="9">
        <v>947615.31</v>
      </c>
    </row>
    <row r="398" spans="1:1" x14ac:dyDescent="0.25">
      <c r="A398">
        <v>0</v>
      </c>
    </row>
    <row r="399" spans="1:1" x14ac:dyDescent="0.25">
      <c r="A399" s="9">
        <v>8129444.0999999996</v>
      </c>
    </row>
    <row r="400" spans="1:1" x14ac:dyDescent="0.25">
      <c r="A400">
        <v>0</v>
      </c>
    </row>
    <row r="401" spans="1:1" x14ac:dyDescent="0.25">
      <c r="A401" s="9">
        <v>522357.54</v>
      </c>
    </row>
    <row r="402" spans="1:1" x14ac:dyDescent="0.25">
      <c r="A402" s="9">
        <v>9129615.6999999899</v>
      </c>
    </row>
    <row r="403" spans="1:1" x14ac:dyDescent="0.25">
      <c r="A403" s="9">
        <v>234047.25</v>
      </c>
    </row>
    <row r="404" spans="1:1" x14ac:dyDescent="0.25">
      <c r="A404" s="9">
        <v>63686.03</v>
      </c>
    </row>
    <row r="405" spans="1:1" x14ac:dyDescent="0.25">
      <c r="A405">
        <v>0</v>
      </c>
    </row>
    <row r="406" spans="1:1" x14ac:dyDescent="0.25">
      <c r="A406" s="9">
        <v>4107555.52</v>
      </c>
    </row>
    <row r="407" spans="1:1" x14ac:dyDescent="0.25">
      <c r="A407" s="9">
        <v>5695760.0700000003</v>
      </c>
    </row>
    <row r="408" spans="1:1" x14ac:dyDescent="0.25">
      <c r="A408">
        <v>0</v>
      </c>
    </row>
    <row r="409" spans="1:1" x14ac:dyDescent="0.25">
      <c r="A409" s="9">
        <v>9404407.2299999893</v>
      </c>
    </row>
    <row r="410" spans="1:1" x14ac:dyDescent="0.25">
      <c r="A410" s="9">
        <v>6329171.6200000001</v>
      </c>
    </row>
    <row r="411" spans="1:1" x14ac:dyDescent="0.25">
      <c r="A411" s="9">
        <v>6741626.7199999997</v>
      </c>
    </row>
    <row r="412" spans="1:1" x14ac:dyDescent="0.25">
      <c r="A412" s="9">
        <v>3958319.1</v>
      </c>
    </row>
    <row r="413" spans="1:1" x14ac:dyDescent="0.25">
      <c r="A413" s="9">
        <v>8182565.7199999997</v>
      </c>
    </row>
    <row r="414" spans="1:1" x14ac:dyDescent="0.25">
      <c r="A414" s="9">
        <v>3055683.42</v>
      </c>
    </row>
    <row r="415" spans="1:1" x14ac:dyDescent="0.25">
      <c r="A415" s="9">
        <v>63852.12</v>
      </c>
    </row>
    <row r="416" spans="1:1" x14ac:dyDescent="0.25">
      <c r="A416" s="9">
        <v>5422608.9299999997</v>
      </c>
    </row>
    <row r="417" spans="1:1" x14ac:dyDescent="0.25">
      <c r="A417" s="9">
        <v>1166811.8700000001</v>
      </c>
    </row>
    <row r="418" spans="1:1" x14ac:dyDescent="0.25">
      <c r="A418" s="9">
        <v>4452328.3</v>
      </c>
    </row>
    <row r="419" spans="1:1" x14ac:dyDescent="0.25">
      <c r="A419">
        <v>0</v>
      </c>
    </row>
    <row r="420" spans="1:1" x14ac:dyDescent="0.25">
      <c r="A420" s="9">
        <v>16222413.33</v>
      </c>
    </row>
    <row r="421" spans="1:1" x14ac:dyDescent="0.25">
      <c r="A421" s="9">
        <v>23683988.129999999</v>
      </c>
    </row>
    <row r="422" spans="1:1" x14ac:dyDescent="0.25">
      <c r="A422" s="9">
        <v>11930180.17</v>
      </c>
    </row>
    <row r="423" spans="1:1" x14ac:dyDescent="0.25">
      <c r="A423" s="9">
        <v>2909410.35</v>
      </c>
    </row>
    <row r="424" spans="1:1" x14ac:dyDescent="0.25">
      <c r="A424" s="9">
        <v>241984.05</v>
      </c>
    </row>
    <row r="425" spans="1:1" x14ac:dyDescent="0.25">
      <c r="A425" s="9">
        <v>2262747.46</v>
      </c>
    </row>
    <row r="426" spans="1:1" x14ac:dyDescent="0.25">
      <c r="A426">
        <v>0</v>
      </c>
    </row>
    <row r="427" spans="1:1" x14ac:dyDescent="0.25">
      <c r="A427">
        <v>0</v>
      </c>
    </row>
    <row r="428" spans="1:1" x14ac:dyDescent="0.25">
      <c r="A428" s="9">
        <v>298422.78000000003</v>
      </c>
    </row>
    <row r="429" spans="1:1" x14ac:dyDescent="0.25">
      <c r="A429" s="9">
        <v>10353238.779999999</v>
      </c>
    </row>
    <row r="430" spans="1:1" x14ac:dyDescent="0.25">
      <c r="A430" s="9">
        <v>345878.48</v>
      </c>
    </row>
    <row r="431" spans="1:1" x14ac:dyDescent="0.25">
      <c r="A431" s="9">
        <v>3726485.75</v>
      </c>
    </row>
    <row r="432" spans="1:1" x14ac:dyDescent="0.25">
      <c r="A432" s="9">
        <v>9023149.5</v>
      </c>
    </row>
    <row r="433" spans="1:1" x14ac:dyDescent="0.25">
      <c r="A433" s="9">
        <v>9748037.6999999899</v>
      </c>
    </row>
    <row r="434" spans="1:1" x14ac:dyDescent="0.25">
      <c r="A434" s="9">
        <v>353734.82</v>
      </c>
    </row>
    <row r="435" spans="1:1" x14ac:dyDescent="0.25">
      <c r="A435" s="9">
        <v>9236889.8900000006</v>
      </c>
    </row>
    <row r="436" spans="1:1" x14ac:dyDescent="0.25">
      <c r="A436" s="9">
        <v>18549539.059999999</v>
      </c>
    </row>
    <row r="437" spans="1:1" x14ac:dyDescent="0.25">
      <c r="A437" s="9">
        <v>1281394.56</v>
      </c>
    </row>
    <row r="438" spans="1:1" x14ac:dyDescent="0.25">
      <c r="A438" s="9">
        <v>10859521.470000001</v>
      </c>
    </row>
    <row r="439" spans="1:1" x14ac:dyDescent="0.25">
      <c r="A439">
        <v>0</v>
      </c>
    </row>
    <row r="440" spans="1:1" x14ac:dyDescent="0.25">
      <c r="A440" s="9">
        <v>1356064.98</v>
      </c>
    </row>
    <row r="441" spans="1:1" x14ac:dyDescent="0.25">
      <c r="A441" s="9">
        <v>591214.26</v>
      </c>
    </row>
    <row r="442" spans="1:1" x14ac:dyDescent="0.25">
      <c r="A442" s="9">
        <v>365702.88</v>
      </c>
    </row>
    <row r="443" spans="1:1" x14ac:dyDescent="0.25">
      <c r="A443" s="9">
        <v>26971228.699999999</v>
      </c>
    </row>
    <row r="444" spans="1:1" x14ac:dyDescent="0.25">
      <c r="A444" s="9">
        <v>8889059.1199999992</v>
      </c>
    </row>
    <row r="445" spans="1:1" x14ac:dyDescent="0.25">
      <c r="A445">
        <v>0</v>
      </c>
    </row>
    <row r="446" spans="1:1" x14ac:dyDescent="0.25">
      <c r="A446">
        <v>0</v>
      </c>
    </row>
    <row r="447" spans="1:1" x14ac:dyDescent="0.25">
      <c r="A447" s="9">
        <v>2663226.25</v>
      </c>
    </row>
    <row r="448" spans="1:1" x14ac:dyDescent="0.25">
      <c r="A448" s="9">
        <v>3179409.74</v>
      </c>
    </row>
    <row r="449" spans="1:1" x14ac:dyDescent="0.25">
      <c r="A449">
        <v>0</v>
      </c>
    </row>
    <row r="450" spans="1:1" x14ac:dyDescent="0.25">
      <c r="A450" s="9">
        <v>150470.76</v>
      </c>
    </row>
    <row r="451" spans="1:1" x14ac:dyDescent="0.25">
      <c r="A451" s="9">
        <v>17741655.640000001</v>
      </c>
    </row>
    <row r="452" spans="1:1" x14ac:dyDescent="0.25">
      <c r="A452">
        <v>1944663</v>
      </c>
    </row>
    <row r="453" spans="1:1" x14ac:dyDescent="0.25">
      <c r="A453" s="9">
        <v>8175481.5800000001</v>
      </c>
    </row>
    <row r="454" spans="1:1" x14ac:dyDescent="0.25">
      <c r="A454">
        <v>1516363</v>
      </c>
    </row>
    <row r="455" spans="1:1" x14ac:dyDescent="0.25">
      <c r="A455" s="9">
        <v>10353716.83</v>
      </c>
    </row>
    <row r="456" spans="1:1" x14ac:dyDescent="0.25">
      <c r="A456" s="9">
        <v>5136631.08</v>
      </c>
    </row>
    <row r="457" spans="1:1" x14ac:dyDescent="0.25">
      <c r="A457">
        <v>0</v>
      </c>
    </row>
    <row r="458" spans="1:1" x14ac:dyDescent="0.25">
      <c r="A458" s="9">
        <v>1774735.11</v>
      </c>
    </row>
    <row r="459" spans="1:1" x14ac:dyDescent="0.25">
      <c r="A459">
        <v>0</v>
      </c>
    </row>
    <row r="460" spans="1:1" x14ac:dyDescent="0.25">
      <c r="A460" s="9">
        <v>3858292.26</v>
      </c>
    </row>
    <row r="461" spans="1:1" x14ac:dyDescent="0.25">
      <c r="A461" s="9">
        <v>2000754.14</v>
      </c>
    </row>
    <row r="462" spans="1:1" x14ac:dyDescent="0.25">
      <c r="A462">
        <v>0</v>
      </c>
    </row>
    <row r="463" spans="1:1" x14ac:dyDescent="0.25">
      <c r="A463">
        <v>0</v>
      </c>
    </row>
    <row r="464" spans="1:1" x14ac:dyDescent="0.25">
      <c r="A464">
        <v>0</v>
      </c>
    </row>
    <row r="465" spans="1:1" x14ac:dyDescent="0.25">
      <c r="A465" s="9">
        <v>6010625.9699999997</v>
      </c>
    </row>
    <row r="466" spans="1:1" x14ac:dyDescent="0.25">
      <c r="A466" s="9">
        <v>1172230.22</v>
      </c>
    </row>
    <row r="467" spans="1:1" x14ac:dyDescent="0.25">
      <c r="A467" s="9">
        <v>29873713.870000001</v>
      </c>
    </row>
    <row r="468" spans="1:1" x14ac:dyDescent="0.25">
      <c r="A468" s="9">
        <v>73482571.780000001</v>
      </c>
    </row>
    <row r="469" spans="1:1" x14ac:dyDescent="0.25">
      <c r="A469" s="9">
        <v>4213979.3499999996</v>
      </c>
    </row>
    <row r="470" spans="1:1" x14ac:dyDescent="0.25">
      <c r="A470" s="9">
        <v>149771.68</v>
      </c>
    </row>
    <row r="471" spans="1:1" x14ac:dyDescent="0.25">
      <c r="A471" s="9">
        <v>2306675.7200000002</v>
      </c>
    </row>
    <row r="472" spans="1:1" x14ac:dyDescent="0.25">
      <c r="A472" s="9">
        <v>8941360.9399999902</v>
      </c>
    </row>
    <row r="473" spans="1:1" x14ac:dyDescent="0.25">
      <c r="A473" s="9">
        <v>63086046.799999997</v>
      </c>
    </row>
    <row r="474" spans="1:1" x14ac:dyDescent="0.25">
      <c r="A474" s="9">
        <v>2884339.85</v>
      </c>
    </row>
    <row r="475" spans="1:1" x14ac:dyDescent="0.25">
      <c r="A475">
        <v>0</v>
      </c>
    </row>
    <row r="476" spans="1:1" x14ac:dyDescent="0.25">
      <c r="A476" s="9">
        <v>2535184.0299999998</v>
      </c>
    </row>
    <row r="477" spans="1:1" x14ac:dyDescent="0.25">
      <c r="A477" s="9">
        <v>13548583.59</v>
      </c>
    </row>
    <row r="478" spans="1:1" x14ac:dyDescent="0.25">
      <c r="A478" s="9">
        <v>140050.45000000001</v>
      </c>
    </row>
    <row r="479" spans="1:1" x14ac:dyDescent="0.25">
      <c r="A479">
        <v>0</v>
      </c>
    </row>
    <row r="480" spans="1:1" x14ac:dyDescent="0.25">
      <c r="A480" s="9">
        <v>72331550.629999995</v>
      </c>
    </row>
    <row r="481" spans="1:1" x14ac:dyDescent="0.25">
      <c r="A481" s="9">
        <v>13629897.609999999</v>
      </c>
    </row>
    <row r="482" spans="1:1" x14ac:dyDescent="0.25">
      <c r="A482" s="9">
        <v>4815752.5599999996</v>
      </c>
    </row>
    <row r="483" spans="1:1" x14ac:dyDescent="0.25">
      <c r="A483" s="9">
        <v>9879617.5</v>
      </c>
    </row>
    <row r="484" spans="1:1" x14ac:dyDescent="0.25">
      <c r="A484" s="9">
        <v>163918.42000000001</v>
      </c>
    </row>
    <row r="485" spans="1:1" x14ac:dyDescent="0.25">
      <c r="A485" s="9">
        <v>4976853.2099999897</v>
      </c>
    </row>
    <row r="486" spans="1:1" x14ac:dyDescent="0.25">
      <c r="A486" s="9">
        <v>4854496.54</v>
      </c>
    </row>
    <row r="487" spans="1:1" x14ac:dyDescent="0.25">
      <c r="A487" s="9">
        <v>663339.39</v>
      </c>
    </row>
    <row r="488" spans="1:1" x14ac:dyDescent="0.25">
      <c r="A488" s="9">
        <v>358400.07</v>
      </c>
    </row>
    <row r="489" spans="1:1" x14ac:dyDescent="0.25">
      <c r="A489" s="9">
        <v>173207.5</v>
      </c>
    </row>
    <row r="490" spans="1:1" x14ac:dyDescent="0.25">
      <c r="A490" s="9">
        <v>227391.9</v>
      </c>
    </row>
    <row r="491" spans="1:1" x14ac:dyDescent="0.25">
      <c r="A491" s="9">
        <v>326555.68</v>
      </c>
    </row>
    <row r="492" spans="1:1" x14ac:dyDescent="0.25">
      <c r="A492" s="9">
        <v>10252399.65</v>
      </c>
    </row>
    <row r="493" spans="1:1" x14ac:dyDescent="0.25">
      <c r="A493" s="9">
        <v>5364353.84</v>
      </c>
    </row>
    <row r="494" spans="1:1" x14ac:dyDescent="0.25">
      <c r="A494" s="9">
        <v>601272.67000000004</v>
      </c>
    </row>
    <row r="495" spans="1:1" x14ac:dyDescent="0.25">
      <c r="A495" s="9">
        <v>4156020.53</v>
      </c>
    </row>
    <row r="496" spans="1:1" x14ac:dyDescent="0.25">
      <c r="A496" s="9">
        <v>15205926.66</v>
      </c>
    </row>
    <row r="497" spans="1:1" x14ac:dyDescent="0.25">
      <c r="A497" s="9">
        <v>3529765.4</v>
      </c>
    </row>
    <row r="498" spans="1:1" x14ac:dyDescent="0.25">
      <c r="A498" s="9">
        <v>9768390.8399999999</v>
      </c>
    </row>
    <row r="499" spans="1:1" x14ac:dyDescent="0.25">
      <c r="A499" s="9">
        <v>24141740.120000001</v>
      </c>
    </row>
    <row r="500" spans="1:1" x14ac:dyDescent="0.25">
      <c r="A500">
        <v>0</v>
      </c>
    </row>
    <row r="501" spans="1:1" x14ac:dyDescent="0.25">
      <c r="A501">
        <v>0</v>
      </c>
    </row>
    <row r="502" spans="1:1" x14ac:dyDescent="0.25">
      <c r="A502" s="9">
        <v>704080.66</v>
      </c>
    </row>
    <row r="503" spans="1:1" x14ac:dyDescent="0.25">
      <c r="A503" s="9">
        <v>5010334.1399999997</v>
      </c>
    </row>
    <row r="504" spans="1:1" x14ac:dyDescent="0.25">
      <c r="A504" s="9">
        <v>1353725.28</v>
      </c>
    </row>
    <row r="505" spans="1:1" x14ac:dyDescent="0.25">
      <c r="A505" s="9">
        <v>3741054.05</v>
      </c>
    </row>
    <row r="506" spans="1:1" x14ac:dyDescent="0.25">
      <c r="A506" s="9">
        <v>120431.52</v>
      </c>
    </row>
    <row r="507" spans="1:1" x14ac:dyDescent="0.25">
      <c r="A507">
        <v>0</v>
      </c>
    </row>
    <row r="508" spans="1:1" x14ac:dyDescent="0.25">
      <c r="A508" s="9">
        <v>13561021.77</v>
      </c>
    </row>
    <row r="509" spans="1:1" x14ac:dyDescent="0.25">
      <c r="A509" s="9">
        <v>6372558.1500000004</v>
      </c>
    </row>
    <row r="510" spans="1:1" x14ac:dyDescent="0.25">
      <c r="A510" s="9">
        <v>8196877.4100000001</v>
      </c>
    </row>
    <row r="511" spans="1:1" x14ac:dyDescent="0.25">
      <c r="A511" s="9">
        <v>7206629.1200000001</v>
      </c>
    </row>
    <row r="512" spans="1:1" x14ac:dyDescent="0.25">
      <c r="A512" s="9">
        <v>1972771.9</v>
      </c>
    </row>
    <row r="513" spans="1:1" x14ac:dyDescent="0.25">
      <c r="A513" s="9">
        <v>119030.2</v>
      </c>
    </row>
    <row r="514" spans="1:1" x14ac:dyDescent="0.25">
      <c r="A514" s="9">
        <v>861721.86</v>
      </c>
    </row>
    <row r="515" spans="1:1" x14ac:dyDescent="0.25">
      <c r="A515" s="9">
        <v>1536721.6</v>
      </c>
    </row>
    <row r="516" spans="1:1" x14ac:dyDescent="0.25">
      <c r="A516" s="9">
        <v>6917992.1099999901</v>
      </c>
    </row>
    <row r="517" spans="1:1" x14ac:dyDescent="0.25">
      <c r="A517" s="9">
        <v>47565256.259999998</v>
      </c>
    </row>
    <row r="518" spans="1:1" x14ac:dyDescent="0.25">
      <c r="A518" s="9">
        <v>65714.75</v>
      </c>
    </row>
    <row r="519" spans="1:1" x14ac:dyDescent="0.25">
      <c r="A519" s="9">
        <v>1613523.36</v>
      </c>
    </row>
    <row r="520" spans="1:1" x14ac:dyDescent="0.25">
      <c r="A520" s="9">
        <v>105702.6</v>
      </c>
    </row>
    <row r="521" spans="1:1" x14ac:dyDescent="0.25">
      <c r="A521" s="9">
        <v>102149.02</v>
      </c>
    </row>
    <row r="522" spans="1:1" x14ac:dyDescent="0.25">
      <c r="A522">
        <v>0</v>
      </c>
    </row>
    <row r="523" spans="1:1" x14ac:dyDescent="0.25">
      <c r="A523" s="9">
        <v>25088660.399999999</v>
      </c>
    </row>
    <row r="524" spans="1:1" x14ac:dyDescent="0.25">
      <c r="A524" s="9">
        <v>3774390.14</v>
      </c>
    </row>
    <row r="525" spans="1:1" x14ac:dyDescent="0.25">
      <c r="A525" s="9">
        <v>663939.86</v>
      </c>
    </row>
    <row r="526" spans="1:1" x14ac:dyDescent="0.25">
      <c r="A526" s="9">
        <v>377537.28000000003</v>
      </c>
    </row>
    <row r="527" spans="1:1" x14ac:dyDescent="0.25">
      <c r="A527" s="9">
        <v>3740971.6</v>
      </c>
    </row>
    <row r="528" spans="1:1" x14ac:dyDescent="0.25">
      <c r="A528" s="9">
        <v>151877.25</v>
      </c>
    </row>
    <row r="529" spans="1:1" x14ac:dyDescent="0.25">
      <c r="A529" s="9">
        <v>311154.44</v>
      </c>
    </row>
    <row r="530" spans="1:1" x14ac:dyDescent="0.25">
      <c r="A530" s="9">
        <v>16488912.34</v>
      </c>
    </row>
    <row r="531" spans="1:1" x14ac:dyDescent="0.25">
      <c r="A531" s="9">
        <v>797224.89</v>
      </c>
    </row>
    <row r="532" spans="1:1" x14ac:dyDescent="0.25">
      <c r="A532" s="9">
        <v>288218.7</v>
      </c>
    </row>
    <row r="533" spans="1:1" x14ac:dyDescent="0.25">
      <c r="A533" s="9">
        <v>6881425.1600000001</v>
      </c>
    </row>
    <row r="534" spans="1:1" x14ac:dyDescent="0.25">
      <c r="A534" s="9">
        <v>1077287.73</v>
      </c>
    </row>
    <row r="535" spans="1:1" x14ac:dyDescent="0.25">
      <c r="A535" s="9">
        <v>3884210.36</v>
      </c>
    </row>
    <row r="536" spans="1:1" x14ac:dyDescent="0.25">
      <c r="A536">
        <v>0</v>
      </c>
    </row>
    <row r="537" spans="1:1" x14ac:dyDescent="0.25">
      <c r="A537">
        <v>1944663</v>
      </c>
    </row>
    <row r="538" spans="1:1" x14ac:dyDescent="0.25">
      <c r="A538" s="9">
        <v>3348479.58</v>
      </c>
    </row>
    <row r="539" spans="1:1" x14ac:dyDescent="0.25">
      <c r="A539" s="9">
        <v>442760.42</v>
      </c>
    </row>
    <row r="540" spans="1:1" x14ac:dyDescent="0.25">
      <c r="A540" s="9">
        <v>3182167.28</v>
      </c>
    </row>
    <row r="541" spans="1:1" x14ac:dyDescent="0.25">
      <c r="A541" s="9">
        <v>7785538.2099999897</v>
      </c>
    </row>
    <row r="542" spans="1:1" x14ac:dyDescent="0.25">
      <c r="A542">
        <v>0</v>
      </c>
    </row>
    <row r="543" spans="1:1" x14ac:dyDescent="0.25">
      <c r="A543" s="9">
        <v>106620.16</v>
      </c>
    </row>
    <row r="544" spans="1:1" x14ac:dyDescent="0.25">
      <c r="A544" s="9">
        <v>1234704.28</v>
      </c>
    </row>
    <row r="545" spans="1:1" x14ac:dyDescent="0.25">
      <c r="A545" s="9">
        <v>1205919.6000000001</v>
      </c>
    </row>
    <row r="546" spans="1:1" x14ac:dyDescent="0.25">
      <c r="A546" s="9">
        <v>2414331.7599999998</v>
      </c>
    </row>
    <row r="547" spans="1:1" x14ac:dyDescent="0.25">
      <c r="A547" s="9">
        <v>78192932.799999997</v>
      </c>
    </row>
    <row r="548" spans="1:1" x14ac:dyDescent="0.25">
      <c r="A548">
        <v>0</v>
      </c>
    </row>
    <row r="549" spans="1:1" x14ac:dyDescent="0.25">
      <c r="A549" s="9">
        <v>8272017.9799999902</v>
      </c>
    </row>
    <row r="550" spans="1:1" x14ac:dyDescent="0.25">
      <c r="A550" s="9">
        <v>1417158.35</v>
      </c>
    </row>
    <row r="551" spans="1:1" x14ac:dyDescent="0.25">
      <c r="A551" s="9">
        <v>4659348.6900000004</v>
      </c>
    </row>
    <row r="552" spans="1:1" x14ac:dyDescent="0.25">
      <c r="A552" s="9">
        <v>3861055.71</v>
      </c>
    </row>
    <row r="553" spans="1:1" x14ac:dyDescent="0.25">
      <c r="A553" s="9">
        <v>11228160.119999999</v>
      </c>
    </row>
    <row r="554" spans="1:1" x14ac:dyDescent="0.25">
      <c r="A554" s="9">
        <v>2613792.2999999998</v>
      </c>
    </row>
    <row r="555" spans="1:1" x14ac:dyDescent="0.25">
      <c r="A555">
        <v>1944663</v>
      </c>
    </row>
    <row r="556" spans="1:1" x14ac:dyDescent="0.25">
      <c r="A556" s="9">
        <v>24990797.030000001</v>
      </c>
    </row>
    <row r="557" spans="1:1" x14ac:dyDescent="0.25">
      <c r="A557" s="9">
        <v>2561515.11</v>
      </c>
    </row>
    <row r="558" spans="1:1" x14ac:dyDescent="0.25">
      <c r="A558" s="9">
        <v>328825.5</v>
      </c>
    </row>
    <row r="559" spans="1:1" x14ac:dyDescent="0.25">
      <c r="A559">
        <v>0</v>
      </c>
    </row>
    <row r="560" spans="1:1" x14ac:dyDescent="0.25">
      <c r="A560" s="9">
        <v>1086871.04</v>
      </c>
    </row>
    <row r="561" spans="1:1" x14ac:dyDescent="0.25">
      <c r="A561" s="9">
        <v>1704354.48</v>
      </c>
    </row>
    <row r="562" spans="1:1" x14ac:dyDescent="0.25">
      <c r="A562" s="9">
        <v>3334448.78</v>
      </c>
    </row>
    <row r="563" spans="1:1" x14ac:dyDescent="0.25">
      <c r="A563" s="9">
        <v>99811.08</v>
      </c>
    </row>
    <row r="564" spans="1:1" x14ac:dyDescent="0.25">
      <c r="A564" s="9">
        <v>1587218.84</v>
      </c>
    </row>
    <row r="565" spans="1:1" x14ac:dyDescent="0.25">
      <c r="A565" s="9">
        <v>5330754.58</v>
      </c>
    </row>
    <row r="566" spans="1:1" x14ac:dyDescent="0.25">
      <c r="A566" s="9">
        <v>323022.73</v>
      </c>
    </row>
    <row r="567" spans="1:1" x14ac:dyDescent="0.25">
      <c r="A567" s="9">
        <v>2238937.77</v>
      </c>
    </row>
    <row r="568" spans="1:1" x14ac:dyDescent="0.25">
      <c r="A568" s="9">
        <v>726130.18999999901</v>
      </c>
    </row>
    <row r="569" spans="1:1" x14ac:dyDescent="0.25">
      <c r="A569" s="9">
        <v>18618813.18</v>
      </c>
    </row>
    <row r="570" spans="1:1" x14ac:dyDescent="0.25">
      <c r="A570" s="9">
        <v>374898.1</v>
      </c>
    </row>
    <row r="571" spans="1:1" x14ac:dyDescent="0.25">
      <c r="A571">
        <v>0</v>
      </c>
    </row>
    <row r="572" spans="1:1" x14ac:dyDescent="0.25">
      <c r="A572" s="9">
        <v>82988.849999999904</v>
      </c>
    </row>
    <row r="573" spans="1:1" x14ac:dyDescent="0.25">
      <c r="A573">
        <v>0</v>
      </c>
    </row>
    <row r="574" spans="1:1" x14ac:dyDescent="0.25">
      <c r="A574">
        <v>0</v>
      </c>
    </row>
    <row r="575" spans="1:1" x14ac:dyDescent="0.25">
      <c r="A575" s="9">
        <v>137493.4</v>
      </c>
    </row>
    <row r="576" spans="1:1" x14ac:dyDescent="0.25">
      <c r="A576" s="9">
        <v>4125359.64</v>
      </c>
    </row>
    <row r="577" spans="1:1" x14ac:dyDescent="0.25">
      <c r="A577">
        <v>0</v>
      </c>
    </row>
    <row r="578" spans="1:1" x14ac:dyDescent="0.25">
      <c r="A578" s="9">
        <v>3358624.25</v>
      </c>
    </row>
    <row r="579" spans="1:1" x14ac:dyDescent="0.25">
      <c r="A579">
        <v>0</v>
      </c>
    </row>
    <row r="580" spans="1:1" x14ac:dyDescent="0.25">
      <c r="A580" s="9">
        <v>146840.97</v>
      </c>
    </row>
    <row r="581" spans="1:1" x14ac:dyDescent="0.25">
      <c r="A581">
        <v>0</v>
      </c>
    </row>
    <row r="582" spans="1:1" x14ac:dyDescent="0.25">
      <c r="A582" s="9">
        <v>9939153.8599999994</v>
      </c>
    </row>
    <row r="583" spans="1:1" x14ac:dyDescent="0.25">
      <c r="A583" s="9">
        <v>1425379.24</v>
      </c>
    </row>
    <row r="584" spans="1:1" x14ac:dyDescent="0.25">
      <c r="A584">
        <v>0</v>
      </c>
    </row>
    <row r="585" spans="1:1" x14ac:dyDescent="0.25">
      <c r="A585" s="9">
        <v>105702.6</v>
      </c>
    </row>
    <row r="586" spans="1:1" x14ac:dyDescent="0.25">
      <c r="A586" s="9">
        <v>1729562.71</v>
      </c>
    </row>
    <row r="587" spans="1:1" x14ac:dyDescent="0.25">
      <c r="A587">
        <v>0</v>
      </c>
    </row>
    <row r="588" spans="1:1" x14ac:dyDescent="0.25">
      <c r="A588">
        <v>0</v>
      </c>
    </row>
    <row r="589" spans="1:1" x14ac:dyDescent="0.25">
      <c r="A589" s="9">
        <v>7982080.1600000001</v>
      </c>
    </row>
    <row r="590" spans="1:1" x14ac:dyDescent="0.25">
      <c r="A590" s="9">
        <v>32560577.899999999</v>
      </c>
    </row>
    <row r="591" spans="1:1" x14ac:dyDescent="0.25">
      <c r="A591" s="9">
        <v>18407335.91</v>
      </c>
    </row>
    <row r="592" spans="1:1" x14ac:dyDescent="0.25">
      <c r="A592" s="9">
        <v>4166619.55</v>
      </c>
    </row>
    <row r="593" spans="1:1" x14ac:dyDescent="0.25">
      <c r="A593" s="9">
        <v>7086579.7599999998</v>
      </c>
    </row>
    <row r="594" spans="1:1" x14ac:dyDescent="0.25">
      <c r="A594" s="9">
        <v>916162.17</v>
      </c>
    </row>
    <row r="595" spans="1:1" x14ac:dyDescent="0.25">
      <c r="A595" s="9">
        <v>6998030.8699999899</v>
      </c>
    </row>
    <row r="596" spans="1:1" x14ac:dyDescent="0.25">
      <c r="A596">
        <v>0</v>
      </c>
    </row>
    <row r="597" spans="1:1" x14ac:dyDescent="0.25">
      <c r="A597" s="9">
        <v>2712041.42</v>
      </c>
    </row>
    <row r="598" spans="1:1" x14ac:dyDescent="0.25">
      <c r="A598" s="9">
        <v>3102148.81</v>
      </c>
    </row>
    <row r="599" spans="1:1" x14ac:dyDescent="0.25">
      <c r="A599" s="9">
        <v>2742959.12</v>
      </c>
    </row>
    <row r="600" spans="1:1" x14ac:dyDescent="0.25">
      <c r="A600" s="9">
        <v>522095.8</v>
      </c>
    </row>
    <row r="601" spans="1:1" x14ac:dyDescent="0.25">
      <c r="A601" s="9">
        <v>5940040.9499999899</v>
      </c>
    </row>
    <row r="602" spans="1:1" x14ac:dyDescent="0.25">
      <c r="A602">
        <v>0</v>
      </c>
    </row>
    <row r="603" spans="1:1" x14ac:dyDescent="0.25">
      <c r="A603" s="9">
        <v>2395889.1800000002</v>
      </c>
    </row>
    <row r="604" spans="1:1" x14ac:dyDescent="0.25">
      <c r="A604" s="9">
        <v>17480729.940000001</v>
      </c>
    </row>
    <row r="605" spans="1:1" x14ac:dyDescent="0.25">
      <c r="A605" s="9">
        <v>63852.12</v>
      </c>
    </row>
    <row r="606" spans="1:1" x14ac:dyDescent="0.25">
      <c r="A606">
        <v>0</v>
      </c>
    </row>
    <row r="607" spans="1:1" x14ac:dyDescent="0.25">
      <c r="A607" s="9">
        <v>45805287.600000001</v>
      </c>
    </row>
    <row r="608" spans="1:1" x14ac:dyDescent="0.25">
      <c r="A608" s="9">
        <v>1562736.95</v>
      </c>
    </row>
    <row r="609" spans="1:1" x14ac:dyDescent="0.25">
      <c r="A609">
        <v>0</v>
      </c>
    </row>
    <row r="610" spans="1:1" x14ac:dyDescent="0.25">
      <c r="A610" s="9">
        <v>3326786.55</v>
      </c>
    </row>
    <row r="611" spans="1:1" x14ac:dyDescent="0.25">
      <c r="A611" s="9">
        <v>7532141.6200000001</v>
      </c>
    </row>
    <row r="612" spans="1:1" x14ac:dyDescent="0.25">
      <c r="A612">
        <v>0</v>
      </c>
    </row>
    <row r="613" spans="1:1" x14ac:dyDescent="0.25">
      <c r="A613" s="9">
        <v>2330581.9700000002</v>
      </c>
    </row>
    <row r="614" spans="1:1" x14ac:dyDescent="0.25">
      <c r="A614" s="9">
        <v>2169252.73</v>
      </c>
    </row>
    <row r="615" spans="1:1" x14ac:dyDescent="0.25">
      <c r="A615" s="9">
        <v>212291.28</v>
      </c>
    </row>
    <row r="616" spans="1:1" x14ac:dyDescent="0.25">
      <c r="A616" s="9">
        <v>34014219.309999898</v>
      </c>
    </row>
    <row r="617" spans="1:1" x14ac:dyDescent="0.25">
      <c r="A617" s="9">
        <v>11143528.890000001</v>
      </c>
    </row>
    <row r="618" spans="1:1" x14ac:dyDescent="0.25">
      <c r="A618" s="9">
        <v>232498.03</v>
      </c>
    </row>
    <row r="619" spans="1:1" x14ac:dyDescent="0.25">
      <c r="A619" s="9">
        <v>155459.1</v>
      </c>
    </row>
    <row r="620" spans="1:1" x14ac:dyDescent="0.25">
      <c r="A620" s="9">
        <v>119034.68</v>
      </c>
    </row>
    <row r="621" spans="1:1" x14ac:dyDescent="0.25">
      <c r="A621" s="9">
        <v>11429854.970000001</v>
      </c>
    </row>
    <row r="622" spans="1:1" x14ac:dyDescent="0.25">
      <c r="A622">
        <v>0</v>
      </c>
    </row>
    <row r="623" spans="1:1" x14ac:dyDescent="0.25">
      <c r="A623" s="9">
        <v>1692326.07</v>
      </c>
    </row>
    <row r="624" spans="1:1" x14ac:dyDescent="0.25">
      <c r="A624">
        <v>0</v>
      </c>
    </row>
    <row r="625" spans="1:1" x14ac:dyDescent="0.25">
      <c r="A625" s="9">
        <v>112680.84</v>
      </c>
    </row>
    <row r="626" spans="1:1" x14ac:dyDescent="0.25">
      <c r="A626">
        <v>0</v>
      </c>
    </row>
    <row r="627" spans="1:1" x14ac:dyDescent="0.25">
      <c r="A627" s="9">
        <v>2238346.23</v>
      </c>
    </row>
    <row r="628" spans="1:1" x14ac:dyDescent="0.25">
      <c r="A628" s="9">
        <v>261354.96</v>
      </c>
    </row>
    <row r="629" spans="1:1" x14ac:dyDescent="0.25">
      <c r="A629" s="9">
        <v>322638.64</v>
      </c>
    </row>
    <row r="630" spans="1:1" x14ac:dyDescent="0.25">
      <c r="A630" s="9">
        <v>308129.84000000003</v>
      </c>
    </row>
    <row r="631" spans="1:1" x14ac:dyDescent="0.25">
      <c r="A631" s="9">
        <v>2589049.6</v>
      </c>
    </row>
    <row r="632" spans="1:1" x14ac:dyDescent="0.25">
      <c r="A632" s="9">
        <v>315372.46000000002</v>
      </c>
    </row>
    <row r="633" spans="1:1" x14ac:dyDescent="0.25">
      <c r="A633" s="9">
        <v>35148059.909999996</v>
      </c>
    </row>
    <row r="634" spans="1:1" x14ac:dyDescent="0.25">
      <c r="A634" s="9">
        <v>2700877.4</v>
      </c>
    </row>
    <row r="635" spans="1:1" x14ac:dyDescent="0.25">
      <c r="A635" s="9">
        <v>552371.41</v>
      </c>
    </row>
    <row r="636" spans="1:1" x14ac:dyDescent="0.25">
      <c r="A636" s="9">
        <v>348830.22</v>
      </c>
    </row>
    <row r="637" spans="1:1" x14ac:dyDescent="0.25">
      <c r="A637" s="9">
        <v>148737.42000000001</v>
      </c>
    </row>
    <row r="638" spans="1:1" x14ac:dyDescent="0.25">
      <c r="A638" s="9">
        <v>2413363.65</v>
      </c>
    </row>
    <row r="639" spans="1:1" x14ac:dyDescent="0.25">
      <c r="A639" s="9">
        <v>2319778.44</v>
      </c>
    </row>
    <row r="640" spans="1:1" x14ac:dyDescent="0.25">
      <c r="A640" s="9">
        <v>1859578.63</v>
      </c>
    </row>
    <row r="641" spans="1:1" x14ac:dyDescent="0.25">
      <c r="A641" s="9">
        <v>6615387.7099999897</v>
      </c>
    </row>
    <row r="642" spans="1:1" x14ac:dyDescent="0.25">
      <c r="A642">
        <v>0</v>
      </c>
    </row>
    <row r="643" spans="1:1" x14ac:dyDescent="0.25">
      <c r="A643" s="9">
        <v>118945.06</v>
      </c>
    </row>
    <row r="644" spans="1:1" x14ac:dyDescent="0.25">
      <c r="A644" s="9">
        <v>1859578.63</v>
      </c>
    </row>
    <row r="645" spans="1:1" x14ac:dyDescent="0.25">
      <c r="A645" s="9">
        <v>8722587.0600000005</v>
      </c>
    </row>
    <row r="646" spans="1:1" x14ac:dyDescent="0.25">
      <c r="A646">
        <v>0</v>
      </c>
    </row>
    <row r="647" spans="1:1" x14ac:dyDescent="0.25">
      <c r="A647" s="9">
        <v>266877.32</v>
      </c>
    </row>
    <row r="648" spans="1:1" x14ac:dyDescent="0.25">
      <c r="A648" s="9">
        <v>3372745.2</v>
      </c>
    </row>
    <row r="649" spans="1:1" x14ac:dyDescent="0.25">
      <c r="A649" s="9">
        <v>3209054.76</v>
      </c>
    </row>
    <row r="650" spans="1:1" x14ac:dyDescent="0.25">
      <c r="A650" s="9">
        <v>3150814.04</v>
      </c>
    </row>
    <row r="651" spans="1:1" x14ac:dyDescent="0.25">
      <c r="A651">
        <v>0</v>
      </c>
    </row>
    <row r="652" spans="1:1" x14ac:dyDescent="0.25">
      <c r="A652">
        <v>0</v>
      </c>
    </row>
    <row r="653" spans="1:1" x14ac:dyDescent="0.25">
      <c r="A653" s="9">
        <v>3583928.45</v>
      </c>
    </row>
    <row r="654" spans="1:1" x14ac:dyDescent="0.25">
      <c r="A654" s="9">
        <v>5789034.8399999999</v>
      </c>
    </row>
    <row r="655" spans="1:1" x14ac:dyDescent="0.25">
      <c r="A655">
        <v>0</v>
      </c>
    </row>
    <row r="656" spans="1:1" x14ac:dyDescent="0.25">
      <c r="A656" s="9">
        <v>314832.24</v>
      </c>
    </row>
    <row r="657" spans="1:1" x14ac:dyDescent="0.25">
      <c r="A657" s="9">
        <v>16633194.07</v>
      </c>
    </row>
    <row r="658" spans="1:1" x14ac:dyDescent="0.25">
      <c r="A658" s="9">
        <v>6092569.1200000001</v>
      </c>
    </row>
    <row r="659" spans="1:1" x14ac:dyDescent="0.25">
      <c r="A659" s="9">
        <v>9922917.3699999899</v>
      </c>
    </row>
    <row r="660" spans="1:1" x14ac:dyDescent="0.25">
      <c r="A660" s="9">
        <v>409802.17</v>
      </c>
    </row>
    <row r="661" spans="1:1" x14ac:dyDescent="0.25">
      <c r="A661" s="9">
        <v>405950.75</v>
      </c>
    </row>
    <row r="662" spans="1:1" x14ac:dyDescent="0.25">
      <c r="A662" s="9">
        <v>6763455.8099999996</v>
      </c>
    </row>
    <row r="663" spans="1:1" x14ac:dyDescent="0.25">
      <c r="A663" s="9">
        <v>9413609.4000000004</v>
      </c>
    </row>
    <row r="664" spans="1:1" x14ac:dyDescent="0.25">
      <c r="A664" s="9">
        <v>5266074.43</v>
      </c>
    </row>
    <row r="665" spans="1:1" x14ac:dyDescent="0.25">
      <c r="A665" s="9">
        <v>5198845.16</v>
      </c>
    </row>
    <row r="666" spans="1:1" x14ac:dyDescent="0.25">
      <c r="A666" s="9">
        <v>4524824.78</v>
      </c>
    </row>
    <row r="667" spans="1:1" x14ac:dyDescent="0.25">
      <c r="A667" s="9">
        <v>7810419.5499999998</v>
      </c>
    </row>
    <row r="668" spans="1:1" x14ac:dyDescent="0.25">
      <c r="A668" s="9">
        <v>3047284.66</v>
      </c>
    </row>
    <row r="669" spans="1:1" x14ac:dyDescent="0.25">
      <c r="A669">
        <v>0</v>
      </c>
    </row>
    <row r="670" spans="1:1" x14ac:dyDescent="0.25">
      <c r="A670" s="9">
        <v>11945578.1</v>
      </c>
    </row>
    <row r="671" spans="1:1" x14ac:dyDescent="0.25">
      <c r="A671" s="9">
        <v>3765164.65</v>
      </c>
    </row>
    <row r="672" spans="1:1" x14ac:dyDescent="0.25">
      <c r="A672" s="9">
        <v>14878215.32</v>
      </c>
    </row>
    <row r="673" spans="1:1" x14ac:dyDescent="0.25">
      <c r="A673" s="9">
        <v>2678098.96</v>
      </c>
    </row>
    <row r="674" spans="1:1" x14ac:dyDescent="0.25">
      <c r="A674" s="9">
        <v>10464197.58</v>
      </c>
    </row>
    <row r="675" spans="1:1" x14ac:dyDescent="0.25">
      <c r="A675" s="9">
        <v>69989.64</v>
      </c>
    </row>
    <row r="676" spans="1:1" x14ac:dyDescent="0.25">
      <c r="A676" s="9">
        <v>2306237.11</v>
      </c>
    </row>
    <row r="677" spans="1:1" x14ac:dyDescent="0.25">
      <c r="A677" s="9">
        <v>51957451.179999903</v>
      </c>
    </row>
    <row r="678" spans="1:1" x14ac:dyDescent="0.25">
      <c r="A678">
        <v>0</v>
      </c>
    </row>
    <row r="679" spans="1:1" x14ac:dyDescent="0.25">
      <c r="A679">
        <v>0</v>
      </c>
    </row>
    <row r="680" spans="1:1" x14ac:dyDescent="0.25">
      <c r="A680" s="9">
        <v>764141.35</v>
      </c>
    </row>
    <row r="681" spans="1:1" x14ac:dyDescent="0.25">
      <c r="A681" s="9">
        <v>20785137.960000001</v>
      </c>
    </row>
    <row r="682" spans="1:1" x14ac:dyDescent="0.25">
      <c r="A682" s="9">
        <v>33396753.550000001</v>
      </c>
    </row>
    <row r="683" spans="1:1" x14ac:dyDescent="0.25">
      <c r="A683" s="9">
        <v>18156686.359999999</v>
      </c>
    </row>
    <row r="684" spans="1:1" x14ac:dyDescent="0.25">
      <c r="A684" s="9">
        <v>36609406.729999997</v>
      </c>
    </row>
    <row r="685" spans="1:1" x14ac:dyDescent="0.25">
      <c r="A685" s="9">
        <v>4642258.55</v>
      </c>
    </row>
    <row r="686" spans="1:1" x14ac:dyDescent="0.25">
      <c r="A686" s="9">
        <v>15126685.949999999</v>
      </c>
    </row>
    <row r="687" spans="1:1" x14ac:dyDescent="0.25">
      <c r="A687">
        <v>0</v>
      </c>
    </row>
    <row r="688" spans="1:1" x14ac:dyDescent="0.25">
      <c r="A688" s="9">
        <v>30073324.100000001</v>
      </c>
    </row>
    <row r="689" spans="1:1" x14ac:dyDescent="0.25">
      <c r="A689">
        <v>0</v>
      </c>
    </row>
    <row r="690" spans="1:1" x14ac:dyDescent="0.25">
      <c r="A690" s="9">
        <v>16772948.140000001</v>
      </c>
    </row>
    <row r="691" spans="1:1" x14ac:dyDescent="0.25">
      <c r="A691" s="9">
        <v>399229.17</v>
      </c>
    </row>
    <row r="692" spans="1:1" x14ac:dyDescent="0.25">
      <c r="A692" s="9">
        <v>374018.02</v>
      </c>
    </row>
    <row r="693" spans="1:1" x14ac:dyDescent="0.25">
      <c r="A693" s="9">
        <v>316164.90999999997</v>
      </c>
    </row>
    <row r="694" spans="1:1" x14ac:dyDescent="0.25">
      <c r="A694" s="9">
        <v>38423856.829999998</v>
      </c>
    </row>
    <row r="695" spans="1:1" x14ac:dyDescent="0.25">
      <c r="A695" s="9">
        <v>390367.72</v>
      </c>
    </row>
    <row r="696" spans="1:1" x14ac:dyDescent="0.25">
      <c r="A696" s="9">
        <v>280163.73</v>
      </c>
    </row>
    <row r="697" spans="1:1" x14ac:dyDescent="0.25">
      <c r="A697" s="9">
        <v>9943072.8499999996</v>
      </c>
    </row>
    <row r="698" spans="1:1" x14ac:dyDescent="0.25">
      <c r="A698" s="9">
        <v>35348705.270000003</v>
      </c>
    </row>
    <row r="699" spans="1:1" x14ac:dyDescent="0.25">
      <c r="A699">
        <v>0</v>
      </c>
    </row>
    <row r="700" spans="1:1" x14ac:dyDescent="0.25">
      <c r="A700" s="9">
        <v>4813570.5199999996</v>
      </c>
    </row>
    <row r="701" spans="1:1" x14ac:dyDescent="0.25">
      <c r="A701" s="9">
        <v>811317.31999999902</v>
      </c>
    </row>
    <row r="702" spans="1:1" x14ac:dyDescent="0.25">
      <c r="A702" s="9">
        <v>4328216.25</v>
      </c>
    </row>
    <row r="703" spans="1:1" x14ac:dyDescent="0.25">
      <c r="A703">
        <v>1944663</v>
      </c>
    </row>
    <row r="704" spans="1:1" x14ac:dyDescent="0.25">
      <c r="A704" s="9">
        <v>6098488.8099999996</v>
      </c>
    </row>
    <row r="705" spans="1:1" x14ac:dyDescent="0.25">
      <c r="A705" s="9">
        <v>33781.019999999997</v>
      </c>
    </row>
    <row r="706" spans="1:1" x14ac:dyDescent="0.25">
      <c r="A706">
        <v>0</v>
      </c>
    </row>
    <row r="707" spans="1:1" x14ac:dyDescent="0.25">
      <c r="A707">
        <v>0</v>
      </c>
    </row>
    <row r="708" spans="1:1" x14ac:dyDescent="0.25">
      <c r="A708" s="9">
        <v>48294489.630000003</v>
      </c>
    </row>
    <row r="709" spans="1:1" x14ac:dyDescent="0.25">
      <c r="A709" s="9">
        <v>8854229.6299999896</v>
      </c>
    </row>
    <row r="710" spans="1:1" x14ac:dyDescent="0.25">
      <c r="A710" s="9">
        <v>12274086.77</v>
      </c>
    </row>
    <row r="711" spans="1:1" x14ac:dyDescent="0.25">
      <c r="A711" s="9">
        <v>1150665.96</v>
      </c>
    </row>
    <row r="712" spans="1:1" x14ac:dyDescent="0.25">
      <c r="A712" s="9">
        <v>429493.41</v>
      </c>
    </row>
    <row r="713" spans="1:1" x14ac:dyDescent="0.25">
      <c r="A713" s="9">
        <v>173251.05</v>
      </c>
    </row>
    <row r="714" spans="1:1" x14ac:dyDescent="0.25">
      <c r="A714" s="9">
        <v>10086360.67</v>
      </c>
    </row>
    <row r="715" spans="1:1" x14ac:dyDescent="0.25">
      <c r="A715" s="9">
        <v>9168373.4100000001</v>
      </c>
    </row>
    <row r="716" spans="1:1" x14ac:dyDescent="0.25">
      <c r="A716" s="9">
        <v>2300556.91</v>
      </c>
    </row>
    <row r="717" spans="1:1" x14ac:dyDescent="0.25">
      <c r="A717" s="9">
        <v>5921011.2400000002</v>
      </c>
    </row>
    <row r="718" spans="1:1" x14ac:dyDescent="0.25">
      <c r="A718">
        <v>0</v>
      </c>
    </row>
    <row r="719" spans="1:1" x14ac:dyDescent="0.25">
      <c r="A719" s="9">
        <v>22867586.780000001</v>
      </c>
    </row>
    <row r="720" spans="1:1" x14ac:dyDescent="0.25">
      <c r="A720">
        <v>0</v>
      </c>
    </row>
    <row r="721" spans="1:1" x14ac:dyDescent="0.25">
      <c r="A721" s="9">
        <v>179642.07</v>
      </c>
    </row>
    <row r="722" spans="1:1" x14ac:dyDescent="0.25">
      <c r="A722">
        <v>0</v>
      </c>
    </row>
    <row r="723" spans="1:1" x14ac:dyDescent="0.25">
      <c r="A723" s="9">
        <v>6860816.2300000004</v>
      </c>
    </row>
    <row r="724" spans="1:1" x14ac:dyDescent="0.25">
      <c r="A724" s="9">
        <v>3288328.37</v>
      </c>
    </row>
    <row r="725" spans="1:1" x14ac:dyDescent="0.25">
      <c r="A725" s="9">
        <v>61612559.960000001</v>
      </c>
    </row>
    <row r="726" spans="1:1" x14ac:dyDescent="0.25">
      <c r="A726" s="9">
        <v>411088.41</v>
      </c>
    </row>
    <row r="727" spans="1:1" x14ac:dyDescent="0.25">
      <c r="A727" s="9">
        <v>252977.86</v>
      </c>
    </row>
    <row r="728" spans="1:1" x14ac:dyDescent="0.25">
      <c r="A728" s="9">
        <v>2464135.0699999998</v>
      </c>
    </row>
    <row r="729" spans="1:1" x14ac:dyDescent="0.25">
      <c r="A729">
        <v>0</v>
      </c>
    </row>
    <row r="730" spans="1:1" x14ac:dyDescent="0.25">
      <c r="A730">
        <v>0</v>
      </c>
    </row>
    <row r="731" spans="1:1" x14ac:dyDescent="0.25">
      <c r="A731" s="9">
        <v>3778206.54</v>
      </c>
    </row>
    <row r="732" spans="1:1" x14ac:dyDescent="0.25">
      <c r="A732" s="9">
        <v>345157.26</v>
      </c>
    </row>
    <row r="733" spans="1:1" x14ac:dyDescent="0.25">
      <c r="A733" s="9">
        <v>14259103.35</v>
      </c>
    </row>
    <row r="734" spans="1:1" x14ac:dyDescent="0.25">
      <c r="A734" s="9">
        <v>3571763.64</v>
      </c>
    </row>
    <row r="735" spans="1:1" x14ac:dyDescent="0.25">
      <c r="A735" s="9">
        <v>950322.19</v>
      </c>
    </row>
    <row r="736" spans="1:1" x14ac:dyDescent="0.25">
      <c r="A736" s="9">
        <v>9746749.4499999993</v>
      </c>
    </row>
    <row r="737" spans="1:1" x14ac:dyDescent="0.25">
      <c r="A737" s="9">
        <v>5888178.3199999901</v>
      </c>
    </row>
    <row r="738" spans="1:1" x14ac:dyDescent="0.25">
      <c r="A738" s="9">
        <v>1305730.68</v>
      </c>
    </row>
    <row r="739" spans="1:1" x14ac:dyDescent="0.25">
      <c r="A739" s="9">
        <v>2638246.33</v>
      </c>
    </row>
    <row r="740" spans="1:1" x14ac:dyDescent="0.25">
      <c r="A740" s="9">
        <v>29354347.219999999</v>
      </c>
    </row>
    <row r="741" spans="1:1" x14ac:dyDescent="0.25">
      <c r="A741" s="9">
        <v>286262.23</v>
      </c>
    </row>
    <row r="742" spans="1:1" x14ac:dyDescent="0.25">
      <c r="A742">
        <v>0</v>
      </c>
    </row>
    <row r="743" spans="1:1" x14ac:dyDescent="0.25">
      <c r="A743" s="9">
        <v>2330891.0499999998</v>
      </c>
    </row>
    <row r="744" spans="1:1" x14ac:dyDescent="0.25">
      <c r="A744">
        <v>0</v>
      </c>
    </row>
    <row r="745" spans="1:1" x14ac:dyDescent="0.25">
      <c r="A745" s="9">
        <v>1458513.89</v>
      </c>
    </row>
    <row r="746" spans="1:1" x14ac:dyDescent="0.25">
      <c r="A746" s="9">
        <v>3095703.16</v>
      </c>
    </row>
    <row r="747" spans="1:1" x14ac:dyDescent="0.25">
      <c r="A747" s="9">
        <v>2739364.74</v>
      </c>
    </row>
    <row r="748" spans="1:1" x14ac:dyDescent="0.25">
      <c r="A748" s="9">
        <v>19998537.710000001</v>
      </c>
    </row>
    <row r="749" spans="1:1" x14ac:dyDescent="0.25">
      <c r="A749" s="9">
        <v>173251.05</v>
      </c>
    </row>
    <row r="750" spans="1:1" x14ac:dyDescent="0.25">
      <c r="A750" s="9">
        <v>439912.36</v>
      </c>
    </row>
    <row r="751" spans="1:1" x14ac:dyDescent="0.25">
      <c r="A751">
        <v>0</v>
      </c>
    </row>
    <row r="752" spans="1:1" x14ac:dyDescent="0.25">
      <c r="A752" s="9">
        <v>1035380.79</v>
      </c>
    </row>
    <row r="753" spans="1:1" x14ac:dyDescent="0.25">
      <c r="A753">
        <v>0</v>
      </c>
    </row>
    <row r="754" spans="1:1" x14ac:dyDescent="0.25">
      <c r="A754" s="9">
        <v>35714.1</v>
      </c>
    </row>
    <row r="755" spans="1:1" x14ac:dyDescent="0.25">
      <c r="A755" s="9">
        <v>8894025.8399999999</v>
      </c>
    </row>
    <row r="756" spans="1:1" x14ac:dyDescent="0.25">
      <c r="A756" s="9">
        <v>403881.86</v>
      </c>
    </row>
    <row r="757" spans="1:1" x14ac:dyDescent="0.25">
      <c r="A757" s="9">
        <v>15092800.42</v>
      </c>
    </row>
    <row r="758" spans="1:1" x14ac:dyDescent="0.25">
      <c r="A758" s="9">
        <v>58828763.749999903</v>
      </c>
    </row>
    <row r="759" spans="1:1" x14ac:dyDescent="0.25">
      <c r="A759">
        <v>0</v>
      </c>
    </row>
    <row r="760" spans="1:1" x14ac:dyDescent="0.25">
      <c r="A760" s="9">
        <v>6972413.2599999998</v>
      </c>
    </row>
    <row r="761" spans="1:1" x14ac:dyDescent="0.25">
      <c r="A761" s="9">
        <v>1375571.9</v>
      </c>
    </row>
    <row r="762" spans="1:1" x14ac:dyDescent="0.25">
      <c r="A762" s="9">
        <v>4274789.58</v>
      </c>
    </row>
    <row r="763" spans="1:1" x14ac:dyDescent="0.25">
      <c r="A763" s="9">
        <v>224876.73</v>
      </c>
    </row>
    <row r="764" spans="1:1" x14ac:dyDescent="0.25">
      <c r="A764" s="9">
        <v>2826421.5</v>
      </c>
    </row>
    <row r="765" spans="1:1" x14ac:dyDescent="0.25">
      <c r="A765" s="9">
        <v>10586251.84</v>
      </c>
    </row>
    <row r="766" spans="1:1" x14ac:dyDescent="0.25">
      <c r="A766" s="9">
        <v>130903.16</v>
      </c>
    </row>
    <row r="767" spans="1:1" x14ac:dyDescent="0.25">
      <c r="A767" s="9">
        <v>128802.6</v>
      </c>
    </row>
    <row r="768" spans="1:1" x14ac:dyDescent="0.25">
      <c r="A768" s="9">
        <v>2493133.12</v>
      </c>
    </row>
    <row r="769" spans="1:1" x14ac:dyDescent="0.25">
      <c r="A769" s="9">
        <v>5197538.68</v>
      </c>
    </row>
    <row r="770" spans="1:1" x14ac:dyDescent="0.25">
      <c r="A770">
        <v>0</v>
      </c>
    </row>
    <row r="771" spans="1:1" x14ac:dyDescent="0.25">
      <c r="A771" s="9">
        <v>7487983.02999999</v>
      </c>
    </row>
    <row r="772" spans="1:1" x14ac:dyDescent="0.25">
      <c r="A772" s="9">
        <v>327080.83</v>
      </c>
    </row>
    <row r="773" spans="1:1" x14ac:dyDescent="0.25">
      <c r="A773" s="9">
        <v>4735626.3099999996</v>
      </c>
    </row>
    <row r="774" spans="1:1" x14ac:dyDescent="0.25">
      <c r="A774" s="9">
        <v>13229952.720000001</v>
      </c>
    </row>
    <row r="775" spans="1:1" x14ac:dyDescent="0.25">
      <c r="A775" s="9">
        <v>1140868.1399999999</v>
      </c>
    </row>
    <row r="776" spans="1:1" x14ac:dyDescent="0.25">
      <c r="A776" s="9">
        <v>2919444.87</v>
      </c>
    </row>
    <row r="777" spans="1:1" x14ac:dyDescent="0.25">
      <c r="A777" s="9">
        <v>2557395.66</v>
      </c>
    </row>
    <row r="778" spans="1:1" x14ac:dyDescent="0.25">
      <c r="A778" s="9">
        <v>720891.27</v>
      </c>
    </row>
    <row r="779" spans="1:1" x14ac:dyDescent="0.25">
      <c r="A779" s="9">
        <v>1556064.35</v>
      </c>
    </row>
    <row r="780" spans="1:1" x14ac:dyDescent="0.25">
      <c r="A780" s="9">
        <v>274178.96000000002</v>
      </c>
    </row>
    <row r="781" spans="1:1" x14ac:dyDescent="0.25">
      <c r="A781">
        <v>11884802</v>
      </c>
    </row>
    <row r="782" spans="1:1" x14ac:dyDescent="0.25">
      <c r="A782" s="9">
        <v>5235824.21</v>
      </c>
    </row>
    <row r="783" spans="1:1" x14ac:dyDescent="0.25">
      <c r="A783" s="9">
        <v>280163.73</v>
      </c>
    </row>
    <row r="784" spans="1:1" x14ac:dyDescent="0.25">
      <c r="A784" s="9">
        <v>363327.26</v>
      </c>
    </row>
    <row r="785" spans="1:1" x14ac:dyDescent="0.25">
      <c r="A785">
        <v>0</v>
      </c>
    </row>
    <row r="786" spans="1:1" x14ac:dyDescent="0.25">
      <c r="A786">
        <v>0</v>
      </c>
    </row>
    <row r="787" spans="1:1" x14ac:dyDescent="0.25">
      <c r="A787">
        <v>0</v>
      </c>
    </row>
    <row r="788" spans="1:1" x14ac:dyDescent="0.25">
      <c r="A788" s="9">
        <v>5424698.3899999997</v>
      </c>
    </row>
    <row r="789" spans="1:1" x14ac:dyDescent="0.25">
      <c r="A789" s="9">
        <v>8748183.0699999891</v>
      </c>
    </row>
    <row r="790" spans="1:1" x14ac:dyDescent="0.25">
      <c r="A790" s="9">
        <v>5674790.0899999999</v>
      </c>
    </row>
    <row r="791" spans="1:1" x14ac:dyDescent="0.25">
      <c r="A791" s="9">
        <v>280163.73</v>
      </c>
    </row>
    <row r="792" spans="1:1" x14ac:dyDescent="0.25">
      <c r="A792" s="9">
        <v>1318200.48</v>
      </c>
    </row>
    <row r="793" spans="1:1" x14ac:dyDescent="0.25">
      <c r="A793" s="9">
        <v>70257426.299999997</v>
      </c>
    </row>
    <row r="794" spans="1:1" x14ac:dyDescent="0.25">
      <c r="A794" s="9">
        <v>8059457.7800000003</v>
      </c>
    </row>
    <row r="795" spans="1:1" x14ac:dyDescent="0.25">
      <c r="A795">
        <v>0</v>
      </c>
    </row>
    <row r="796" spans="1:1" x14ac:dyDescent="0.25">
      <c r="A796" s="9">
        <v>2458043.25</v>
      </c>
    </row>
    <row r="797" spans="1:1" x14ac:dyDescent="0.25">
      <c r="A797">
        <v>0</v>
      </c>
    </row>
    <row r="798" spans="1:1" x14ac:dyDescent="0.25">
      <c r="A798" s="9">
        <v>3999684.68</v>
      </c>
    </row>
    <row r="799" spans="1:1" x14ac:dyDescent="0.25">
      <c r="A799">
        <v>0</v>
      </c>
    </row>
    <row r="800" spans="1:1" x14ac:dyDescent="0.25">
      <c r="A800" s="9">
        <v>8246885.4699999904</v>
      </c>
    </row>
    <row r="801" spans="1:1" x14ac:dyDescent="0.25">
      <c r="A801" s="9">
        <v>33668902.969999999</v>
      </c>
    </row>
    <row r="802" spans="1:1" x14ac:dyDescent="0.25">
      <c r="A802">
        <v>0</v>
      </c>
    </row>
    <row r="803" spans="1:1" x14ac:dyDescent="0.25">
      <c r="A803" s="9">
        <v>7468924.3200000003</v>
      </c>
    </row>
    <row r="804" spans="1:1" x14ac:dyDescent="0.25">
      <c r="A804" s="9">
        <v>204402.42</v>
      </c>
    </row>
    <row r="805" spans="1:1" x14ac:dyDescent="0.25">
      <c r="A805">
        <v>0</v>
      </c>
    </row>
    <row r="806" spans="1:1" x14ac:dyDescent="0.25">
      <c r="A806" s="9">
        <v>30631047.609999999</v>
      </c>
    </row>
    <row r="807" spans="1:1" x14ac:dyDescent="0.25">
      <c r="A807" s="9">
        <v>6849366.9299999997</v>
      </c>
    </row>
    <row r="808" spans="1:1" x14ac:dyDescent="0.25">
      <c r="A808" s="9">
        <v>167119.70000000001</v>
      </c>
    </row>
    <row r="809" spans="1:1" x14ac:dyDescent="0.25">
      <c r="A809">
        <v>0</v>
      </c>
    </row>
    <row r="810" spans="1:1" x14ac:dyDescent="0.25">
      <c r="A810" s="9">
        <v>3475744.1</v>
      </c>
    </row>
    <row r="811" spans="1:1" x14ac:dyDescent="0.25">
      <c r="A811">
        <v>0</v>
      </c>
    </row>
    <row r="812" spans="1:1" x14ac:dyDescent="0.25">
      <c r="A812" s="9">
        <v>3918312.57</v>
      </c>
    </row>
    <row r="813" spans="1:1" x14ac:dyDescent="0.25">
      <c r="A813" s="9">
        <v>30527107.66</v>
      </c>
    </row>
    <row r="814" spans="1:1" x14ac:dyDescent="0.25">
      <c r="A814" s="9">
        <v>5153777.7</v>
      </c>
    </row>
    <row r="815" spans="1:1" x14ac:dyDescent="0.25">
      <c r="A815" s="9">
        <v>15897269.539999999</v>
      </c>
    </row>
    <row r="816" spans="1:1" x14ac:dyDescent="0.25">
      <c r="A816">
        <v>0</v>
      </c>
    </row>
    <row r="817" spans="1:1" x14ac:dyDescent="0.25">
      <c r="A817" s="9">
        <v>27754034.809999999</v>
      </c>
    </row>
    <row r="818" spans="1:1" x14ac:dyDescent="0.25">
      <c r="A818" s="9">
        <v>35714.1</v>
      </c>
    </row>
    <row r="819" spans="1:1" x14ac:dyDescent="0.25">
      <c r="A819">
        <v>0</v>
      </c>
    </row>
    <row r="820" spans="1:1" x14ac:dyDescent="0.25">
      <c r="A820">
        <v>0</v>
      </c>
    </row>
    <row r="821" spans="1:1" x14ac:dyDescent="0.25">
      <c r="A821" s="9">
        <v>1829012.13</v>
      </c>
    </row>
    <row r="822" spans="1:1" x14ac:dyDescent="0.25">
      <c r="A822" s="9">
        <v>7972866.5700000003</v>
      </c>
    </row>
    <row r="823" spans="1:1" x14ac:dyDescent="0.25">
      <c r="A823" s="9">
        <v>946996.57</v>
      </c>
    </row>
    <row r="824" spans="1:1" x14ac:dyDescent="0.25">
      <c r="A824" s="9">
        <v>595346.36</v>
      </c>
    </row>
    <row r="825" spans="1:1" x14ac:dyDescent="0.25">
      <c r="A825">
        <v>0</v>
      </c>
    </row>
    <row r="826" spans="1:1" x14ac:dyDescent="0.25">
      <c r="A826">
        <v>0</v>
      </c>
    </row>
    <row r="827" spans="1:1" x14ac:dyDescent="0.25">
      <c r="A827" s="9">
        <v>3612003.49</v>
      </c>
    </row>
    <row r="828" spans="1:1" x14ac:dyDescent="0.25">
      <c r="A828" s="9">
        <v>2441747.16</v>
      </c>
    </row>
    <row r="829" spans="1:1" x14ac:dyDescent="0.25">
      <c r="A829" s="9">
        <v>2279767.42</v>
      </c>
    </row>
    <row r="830" spans="1:1" x14ac:dyDescent="0.25">
      <c r="A830" s="9">
        <v>965460.79</v>
      </c>
    </row>
    <row r="831" spans="1:1" x14ac:dyDescent="0.25">
      <c r="A831" s="9">
        <v>2860794.79</v>
      </c>
    </row>
    <row r="832" spans="1:1" x14ac:dyDescent="0.25">
      <c r="A832" s="9">
        <v>2205156.75</v>
      </c>
    </row>
    <row r="833" spans="1:1" x14ac:dyDescent="0.25">
      <c r="A833" s="9">
        <v>8168275.4000000004</v>
      </c>
    </row>
    <row r="834" spans="1:1" x14ac:dyDescent="0.25">
      <c r="A834" s="9">
        <v>5358531.82</v>
      </c>
    </row>
    <row r="835" spans="1:1" x14ac:dyDescent="0.25">
      <c r="A835" s="9">
        <v>58205232.520000003</v>
      </c>
    </row>
    <row r="836" spans="1:1" x14ac:dyDescent="0.25">
      <c r="A836" s="9">
        <v>2085315.35</v>
      </c>
    </row>
    <row r="837" spans="1:1" x14ac:dyDescent="0.25">
      <c r="A837" s="9">
        <v>395433.62</v>
      </c>
    </row>
    <row r="838" spans="1:1" x14ac:dyDescent="0.25">
      <c r="A838" s="9">
        <v>2749802.16</v>
      </c>
    </row>
    <row r="839" spans="1:1" x14ac:dyDescent="0.25">
      <c r="A839" s="9">
        <v>10196863.810000001</v>
      </c>
    </row>
    <row r="840" spans="1:1" x14ac:dyDescent="0.25">
      <c r="A840" s="9">
        <v>3833375.44</v>
      </c>
    </row>
    <row r="841" spans="1:1" x14ac:dyDescent="0.25">
      <c r="A841" s="9">
        <v>6970025.8199999901</v>
      </c>
    </row>
    <row r="842" spans="1:1" x14ac:dyDescent="0.25">
      <c r="A842" s="9">
        <v>6878858.71</v>
      </c>
    </row>
    <row r="843" spans="1:1" x14ac:dyDescent="0.25">
      <c r="A843" s="9">
        <v>345564.07</v>
      </c>
    </row>
    <row r="844" spans="1:1" x14ac:dyDescent="0.25">
      <c r="A844" s="9">
        <v>1745209.38</v>
      </c>
    </row>
    <row r="845" spans="1:1" x14ac:dyDescent="0.25">
      <c r="A845">
        <v>5916335</v>
      </c>
    </row>
    <row r="846" spans="1:1" x14ac:dyDescent="0.25">
      <c r="A846" s="9">
        <v>620056.28</v>
      </c>
    </row>
    <row r="847" spans="1:1" x14ac:dyDescent="0.25">
      <c r="A847" s="9">
        <v>6662703.1299999999</v>
      </c>
    </row>
    <row r="848" spans="1:1" x14ac:dyDescent="0.25">
      <c r="A848" s="9">
        <v>3033144.84</v>
      </c>
    </row>
    <row r="849" spans="1:1" x14ac:dyDescent="0.25">
      <c r="A849" s="9">
        <v>28667491.02</v>
      </c>
    </row>
    <row r="850" spans="1:1" x14ac:dyDescent="0.25">
      <c r="A850">
        <v>0</v>
      </c>
    </row>
    <row r="851" spans="1:1" x14ac:dyDescent="0.25">
      <c r="A851" s="9">
        <v>609550.07999999996</v>
      </c>
    </row>
    <row r="852" spans="1:1" x14ac:dyDescent="0.25">
      <c r="A852">
        <v>0</v>
      </c>
    </row>
    <row r="853" spans="1:1" x14ac:dyDescent="0.25">
      <c r="A853" s="9">
        <v>31605903.789999999</v>
      </c>
    </row>
    <row r="854" spans="1:1" x14ac:dyDescent="0.25">
      <c r="A854" s="9">
        <v>3098679.38</v>
      </c>
    </row>
    <row r="855" spans="1:1" x14ac:dyDescent="0.25">
      <c r="A855" s="9">
        <v>326334.89</v>
      </c>
    </row>
    <row r="856" spans="1:1" x14ac:dyDescent="0.25">
      <c r="A856">
        <v>0</v>
      </c>
    </row>
    <row r="857" spans="1:1" x14ac:dyDescent="0.25">
      <c r="A857" s="9">
        <v>65714.75</v>
      </c>
    </row>
    <row r="858" spans="1:1" x14ac:dyDescent="0.25">
      <c r="A858" s="9">
        <v>13023864.220000001</v>
      </c>
    </row>
    <row r="859" spans="1:1" x14ac:dyDescent="0.25">
      <c r="A859" s="9">
        <v>1086871.04</v>
      </c>
    </row>
    <row r="860" spans="1:1" x14ac:dyDescent="0.25">
      <c r="A860" s="9">
        <v>2421580.58</v>
      </c>
    </row>
    <row r="861" spans="1:1" x14ac:dyDescent="0.25">
      <c r="A861" s="9">
        <v>2289865.36</v>
      </c>
    </row>
    <row r="862" spans="1:1" x14ac:dyDescent="0.25">
      <c r="A862" s="9">
        <v>1878777.86</v>
      </c>
    </row>
    <row r="863" spans="1:1" x14ac:dyDescent="0.25">
      <c r="A863" s="9">
        <v>14716461.880000001</v>
      </c>
    </row>
    <row r="864" spans="1:1" x14ac:dyDescent="0.25">
      <c r="A864">
        <v>0</v>
      </c>
    </row>
    <row r="865" spans="1:1" x14ac:dyDescent="0.25">
      <c r="A865" s="9">
        <v>44412132.159999996</v>
      </c>
    </row>
    <row r="866" spans="1:1" x14ac:dyDescent="0.25">
      <c r="A866">
        <v>0</v>
      </c>
    </row>
    <row r="867" spans="1:1" x14ac:dyDescent="0.25">
      <c r="A867">
        <v>0</v>
      </c>
    </row>
    <row r="868" spans="1:1" x14ac:dyDescent="0.25">
      <c r="A868">
        <v>0</v>
      </c>
    </row>
    <row r="869" spans="1:1" x14ac:dyDescent="0.25">
      <c r="A869" s="9">
        <v>245430.43</v>
      </c>
    </row>
    <row r="870" spans="1:1" x14ac:dyDescent="0.25">
      <c r="A870" s="9">
        <v>165599.44</v>
      </c>
    </row>
    <row r="871" spans="1:1" x14ac:dyDescent="0.25">
      <c r="A871" s="9">
        <v>43713.93</v>
      </c>
    </row>
    <row r="872" spans="1:1" x14ac:dyDescent="0.25">
      <c r="A872">
        <v>0</v>
      </c>
    </row>
    <row r="873" spans="1:1" x14ac:dyDescent="0.25">
      <c r="A873">
        <v>0</v>
      </c>
    </row>
    <row r="874" spans="1:1" x14ac:dyDescent="0.25">
      <c r="A874">
        <v>0</v>
      </c>
    </row>
    <row r="875" spans="1:1" x14ac:dyDescent="0.25">
      <c r="A875">
        <v>0</v>
      </c>
    </row>
    <row r="876" spans="1:1" x14ac:dyDescent="0.25">
      <c r="A876">
        <v>0</v>
      </c>
    </row>
    <row r="877" spans="1:1" x14ac:dyDescent="0.25">
      <c r="A877" s="9">
        <v>16068964.33</v>
      </c>
    </row>
    <row r="878" spans="1:1" x14ac:dyDescent="0.25">
      <c r="A878" s="9">
        <v>537376.31999999902</v>
      </c>
    </row>
    <row r="879" spans="1:1" x14ac:dyDescent="0.25">
      <c r="A879" s="9">
        <v>4672001.6499999901</v>
      </c>
    </row>
    <row r="880" spans="1:1" x14ac:dyDescent="0.25">
      <c r="A880" s="9">
        <v>4387118.1500000004</v>
      </c>
    </row>
    <row r="881" spans="1:1" x14ac:dyDescent="0.25">
      <c r="A881" s="9">
        <v>6436349.0800000001</v>
      </c>
    </row>
    <row r="882" spans="1:1" x14ac:dyDescent="0.25">
      <c r="A882" s="9">
        <v>2677012.2400000002</v>
      </c>
    </row>
    <row r="883" spans="1:1" x14ac:dyDescent="0.25">
      <c r="A883" s="9">
        <v>1456739.68</v>
      </c>
    </row>
    <row r="884" spans="1:1" x14ac:dyDescent="0.25">
      <c r="A884" s="9">
        <v>5526161.6299999999</v>
      </c>
    </row>
    <row r="885" spans="1:1" x14ac:dyDescent="0.25">
      <c r="A885" s="9">
        <v>4851879.2</v>
      </c>
    </row>
    <row r="886" spans="1:1" x14ac:dyDescent="0.25">
      <c r="A886" s="9">
        <v>33804425.459999897</v>
      </c>
    </row>
    <row r="887" spans="1:1" x14ac:dyDescent="0.25">
      <c r="A887" s="9">
        <v>1536721.6</v>
      </c>
    </row>
    <row r="888" spans="1:1" x14ac:dyDescent="0.25">
      <c r="A888" s="9">
        <v>34806552.069999903</v>
      </c>
    </row>
    <row r="889" spans="1:1" x14ac:dyDescent="0.25">
      <c r="A889" s="9">
        <v>18658744.949999999</v>
      </c>
    </row>
    <row r="890" spans="1:1" x14ac:dyDescent="0.25">
      <c r="A890" s="9">
        <v>182426.99</v>
      </c>
    </row>
    <row r="891" spans="1:1" x14ac:dyDescent="0.25">
      <c r="A891" s="9">
        <v>10419042.460000001</v>
      </c>
    </row>
    <row r="892" spans="1:1" x14ac:dyDescent="0.25">
      <c r="A892" s="9">
        <v>1878777.86</v>
      </c>
    </row>
    <row r="893" spans="1:1" x14ac:dyDescent="0.25">
      <c r="A893" s="9">
        <v>11206486.859999999</v>
      </c>
    </row>
    <row r="894" spans="1:1" x14ac:dyDescent="0.25">
      <c r="A894" s="9">
        <v>2491870.19</v>
      </c>
    </row>
    <row r="895" spans="1:1" x14ac:dyDescent="0.25">
      <c r="A895" s="9">
        <v>12378620.710000001</v>
      </c>
    </row>
    <row r="896" spans="1:1" x14ac:dyDescent="0.25">
      <c r="A896" s="9">
        <v>1373800.91</v>
      </c>
    </row>
    <row r="897" spans="1:1" x14ac:dyDescent="0.25">
      <c r="A897" s="9">
        <v>1576997.09</v>
      </c>
    </row>
    <row r="898" spans="1:1" x14ac:dyDescent="0.25">
      <c r="A898" s="9">
        <v>23302196.219999999</v>
      </c>
    </row>
    <row r="899" spans="1:1" x14ac:dyDescent="0.25">
      <c r="A899" s="9">
        <v>5747164.0699999901</v>
      </c>
    </row>
    <row r="900" spans="1:1" x14ac:dyDescent="0.25">
      <c r="A900" s="9">
        <v>280703.46000000002</v>
      </c>
    </row>
    <row r="901" spans="1:1" x14ac:dyDescent="0.25">
      <c r="A901" s="9">
        <v>6704875.4299999997</v>
      </c>
    </row>
    <row r="902" spans="1:1" x14ac:dyDescent="0.25">
      <c r="A902" s="9">
        <v>35669154.5</v>
      </c>
    </row>
    <row r="903" spans="1:1" x14ac:dyDescent="0.25">
      <c r="A903" s="9">
        <v>24986755.030000001</v>
      </c>
    </row>
    <row r="904" spans="1:1" x14ac:dyDescent="0.25">
      <c r="A904">
        <v>0</v>
      </c>
    </row>
    <row r="905" spans="1:1" x14ac:dyDescent="0.25">
      <c r="A905" s="9">
        <v>5565432.3200000003</v>
      </c>
    </row>
    <row r="906" spans="1:1" x14ac:dyDescent="0.25">
      <c r="A906" s="9">
        <v>200483.82</v>
      </c>
    </row>
    <row r="907" spans="1:1" x14ac:dyDescent="0.25">
      <c r="A907">
        <v>0</v>
      </c>
    </row>
    <row r="908" spans="1:1" x14ac:dyDescent="0.25">
      <c r="A908" s="9">
        <v>563253.82999999996</v>
      </c>
    </row>
    <row r="909" spans="1:1" x14ac:dyDescent="0.25">
      <c r="A909" s="9">
        <v>2701188.76</v>
      </c>
    </row>
    <row r="910" spans="1:1" x14ac:dyDescent="0.25">
      <c r="A910" s="9">
        <v>148737.42000000001</v>
      </c>
    </row>
    <row r="911" spans="1:1" x14ac:dyDescent="0.25">
      <c r="A911" s="9">
        <v>3066449.53</v>
      </c>
    </row>
    <row r="912" spans="1:1" x14ac:dyDescent="0.25">
      <c r="A912" s="9">
        <v>2226367.5699999998</v>
      </c>
    </row>
    <row r="913" spans="1:1" x14ac:dyDescent="0.25">
      <c r="A913" s="9">
        <v>228381.72</v>
      </c>
    </row>
    <row r="914" spans="1:1" x14ac:dyDescent="0.25">
      <c r="A914" s="9">
        <v>55235.28</v>
      </c>
    </row>
    <row r="915" spans="1:1" x14ac:dyDescent="0.25">
      <c r="A915" s="9">
        <v>470268.34</v>
      </c>
    </row>
    <row r="916" spans="1:1" x14ac:dyDescent="0.25">
      <c r="A916" s="9">
        <v>15484157.529999999</v>
      </c>
    </row>
    <row r="917" spans="1:1" x14ac:dyDescent="0.25">
      <c r="A917" s="9">
        <v>1829542.53</v>
      </c>
    </row>
    <row r="918" spans="1:1" x14ac:dyDescent="0.25">
      <c r="A918" s="9">
        <v>53091.6</v>
      </c>
    </row>
    <row r="919" spans="1:1" x14ac:dyDescent="0.25">
      <c r="A919" s="9">
        <v>612847.37</v>
      </c>
    </row>
    <row r="920" spans="1:1" x14ac:dyDescent="0.25">
      <c r="A920" s="9">
        <v>227391.9</v>
      </c>
    </row>
    <row r="921" spans="1:1" x14ac:dyDescent="0.25">
      <c r="A921" s="9">
        <v>2225549.9300000002</v>
      </c>
    </row>
    <row r="922" spans="1:1" x14ac:dyDescent="0.25">
      <c r="A922" s="9">
        <v>199463.41</v>
      </c>
    </row>
    <row r="923" spans="1:1" x14ac:dyDescent="0.25">
      <c r="A923" s="9">
        <v>1698032.65</v>
      </c>
    </row>
    <row r="924" spans="1:1" x14ac:dyDescent="0.25">
      <c r="A924" s="9">
        <v>6582083.6500000004</v>
      </c>
    </row>
    <row r="925" spans="1:1" x14ac:dyDescent="0.25">
      <c r="A925">
        <v>0</v>
      </c>
    </row>
    <row r="926" spans="1:1" x14ac:dyDescent="0.25">
      <c r="A926" s="9">
        <v>9152361.6600000001</v>
      </c>
    </row>
    <row r="927" spans="1:1" x14ac:dyDescent="0.25">
      <c r="A927">
        <v>0</v>
      </c>
    </row>
    <row r="928" spans="1:1" x14ac:dyDescent="0.25">
      <c r="A928" s="9">
        <v>50287424.359999999</v>
      </c>
    </row>
    <row r="929" spans="1:1" x14ac:dyDescent="0.25">
      <c r="A929">
        <v>6622039</v>
      </c>
    </row>
    <row r="930" spans="1:1" x14ac:dyDescent="0.25">
      <c r="A930" s="9">
        <v>5412159.6699999999</v>
      </c>
    </row>
    <row r="931" spans="1:1" x14ac:dyDescent="0.25">
      <c r="A931" s="9">
        <v>45093262.139999896</v>
      </c>
    </row>
    <row r="932" spans="1:1" x14ac:dyDescent="0.25">
      <c r="A932" s="9">
        <v>29670989.629999999</v>
      </c>
    </row>
    <row r="933" spans="1:1" x14ac:dyDescent="0.25">
      <c r="A933" s="9">
        <v>5395912.6099999901</v>
      </c>
    </row>
    <row r="934" spans="1:1" x14ac:dyDescent="0.25">
      <c r="A934" s="9">
        <v>10981594.58</v>
      </c>
    </row>
    <row r="935" spans="1:1" x14ac:dyDescent="0.25">
      <c r="A935" s="9">
        <v>3502900.5</v>
      </c>
    </row>
    <row r="936" spans="1:1" x14ac:dyDescent="0.25">
      <c r="A936" s="9">
        <v>8241336.3599999901</v>
      </c>
    </row>
    <row r="937" spans="1:1" x14ac:dyDescent="0.25">
      <c r="A937">
        <v>0</v>
      </c>
    </row>
    <row r="938" spans="1:1" x14ac:dyDescent="0.25">
      <c r="A938" s="9">
        <v>201304.43</v>
      </c>
    </row>
    <row r="939" spans="1:1" x14ac:dyDescent="0.25">
      <c r="A939">
        <v>0</v>
      </c>
    </row>
    <row r="940" spans="1:1" x14ac:dyDescent="0.25">
      <c r="A940" s="9">
        <v>5468939.6799999997</v>
      </c>
    </row>
    <row r="941" spans="1:1" x14ac:dyDescent="0.25">
      <c r="A941" s="9">
        <v>18266244.489999998</v>
      </c>
    </row>
    <row r="942" spans="1:1" x14ac:dyDescent="0.25">
      <c r="A942">
        <v>17792338</v>
      </c>
    </row>
    <row r="943" spans="1:1" x14ac:dyDescent="0.25">
      <c r="A943" s="9">
        <v>1393632.74</v>
      </c>
    </row>
    <row r="944" spans="1:1" x14ac:dyDescent="0.25">
      <c r="A944" s="9">
        <v>13594100.289999999</v>
      </c>
    </row>
    <row r="945" spans="1:1" x14ac:dyDescent="0.25">
      <c r="A945">
        <v>0</v>
      </c>
    </row>
    <row r="946" spans="1:1" x14ac:dyDescent="0.25">
      <c r="A946" s="9">
        <v>2441747.16</v>
      </c>
    </row>
    <row r="947" spans="1:1" x14ac:dyDescent="0.25">
      <c r="A947" s="9">
        <v>20188409.210000001</v>
      </c>
    </row>
    <row r="948" spans="1:1" x14ac:dyDescent="0.25">
      <c r="A948" s="9">
        <v>686922.98</v>
      </c>
    </row>
    <row r="949" spans="1:1" x14ac:dyDescent="0.25">
      <c r="A949" s="9">
        <v>10282499.800000001</v>
      </c>
    </row>
    <row r="950" spans="1:1" x14ac:dyDescent="0.25">
      <c r="A950" s="9">
        <v>7960527.5999999996</v>
      </c>
    </row>
    <row r="951" spans="1:1" x14ac:dyDescent="0.25">
      <c r="A951" s="9">
        <v>3351866.53</v>
      </c>
    </row>
    <row r="952" spans="1:1" x14ac:dyDescent="0.25">
      <c r="A952" s="9">
        <v>6798319.0700000003</v>
      </c>
    </row>
    <row r="953" spans="1:1" x14ac:dyDescent="0.25">
      <c r="A953">
        <v>0</v>
      </c>
    </row>
    <row r="954" spans="1:1" x14ac:dyDescent="0.25">
      <c r="A954" s="9">
        <v>2169539.73</v>
      </c>
    </row>
    <row r="955" spans="1:1" x14ac:dyDescent="0.25">
      <c r="A955" s="9">
        <v>2254008.21</v>
      </c>
    </row>
    <row r="956" spans="1:1" x14ac:dyDescent="0.25">
      <c r="A956">
        <v>0</v>
      </c>
    </row>
    <row r="957" spans="1:1" x14ac:dyDescent="0.25">
      <c r="A957" s="9">
        <v>6755828.1900000004</v>
      </c>
    </row>
    <row r="958" spans="1:1" x14ac:dyDescent="0.25">
      <c r="A958" s="9">
        <v>12936044.02</v>
      </c>
    </row>
    <row r="959" spans="1:1" x14ac:dyDescent="0.25">
      <c r="A959" s="9">
        <v>6247199.2400000002</v>
      </c>
    </row>
    <row r="960" spans="1:1" x14ac:dyDescent="0.25">
      <c r="A960" s="9">
        <v>6939886.9000000004</v>
      </c>
    </row>
    <row r="961" spans="1:1" x14ac:dyDescent="0.25">
      <c r="A961" s="9">
        <v>2975158.92</v>
      </c>
    </row>
    <row r="962" spans="1:1" x14ac:dyDescent="0.25">
      <c r="A962" s="9">
        <v>1174774.3999999999</v>
      </c>
    </row>
    <row r="963" spans="1:1" x14ac:dyDescent="0.25">
      <c r="A963" s="9">
        <v>2336968.37</v>
      </c>
    </row>
    <row r="964" spans="1:1" x14ac:dyDescent="0.25">
      <c r="A964" s="9">
        <v>479629.36</v>
      </c>
    </row>
    <row r="965" spans="1:1" x14ac:dyDescent="0.25">
      <c r="A965">
        <v>0</v>
      </c>
    </row>
    <row r="966" spans="1:1" x14ac:dyDescent="0.25">
      <c r="A966">
        <v>0</v>
      </c>
    </row>
    <row r="967" spans="1:1" x14ac:dyDescent="0.25">
      <c r="A967" s="9">
        <v>6496559.9900000002</v>
      </c>
    </row>
    <row r="968" spans="1:1" x14ac:dyDescent="0.25">
      <c r="A968" s="9">
        <v>149771.68</v>
      </c>
    </row>
    <row r="969" spans="1:1" x14ac:dyDescent="0.25">
      <c r="A969" s="9">
        <v>45499371.539999999</v>
      </c>
    </row>
    <row r="970" spans="1:1" x14ac:dyDescent="0.25">
      <c r="A970" s="9">
        <v>111413.66</v>
      </c>
    </row>
    <row r="971" spans="1:1" x14ac:dyDescent="0.25">
      <c r="A971" s="9">
        <v>2807101.6</v>
      </c>
    </row>
    <row r="972" spans="1:1" x14ac:dyDescent="0.25">
      <c r="A972" s="9">
        <v>18727535.219999999</v>
      </c>
    </row>
    <row r="973" spans="1:1" x14ac:dyDescent="0.25">
      <c r="A973" s="9">
        <v>359931.48</v>
      </c>
    </row>
    <row r="974" spans="1:1" x14ac:dyDescent="0.25">
      <c r="A974" s="9">
        <v>378022.98</v>
      </c>
    </row>
    <row r="975" spans="1:1" x14ac:dyDescent="0.25">
      <c r="A975" s="9">
        <v>180596.36</v>
      </c>
    </row>
    <row r="976" spans="1:1" x14ac:dyDescent="0.25">
      <c r="A976" s="9">
        <v>259798.08</v>
      </c>
    </row>
    <row r="977" spans="1:1" x14ac:dyDescent="0.25">
      <c r="A977" s="9">
        <v>9560673.7200000007</v>
      </c>
    </row>
    <row r="978" spans="1:1" x14ac:dyDescent="0.25">
      <c r="A978" s="9">
        <v>280163.73</v>
      </c>
    </row>
    <row r="979" spans="1:1" x14ac:dyDescent="0.25">
      <c r="A979" s="9">
        <v>3227707.84</v>
      </c>
    </row>
    <row r="980" spans="1:1" x14ac:dyDescent="0.25">
      <c r="A980" s="9">
        <v>602936.68999999901</v>
      </c>
    </row>
    <row r="981" spans="1:1" x14ac:dyDescent="0.25">
      <c r="A981" s="9">
        <v>511060.16</v>
      </c>
    </row>
    <row r="982" spans="1:1" x14ac:dyDescent="0.25">
      <c r="A982" s="9">
        <v>5592657.8399999999</v>
      </c>
    </row>
    <row r="983" spans="1:1" x14ac:dyDescent="0.25">
      <c r="A983" s="9">
        <v>25854332.940000001</v>
      </c>
    </row>
    <row r="984" spans="1:1" x14ac:dyDescent="0.25">
      <c r="A984" s="9">
        <v>20055080.969999999</v>
      </c>
    </row>
    <row r="985" spans="1:1" x14ac:dyDescent="0.25">
      <c r="A985" s="9">
        <v>3081662.96</v>
      </c>
    </row>
    <row r="986" spans="1:1" x14ac:dyDescent="0.25">
      <c r="A986" s="9">
        <v>7416912.3099999996</v>
      </c>
    </row>
    <row r="987" spans="1:1" x14ac:dyDescent="0.25">
      <c r="A987" s="9">
        <v>15759458.93</v>
      </c>
    </row>
    <row r="988" spans="1:1" x14ac:dyDescent="0.25">
      <c r="A988" s="9">
        <v>30329448.460000001</v>
      </c>
    </row>
    <row r="989" spans="1:1" x14ac:dyDescent="0.25">
      <c r="A989">
        <v>0</v>
      </c>
    </row>
    <row r="990" spans="1:1" x14ac:dyDescent="0.25">
      <c r="A990" s="9">
        <v>3279761.58</v>
      </c>
    </row>
    <row r="991" spans="1:1" x14ac:dyDescent="0.25">
      <c r="A991">
        <v>0</v>
      </c>
    </row>
    <row r="992" spans="1:1" x14ac:dyDescent="0.25">
      <c r="A992" s="9">
        <v>2561091.17</v>
      </c>
    </row>
    <row r="993" spans="1:1" x14ac:dyDescent="0.25">
      <c r="A993" s="9">
        <v>9117758.3900000006</v>
      </c>
    </row>
    <row r="994" spans="1:1" x14ac:dyDescent="0.25">
      <c r="A994" s="9">
        <v>26923.26</v>
      </c>
    </row>
    <row r="995" spans="1:1" x14ac:dyDescent="0.25">
      <c r="A995" s="9">
        <v>28432.95</v>
      </c>
    </row>
    <row r="996" spans="1:1" x14ac:dyDescent="0.25">
      <c r="A996" s="9">
        <v>69989.64</v>
      </c>
    </row>
    <row r="997" spans="1:1" x14ac:dyDescent="0.25">
      <c r="A997" s="9">
        <v>654419.56000000006</v>
      </c>
    </row>
    <row r="998" spans="1:1" x14ac:dyDescent="0.25">
      <c r="A998" s="9">
        <v>3053467.37</v>
      </c>
    </row>
    <row r="999" spans="1:1" x14ac:dyDescent="0.25">
      <c r="A999">
        <v>0</v>
      </c>
    </row>
    <row r="1000" spans="1:1" x14ac:dyDescent="0.25">
      <c r="A1000" s="9">
        <v>3174370.36</v>
      </c>
    </row>
    <row r="1001" spans="1:1" x14ac:dyDescent="0.25">
      <c r="A1001" s="9">
        <v>7068431.2999999998</v>
      </c>
    </row>
    <row r="1002" spans="1:1" x14ac:dyDescent="0.25">
      <c r="A1002">
        <v>0</v>
      </c>
    </row>
    <row r="1003" spans="1:1" x14ac:dyDescent="0.25">
      <c r="A1003" s="9">
        <v>2628246.66</v>
      </c>
    </row>
    <row r="1004" spans="1:1" x14ac:dyDescent="0.25">
      <c r="A1004" s="9">
        <v>1267152.6200000001</v>
      </c>
    </row>
    <row r="1005" spans="1:1" x14ac:dyDescent="0.25">
      <c r="A1005">
        <v>0</v>
      </c>
    </row>
    <row r="1006" spans="1:1" x14ac:dyDescent="0.25">
      <c r="A1006" s="9">
        <v>1046178.19</v>
      </c>
    </row>
    <row r="1007" spans="1:1" x14ac:dyDescent="0.25">
      <c r="A1007" s="9">
        <v>4390448.25</v>
      </c>
    </row>
    <row r="1008" spans="1:1" x14ac:dyDescent="0.25">
      <c r="A1008" s="9">
        <v>481275.28</v>
      </c>
    </row>
    <row r="1009" spans="1:1" x14ac:dyDescent="0.25">
      <c r="A1009" s="9">
        <v>2622366.12</v>
      </c>
    </row>
    <row r="1010" spans="1:1" x14ac:dyDescent="0.25">
      <c r="A1010" s="9">
        <v>5148108.92</v>
      </c>
    </row>
    <row r="1011" spans="1:1" x14ac:dyDescent="0.25">
      <c r="A1011" s="9">
        <v>1851945.65</v>
      </c>
    </row>
    <row r="1012" spans="1:1" x14ac:dyDescent="0.25">
      <c r="A1012" s="9">
        <v>1375412.26</v>
      </c>
    </row>
    <row r="1013" spans="1:1" x14ac:dyDescent="0.25">
      <c r="A1013" s="9">
        <v>3834280.48</v>
      </c>
    </row>
    <row r="1014" spans="1:1" x14ac:dyDescent="0.25">
      <c r="A1014">
        <v>0</v>
      </c>
    </row>
    <row r="1015" spans="1:1" x14ac:dyDescent="0.25">
      <c r="A1015" s="9">
        <v>3558183.87</v>
      </c>
    </row>
    <row r="1016" spans="1:1" x14ac:dyDescent="0.25">
      <c r="A1016" s="9">
        <v>5139961.7300000004</v>
      </c>
    </row>
    <row r="1017" spans="1:1" x14ac:dyDescent="0.25">
      <c r="A1017" s="9">
        <v>12867020.35</v>
      </c>
    </row>
    <row r="1018" spans="1:1" x14ac:dyDescent="0.25">
      <c r="A1018" s="9">
        <v>7451559.6299999999</v>
      </c>
    </row>
    <row r="1019" spans="1:1" x14ac:dyDescent="0.25">
      <c r="A1019">
        <v>6881625</v>
      </c>
    </row>
    <row r="1020" spans="1:1" x14ac:dyDescent="0.25">
      <c r="A1020" s="9">
        <v>114189.02</v>
      </c>
    </row>
    <row r="1021" spans="1:1" x14ac:dyDescent="0.25">
      <c r="A1021">
        <v>0</v>
      </c>
    </row>
    <row r="1022" spans="1:1" x14ac:dyDescent="0.25">
      <c r="A1022">
        <v>0</v>
      </c>
    </row>
    <row r="1023" spans="1:1" x14ac:dyDescent="0.25">
      <c r="A1023" s="9">
        <v>11095588.810000001</v>
      </c>
    </row>
    <row r="1024" spans="1:1" x14ac:dyDescent="0.25">
      <c r="A1024">
        <v>0</v>
      </c>
    </row>
    <row r="1025" spans="1:1" x14ac:dyDescent="0.25">
      <c r="A1025" s="9">
        <v>15285773.880000001</v>
      </c>
    </row>
    <row r="1026" spans="1:1" x14ac:dyDescent="0.25">
      <c r="A1026" s="9">
        <v>6932995.8600000003</v>
      </c>
    </row>
    <row r="1027" spans="1:1" x14ac:dyDescent="0.25">
      <c r="A1027" s="9">
        <v>3581063.48</v>
      </c>
    </row>
    <row r="1028" spans="1:1" x14ac:dyDescent="0.25">
      <c r="A1028">
        <v>0</v>
      </c>
    </row>
    <row r="1029" spans="1:1" x14ac:dyDescent="0.25">
      <c r="A1029" s="9">
        <v>173251.05</v>
      </c>
    </row>
    <row r="1030" spans="1:1" x14ac:dyDescent="0.25">
      <c r="A1030" s="9">
        <v>11701943.380000001</v>
      </c>
    </row>
    <row r="1031" spans="1:1" x14ac:dyDescent="0.25">
      <c r="A1031" s="9">
        <v>49600854.039999902</v>
      </c>
    </row>
    <row r="1032" spans="1:1" x14ac:dyDescent="0.25">
      <c r="A1032">
        <v>0</v>
      </c>
    </row>
    <row r="1033" spans="1:1" x14ac:dyDescent="0.25">
      <c r="A1033">
        <v>0</v>
      </c>
    </row>
    <row r="1034" spans="1:1" x14ac:dyDescent="0.25">
      <c r="A1034" s="9">
        <v>180596.36</v>
      </c>
    </row>
    <row r="1035" spans="1:1" x14ac:dyDescent="0.25">
      <c r="A1035" s="9">
        <v>47561235.090000004</v>
      </c>
    </row>
    <row r="1036" spans="1:1" x14ac:dyDescent="0.25">
      <c r="A1036" s="9">
        <v>2458691.41</v>
      </c>
    </row>
    <row r="1037" spans="1:1" x14ac:dyDescent="0.25">
      <c r="A1037" s="9">
        <v>11460586.550000001</v>
      </c>
    </row>
    <row r="1038" spans="1:1" x14ac:dyDescent="0.25">
      <c r="A1038" s="9">
        <v>9189051.1300000008</v>
      </c>
    </row>
    <row r="1039" spans="1:1" x14ac:dyDescent="0.25">
      <c r="A1039">
        <v>0</v>
      </c>
    </row>
    <row r="1040" spans="1:1" x14ac:dyDescent="0.25">
      <c r="A1040" s="9">
        <v>2793678.29</v>
      </c>
    </row>
    <row r="1041" spans="1:1" x14ac:dyDescent="0.25">
      <c r="A1041" s="9">
        <v>206742.55</v>
      </c>
    </row>
    <row r="1042" spans="1:1" x14ac:dyDescent="0.25">
      <c r="A1042" s="9">
        <v>23731983.449999999</v>
      </c>
    </row>
    <row r="1043" spans="1:1" x14ac:dyDescent="0.25">
      <c r="A1043" s="9">
        <v>295301.36</v>
      </c>
    </row>
    <row r="1044" spans="1:1" x14ac:dyDescent="0.25">
      <c r="A1044" s="9">
        <v>84247.89</v>
      </c>
    </row>
    <row r="1045" spans="1:1" x14ac:dyDescent="0.25">
      <c r="A1045" s="9">
        <v>29209469.739999998</v>
      </c>
    </row>
    <row r="1046" spans="1:1" x14ac:dyDescent="0.25">
      <c r="A1046" s="9">
        <v>2902529.85</v>
      </c>
    </row>
    <row r="1047" spans="1:1" x14ac:dyDescent="0.25">
      <c r="A1047" s="9">
        <v>697002.25</v>
      </c>
    </row>
    <row r="1048" spans="1:1" x14ac:dyDescent="0.25">
      <c r="A1048" s="9">
        <v>22428266.690000001</v>
      </c>
    </row>
    <row r="1049" spans="1:1" x14ac:dyDescent="0.25">
      <c r="A1049" s="9">
        <v>239487.16</v>
      </c>
    </row>
    <row r="1050" spans="1:1" x14ac:dyDescent="0.25">
      <c r="A1050" s="9">
        <v>2098426.0499999998</v>
      </c>
    </row>
    <row r="1051" spans="1:1" x14ac:dyDescent="0.25">
      <c r="A1051" s="9">
        <v>9737425.8399999999</v>
      </c>
    </row>
    <row r="1052" spans="1:1" x14ac:dyDescent="0.25">
      <c r="A1052" s="9">
        <v>227391.9</v>
      </c>
    </row>
    <row r="1053" spans="1:1" x14ac:dyDescent="0.25">
      <c r="A1053" s="9">
        <v>217147.43</v>
      </c>
    </row>
    <row r="1054" spans="1:1" x14ac:dyDescent="0.25">
      <c r="A1054">
        <v>0</v>
      </c>
    </row>
    <row r="1055" spans="1:1" x14ac:dyDescent="0.25">
      <c r="A1055" s="9">
        <v>495082.18999999901</v>
      </c>
    </row>
    <row r="1056" spans="1:1" x14ac:dyDescent="0.25">
      <c r="A1056">
        <v>0</v>
      </c>
    </row>
    <row r="1057" spans="1:1" x14ac:dyDescent="0.25">
      <c r="A1057" s="9">
        <v>26548820.859999999</v>
      </c>
    </row>
    <row r="1058" spans="1:1" x14ac:dyDescent="0.25">
      <c r="A1058" s="9">
        <v>16293002.99</v>
      </c>
    </row>
    <row r="1059" spans="1:1" x14ac:dyDescent="0.25">
      <c r="A1059" s="9">
        <v>344015.85</v>
      </c>
    </row>
    <row r="1060" spans="1:1" x14ac:dyDescent="0.25">
      <c r="A1060" s="9">
        <v>675082.48</v>
      </c>
    </row>
    <row r="1061" spans="1:1" x14ac:dyDescent="0.25">
      <c r="A1061" s="9">
        <v>6564174.1600000001</v>
      </c>
    </row>
    <row r="1062" spans="1:1" x14ac:dyDescent="0.25">
      <c r="A1062" s="9">
        <v>2640854.66</v>
      </c>
    </row>
    <row r="1063" spans="1:1" x14ac:dyDescent="0.25">
      <c r="A1063" s="9">
        <v>3684561.77</v>
      </c>
    </row>
    <row r="1064" spans="1:1" x14ac:dyDescent="0.25">
      <c r="A1064" s="9">
        <v>1494138.3</v>
      </c>
    </row>
    <row r="1065" spans="1:1" x14ac:dyDescent="0.25">
      <c r="A1065" s="9">
        <v>3971909.07</v>
      </c>
    </row>
    <row r="1066" spans="1:1" x14ac:dyDescent="0.25">
      <c r="A1066" s="9">
        <v>5450209.6600000001</v>
      </c>
    </row>
    <row r="1067" spans="1:1" x14ac:dyDescent="0.25">
      <c r="A1067" s="9">
        <v>23402707.210000001</v>
      </c>
    </row>
    <row r="1068" spans="1:1" x14ac:dyDescent="0.25">
      <c r="A1068">
        <v>0</v>
      </c>
    </row>
    <row r="1069" spans="1:1" x14ac:dyDescent="0.25">
      <c r="A1069" s="9">
        <v>2436396.89</v>
      </c>
    </row>
    <row r="1070" spans="1:1" x14ac:dyDescent="0.25">
      <c r="A1070">
        <v>0</v>
      </c>
    </row>
    <row r="1071" spans="1:1" x14ac:dyDescent="0.25">
      <c r="A1071" s="9">
        <v>629354.21</v>
      </c>
    </row>
    <row r="1072" spans="1:1" x14ac:dyDescent="0.25">
      <c r="A1072" s="9">
        <v>2565095.4900000002</v>
      </c>
    </row>
    <row r="1073" spans="1:1" x14ac:dyDescent="0.25">
      <c r="A1073" s="9">
        <v>8481104.3499999996</v>
      </c>
    </row>
    <row r="1074" spans="1:1" x14ac:dyDescent="0.25">
      <c r="A1074" s="9">
        <v>12049940.369999999</v>
      </c>
    </row>
    <row r="1075" spans="1:1" x14ac:dyDescent="0.25">
      <c r="A1075" s="9">
        <v>2736938.04</v>
      </c>
    </row>
    <row r="1076" spans="1:1" x14ac:dyDescent="0.25">
      <c r="A1076" s="9">
        <v>2774823.28</v>
      </c>
    </row>
    <row r="1077" spans="1:1" x14ac:dyDescent="0.25">
      <c r="A1077" s="9">
        <v>3982345.5</v>
      </c>
    </row>
    <row r="1078" spans="1:1" x14ac:dyDescent="0.25">
      <c r="A1078" s="9">
        <v>3808487.04</v>
      </c>
    </row>
    <row r="1079" spans="1:1" x14ac:dyDescent="0.25">
      <c r="A1079" s="9">
        <v>5761232.6100000003</v>
      </c>
    </row>
    <row r="1080" spans="1:1" x14ac:dyDescent="0.25">
      <c r="A1080" s="9">
        <v>852484.42</v>
      </c>
    </row>
    <row r="1081" spans="1:1" x14ac:dyDescent="0.25">
      <c r="A1081" s="9">
        <v>105702.6</v>
      </c>
    </row>
    <row r="1082" spans="1:1" x14ac:dyDescent="0.25">
      <c r="A1082">
        <v>0</v>
      </c>
    </row>
    <row r="1083" spans="1:1" x14ac:dyDescent="0.25">
      <c r="A1083" s="9">
        <v>1800194.88</v>
      </c>
    </row>
    <row r="1084" spans="1:1" x14ac:dyDescent="0.25">
      <c r="A1084" s="9">
        <v>339141.5</v>
      </c>
    </row>
    <row r="1085" spans="1:1" x14ac:dyDescent="0.25">
      <c r="A1085" s="9">
        <v>8973176.0399999991</v>
      </c>
    </row>
    <row r="1086" spans="1:1" x14ac:dyDescent="0.25">
      <c r="A1086" s="9">
        <v>429935.41</v>
      </c>
    </row>
    <row r="1087" spans="1:1" x14ac:dyDescent="0.25">
      <c r="A1087" s="9">
        <v>9178422.0099999998</v>
      </c>
    </row>
    <row r="1088" spans="1:1" x14ac:dyDescent="0.25">
      <c r="A1088" s="9">
        <v>5588623.4399999902</v>
      </c>
    </row>
    <row r="1089" spans="1:1" x14ac:dyDescent="0.25">
      <c r="A1089" s="9">
        <v>171302.36</v>
      </c>
    </row>
    <row r="1090" spans="1:1" x14ac:dyDescent="0.25">
      <c r="A1090" s="9">
        <v>3643463.11</v>
      </c>
    </row>
    <row r="1091" spans="1:1" x14ac:dyDescent="0.25">
      <c r="A1091" s="9">
        <v>58386.46</v>
      </c>
    </row>
    <row r="1092" spans="1:1" x14ac:dyDescent="0.25">
      <c r="A1092">
        <v>0</v>
      </c>
    </row>
    <row r="1093" spans="1:1" x14ac:dyDescent="0.25">
      <c r="A1093" s="9">
        <v>3121087.68</v>
      </c>
    </row>
    <row r="1094" spans="1:1" x14ac:dyDescent="0.25">
      <c r="A1094" s="9">
        <v>8976859.9699999895</v>
      </c>
    </row>
    <row r="1095" spans="1:1" x14ac:dyDescent="0.25">
      <c r="A1095" s="9">
        <v>452814.85</v>
      </c>
    </row>
    <row r="1096" spans="1:1" x14ac:dyDescent="0.25">
      <c r="A1096" s="9">
        <v>111413.66</v>
      </c>
    </row>
    <row r="1097" spans="1:1" x14ac:dyDescent="0.25">
      <c r="A1097">
        <v>0</v>
      </c>
    </row>
    <row r="1098" spans="1:1" x14ac:dyDescent="0.25">
      <c r="A1098" s="9">
        <v>2475464.13</v>
      </c>
    </row>
    <row r="1099" spans="1:1" x14ac:dyDescent="0.25">
      <c r="A1099" s="9">
        <v>900717.93</v>
      </c>
    </row>
    <row r="1100" spans="1:1" x14ac:dyDescent="0.25">
      <c r="A1100">
        <v>0</v>
      </c>
    </row>
    <row r="1101" spans="1:1" x14ac:dyDescent="0.25">
      <c r="A1101" s="9">
        <v>3857696.85</v>
      </c>
    </row>
    <row r="1102" spans="1:1" x14ac:dyDescent="0.25">
      <c r="A1102" s="9">
        <v>1662424.32</v>
      </c>
    </row>
    <row r="1103" spans="1:1" x14ac:dyDescent="0.25">
      <c r="A1103" s="9">
        <v>155459.1</v>
      </c>
    </row>
    <row r="1104" spans="1:1" x14ac:dyDescent="0.25">
      <c r="A1104" s="9">
        <v>2714569.46</v>
      </c>
    </row>
    <row r="1105" spans="1:1" x14ac:dyDescent="0.25">
      <c r="A1105">
        <v>0</v>
      </c>
    </row>
    <row r="1106" spans="1:1" x14ac:dyDescent="0.25">
      <c r="A1106" s="9">
        <v>6001264.2999999998</v>
      </c>
    </row>
    <row r="1107" spans="1:1" x14ac:dyDescent="0.25">
      <c r="A1107" s="9">
        <v>5510754.8499999996</v>
      </c>
    </row>
    <row r="1108" spans="1:1" x14ac:dyDescent="0.25">
      <c r="A1108" s="9">
        <v>2179562.6800000002</v>
      </c>
    </row>
    <row r="1109" spans="1:1" x14ac:dyDescent="0.25">
      <c r="A1109" s="9">
        <v>4949970.25</v>
      </c>
    </row>
    <row r="1110" spans="1:1" x14ac:dyDescent="0.25">
      <c r="A1110">
        <v>3802860</v>
      </c>
    </row>
    <row r="1111" spans="1:1" x14ac:dyDescent="0.25">
      <c r="A1111">
        <v>0</v>
      </c>
    </row>
    <row r="1112" spans="1:1" x14ac:dyDescent="0.25">
      <c r="A1112">
        <v>0</v>
      </c>
    </row>
    <row r="1113" spans="1:1" x14ac:dyDescent="0.25">
      <c r="A1113" s="9">
        <v>218635.67</v>
      </c>
    </row>
    <row r="1114" spans="1:1" x14ac:dyDescent="0.25">
      <c r="A1114" s="9">
        <v>24010003.23</v>
      </c>
    </row>
    <row r="1115" spans="1:1" x14ac:dyDescent="0.25">
      <c r="A1115" s="9">
        <v>3728446.1</v>
      </c>
    </row>
    <row r="1116" spans="1:1" x14ac:dyDescent="0.25">
      <c r="A1116" s="9">
        <v>28432.95</v>
      </c>
    </row>
    <row r="1117" spans="1:1" x14ac:dyDescent="0.25">
      <c r="A1117">
        <v>0</v>
      </c>
    </row>
    <row r="1118" spans="1:1" x14ac:dyDescent="0.25">
      <c r="A1118" s="9">
        <v>192488.63</v>
      </c>
    </row>
    <row r="1119" spans="1:1" x14ac:dyDescent="0.25">
      <c r="A1119" s="9">
        <v>63852.12</v>
      </c>
    </row>
    <row r="1120" spans="1:1" x14ac:dyDescent="0.25">
      <c r="A1120" s="9">
        <v>28261661.940000001</v>
      </c>
    </row>
    <row r="1121" spans="1:1" x14ac:dyDescent="0.25">
      <c r="A1121" s="9">
        <v>21557120.600000001</v>
      </c>
    </row>
    <row r="1122" spans="1:1" x14ac:dyDescent="0.25">
      <c r="A1122" s="9">
        <v>14304602.880000001</v>
      </c>
    </row>
    <row r="1123" spans="1:1" x14ac:dyDescent="0.25">
      <c r="A1123" s="9">
        <v>1572296.48</v>
      </c>
    </row>
    <row r="1124" spans="1:1" x14ac:dyDescent="0.25">
      <c r="A1124" s="9">
        <v>2465326.3199999998</v>
      </c>
    </row>
    <row r="1125" spans="1:1" x14ac:dyDescent="0.25">
      <c r="A1125" s="9">
        <v>35714.1</v>
      </c>
    </row>
    <row r="1126" spans="1:1" x14ac:dyDescent="0.25">
      <c r="A1126" s="9">
        <v>99811.08</v>
      </c>
    </row>
    <row r="1127" spans="1:1" x14ac:dyDescent="0.25">
      <c r="A1127" s="9">
        <v>219011.8</v>
      </c>
    </row>
    <row r="1128" spans="1:1" x14ac:dyDescent="0.25">
      <c r="A1128" s="9">
        <v>11704331.16</v>
      </c>
    </row>
    <row r="1129" spans="1:1" x14ac:dyDescent="0.25">
      <c r="A1129" s="9">
        <v>11331036.18</v>
      </c>
    </row>
    <row r="1130" spans="1:1" x14ac:dyDescent="0.25">
      <c r="A1130" s="9">
        <v>584031.63</v>
      </c>
    </row>
    <row r="1131" spans="1:1" x14ac:dyDescent="0.25">
      <c r="A1131" s="9">
        <v>2224429.5099999998</v>
      </c>
    </row>
    <row r="1132" spans="1:1" x14ac:dyDescent="0.25">
      <c r="A1132" s="9">
        <v>129212.64</v>
      </c>
    </row>
    <row r="1133" spans="1:1" x14ac:dyDescent="0.25">
      <c r="A1133" s="9">
        <v>9290236.3099999893</v>
      </c>
    </row>
    <row r="1134" spans="1:1" x14ac:dyDescent="0.25">
      <c r="A1134">
        <v>0</v>
      </c>
    </row>
    <row r="1135" spans="1:1" x14ac:dyDescent="0.25">
      <c r="A1135">
        <v>0</v>
      </c>
    </row>
    <row r="1136" spans="1:1" x14ac:dyDescent="0.25">
      <c r="A1136" s="9">
        <v>10334755.67</v>
      </c>
    </row>
    <row r="1137" spans="1:1" x14ac:dyDescent="0.25">
      <c r="A1137" s="9">
        <v>4647697.2699999996</v>
      </c>
    </row>
    <row r="1138" spans="1:1" x14ac:dyDescent="0.25">
      <c r="A1138" s="9">
        <v>18523469.27</v>
      </c>
    </row>
    <row r="1139" spans="1:1" x14ac:dyDescent="0.25">
      <c r="A1139" s="9">
        <v>5891770.6899999902</v>
      </c>
    </row>
    <row r="1140" spans="1:1" x14ac:dyDescent="0.25">
      <c r="A1140" s="9">
        <v>4844880.83</v>
      </c>
    </row>
    <row r="1141" spans="1:1" x14ac:dyDescent="0.25">
      <c r="A1141">
        <v>0</v>
      </c>
    </row>
    <row r="1142" spans="1:1" x14ac:dyDescent="0.25">
      <c r="A1142">
        <v>0</v>
      </c>
    </row>
    <row r="1143" spans="1:1" x14ac:dyDescent="0.25">
      <c r="A1143" s="9">
        <v>15662452.98</v>
      </c>
    </row>
    <row r="1144" spans="1:1" x14ac:dyDescent="0.25">
      <c r="A1144" s="9">
        <v>1543077.8</v>
      </c>
    </row>
    <row r="1145" spans="1:1" x14ac:dyDescent="0.25">
      <c r="A1145" s="9">
        <v>377138.62</v>
      </c>
    </row>
    <row r="1146" spans="1:1" x14ac:dyDescent="0.25">
      <c r="A1146" s="9">
        <v>2477800.98</v>
      </c>
    </row>
    <row r="1147" spans="1:1" x14ac:dyDescent="0.25">
      <c r="A1147">
        <v>0</v>
      </c>
    </row>
    <row r="1148" spans="1:1" x14ac:dyDescent="0.25">
      <c r="A1148" s="9">
        <v>3513439.97</v>
      </c>
    </row>
    <row r="1149" spans="1:1" x14ac:dyDescent="0.25">
      <c r="A1149" s="9">
        <v>919759.62</v>
      </c>
    </row>
    <row r="1150" spans="1:1" x14ac:dyDescent="0.25">
      <c r="A1150" s="9">
        <v>8753256.4699999895</v>
      </c>
    </row>
    <row r="1151" spans="1:1" x14ac:dyDescent="0.25">
      <c r="A1151">
        <v>0</v>
      </c>
    </row>
    <row r="1152" spans="1:1" x14ac:dyDescent="0.25">
      <c r="A1152" s="9">
        <v>18563370.670000002</v>
      </c>
    </row>
    <row r="1153" spans="1:1" x14ac:dyDescent="0.25">
      <c r="A1153" s="9">
        <v>3121087.68</v>
      </c>
    </row>
    <row r="1154" spans="1:1" x14ac:dyDescent="0.25">
      <c r="A1154" s="9">
        <v>3787958.07</v>
      </c>
    </row>
    <row r="1155" spans="1:1" x14ac:dyDescent="0.25">
      <c r="A1155" s="9">
        <v>2929994.5</v>
      </c>
    </row>
    <row r="1156" spans="1:1" x14ac:dyDescent="0.25">
      <c r="A1156" s="9">
        <v>13606775.720000001</v>
      </c>
    </row>
    <row r="1157" spans="1:1" x14ac:dyDescent="0.25">
      <c r="A1157" s="9">
        <v>99163.74</v>
      </c>
    </row>
    <row r="1158" spans="1:1" x14ac:dyDescent="0.25">
      <c r="A1158" s="9">
        <v>120431.52</v>
      </c>
    </row>
    <row r="1159" spans="1:1" x14ac:dyDescent="0.25">
      <c r="A1159" s="9">
        <v>2446892.54</v>
      </c>
    </row>
    <row r="1160" spans="1:1" x14ac:dyDescent="0.25">
      <c r="A1160" s="9">
        <v>797224.89</v>
      </c>
    </row>
    <row r="1161" spans="1:1" x14ac:dyDescent="0.25">
      <c r="A1161" s="9">
        <v>1153819.47</v>
      </c>
    </row>
    <row r="1162" spans="1:1" x14ac:dyDescent="0.25">
      <c r="A1162" s="9">
        <v>183162.26</v>
      </c>
    </row>
    <row r="1163" spans="1:1" x14ac:dyDescent="0.25">
      <c r="A1163">
        <v>0</v>
      </c>
    </row>
    <row r="1164" spans="1:1" x14ac:dyDescent="0.25">
      <c r="A1164">
        <v>0</v>
      </c>
    </row>
    <row r="1165" spans="1:1" x14ac:dyDescent="0.25">
      <c r="A1165" s="9">
        <v>84818.94</v>
      </c>
    </row>
    <row r="1166" spans="1:1" x14ac:dyDescent="0.25">
      <c r="A1166" s="9">
        <v>11894312.689999999</v>
      </c>
    </row>
    <row r="1167" spans="1:1" x14ac:dyDescent="0.25">
      <c r="A1167" s="9">
        <v>105702.6</v>
      </c>
    </row>
    <row r="1168" spans="1:1" x14ac:dyDescent="0.25">
      <c r="A1168" s="9">
        <v>7251674.6600000001</v>
      </c>
    </row>
    <row r="1169" spans="1:1" x14ac:dyDescent="0.25">
      <c r="A1169" s="9">
        <v>2857439.23</v>
      </c>
    </row>
    <row r="1170" spans="1:1" x14ac:dyDescent="0.25">
      <c r="A1170" s="9">
        <v>194304.48</v>
      </c>
    </row>
    <row r="1171" spans="1:1" x14ac:dyDescent="0.25">
      <c r="A1171" s="9">
        <v>1980377.1</v>
      </c>
    </row>
    <row r="1172" spans="1:1" x14ac:dyDescent="0.25">
      <c r="A1172" s="9">
        <v>3267944.39</v>
      </c>
    </row>
    <row r="1173" spans="1:1" x14ac:dyDescent="0.25">
      <c r="A1173" s="9">
        <v>4862083.4800000004</v>
      </c>
    </row>
    <row r="1174" spans="1:1" x14ac:dyDescent="0.25">
      <c r="A1174" s="9">
        <v>3640041.25</v>
      </c>
    </row>
    <row r="1175" spans="1:1" x14ac:dyDescent="0.25">
      <c r="A1175" s="9">
        <v>2964491.84</v>
      </c>
    </row>
    <row r="1176" spans="1:1" x14ac:dyDescent="0.25">
      <c r="A1176" s="9">
        <v>430222.33</v>
      </c>
    </row>
    <row r="1177" spans="1:1" x14ac:dyDescent="0.25">
      <c r="A1177" s="9">
        <v>12258347.119999999</v>
      </c>
    </row>
    <row r="1178" spans="1:1" x14ac:dyDescent="0.25">
      <c r="A1178" s="9">
        <v>1174774.3999999999</v>
      </c>
    </row>
    <row r="1179" spans="1:1" x14ac:dyDescent="0.25">
      <c r="A1179" s="9">
        <v>7894243.4100000001</v>
      </c>
    </row>
    <row r="1180" spans="1:1" x14ac:dyDescent="0.25">
      <c r="A1180" s="9">
        <v>393068.58</v>
      </c>
    </row>
    <row r="1181" spans="1:1" x14ac:dyDescent="0.25">
      <c r="A1181" s="9">
        <v>17347647.969999999</v>
      </c>
    </row>
    <row r="1182" spans="1:1" x14ac:dyDescent="0.25">
      <c r="A1182" s="9">
        <v>2274690.2400000002</v>
      </c>
    </row>
    <row r="1183" spans="1:1" x14ac:dyDescent="0.25">
      <c r="A1183" s="9">
        <v>2801978.58</v>
      </c>
    </row>
    <row r="1184" spans="1:1" x14ac:dyDescent="0.25">
      <c r="A1184" s="9">
        <v>3362998.43</v>
      </c>
    </row>
    <row r="1185" spans="1:1" x14ac:dyDescent="0.25">
      <c r="A1185" s="9">
        <v>3199566.17</v>
      </c>
    </row>
    <row r="1186" spans="1:1" x14ac:dyDescent="0.25">
      <c r="A1186" s="9">
        <v>1203951.3999999999</v>
      </c>
    </row>
    <row r="1187" spans="1:1" x14ac:dyDescent="0.25">
      <c r="A1187" s="9">
        <v>1831447.25</v>
      </c>
    </row>
    <row r="1188" spans="1:1" x14ac:dyDescent="0.25">
      <c r="A1188">
        <v>0</v>
      </c>
    </row>
    <row r="1189" spans="1:1" x14ac:dyDescent="0.25">
      <c r="A1189" s="9">
        <v>7455914.5800000001</v>
      </c>
    </row>
    <row r="1190" spans="1:1" x14ac:dyDescent="0.25">
      <c r="A1190" s="9">
        <v>10003403.83</v>
      </c>
    </row>
    <row r="1191" spans="1:1" x14ac:dyDescent="0.25">
      <c r="A1191" s="9">
        <v>658835.67000000004</v>
      </c>
    </row>
    <row r="1192" spans="1:1" x14ac:dyDescent="0.25">
      <c r="A1192" s="9">
        <v>8854226.3200000003</v>
      </c>
    </row>
    <row r="1193" spans="1:1" x14ac:dyDescent="0.25">
      <c r="A1193" s="9">
        <v>2638207.85</v>
      </c>
    </row>
    <row r="1194" spans="1:1" x14ac:dyDescent="0.25">
      <c r="A1194" s="9">
        <v>229216.23</v>
      </c>
    </row>
    <row r="1195" spans="1:1" x14ac:dyDescent="0.25">
      <c r="A1195" s="9">
        <v>12392021.630000001</v>
      </c>
    </row>
    <row r="1196" spans="1:1" x14ac:dyDescent="0.25">
      <c r="A1196" s="9">
        <v>211601.09</v>
      </c>
    </row>
    <row r="1197" spans="1:1" x14ac:dyDescent="0.25">
      <c r="A1197">
        <v>0</v>
      </c>
    </row>
    <row r="1198" spans="1:1" x14ac:dyDescent="0.25">
      <c r="A1198" s="9">
        <v>1672798.91</v>
      </c>
    </row>
    <row r="1199" spans="1:1" x14ac:dyDescent="0.25">
      <c r="A1199" s="9">
        <v>6077784.25</v>
      </c>
    </row>
    <row r="1200" spans="1:1" x14ac:dyDescent="0.25">
      <c r="A1200" s="9">
        <v>1291324.01</v>
      </c>
    </row>
    <row r="1201" spans="1:1" x14ac:dyDescent="0.25">
      <c r="A1201" s="9">
        <v>1429978.46</v>
      </c>
    </row>
    <row r="1202" spans="1:1" x14ac:dyDescent="0.25">
      <c r="A1202">
        <v>0</v>
      </c>
    </row>
    <row r="1203" spans="1:1" x14ac:dyDescent="0.25">
      <c r="A1203" s="9">
        <v>557137.36</v>
      </c>
    </row>
    <row r="1204" spans="1:1" x14ac:dyDescent="0.25">
      <c r="A1204" s="9">
        <v>318188.15999999997</v>
      </c>
    </row>
    <row r="1205" spans="1:1" x14ac:dyDescent="0.25">
      <c r="A1205">
        <v>0</v>
      </c>
    </row>
    <row r="1206" spans="1:1" x14ac:dyDescent="0.25">
      <c r="A1206">
        <v>0</v>
      </c>
    </row>
    <row r="1207" spans="1:1" x14ac:dyDescent="0.25">
      <c r="A1207" s="9">
        <v>63686.03</v>
      </c>
    </row>
    <row r="1208" spans="1:1" x14ac:dyDescent="0.25">
      <c r="A1208" s="9">
        <v>369661.76</v>
      </c>
    </row>
    <row r="1209" spans="1:1" x14ac:dyDescent="0.25">
      <c r="A1209">
        <v>0</v>
      </c>
    </row>
    <row r="1210" spans="1:1" x14ac:dyDescent="0.25">
      <c r="A1210" s="9">
        <v>16299520.880000001</v>
      </c>
    </row>
    <row r="1211" spans="1:1" x14ac:dyDescent="0.25">
      <c r="A1211" s="9">
        <v>31505328.739999998</v>
      </c>
    </row>
    <row r="1212" spans="1:1" x14ac:dyDescent="0.25">
      <c r="A1212" s="9">
        <v>5571606.4100000001</v>
      </c>
    </row>
    <row r="1213" spans="1:1" x14ac:dyDescent="0.25">
      <c r="A1213" s="9">
        <v>3654163.48</v>
      </c>
    </row>
    <row r="1214" spans="1:1" x14ac:dyDescent="0.25">
      <c r="A1214">
        <v>0</v>
      </c>
    </row>
    <row r="1215" spans="1:1" x14ac:dyDescent="0.25">
      <c r="A1215" s="9">
        <v>276712.98</v>
      </c>
    </row>
    <row r="1216" spans="1:1" x14ac:dyDescent="0.25">
      <c r="A1216" s="9">
        <v>3224929.44</v>
      </c>
    </row>
    <row r="1217" spans="1:1" x14ac:dyDescent="0.25">
      <c r="A1217">
        <v>0</v>
      </c>
    </row>
    <row r="1218" spans="1:1" x14ac:dyDescent="0.25">
      <c r="A1218" s="9">
        <v>2549353.58</v>
      </c>
    </row>
    <row r="1219" spans="1:1" x14ac:dyDescent="0.25">
      <c r="A1219" s="9">
        <v>6564791.6599999899</v>
      </c>
    </row>
    <row r="1220" spans="1:1" x14ac:dyDescent="0.25">
      <c r="A1220" s="9">
        <v>9515818.3900000006</v>
      </c>
    </row>
    <row r="1221" spans="1:1" x14ac:dyDescent="0.25">
      <c r="A1221">
        <v>0</v>
      </c>
    </row>
    <row r="1222" spans="1:1" x14ac:dyDescent="0.25">
      <c r="A1222" s="9">
        <v>2529723.17</v>
      </c>
    </row>
    <row r="1223" spans="1:1" x14ac:dyDescent="0.25">
      <c r="A1223" s="9">
        <v>1042004.06</v>
      </c>
    </row>
    <row r="1224" spans="1:1" x14ac:dyDescent="0.25">
      <c r="A1224" s="9">
        <v>462344.85</v>
      </c>
    </row>
    <row r="1225" spans="1:1" x14ac:dyDescent="0.25">
      <c r="A1225" s="9">
        <v>6807803.4999999898</v>
      </c>
    </row>
    <row r="1226" spans="1:1" x14ac:dyDescent="0.25">
      <c r="A1226" s="9">
        <v>1305148.3600000001</v>
      </c>
    </row>
    <row r="1227" spans="1:1" x14ac:dyDescent="0.25">
      <c r="A1227" s="9">
        <v>429338.88</v>
      </c>
    </row>
    <row r="1228" spans="1:1" x14ac:dyDescent="0.25">
      <c r="A1228" s="9">
        <v>4084139.48</v>
      </c>
    </row>
    <row r="1229" spans="1:1" x14ac:dyDescent="0.25">
      <c r="A1229" s="9">
        <v>2648956.9500000002</v>
      </c>
    </row>
    <row r="1230" spans="1:1" x14ac:dyDescent="0.25">
      <c r="A1230" s="9">
        <v>8860556.2300000004</v>
      </c>
    </row>
    <row r="1231" spans="1:1" x14ac:dyDescent="0.25">
      <c r="A1231">
        <v>0</v>
      </c>
    </row>
    <row r="1232" spans="1:1" x14ac:dyDescent="0.25">
      <c r="A1232" s="9">
        <v>205123.34</v>
      </c>
    </row>
    <row r="1233" spans="1:1" x14ac:dyDescent="0.25">
      <c r="A1233" s="9">
        <v>48790049.950000003</v>
      </c>
    </row>
    <row r="1234" spans="1:1" x14ac:dyDescent="0.25">
      <c r="A1234" s="9">
        <v>78690.3</v>
      </c>
    </row>
    <row r="1235" spans="1:1" x14ac:dyDescent="0.25">
      <c r="A1235">
        <v>0</v>
      </c>
    </row>
    <row r="1236" spans="1:1" x14ac:dyDescent="0.25">
      <c r="A1236" s="9">
        <v>149183.43</v>
      </c>
    </row>
    <row r="1237" spans="1:1" x14ac:dyDescent="0.25">
      <c r="A1237" s="9">
        <v>15964150.189999999</v>
      </c>
    </row>
    <row r="1238" spans="1:1" x14ac:dyDescent="0.25">
      <c r="A1238" s="9">
        <v>2778240.96</v>
      </c>
    </row>
    <row r="1239" spans="1:1" x14ac:dyDescent="0.25">
      <c r="A1239" s="9">
        <v>2712678.27</v>
      </c>
    </row>
    <row r="1240" spans="1:1" x14ac:dyDescent="0.25">
      <c r="A1240">
        <v>0</v>
      </c>
    </row>
    <row r="1241" spans="1:1" x14ac:dyDescent="0.25">
      <c r="A1241" s="9">
        <v>180596.36</v>
      </c>
    </row>
    <row r="1242" spans="1:1" x14ac:dyDescent="0.25">
      <c r="A1242" s="9">
        <v>7998335.5</v>
      </c>
    </row>
    <row r="1243" spans="1:1" x14ac:dyDescent="0.25">
      <c r="A1243" s="9">
        <v>65491831.840000004</v>
      </c>
    </row>
    <row r="1244" spans="1:1" x14ac:dyDescent="0.25">
      <c r="A1244" s="9">
        <v>280163.73</v>
      </c>
    </row>
    <row r="1245" spans="1:1" x14ac:dyDescent="0.25">
      <c r="A1245">
        <v>0</v>
      </c>
    </row>
    <row r="1246" spans="1:1" x14ac:dyDescent="0.25">
      <c r="A1246" s="9">
        <v>3287116.17</v>
      </c>
    </row>
    <row r="1247" spans="1:1" x14ac:dyDescent="0.25">
      <c r="A1247">
        <v>0</v>
      </c>
    </row>
    <row r="1248" spans="1:1" x14ac:dyDescent="0.25">
      <c r="A1248" s="9">
        <v>11555776.52</v>
      </c>
    </row>
    <row r="1249" spans="1:1" x14ac:dyDescent="0.25">
      <c r="A1249" s="9">
        <v>69989.64</v>
      </c>
    </row>
    <row r="1250" spans="1:1" x14ac:dyDescent="0.25">
      <c r="A1250" s="9">
        <v>288218.7</v>
      </c>
    </row>
    <row r="1251" spans="1:1" x14ac:dyDescent="0.25">
      <c r="A1251" s="9">
        <v>1725347.94</v>
      </c>
    </row>
    <row r="1252" spans="1:1" x14ac:dyDescent="0.25">
      <c r="A1252" s="9">
        <v>10569782.33</v>
      </c>
    </row>
    <row r="1253" spans="1:1" x14ac:dyDescent="0.25">
      <c r="A1253" s="9">
        <v>1559449.73</v>
      </c>
    </row>
    <row r="1254" spans="1:1" x14ac:dyDescent="0.25">
      <c r="A1254" s="9">
        <v>2864792.19</v>
      </c>
    </row>
    <row r="1255" spans="1:1" x14ac:dyDescent="0.25">
      <c r="A1255" s="9">
        <v>2563658.5299999998</v>
      </c>
    </row>
    <row r="1256" spans="1:1" x14ac:dyDescent="0.25">
      <c r="A1256" s="9">
        <v>490364.51</v>
      </c>
    </row>
    <row r="1257" spans="1:1" x14ac:dyDescent="0.25">
      <c r="A1257" s="9">
        <v>10976097.859999999</v>
      </c>
    </row>
    <row r="1258" spans="1:1" x14ac:dyDescent="0.25">
      <c r="A1258" s="9">
        <v>324687.81</v>
      </c>
    </row>
    <row r="1259" spans="1:1" x14ac:dyDescent="0.25">
      <c r="A1259" s="9">
        <v>221295.23</v>
      </c>
    </row>
    <row r="1260" spans="1:1" x14ac:dyDescent="0.25">
      <c r="A1260" s="9">
        <v>14270667.609999999</v>
      </c>
    </row>
    <row r="1261" spans="1:1" x14ac:dyDescent="0.25">
      <c r="A1261" s="9">
        <v>2276029.2599999998</v>
      </c>
    </row>
    <row r="1262" spans="1:1" x14ac:dyDescent="0.25">
      <c r="A1262">
        <v>0</v>
      </c>
    </row>
    <row r="1263" spans="1:1" x14ac:dyDescent="0.25">
      <c r="A1263" s="9">
        <v>2886388.43</v>
      </c>
    </row>
    <row r="1264" spans="1:1" x14ac:dyDescent="0.25">
      <c r="A1264">
        <v>0</v>
      </c>
    </row>
    <row r="1265" spans="1:1" x14ac:dyDescent="0.25">
      <c r="A1265" s="9">
        <v>6768716.8199999901</v>
      </c>
    </row>
    <row r="1266" spans="1:1" x14ac:dyDescent="0.25">
      <c r="A1266" s="9">
        <v>3511183.22</v>
      </c>
    </row>
    <row r="1267" spans="1:1" x14ac:dyDescent="0.25">
      <c r="A1267" s="9">
        <v>291766.48</v>
      </c>
    </row>
    <row r="1268" spans="1:1" x14ac:dyDescent="0.25">
      <c r="A1268" s="9">
        <v>9078360.7100000009</v>
      </c>
    </row>
    <row r="1269" spans="1:1" x14ac:dyDescent="0.25">
      <c r="A1269" s="9">
        <v>6244607.1600000001</v>
      </c>
    </row>
    <row r="1270" spans="1:1" x14ac:dyDescent="0.25">
      <c r="A1270" s="9">
        <v>588306.05999999901</v>
      </c>
    </row>
    <row r="1271" spans="1:1" x14ac:dyDescent="0.25">
      <c r="A1271" s="9">
        <v>3299499.45</v>
      </c>
    </row>
    <row r="1272" spans="1:1" x14ac:dyDescent="0.25">
      <c r="A1272">
        <v>0</v>
      </c>
    </row>
    <row r="1273" spans="1:1" x14ac:dyDescent="0.25">
      <c r="A1273" s="9">
        <v>410598.14</v>
      </c>
    </row>
    <row r="1274" spans="1:1" x14ac:dyDescent="0.25">
      <c r="A1274">
        <v>0</v>
      </c>
    </row>
    <row r="1275" spans="1:1" x14ac:dyDescent="0.25">
      <c r="A1275" s="9">
        <v>6851773.9299999997</v>
      </c>
    </row>
    <row r="1276" spans="1:1" x14ac:dyDescent="0.25">
      <c r="A1276" s="9">
        <v>1112665.44</v>
      </c>
    </row>
    <row r="1277" spans="1:1" x14ac:dyDescent="0.25">
      <c r="A1277" s="9">
        <v>6681491.7199999997</v>
      </c>
    </row>
    <row r="1278" spans="1:1" x14ac:dyDescent="0.25">
      <c r="A1278">
        <v>0</v>
      </c>
    </row>
    <row r="1279" spans="1:1" x14ac:dyDescent="0.25">
      <c r="A1279">
        <v>0</v>
      </c>
    </row>
    <row r="1280" spans="1:1" x14ac:dyDescent="0.25">
      <c r="A1280" s="9">
        <v>2297222.67</v>
      </c>
    </row>
    <row r="1281" spans="1:1" x14ac:dyDescent="0.25">
      <c r="A1281">
        <v>0</v>
      </c>
    </row>
    <row r="1282" spans="1:1" x14ac:dyDescent="0.25">
      <c r="A1282" s="9">
        <v>18650250.809999999</v>
      </c>
    </row>
    <row r="1283" spans="1:1" x14ac:dyDescent="0.25">
      <c r="A1283" s="9">
        <v>2091400.61</v>
      </c>
    </row>
    <row r="1284" spans="1:1" x14ac:dyDescent="0.25">
      <c r="A1284">
        <v>0</v>
      </c>
    </row>
    <row r="1285" spans="1:1" x14ac:dyDescent="0.25">
      <c r="A1285">
        <v>0</v>
      </c>
    </row>
    <row r="1286" spans="1:1" x14ac:dyDescent="0.25">
      <c r="A1286" s="9">
        <v>2986156.24</v>
      </c>
    </row>
    <row r="1287" spans="1:1" x14ac:dyDescent="0.25">
      <c r="A1287" s="9">
        <v>9078791.9600000009</v>
      </c>
    </row>
    <row r="1288" spans="1:1" x14ac:dyDescent="0.25">
      <c r="A1288" s="9">
        <v>5027997.22</v>
      </c>
    </row>
    <row r="1289" spans="1:1" x14ac:dyDescent="0.25">
      <c r="A1289" s="9">
        <v>7520178.8999999901</v>
      </c>
    </row>
    <row r="1290" spans="1:1" x14ac:dyDescent="0.25">
      <c r="A1290" s="9">
        <v>3409804.6</v>
      </c>
    </row>
    <row r="1291" spans="1:1" x14ac:dyDescent="0.25">
      <c r="A1291" s="9">
        <v>360530.55999999901</v>
      </c>
    </row>
    <row r="1292" spans="1:1" x14ac:dyDescent="0.25">
      <c r="A1292">
        <v>0</v>
      </c>
    </row>
    <row r="1293" spans="1:1" x14ac:dyDescent="0.25">
      <c r="A1293" s="9">
        <v>38288.080000000002</v>
      </c>
    </row>
    <row r="1294" spans="1:1" x14ac:dyDescent="0.25">
      <c r="A1294" s="9">
        <v>266653.03000000003</v>
      </c>
    </row>
    <row r="1295" spans="1:1" x14ac:dyDescent="0.25">
      <c r="A1295" s="9">
        <v>6969481.8599999901</v>
      </c>
    </row>
    <row r="1296" spans="1:1" x14ac:dyDescent="0.25">
      <c r="A1296">
        <v>0</v>
      </c>
    </row>
    <row r="1297" spans="1:1" x14ac:dyDescent="0.25">
      <c r="A1297" s="9">
        <v>6429657.3499999996</v>
      </c>
    </row>
    <row r="1298" spans="1:1" x14ac:dyDescent="0.25">
      <c r="A1298" s="9">
        <v>69989.64</v>
      </c>
    </row>
    <row r="1299" spans="1:1" x14ac:dyDescent="0.25">
      <c r="A1299">
        <v>0</v>
      </c>
    </row>
    <row r="1300" spans="1:1" x14ac:dyDescent="0.25">
      <c r="A1300" s="9">
        <v>18019088.359999999</v>
      </c>
    </row>
    <row r="1301" spans="1:1" x14ac:dyDescent="0.25">
      <c r="A1301" s="9">
        <v>2546960.4500000002</v>
      </c>
    </row>
    <row r="1302" spans="1:1" x14ac:dyDescent="0.25">
      <c r="A1302" s="9">
        <v>387406.45</v>
      </c>
    </row>
    <row r="1303" spans="1:1" x14ac:dyDescent="0.25">
      <c r="A1303" s="9">
        <v>3089734.44</v>
      </c>
    </row>
    <row r="1304" spans="1:1" x14ac:dyDescent="0.25">
      <c r="A1304" s="9">
        <v>9093858.8899999894</v>
      </c>
    </row>
    <row r="1305" spans="1:1" x14ac:dyDescent="0.25">
      <c r="A1305" s="9">
        <v>857896.49</v>
      </c>
    </row>
    <row r="1306" spans="1:1" x14ac:dyDescent="0.25">
      <c r="A1306" s="9">
        <v>4794599.08</v>
      </c>
    </row>
    <row r="1307" spans="1:1" x14ac:dyDescent="0.25">
      <c r="A1307" s="9">
        <v>151877.25</v>
      </c>
    </row>
    <row r="1308" spans="1:1" x14ac:dyDescent="0.25">
      <c r="A1308" s="9">
        <v>4282120.99</v>
      </c>
    </row>
    <row r="1309" spans="1:1" x14ac:dyDescent="0.25">
      <c r="A1309" s="9">
        <v>33805292.049999997</v>
      </c>
    </row>
    <row r="1310" spans="1:1" x14ac:dyDescent="0.25">
      <c r="A1310" s="9">
        <v>13352138.25</v>
      </c>
    </row>
    <row r="1311" spans="1:1" x14ac:dyDescent="0.25">
      <c r="A1311" s="9">
        <v>173251.05</v>
      </c>
    </row>
    <row r="1312" spans="1:1" x14ac:dyDescent="0.25">
      <c r="A1312">
        <v>0</v>
      </c>
    </row>
    <row r="1313" spans="1:1" x14ac:dyDescent="0.25">
      <c r="A1313" s="9">
        <v>1475463.52</v>
      </c>
    </row>
    <row r="1314" spans="1:1" x14ac:dyDescent="0.25">
      <c r="A1314">
        <v>0</v>
      </c>
    </row>
    <row r="1315" spans="1:1" x14ac:dyDescent="0.25">
      <c r="A1315" s="9">
        <v>3276546.78</v>
      </c>
    </row>
    <row r="1316" spans="1:1" x14ac:dyDescent="0.25">
      <c r="A1316" s="9">
        <v>3868648.36</v>
      </c>
    </row>
    <row r="1317" spans="1:1" x14ac:dyDescent="0.25">
      <c r="A1317" s="9">
        <v>99811.08</v>
      </c>
    </row>
    <row r="1318" spans="1:1" x14ac:dyDescent="0.25">
      <c r="A1318">
        <v>0</v>
      </c>
    </row>
    <row r="1319" spans="1:1" x14ac:dyDescent="0.25">
      <c r="A1319" s="9">
        <v>2939024.31</v>
      </c>
    </row>
    <row r="1320" spans="1:1" x14ac:dyDescent="0.25">
      <c r="A1320" s="9">
        <v>6511981.7599999998</v>
      </c>
    </row>
    <row r="1321" spans="1:1" x14ac:dyDescent="0.25">
      <c r="A1321">
        <v>0</v>
      </c>
    </row>
    <row r="1322" spans="1:1" x14ac:dyDescent="0.25">
      <c r="A1322" s="9">
        <v>12848274.220000001</v>
      </c>
    </row>
    <row r="1323" spans="1:1" x14ac:dyDescent="0.25">
      <c r="A1323" s="9">
        <v>5168591.62</v>
      </c>
    </row>
    <row r="1324" spans="1:1" x14ac:dyDescent="0.25">
      <c r="A1324" s="9">
        <v>4004148.32</v>
      </c>
    </row>
    <row r="1325" spans="1:1" x14ac:dyDescent="0.25">
      <c r="A1325">
        <v>0</v>
      </c>
    </row>
    <row r="1326" spans="1:1" x14ac:dyDescent="0.25">
      <c r="A1326" s="9">
        <v>3787674.08</v>
      </c>
    </row>
    <row r="1327" spans="1:1" x14ac:dyDescent="0.25">
      <c r="A1327" s="9">
        <v>1953443.24</v>
      </c>
    </row>
    <row r="1328" spans="1:1" x14ac:dyDescent="0.25">
      <c r="A1328" s="9">
        <v>7413361.6100000003</v>
      </c>
    </row>
    <row r="1329" spans="1:1" x14ac:dyDescent="0.25">
      <c r="A1329">
        <v>1944663</v>
      </c>
    </row>
    <row r="1330" spans="1:1" x14ac:dyDescent="0.25">
      <c r="A1330">
        <v>0</v>
      </c>
    </row>
    <row r="1331" spans="1:1" x14ac:dyDescent="0.25">
      <c r="A1331" s="9">
        <v>50686316.630000003</v>
      </c>
    </row>
    <row r="1332" spans="1:1" x14ac:dyDescent="0.25">
      <c r="A1332" s="9">
        <v>444533.56</v>
      </c>
    </row>
    <row r="1333" spans="1:1" x14ac:dyDescent="0.25">
      <c r="A1333" s="9">
        <v>3955244.1</v>
      </c>
    </row>
    <row r="1334" spans="1:1" x14ac:dyDescent="0.25">
      <c r="A1334" s="9">
        <v>130903.16</v>
      </c>
    </row>
    <row r="1335" spans="1:1" x14ac:dyDescent="0.25">
      <c r="A1335" s="9">
        <v>2051283.16</v>
      </c>
    </row>
    <row r="1336" spans="1:1" x14ac:dyDescent="0.25">
      <c r="A1336" s="9">
        <v>12495878.32</v>
      </c>
    </row>
    <row r="1337" spans="1:1" x14ac:dyDescent="0.25">
      <c r="A1337" s="9">
        <v>2705627.92</v>
      </c>
    </row>
    <row r="1338" spans="1:1" x14ac:dyDescent="0.25">
      <c r="A1338" s="9">
        <v>5712271.1299999999</v>
      </c>
    </row>
    <row r="1339" spans="1:1" x14ac:dyDescent="0.25">
      <c r="A1339" s="9">
        <v>115484.46</v>
      </c>
    </row>
    <row r="1340" spans="1:1" x14ac:dyDescent="0.25">
      <c r="A1340" s="9">
        <v>319678.84000000003</v>
      </c>
    </row>
    <row r="1341" spans="1:1" x14ac:dyDescent="0.25">
      <c r="A1341" s="9">
        <v>155658.72</v>
      </c>
    </row>
    <row r="1342" spans="1:1" x14ac:dyDescent="0.25">
      <c r="A1342" s="9">
        <v>1330317.6100000001</v>
      </c>
    </row>
    <row r="1343" spans="1:1" x14ac:dyDescent="0.25">
      <c r="A1343">
        <v>62646</v>
      </c>
    </row>
    <row r="1344" spans="1:1" x14ac:dyDescent="0.25">
      <c r="A1344" s="9">
        <v>5596182.3200000003</v>
      </c>
    </row>
    <row r="1345" spans="1:1" x14ac:dyDescent="0.25">
      <c r="A1345" s="9">
        <v>946895.679999999</v>
      </c>
    </row>
    <row r="1346" spans="1:1" x14ac:dyDescent="0.25">
      <c r="A1346" s="9">
        <v>18771205.219999999</v>
      </c>
    </row>
    <row r="1347" spans="1:1" x14ac:dyDescent="0.25">
      <c r="A1347" s="9">
        <v>2440259.98</v>
      </c>
    </row>
    <row r="1348" spans="1:1" x14ac:dyDescent="0.25">
      <c r="A1348" s="9">
        <v>11901155.57</v>
      </c>
    </row>
    <row r="1349" spans="1:1" x14ac:dyDescent="0.25">
      <c r="A1349" s="9">
        <v>303465.40000000002</v>
      </c>
    </row>
    <row r="1350" spans="1:1" x14ac:dyDescent="0.25">
      <c r="A1350" s="9">
        <v>256258.5</v>
      </c>
    </row>
    <row r="1351" spans="1:1" x14ac:dyDescent="0.25">
      <c r="A1351" s="9">
        <v>6704433.8799999999</v>
      </c>
    </row>
    <row r="1352" spans="1:1" x14ac:dyDescent="0.25">
      <c r="A1352">
        <v>0</v>
      </c>
    </row>
    <row r="1353" spans="1:1" x14ac:dyDescent="0.25">
      <c r="A1353" s="9">
        <v>3089734.44</v>
      </c>
    </row>
    <row r="1354" spans="1:1" x14ac:dyDescent="0.25">
      <c r="A1354">
        <v>0</v>
      </c>
    </row>
    <row r="1355" spans="1:1" x14ac:dyDescent="0.25">
      <c r="A1355" s="9">
        <v>373221.62</v>
      </c>
    </row>
    <row r="1356" spans="1:1" x14ac:dyDescent="0.25">
      <c r="A1356" s="9">
        <v>13166878.810000001</v>
      </c>
    </row>
    <row r="1357" spans="1:1" x14ac:dyDescent="0.25">
      <c r="A1357" s="9">
        <v>2325681.58</v>
      </c>
    </row>
    <row r="1358" spans="1:1" x14ac:dyDescent="0.25">
      <c r="A1358" s="9">
        <v>5281762.8799999896</v>
      </c>
    </row>
    <row r="1359" spans="1:1" x14ac:dyDescent="0.25">
      <c r="A1359" s="9">
        <v>105702.6</v>
      </c>
    </row>
    <row r="1360" spans="1:1" x14ac:dyDescent="0.25">
      <c r="A1360" s="9">
        <v>10119337.140000001</v>
      </c>
    </row>
    <row r="1361" spans="1:1" x14ac:dyDescent="0.25">
      <c r="A1361" s="9">
        <v>477920.37</v>
      </c>
    </row>
    <row r="1362" spans="1:1" x14ac:dyDescent="0.25">
      <c r="A1362" s="9">
        <v>155459.1</v>
      </c>
    </row>
    <row r="1363" spans="1:1" x14ac:dyDescent="0.25">
      <c r="A1363">
        <v>0</v>
      </c>
    </row>
    <row r="1364" spans="1:1" x14ac:dyDescent="0.25">
      <c r="A1364" s="9">
        <v>675214.31</v>
      </c>
    </row>
    <row r="1365" spans="1:1" x14ac:dyDescent="0.25">
      <c r="A1365" s="9">
        <v>197306.06</v>
      </c>
    </row>
    <row r="1366" spans="1:1" x14ac:dyDescent="0.25">
      <c r="A1366" s="9">
        <v>316233.12</v>
      </c>
    </row>
    <row r="1367" spans="1:1" x14ac:dyDescent="0.25">
      <c r="A1367" s="9">
        <v>312503.19</v>
      </c>
    </row>
    <row r="1368" spans="1:1" x14ac:dyDescent="0.25">
      <c r="A1368" s="9">
        <v>308129.84000000003</v>
      </c>
    </row>
    <row r="1369" spans="1:1" x14ac:dyDescent="0.25">
      <c r="A1369" s="9">
        <v>386365.41</v>
      </c>
    </row>
    <row r="1370" spans="1:1" x14ac:dyDescent="0.25">
      <c r="A1370" s="9">
        <v>494629.34</v>
      </c>
    </row>
    <row r="1371" spans="1:1" x14ac:dyDescent="0.25">
      <c r="A1371">
        <v>0</v>
      </c>
    </row>
    <row r="1372" spans="1:1" x14ac:dyDescent="0.25">
      <c r="A1372" s="9">
        <v>35714.1</v>
      </c>
    </row>
    <row r="1373" spans="1:1" x14ac:dyDescent="0.25">
      <c r="A1373" s="9">
        <v>19278332.449999999</v>
      </c>
    </row>
    <row r="1374" spans="1:1" x14ac:dyDescent="0.25">
      <c r="A1374" s="9">
        <v>3608172.32</v>
      </c>
    </row>
    <row r="1375" spans="1:1" x14ac:dyDescent="0.25">
      <c r="A1375" s="9">
        <v>866331.01</v>
      </c>
    </row>
    <row r="1376" spans="1:1" x14ac:dyDescent="0.25">
      <c r="A1376" s="9">
        <v>7702992.6900000004</v>
      </c>
    </row>
    <row r="1377" spans="1:1" x14ac:dyDescent="0.25">
      <c r="A1377" s="9">
        <v>3767050.14</v>
      </c>
    </row>
    <row r="1378" spans="1:1" x14ac:dyDescent="0.25">
      <c r="A1378" s="9">
        <v>844392.62</v>
      </c>
    </row>
    <row r="1379" spans="1:1" x14ac:dyDescent="0.25">
      <c r="A1379" s="9">
        <v>5387626.2699999996</v>
      </c>
    </row>
    <row r="1380" spans="1:1" x14ac:dyDescent="0.25">
      <c r="A1380" s="9">
        <v>118937.28</v>
      </c>
    </row>
    <row r="1381" spans="1:1" x14ac:dyDescent="0.25">
      <c r="A1381" s="9">
        <v>7054656.8600000003</v>
      </c>
    </row>
    <row r="1382" spans="1:1" x14ac:dyDescent="0.25">
      <c r="A1382" s="9">
        <v>15908780.1</v>
      </c>
    </row>
    <row r="1383" spans="1:1" x14ac:dyDescent="0.25">
      <c r="A1383" s="9">
        <v>30057076.449999999</v>
      </c>
    </row>
    <row r="1384" spans="1:1" x14ac:dyDescent="0.25">
      <c r="A1384">
        <v>0</v>
      </c>
    </row>
    <row r="1385" spans="1:1" x14ac:dyDescent="0.25">
      <c r="A1385" s="9">
        <v>7436908.8200000003</v>
      </c>
    </row>
    <row r="1386" spans="1:1" x14ac:dyDescent="0.25">
      <c r="A1386" s="9">
        <v>431223.42</v>
      </c>
    </row>
    <row r="1387" spans="1:1" x14ac:dyDescent="0.25">
      <c r="A1387" s="9">
        <v>2111156.61</v>
      </c>
    </row>
    <row r="1388" spans="1:1" x14ac:dyDescent="0.25">
      <c r="A1388" s="9">
        <v>4917291.07</v>
      </c>
    </row>
    <row r="1389" spans="1:1" x14ac:dyDescent="0.25">
      <c r="A1389" s="9">
        <v>17136045.75</v>
      </c>
    </row>
    <row r="1390" spans="1:1" x14ac:dyDescent="0.25">
      <c r="A1390" s="9">
        <v>1628865.65</v>
      </c>
    </row>
    <row r="1391" spans="1:1" x14ac:dyDescent="0.25">
      <c r="A1391">
        <v>1944663</v>
      </c>
    </row>
    <row r="1392" spans="1:1" x14ac:dyDescent="0.25">
      <c r="A1392" s="9">
        <v>1587192.06</v>
      </c>
    </row>
    <row r="1393" spans="1:1" x14ac:dyDescent="0.25">
      <c r="A1393" s="9">
        <v>54137404.390000001</v>
      </c>
    </row>
    <row r="1394" spans="1:1" x14ac:dyDescent="0.25">
      <c r="A1394" s="9">
        <v>9957753.8799999896</v>
      </c>
    </row>
    <row r="1395" spans="1:1" x14ac:dyDescent="0.25">
      <c r="A1395" s="9">
        <v>3284696.95</v>
      </c>
    </row>
    <row r="1396" spans="1:1" x14ac:dyDescent="0.25">
      <c r="A1396">
        <v>0</v>
      </c>
    </row>
    <row r="1397" spans="1:1" x14ac:dyDescent="0.25">
      <c r="A1397" s="9">
        <v>5918653.77999999</v>
      </c>
    </row>
    <row r="1398" spans="1:1" x14ac:dyDescent="0.25">
      <c r="A1398">
        <v>0</v>
      </c>
    </row>
    <row r="1399" spans="1:1" x14ac:dyDescent="0.25">
      <c r="A1399">
        <v>0</v>
      </c>
    </row>
    <row r="1400" spans="1:1" x14ac:dyDescent="0.25">
      <c r="A1400" s="9">
        <v>7551894.1399999997</v>
      </c>
    </row>
    <row r="1401" spans="1:1" x14ac:dyDescent="0.25">
      <c r="A1401" s="9">
        <v>1349530.65</v>
      </c>
    </row>
    <row r="1402" spans="1:1" x14ac:dyDescent="0.25">
      <c r="A1402" s="9">
        <v>3374379.37</v>
      </c>
    </row>
    <row r="1403" spans="1:1" x14ac:dyDescent="0.25">
      <c r="A1403" s="9">
        <v>2720846.47</v>
      </c>
    </row>
    <row r="1404" spans="1:1" x14ac:dyDescent="0.25">
      <c r="A1404" s="9">
        <v>4127801.37</v>
      </c>
    </row>
    <row r="1405" spans="1:1" x14ac:dyDescent="0.25">
      <c r="A1405" s="9">
        <v>6430315.8399999999</v>
      </c>
    </row>
    <row r="1406" spans="1:1" x14ac:dyDescent="0.25">
      <c r="A1406">
        <v>0</v>
      </c>
    </row>
    <row r="1407" spans="1:1" x14ac:dyDescent="0.25">
      <c r="A1407" s="9">
        <v>4564276.82</v>
      </c>
    </row>
    <row r="1408" spans="1:1" x14ac:dyDescent="0.25">
      <c r="A1408">
        <v>0</v>
      </c>
    </row>
    <row r="1409" spans="1:1" x14ac:dyDescent="0.25">
      <c r="A1409" s="9">
        <v>110670.62</v>
      </c>
    </row>
    <row r="1410" spans="1:1" x14ac:dyDescent="0.25">
      <c r="A1410" s="9">
        <v>18525327.899999999</v>
      </c>
    </row>
    <row r="1411" spans="1:1" x14ac:dyDescent="0.25">
      <c r="A1411" s="9">
        <v>9253789.7799999993</v>
      </c>
    </row>
    <row r="1412" spans="1:1" x14ac:dyDescent="0.25">
      <c r="A1412" s="9">
        <v>7200688.2199999997</v>
      </c>
    </row>
    <row r="1413" spans="1:1" x14ac:dyDescent="0.25">
      <c r="A1413" s="9">
        <v>8017163.7300000004</v>
      </c>
    </row>
    <row r="1414" spans="1:1" x14ac:dyDescent="0.25">
      <c r="A1414" s="9">
        <v>1381062.88</v>
      </c>
    </row>
    <row r="1415" spans="1:1" x14ac:dyDescent="0.25">
      <c r="A1415" s="9">
        <v>15348841.119999999</v>
      </c>
    </row>
    <row r="1416" spans="1:1" x14ac:dyDescent="0.25">
      <c r="A1416" s="9">
        <v>4293061.3499999996</v>
      </c>
    </row>
    <row r="1417" spans="1:1" x14ac:dyDescent="0.25">
      <c r="A1417" s="9">
        <v>1086871.04</v>
      </c>
    </row>
    <row r="1418" spans="1:1" x14ac:dyDescent="0.25">
      <c r="A1418" s="9">
        <v>2591771.5299999998</v>
      </c>
    </row>
    <row r="1419" spans="1:1" x14ac:dyDescent="0.25">
      <c r="A1419" s="9">
        <v>2202079.38</v>
      </c>
    </row>
    <row r="1420" spans="1:1" x14ac:dyDescent="0.25">
      <c r="A1420" s="9">
        <v>47829.8</v>
      </c>
    </row>
    <row r="1421" spans="1:1" x14ac:dyDescent="0.25">
      <c r="A1421" s="9">
        <v>2005097.79</v>
      </c>
    </row>
    <row r="1422" spans="1:1" x14ac:dyDescent="0.25">
      <c r="A1422" s="9">
        <v>7516907.4500000002</v>
      </c>
    </row>
    <row r="1423" spans="1:1" x14ac:dyDescent="0.25">
      <c r="A1423" s="9">
        <v>12792581.939999999</v>
      </c>
    </row>
    <row r="1424" spans="1:1" x14ac:dyDescent="0.25">
      <c r="A1424" s="9">
        <v>2239831.19</v>
      </c>
    </row>
    <row r="1425" spans="1:1" x14ac:dyDescent="0.25">
      <c r="A1425">
        <v>0</v>
      </c>
    </row>
    <row r="1426" spans="1:1" x14ac:dyDescent="0.25">
      <c r="A1426" s="9">
        <v>3647827.76</v>
      </c>
    </row>
    <row r="1427" spans="1:1" x14ac:dyDescent="0.25">
      <c r="A1427" s="9">
        <v>2243773.87</v>
      </c>
    </row>
    <row r="1428" spans="1:1" x14ac:dyDescent="0.25">
      <c r="A1428" s="9">
        <v>779268.14</v>
      </c>
    </row>
    <row r="1429" spans="1:1" x14ac:dyDescent="0.25">
      <c r="A1429" s="9">
        <v>28900089.960000001</v>
      </c>
    </row>
    <row r="1430" spans="1:1" x14ac:dyDescent="0.25">
      <c r="A1430" s="9">
        <v>9465863.1699999999</v>
      </c>
    </row>
    <row r="1431" spans="1:1" x14ac:dyDescent="0.25">
      <c r="A1431" s="9">
        <v>35714.1</v>
      </c>
    </row>
    <row r="1432" spans="1:1" x14ac:dyDescent="0.25">
      <c r="A1432">
        <v>3802860</v>
      </c>
    </row>
    <row r="1433" spans="1:1" x14ac:dyDescent="0.25">
      <c r="A1433" s="9">
        <v>8730811.0999999996</v>
      </c>
    </row>
    <row r="1434" spans="1:1" x14ac:dyDescent="0.25">
      <c r="A1434" s="9">
        <v>23057821.399999999</v>
      </c>
    </row>
    <row r="1435" spans="1:1" x14ac:dyDescent="0.25">
      <c r="A1435" s="9">
        <v>323302.93</v>
      </c>
    </row>
    <row r="1436" spans="1:1" x14ac:dyDescent="0.25">
      <c r="A1436" s="9">
        <v>1024269.39</v>
      </c>
    </row>
    <row r="1437" spans="1:1" x14ac:dyDescent="0.25">
      <c r="A1437" s="9">
        <v>3928741.73</v>
      </c>
    </row>
    <row r="1438" spans="1:1" x14ac:dyDescent="0.25">
      <c r="A1438">
        <v>9475200</v>
      </c>
    </row>
    <row r="1439" spans="1:1" x14ac:dyDescent="0.25">
      <c r="A1439" s="9">
        <v>3184128.78</v>
      </c>
    </row>
    <row r="1440" spans="1:1" x14ac:dyDescent="0.25">
      <c r="A1440" s="9">
        <v>8437258.0099999998</v>
      </c>
    </row>
    <row r="1441" spans="1:1" x14ac:dyDescent="0.25">
      <c r="A1441">
        <v>0</v>
      </c>
    </row>
    <row r="1442" spans="1:1" x14ac:dyDescent="0.25">
      <c r="A1442" s="9">
        <v>690365.03</v>
      </c>
    </row>
    <row r="1443" spans="1:1" x14ac:dyDescent="0.25">
      <c r="A1443">
        <v>0</v>
      </c>
    </row>
    <row r="1444" spans="1:1" x14ac:dyDescent="0.25">
      <c r="A1444" s="9">
        <v>386384.62</v>
      </c>
    </row>
    <row r="1445" spans="1:1" x14ac:dyDescent="0.25">
      <c r="A1445" s="9">
        <v>3411861.63</v>
      </c>
    </row>
    <row r="1446" spans="1:1" x14ac:dyDescent="0.25">
      <c r="A1446" s="9">
        <v>24760472.649999999</v>
      </c>
    </row>
    <row r="1447" spans="1:1" x14ac:dyDescent="0.25">
      <c r="A1447">
        <v>0</v>
      </c>
    </row>
    <row r="1448" spans="1:1" x14ac:dyDescent="0.25">
      <c r="A1448">
        <v>0</v>
      </c>
    </row>
    <row r="1449" spans="1:1" x14ac:dyDescent="0.25">
      <c r="A1449" s="9">
        <v>7390136.3799999999</v>
      </c>
    </row>
    <row r="1450" spans="1:1" x14ac:dyDescent="0.25">
      <c r="A1450">
        <v>0</v>
      </c>
    </row>
    <row r="1451" spans="1:1" x14ac:dyDescent="0.25">
      <c r="A1451" s="9">
        <v>261354.96</v>
      </c>
    </row>
    <row r="1452" spans="1:1" x14ac:dyDescent="0.25">
      <c r="A1452" s="9">
        <v>8372136.7999999896</v>
      </c>
    </row>
    <row r="1453" spans="1:1" x14ac:dyDescent="0.25">
      <c r="A1453">
        <v>0</v>
      </c>
    </row>
    <row r="1454" spans="1:1" x14ac:dyDescent="0.25">
      <c r="A1454">
        <v>168812</v>
      </c>
    </row>
    <row r="1455" spans="1:1" x14ac:dyDescent="0.25">
      <c r="A1455" s="9">
        <v>11224125.119999999</v>
      </c>
    </row>
    <row r="1456" spans="1:1" x14ac:dyDescent="0.25">
      <c r="A1456" s="9">
        <v>1016120.39</v>
      </c>
    </row>
    <row r="1457" spans="1:1" x14ac:dyDescent="0.25">
      <c r="A1457" s="9">
        <v>2441747.16</v>
      </c>
    </row>
    <row r="1458" spans="1:1" x14ac:dyDescent="0.25">
      <c r="A1458" s="9">
        <v>4126973.64</v>
      </c>
    </row>
    <row r="1459" spans="1:1" x14ac:dyDescent="0.25">
      <c r="A1459" s="9">
        <v>65788.36</v>
      </c>
    </row>
    <row r="1460" spans="1:1" x14ac:dyDescent="0.25">
      <c r="A1460" s="9">
        <v>6741254.6899999902</v>
      </c>
    </row>
    <row r="1461" spans="1:1" x14ac:dyDescent="0.25">
      <c r="A1461">
        <v>3829088</v>
      </c>
    </row>
    <row r="1462" spans="1:1" x14ac:dyDescent="0.25">
      <c r="A1462" s="9">
        <v>1587905.91</v>
      </c>
    </row>
    <row r="1463" spans="1:1" x14ac:dyDescent="0.25">
      <c r="A1463">
        <v>0</v>
      </c>
    </row>
    <row r="1464" spans="1:1" x14ac:dyDescent="0.25">
      <c r="A1464">
        <v>55661927</v>
      </c>
    </row>
    <row r="1465" spans="1:1" x14ac:dyDescent="0.25">
      <c r="A1465" s="9">
        <v>7626810</v>
      </c>
    </row>
    <row r="1466" spans="1:1" x14ac:dyDescent="0.25">
      <c r="A1466">
        <v>0</v>
      </c>
    </row>
    <row r="1467" spans="1:1" x14ac:dyDescent="0.25">
      <c r="A1467" s="9">
        <v>6839281.2400000002</v>
      </c>
    </row>
    <row r="1468" spans="1:1" x14ac:dyDescent="0.25">
      <c r="A1468" s="9">
        <v>11377968.560000001</v>
      </c>
    </row>
    <row r="1469" spans="1:1" x14ac:dyDescent="0.25">
      <c r="A1469" s="9">
        <v>14075439.4</v>
      </c>
    </row>
    <row r="1470" spans="1:1" x14ac:dyDescent="0.25">
      <c r="A1470" s="9">
        <v>2673674.06</v>
      </c>
    </row>
    <row r="1471" spans="1:1" x14ac:dyDescent="0.25">
      <c r="A1471" s="9">
        <v>3159742.05</v>
      </c>
    </row>
    <row r="1472" spans="1:1" x14ac:dyDescent="0.25">
      <c r="A1472" s="9">
        <v>259284.48000000001</v>
      </c>
    </row>
    <row r="1473" spans="1:1" x14ac:dyDescent="0.25">
      <c r="A1473" s="9">
        <v>38993.599999999999</v>
      </c>
    </row>
    <row r="1474" spans="1:1" x14ac:dyDescent="0.25">
      <c r="A1474" s="9">
        <v>149771.68</v>
      </c>
    </row>
    <row r="1475" spans="1:1" x14ac:dyDescent="0.25">
      <c r="A1475">
        <v>0</v>
      </c>
    </row>
    <row r="1476" spans="1:1" x14ac:dyDescent="0.25">
      <c r="A1476" s="9">
        <v>11868162.26</v>
      </c>
    </row>
    <row r="1477" spans="1:1" x14ac:dyDescent="0.25">
      <c r="A1477" s="9">
        <v>6859027.8399999999</v>
      </c>
    </row>
    <row r="1478" spans="1:1" x14ac:dyDescent="0.25">
      <c r="A1478" s="9">
        <v>31655626.989999998</v>
      </c>
    </row>
    <row r="1479" spans="1:1" x14ac:dyDescent="0.25">
      <c r="A1479" s="9">
        <v>182886.8</v>
      </c>
    </row>
    <row r="1480" spans="1:1" x14ac:dyDescent="0.25">
      <c r="A1480" s="9">
        <v>2627455.84</v>
      </c>
    </row>
    <row r="1481" spans="1:1" x14ac:dyDescent="0.25">
      <c r="A1481" s="9">
        <v>1503168.04</v>
      </c>
    </row>
    <row r="1482" spans="1:1" x14ac:dyDescent="0.25">
      <c r="A1482" s="9">
        <v>2259495.2400000002</v>
      </c>
    </row>
    <row r="1483" spans="1:1" x14ac:dyDescent="0.25">
      <c r="A1483" s="9">
        <v>10245710.24</v>
      </c>
    </row>
    <row r="1484" spans="1:1" x14ac:dyDescent="0.25">
      <c r="A1484">
        <v>0</v>
      </c>
    </row>
    <row r="1485" spans="1:1" x14ac:dyDescent="0.25">
      <c r="A1485" s="9">
        <v>14034315.43</v>
      </c>
    </row>
    <row r="1486" spans="1:1" x14ac:dyDescent="0.25">
      <c r="A1486" s="9">
        <v>3591000.64</v>
      </c>
    </row>
    <row r="1487" spans="1:1" x14ac:dyDescent="0.25">
      <c r="A1487" s="9">
        <v>21657131.600000001</v>
      </c>
    </row>
    <row r="1488" spans="1:1" x14ac:dyDescent="0.25">
      <c r="A1488" s="9">
        <v>8502729.7999999896</v>
      </c>
    </row>
    <row r="1489" spans="1:1" x14ac:dyDescent="0.25">
      <c r="A1489" s="9">
        <v>401758.99</v>
      </c>
    </row>
    <row r="1490" spans="1:1" x14ac:dyDescent="0.25">
      <c r="A1490" s="9">
        <v>890797.87</v>
      </c>
    </row>
    <row r="1491" spans="1:1" x14ac:dyDescent="0.25">
      <c r="A1491">
        <v>0</v>
      </c>
    </row>
    <row r="1492" spans="1:1" x14ac:dyDescent="0.25">
      <c r="A1492" s="9">
        <v>6174940.4100000001</v>
      </c>
    </row>
    <row r="1493" spans="1:1" x14ac:dyDescent="0.25">
      <c r="A1493">
        <v>0</v>
      </c>
    </row>
    <row r="1494" spans="1:1" x14ac:dyDescent="0.25">
      <c r="A1494" s="9">
        <v>6168343.6299999999</v>
      </c>
    </row>
    <row r="1495" spans="1:1" x14ac:dyDescent="0.25">
      <c r="A1495" s="9">
        <v>16307372.560000001</v>
      </c>
    </row>
    <row r="1496" spans="1:1" x14ac:dyDescent="0.25">
      <c r="A1496" s="9">
        <v>5134784.9000000004</v>
      </c>
    </row>
    <row r="1497" spans="1:1" x14ac:dyDescent="0.25">
      <c r="A1497" s="9">
        <v>4756530.33</v>
      </c>
    </row>
    <row r="1498" spans="1:1" x14ac:dyDescent="0.25">
      <c r="A1498">
        <v>0</v>
      </c>
    </row>
    <row r="1499" spans="1:1" x14ac:dyDescent="0.25">
      <c r="A1499" s="9">
        <v>17235470.75</v>
      </c>
    </row>
    <row r="1500" spans="1:1" x14ac:dyDescent="0.25">
      <c r="A1500" s="9">
        <v>6894939.9699999997</v>
      </c>
    </row>
    <row r="1501" spans="1:1" x14ac:dyDescent="0.25">
      <c r="A1501" s="9">
        <v>416639.22</v>
      </c>
    </row>
    <row r="1502" spans="1:1" x14ac:dyDescent="0.25">
      <c r="A1502" s="9">
        <v>4869341.42</v>
      </c>
    </row>
    <row r="1503" spans="1:1" x14ac:dyDescent="0.25">
      <c r="A1503" s="9">
        <v>29328982.030000001</v>
      </c>
    </row>
    <row r="1504" spans="1:1" x14ac:dyDescent="0.25">
      <c r="A1504" s="9">
        <v>11085131.880000001</v>
      </c>
    </row>
    <row r="1505" spans="1:1" x14ac:dyDescent="0.25">
      <c r="A1505" s="9">
        <v>4454732.1900000004</v>
      </c>
    </row>
    <row r="1506" spans="1:1" x14ac:dyDescent="0.25">
      <c r="A1506" s="9">
        <v>6653357.2300000004</v>
      </c>
    </row>
    <row r="1507" spans="1:1" x14ac:dyDescent="0.25">
      <c r="A1507" s="9">
        <v>2228568.2999999998</v>
      </c>
    </row>
    <row r="1508" spans="1:1" x14ac:dyDescent="0.25">
      <c r="A1508" s="9">
        <v>17751015.91</v>
      </c>
    </row>
    <row r="1509" spans="1:1" x14ac:dyDescent="0.25">
      <c r="A1509" s="9">
        <v>423256.56999999902</v>
      </c>
    </row>
    <row r="1510" spans="1:1" x14ac:dyDescent="0.25">
      <c r="A1510">
        <v>0</v>
      </c>
    </row>
    <row r="1511" spans="1:1" x14ac:dyDescent="0.25">
      <c r="A1511">
        <v>0</v>
      </c>
    </row>
    <row r="1512" spans="1:1" x14ac:dyDescent="0.25">
      <c r="A1512" s="9">
        <v>14266725.98</v>
      </c>
    </row>
    <row r="1513" spans="1:1" x14ac:dyDescent="0.25">
      <c r="A1513" s="9">
        <v>2819553.52</v>
      </c>
    </row>
    <row r="1514" spans="1:1" x14ac:dyDescent="0.25">
      <c r="A1514">
        <v>0</v>
      </c>
    </row>
    <row r="1515" spans="1:1" x14ac:dyDescent="0.25">
      <c r="A1515" s="9">
        <v>9589281.9399999995</v>
      </c>
    </row>
    <row r="1516" spans="1:1" x14ac:dyDescent="0.25">
      <c r="A1516" s="9">
        <v>3380883.85</v>
      </c>
    </row>
    <row r="1517" spans="1:1" x14ac:dyDescent="0.25">
      <c r="A1517" s="9">
        <v>149771.68</v>
      </c>
    </row>
    <row r="1518" spans="1:1" x14ac:dyDescent="0.25">
      <c r="A1518" s="9">
        <v>2181130.6800000002</v>
      </c>
    </row>
    <row r="1519" spans="1:1" x14ac:dyDescent="0.25">
      <c r="A1519" s="9">
        <v>315732.98</v>
      </c>
    </row>
    <row r="1520" spans="1:1" x14ac:dyDescent="0.25">
      <c r="A1520" s="9">
        <v>366270.16</v>
      </c>
    </row>
    <row r="1521" spans="1:1" x14ac:dyDescent="0.25">
      <c r="A1521">
        <v>0</v>
      </c>
    </row>
    <row r="1522" spans="1:1" x14ac:dyDescent="0.25">
      <c r="A1522" s="9">
        <v>2385760.71</v>
      </c>
    </row>
    <row r="1523" spans="1:1" x14ac:dyDescent="0.25">
      <c r="A1523" s="9">
        <v>233466.78</v>
      </c>
    </row>
    <row r="1524" spans="1:1" x14ac:dyDescent="0.25">
      <c r="A1524" s="9">
        <v>20169208.129999999</v>
      </c>
    </row>
    <row r="1525" spans="1:1" x14ac:dyDescent="0.25">
      <c r="A1525" s="9">
        <v>21049645.919999901</v>
      </c>
    </row>
    <row r="1526" spans="1:1" x14ac:dyDescent="0.25">
      <c r="A1526" s="9">
        <v>6684109.23999999</v>
      </c>
    </row>
    <row r="1527" spans="1:1" x14ac:dyDescent="0.25">
      <c r="A1527" s="9">
        <v>4738118.09</v>
      </c>
    </row>
    <row r="1528" spans="1:1" x14ac:dyDescent="0.25">
      <c r="A1528">
        <v>0</v>
      </c>
    </row>
    <row r="1529" spans="1:1" x14ac:dyDescent="0.25">
      <c r="A1529" s="9">
        <v>2839798.59</v>
      </c>
    </row>
    <row r="1530" spans="1:1" x14ac:dyDescent="0.25">
      <c r="A1530">
        <v>0</v>
      </c>
    </row>
    <row r="1531" spans="1:1" x14ac:dyDescent="0.25">
      <c r="A1531" s="9">
        <v>57697756.450000003</v>
      </c>
    </row>
    <row r="1532" spans="1:1" x14ac:dyDescent="0.25">
      <c r="A1532" s="9">
        <v>2431740.85</v>
      </c>
    </row>
    <row r="1533" spans="1:1" x14ac:dyDescent="0.25">
      <c r="A1533" s="9">
        <v>16888556.41</v>
      </c>
    </row>
    <row r="1534" spans="1:1" x14ac:dyDescent="0.25">
      <c r="A1534" s="9">
        <v>12304760.789999999</v>
      </c>
    </row>
    <row r="1535" spans="1:1" x14ac:dyDescent="0.25">
      <c r="A1535" s="9">
        <v>2124508.7599999998</v>
      </c>
    </row>
    <row r="1536" spans="1:1" x14ac:dyDescent="0.25">
      <c r="A1536" s="9">
        <v>17477539.149999999</v>
      </c>
    </row>
    <row r="1537" spans="1:1" x14ac:dyDescent="0.25">
      <c r="A1537" s="9">
        <v>5336207.01</v>
      </c>
    </row>
    <row r="1538" spans="1:1" x14ac:dyDescent="0.25">
      <c r="A1538" s="9">
        <v>97820.91</v>
      </c>
    </row>
    <row r="1539" spans="1:1" x14ac:dyDescent="0.25">
      <c r="A1539">
        <v>0</v>
      </c>
    </row>
    <row r="1540" spans="1:1" x14ac:dyDescent="0.25">
      <c r="A1540">
        <v>0</v>
      </c>
    </row>
    <row r="1541" spans="1:1" x14ac:dyDescent="0.25">
      <c r="A1541" s="9">
        <v>962171.52</v>
      </c>
    </row>
    <row r="1542" spans="1:1" x14ac:dyDescent="0.25">
      <c r="A1542">
        <v>0</v>
      </c>
    </row>
    <row r="1543" spans="1:1" x14ac:dyDescent="0.25">
      <c r="A1543" s="9">
        <v>314832.24</v>
      </c>
    </row>
    <row r="1544" spans="1:1" x14ac:dyDescent="0.25">
      <c r="A1544" s="9">
        <v>9784148.1400000006</v>
      </c>
    </row>
    <row r="1545" spans="1:1" x14ac:dyDescent="0.25">
      <c r="A1545" s="9">
        <v>7460094.6899999902</v>
      </c>
    </row>
    <row r="1546" spans="1:1" x14ac:dyDescent="0.25">
      <c r="A1546">
        <v>0</v>
      </c>
    </row>
    <row r="1547" spans="1:1" x14ac:dyDescent="0.25">
      <c r="A1547" s="9">
        <v>97820.91</v>
      </c>
    </row>
    <row r="1548" spans="1:1" x14ac:dyDescent="0.25">
      <c r="A1548" s="9">
        <v>257299.88</v>
      </c>
    </row>
    <row r="1549" spans="1:1" x14ac:dyDescent="0.25">
      <c r="A1549" s="9">
        <v>2622366.12</v>
      </c>
    </row>
    <row r="1550" spans="1:1" x14ac:dyDescent="0.25">
      <c r="A1550" s="9">
        <v>2987957.78</v>
      </c>
    </row>
    <row r="1551" spans="1:1" x14ac:dyDescent="0.25">
      <c r="A1551" s="9">
        <v>149183.43</v>
      </c>
    </row>
    <row r="1552" spans="1:1" x14ac:dyDescent="0.25">
      <c r="A1552" s="9">
        <v>3121087.68</v>
      </c>
    </row>
    <row r="1553" spans="1:1" x14ac:dyDescent="0.25">
      <c r="A1553">
        <v>0</v>
      </c>
    </row>
    <row r="1554" spans="1:1" x14ac:dyDescent="0.25">
      <c r="A1554" s="9">
        <v>280163.73</v>
      </c>
    </row>
    <row r="1555" spans="1:1" x14ac:dyDescent="0.25">
      <c r="A1555" s="9">
        <v>1875334.32</v>
      </c>
    </row>
    <row r="1556" spans="1:1" x14ac:dyDescent="0.25">
      <c r="A1556" s="9">
        <v>2945490.48</v>
      </c>
    </row>
    <row r="1557" spans="1:1" x14ac:dyDescent="0.25">
      <c r="A1557" s="9">
        <v>110670.62</v>
      </c>
    </row>
    <row r="1558" spans="1:1" x14ac:dyDescent="0.25">
      <c r="A1558" s="9">
        <v>2619376.5099999998</v>
      </c>
    </row>
    <row r="1559" spans="1:1" x14ac:dyDescent="0.25">
      <c r="A1559" s="9">
        <v>5174884.16</v>
      </c>
    </row>
    <row r="1560" spans="1:1" x14ac:dyDescent="0.25">
      <c r="A1560" s="9">
        <v>381234.24</v>
      </c>
    </row>
    <row r="1561" spans="1:1" x14ac:dyDescent="0.25">
      <c r="A1561" s="9">
        <v>197756.64</v>
      </c>
    </row>
    <row r="1562" spans="1:1" x14ac:dyDescent="0.25">
      <c r="A1562" s="9">
        <v>8576310.7799999993</v>
      </c>
    </row>
    <row r="1563" spans="1:1" x14ac:dyDescent="0.25">
      <c r="A1563">
        <v>0</v>
      </c>
    </row>
    <row r="1564" spans="1:1" x14ac:dyDescent="0.25">
      <c r="A1564" s="9">
        <v>1074307.3</v>
      </c>
    </row>
    <row r="1565" spans="1:1" x14ac:dyDescent="0.25">
      <c r="A1565" s="9">
        <v>356053.43999999901</v>
      </c>
    </row>
    <row r="1566" spans="1:1" x14ac:dyDescent="0.25">
      <c r="A1566" s="9">
        <v>7577137.3300000001</v>
      </c>
    </row>
    <row r="1567" spans="1:1" x14ac:dyDescent="0.25">
      <c r="A1567" s="9">
        <v>2465833.2400000002</v>
      </c>
    </row>
    <row r="1568" spans="1:1" x14ac:dyDescent="0.25">
      <c r="A1568" s="9">
        <v>1205919.6000000001</v>
      </c>
    </row>
    <row r="1569" spans="1:1" x14ac:dyDescent="0.25">
      <c r="A1569" s="9">
        <v>2995141.99</v>
      </c>
    </row>
    <row r="1570" spans="1:1" x14ac:dyDescent="0.25">
      <c r="A1570">
        <v>0</v>
      </c>
    </row>
    <row r="1571" spans="1:1" x14ac:dyDescent="0.25">
      <c r="A1571" s="9">
        <v>383073.8</v>
      </c>
    </row>
    <row r="1572" spans="1:1" x14ac:dyDescent="0.25">
      <c r="A1572" s="9">
        <v>3078595.62</v>
      </c>
    </row>
    <row r="1573" spans="1:1" x14ac:dyDescent="0.25">
      <c r="A1573" s="9">
        <v>105702.6</v>
      </c>
    </row>
    <row r="1574" spans="1:1" x14ac:dyDescent="0.25">
      <c r="A1574" s="9">
        <v>886563.87</v>
      </c>
    </row>
    <row r="1575" spans="1:1" x14ac:dyDescent="0.25">
      <c r="A1575">
        <v>0</v>
      </c>
    </row>
    <row r="1576" spans="1:1" x14ac:dyDescent="0.25">
      <c r="A1576" s="9">
        <v>1465138.94</v>
      </c>
    </row>
    <row r="1577" spans="1:1" x14ac:dyDescent="0.25">
      <c r="A1577">
        <v>0</v>
      </c>
    </row>
    <row r="1578" spans="1:1" x14ac:dyDescent="0.25">
      <c r="A1578" s="9">
        <v>5704402.21</v>
      </c>
    </row>
    <row r="1579" spans="1:1" x14ac:dyDescent="0.25">
      <c r="A1579">
        <v>0</v>
      </c>
    </row>
    <row r="1580" spans="1:1" x14ac:dyDescent="0.25">
      <c r="A1580" s="9">
        <v>2145797.1800000002</v>
      </c>
    </row>
    <row r="1581" spans="1:1" x14ac:dyDescent="0.25">
      <c r="A1581">
        <v>0</v>
      </c>
    </row>
    <row r="1582" spans="1:1" x14ac:dyDescent="0.25">
      <c r="A1582" s="9">
        <v>186499.5</v>
      </c>
    </row>
    <row r="1583" spans="1:1" x14ac:dyDescent="0.25">
      <c r="A1583">
        <v>0</v>
      </c>
    </row>
    <row r="1584" spans="1:1" x14ac:dyDescent="0.25">
      <c r="A1584">
        <v>11900805</v>
      </c>
    </row>
    <row r="1585" spans="1:1" x14ac:dyDescent="0.25">
      <c r="A1585" s="9">
        <v>4032076.23</v>
      </c>
    </row>
    <row r="1586" spans="1:1" x14ac:dyDescent="0.25">
      <c r="A1586" s="9">
        <v>7490690.9800000004</v>
      </c>
    </row>
    <row r="1587" spans="1:1" x14ac:dyDescent="0.25">
      <c r="A1587" s="9">
        <v>7871474.9599999897</v>
      </c>
    </row>
    <row r="1588" spans="1:1" x14ac:dyDescent="0.25">
      <c r="A1588">
        <v>0</v>
      </c>
    </row>
    <row r="1589" spans="1:1" x14ac:dyDescent="0.25">
      <c r="A1589" s="9">
        <v>27369946.539999999</v>
      </c>
    </row>
    <row r="1590" spans="1:1" x14ac:dyDescent="0.25">
      <c r="A1590" s="9">
        <v>19078396.800000001</v>
      </c>
    </row>
    <row r="1591" spans="1:1" x14ac:dyDescent="0.25">
      <c r="A1591" s="9">
        <v>47829.8</v>
      </c>
    </row>
    <row r="1592" spans="1:1" x14ac:dyDescent="0.25">
      <c r="A1592" s="9">
        <v>2364647.67</v>
      </c>
    </row>
    <row r="1593" spans="1:1" x14ac:dyDescent="0.25">
      <c r="A1593" s="9">
        <v>2691475.34</v>
      </c>
    </row>
    <row r="1594" spans="1:1" x14ac:dyDescent="0.25">
      <c r="A1594" s="9">
        <v>21703878.949999999</v>
      </c>
    </row>
    <row r="1595" spans="1:1" x14ac:dyDescent="0.25">
      <c r="A1595" s="9">
        <v>12117314.779999999</v>
      </c>
    </row>
    <row r="1596" spans="1:1" x14ac:dyDescent="0.25">
      <c r="A1596" s="9">
        <v>12149400.98</v>
      </c>
    </row>
    <row r="1597" spans="1:1" x14ac:dyDescent="0.25">
      <c r="A1597">
        <v>0</v>
      </c>
    </row>
    <row r="1598" spans="1:1" x14ac:dyDescent="0.25">
      <c r="A1598" s="9">
        <v>3767833.33</v>
      </c>
    </row>
    <row r="1599" spans="1:1" x14ac:dyDescent="0.25">
      <c r="A1599" s="9">
        <v>390233.06999999902</v>
      </c>
    </row>
    <row r="1600" spans="1:1" x14ac:dyDescent="0.25">
      <c r="A1600" s="9">
        <v>149183.43</v>
      </c>
    </row>
    <row r="1601" spans="1:1" x14ac:dyDescent="0.25">
      <c r="A1601" s="9">
        <v>4437823.74</v>
      </c>
    </row>
    <row r="1602" spans="1:1" x14ac:dyDescent="0.25">
      <c r="A1602" s="9">
        <v>22743915.289999999</v>
      </c>
    </row>
    <row r="1603" spans="1:1" x14ac:dyDescent="0.25">
      <c r="A1603" s="9">
        <v>3089734.44</v>
      </c>
    </row>
    <row r="1604" spans="1:1" x14ac:dyDescent="0.25">
      <c r="A1604" s="9">
        <v>16068712.810000001</v>
      </c>
    </row>
    <row r="1605" spans="1:1" x14ac:dyDescent="0.25">
      <c r="A1605" s="9">
        <v>963161.93999999901</v>
      </c>
    </row>
    <row r="1606" spans="1:1" x14ac:dyDescent="0.25">
      <c r="A1606" s="9">
        <v>9140742.2599999998</v>
      </c>
    </row>
    <row r="1607" spans="1:1" x14ac:dyDescent="0.25">
      <c r="A1607" s="9">
        <v>99811.08</v>
      </c>
    </row>
    <row r="1608" spans="1:1" x14ac:dyDescent="0.25">
      <c r="A1608" s="9">
        <v>4112786.3</v>
      </c>
    </row>
    <row r="1609" spans="1:1" x14ac:dyDescent="0.25">
      <c r="A1609" s="9">
        <v>568737.5</v>
      </c>
    </row>
    <row r="1610" spans="1:1" x14ac:dyDescent="0.25">
      <c r="A1610">
        <v>0</v>
      </c>
    </row>
    <row r="1611" spans="1:1" x14ac:dyDescent="0.25">
      <c r="A1611" s="9">
        <v>237404.7</v>
      </c>
    </row>
    <row r="1612" spans="1:1" x14ac:dyDescent="0.25">
      <c r="A1612">
        <v>0</v>
      </c>
    </row>
    <row r="1613" spans="1:1" x14ac:dyDescent="0.25">
      <c r="A1613" s="9">
        <v>4564616.53</v>
      </c>
    </row>
    <row r="1614" spans="1:1" x14ac:dyDescent="0.25">
      <c r="A1614" s="9">
        <v>8784394.7400000002</v>
      </c>
    </row>
    <row r="1615" spans="1:1" x14ac:dyDescent="0.25">
      <c r="A1615" s="9">
        <v>25943715.84</v>
      </c>
    </row>
    <row r="1616" spans="1:1" x14ac:dyDescent="0.25">
      <c r="A1616" s="9">
        <v>2785527.14</v>
      </c>
    </row>
    <row r="1617" spans="1:1" x14ac:dyDescent="0.25">
      <c r="A1617" s="9">
        <v>2728428.51</v>
      </c>
    </row>
    <row r="1618" spans="1:1" x14ac:dyDescent="0.25">
      <c r="A1618" s="9">
        <v>6333014.1600000001</v>
      </c>
    </row>
    <row r="1619" spans="1:1" x14ac:dyDescent="0.25">
      <c r="A1619" s="9">
        <v>4388682.09</v>
      </c>
    </row>
    <row r="1620" spans="1:1" x14ac:dyDescent="0.25">
      <c r="A1620" s="9">
        <v>1508082.04</v>
      </c>
    </row>
    <row r="1621" spans="1:1" x14ac:dyDescent="0.25">
      <c r="A1621" s="9">
        <v>4073496.67</v>
      </c>
    </row>
    <row r="1622" spans="1:1" x14ac:dyDescent="0.25">
      <c r="A1622" s="9">
        <v>99566.22</v>
      </c>
    </row>
    <row r="1623" spans="1:1" x14ac:dyDescent="0.25">
      <c r="A1623" s="9">
        <v>1091283.68</v>
      </c>
    </row>
    <row r="1624" spans="1:1" x14ac:dyDescent="0.25">
      <c r="A1624" s="9">
        <v>8030026.7800000003</v>
      </c>
    </row>
    <row r="1625" spans="1:1" x14ac:dyDescent="0.25">
      <c r="A1625" s="9">
        <v>9764477.5600000005</v>
      </c>
    </row>
    <row r="1626" spans="1:1" x14ac:dyDescent="0.25">
      <c r="A1626" s="9">
        <v>687246.91</v>
      </c>
    </row>
    <row r="1627" spans="1:1" x14ac:dyDescent="0.25">
      <c r="A1627" s="9">
        <v>186184.86</v>
      </c>
    </row>
    <row r="1628" spans="1:1" x14ac:dyDescent="0.25">
      <c r="A1628" s="9">
        <v>14242826.289999999</v>
      </c>
    </row>
    <row r="1629" spans="1:1" x14ac:dyDescent="0.25">
      <c r="A1629" s="9">
        <v>10205178.93</v>
      </c>
    </row>
    <row r="1630" spans="1:1" x14ac:dyDescent="0.25">
      <c r="A1630" s="9">
        <v>25703406.280000001</v>
      </c>
    </row>
    <row r="1631" spans="1:1" x14ac:dyDescent="0.25">
      <c r="A1631" s="9">
        <v>237404.7</v>
      </c>
    </row>
    <row r="1632" spans="1:1" x14ac:dyDescent="0.25">
      <c r="A1632" s="9">
        <v>544238.43000000005</v>
      </c>
    </row>
    <row r="1633" spans="1:1" x14ac:dyDescent="0.25">
      <c r="A1633" s="9">
        <v>314832.24</v>
      </c>
    </row>
    <row r="1634" spans="1:1" x14ac:dyDescent="0.25">
      <c r="A1634" s="9">
        <v>149771.68</v>
      </c>
    </row>
    <row r="1635" spans="1:1" x14ac:dyDescent="0.25">
      <c r="A1635" s="9">
        <v>3204988.88</v>
      </c>
    </row>
    <row r="1636" spans="1:1" x14ac:dyDescent="0.25">
      <c r="A1636" s="9">
        <v>5988984.6299999999</v>
      </c>
    </row>
    <row r="1637" spans="1:1" x14ac:dyDescent="0.25">
      <c r="A1637">
        <v>0</v>
      </c>
    </row>
    <row r="1638" spans="1:1" x14ac:dyDescent="0.25">
      <c r="A1638">
        <v>0</v>
      </c>
    </row>
    <row r="1639" spans="1:1" x14ac:dyDescent="0.25">
      <c r="A1639">
        <v>0</v>
      </c>
    </row>
    <row r="1640" spans="1:1" x14ac:dyDescent="0.25">
      <c r="A1640" s="9">
        <v>145009.26</v>
      </c>
    </row>
    <row r="1641" spans="1:1" x14ac:dyDescent="0.25">
      <c r="A1641" s="9">
        <v>22923344.52</v>
      </c>
    </row>
    <row r="1642" spans="1:1" x14ac:dyDescent="0.25">
      <c r="A1642" s="9">
        <v>34300078.689999998</v>
      </c>
    </row>
    <row r="1643" spans="1:1" x14ac:dyDescent="0.25">
      <c r="A1643" s="9">
        <v>21545514.289999999</v>
      </c>
    </row>
    <row r="1644" spans="1:1" x14ac:dyDescent="0.25">
      <c r="A1644" s="9">
        <v>3231355.45</v>
      </c>
    </row>
    <row r="1645" spans="1:1" x14ac:dyDescent="0.25">
      <c r="A1645" s="9">
        <v>61079.6</v>
      </c>
    </row>
    <row r="1646" spans="1:1" x14ac:dyDescent="0.25">
      <c r="A1646" s="9">
        <v>137493.4</v>
      </c>
    </row>
    <row r="1647" spans="1:1" x14ac:dyDescent="0.25">
      <c r="A1647" s="9">
        <v>552236.93999999901</v>
      </c>
    </row>
    <row r="1648" spans="1:1" x14ac:dyDescent="0.25">
      <c r="A1648" s="9">
        <v>3989044.64</v>
      </c>
    </row>
    <row r="1649" spans="1:1" x14ac:dyDescent="0.25">
      <c r="A1649">
        <v>0</v>
      </c>
    </row>
    <row r="1650" spans="1:1" x14ac:dyDescent="0.25">
      <c r="A1650" s="9">
        <v>317854.46999999997</v>
      </c>
    </row>
    <row r="1651" spans="1:1" x14ac:dyDescent="0.25">
      <c r="A1651" s="9">
        <v>662043.98</v>
      </c>
    </row>
    <row r="1652" spans="1:1" x14ac:dyDescent="0.25">
      <c r="A1652" s="9">
        <v>2129249.17</v>
      </c>
    </row>
    <row r="1653" spans="1:1" x14ac:dyDescent="0.25">
      <c r="A1653" s="9">
        <v>537951.9</v>
      </c>
    </row>
    <row r="1654" spans="1:1" x14ac:dyDescent="0.25">
      <c r="A1654" s="9">
        <v>11009978.390000001</v>
      </c>
    </row>
    <row r="1655" spans="1:1" x14ac:dyDescent="0.25">
      <c r="A1655" s="9">
        <v>9119060.6600000001</v>
      </c>
    </row>
    <row r="1656" spans="1:1" x14ac:dyDescent="0.25">
      <c r="A1656" s="9">
        <v>2770834.72</v>
      </c>
    </row>
    <row r="1657" spans="1:1" x14ac:dyDescent="0.25">
      <c r="A1657">
        <v>0</v>
      </c>
    </row>
    <row r="1658" spans="1:1" x14ac:dyDescent="0.25">
      <c r="A1658" s="9">
        <v>78094386.840000004</v>
      </c>
    </row>
    <row r="1659" spans="1:1" x14ac:dyDescent="0.25">
      <c r="A1659" s="9">
        <v>11524740.27</v>
      </c>
    </row>
    <row r="1660" spans="1:1" x14ac:dyDescent="0.25">
      <c r="A1660" s="9">
        <v>15032335.41</v>
      </c>
    </row>
    <row r="1661" spans="1:1" x14ac:dyDescent="0.25">
      <c r="A1661" s="9">
        <v>2830643.87</v>
      </c>
    </row>
    <row r="1662" spans="1:1" x14ac:dyDescent="0.25">
      <c r="A1662" s="9">
        <v>2024783.9</v>
      </c>
    </row>
    <row r="1663" spans="1:1" x14ac:dyDescent="0.25">
      <c r="A1663" s="9">
        <v>9447786.3599999901</v>
      </c>
    </row>
    <row r="1664" spans="1:1" x14ac:dyDescent="0.25">
      <c r="A1664" s="9">
        <v>5003328.28</v>
      </c>
    </row>
    <row r="1665" spans="1:1" x14ac:dyDescent="0.25">
      <c r="A1665" s="9">
        <v>84247.89</v>
      </c>
    </row>
    <row r="1666" spans="1:1" x14ac:dyDescent="0.25">
      <c r="A1666" s="9">
        <v>375749.8</v>
      </c>
    </row>
    <row r="1667" spans="1:1" x14ac:dyDescent="0.25">
      <c r="A1667" s="9">
        <v>3176322.9599999902</v>
      </c>
    </row>
    <row r="1668" spans="1:1" x14ac:dyDescent="0.25">
      <c r="A1668" s="9">
        <v>244227.54</v>
      </c>
    </row>
    <row r="1669" spans="1:1" x14ac:dyDescent="0.25">
      <c r="A1669" s="9">
        <v>4391023.09</v>
      </c>
    </row>
    <row r="1670" spans="1:1" x14ac:dyDescent="0.25">
      <c r="A1670" s="9">
        <v>5066663.01</v>
      </c>
    </row>
    <row r="1671" spans="1:1" x14ac:dyDescent="0.25">
      <c r="A1671" s="9">
        <v>105702.6</v>
      </c>
    </row>
    <row r="1672" spans="1:1" x14ac:dyDescent="0.25">
      <c r="A1672" s="9">
        <v>3195437.04</v>
      </c>
    </row>
    <row r="1673" spans="1:1" x14ac:dyDescent="0.25">
      <c r="A1673" s="9">
        <v>3493831.3</v>
      </c>
    </row>
    <row r="1674" spans="1:1" x14ac:dyDescent="0.25">
      <c r="A1674" s="9">
        <v>428525.42</v>
      </c>
    </row>
    <row r="1675" spans="1:1" x14ac:dyDescent="0.25">
      <c r="A1675" s="9">
        <v>12071007.01</v>
      </c>
    </row>
    <row r="1676" spans="1:1" x14ac:dyDescent="0.25">
      <c r="A1676" s="9">
        <v>3514772.78</v>
      </c>
    </row>
    <row r="1677" spans="1:1" x14ac:dyDescent="0.25">
      <c r="A1677">
        <v>0</v>
      </c>
    </row>
    <row r="1678" spans="1:1" x14ac:dyDescent="0.25">
      <c r="A1678" s="9">
        <v>7559947.4199999999</v>
      </c>
    </row>
    <row r="1679" spans="1:1" x14ac:dyDescent="0.25">
      <c r="A1679">
        <v>0</v>
      </c>
    </row>
    <row r="1680" spans="1:1" x14ac:dyDescent="0.25">
      <c r="A1680" s="9">
        <v>63522363.780000001</v>
      </c>
    </row>
    <row r="1681" spans="1:1" x14ac:dyDescent="0.25">
      <c r="A1681" s="9">
        <v>7792577.3899999904</v>
      </c>
    </row>
    <row r="1682" spans="1:1" x14ac:dyDescent="0.25">
      <c r="A1682" s="9">
        <v>7763994.48999999</v>
      </c>
    </row>
    <row r="1683" spans="1:1" x14ac:dyDescent="0.25">
      <c r="A1683" s="9">
        <v>230162.56</v>
      </c>
    </row>
    <row r="1684" spans="1:1" x14ac:dyDescent="0.25">
      <c r="A1684" s="9">
        <v>13835865.9</v>
      </c>
    </row>
    <row r="1685" spans="1:1" x14ac:dyDescent="0.25">
      <c r="A1685" s="9">
        <v>256707.1</v>
      </c>
    </row>
    <row r="1686" spans="1:1" x14ac:dyDescent="0.25">
      <c r="A1686" s="9">
        <v>2142186.7799999998</v>
      </c>
    </row>
    <row r="1687" spans="1:1" x14ac:dyDescent="0.25">
      <c r="A1687">
        <v>0</v>
      </c>
    </row>
    <row r="1688" spans="1:1" x14ac:dyDescent="0.25">
      <c r="A1688" s="9">
        <v>6372084.3599999901</v>
      </c>
    </row>
    <row r="1689" spans="1:1" x14ac:dyDescent="0.25">
      <c r="A1689" s="9">
        <v>6880254.2699999996</v>
      </c>
    </row>
    <row r="1690" spans="1:1" x14ac:dyDescent="0.25">
      <c r="A1690" s="9">
        <v>2579405.94</v>
      </c>
    </row>
    <row r="1691" spans="1:1" x14ac:dyDescent="0.25">
      <c r="A1691">
        <v>0</v>
      </c>
    </row>
    <row r="1692" spans="1:1" x14ac:dyDescent="0.25">
      <c r="A1692" s="9">
        <v>441914.4</v>
      </c>
    </row>
    <row r="1693" spans="1:1" x14ac:dyDescent="0.25">
      <c r="A1693">
        <v>0</v>
      </c>
    </row>
    <row r="1694" spans="1:1" x14ac:dyDescent="0.25">
      <c r="A1694" s="9">
        <v>386185.83</v>
      </c>
    </row>
    <row r="1695" spans="1:1" x14ac:dyDescent="0.25">
      <c r="A1695" s="9">
        <v>73872.959999999905</v>
      </c>
    </row>
    <row r="1696" spans="1:1" x14ac:dyDescent="0.25">
      <c r="A1696" s="9">
        <v>17440184.600000001</v>
      </c>
    </row>
    <row r="1697" spans="1:1" x14ac:dyDescent="0.25">
      <c r="A1697" s="9">
        <v>937949.43</v>
      </c>
    </row>
    <row r="1698" spans="1:1" x14ac:dyDescent="0.25">
      <c r="A1698" s="9">
        <v>20911787.039999999</v>
      </c>
    </row>
    <row r="1699" spans="1:1" x14ac:dyDescent="0.25">
      <c r="A1699" s="9">
        <v>4385218.8</v>
      </c>
    </row>
    <row r="1700" spans="1:1" x14ac:dyDescent="0.25">
      <c r="A1700" s="9">
        <v>115484.46</v>
      </c>
    </row>
    <row r="1701" spans="1:1" x14ac:dyDescent="0.25">
      <c r="A1701" s="9">
        <v>4940827.38</v>
      </c>
    </row>
    <row r="1702" spans="1:1" x14ac:dyDescent="0.25">
      <c r="A1702" s="9">
        <v>955861.64</v>
      </c>
    </row>
    <row r="1703" spans="1:1" x14ac:dyDescent="0.25">
      <c r="A1703" s="9">
        <v>21787621.690000001</v>
      </c>
    </row>
    <row r="1704" spans="1:1" x14ac:dyDescent="0.25">
      <c r="A1704" s="9">
        <v>6425586.5999999996</v>
      </c>
    </row>
    <row r="1705" spans="1:1" x14ac:dyDescent="0.25">
      <c r="A1705" s="9">
        <v>301983.96000000002</v>
      </c>
    </row>
    <row r="1706" spans="1:1" x14ac:dyDescent="0.25">
      <c r="A1706" s="9">
        <v>6782587.23999999</v>
      </c>
    </row>
    <row r="1707" spans="1:1" x14ac:dyDescent="0.25">
      <c r="A1707" s="9">
        <v>19958639.68</v>
      </c>
    </row>
    <row r="1708" spans="1:1" x14ac:dyDescent="0.25">
      <c r="A1708" s="9">
        <v>2616435.86</v>
      </c>
    </row>
    <row r="1709" spans="1:1" x14ac:dyDescent="0.25">
      <c r="A1709" s="9">
        <v>4169186.08</v>
      </c>
    </row>
    <row r="1710" spans="1:1" x14ac:dyDescent="0.25">
      <c r="A1710">
        <v>0</v>
      </c>
    </row>
    <row r="1711" spans="1:1" x14ac:dyDescent="0.25">
      <c r="A1711">
        <v>0</v>
      </c>
    </row>
    <row r="1712" spans="1:1" x14ac:dyDescent="0.25">
      <c r="A1712">
        <v>0</v>
      </c>
    </row>
    <row r="1713" spans="1:1" x14ac:dyDescent="0.25">
      <c r="A1713" s="9">
        <v>1283200.23</v>
      </c>
    </row>
    <row r="1714" spans="1:1" x14ac:dyDescent="0.25">
      <c r="A1714" s="9">
        <v>1329186.6599999999</v>
      </c>
    </row>
    <row r="1715" spans="1:1" x14ac:dyDescent="0.25">
      <c r="A1715">
        <v>0</v>
      </c>
    </row>
    <row r="1716" spans="1:1" x14ac:dyDescent="0.25">
      <c r="A1716" s="9">
        <v>5216326.17</v>
      </c>
    </row>
    <row r="1717" spans="1:1" x14ac:dyDescent="0.25">
      <c r="A1717" s="9">
        <v>3754851.16</v>
      </c>
    </row>
    <row r="1718" spans="1:1" x14ac:dyDescent="0.25">
      <c r="A1718" s="9">
        <v>797224.89</v>
      </c>
    </row>
    <row r="1719" spans="1:1" x14ac:dyDescent="0.25">
      <c r="A1719">
        <v>0</v>
      </c>
    </row>
    <row r="1720" spans="1:1" x14ac:dyDescent="0.25">
      <c r="A1720">
        <v>0</v>
      </c>
    </row>
    <row r="1721" spans="1:1" x14ac:dyDescent="0.25">
      <c r="A1721" s="9">
        <v>434227.3</v>
      </c>
    </row>
    <row r="1722" spans="1:1" x14ac:dyDescent="0.25">
      <c r="A1722">
        <v>0</v>
      </c>
    </row>
    <row r="1723" spans="1:1" x14ac:dyDescent="0.25">
      <c r="A1723" s="9">
        <v>78262744.189999998</v>
      </c>
    </row>
    <row r="1724" spans="1:1" x14ac:dyDescent="0.25">
      <c r="A1724" s="9">
        <v>15793615.23</v>
      </c>
    </row>
    <row r="1725" spans="1:1" x14ac:dyDescent="0.25">
      <c r="A1725">
        <v>0</v>
      </c>
    </row>
    <row r="1726" spans="1:1" x14ac:dyDescent="0.25">
      <c r="A1726" s="9">
        <v>6778103.3300000001</v>
      </c>
    </row>
    <row r="1727" spans="1:1" x14ac:dyDescent="0.25">
      <c r="A1727" s="9">
        <v>2781022.42</v>
      </c>
    </row>
    <row r="1728" spans="1:1" x14ac:dyDescent="0.25">
      <c r="A1728" s="9">
        <v>1651675.63</v>
      </c>
    </row>
    <row r="1729" spans="1:1" x14ac:dyDescent="0.25">
      <c r="A1729" s="9">
        <v>9522538.0199999996</v>
      </c>
    </row>
    <row r="1730" spans="1:1" x14ac:dyDescent="0.25">
      <c r="A1730" s="9">
        <v>30050063.170000002</v>
      </c>
    </row>
    <row r="1731" spans="1:1" x14ac:dyDescent="0.25">
      <c r="A1731" s="9">
        <v>1660323.88</v>
      </c>
    </row>
    <row r="1732" spans="1:1" x14ac:dyDescent="0.25">
      <c r="A1732" s="9">
        <v>3264830.24</v>
      </c>
    </row>
    <row r="1733" spans="1:1" x14ac:dyDescent="0.25">
      <c r="A1733" s="9">
        <v>6468240.9400000004</v>
      </c>
    </row>
    <row r="1734" spans="1:1" x14ac:dyDescent="0.25">
      <c r="A1734" s="9">
        <v>21757367.859999999</v>
      </c>
    </row>
    <row r="1735" spans="1:1" x14ac:dyDescent="0.25">
      <c r="A1735">
        <v>0</v>
      </c>
    </row>
    <row r="1736" spans="1:1" x14ac:dyDescent="0.25">
      <c r="A1736" s="9">
        <v>766395.42</v>
      </c>
    </row>
    <row r="1737" spans="1:1" x14ac:dyDescent="0.25">
      <c r="A1737" s="9">
        <v>8484113.6399999894</v>
      </c>
    </row>
    <row r="1738" spans="1:1" x14ac:dyDescent="0.25">
      <c r="A1738" s="9">
        <v>4688403.2300000004</v>
      </c>
    </row>
    <row r="1739" spans="1:1" x14ac:dyDescent="0.25">
      <c r="A1739" s="9">
        <v>1848370.04</v>
      </c>
    </row>
    <row r="1740" spans="1:1" x14ac:dyDescent="0.25">
      <c r="A1740" s="9">
        <v>1744259.2</v>
      </c>
    </row>
    <row r="1741" spans="1:1" x14ac:dyDescent="0.25">
      <c r="A1741" s="9">
        <v>12608526.310000001</v>
      </c>
    </row>
    <row r="1742" spans="1:1" x14ac:dyDescent="0.25">
      <c r="A1742" s="9">
        <v>4426278.97</v>
      </c>
    </row>
    <row r="1743" spans="1:1" x14ac:dyDescent="0.25">
      <c r="A1743" s="9">
        <v>161085.82</v>
      </c>
    </row>
    <row r="1744" spans="1:1" x14ac:dyDescent="0.25">
      <c r="A1744" s="9">
        <v>99163.74</v>
      </c>
    </row>
    <row r="1745" spans="1:1" x14ac:dyDescent="0.25">
      <c r="A1745" s="9">
        <v>6047293.0800000001</v>
      </c>
    </row>
    <row r="1746" spans="1:1" x14ac:dyDescent="0.25">
      <c r="A1746" s="9">
        <v>63686.03</v>
      </c>
    </row>
    <row r="1747" spans="1:1" x14ac:dyDescent="0.25">
      <c r="A1747" s="9">
        <v>3865712.43</v>
      </c>
    </row>
    <row r="1748" spans="1:1" x14ac:dyDescent="0.25">
      <c r="A1748" s="9">
        <v>14825325.380000001</v>
      </c>
    </row>
    <row r="1749" spans="1:1" x14ac:dyDescent="0.25">
      <c r="A1749" s="9">
        <v>8271732.8499999996</v>
      </c>
    </row>
    <row r="1750" spans="1:1" x14ac:dyDescent="0.25">
      <c r="A1750">
        <v>0</v>
      </c>
    </row>
    <row r="1751" spans="1:1" x14ac:dyDescent="0.25">
      <c r="A1751" s="9">
        <v>12655812.43</v>
      </c>
    </row>
    <row r="1752" spans="1:1" x14ac:dyDescent="0.25">
      <c r="A1752" s="9">
        <v>2929830.61</v>
      </c>
    </row>
    <row r="1753" spans="1:1" x14ac:dyDescent="0.25">
      <c r="A1753" s="9">
        <v>53707034.170000002</v>
      </c>
    </row>
    <row r="1754" spans="1:1" x14ac:dyDescent="0.25">
      <c r="A1754" s="9">
        <v>8766245.6099999901</v>
      </c>
    </row>
    <row r="1755" spans="1:1" x14ac:dyDescent="0.25">
      <c r="A1755" s="9">
        <v>882419.11</v>
      </c>
    </row>
    <row r="1756" spans="1:1" x14ac:dyDescent="0.25">
      <c r="A1756" s="9">
        <v>9625571.3699999992</v>
      </c>
    </row>
    <row r="1757" spans="1:1" x14ac:dyDescent="0.25">
      <c r="A1757" s="9">
        <v>3118354.11</v>
      </c>
    </row>
    <row r="1758" spans="1:1" x14ac:dyDescent="0.25">
      <c r="A1758" s="9">
        <v>1875809.93</v>
      </c>
    </row>
    <row r="1759" spans="1:1" x14ac:dyDescent="0.25">
      <c r="A1759" s="9">
        <v>63852.12</v>
      </c>
    </row>
    <row r="1760" spans="1:1" x14ac:dyDescent="0.25">
      <c r="A1760" s="9">
        <v>63794.92</v>
      </c>
    </row>
    <row r="1761" spans="1:1" x14ac:dyDescent="0.25">
      <c r="A1761" s="9">
        <v>15102977.57</v>
      </c>
    </row>
    <row r="1762" spans="1:1" x14ac:dyDescent="0.25">
      <c r="A1762" s="9">
        <v>13036695.34</v>
      </c>
    </row>
    <row r="1763" spans="1:1" x14ac:dyDescent="0.25">
      <c r="A1763">
        <v>0</v>
      </c>
    </row>
    <row r="1764" spans="1:1" x14ac:dyDescent="0.25">
      <c r="A1764" s="9">
        <v>649067.80000000005</v>
      </c>
    </row>
    <row r="1765" spans="1:1" x14ac:dyDescent="0.25">
      <c r="A1765" s="9">
        <v>30172688.149999999</v>
      </c>
    </row>
    <row r="1766" spans="1:1" x14ac:dyDescent="0.25">
      <c r="A1766">
        <v>0</v>
      </c>
    </row>
    <row r="1767" spans="1:1" x14ac:dyDescent="0.25">
      <c r="A1767" s="9">
        <v>26353514.879999999</v>
      </c>
    </row>
    <row r="1768" spans="1:1" x14ac:dyDescent="0.25">
      <c r="A1768" s="9">
        <v>2889136.42</v>
      </c>
    </row>
    <row r="1769" spans="1:1" x14ac:dyDescent="0.25">
      <c r="A1769" s="9">
        <v>3709961.52</v>
      </c>
    </row>
    <row r="1770" spans="1:1" x14ac:dyDescent="0.25">
      <c r="A1770">
        <v>0</v>
      </c>
    </row>
    <row r="1771" spans="1:1" x14ac:dyDescent="0.25">
      <c r="A1771" s="9">
        <v>1900982.03</v>
      </c>
    </row>
    <row r="1772" spans="1:1" x14ac:dyDescent="0.25">
      <c r="A1772" s="9">
        <v>297598.37</v>
      </c>
    </row>
    <row r="1773" spans="1:1" x14ac:dyDescent="0.25">
      <c r="A1773">
        <v>0</v>
      </c>
    </row>
    <row r="1774" spans="1:1" x14ac:dyDescent="0.25">
      <c r="A1774" s="9">
        <v>2753703</v>
      </c>
    </row>
    <row r="1775" spans="1:1" x14ac:dyDescent="0.25">
      <c r="A1775">
        <v>0</v>
      </c>
    </row>
    <row r="1776" spans="1:1" x14ac:dyDescent="0.25">
      <c r="A1776" s="9">
        <v>137493.4</v>
      </c>
    </row>
    <row r="1777" spans="1:1" x14ac:dyDescent="0.25">
      <c r="A1777" s="9">
        <v>9840106.8799999896</v>
      </c>
    </row>
    <row r="1778" spans="1:1" x14ac:dyDescent="0.25">
      <c r="A1778" s="9">
        <v>5577543.04</v>
      </c>
    </row>
    <row r="1779" spans="1:1" x14ac:dyDescent="0.25">
      <c r="A1779" s="9">
        <v>5777627.7999999998</v>
      </c>
    </row>
    <row r="1780" spans="1:1" x14ac:dyDescent="0.25">
      <c r="A1780" s="9">
        <v>27048286.75</v>
      </c>
    </row>
    <row r="1781" spans="1:1" x14ac:dyDescent="0.25">
      <c r="A1781" s="9">
        <v>3032179.18</v>
      </c>
    </row>
    <row r="1782" spans="1:1" x14ac:dyDescent="0.25">
      <c r="A1782">
        <v>0</v>
      </c>
    </row>
    <row r="1783" spans="1:1" x14ac:dyDescent="0.25">
      <c r="A1783" s="9">
        <v>15898497.35</v>
      </c>
    </row>
    <row r="1784" spans="1:1" x14ac:dyDescent="0.25">
      <c r="A1784" s="9">
        <v>13754029.07</v>
      </c>
    </row>
    <row r="1785" spans="1:1" x14ac:dyDescent="0.25">
      <c r="A1785">
        <v>0</v>
      </c>
    </row>
    <row r="1786" spans="1:1" x14ac:dyDescent="0.25">
      <c r="A1786" s="9">
        <v>8654340.6699999999</v>
      </c>
    </row>
    <row r="1787" spans="1:1" x14ac:dyDescent="0.25">
      <c r="A1787" s="9">
        <v>1086871.04</v>
      </c>
    </row>
    <row r="1788" spans="1:1" x14ac:dyDescent="0.25">
      <c r="A1788">
        <v>0</v>
      </c>
    </row>
    <row r="1789" spans="1:1" x14ac:dyDescent="0.25">
      <c r="A1789" s="9">
        <v>233466.78</v>
      </c>
    </row>
    <row r="1790" spans="1:1" x14ac:dyDescent="0.25">
      <c r="A1790" s="9">
        <v>8164686.0700000003</v>
      </c>
    </row>
    <row r="1791" spans="1:1" x14ac:dyDescent="0.25">
      <c r="A1791" s="9">
        <v>5762863.4800000004</v>
      </c>
    </row>
    <row r="1792" spans="1:1" x14ac:dyDescent="0.25">
      <c r="A1792" s="9">
        <v>3566081.87</v>
      </c>
    </row>
    <row r="1793" spans="1:1" x14ac:dyDescent="0.25">
      <c r="A1793" s="9">
        <v>1600774.7</v>
      </c>
    </row>
    <row r="1794" spans="1:1" x14ac:dyDescent="0.25">
      <c r="A1794" s="9">
        <v>24101872.670000002</v>
      </c>
    </row>
    <row r="1795" spans="1:1" x14ac:dyDescent="0.25">
      <c r="A1795" s="9">
        <v>17336794.800000001</v>
      </c>
    </row>
    <row r="1796" spans="1:1" x14ac:dyDescent="0.25">
      <c r="A1796" s="9">
        <v>11218492.1</v>
      </c>
    </row>
    <row r="1797" spans="1:1" x14ac:dyDescent="0.25">
      <c r="A1797" s="9">
        <v>280163.73</v>
      </c>
    </row>
    <row r="1798" spans="1:1" x14ac:dyDescent="0.25">
      <c r="A1798" s="9">
        <v>4174509.56</v>
      </c>
    </row>
    <row r="1799" spans="1:1" x14ac:dyDescent="0.25">
      <c r="A1799" s="9">
        <v>1699888.84</v>
      </c>
    </row>
    <row r="1800" spans="1:1" x14ac:dyDescent="0.25">
      <c r="A1800" s="9">
        <v>35714.1</v>
      </c>
    </row>
    <row r="1801" spans="1:1" x14ac:dyDescent="0.25">
      <c r="A1801">
        <v>0</v>
      </c>
    </row>
    <row r="1802" spans="1:1" x14ac:dyDescent="0.25">
      <c r="A1802" s="9">
        <v>63852.12</v>
      </c>
    </row>
    <row r="1803" spans="1:1" x14ac:dyDescent="0.25">
      <c r="A1803" s="9">
        <v>7490036.3799999999</v>
      </c>
    </row>
    <row r="1804" spans="1:1" x14ac:dyDescent="0.25">
      <c r="A1804" s="9">
        <v>17362393.649999999</v>
      </c>
    </row>
    <row r="1805" spans="1:1" x14ac:dyDescent="0.25">
      <c r="A1805">
        <v>0</v>
      </c>
    </row>
    <row r="1806" spans="1:1" x14ac:dyDescent="0.25">
      <c r="A1806" s="9">
        <v>85359.179999999906</v>
      </c>
    </row>
    <row r="1807" spans="1:1" x14ac:dyDescent="0.25">
      <c r="A1807" s="9">
        <v>263905.15999999997</v>
      </c>
    </row>
    <row r="1808" spans="1:1" x14ac:dyDescent="0.25">
      <c r="A1808">
        <v>0</v>
      </c>
    </row>
    <row r="1809" spans="1:1" x14ac:dyDescent="0.25">
      <c r="A1809">
        <v>0</v>
      </c>
    </row>
    <row r="1810" spans="1:1" x14ac:dyDescent="0.25">
      <c r="A1810" s="9">
        <v>4282556.0599999996</v>
      </c>
    </row>
    <row r="1811" spans="1:1" x14ac:dyDescent="0.25">
      <c r="A1811" s="9">
        <v>8990342.3200000003</v>
      </c>
    </row>
    <row r="1812" spans="1:1" x14ac:dyDescent="0.25">
      <c r="A1812" s="9">
        <v>12319166.939999999</v>
      </c>
    </row>
    <row r="1813" spans="1:1" x14ac:dyDescent="0.25">
      <c r="A1813" s="9">
        <v>4002145.26</v>
      </c>
    </row>
    <row r="1814" spans="1:1" x14ac:dyDescent="0.25">
      <c r="A1814" s="9">
        <v>256707.1</v>
      </c>
    </row>
    <row r="1815" spans="1:1" x14ac:dyDescent="0.25">
      <c r="A1815" s="9">
        <v>2677110.85</v>
      </c>
    </row>
    <row r="1816" spans="1:1" x14ac:dyDescent="0.25">
      <c r="A1816" s="9">
        <v>5831492.9199999999</v>
      </c>
    </row>
    <row r="1817" spans="1:1" x14ac:dyDescent="0.25">
      <c r="A1817">
        <v>0</v>
      </c>
    </row>
    <row r="1818" spans="1:1" x14ac:dyDescent="0.25">
      <c r="A1818" s="9">
        <v>3185746.37</v>
      </c>
    </row>
    <row r="1819" spans="1:1" x14ac:dyDescent="0.25">
      <c r="A1819" s="9">
        <v>1205919.6000000001</v>
      </c>
    </row>
    <row r="1820" spans="1:1" x14ac:dyDescent="0.25">
      <c r="A1820">
        <v>0</v>
      </c>
    </row>
    <row r="1821" spans="1:1" x14ac:dyDescent="0.25">
      <c r="A1821">
        <v>0</v>
      </c>
    </row>
    <row r="1822" spans="1:1" x14ac:dyDescent="0.25">
      <c r="A1822" s="9">
        <v>8203023.8300000001</v>
      </c>
    </row>
    <row r="1823" spans="1:1" x14ac:dyDescent="0.25">
      <c r="A1823" s="9">
        <v>11239859.98</v>
      </c>
    </row>
    <row r="1824" spans="1:1" x14ac:dyDescent="0.25">
      <c r="A1824" s="9">
        <v>3464315.7</v>
      </c>
    </row>
    <row r="1825" spans="1:1" x14ac:dyDescent="0.25">
      <c r="A1825" s="9">
        <v>2619219.9</v>
      </c>
    </row>
    <row r="1826" spans="1:1" x14ac:dyDescent="0.25">
      <c r="A1826">
        <v>0</v>
      </c>
    </row>
    <row r="1827" spans="1:1" x14ac:dyDescent="0.25">
      <c r="A1827" s="9">
        <v>2764102.59</v>
      </c>
    </row>
    <row r="1828" spans="1:1" x14ac:dyDescent="0.25">
      <c r="A1828" s="9">
        <v>1284664.8799999999</v>
      </c>
    </row>
    <row r="1829" spans="1:1" x14ac:dyDescent="0.25">
      <c r="A1829" s="9">
        <v>23303420.190000001</v>
      </c>
    </row>
    <row r="1830" spans="1:1" x14ac:dyDescent="0.25">
      <c r="A1830" s="9">
        <v>2209096.67</v>
      </c>
    </row>
    <row r="1831" spans="1:1" x14ac:dyDescent="0.25">
      <c r="A1831" s="9">
        <v>47829.8</v>
      </c>
    </row>
    <row r="1832" spans="1:1" x14ac:dyDescent="0.25">
      <c r="A1832">
        <v>0</v>
      </c>
    </row>
    <row r="1833" spans="1:1" x14ac:dyDescent="0.25">
      <c r="A1833" s="9">
        <v>941626.71</v>
      </c>
    </row>
    <row r="1834" spans="1:1" x14ac:dyDescent="0.25">
      <c r="A1834" s="9">
        <v>18600773.190000001</v>
      </c>
    </row>
    <row r="1835" spans="1:1" x14ac:dyDescent="0.25">
      <c r="A1835" s="9">
        <v>33644205.279999897</v>
      </c>
    </row>
    <row r="1836" spans="1:1" x14ac:dyDescent="0.25">
      <c r="A1836" s="9">
        <v>356881.28</v>
      </c>
    </row>
    <row r="1837" spans="1:1" x14ac:dyDescent="0.25">
      <c r="A1837" s="9">
        <v>63852.12</v>
      </c>
    </row>
    <row r="1838" spans="1:1" x14ac:dyDescent="0.25">
      <c r="A1838" s="9">
        <v>4575863.77999999</v>
      </c>
    </row>
    <row r="1839" spans="1:1" x14ac:dyDescent="0.25">
      <c r="A1839" s="9">
        <v>14677300.85</v>
      </c>
    </row>
    <row r="1840" spans="1:1" x14ac:dyDescent="0.25">
      <c r="A1840" s="9">
        <v>7415666.2800000003</v>
      </c>
    </row>
    <row r="1841" spans="1:1" x14ac:dyDescent="0.25">
      <c r="A1841">
        <v>0</v>
      </c>
    </row>
    <row r="1842" spans="1:1" x14ac:dyDescent="0.25">
      <c r="A1842">
        <v>0</v>
      </c>
    </row>
    <row r="1843" spans="1:1" x14ac:dyDescent="0.25">
      <c r="A1843" s="9">
        <v>1063907.45</v>
      </c>
    </row>
    <row r="1844" spans="1:1" x14ac:dyDescent="0.25">
      <c r="A1844" s="9">
        <v>9563819.0700000003</v>
      </c>
    </row>
    <row r="1845" spans="1:1" x14ac:dyDescent="0.25">
      <c r="A1845" s="9">
        <v>3800914.66</v>
      </c>
    </row>
    <row r="1846" spans="1:1" x14ac:dyDescent="0.25">
      <c r="A1846" s="9">
        <v>3747455.3</v>
      </c>
    </row>
    <row r="1847" spans="1:1" x14ac:dyDescent="0.25">
      <c r="A1847" s="9">
        <v>2745884.34</v>
      </c>
    </row>
    <row r="1848" spans="1:1" x14ac:dyDescent="0.25">
      <c r="A1848" s="9">
        <v>1108126.43</v>
      </c>
    </row>
    <row r="1849" spans="1:1" x14ac:dyDescent="0.25">
      <c r="A1849" s="9">
        <v>94400.639999999999</v>
      </c>
    </row>
    <row r="1850" spans="1:1" x14ac:dyDescent="0.25">
      <c r="A1850" s="9">
        <v>1210488.5</v>
      </c>
    </row>
    <row r="1851" spans="1:1" x14ac:dyDescent="0.25">
      <c r="A1851" s="9">
        <v>281958.03999999998</v>
      </c>
    </row>
    <row r="1852" spans="1:1" x14ac:dyDescent="0.25">
      <c r="A1852">
        <v>0</v>
      </c>
    </row>
    <row r="1853" spans="1:1" x14ac:dyDescent="0.25">
      <c r="A1853" s="9">
        <v>5950066.2400000002</v>
      </c>
    </row>
    <row r="1854" spans="1:1" x14ac:dyDescent="0.25">
      <c r="A1854" s="9">
        <v>213497.60000000001</v>
      </c>
    </row>
    <row r="1855" spans="1:1" x14ac:dyDescent="0.25">
      <c r="A1855" s="9">
        <v>11607428.210000001</v>
      </c>
    </row>
    <row r="1856" spans="1:1" x14ac:dyDescent="0.25">
      <c r="A1856" s="9">
        <v>150145.38</v>
      </c>
    </row>
    <row r="1857" spans="1:1" x14ac:dyDescent="0.25">
      <c r="A1857" s="9">
        <v>10741175.869999999</v>
      </c>
    </row>
    <row r="1858" spans="1:1" x14ac:dyDescent="0.25">
      <c r="A1858" s="9">
        <v>10428812.27</v>
      </c>
    </row>
    <row r="1859" spans="1:1" x14ac:dyDescent="0.25">
      <c r="A1859" s="9">
        <v>2685361.66</v>
      </c>
    </row>
    <row r="1860" spans="1:1" x14ac:dyDescent="0.25">
      <c r="A1860" s="9">
        <v>428542.98</v>
      </c>
    </row>
    <row r="1861" spans="1:1" x14ac:dyDescent="0.25">
      <c r="A1861" s="9">
        <v>5366889.92</v>
      </c>
    </row>
    <row r="1862" spans="1:1" x14ac:dyDescent="0.25">
      <c r="A1862" s="9">
        <v>4594554.18</v>
      </c>
    </row>
    <row r="1863" spans="1:1" x14ac:dyDescent="0.25">
      <c r="A1863">
        <v>0</v>
      </c>
    </row>
    <row r="1864" spans="1:1" x14ac:dyDescent="0.25">
      <c r="A1864" s="9">
        <v>12746954.66</v>
      </c>
    </row>
    <row r="1865" spans="1:1" x14ac:dyDescent="0.25">
      <c r="A1865">
        <v>0</v>
      </c>
    </row>
    <row r="1866" spans="1:1" x14ac:dyDescent="0.25">
      <c r="A1866" s="9">
        <v>243632.55</v>
      </c>
    </row>
    <row r="1867" spans="1:1" x14ac:dyDescent="0.25">
      <c r="A1867" s="9">
        <v>674696.72</v>
      </c>
    </row>
    <row r="1868" spans="1:1" x14ac:dyDescent="0.25">
      <c r="A1868" s="9">
        <v>21445514.550000001</v>
      </c>
    </row>
    <row r="1869" spans="1:1" x14ac:dyDescent="0.25">
      <c r="A1869" s="9">
        <v>9427786.3699999992</v>
      </c>
    </row>
    <row r="1870" spans="1:1" x14ac:dyDescent="0.25">
      <c r="A1870" s="9">
        <v>9759302.1999999899</v>
      </c>
    </row>
    <row r="1871" spans="1:1" x14ac:dyDescent="0.25">
      <c r="A1871" s="9">
        <v>918248.53</v>
      </c>
    </row>
    <row r="1872" spans="1:1" x14ac:dyDescent="0.25">
      <c r="A1872" s="9">
        <v>3389775.6</v>
      </c>
    </row>
    <row r="1873" spans="1:1" x14ac:dyDescent="0.25">
      <c r="A1873" s="9">
        <v>3158511.1</v>
      </c>
    </row>
    <row r="1874" spans="1:1" x14ac:dyDescent="0.25">
      <c r="A1874" s="9">
        <v>417025.34</v>
      </c>
    </row>
    <row r="1875" spans="1:1" x14ac:dyDescent="0.25">
      <c r="A1875" s="9">
        <v>4489016.6999999899</v>
      </c>
    </row>
    <row r="1876" spans="1:1" x14ac:dyDescent="0.25">
      <c r="A1876">
        <v>3802860</v>
      </c>
    </row>
    <row r="1877" spans="1:1" x14ac:dyDescent="0.25">
      <c r="A1877">
        <v>3802860</v>
      </c>
    </row>
    <row r="1878" spans="1:1" x14ac:dyDescent="0.25">
      <c r="A1878" s="9">
        <v>2705461.83</v>
      </c>
    </row>
    <row r="1879" spans="1:1" x14ac:dyDescent="0.25">
      <c r="A1879" s="9">
        <v>21504518.530000001</v>
      </c>
    </row>
    <row r="1880" spans="1:1" x14ac:dyDescent="0.25">
      <c r="A1880" s="9">
        <v>9431455.4700000007</v>
      </c>
    </row>
    <row r="1881" spans="1:1" x14ac:dyDescent="0.25">
      <c r="A1881" s="9">
        <v>3422078.67</v>
      </c>
    </row>
    <row r="1882" spans="1:1" x14ac:dyDescent="0.25">
      <c r="A1882" s="9">
        <v>190714.5</v>
      </c>
    </row>
    <row r="1883" spans="1:1" x14ac:dyDescent="0.25">
      <c r="A1883" s="9">
        <v>5532741.5499999896</v>
      </c>
    </row>
    <row r="1884" spans="1:1" x14ac:dyDescent="0.25">
      <c r="A1884" s="9">
        <v>2063937.44</v>
      </c>
    </row>
    <row r="1885" spans="1:1" x14ac:dyDescent="0.25">
      <c r="A1885" s="9">
        <v>4363244.8</v>
      </c>
    </row>
    <row r="1886" spans="1:1" x14ac:dyDescent="0.25">
      <c r="A1886" s="9">
        <v>671103.65999999898</v>
      </c>
    </row>
    <row r="1887" spans="1:1" x14ac:dyDescent="0.25">
      <c r="A1887">
        <v>0</v>
      </c>
    </row>
    <row r="1888" spans="1:1" x14ac:dyDescent="0.25">
      <c r="A1888">
        <v>0</v>
      </c>
    </row>
    <row r="1889" spans="1:1" x14ac:dyDescent="0.25">
      <c r="A1889" s="9">
        <v>1243127.76</v>
      </c>
    </row>
    <row r="1890" spans="1:1" x14ac:dyDescent="0.25">
      <c r="A1890">
        <v>0</v>
      </c>
    </row>
    <row r="1891" spans="1:1" x14ac:dyDescent="0.25">
      <c r="A1891" s="9">
        <v>4598646.12</v>
      </c>
    </row>
    <row r="1892" spans="1:1" x14ac:dyDescent="0.25">
      <c r="A1892">
        <v>0</v>
      </c>
    </row>
    <row r="1893" spans="1:1" x14ac:dyDescent="0.25">
      <c r="A1893" s="9">
        <v>21882759.039999999</v>
      </c>
    </row>
    <row r="1894" spans="1:1" x14ac:dyDescent="0.25">
      <c r="A1894" s="9">
        <v>6654716.8699999899</v>
      </c>
    </row>
    <row r="1895" spans="1:1" x14ac:dyDescent="0.25">
      <c r="A1895" s="9">
        <v>7085632.0599999903</v>
      </c>
    </row>
    <row r="1896" spans="1:1" x14ac:dyDescent="0.25">
      <c r="A1896" s="9">
        <v>9311190.8499999996</v>
      </c>
    </row>
    <row r="1897" spans="1:1" x14ac:dyDescent="0.25">
      <c r="A1897" s="9">
        <v>1824050.06</v>
      </c>
    </row>
    <row r="1898" spans="1:1" x14ac:dyDescent="0.25">
      <c r="A1898" s="9">
        <v>9038542.3699999992</v>
      </c>
    </row>
    <row r="1899" spans="1:1" x14ac:dyDescent="0.25">
      <c r="A1899" s="9">
        <v>831384.91</v>
      </c>
    </row>
    <row r="1900" spans="1:1" x14ac:dyDescent="0.25">
      <c r="A1900" s="9">
        <v>1924790.06</v>
      </c>
    </row>
    <row r="1901" spans="1:1" x14ac:dyDescent="0.25">
      <c r="A1901" s="9">
        <v>256707.1</v>
      </c>
    </row>
    <row r="1902" spans="1:1" x14ac:dyDescent="0.25">
      <c r="A1902" s="9">
        <v>14120340.01</v>
      </c>
    </row>
    <row r="1903" spans="1:1" x14ac:dyDescent="0.25">
      <c r="A1903">
        <v>0</v>
      </c>
    </row>
    <row r="1904" spans="1:1" x14ac:dyDescent="0.25">
      <c r="A1904">
        <v>0</v>
      </c>
    </row>
    <row r="1905" spans="1:1" x14ac:dyDescent="0.25">
      <c r="A1905" s="9">
        <v>10565441.77</v>
      </c>
    </row>
    <row r="1906" spans="1:1" x14ac:dyDescent="0.25">
      <c r="A1906" s="9">
        <v>55802.559999999998</v>
      </c>
    </row>
    <row r="1907" spans="1:1" x14ac:dyDescent="0.25">
      <c r="A1907" s="9">
        <v>6884336.4399999902</v>
      </c>
    </row>
    <row r="1908" spans="1:1" x14ac:dyDescent="0.25">
      <c r="A1908" s="9">
        <v>536127.47</v>
      </c>
    </row>
    <row r="1909" spans="1:1" x14ac:dyDescent="0.25">
      <c r="A1909" s="9">
        <v>6578813.6500000004</v>
      </c>
    </row>
    <row r="1910" spans="1:1" x14ac:dyDescent="0.25">
      <c r="A1910" s="9">
        <v>314832.24</v>
      </c>
    </row>
    <row r="1911" spans="1:1" x14ac:dyDescent="0.25">
      <c r="A1911" s="9">
        <v>3782300.69</v>
      </c>
    </row>
    <row r="1912" spans="1:1" x14ac:dyDescent="0.25">
      <c r="A1912" s="9">
        <v>17166830.07</v>
      </c>
    </row>
    <row r="1913" spans="1:1" x14ac:dyDescent="0.25">
      <c r="A1913">
        <v>0</v>
      </c>
    </row>
    <row r="1914" spans="1:1" x14ac:dyDescent="0.25">
      <c r="A1914" s="9">
        <v>2220551.1</v>
      </c>
    </row>
    <row r="1915" spans="1:1" x14ac:dyDescent="0.25">
      <c r="A1915" s="9">
        <v>185323.2</v>
      </c>
    </row>
    <row r="1916" spans="1:1" x14ac:dyDescent="0.25">
      <c r="A1916">
        <v>0</v>
      </c>
    </row>
    <row r="1917" spans="1:1" x14ac:dyDescent="0.25">
      <c r="A1917" s="9">
        <v>73872.959999999905</v>
      </c>
    </row>
    <row r="1918" spans="1:1" x14ac:dyDescent="0.25">
      <c r="A1918" s="9">
        <v>137493.4</v>
      </c>
    </row>
    <row r="1919" spans="1:1" x14ac:dyDescent="0.25">
      <c r="A1919" s="9">
        <v>141375.31</v>
      </c>
    </row>
    <row r="1920" spans="1:1" x14ac:dyDescent="0.25">
      <c r="A1920" s="9">
        <v>22355310.91</v>
      </c>
    </row>
    <row r="1921" spans="1:1" x14ac:dyDescent="0.25">
      <c r="A1921" s="9">
        <v>1990191.52</v>
      </c>
    </row>
    <row r="1922" spans="1:1" x14ac:dyDescent="0.25">
      <c r="A1922" s="9">
        <v>4705910.92</v>
      </c>
    </row>
    <row r="1923" spans="1:1" x14ac:dyDescent="0.25">
      <c r="A1923" s="9">
        <v>11200128.16</v>
      </c>
    </row>
    <row r="1924" spans="1:1" x14ac:dyDescent="0.25">
      <c r="A1924" s="9">
        <v>4314475.9400000004</v>
      </c>
    </row>
    <row r="1925" spans="1:1" x14ac:dyDescent="0.25">
      <c r="A1925" s="9">
        <v>333798.15000000002</v>
      </c>
    </row>
    <row r="1926" spans="1:1" x14ac:dyDescent="0.25">
      <c r="A1926" s="9">
        <v>1919228.42</v>
      </c>
    </row>
    <row r="1927" spans="1:1" x14ac:dyDescent="0.25">
      <c r="A1927" s="9">
        <v>317651.049999999</v>
      </c>
    </row>
    <row r="1928" spans="1:1" x14ac:dyDescent="0.25">
      <c r="A1928">
        <v>0</v>
      </c>
    </row>
    <row r="1929" spans="1:1" x14ac:dyDescent="0.25">
      <c r="A1929" s="9">
        <v>12525194.35</v>
      </c>
    </row>
    <row r="1930" spans="1:1" x14ac:dyDescent="0.25">
      <c r="A1930">
        <v>0</v>
      </c>
    </row>
    <row r="1931" spans="1:1" x14ac:dyDescent="0.25">
      <c r="A1931">
        <v>0</v>
      </c>
    </row>
    <row r="1932" spans="1:1" x14ac:dyDescent="0.25">
      <c r="A1932" s="9">
        <v>10494284.6</v>
      </c>
    </row>
    <row r="1933" spans="1:1" x14ac:dyDescent="0.25">
      <c r="A1933" s="9">
        <v>9851711.2200000007</v>
      </c>
    </row>
    <row r="1934" spans="1:1" x14ac:dyDescent="0.25">
      <c r="A1934" s="9">
        <v>954368.64</v>
      </c>
    </row>
    <row r="1935" spans="1:1" x14ac:dyDescent="0.25">
      <c r="A1935">
        <v>0</v>
      </c>
    </row>
    <row r="1936" spans="1:1" x14ac:dyDescent="0.25">
      <c r="A1936" s="9">
        <v>8580372.0700000003</v>
      </c>
    </row>
    <row r="1937" spans="1:1" x14ac:dyDescent="0.25">
      <c r="A1937" s="9">
        <v>2620917.6499999901</v>
      </c>
    </row>
    <row r="1938" spans="1:1" x14ac:dyDescent="0.25">
      <c r="A1938" s="9">
        <v>37408562.210000001</v>
      </c>
    </row>
    <row r="1939" spans="1:1" x14ac:dyDescent="0.25">
      <c r="A1939" s="9">
        <v>78690.3</v>
      </c>
    </row>
    <row r="1940" spans="1:1" x14ac:dyDescent="0.25">
      <c r="A1940">
        <v>0</v>
      </c>
    </row>
    <row r="1941" spans="1:1" x14ac:dyDescent="0.25">
      <c r="A1941" s="9">
        <v>3436443.7</v>
      </c>
    </row>
    <row r="1942" spans="1:1" x14ac:dyDescent="0.25">
      <c r="A1942" s="9">
        <v>3467866.59</v>
      </c>
    </row>
    <row r="1943" spans="1:1" x14ac:dyDescent="0.25">
      <c r="A1943" s="9">
        <v>28301994.140000001</v>
      </c>
    </row>
    <row r="1944" spans="1:1" x14ac:dyDescent="0.25">
      <c r="A1944" s="9">
        <v>26087440.640000001</v>
      </c>
    </row>
    <row r="1945" spans="1:1" x14ac:dyDescent="0.25">
      <c r="A1945" s="9">
        <v>233466.78</v>
      </c>
    </row>
    <row r="1946" spans="1:1" x14ac:dyDescent="0.25">
      <c r="A1946" s="9">
        <v>2618844.66</v>
      </c>
    </row>
    <row r="1947" spans="1:1" x14ac:dyDescent="0.25">
      <c r="A1947" s="9">
        <v>403036.90999999898</v>
      </c>
    </row>
    <row r="1948" spans="1:1" x14ac:dyDescent="0.25">
      <c r="A1948" s="9">
        <v>2708698.77</v>
      </c>
    </row>
    <row r="1949" spans="1:1" x14ac:dyDescent="0.25">
      <c r="A1949" s="9">
        <v>8411100.7599999998</v>
      </c>
    </row>
    <row r="1950" spans="1:1" x14ac:dyDescent="0.25">
      <c r="A1950" s="9">
        <v>491832.7</v>
      </c>
    </row>
    <row r="1951" spans="1:1" x14ac:dyDescent="0.25">
      <c r="A1951">
        <v>0</v>
      </c>
    </row>
    <row r="1952" spans="1:1" x14ac:dyDescent="0.25">
      <c r="A1952" s="9">
        <v>3408903.51</v>
      </c>
    </row>
    <row r="1953" spans="1:1" x14ac:dyDescent="0.25">
      <c r="A1953">
        <v>0</v>
      </c>
    </row>
    <row r="1954" spans="1:1" x14ac:dyDescent="0.25">
      <c r="A1954" s="9">
        <v>840769.03</v>
      </c>
    </row>
    <row r="1955" spans="1:1" x14ac:dyDescent="0.25">
      <c r="A1955" s="9">
        <v>257009.33</v>
      </c>
    </row>
    <row r="1956" spans="1:1" x14ac:dyDescent="0.25">
      <c r="A1956" s="9">
        <v>10453697.449999999</v>
      </c>
    </row>
    <row r="1957" spans="1:1" x14ac:dyDescent="0.25">
      <c r="A1957">
        <v>0</v>
      </c>
    </row>
    <row r="1958" spans="1:1" x14ac:dyDescent="0.25">
      <c r="A1958">
        <v>0</v>
      </c>
    </row>
    <row r="1959" spans="1:1" x14ac:dyDescent="0.25">
      <c r="A1959" s="9">
        <v>1544628.71</v>
      </c>
    </row>
    <row r="1960" spans="1:1" x14ac:dyDescent="0.25">
      <c r="A1960" s="9">
        <v>756438.6</v>
      </c>
    </row>
    <row r="1961" spans="1:1" x14ac:dyDescent="0.25">
      <c r="A1961" s="9">
        <v>334390.7</v>
      </c>
    </row>
    <row r="1962" spans="1:1" x14ac:dyDescent="0.25">
      <c r="A1962" s="9">
        <v>6933305.2699999996</v>
      </c>
    </row>
    <row r="1963" spans="1:1" x14ac:dyDescent="0.25">
      <c r="A1963" s="9">
        <v>3620127.91</v>
      </c>
    </row>
    <row r="1964" spans="1:1" x14ac:dyDescent="0.25">
      <c r="A1964" s="9">
        <v>7705552.7599999998</v>
      </c>
    </row>
    <row r="1965" spans="1:1" x14ac:dyDescent="0.25">
      <c r="A1965" s="9">
        <v>2874579.31</v>
      </c>
    </row>
    <row r="1966" spans="1:1" x14ac:dyDescent="0.25">
      <c r="A1966" s="9">
        <v>280163.73</v>
      </c>
    </row>
    <row r="1967" spans="1:1" x14ac:dyDescent="0.25">
      <c r="A1967" s="9">
        <v>1907138.02</v>
      </c>
    </row>
    <row r="1968" spans="1:1" x14ac:dyDescent="0.25">
      <c r="A1968" s="9">
        <v>544150.04</v>
      </c>
    </row>
    <row r="1969" spans="1:1" x14ac:dyDescent="0.25">
      <c r="A1969">
        <v>0</v>
      </c>
    </row>
    <row r="1970" spans="1:1" x14ac:dyDescent="0.25">
      <c r="A1970" s="9">
        <v>875814.3</v>
      </c>
    </row>
    <row r="1971" spans="1:1" x14ac:dyDescent="0.25">
      <c r="A1971" s="9">
        <v>9267534.2099999897</v>
      </c>
    </row>
    <row r="1972" spans="1:1" x14ac:dyDescent="0.25">
      <c r="A1972" s="9">
        <v>10547375.33</v>
      </c>
    </row>
    <row r="1973" spans="1:1" x14ac:dyDescent="0.25">
      <c r="A1973" s="9">
        <v>3496750.1</v>
      </c>
    </row>
    <row r="1974" spans="1:1" x14ac:dyDescent="0.25">
      <c r="A1974" s="9">
        <v>5663006.3399999999</v>
      </c>
    </row>
    <row r="1975" spans="1:1" x14ac:dyDescent="0.25">
      <c r="A1975">
        <v>0</v>
      </c>
    </row>
    <row r="1976" spans="1:1" x14ac:dyDescent="0.25">
      <c r="A1976" s="9">
        <v>2799978.5</v>
      </c>
    </row>
    <row r="1977" spans="1:1" x14ac:dyDescent="0.25">
      <c r="A1977" s="9">
        <v>4656783.9800000004</v>
      </c>
    </row>
    <row r="1978" spans="1:1" x14ac:dyDescent="0.25">
      <c r="A1978">
        <v>0</v>
      </c>
    </row>
    <row r="1979" spans="1:1" x14ac:dyDescent="0.25">
      <c r="A1979" s="9">
        <v>4156853.31</v>
      </c>
    </row>
    <row r="1980" spans="1:1" x14ac:dyDescent="0.25">
      <c r="A1980" s="9">
        <v>3768442.52</v>
      </c>
    </row>
    <row r="1981" spans="1:1" x14ac:dyDescent="0.25">
      <c r="A1981" s="9">
        <v>119034.68</v>
      </c>
    </row>
    <row r="1982" spans="1:1" x14ac:dyDescent="0.25">
      <c r="A1982" s="9">
        <v>2966651.2</v>
      </c>
    </row>
    <row r="1983" spans="1:1" x14ac:dyDescent="0.25">
      <c r="A1983" s="9">
        <v>246641.86</v>
      </c>
    </row>
    <row r="1984" spans="1:1" x14ac:dyDescent="0.25">
      <c r="A1984" s="9">
        <v>17836327.530000001</v>
      </c>
    </row>
    <row r="1985" spans="1:1" x14ac:dyDescent="0.25">
      <c r="A1985">
        <v>0</v>
      </c>
    </row>
    <row r="1986" spans="1:1" x14ac:dyDescent="0.25">
      <c r="A1986" s="9">
        <v>2417089.34</v>
      </c>
    </row>
    <row r="1987" spans="1:1" x14ac:dyDescent="0.25">
      <c r="A1987" s="9">
        <v>5665701.0699999901</v>
      </c>
    </row>
    <row r="1988" spans="1:1" x14ac:dyDescent="0.25">
      <c r="A1988" s="9">
        <v>4343467.9499999899</v>
      </c>
    </row>
    <row r="1989" spans="1:1" x14ac:dyDescent="0.25">
      <c r="A1989" s="9">
        <v>2336059.91</v>
      </c>
    </row>
    <row r="1990" spans="1:1" x14ac:dyDescent="0.25">
      <c r="A1990" s="9">
        <v>25230856.510000002</v>
      </c>
    </row>
    <row r="1991" spans="1:1" x14ac:dyDescent="0.25">
      <c r="A1991" s="9">
        <v>1227893.33</v>
      </c>
    </row>
    <row r="1992" spans="1:1" x14ac:dyDescent="0.25">
      <c r="A1992" s="9">
        <v>3347531.28</v>
      </c>
    </row>
    <row r="1993" spans="1:1" x14ac:dyDescent="0.25">
      <c r="A1993" s="9">
        <v>8080176.1999999899</v>
      </c>
    </row>
    <row r="1994" spans="1:1" x14ac:dyDescent="0.25">
      <c r="A1994" s="9">
        <v>5155419.46</v>
      </c>
    </row>
    <row r="1995" spans="1:1" x14ac:dyDescent="0.25">
      <c r="A1995" s="9">
        <v>259798.08</v>
      </c>
    </row>
    <row r="1996" spans="1:1" x14ac:dyDescent="0.25">
      <c r="A1996" s="9">
        <v>99811.08</v>
      </c>
    </row>
    <row r="1997" spans="1:1" x14ac:dyDescent="0.25">
      <c r="A1997" s="9">
        <v>5256863.42</v>
      </c>
    </row>
    <row r="1998" spans="1:1" x14ac:dyDescent="0.25">
      <c r="A1998" s="9">
        <v>8174828.5499999998</v>
      </c>
    </row>
    <row r="1999" spans="1:1" x14ac:dyDescent="0.25">
      <c r="A1999" s="9">
        <v>3812573.83</v>
      </c>
    </row>
    <row r="2000" spans="1:1" x14ac:dyDescent="0.25">
      <c r="A2000" s="9">
        <v>7143392.2199999997</v>
      </c>
    </row>
    <row r="2001" spans="1:1" x14ac:dyDescent="0.25">
      <c r="A2001" s="9">
        <v>3383059.52</v>
      </c>
    </row>
    <row r="2002" spans="1:1" x14ac:dyDescent="0.25">
      <c r="A2002">
        <v>0</v>
      </c>
    </row>
    <row r="2003" spans="1:1" x14ac:dyDescent="0.25">
      <c r="A2003" s="9">
        <v>7111251.46</v>
      </c>
    </row>
    <row r="2004" spans="1:1" x14ac:dyDescent="0.25">
      <c r="A2004">
        <v>0</v>
      </c>
    </row>
    <row r="2005" spans="1:1" x14ac:dyDescent="0.25">
      <c r="A2005" s="9">
        <v>44828274.130000003</v>
      </c>
    </row>
    <row r="2006" spans="1:1" x14ac:dyDescent="0.25">
      <c r="A2006" s="9">
        <v>2936011.15</v>
      </c>
    </row>
    <row r="2007" spans="1:1" x14ac:dyDescent="0.25">
      <c r="A2007">
        <v>0</v>
      </c>
    </row>
    <row r="2008" spans="1:1" x14ac:dyDescent="0.25">
      <c r="A2008" s="9">
        <v>3147199.64</v>
      </c>
    </row>
    <row r="2009" spans="1:1" x14ac:dyDescent="0.25">
      <c r="A2009" s="9">
        <v>2431314.34</v>
      </c>
    </row>
    <row r="2010" spans="1:1" x14ac:dyDescent="0.25">
      <c r="A2010" s="9">
        <v>61946539.020000003</v>
      </c>
    </row>
    <row r="2011" spans="1:1" x14ac:dyDescent="0.25">
      <c r="A2011" s="9">
        <v>283331.95</v>
      </c>
    </row>
    <row r="2012" spans="1:1" x14ac:dyDescent="0.25">
      <c r="A2012" s="9">
        <v>510816.64</v>
      </c>
    </row>
    <row r="2013" spans="1:1" x14ac:dyDescent="0.25">
      <c r="A2013" s="9">
        <v>291866.28999999998</v>
      </c>
    </row>
    <row r="2014" spans="1:1" x14ac:dyDescent="0.25">
      <c r="A2014" s="9">
        <v>3204915.77</v>
      </c>
    </row>
    <row r="2015" spans="1:1" x14ac:dyDescent="0.25">
      <c r="A2015">
        <v>0</v>
      </c>
    </row>
    <row r="2016" spans="1:1" x14ac:dyDescent="0.25">
      <c r="A2016" s="9">
        <v>76927.399999999907</v>
      </c>
    </row>
    <row r="2017" spans="1:1" x14ac:dyDescent="0.25">
      <c r="A2017">
        <v>0</v>
      </c>
    </row>
    <row r="2018" spans="1:1" x14ac:dyDescent="0.25">
      <c r="A2018" s="9">
        <v>9771709.5399999991</v>
      </c>
    </row>
    <row r="2019" spans="1:1" x14ac:dyDescent="0.25">
      <c r="A2019" s="9">
        <v>14262154.66</v>
      </c>
    </row>
    <row r="2020" spans="1:1" x14ac:dyDescent="0.25">
      <c r="A2020" s="9">
        <v>6593961.3700000001</v>
      </c>
    </row>
    <row r="2021" spans="1:1" x14ac:dyDescent="0.25">
      <c r="A2021">
        <v>0</v>
      </c>
    </row>
    <row r="2022" spans="1:1" x14ac:dyDescent="0.25">
      <c r="A2022" s="9">
        <v>446702.05</v>
      </c>
    </row>
    <row r="2023" spans="1:1" x14ac:dyDescent="0.25">
      <c r="A2023" s="9">
        <v>5114680.2699999996</v>
      </c>
    </row>
    <row r="2024" spans="1:1" x14ac:dyDescent="0.25">
      <c r="A2024" s="9">
        <v>12557858.99</v>
      </c>
    </row>
    <row r="2025" spans="1:1" x14ac:dyDescent="0.25">
      <c r="A2025" s="9">
        <v>1508651.89</v>
      </c>
    </row>
    <row r="2026" spans="1:1" x14ac:dyDescent="0.25">
      <c r="A2026" s="9">
        <v>433883.12</v>
      </c>
    </row>
    <row r="2027" spans="1:1" x14ac:dyDescent="0.25">
      <c r="A2027" s="9">
        <v>571830.07999999996</v>
      </c>
    </row>
    <row r="2028" spans="1:1" x14ac:dyDescent="0.25">
      <c r="A2028" s="9">
        <v>293174.92</v>
      </c>
    </row>
    <row r="2029" spans="1:1" x14ac:dyDescent="0.25">
      <c r="A2029" s="9">
        <v>211261.66</v>
      </c>
    </row>
    <row r="2030" spans="1:1" x14ac:dyDescent="0.25">
      <c r="A2030">
        <v>0</v>
      </c>
    </row>
    <row r="2031" spans="1:1" x14ac:dyDescent="0.25">
      <c r="A2031" s="9">
        <v>314832.24</v>
      </c>
    </row>
    <row r="2032" spans="1:1" x14ac:dyDescent="0.25">
      <c r="A2032" s="9">
        <v>20308110.239999998</v>
      </c>
    </row>
    <row r="2033" spans="1:1" x14ac:dyDescent="0.25">
      <c r="A2033" s="9">
        <v>4449127.92</v>
      </c>
    </row>
    <row r="2034" spans="1:1" x14ac:dyDescent="0.25">
      <c r="A2034" s="9">
        <v>2602606.73</v>
      </c>
    </row>
    <row r="2035" spans="1:1" x14ac:dyDescent="0.25">
      <c r="A2035" s="9">
        <v>11392968.02</v>
      </c>
    </row>
    <row r="2036" spans="1:1" x14ac:dyDescent="0.25">
      <c r="A2036" s="9">
        <v>1775541.35</v>
      </c>
    </row>
    <row r="2037" spans="1:1" x14ac:dyDescent="0.25">
      <c r="A2037" s="9">
        <v>1134690.82</v>
      </c>
    </row>
    <row r="2038" spans="1:1" x14ac:dyDescent="0.25">
      <c r="A2038" s="9">
        <v>5116069.49</v>
      </c>
    </row>
    <row r="2039" spans="1:1" x14ac:dyDescent="0.25">
      <c r="A2039">
        <v>0</v>
      </c>
    </row>
    <row r="2040" spans="1:1" x14ac:dyDescent="0.25">
      <c r="A2040" s="9">
        <v>23492007.75</v>
      </c>
    </row>
    <row r="2041" spans="1:1" x14ac:dyDescent="0.25">
      <c r="A2041" s="9">
        <v>5584957.8899999997</v>
      </c>
    </row>
    <row r="2042" spans="1:1" x14ac:dyDescent="0.25">
      <c r="A2042" s="9">
        <v>9386200.0800000001</v>
      </c>
    </row>
    <row r="2043" spans="1:1" x14ac:dyDescent="0.25">
      <c r="A2043" s="9">
        <v>11378890.300000001</v>
      </c>
    </row>
    <row r="2044" spans="1:1" x14ac:dyDescent="0.25">
      <c r="A2044" s="9">
        <v>4120491.88</v>
      </c>
    </row>
    <row r="2045" spans="1:1" x14ac:dyDescent="0.25">
      <c r="A2045">
        <v>0</v>
      </c>
    </row>
    <row r="2046" spans="1:1" x14ac:dyDescent="0.25">
      <c r="A2046">
        <v>0</v>
      </c>
    </row>
    <row r="2047" spans="1:1" x14ac:dyDescent="0.25">
      <c r="A2047" s="9">
        <v>7901874.9199999999</v>
      </c>
    </row>
    <row r="2048" spans="1:1" x14ac:dyDescent="0.25">
      <c r="A2048" s="9">
        <v>742850.81</v>
      </c>
    </row>
    <row r="2049" spans="1:1" x14ac:dyDescent="0.25">
      <c r="A2049" s="9">
        <v>6898247.8799999999</v>
      </c>
    </row>
    <row r="2050" spans="1:1" x14ac:dyDescent="0.25">
      <c r="A2050">
        <v>0</v>
      </c>
    </row>
    <row r="2051" spans="1:1" x14ac:dyDescent="0.25">
      <c r="A2051" s="9">
        <v>3341506.11</v>
      </c>
    </row>
    <row r="2052" spans="1:1" x14ac:dyDescent="0.25">
      <c r="A2052" s="9">
        <v>10711940.1</v>
      </c>
    </row>
    <row r="2053" spans="1:1" x14ac:dyDescent="0.25">
      <c r="A2053" s="9">
        <v>6669575.6600000001</v>
      </c>
    </row>
    <row r="2054" spans="1:1" x14ac:dyDescent="0.25">
      <c r="A2054" s="9">
        <v>457838.1</v>
      </c>
    </row>
    <row r="2055" spans="1:1" x14ac:dyDescent="0.25">
      <c r="A2055" s="9">
        <v>1888011.58</v>
      </c>
    </row>
    <row r="2056" spans="1:1" x14ac:dyDescent="0.25">
      <c r="A2056">
        <v>0</v>
      </c>
    </row>
    <row r="2057" spans="1:1" x14ac:dyDescent="0.25">
      <c r="A2057" s="9">
        <v>3317631.52</v>
      </c>
    </row>
    <row r="2058" spans="1:1" x14ac:dyDescent="0.25">
      <c r="A2058" s="9">
        <v>27294551.699999999</v>
      </c>
    </row>
    <row r="2059" spans="1:1" x14ac:dyDescent="0.25">
      <c r="A2059">
        <v>0</v>
      </c>
    </row>
    <row r="2060" spans="1:1" x14ac:dyDescent="0.25">
      <c r="A2060" s="9">
        <v>473249.24</v>
      </c>
    </row>
    <row r="2061" spans="1:1" x14ac:dyDescent="0.25">
      <c r="A2061" s="9">
        <v>11491827.6</v>
      </c>
    </row>
    <row r="2062" spans="1:1" x14ac:dyDescent="0.25">
      <c r="A2062" s="9">
        <v>156727.75</v>
      </c>
    </row>
    <row r="2063" spans="1:1" x14ac:dyDescent="0.25">
      <c r="A2063">
        <v>62646</v>
      </c>
    </row>
    <row r="2064" spans="1:1" x14ac:dyDescent="0.25">
      <c r="A2064" s="9">
        <v>13960507.66</v>
      </c>
    </row>
    <row r="2065" spans="1:1" x14ac:dyDescent="0.25">
      <c r="A2065">
        <v>0</v>
      </c>
    </row>
    <row r="2066" spans="1:1" x14ac:dyDescent="0.25">
      <c r="A2066" s="9">
        <v>13322508.300000001</v>
      </c>
    </row>
    <row r="2067" spans="1:1" x14ac:dyDescent="0.25">
      <c r="A2067" s="9">
        <v>2262925.8199999998</v>
      </c>
    </row>
    <row r="2068" spans="1:1" x14ac:dyDescent="0.25">
      <c r="A2068" s="9">
        <v>29336409.710000001</v>
      </c>
    </row>
    <row r="2069" spans="1:1" x14ac:dyDescent="0.25">
      <c r="A2069" s="9">
        <v>692414.18999999901</v>
      </c>
    </row>
    <row r="2070" spans="1:1" x14ac:dyDescent="0.25">
      <c r="A2070" s="9">
        <v>6802680.25</v>
      </c>
    </row>
    <row r="2071" spans="1:1" x14ac:dyDescent="0.25">
      <c r="A2071" s="9">
        <v>23143880.23</v>
      </c>
    </row>
    <row r="2072" spans="1:1" x14ac:dyDescent="0.25">
      <c r="A2072" s="9">
        <v>107123.25</v>
      </c>
    </row>
    <row r="2073" spans="1:1" x14ac:dyDescent="0.25">
      <c r="A2073">
        <v>0</v>
      </c>
    </row>
    <row r="2074" spans="1:1" x14ac:dyDescent="0.25">
      <c r="A2074" s="9">
        <v>12477900.039999999</v>
      </c>
    </row>
    <row r="2075" spans="1:1" x14ac:dyDescent="0.25">
      <c r="A2075">
        <v>0</v>
      </c>
    </row>
    <row r="2076" spans="1:1" x14ac:dyDescent="0.25">
      <c r="A2076" s="9">
        <v>13210177.470000001</v>
      </c>
    </row>
    <row r="2077" spans="1:1" x14ac:dyDescent="0.25">
      <c r="A2077" s="9">
        <v>8966231.2100000009</v>
      </c>
    </row>
    <row r="2078" spans="1:1" x14ac:dyDescent="0.25">
      <c r="A2078" s="9">
        <v>14293208.74</v>
      </c>
    </row>
    <row r="2079" spans="1:1" x14ac:dyDescent="0.25">
      <c r="A2079" s="9">
        <v>9001086.8200000003</v>
      </c>
    </row>
    <row r="2080" spans="1:1" x14ac:dyDescent="0.25">
      <c r="A2080" s="9">
        <v>4512818.5999999996</v>
      </c>
    </row>
    <row r="2081" spans="1:1" x14ac:dyDescent="0.25">
      <c r="A2081" s="9">
        <v>55235.28</v>
      </c>
    </row>
    <row r="2082" spans="1:1" x14ac:dyDescent="0.25">
      <c r="A2082" s="9">
        <v>898551.23</v>
      </c>
    </row>
    <row r="2083" spans="1:1" x14ac:dyDescent="0.25">
      <c r="A2083" s="9">
        <v>4671018.28</v>
      </c>
    </row>
    <row r="2084" spans="1:1" x14ac:dyDescent="0.25">
      <c r="A2084">
        <v>11355669</v>
      </c>
    </row>
    <row r="2085" spans="1:1" x14ac:dyDescent="0.25">
      <c r="A2085">
        <v>0</v>
      </c>
    </row>
    <row r="2086" spans="1:1" x14ac:dyDescent="0.25">
      <c r="A2086" s="9">
        <v>67202302.870000005</v>
      </c>
    </row>
    <row r="2087" spans="1:1" x14ac:dyDescent="0.25">
      <c r="A2087" s="9">
        <v>16523288.92</v>
      </c>
    </row>
    <row r="2088" spans="1:1" x14ac:dyDescent="0.25">
      <c r="A2088" s="9">
        <v>38876683.409999996</v>
      </c>
    </row>
    <row r="2089" spans="1:1" x14ac:dyDescent="0.25">
      <c r="A2089" s="9">
        <v>280163.73</v>
      </c>
    </row>
    <row r="2090" spans="1:1" x14ac:dyDescent="0.25">
      <c r="A2090" s="9">
        <v>137493.4</v>
      </c>
    </row>
    <row r="2091" spans="1:1" x14ac:dyDescent="0.25">
      <c r="A2091" s="9">
        <v>140021.70000000001</v>
      </c>
    </row>
    <row r="2092" spans="1:1" x14ac:dyDescent="0.25">
      <c r="A2092" s="9">
        <v>15516481.289999999</v>
      </c>
    </row>
    <row r="2093" spans="1:1" x14ac:dyDescent="0.25">
      <c r="A2093" s="9">
        <v>19970943.129999999</v>
      </c>
    </row>
    <row r="2094" spans="1:1" x14ac:dyDescent="0.25">
      <c r="A2094" s="9">
        <v>12095541.23</v>
      </c>
    </row>
    <row r="2095" spans="1:1" x14ac:dyDescent="0.25">
      <c r="A2095" s="9">
        <v>20838260.379999999</v>
      </c>
    </row>
    <row r="2096" spans="1:1" x14ac:dyDescent="0.25">
      <c r="A2096" s="9">
        <v>2962402.08</v>
      </c>
    </row>
    <row r="2097" spans="1:1" x14ac:dyDescent="0.25">
      <c r="A2097" s="9">
        <v>2964451.14</v>
      </c>
    </row>
    <row r="2098" spans="1:1" x14ac:dyDescent="0.25">
      <c r="A2098" s="9">
        <v>11291785.9</v>
      </c>
    </row>
    <row r="2099" spans="1:1" x14ac:dyDescent="0.25">
      <c r="A2099" s="9">
        <v>70679492.629999995</v>
      </c>
    </row>
    <row r="2100" spans="1:1" x14ac:dyDescent="0.25">
      <c r="A2100" s="9">
        <v>529389.07999999996</v>
      </c>
    </row>
    <row r="2101" spans="1:1" x14ac:dyDescent="0.25">
      <c r="A2101" s="9">
        <v>3987609.64</v>
      </c>
    </row>
    <row r="2102" spans="1:1" x14ac:dyDescent="0.25">
      <c r="A2102" s="9">
        <v>990102.46</v>
      </c>
    </row>
    <row r="2103" spans="1:1" x14ac:dyDescent="0.25">
      <c r="A2103" s="9">
        <v>9822339.5500000007</v>
      </c>
    </row>
    <row r="2104" spans="1:1" x14ac:dyDescent="0.25">
      <c r="A2104" s="9">
        <v>10832908.43</v>
      </c>
    </row>
    <row r="2105" spans="1:1" x14ac:dyDescent="0.25">
      <c r="A2105" s="9">
        <v>1414275.2</v>
      </c>
    </row>
    <row r="2106" spans="1:1" x14ac:dyDescent="0.25">
      <c r="A2106" s="9">
        <v>2864839.11</v>
      </c>
    </row>
    <row r="2107" spans="1:1" x14ac:dyDescent="0.25">
      <c r="A2107" s="9">
        <v>536870.82999999996</v>
      </c>
    </row>
    <row r="2108" spans="1:1" x14ac:dyDescent="0.25">
      <c r="A2108">
        <v>0</v>
      </c>
    </row>
    <row r="2109" spans="1:1" x14ac:dyDescent="0.25">
      <c r="A2109" s="9">
        <v>25433844.579999998</v>
      </c>
    </row>
    <row r="2110" spans="1:1" x14ac:dyDescent="0.25">
      <c r="A2110" s="9">
        <v>3357376.34</v>
      </c>
    </row>
    <row r="2111" spans="1:1" x14ac:dyDescent="0.25">
      <c r="A2111" s="9">
        <v>39083568.75</v>
      </c>
    </row>
    <row r="2112" spans="1:1" x14ac:dyDescent="0.25">
      <c r="A2112" s="9">
        <v>12711465.99</v>
      </c>
    </row>
    <row r="2113" spans="1:1" x14ac:dyDescent="0.25">
      <c r="A2113" s="9">
        <v>33895251.969999999</v>
      </c>
    </row>
    <row r="2114" spans="1:1" x14ac:dyDescent="0.25">
      <c r="A2114" s="9">
        <v>8910286.8499999996</v>
      </c>
    </row>
    <row r="2115" spans="1:1" x14ac:dyDescent="0.25">
      <c r="A2115">
        <v>0</v>
      </c>
    </row>
    <row r="2116" spans="1:1" x14ac:dyDescent="0.25">
      <c r="A2116">
        <v>0</v>
      </c>
    </row>
    <row r="2117" spans="1:1" x14ac:dyDescent="0.25">
      <c r="A2117" s="9">
        <v>2593210.2999999998</v>
      </c>
    </row>
    <row r="2118" spans="1:1" x14ac:dyDescent="0.25">
      <c r="A2118" s="9">
        <v>5986003.2699999996</v>
      </c>
    </row>
    <row r="2119" spans="1:1" x14ac:dyDescent="0.25">
      <c r="A2119" s="9">
        <v>3615836.17</v>
      </c>
    </row>
    <row r="2120" spans="1:1" x14ac:dyDescent="0.25">
      <c r="A2120" s="9">
        <v>4333792.6100000003</v>
      </c>
    </row>
    <row r="2121" spans="1:1" x14ac:dyDescent="0.25">
      <c r="A2121" s="9">
        <v>4507779.25</v>
      </c>
    </row>
    <row r="2122" spans="1:1" x14ac:dyDescent="0.25">
      <c r="A2122" s="9">
        <v>338773.52</v>
      </c>
    </row>
    <row r="2123" spans="1:1" x14ac:dyDescent="0.25">
      <c r="A2123">
        <v>0</v>
      </c>
    </row>
    <row r="2124" spans="1:1" x14ac:dyDescent="0.25">
      <c r="A2124" s="9">
        <v>151877.25</v>
      </c>
    </row>
    <row r="2125" spans="1:1" x14ac:dyDescent="0.25">
      <c r="A2125" s="9">
        <v>84818.94</v>
      </c>
    </row>
    <row r="2126" spans="1:1" x14ac:dyDescent="0.25">
      <c r="A2126">
        <v>964057</v>
      </c>
    </row>
    <row r="2127" spans="1:1" x14ac:dyDescent="0.25">
      <c r="A2127" s="9">
        <v>5055026.33</v>
      </c>
    </row>
    <row r="2128" spans="1:1" x14ac:dyDescent="0.25">
      <c r="A2128" s="9">
        <v>5721723.4500000002</v>
      </c>
    </row>
    <row r="2129" spans="1:1" x14ac:dyDescent="0.25">
      <c r="A2129" s="9">
        <v>7914529.5199999996</v>
      </c>
    </row>
    <row r="2130" spans="1:1" x14ac:dyDescent="0.25">
      <c r="A2130" s="9">
        <v>3727555.2</v>
      </c>
    </row>
    <row r="2131" spans="1:1" x14ac:dyDescent="0.25">
      <c r="A2131" s="9">
        <v>13610871.01</v>
      </c>
    </row>
    <row r="2132" spans="1:1" x14ac:dyDescent="0.25">
      <c r="A2132" s="9">
        <v>756184.88</v>
      </c>
    </row>
    <row r="2133" spans="1:1" x14ac:dyDescent="0.25">
      <c r="A2133" s="9">
        <v>2749216.6299999901</v>
      </c>
    </row>
    <row r="2134" spans="1:1" x14ac:dyDescent="0.25">
      <c r="A2134" s="9">
        <v>3308764.09</v>
      </c>
    </row>
    <row r="2135" spans="1:1" x14ac:dyDescent="0.25">
      <c r="A2135" s="9">
        <v>607640.43000000005</v>
      </c>
    </row>
    <row r="2136" spans="1:1" x14ac:dyDescent="0.25">
      <c r="A2136" s="9">
        <v>393861.3</v>
      </c>
    </row>
    <row r="2137" spans="1:1" x14ac:dyDescent="0.25">
      <c r="A2137" s="9">
        <v>6911908.6799999997</v>
      </c>
    </row>
    <row r="2138" spans="1:1" x14ac:dyDescent="0.25">
      <c r="A2138" s="9">
        <v>521839.85</v>
      </c>
    </row>
    <row r="2139" spans="1:1" x14ac:dyDescent="0.25">
      <c r="A2139" s="9">
        <v>22383170.68</v>
      </c>
    </row>
    <row r="2140" spans="1:1" x14ac:dyDescent="0.25">
      <c r="A2140" s="9">
        <v>16851994.920000002</v>
      </c>
    </row>
    <row r="2141" spans="1:1" x14ac:dyDescent="0.25">
      <c r="A2141" s="9">
        <v>886620.19</v>
      </c>
    </row>
    <row r="2142" spans="1:1" x14ac:dyDescent="0.25">
      <c r="A2142" s="9">
        <v>36053.82</v>
      </c>
    </row>
    <row r="2143" spans="1:1" x14ac:dyDescent="0.25">
      <c r="A2143" s="9">
        <v>9716454.2699999996</v>
      </c>
    </row>
    <row r="2144" spans="1:1" x14ac:dyDescent="0.25">
      <c r="A2144" s="9">
        <v>2619376.5099999998</v>
      </c>
    </row>
    <row r="2145" spans="1:1" x14ac:dyDescent="0.25">
      <c r="A2145" s="9">
        <v>1327332.6000000001</v>
      </c>
    </row>
    <row r="2146" spans="1:1" x14ac:dyDescent="0.25">
      <c r="A2146" s="9">
        <v>82988.849999999904</v>
      </c>
    </row>
    <row r="2147" spans="1:1" x14ac:dyDescent="0.25">
      <c r="A2147" s="9">
        <v>3212412.19</v>
      </c>
    </row>
    <row r="2148" spans="1:1" x14ac:dyDescent="0.25">
      <c r="A2148">
        <v>0</v>
      </c>
    </row>
    <row r="2149" spans="1:1" x14ac:dyDescent="0.25">
      <c r="A2149">
        <v>0</v>
      </c>
    </row>
    <row r="2150" spans="1:1" x14ac:dyDescent="0.25">
      <c r="A2150" s="9">
        <v>266546.18</v>
      </c>
    </row>
    <row r="2151" spans="1:1" x14ac:dyDescent="0.25">
      <c r="A2151">
        <v>0</v>
      </c>
    </row>
    <row r="2152" spans="1:1" x14ac:dyDescent="0.25">
      <c r="A2152" s="9">
        <v>50549940.409999996</v>
      </c>
    </row>
    <row r="2153" spans="1:1" x14ac:dyDescent="0.25">
      <c r="A2153" s="9">
        <v>9407729.3200000003</v>
      </c>
    </row>
    <row r="2154" spans="1:1" x14ac:dyDescent="0.25">
      <c r="A2154">
        <v>0</v>
      </c>
    </row>
    <row r="2155" spans="1:1" x14ac:dyDescent="0.25">
      <c r="A2155">
        <v>0</v>
      </c>
    </row>
    <row r="2156" spans="1:1" x14ac:dyDescent="0.25">
      <c r="A2156">
        <v>0</v>
      </c>
    </row>
    <row r="2157" spans="1:1" x14ac:dyDescent="0.25">
      <c r="A2157" s="9">
        <v>4480509.07</v>
      </c>
    </row>
    <row r="2158" spans="1:1" x14ac:dyDescent="0.25">
      <c r="A2158" s="9">
        <v>6587983.0099999998</v>
      </c>
    </row>
    <row r="2159" spans="1:1" x14ac:dyDescent="0.25">
      <c r="A2159" s="9">
        <v>1581256.92</v>
      </c>
    </row>
    <row r="2160" spans="1:1" x14ac:dyDescent="0.25">
      <c r="A2160" s="9">
        <v>14925285.140000001</v>
      </c>
    </row>
    <row r="2161" spans="1:1" x14ac:dyDescent="0.25">
      <c r="A2161" s="9">
        <v>2724462.1</v>
      </c>
    </row>
    <row r="2162" spans="1:1" x14ac:dyDescent="0.25">
      <c r="A2162">
        <v>0</v>
      </c>
    </row>
    <row r="2163" spans="1:1" x14ac:dyDescent="0.25">
      <c r="A2163" s="9">
        <v>4813120.45</v>
      </c>
    </row>
    <row r="2164" spans="1:1" x14ac:dyDescent="0.25">
      <c r="A2164" s="9">
        <v>35714.1</v>
      </c>
    </row>
    <row r="2165" spans="1:1" x14ac:dyDescent="0.25">
      <c r="A2165">
        <v>0</v>
      </c>
    </row>
    <row r="2166" spans="1:1" x14ac:dyDescent="0.25">
      <c r="A2166" s="9">
        <v>20608423.109999999</v>
      </c>
    </row>
    <row r="2167" spans="1:1" x14ac:dyDescent="0.25">
      <c r="A2167" s="9">
        <v>3121087.68</v>
      </c>
    </row>
    <row r="2168" spans="1:1" x14ac:dyDescent="0.25">
      <c r="A2168">
        <v>0</v>
      </c>
    </row>
    <row r="2169" spans="1:1" x14ac:dyDescent="0.25">
      <c r="A2169" s="9">
        <v>5675737.54</v>
      </c>
    </row>
    <row r="2170" spans="1:1" x14ac:dyDescent="0.25">
      <c r="A2170" s="9">
        <v>137493.4</v>
      </c>
    </row>
    <row r="2171" spans="1:1" x14ac:dyDescent="0.25">
      <c r="A2171" s="9">
        <v>115484.46</v>
      </c>
    </row>
    <row r="2172" spans="1:1" x14ac:dyDescent="0.25">
      <c r="A2172">
        <v>0</v>
      </c>
    </row>
    <row r="2173" spans="1:1" x14ac:dyDescent="0.25">
      <c r="A2173" s="9">
        <v>7440624.04</v>
      </c>
    </row>
    <row r="2174" spans="1:1" x14ac:dyDescent="0.25">
      <c r="A2174" s="9">
        <v>28613668.800000001</v>
      </c>
    </row>
    <row r="2175" spans="1:1" x14ac:dyDescent="0.25">
      <c r="A2175" s="9">
        <v>346745.04</v>
      </c>
    </row>
    <row r="2176" spans="1:1" x14ac:dyDescent="0.25">
      <c r="A2176" s="9">
        <v>6014769.6600000001</v>
      </c>
    </row>
    <row r="2177" spans="1:1" x14ac:dyDescent="0.25">
      <c r="A2177" s="9">
        <v>386334.62</v>
      </c>
    </row>
    <row r="2178" spans="1:1" x14ac:dyDescent="0.25">
      <c r="A2178" s="9">
        <v>9601689.5800000001</v>
      </c>
    </row>
    <row r="2179" spans="1:1" x14ac:dyDescent="0.25">
      <c r="A2179" s="9">
        <v>10986071.109999999</v>
      </c>
    </row>
    <row r="2180" spans="1:1" x14ac:dyDescent="0.25">
      <c r="A2180" s="9">
        <v>26754743.199999999</v>
      </c>
    </row>
    <row r="2181" spans="1:1" x14ac:dyDescent="0.25">
      <c r="A2181" s="9">
        <v>12455767.529999999</v>
      </c>
    </row>
    <row r="2182" spans="1:1" x14ac:dyDescent="0.25">
      <c r="A2182" s="9">
        <v>206723.34</v>
      </c>
    </row>
    <row r="2183" spans="1:1" x14ac:dyDescent="0.25">
      <c r="A2183" s="9">
        <v>230876.5</v>
      </c>
    </row>
    <row r="2184" spans="1:1" x14ac:dyDescent="0.25">
      <c r="A2184" s="9">
        <v>7395050.8999999901</v>
      </c>
    </row>
    <row r="2185" spans="1:1" x14ac:dyDescent="0.25">
      <c r="A2185" s="9">
        <v>5092366.16</v>
      </c>
    </row>
    <row r="2186" spans="1:1" x14ac:dyDescent="0.25">
      <c r="A2186">
        <v>0</v>
      </c>
    </row>
    <row r="2187" spans="1:1" x14ac:dyDescent="0.25">
      <c r="A2187" s="9">
        <v>578262.30000000005</v>
      </c>
    </row>
    <row r="2188" spans="1:1" x14ac:dyDescent="0.25">
      <c r="A2188" s="9">
        <v>30078999.949999999</v>
      </c>
    </row>
    <row r="2189" spans="1:1" x14ac:dyDescent="0.25">
      <c r="A2189" s="9">
        <v>65788.36</v>
      </c>
    </row>
    <row r="2190" spans="1:1" x14ac:dyDescent="0.25">
      <c r="A2190">
        <v>0</v>
      </c>
    </row>
    <row r="2191" spans="1:1" x14ac:dyDescent="0.25">
      <c r="A2191">
        <v>0</v>
      </c>
    </row>
    <row r="2192" spans="1:1" x14ac:dyDescent="0.25">
      <c r="A2192" s="9">
        <v>281202.02</v>
      </c>
    </row>
    <row r="2193" spans="1:1" x14ac:dyDescent="0.25">
      <c r="A2193">
        <v>0</v>
      </c>
    </row>
    <row r="2194" spans="1:1" x14ac:dyDescent="0.25">
      <c r="A2194" s="9">
        <v>482565.9</v>
      </c>
    </row>
    <row r="2195" spans="1:1" x14ac:dyDescent="0.25">
      <c r="A2195" s="9">
        <v>9447652.6600000001</v>
      </c>
    </row>
    <row r="2196" spans="1:1" x14ac:dyDescent="0.25">
      <c r="A2196" s="9">
        <v>47829.8</v>
      </c>
    </row>
    <row r="2197" spans="1:1" x14ac:dyDescent="0.25">
      <c r="A2197" s="9">
        <v>235203.09</v>
      </c>
    </row>
    <row r="2198" spans="1:1" x14ac:dyDescent="0.25">
      <c r="A2198" s="9">
        <v>646852.5</v>
      </c>
    </row>
    <row r="2199" spans="1:1" x14ac:dyDescent="0.25">
      <c r="A2199" s="9">
        <v>2513700.37</v>
      </c>
    </row>
    <row r="2200" spans="1:1" x14ac:dyDescent="0.25">
      <c r="A2200" s="9">
        <v>337782.3</v>
      </c>
    </row>
    <row r="2201" spans="1:1" x14ac:dyDescent="0.25">
      <c r="A2201">
        <v>0</v>
      </c>
    </row>
    <row r="2202" spans="1:1" x14ac:dyDescent="0.25">
      <c r="A2202" s="9">
        <v>267307.82</v>
      </c>
    </row>
    <row r="2203" spans="1:1" x14ac:dyDescent="0.25">
      <c r="A2203" s="9">
        <v>7416929.7599999998</v>
      </c>
    </row>
    <row r="2204" spans="1:1" x14ac:dyDescent="0.25">
      <c r="A2204">
        <v>0</v>
      </c>
    </row>
    <row r="2205" spans="1:1" x14ac:dyDescent="0.25">
      <c r="A2205" s="9">
        <v>38993.599999999999</v>
      </c>
    </row>
    <row r="2206" spans="1:1" x14ac:dyDescent="0.25">
      <c r="A2206" s="9">
        <v>3520244.96</v>
      </c>
    </row>
    <row r="2207" spans="1:1" x14ac:dyDescent="0.25">
      <c r="A2207" s="9">
        <v>123823.33</v>
      </c>
    </row>
    <row r="2208" spans="1:1" x14ac:dyDescent="0.25">
      <c r="A2208" s="9">
        <v>341277.23</v>
      </c>
    </row>
    <row r="2209" spans="1:1" x14ac:dyDescent="0.25">
      <c r="A2209">
        <v>0</v>
      </c>
    </row>
    <row r="2210" spans="1:1" x14ac:dyDescent="0.25">
      <c r="A2210" s="9">
        <v>8570941.7599999998</v>
      </c>
    </row>
    <row r="2211" spans="1:1" x14ac:dyDescent="0.25">
      <c r="A2211" s="9">
        <v>7655048.8200000003</v>
      </c>
    </row>
    <row r="2212" spans="1:1" x14ac:dyDescent="0.25">
      <c r="A2212" s="9">
        <v>12298946.050000001</v>
      </c>
    </row>
    <row r="2213" spans="1:1" x14ac:dyDescent="0.25">
      <c r="A2213" s="9">
        <v>3684501.21</v>
      </c>
    </row>
    <row r="2214" spans="1:1" x14ac:dyDescent="0.25">
      <c r="A2214" s="9">
        <v>2185211.9900000002</v>
      </c>
    </row>
    <row r="2215" spans="1:1" x14ac:dyDescent="0.25">
      <c r="A2215" s="9">
        <v>16882937.84</v>
      </c>
    </row>
    <row r="2216" spans="1:1" x14ac:dyDescent="0.25">
      <c r="A2216">
        <v>0</v>
      </c>
    </row>
    <row r="2217" spans="1:1" x14ac:dyDescent="0.25">
      <c r="A2217">
        <v>0</v>
      </c>
    </row>
    <row r="2218" spans="1:1" x14ac:dyDescent="0.25">
      <c r="A2218" s="9">
        <v>264755.08</v>
      </c>
    </row>
    <row r="2219" spans="1:1" x14ac:dyDescent="0.25">
      <c r="A2219" s="9">
        <v>2721357.73</v>
      </c>
    </row>
    <row r="2220" spans="1:1" x14ac:dyDescent="0.25">
      <c r="A2220" s="9">
        <v>5114563.79</v>
      </c>
    </row>
    <row r="2221" spans="1:1" x14ac:dyDescent="0.25">
      <c r="A2221" s="9">
        <v>143862.6</v>
      </c>
    </row>
    <row r="2222" spans="1:1" x14ac:dyDescent="0.25">
      <c r="A2222" s="9">
        <v>656759.64999999898</v>
      </c>
    </row>
    <row r="2223" spans="1:1" x14ac:dyDescent="0.25">
      <c r="A2223" s="9">
        <v>6891981.5599999996</v>
      </c>
    </row>
    <row r="2224" spans="1:1" x14ac:dyDescent="0.25">
      <c r="A2224">
        <v>0</v>
      </c>
    </row>
    <row r="2225" spans="1:1" x14ac:dyDescent="0.25">
      <c r="A2225">
        <v>0</v>
      </c>
    </row>
    <row r="2226" spans="1:1" x14ac:dyDescent="0.25">
      <c r="A2226" s="9">
        <v>431960.52</v>
      </c>
    </row>
    <row r="2227" spans="1:1" x14ac:dyDescent="0.25">
      <c r="A2227" s="9">
        <v>5630121.5599999996</v>
      </c>
    </row>
    <row r="2228" spans="1:1" x14ac:dyDescent="0.25">
      <c r="A2228" s="9">
        <v>913401.53</v>
      </c>
    </row>
    <row r="2229" spans="1:1" x14ac:dyDescent="0.25">
      <c r="A2229" s="9">
        <v>1537607.75</v>
      </c>
    </row>
    <row r="2230" spans="1:1" x14ac:dyDescent="0.25">
      <c r="A2230">
        <v>0</v>
      </c>
    </row>
    <row r="2231" spans="1:1" x14ac:dyDescent="0.25">
      <c r="A2231" s="9">
        <v>756438.6</v>
      </c>
    </row>
    <row r="2232" spans="1:1" x14ac:dyDescent="0.25">
      <c r="A2232" s="9">
        <v>1817044.62</v>
      </c>
    </row>
    <row r="2233" spans="1:1" x14ac:dyDescent="0.25">
      <c r="A2233" s="9">
        <v>2325567.13</v>
      </c>
    </row>
    <row r="2234" spans="1:1" x14ac:dyDescent="0.25">
      <c r="A2234" s="9">
        <v>36875008.130000003</v>
      </c>
    </row>
    <row r="2235" spans="1:1" x14ac:dyDescent="0.25">
      <c r="A2235" s="9">
        <v>348921.9</v>
      </c>
    </row>
    <row r="2236" spans="1:1" x14ac:dyDescent="0.25">
      <c r="A2236" s="9">
        <v>5446124.7999999998</v>
      </c>
    </row>
    <row r="2237" spans="1:1" x14ac:dyDescent="0.25">
      <c r="A2237" s="9">
        <v>2140132.8199999998</v>
      </c>
    </row>
    <row r="2238" spans="1:1" x14ac:dyDescent="0.25">
      <c r="A2238" s="9">
        <v>675386.86</v>
      </c>
    </row>
    <row r="2239" spans="1:1" x14ac:dyDescent="0.25">
      <c r="A2239" s="9">
        <v>1103718.1399999999</v>
      </c>
    </row>
    <row r="2240" spans="1:1" x14ac:dyDescent="0.25">
      <c r="A2240">
        <v>0</v>
      </c>
    </row>
    <row r="2241" spans="1:1" x14ac:dyDescent="0.25">
      <c r="A2241" s="9">
        <v>19157592.460000001</v>
      </c>
    </row>
    <row r="2242" spans="1:1" x14ac:dyDescent="0.25">
      <c r="A2242" s="9">
        <v>1664476.35</v>
      </c>
    </row>
    <row r="2243" spans="1:1" x14ac:dyDescent="0.25">
      <c r="A2243" s="9">
        <v>7897526.2999999998</v>
      </c>
    </row>
    <row r="2244" spans="1:1" x14ac:dyDescent="0.25">
      <c r="A2244" s="9">
        <v>12492432.27</v>
      </c>
    </row>
    <row r="2245" spans="1:1" x14ac:dyDescent="0.25">
      <c r="A2245" s="9">
        <v>2142406.91</v>
      </c>
    </row>
    <row r="2246" spans="1:1" x14ac:dyDescent="0.25">
      <c r="A2246" s="9">
        <v>8282886.4900000002</v>
      </c>
    </row>
    <row r="2247" spans="1:1" x14ac:dyDescent="0.25">
      <c r="A2247" s="9">
        <v>507079.45</v>
      </c>
    </row>
    <row r="2248" spans="1:1" x14ac:dyDescent="0.25">
      <c r="A2248" s="9">
        <v>437122.65</v>
      </c>
    </row>
    <row r="2249" spans="1:1" x14ac:dyDescent="0.25">
      <c r="A2249" s="9">
        <v>221295.23</v>
      </c>
    </row>
    <row r="2250" spans="1:1" x14ac:dyDescent="0.25">
      <c r="A2250" s="9">
        <v>5598216.3499999996</v>
      </c>
    </row>
    <row r="2251" spans="1:1" x14ac:dyDescent="0.25">
      <c r="A2251">
        <v>0</v>
      </c>
    </row>
    <row r="2252" spans="1:1" x14ac:dyDescent="0.25">
      <c r="A2252" s="9">
        <v>1174774.3999999999</v>
      </c>
    </row>
    <row r="2253" spans="1:1" x14ac:dyDescent="0.25">
      <c r="A2253" s="9">
        <v>4397139.92</v>
      </c>
    </row>
    <row r="2254" spans="1:1" x14ac:dyDescent="0.25">
      <c r="A2254" s="9">
        <v>1381062.88</v>
      </c>
    </row>
    <row r="2255" spans="1:1" x14ac:dyDescent="0.25">
      <c r="A2255">
        <v>0</v>
      </c>
    </row>
    <row r="2256" spans="1:1" x14ac:dyDescent="0.25">
      <c r="A2256" s="9">
        <v>2189719.65</v>
      </c>
    </row>
    <row r="2257" spans="1:1" x14ac:dyDescent="0.25">
      <c r="A2257" s="9">
        <v>33894233.890000001</v>
      </c>
    </row>
    <row r="2258" spans="1:1" x14ac:dyDescent="0.25">
      <c r="A2258" s="9">
        <v>1205919.6000000001</v>
      </c>
    </row>
    <row r="2259" spans="1:1" x14ac:dyDescent="0.25">
      <c r="A2259" s="9">
        <v>4021179.32</v>
      </c>
    </row>
    <row r="2260" spans="1:1" x14ac:dyDescent="0.25">
      <c r="A2260">
        <v>0</v>
      </c>
    </row>
    <row r="2261" spans="1:1" x14ac:dyDescent="0.25">
      <c r="A2261" s="9">
        <v>3139490.42</v>
      </c>
    </row>
    <row r="2262" spans="1:1" x14ac:dyDescent="0.25">
      <c r="A2262" s="9">
        <v>10508074.84</v>
      </c>
    </row>
    <row r="2263" spans="1:1" x14ac:dyDescent="0.25">
      <c r="A2263" s="9">
        <v>21135897.829999998</v>
      </c>
    </row>
    <row r="2264" spans="1:1" x14ac:dyDescent="0.25">
      <c r="A2264" s="9">
        <v>2404108.92</v>
      </c>
    </row>
    <row r="2265" spans="1:1" x14ac:dyDescent="0.25">
      <c r="A2265" s="9">
        <v>3500317.16</v>
      </c>
    </row>
    <row r="2266" spans="1:1" x14ac:dyDescent="0.25">
      <c r="A2266">
        <v>0</v>
      </c>
    </row>
    <row r="2267" spans="1:1" x14ac:dyDescent="0.25">
      <c r="A2267">
        <v>0</v>
      </c>
    </row>
    <row r="2268" spans="1:1" x14ac:dyDescent="0.25">
      <c r="A2268" s="9">
        <v>3308746.24</v>
      </c>
    </row>
    <row r="2269" spans="1:1" x14ac:dyDescent="0.25">
      <c r="A2269" s="9">
        <v>2658397.8199999998</v>
      </c>
    </row>
    <row r="2270" spans="1:1" x14ac:dyDescent="0.25">
      <c r="A2270">
        <v>0</v>
      </c>
    </row>
    <row r="2271" spans="1:1" x14ac:dyDescent="0.25">
      <c r="A2271" s="9">
        <v>986242.59</v>
      </c>
    </row>
    <row r="2272" spans="1:1" x14ac:dyDescent="0.25">
      <c r="A2272" s="9">
        <v>1182236.98</v>
      </c>
    </row>
    <row r="2273" spans="1:1" x14ac:dyDescent="0.25">
      <c r="A2273" s="9">
        <v>22725885.140000001</v>
      </c>
    </row>
    <row r="2274" spans="1:1" x14ac:dyDescent="0.25">
      <c r="A2274" s="9">
        <v>3454941.68</v>
      </c>
    </row>
    <row r="2275" spans="1:1" x14ac:dyDescent="0.25">
      <c r="A2275">
        <v>0</v>
      </c>
    </row>
    <row r="2276" spans="1:1" x14ac:dyDescent="0.25">
      <c r="A2276">
        <v>0</v>
      </c>
    </row>
    <row r="2277" spans="1:1" x14ac:dyDescent="0.25">
      <c r="A2277">
        <v>0</v>
      </c>
    </row>
    <row r="2278" spans="1:1" x14ac:dyDescent="0.25">
      <c r="A2278" s="9">
        <v>123823.33</v>
      </c>
    </row>
    <row r="2279" spans="1:1" x14ac:dyDescent="0.25">
      <c r="A2279" s="9">
        <v>533452.86</v>
      </c>
    </row>
    <row r="2280" spans="1:1" x14ac:dyDescent="0.25">
      <c r="A2280" s="9">
        <v>2778978.88</v>
      </c>
    </row>
    <row r="2281" spans="1:1" x14ac:dyDescent="0.25">
      <c r="A2281" s="9">
        <v>836117.6</v>
      </c>
    </row>
    <row r="2282" spans="1:1" x14ac:dyDescent="0.25">
      <c r="A2282">
        <v>0</v>
      </c>
    </row>
    <row r="2283" spans="1:1" x14ac:dyDescent="0.25">
      <c r="A2283" s="9">
        <v>16604322.289999999</v>
      </c>
    </row>
    <row r="2284" spans="1:1" x14ac:dyDescent="0.25">
      <c r="A2284" s="9">
        <v>1661855.12</v>
      </c>
    </row>
    <row r="2285" spans="1:1" x14ac:dyDescent="0.25">
      <c r="A2285" s="9">
        <v>3546423.38</v>
      </c>
    </row>
    <row r="2286" spans="1:1" x14ac:dyDescent="0.25">
      <c r="A2286" s="9">
        <v>609911.69999999995</v>
      </c>
    </row>
    <row r="2287" spans="1:1" x14ac:dyDescent="0.25">
      <c r="A2287">
        <v>0</v>
      </c>
    </row>
    <row r="2288" spans="1:1" x14ac:dyDescent="0.25">
      <c r="A2288">
        <v>0</v>
      </c>
    </row>
    <row r="2289" spans="1:1" x14ac:dyDescent="0.25">
      <c r="A2289" s="9">
        <v>218479.1</v>
      </c>
    </row>
    <row r="2290" spans="1:1" x14ac:dyDescent="0.25">
      <c r="A2290" s="9">
        <v>8550826.7699999996</v>
      </c>
    </row>
    <row r="2291" spans="1:1" x14ac:dyDescent="0.25">
      <c r="A2291">
        <v>163606</v>
      </c>
    </row>
    <row r="2292" spans="1:1" x14ac:dyDescent="0.25">
      <c r="A2292" s="9">
        <v>297652.90999999997</v>
      </c>
    </row>
    <row r="2293" spans="1:1" x14ac:dyDescent="0.25">
      <c r="A2293" s="9">
        <v>3358470.95</v>
      </c>
    </row>
    <row r="2294" spans="1:1" x14ac:dyDescent="0.25">
      <c r="A2294" s="9">
        <v>63794.92</v>
      </c>
    </row>
    <row r="2295" spans="1:1" x14ac:dyDescent="0.25">
      <c r="A2295" s="9">
        <v>1463553.86</v>
      </c>
    </row>
    <row r="2296" spans="1:1" x14ac:dyDescent="0.25">
      <c r="A2296" s="9">
        <v>1436758.82</v>
      </c>
    </row>
    <row r="2297" spans="1:1" x14ac:dyDescent="0.25">
      <c r="A2297">
        <v>0</v>
      </c>
    </row>
    <row r="2298" spans="1:1" x14ac:dyDescent="0.25">
      <c r="A2298">
        <v>0</v>
      </c>
    </row>
    <row r="2299" spans="1:1" x14ac:dyDescent="0.25">
      <c r="A2299">
        <v>0</v>
      </c>
    </row>
    <row r="2300" spans="1:1" x14ac:dyDescent="0.25">
      <c r="A2300" s="9">
        <v>2323789.23</v>
      </c>
    </row>
    <row r="2301" spans="1:1" x14ac:dyDescent="0.25">
      <c r="A2301" s="9">
        <v>874051.4</v>
      </c>
    </row>
    <row r="2302" spans="1:1" x14ac:dyDescent="0.25">
      <c r="A2302">
        <v>0</v>
      </c>
    </row>
    <row r="2303" spans="1:1" x14ac:dyDescent="0.25">
      <c r="A2303" s="9">
        <v>16571442.119999999</v>
      </c>
    </row>
    <row r="2304" spans="1:1" x14ac:dyDescent="0.25">
      <c r="A2304" s="9">
        <v>6814820.6200000001</v>
      </c>
    </row>
    <row r="2305" spans="1:1" x14ac:dyDescent="0.25">
      <c r="A2305">
        <v>0</v>
      </c>
    </row>
    <row r="2306" spans="1:1" x14ac:dyDescent="0.25">
      <c r="A2306" s="9">
        <v>20645127.579999998</v>
      </c>
    </row>
    <row r="2307" spans="1:1" x14ac:dyDescent="0.25">
      <c r="A2307" s="9">
        <v>5299365.37</v>
      </c>
    </row>
    <row r="2308" spans="1:1" x14ac:dyDescent="0.25">
      <c r="A2308" s="9">
        <v>264221.88</v>
      </c>
    </row>
    <row r="2309" spans="1:1" x14ac:dyDescent="0.25">
      <c r="A2309" s="9">
        <v>330061.98</v>
      </c>
    </row>
    <row r="2310" spans="1:1" x14ac:dyDescent="0.25">
      <c r="A2310" s="9">
        <v>544984.51</v>
      </c>
    </row>
    <row r="2311" spans="1:1" x14ac:dyDescent="0.25">
      <c r="A2311" s="9">
        <v>78690.3</v>
      </c>
    </row>
    <row r="2312" spans="1:1" x14ac:dyDescent="0.25">
      <c r="A2312" s="9">
        <v>314190.05</v>
      </c>
    </row>
    <row r="2313" spans="1:1" x14ac:dyDescent="0.25">
      <c r="A2313" s="9">
        <v>10737894.529999999</v>
      </c>
    </row>
    <row r="2314" spans="1:1" x14ac:dyDescent="0.25">
      <c r="A2314" s="9">
        <v>3667419.53</v>
      </c>
    </row>
    <row r="2315" spans="1:1" x14ac:dyDescent="0.25">
      <c r="A2315" s="9">
        <v>987430.66</v>
      </c>
    </row>
    <row r="2316" spans="1:1" x14ac:dyDescent="0.25">
      <c r="A2316" s="9">
        <v>523682.23</v>
      </c>
    </row>
    <row r="2317" spans="1:1" x14ac:dyDescent="0.25">
      <c r="A2317">
        <v>0</v>
      </c>
    </row>
    <row r="2318" spans="1:1" x14ac:dyDescent="0.25">
      <c r="A2318" s="9">
        <v>3121087.68</v>
      </c>
    </row>
    <row r="2319" spans="1:1" x14ac:dyDescent="0.25">
      <c r="A2319" s="9">
        <v>80601259.909999996</v>
      </c>
    </row>
    <row r="2320" spans="1:1" x14ac:dyDescent="0.25">
      <c r="A2320">
        <v>0</v>
      </c>
    </row>
    <row r="2321" spans="1:1" x14ac:dyDescent="0.25">
      <c r="A2321">
        <v>0</v>
      </c>
    </row>
    <row r="2322" spans="1:1" x14ac:dyDescent="0.25">
      <c r="A2322" s="9">
        <v>5165563.84</v>
      </c>
    </row>
    <row r="2323" spans="1:1" x14ac:dyDescent="0.25">
      <c r="A2323" s="9">
        <v>29184318.510000002</v>
      </c>
    </row>
    <row r="2324" spans="1:1" x14ac:dyDescent="0.25">
      <c r="A2324" s="9">
        <v>8150304.6299999999</v>
      </c>
    </row>
    <row r="2325" spans="1:1" x14ac:dyDescent="0.25">
      <c r="A2325" s="9">
        <v>465170.5</v>
      </c>
    </row>
    <row r="2326" spans="1:1" x14ac:dyDescent="0.25">
      <c r="A2326">
        <v>0</v>
      </c>
    </row>
    <row r="2327" spans="1:1" x14ac:dyDescent="0.25">
      <c r="A2327" s="9">
        <v>1948835.71</v>
      </c>
    </row>
    <row r="2328" spans="1:1" x14ac:dyDescent="0.25">
      <c r="A2328" s="9">
        <v>8453208.5999999996</v>
      </c>
    </row>
    <row r="2329" spans="1:1" x14ac:dyDescent="0.25">
      <c r="A2329" s="9">
        <v>284813.42</v>
      </c>
    </row>
    <row r="2330" spans="1:1" x14ac:dyDescent="0.25">
      <c r="A2330" s="9">
        <v>1014633.54</v>
      </c>
    </row>
    <row r="2331" spans="1:1" x14ac:dyDescent="0.25">
      <c r="A2331" s="9">
        <v>9815063.9800000004</v>
      </c>
    </row>
    <row r="2332" spans="1:1" x14ac:dyDescent="0.25">
      <c r="A2332" s="9">
        <v>2786004.86</v>
      </c>
    </row>
    <row r="2333" spans="1:1" x14ac:dyDescent="0.25">
      <c r="A2333" s="9">
        <v>203820.96</v>
      </c>
    </row>
    <row r="2334" spans="1:1" x14ac:dyDescent="0.25">
      <c r="A2334" s="9">
        <v>186542.5</v>
      </c>
    </row>
    <row r="2335" spans="1:1" x14ac:dyDescent="0.25">
      <c r="A2335" s="9">
        <v>1505971.2</v>
      </c>
    </row>
    <row r="2336" spans="1:1" x14ac:dyDescent="0.25">
      <c r="A2336" s="9">
        <v>12418735.23</v>
      </c>
    </row>
    <row r="2337" spans="1:1" x14ac:dyDescent="0.25">
      <c r="A2337">
        <v>0</v>
      </c>
    </row>
    <row r="2338" spans="1:1" x14ac:dyDescent="0.25">
      <c r="A2338" s="9">
        <v>5042166.9000000004</v>
      </c>
    </row>
    <row r="2339" spans="1:1" x14ac:dyDescent="0.25">
      <c r="A2339" s="9">
        <v>37333997.93</v>
      </c>
    </row>
    <row r="2340" spans="1:1" x14ac:dyDescent="0.25">
      <c r="A2340">
        <v>0</v>
      </c>
    </row>
    <row r="2341" spans="1:1" x14ac:dyDescent="0.25">
      <c r="A2341" s="9">
        <v>4283555.8899999997</v>
      </c>
    </row>
    <row r="2342" spans="1:1" x14ac:dyDescent="0.25">
      <c r="A2342" s="9">
        <v>173036.7</v>
      </c>
    </row>
    <row r="2343" spans="1:1" x14ac:dyDescent="0.25">
      <c r="A2343" s="9">
        <v>5977338.5499999998</v>
      </c>
    </row>
    <row r="2344" spans="1:1" x14ac:dyDescent="0.25">
      <c r="A2344" s="9">
        <v>21421819.640000001</v>
      </c>
    </row>
    <row r="2345" spans="1:1" x14ac:dyDescent="0.25">
      <c r="A2345" s="9">
        <v>2441747.16</v>
      </c>
    </row>
    <row r="2346" spans="1:1" x14ac:dyDescent="0.25">
      <c r="A2346" s="9">
        <v>22523308.18</v>
      </c>
    </row>
    <row r="2347" spans="1:1" x14ac:dyDescent="0.25">
      <c r="A2347" s="9">
        <v>12179327.869999999</v>
      </c>
    </row>
    <row r="2348" spans="1:1" x14ac:dyDescent="0.25">
      <c r="A2348" s="9">
        <v>741648.28</v>
      </c>
    </row>
    <row r="2349" spans="1:1" x14ac:dyDescent="0.25">
      <c r="A2349" s="9">
        <v>5147317.88</v>
      </c>
    </row>
    <row r="2350" spans="1:1" x14ac:dyDescent="0.25">
      <c r="A2350" s="9">
        <v>3353321.03</v>
      </c>
    </row>
    <row r="2351" spans="1:1" x14ac:dyDescent="0.25">
      <c r="A2351" s="9">
        <v>280163.73</v>
      </c>
    </row>
    <row r="2352" spans="1:1" x14ac:dyDescent="0.25">
      <c r="A2352" s="9">
        <v>47534.38</v>
      </c>
    </row>
    <row r="2353" spans="1:1" x14ac:dyDescent="0.25">
      <c r="A2353" s="9">
        <v>4083845.08</v>
      </c>
    </row>
    <row r="2354" spans="1:1" x14ac:dyDescent="0.25">
      <c r="A2354" s="9">
        <v>716408.97</v>
      </c>
    </row>
    <row r="2355" spans="1:1" x14ac:dyDescent="0.25">
      <c r="A2355" s="9">
        <v>552595.21</v>
      </c>
    </row>
    <row r="2356" spans="1:1" x14ac:dyDescent="0.25">
      <c r="A2356">
        <v>0</v>
      </c>
    </row>
    <row r="2357" spans="1:1" x14ac:dyDescent="0.25">
      <c r="A2357" s="9">
        <v>4358062.34</v>
      </c>
    </row>
    <row r="2358" spans="1:1" x14ac:dyDescent="0.25">
      <c r="A2358" s="9">
        <v>5832054.8699999899</v>
      </c>
    </row>
    <row r="2359" spans="1:1" x14ac:dyDescent="0.25">
      <c r="A2359">
        <v>0</v>
      </c>
    </row>
    <row r="2360" spans="1:1" x14ac:dyDescent="0.25">
      <c r="A2360" s="9">
        <v>207618.4</v>
      </c>
    </row>
    <row r="2361" spans="1:1" x14ac:dyDescent="0.25">
      <c r="A2361" s="9">
        <v>1590175.74</v>
      </c>
    </row>
    <row r="2362" spans="1:1" x14ac:dyDescent="0.25">
      <c r="A2362" s="9">
        <v>3183336.83</v>
      </c>
    </row>
    <row r="2363" spans="1:1" x14ac:dyDescent="0.25">
      <c r="A2363" s="9">
        <v>2855090.29</v>
      </c>
    </row>
    <row r="2364" spans="1:1" x14ac:dyDescent="0.25">
      <c r="A2364" s="9">
        <v>4923339.2300000004</v>
      </c>
    </row>
    <row r="2365" spans="1:1" x14ac:dyDescent="0.25">
      <c r="A2365" s="9">
        <v>22670669.210000001</v>
      </c>
    </row>
    <row r="2366" spans="1:1" x14ac:dyDescent="0.25">
      <c r="A2366" s="9">
        <v>306305.40000000002</v>
      </c>
    </row>
    <row r="2367" spans="1:1" x14ac:dyDescent="0.25">
      <c r="A2367" s="9">
        <v>2964451.14</v>
      </c>
    </row>
    <row r="2368" spans="1:1" x14ac:dyDescent="0.25">
      <c r="A2368">
        <v>0</v>
      </c>
    </row>
    <row r="2369" spans="1:1" x14ac:dyDescent="0.25">
      <c r="A2369">
        <v>0</v>
      </c>
    </row>
    <row r="2370" spans="1:1" x14ac:dyDescent="0.25">
      <c r="A2370" s="9">
        <v>36320559.829999998</v>
      </c>
    </row>
    <row r="2371" spans="1:1" x14ac:dyDescent="0.25">
      <c r="A2371" s="9">
        <v>1723021.48</v>
      </c>
    </row>
    <row r="2372" spans="1:1" x14ac:dyDescent="0.25">
      <c r="A2372">
        <v>0</v>
      </c>
    </row>
    <row r="2373" spans="1:1" x14ac:dyDescent="0.25">
      <c r="A2373">
        <v>0</v>
      </c>
    </row>
    <row r="2374" spans="1:1" x14ac:dyDescent="0.25">
      <c r="A2374" s="9">
        <v>456451.52</v>
      </c>
    </row>
    <row r="2375" spans="1:1" x14ac:dyDescent="0.25">
      <c r="A2375">
        <v>0</v>
      </c>
    </row>
    <row r="2376" spans="1:1" x14ac:dyDescent="0.25">
      <c r="A2376" s="9">
        <v>47829.8</v>
      </c>
    </row>
    <row r="2377" spans="1:1" x14ac:dyDescent="0.25">
      <c r="A2377" s="9">
        <v>5101464.77999999</v>
      </c>
    </row>
    <row r="2378" spans="1:1" x14ac:dyDescent="0.25">
      <c r="A2378" s="9">
        <v>11254365.210000001</v>
      </c>
    </row>
    <row r="2379" spans="1:1" x14ac:dyDescent="0.25">
      <c r="A2379">
        <v>8651425</v>
      </c>
    </row>
    <row r="2380" spans="1:1" x14ac:dyDescent="0.25">
      <c r="A2380" s="9">
        <v>170807.67999999999</v>
      </c>
    </row>
    <row r="2381" spans="1:1" x14ac:dyDescent="0.25">
      <c r="A2381" s="9">
        <v>5229585.68</v>
      </c>
    </row>
    <row r="2382" spans="1:1" x14ac:dyDescent="0.25">
      <c r="A2382" s="9">
        <v>10893556.560000001</v>
      </c>
    </row>
    <row r="2383" spans="1:1" x14ac:dyDescent="0.25">
      <c r="A2383" s="9">
        <v>123823.33</v>
      </c>
    </row>
    <row r="2384" spans="1:1" x14ac:dyDescent="0.25">
      <c r="A2384" s="9">
        <v>2014652.64</v>
      </c>
    </row>
    <row r="2385" spans="1:1" x14ac:dyDescent="0.25">
      <c r="A2385" s="9">
        <v>6330671.9800000004</v>
      </c>
    </row>
    <row r="2386" spans="1:1" x14ac:dyDescent="0.25">
      <c r="A2386" s="9">
        <v>18630338.77</v>
      </c>
    </row>
    <row r="2387" spans="1:1" x14ac:dyDescent="0.25">
      <c r="A2387">
        <v>0</v>
      </c>
    </row>
    <row r="2388" spans="1:1" x14ac:dyDescent="0.25">
      <c r="A2388" s="9">
        <v>9732396.4399999995</v>
      </c>
    </row>
    <row r="2389" spans="1:1" x14ac:dyDescent="0.25">
      <c r="A2389" s="9">
        <v>464307.73</v>
      </c>
    </row>
    <row r="2390" spans="1:1" x14ac:dyDescent="0.25">
      <c r="A2390" s="9">
        <v>5664245.4900000002</v>
      </c>
    </row>
    <row r="2391" spans="1:1" x14ac:dyDescent="0.25">
      <c r="A2391" s="9">
        <v>5409055.5700000003</v>
      </c>
    </row>
    <row r="2392" spans="1:1" x14ac:dyDescent="0.25">
      <c r="A2392" s="9">
        <v>5566056.9500000002</v>
      </c>
    </row>
    <row r="2393" spans="1:1" x14ac:dyDescent="0.25">
      <c r="A2393" s="9">
        <v>32923515.670000002</v>
      </c>
    </row>
    <row r="2394" spans="1:1" x14ac:dyDescent="0.25">
      <c r="A2394">
        <v>3174719</v>
      </c>
    </row>
    <row r="2395" spans="1:1" x14ac:dyDescent="0.25">
      <c r="A2395">
        <v>0</v>
      </c>
    </row>
    <row r="2396" spans="1:1" x14ac:dyDescent="0.25">
      <c r="A2396" s="9">
        <v>1406504.61</v>
      </c>
    </row>
    <row r="2397" spans="1:1" x14ac:dyDescent="0.25">
      <c r="A2397">
        <v>0</v>
      </c>
    </row>
    <row r="2398" spans="1:1" x14ac:dyDescent="0.25">
      <c r="A2398" s="9">
        <v>2181259.04</v>
      </c>
    </row>
    <row r="2399" spans="1:1" x14ac:dyDescent="0.25">
      <c r="A2399" s="9">
        <v>8126388.3799999999</v>
      </c>
    </row>
    <row r="2400" spans="1:1" x14ac:dyDescent="0.25">
      <c r="A2400" s="9">
        <v>69508476.700000003</v>
      </c>
    </row>
    <row r="2401" spans="1:1" x14ac:dyDescent="0.25">
      <c r="A2401" s="9">
        <v>7324794.6699999999</v>
      </c>
    </row>
    <row r="2402" spans="1:1" x14ac:dyDescent="0.25">
      <c r="A2402" s="9">
        <v>2321756.13</v>
      </c>
    </row>
    <row r="2403" spans="1:1" x14ac:dyDescent="0.25">
      <c r="A2403">
        <v>0</v>
      </c>
    </row>
    <row r="2404" spans="1:1" x14ac:dyDescent="0.25">
      <c r="A2404" s="9">
        <v>6607967.6900000004</v>
      </c>
    </row>
    <row r="2405" spans="1:1" x14ac:dyDescent="0.25">
      <c r="A2405" s="9">
        <v>1073506.01</v>
      </c>
    </row>
    <row r="2406" spans="1:1" x14ac:dyDescent="0.25">
      <c r="A2406" s="9">
        <v>223525.31</v>
      </c>
    </row>
    <row r="2407" spans="1:1" x14ac:dyDescent="0.25">
      <c r="A2407" s="9">
        <v>1721264.51</v>
      </c>
    </row>
    <row r="2408" spans="1:1" x14ac:dyDescent="0.25">
      <c r="A2408" s="9">
        <v>2010049.39</v>
      </c>
    </row>
    <row r="2409" spans="1:1" x14ac:dyDescent="0.25">
      <c r="A2409">
        <v>0</v>
      </c>
    </row>
    <row r="2410" spans="1:1" x14ac:dyDescent="0.25">
      <c r="A2410" s="9">
        <v>10368316.199999999</v>
      </c>
    </row>
    <row r="2411" spans="1:1" x14ac:dyDescent="0.25">
      <c r="A2411" s="9">
        <v>11456503.560000001</v>
      </c>
    </row>
    <row r="2412" spans="1:1" x14ac:dyDescent="0.25">
      <c r="A2412" s="9">
        <v>5640609.2199999997</v>
      </c>
    </row>
    <row r="2413" spans="1:1" x14ac:dyDescent="0.25">
      <c r="A2413" s="9">
        <v>225978.12</v>
      </c>
    </row>
    <row r="2414" spans="1:1" x14ac:dyDescent="0.25">
      <c r="A2414" s="9">
        <v>11821222.82</v>
      </c>
    </row>
    <row r="2415" spans="1:1" x14ac:dyDescent="0.25">
      <c r="A2415" s="9">
        <v>3242581.69</v>
      </c>
    </row>
    <row r="2416" spans="1:1" x14ac:dyDescent="0.25">
      <c r="A2416" s="9">
        <v>7322117.2599999998</v>
      </c>
    </row>
    <row r="2417" spans="1:1" x14ac:dyDescent="0.25">
      <c r="A2417" s="9">
        <v>59412.959999999999</v>
      </c>
    </row>
    <row r="2418" spans="1:1" x14ac:dyDescent="0.25">
      <c r="A2418" s="9">
        <v>17640918.949999999</v>
      </c>
    </row>
    <row r="2419" spans="1:1" x14ac:dyDescent="0.25">
      <c r="A2419" s="9">
        <v>232498.03</v>
      </c>
    </row>
    <row r="2420" spans="1:1" x14ac:dyDescent="0.25">
      <c r="A2420">
        <v>0</v>
      </c>
    </row>
    <row r="2421" spans="1:1" x14ac:dyDescent="0.25">
      <c r="A2421" s="9">
        <v>27742499.260000002</v>
      </c>
    </row>
    <row r="2422" spans="1:1" x14ac:dyDescent="0.25">
      <c r="A2422" s="9">
        <v>6136537.0199999996</v>
      </c>
    </row>
    <row r="2423" spans="1:1" x14ac:dyDescent="0.25">
      <c r="A2423" s="9">
        <v>1349530.65</v>
      </c>
    </row>
    <row r="2424" spans="1:1" x14ac:dyDescent="0.25">
      <c r="A2424" s="9">
        <v>4105971.12</v>
      </c>
    </row>
    <row r="2425" spans="1:1" x14ac:dyDescent="0.25">
      <c r="A2425" s="9">
        <v>459026.22</v>
      </c>
    </row>
    <row r="2426" spans="1:1" x14ac:dyDescent="0.25">
      <c r="A2426" s="9">
        <v>19376324.34</v>
      </c>
    </row>
    <row r="2427" spans="1:1" x14ac:dyDescent="0.25">
      <c r="A2427" s="9">
        <v>8502839.3100000005</v>
      </c>
    </row>
    <row r="2428" spans="1:1" x14ac:dyDescent="0.25">
      <c r="A2428">
        <v>0</v>
      </c>
    </row>
    <row r="2429" spans="1:1" x14ac:dyDescent="0.25">
      <c r="A2429" s="9">
        <v>151877.25</v>
      </c>
    </row>
    <row r="2430" spans="1:1" x14ac:dyDescent="0.25">
      <c r="A2430" s="9">
        <v>10478825.310000001</v>
      </c>
    </row>
    <row r="2431" spans="1:1" x14ac:dyDescent="0.25">
      <c r="A2431" s="9">
        <v>374978.16</v>
      </c>
    </row>
    <row r="2432" spans="1:1" x14ac:dyDescent="0.25">
      <c r="A2432" s="9">
        <v>39974271.420000002</v>
      </c>
    </row>
    <row r="2433" spans="1:1" x14ac:dyDescent="0.25">
      <c r="A2433" s="9">
        <v>26382762.829999998</v>
      </c>
    </row>
    <row r="2434" spans="1:1" x14ac:dyDescent="0.25">
      <c r="A2434" s="9">
        <v>261316.73</v>
      </c>
    </row>
    <row r="2435" spans="1:1" x14ac:dyDescent="0.25">
      <c r="A2435" s="9">
        <v>502385.59</v>
      </c>
    </row>
    <row r="2436" spans="1:1" x14ac:dyDescent="0.25">
      <c r="A2436">
        <v>0</v>
      </c>
    </row>
    <row r="2437" spans="1:1" x14ac:dyDescent="0.25">
      <c r="A2437" s="9">
        <v>2914572.28</v>
      </c>
    </row>
    <row r="2438" spans="1:1" x14ac:dyDescent="0.25">
      <c r="A2438">
        <v>0</v>
      </c>
    </row>
    <row r="2439" spans="1:1" x14ac:dyDescent="0.25">
      <c r="A2439" s="9">
        <v>6158640.6600000001</v>
      </c>
    </row>
    <row r="2440" spans="1:1" x14ac:dyDescent="0.25">
      <c r="A2440" s="9">
        <v>7508903.5099999998</v>
      </c>
    </row>
    <row r="2441" spans="1:1" x14ac:dyDescent="0.25">
      <c r="A2441" s="9">
        <v>167119.70000000001</v>
      </c>
    </row>
    <row r="2442" spans="1:1" x14ac:dyDescent="0.25">
      <c r="A2442" s="9">
        <v>731106.77</v>
      </c>
    </row>
    <row r="2443" spans="1:1" x14ac:dyDescent="0.25">
      <c r="A2443" s="9">
        <v>422776.74</v>
      </c>
    </row>
    <row r="2444" spans="1:1" x14ac:dyDescent="0.25">
      <c r="A2444" s="9">
        <v>5456590.2999999998</v>
      </c>
    </row>
    <row r="2445" spans="1:1" x14ac:dyDescent="0.25">
      <c r="A2445" s="9">
        <v>3481400.02</v>
      </c>
    </row>
    <row r="2446" spans="1:1" x14ac:dyDescent="0.25">
      <c r="A2446" s="9">
        <v>10670847.75</v>
      </c>
    </row>
    <row r="2447" spans="1:1" x14ac:dyDescent="0.25">
      <c r="A2447" s="9">
        <v>26993831.780000001</v>
      </c>
    </row>
    <row r="2448" spans="1:1" x14ac:dyDescent="0.25">
      <c r="A2448" s="9">
        <v>137493.4</v>
      </c>
    </row>
    <row r="2449" spans="1:1" x14ac:dyDescent="0.25">
      <c r="A2449" s="9">
        <v>3920428.69</v>
      </c>
    </row>
    <row r="2450" spans="1:1" x14ac:dyDescent="0.25">
      <c r="A2450" s="9">
        <v>477920.37</v>
      </c>
    </row>
    <row r="2451" spans="1:1" x14ac:dyDescent="0.25">
      <c r="A2451" s="9">
        <v>3614070.55</v>
      </c>
    </row>
    <row r="2452" spans="1:1" x14ac:dyDescent="0.25">
      <c r="A2452" s="9">
        <v>3021192.44</v>
      </c>
    </row>
    <row r="2453" spans="1:1" x14ac:dyDescent="0.25">
      <c r="A2453" s="9">
        <v>11196860.9</v>
      </c>
    </row>
    <row r="2454" spans="1:1" x14ac:dyDescent="0.25">
      <c r="A2454" s="9">
        <v>1833427.2</v>
      </c>
    </row>
    <row r="2455" spans="1:1" x14ac:dyDescent="0.25">
      <c r="A2455" s="9">
        <v>2471803.69</v>
      </c>
    </row>
    <row r="2456" spans="1:1" x14ac:dyDescent="0.25">
      <c r="A2456" s="9">
        <v>505886.48</v>
      </c>
    </row>
    <row r="2457" spans="1:1" x14ac:dyDescent="0.25">
      <c r="A2457" s="9">
        <v>12450939.380000001</v>
      </c>
    </row>
    <row r="2458" spans="1:1" x14ac:dyDescent="0.25">
      <c r="A2458" s="9">
        <v>155459.1</v>
      </c>
    </row>
    <row r="2459" spans="1:1" x14ac:dyDescent="0.25">
      <c r="A2459" s="9">
        <v>9959273.3599999901</v>
      </c>
    </row>
    <row r="2460" spans="1:1" x14ac:dyDescent="0.25">
      <c r="A2460" s="9">
        <v>273712.31</v>
      </c>
    </row>
    <row r="2461" spans="1:1" x14ac:dyDescent="0.25">
      <c r="A2461" s="9">
        <v>4308057.45</v>
      </c>
    </row>
    <row r="2462" spans="1:1" x14ac:dyDescent="0.25">
      <c r="A2462" s="9">
        <v>322803.14</v>
      </c>
    </row>
    <row r="2463" spans="1:1" x14ac:dyDescent="0.25">
      <c r="A2463" s="9">
        <v>10535497.199999999</v>
      </c>
    </row>
    <row r="2464" spans="1:1" x14ac:dyDescent="0.25">
      <c r="A2464" s="9">
        <v>24776884.849999901</v>
      </c>
    </row>
    <row r="2465" spans="1:1" x14ac:dyDescent="0.25">
      <c r="A2465" s="9">
        <v>293244.43</v>
      </c>
    </row>
    <row r="2466" spans="1:1" x14ac:dyDescent="0.25">
      <c r="A2466" s="9">
        <v>5148852.96</v>
      </c>
    </row>
    <row r="2467" spans="1:1" x14ac:dyDescent="0.25">
      <c r="A2467" s="9">
        <v>15454992.630000001</v>
      </c>
    </row>
    <row r="2468" spans="1:1" x14ac:dyDescent="0.25">
      <c r="A2468">
        <v>0</v>
      </c>
    </row>
    <row r="2469" spans="1:1" x14ac:dyDescent="0.25">
      <c r="A2469">
        <v>0</v>
      </c>
    </row>
    <row r="2470" spans="1:1" x14ac:dyDescent="0.25">
      <c r="A2470">
        <v>0</v>
      </c>
    </row>
    <row r="2471" spans="1:1" x14ac:dyDescent="0.25">
      <c r="A2471" s="9">
        <v>156145.62</v>
      </c>
    </row>
    <row r="2472" spans="1:1" x14ac:dyDescent="0.25">
      <c r="A2472" s="9">
        <v>971857.7</v>
      </c>
    </row>
    <row r="2473" spans="1:1" x14ac:dyDescent="0.25">
      <c r="A2473" s="9">
        <v>8171791.7800000003</v>
      </c>
    </row>
    <row r="2474" spans="1:1" x14ac:dyDescent="0.25">
      <c r="A2474" s="9">
        <v>63852.12</v>
      </c>
    </row>
    <row r="2475" spans="1:1" x14ac:dyDescent="0.25">
      <c r="A2475" s="9">
        <v>1878777.86</v>
      </c>
    </row>
    <row r="2476" spans="1:1" x14ac:dyDescent="0.25">
      <c r="A2476" s="9">
        <v>294930.98</v>
      </c>
    </row>
    <row r="2477" spans="1:1" x14ac:dyDescent="0.25">
      <c r="A2477" s="9">
        <v>3081296.88</v>
      </c>
    </row>
    <row r="2478" spans="1:1" x14ac:dyDescent="0.25">
      <c r="A2478" s="9">
        <v>6661245.2699999996</v>
      </c>
    </row>
    <row r="2479" spans="1:1" x14ac:dyDescent="0.25">
      <c r="A2479" s="9">
        <v>47453314.310000002</v>
      </c>
    </row>
    <row r="2480" spans="1:1" x14ac:dyDescent="0.25">
      <c r="A2480" s="9">
        <v>206742.55</v>
      </c>
    </row>
    <row r="2481" spans="1:1" x14ac:dyDescent="0.25">
      <c r="A2481" s="9">
        <v>22478828.210000001</v>
      </c>
    </row>
    <row r="2482" spans="1:1" x14ac:dyDescent="0.25">
      <c r="A2482" s="9">
        <v>3279147.74</v>
      </c>
    </row>
    <row r="2483" spans="1:1" x14ac:dyDescent="0.25">
      <c r="A2483" s="9">
        <v>6583766.6799999997</v>
      </c>
    </row>
    <row r="2484" spans="1:1" x14ac:dyDescent="0.25">
      <c r="A2484" s="9">
        <v>4338558.8499999996</v>
      </c>
    </row>
    <row r="2485" spans="1:1" x14ac:dyDescent="0.25">
      <c r="A2485" s="9">
        <v>2284849.54</v>
      </c>
    </row>
    <row r="2486" spans="1:1" x14ac:dyDescent="0.25">
      <c r="A2486" s="9">
        <v>8484479.8200000003</v>
      </c>
    </row>
    <row r="2487" spans="1:1" x14ac:dyDescent="0.25">
      <c r="A2487" s="9">
        <v>2365724.54</v>
      </c>
    </row>
    <row r="2488" spans="1:1" x14ac:dyDescent="0.25">
      <c r="A2488" s="9">
        <v>2217418.8199999998</v>
      </c>
    </row>
    <row r="2489" spans="1:1" x14ac:dyDescent="0.25">
      <c r="A2489">
        <v>0</v>
      </c>
    </row>
    <row r="2490" spans="1:1" x14ac:dyDescent="0.25">
      <c r="A2490" s="9">
        <v>682303.96</v>
      </c>
    </row>
    <row r="2491" spans="1:1" x14ac:dyDescent="0.25">
      <c r="A2491">
        <v>0</v>
      </c>
    </row>
    <row r="2492" spans="1:1" x14ac:dyDescent="0.25">
      <c r="A2492">
        <v>0</v>
      </c>
    </row>
    <row r="2493" spans="1:1" x14ac:dyDescent="0.25">
      <c r="A2493" s="9">
        <v>10793686.550000001</v>
      </c>
    </row>
    <row r="2494" spans="1:1" x14ac:dyDescent="0.25">
      <c r="A2494">
        <v>0</v>
      </c>
    </row>
    <row r="2495" spans="1:1" x14ac:dyDescent="0.25">
      <c r="A2495" s="9">
        <v>1517985.13</v>
      </c>
    </row>
    <row r="2496" spans="1:1" x14ac:dyDescent="0.25">
      <c r="A2496" s="9">
        <v>63105096.390000001</v>
      </c>
    </row>
    <row r="2497" spans="1:1" x14ac:dyDescent="0.25">
      <c r="A2497" s="9">
        <v>4733611.74</v>
      </c>
    </row>
    <row r="2498" spans="1:1" x14ac:dyDescent="0.25">
      <c r="A2498">
        <v>0</v>
      </c>
    </row>
    <row r="2499" spans="1:1" x14ac:dyDescent="0.25">
      <c r="A2499">
        <v>0</v>
      </c>
    </row>
    <row r="2500" spans="1:1" x14ac:dyDescent="0.25">
      <c r="A2500">
        <v>0</v>
      </c>
    </row>
    <row r="2501" spans="1:1" x14ac:dyDescent="0.25">
      <c r="A2501" s="9">
        <v>4470736.16</v>
      </c>
    </row>
    <row r="2502" spans="1:1" x14ac:dyDescent="0.25">
      <c r="A2502" s="9">
        <v>1815658.54</v>
      </c>
    </row>
    <row r="2503" spans="1:1" x14ac:dyDescent="0.25">
      <c r="A2503" s="9">
        <v>872747.21</v>
      </c>
    </row>
    <row r="2504" spans="1:1" x14ac:dyDescent="0.25">
      <c r="A2504" s="9">
        <v>3173967.44</v>
      </c>
    </row>
    <row r="2505" spans="1:1" x14ac:dyDescent="0.25">
      <c r="A2505" s="9">
        <v>143862.6</v>
      </c>
    </row>
    <row r="2506" spans="1:1" x14ac:dyDescent="0.25">
      <c r="A2506" s="9">
        <v>1838545.59</v>
      </c>
    </row>
    <row r="2507" spans="1:1" x14ac:dyDescent="0.25">
      <c r="A2507" s="9">
        <v>1912222.16</v>
      </c>
    </row>
    <row r="2508" spans="1:1" x14ac:dyDescent="0.25">
      <c r="A2508" s="9">
        <v>3276233.94</v>
      </c>
    </row>
    <row r="2509" spans="1:1" x14ac:dyDescent="0.25">
      <c r="A2509" s="9">
        <v>5879306.9699999997</v>
      </c>
    </row>
    <row r="2510" spans="1:1" x14ac:dyDescent="0.25">
      <c r="A2510">
        <v>0</v>
      </c>
    </row>
    <row r="2511" spans="1:1" x14ac:dyDescent="0.25">
      <c r="A2511" s="9">
        <v>6760577.5199999996</v>
      </c>
    </row>
    <row r="2512" spans="1:1" x14ac:dyDescent="0.25">
      <c r="A2512" s="9">
        <v>60443186.539999902</v>
      </c>
    </row>
    <row r="2513" spans="1:1" x14ac:dyDescent="0.25">
      <c r="A2513" s="9">
        <v>5487225.3599999901</v>
      </c>
    </row>
    <row r="2514" spans="1:1" x14ac:dyDescent="0.25">
      <c r="A2514" s="9">
        <v>60215.1</v>
      </c>
    </row>
    <row r="2515" spans="1:1" x14ac:dyDescent="0.25">
      <c r="A2515" s="9">
        <v>62043535.93</v>
      </c>
    </row>
    <row r="2516" spans="1:1" x14ac:dyDescent="0.25">
      <c r="A2516" s="9">
        <v>229216.23</v>
      </c>
    </row>
    <row r="2517" spans="1:1" x14ac:dyDescent="0.25">
      <c r="A2517" s="9">
        <v>2556364.08</v>
      </c>
    </row>
    <row r="2518" spans="1:1" x14ac:dyDescent="0.25">
      <c r="A2518" s="9">
        <v>4683224.5</v>
      </c>
    </row>
    <row r="2519" spans="1:1" x14ac:dyDescent="0.25">
      <c r="A2519" s="9">
        <v>380620.6</v>
      </c>
    </row>
    <row r="2520" spans="1:1" x14ac:dyDescent="0.25">
      <c r="A2520" s="9">
        <v>3253794.64</v>
      </c>
    </row>
    <row r="2521" spans="1:1" x14ac:dyDescent="0.25">
      <c r="A2521" s="9">
        <v>1823952.59</v>
      </c>
    </row>
    <row r="2522" spans="1:1" x14ac:dyDescent="0.25">
      <c r="A2522" s="9">
        <v>4364579.32</v>
      </c>
    </row>
    <row r="2523" spans="1:1" x14ac:dyDescent="0.25">
      <c r="A2523" s="9">
        <v>55235.28</v>
      </c>
    </row>
    <row r="2524" spans="1:1" x14ac:dyDescent="0.25">
      <c r="A2524" s="9">
        <v>4354037.1899999902</v>
      </c>
    </row>
    <row r="2525" spans="1:1" x14ac:dyDescent="0.25">
      <c r="A2525" s="9">
        <v>5477405.0999999996</v>
      </c>
    </row>
    <row r="2526" spans="1:1" x14ac:dyDescent="0.25">
      <c r="A2526" s="9">
        <v>607715.97</v>
      </c>
    </row>
    <row r="2527" spans="1:1" x14ac:dyDescent="0.25">
      <c r="A2527">
        <v>0</v>
      </c>
    </row>
    <row r="2528" spans="1:1" x14ac:dyDescent="0.25">
      <c r="A2528">
        <v>0</v>
      </c>
    </row>
    <row r="2529" spans="1:1" x14ac:dyDescent="0.25">
      <c r="A2529" s="9">
        <v>10353876.84</v>
      </c>
    </row>
    <row r="2530" spans="1:1" x14ac:dyDescent="0.25">
      <c r="A2530" s="9">
        <v>18463530.149999999</v>
      </c>
    </row>
    <row r="2531" spans="1:1" x14ac:dyDescent="0.25">
      <c r="A2531" s="9">
        <v>151877.25</v>
      </c>
    </row>
    <row r="2532" spans="1:1" x14ac:dyDescent="0.25">
      <c r="A2532" s="9">
        <v>505040.46</v>
      </c>
    </row>
    <row r="2533" spans="1:1" x14ac:dyDescent="0.25">
      <c r="A2533" s="9">
        <v>1750426.28</v>
      </c>
    </row>
    <row r="2534" spans="1:1" x14ac:dyDescent="0.25">
      <c r="A2534">
        <v>0</v>
      </c>
    </row>
    <row r="2535" spans="1:1" x14ac:dyDescent="0.25">
      <c r="A2535" s="9">
        <v>2805471.2099999902</v>
      </c>
    </row>
    <row r="2536" spans="1:1" x14ac:dyDescent="0.25">
      <c r="A2536" s="9">
        <v>469239.43</v>
      </c>
    </row>
    <row r="2537" spans="1:1" x14ac:dyDescent="0.25">
      <c r="A2537" s="9">
        <v>9665096.3199999891</v>
      </c>
    </row>
    <row r="2538" spans="1:1" x14ac:dyDescent="0.25">
      <c r="A2538" s="9">
        <v>223878.2</v>
      </c>
    </row>
    <row r="2539" spans="1:1" x14ac:dyDescent="0.25">
      <c r="A2539" s="9">
        <v>8296653.6299999999</v>
      </c>
    </row>
    <row r="2540" spans="1:1" x14ac:dyDescent="0.25">
      <c r="A2540" s="9">
        <v>2701328.8</v>
      </c>
    </row>
    <row r="2541" spans="1:1" x14ac:dyDescent="0.25">
      <c r="A2541" s="9">
        <v>14621890.48</v>
      </c>
    </row>
    <row r="2542" spans="1:1" x14ac:dyDescent="0.25">
      <c r="A2542" s="9">
        <v>2150236.34</v>
      </c>
    </row>
    <row r="2543" spans="1:1" x14ac:dyDescent="0.25">
      <c r="A2543" s="9">
        <v>1657602.51</v>
      </c>
    </row>
    <row r="2544" spans="1:1" x14ac:dyDescent="0.25">
      <c r="A2544" s="9">
        <v>2130983.56</v>
      </c>
    </row>
    <row r="2545" spans="1:1" x14ac:dyDescent="0.25">
      <c r="A2545" s="9">
        <v>1414275.2</v>
      </c>
    </row>
    <row r="2546" spans="1:1" x14ac:dyDescent="0.25">
      <c r="A2546">
        <v>0</v>
      </c>
    </row>
    <row r="2547" spans="1:1" x14ac:dyDescent="0.25">
      <c r="A2547" s="9">
        <v>37802582.909999996</v>
      </c>
    </row>
    <row r="2548" spans="1:1" x14ac:dyDescent="0.25">
      <c r="A2548" s="9">
        <v>1098509.1200000001</v>
      </c>
    </row>
    <row r="2549" spans="1:1" x14ac:dyDescent="0.25">
      <c r="A2549" s="9">
        <v>2005065.75</v>
      </c>
    </row>
    <row r="2550" spans="1:1" x14ac:dyDescent="0.25">
      <c r="A2550" s="9">
        <v>7202553.5899999999</v>
      </c>
    </row>
    <row r="2551" spans="1:1" x14ac:dyDescent="0.25">
      <c r="A2551" s="9">
        <v>15269521.810000001</v>
      </c>
    </row>
    <row r="2552" spans="1:1" x14ac:dyDescent="0.25">
      <c r="A2552" s="9">
        <v>18666503.129999999</v>
      </c>
    </row>
    <row r="2553" spans="1:1" x14ac:dyDescent="0.25">
      <c r="A2553" s="9">
        <v>7409478.9900000002</v>
      </c>
    </row>
    <row r="2554" spans="1:1" x14ac:dyDescent="0.25">
      <c r="A2554" s="9">
        <v>3382122.25</v>
      </c>
    </row>
    <row r="2555" spans="1:1" x14ac:dyDescent="0.25">
      <c r="A2555" s="9">
        <v>2497721.2400000002</v>
      </c>
    </row>
    <row r="2556" spans="1:1" x14ac:dyDescent="0.25">
      <c r="A2556">
        <v>0</v>
      </c>
    </row>
    <row r="2557" spans="1:1" x14ac:dyDescent="0.25">
      <c r="A2557" s="9">
        <v>1155183.21</v>
      </c>
    </row>
    <row r="2558" spans="1:1" x14ac:dyDescent="0.25">
      <c r="A2558" s="9">
        <v>7622550.5099999905</v>
      </c>
    </row>
    <row r="2559" spans="1:1" x14ac:dyDescent="0.25">
      <c r="A2559" s="9">
        <v>218172.46</v>
      </c>
    </row>
    <row r="2560" spans="1:1" x14ac:dyDescent="0.25">
      <c r="A2560">
        <v>0</v>
      </c>
    </row>
    <row r="2561" spans="1:1" x14ac:dyDescent="0.25">
      <c r="A2561" s="9">
        <v>3187523.85</v>
      </c>
    </row>
    <row r="2562" spans="1:1" x14ac:dyDescent="0.25">
      <c r="A2562" s="9">
        <v>398936.17</v>
      </c>
    </row>
    <row r="2563" spans="1:1" x14ac:dyDescent="0.25">
      <c r="A2563" s="9">
        <v>992409.38</v>
      </c>
    </row>
    <row r="2564" spans="1:1" x14ac:dyDescent="0.25">
      <c r="A2564">
        <v>0</v>
      </c>
    </row>
    <row r="2565" spans="1:1" x14ac:dyDescent="0.25">
      <c r="A2565">
        <v>0</v>
      </c>
    </row>
    <row r="2566" spans="1:1" x14ac:dyDescent="0.25">
      <c r="A2566">
        <v>0</v>
      </c>
    </row>
    <row r="2567" spans="1:1" x14ac:dyDescent="0.25">
      <c r="A2567" s="9">
        <v>1596760.72</v>
      </c>
    </row>
    <row r="2568" spans="1:1" x14ac:dyDescent="0.25">
      <c r="A2568" s="9">
        <v>141922.37</v>
      </c>
    </row>
    <row r="2569" spans="1:1" x14ac:dyDescent="0.25">
      <c r="A2569" s="9">
        <v>40313209.840000004</v>
      </c>
    </row>
    <row r="2570" spans="1:1" x14ac:dyDescent="0.25">
      <c r="A2570" s="9">
        <v>5969247.54</v>
      </c>
    </row>
    <row r="2571" spans="1:1" x14ac:dyDescent="0.25">
      <c r="A2571" s="9">
        <v>12105695.109999999</v>
      </c>
    </row>
    <row r="2572" spans="1:1" x14ac:dyDescent="0.25">
      <c r="A2572">
        <v>1145344</v>
      </c>
    </row>
    <row r="2573" spans="1:1" x14ac:dyDescent="0.25">
      <c r="A2573">
        <v>0</v>
      </c>
    </row>
    <row r="2574" spans="1:1" x14ac:dyDescent="0.25">
      <c r="A2574">
        <v>0</v>
      </c>
    </row>
    <row r="2575" spans="1:1" x14ac:dyDescent="0.25">
      <c r="A2575" s="9">
        <v>15920559.84</v>
      </c>
    </row>
    <row r="2576" spans="1:1" x14ac:dyDescent="0.25">
      <c r="A2576" s="9">
        <v>4676358.93</v>
      </c>
    </row>
    <row r="2577" spans="1:1" x14ac:dyDescent="0.25">
      <c r="A2577">
        <v>0</v>
      </c>
    </row>
    <row r="2578" spans="1:1" x14ac:dyDescent="0.25">
      <c r="A2578" s="9">
        <v>2963914.9</v>
      </c>
    </row>
    <row r="2579" spans="1:1" x14ac:dyDescent="0.25">
      <c r="A2579" s="9">
        <v>179642.07</v>
      </c>
    </row>
    <row r="2580" spans="1:1" x14ac:dyDescent="0.25">
      <c r="A2580" s="9">
        <v>976573.62</v>
      </c>
    </row>
    <row r="2581" spans="1:1" x14ac:dyDescent="0.25">
      <c r="A2581" s="9">
        <v>11852820.300000001</v>
      </c>
    </row>
    <row r="2582" spans="1:1" x14ac:dyDescent="0.25">
      <c r="A2582" s="9">
        <v>4926531.8</v>
      </c>
    </row>
    <row r="2583" spans="1:1" x14ac:dyDescent="0.25">
      <c r="A2583" s="9">
        <v>29768043.32</v>
      </c>
    </row>
    <row r="2584" spans="1:1" x14ac:dyDescent="0.25">
      <c r="A2584">
        <v>0</v>
      </c>
    </row>
    <row r="2585" spans="1:1" x14ac:dyDescent="0.25">
      <c r="A2585" s="9">
        <v>3419852.78</v>
      </c>
    </row>
    <row r="2586" spans="1:1" x14ac:dyDescent="0.25">
      <c r="A2586" s="9">
        <v>13660046.83</v>
      </c>
    </row>
    <row r="2587" spans="1:1" x14ac:dyDescent="0.25">
      <c r="A2587">
        <v>0</v>
      </c>
    </row>
    <row r="2588" spans="1:1" x14ac:dyDescent="0.25">
      <c r="A2588" s="9">
        <v>493621.44</v>
      </c>
    </row>
    <row r="2589" spans="1:1" x14ac:dyDescent="0.25">
      <c r="A2589" s="9">
        <v>206723.34</v>
      </c>
    </row>
    <row r="2590" spans="1:1" x14ac:dyDescent="0.25">
      <c r="A2590" s="9">
        <v>345697.09</v>
      </c>
    </row>
    <row r="2591" spans="1:1" x14ac:dyDescent="0.25">
      <c r="A2591" s="9">
        <v>559382.99</v>
      </c>
    </row>
    <row r="2592" spans="1:1" x14ac:dyDescent="0.25">
      <c r="A2592" s="9">
        <v>78690.3</v>
      </c>
    </row>
    <row r="2593" spans="1:1" x14ac:dyDescent="0.25">
      <c r="A2593" s="9">
        <v>393921.299999999</v>
      </c>
    </row>
    <row r="2594" spans="1:1" x14ac:dyDescent="0.25">
      <c r="A2594" s="9">
        <v>4547482.34</v>
      </c>
    </row>
    <row r="2595" spans="1:1" x14ac:dyDescent="0.25">
      <c r="A2595" s="9">
        <v>4178523.35</v>
      </c>
    </row>
    <row r="2596" spans="1:1" x14ac:dyDescent="0.25">
      <c r="A2596" s="9">
        <v>6239844.5999999996</v>
      </c>
    </row>
    <row r="2597" spans="1:1" x14ac:dyDescent="0.25">
      <c r="A2597" s="9">
        <v>9671996.2699999996</v>
      </c>
    </row>
    <row r="2598" spans="1:1" x14ac:dyDescent="0.25">
      <c r="A2598" s="9">
        <v>3121087.68</v>
      </c>
    </row>
    <row r="2599" spans="1:1" x14ac:dyDescent="0.25">
      <c r="A2599" s="9">
        <v>3970042.71</v>
      </c>
    </row>
    <row r="2600" spans="1:1" x14ac:dyDescent="0.25">
      <c r="A2600" s="9">
        <v>237383.27</v>
      </c>
    </row>
    <row r="2601" spans="1:1" x14ac:dyDescent="0.25">
      <c r="A2601" s="9">
        <v>5068976.63</v>
      </c>
    </row>
    <row r="2602" spans="1:1" x14ac:dyDescent="0.25">
      <c r="A2602" s="9">
        <v>11851555.039999999</v>
      </c>
    </row>
    <row r="2603" spans="1:1" x14ac:dyDescent="0.25">
      <c r="A2603" s="9">
        <v>17902005.260000002</v>
      </c>
    </row>
    <row r="2604" spans="1:1" x14ac:dyDescent="0.25">
      <c r="A2604" s="9">
        <v>528419.78</v>
      </c>
    </row>
    <row r="2605" spans="1:1" x14ac:dyDescent="0.25">
      <c r="A2605" s="9">
        <v>1571085.8</v>
      </c>
    </row>
    <row r="2606" spans="1:1" x14ac:dyDescent="0.25">
      <c r="A2606" s="9">
        <v>1513812.68</v>
      </c>
    </row>
    <row r="2607" spans="1:1" x14ac:dyDescent="0.25">
      <c r="A2607" s="9">
        <v>2028479.14</v>
      </c>
    </row>
    <row r="2608" spans="1:1" x14ac:dyDescent="0.25">
      <c r="A2608" s="9">
        <v>797224.89</v>
      </c>
    </row>
    <row r="2609" spans="1:1" x14ac:dyDescent="0.25">
      <c r="A2609" s="9">
        <v>6013054.5899999999</v>
      </c>
    </row>
    <row r="2610" spans="1:1" x14ac:dyDescent="0.25">
      <c r="A2610" s="9">
        <v>1577273.04</v>
      </c>
    </row>
    <row r="2611" spans="1:1" x14ac:dyDescent="0.25">
      <c r="A2611">
        <v>0</v>
      </c>
    </row>
    <row r="2612" spans="1:1" x14ac:dyDescent="0.25">
      <c r="A2612">
        <v>0</v>
      </c>
    </row>
    <row r="2613" spans="1:1" x14ac:dyDescent="0.25">
      <c r="A2613" s="9">
        <v>684938.5</v>
      </c>
    </row>
    <row r="2614" spans="1:1" x14ac:dyDescent="0.25">
      <c r="A2614">
        <v>0</v>
      </c>
    </row>
    <row r="2615" spans="1:1" x14ac:dyDescent="0.25">
      <c r="A2615" s="9">
        <v>14277316.779999999</v>
      </c>
    </row>
    <row r="2616" spans="1:1" x14ac:dyDescent="0.25">
      <c r="A2616" s="9">
        <v>1381062.88</v>
      </c>
    </row>
    <row r="2617" spans="1:1" x14ac:dyDescent="0.25">
      <c r="A2617" s="9">
        <v>14177220.16</v>
      </c>
    </row>
    <row r="2618" spans="1:1" x14ac:dyDescent="0.25">
      <c r="A2618" s="9">
        <v>16410215.960000001</v>
      </c>
    </row>
    <row r="2619" spans="1:1" x14ac:dyDescent="0.25">
      <c r="A2619">
        <v>168812</v>
      </c>
    </row>
    <row r="2620" spans="1:1" x14ac:dyDescent="0.25">
      <c r="A2620" s="9">
        <v>18812810.350000001</v>
      </c>
    </row>
    <row r="2621" spans="1:1" x14ac:dyDescent="0.25">
      <c r="A2621" s="9">
        <v>6833154.0199999996</v>
      </c>
    </row>
    <row r="2622" spans="1:1" x14ac:dyDescent="0.25">
      <c r="A2622">
        <v>0</v>
      </c>
    </row>
    <row r="2623" spans="1:1" x14ac:dyDescent="0.25">
      <c r="A2623" s="9">
        <v>1546083.08</v>
      </c>
    </row>
    <row r="2624" spans="1:1" x14ac:dyDescent="0.25">
      <c r="A2624" s="9">
        <v>10351583.85</v>
      </c>
    </row>
    <row r="2625" spans="1:1" x14ac:dyDescent="0.25">
      <c r="A2625" s="9">
        <v>2594898.6</v>
      </c>
    </row>
    <row r="2626" spans="1:1" x14ac:dyDescent="0.25">
      <c r="A2626" s="9">
        <v>8807900.9299999997</v>
      </c>
    </row>
    <row r="2627" spans="1:1" x14ac:dyDescent="0.25">
      <c r="A2627" s="9">
        <v>217647.09</v>
      </c>
    </row>
    <row r="2628" spans="1:1" x14ac:dyDescent="0.25">
      <c r="A2628" s="9">
        <v>33530379.77</v>
      </c>
    </row>
    <row r="2629" spans="1:1" x14ac:dyDescent="0.25">
      <c r="A2629" s="9">
        <v>7407451.9800000004</v>
      </c>
    </row>
    <row r="2630" spans="1:1" x14ac:dyDescent="0.25">
      <c r="A2630" s="9">
        <v>458548.29</v>
      </c>
    </row>
    <row r="2631" spans="1:1" x14ac:dyDescent="0.25">
      <c r="A2631" s="9">
        <v>1504357.5</v>
      </c>
    </row>
    <row r="2632" spans="1:1" x14ac:dyDescent="0.25">
      <c r="A2632" s="9">
        <v>1756812.48</v>
      </c>
    </row>
    <row r="2633" spans="1:1" x14ac:dyDescent="0.25">
      <c r="A2633" s="9">
        <v>2873248.68</v>
      </c>
    </row>
    <row r="2634" spans="1:1" x14ac:dyDescent="0.25">
      <c r="A2634">
        <v>0</v>
      </c>
    </row>
    <row r="2635" spans="1:1" x14ac:dyDescent="0.25">
      <c r="A2635" s="9">
        <v>502995.22</v>
      </c>
    </row>
    <row r="2636" spans="1:1" x14ac:dyDescent="0.25">
      <c r="A2636" s="9">
        <v>225978.12</v>
      </c>
    </row>
    <row r="2637" spans="1:1" x14ac:dyDescent="0.25">
      <c r="A2637">
        <v>0</v>
      </c>
    </row>
    <row r="2638" spans="1:1" x14ac:dyDescent="0.25">
      <c r="A2638" s="9">
        <v>39469169.590000004</v>
      </c>
    </row>
    <row r="2639" spans="1:1" x14ac:dyDescent="0.25">
      <c r="A2639" s="9">
        <v>1858097.02</v>
      </c>
    </row>
    <row r="2640" spans="1:1" x14ac:dyDescent="0.25">
      <c r="A2640" s="9">
        <v>3098545.84</v>
      </c>
    </row>
    <row r="2641" spans="1:1" x14ac:dyDescent="0.25">
      <c r="A2641">
        <v>0</v>
      </c>
    </row>
    <row r="2642" spans="1:1" x14ac:dyDescent="0.25">
      <c r="A2642" s="9">
        <v>99811.08</v>
      </c>
    </row>
    <row r="2643" spans="1:1" x14ac:dyDescent="0.25">
      <c r="A2643" s="9">
        <v>9314374.6999999899</v>
      </c>
    </row>
    <row r="2644" spans="1:1" x14ac:dyDescent="0.25">
      <c r="A2644" s="9">
        <v>55490.76</v>
      </c>
    </row>
    <row r="2645" spans="1:1" x14ac:dyDescent="0.25">
      <c r="A2645" s="9">
        <v>2480847.6</v>
      </c>
    </row>
    <row r="2646" spans="1:1" x14ac:dyDescent="0.25">
      <c r="A2646" s="9">
        <v>3419028.46</v>
      </c>
    </row>
    <row r="2647" spans="1:1" x14ac:dyDescent="0.25">
      <c r="A2647" s="9">
        <v>1219242.75</v>
      </c>
    </row>
    <row r="2648" spans="1:1" x14ac:dyDescent="0.25">
      <c r="A2648" s="9">
        <v>8353580.2999999998</v>
      </c>
    </row>
    <row r="2649" spans="1:1" x14ac:dyDescent="0.25">
      <c r="A2649" s="9">
        <v>2247546.5499999998</v>
      </c>
    </row>
    <row r="2650" spans="1:1" x14ac:dyDescent="0.25">
      <c r="A2650" s="9">
        <v>7047737.4499999899</v>
      </c>
    </row>
    <row r="2651" spans="1:1" x14ac:dyDescent="0.25">
      <c r="A2651" s="9">
        <v>3125790.64</v>
      </c>
    </row>
    <row r="2652" spans="1:1" x14ac:dyDescent="0.25">
      <c r="A2652" s="9">
        <v>11051992.93</v>
      </c>
    </row>
    <row r="2653" spans="1:1" x14ac:dyDescent="0.25">
      <c r="A2653">
        <v>0</v>
      </c>
    </row>
    <row r="2654" spans="1:1" x14ac:dyDescent="0.25">
      <c r="A2654" s="9">
        <v>120431.52</v>
      </c>
    </row>
    <row r="2655" spans="1:1" x14ac:dyDescent="0.25">
      <c r="A2655" s="9">
        <v>3389394.88</v>
      </c>
    </row>
    <row r="2656" spans="1:1" x14ac:dyDescent="0.25">
      <c r="A2656" s="9">
        <v>10209123.09</v>
      </c>
    </row>
    <row r="2657" spans="1:1" x14ac:dyDescent="0.25">
      <c r="A2657" s="9">
        <v>9724683.1600000001</v>
      </c>
    </row>
    <row r="2658" spans="1:1" x14ac:dyDescent="0.25">
      <c r="A2658" s="9">
        <v>4429454.04</v>
      </c>
    </row>
    <row r="2659" spans="1:1" x14ac:dyDescent="0.25">
      <c r="A2659" s="9">
        <v>3121087.68</v>
      </c>
    </row>
    <row r="2660" spans="1:1" x14ac:dyDescent="0.25">
      <c r="A2660" s="9">
        <v>322284.64</v>
      </c>
    </row>
    <row r="2661" spans="1:1" x14ac:dyDescent="0.25">
      <c r="A2661">
        <v>0</v>
      </c>
    </row>
    <row r="2662" spans="1:1" x14ac:dyDescent="0.25">
      <c r="A2662" s="9">
        <v>1811669.64</v>
      </c>
    </row>
    <row r="2663" spans="1:1" x14ac:dyDescent="0.25">
      <c r="A2663" s="9">
        <v>355959.64</v>
      </c>
    </row>
    <row r="2664" spans="1:1" x14ac:dyDescent="0.25">
      <c r="A2664" s="9">
        <v>55235.28</v>
      </c>
    </row>
    <row r="2665" spans="1:1" x14ac:dyDescent="0.25">
      <c r="A2665">
        <v>0</v>
      </c>
    </row>
    <row r="2666" spans="1:1" x14ac:dyDescent="0.25">
      <c r="A2666" s="9">
        <v>973218.51</v>
      </c>
    </row>
    <row r="2667" spans="1:1" x14ac:dyDescent="0.25">
      <c r="A2667" s="9">
        <v>26614147.629999999</v>
      </c>
    </row>
    <row r="2668" spans="1:1" x14ac:dyDescent="0.25">
      <c r="A2668" s="9">
        <v>28432.95</v>
      </c>
    </row>
    <row r="2669" spans="1:1" x14ac:dyDescent="0.25">
      <c r="A2669">
        <v>43656752</v>
      </c>
    </row>
    <row r="2670" spans="1:1" x14ac:dyDescent="0.25">
      <c r="A2670" s="9">
        <v>1510731.77</v>
      </c>
    </row>
    <row r="2671" spans="1:1" x14ac:dyDescent="0.25">
      <c r="A2671" s="9">
        <v>8802421.1699999999</v>
      </c>
    </row>
    <row r="2672" spans="1:1" x14ac:dyDescent="0.25">
      <c r="A2672" s="9">
        <v>5381249.1799999997</v>
      </c>
    </row>
    <row r="2673" spans="1:1" x14ac:dyDescent="0.25">
      <c r="A2673" s="9">
        <v>16362934.130000001</v>
      </c>
    </row>
    <row r="2674" spans="1:1" x14ac:dyDescent="0.25">
      <c r="A2674" s="9">
        <v>4765760.13</v>
      </c>
    </row>
    <row r="2675" spans="1:1" x14ac:dyDescent="0.25">
      <c r="A2675" s="9">
        <v>243614.5</v>
      </c>
    </row>
    <row r="2676" spans="1:1" x14ac:dyDescent="0.25">
      <c r="A2676" s="9">
        <v>280163.73</v>
      </c>
    </row>
    <row r="2677" spans="1:1" x14ac:dyDescent="0.25">
      <c r="A2677" s="9">
        <v>106620.16</v>
      </c>
    </row>
    <row r="2678" spans="1:1" x14ac:dyDescent="0.25">
      <c r="A2678" s="9">
        <v>184735.48</v>
      </c>
    </row>
    <row r="2679" spans="1:1" x14ac:dyDescent="0.25">
      <c r="A2679" s="9">
        <v>2929830.61</v>
      </c>
    </row>
    <row r="2680" spans="1:1" x14ac:dyDescent="0.25">
      <c r="A2680" s="9">
        <v>10842598.32</v>
      </c>
    </row>
    <row r="2681" spans="1:1" x14ac:dyDescent="0.25">
      <c r="A2681" s="9">
        <v>12268950.369999999</v>
      </c>
    </row>
    <row r="2682" spans="1:1" x14ac:dyDescent="0.25">
      <c r="A2682" s="9">
        <v>102149.02</v>
      </c>
    </row>
    <row r="2683" spans="1:1" x14ac:dyDescent="0.25">
      <c r="A2683" s="9">
        <v>2647967.2999999998</v>
      </c>
    </row>
    <row r="2684" spans="1:1" x14ac:dyDescent="0.25">
      <c r="A2684" s="9">
        <v>244612.63</v>
      </c>
    </row>
    <row r="2685" spans="1:1" x14ac:dyDescent="0.25">
      <c r="A2685">
        <v>0</v>
      </c>
    </row>
    <row r="2686" spans="1:1" x14ac:dyDescent="0.25">
      <c r="A2686" s="9">
        <v>287265.08</v>
      </c>
    </row>
    <row r="2687" spans="1:1" x14ac:dyDescent="0.25">
      <c r="A2687" s="9">
        <v>7143199.8300000001</v>
      </c>
    </row>
    <row r="2688" spans="1:1" x14ac:dyDescent="0.25">
      <c r="A2688" s="9">
        <v>3329748.36</v>
      </c>
    </row>
    <row r="2689" spans="1:1" x14ac:dyDescent="0.25">
      <c r="A2689" s="9">
        <v>518894.93999999901</v>
      </c>
    </row>
    <row r="2690" spans="1:1" x14ac:dyDescent="0.25">
      <c r="A2690" s="9">
        <v>4177376.48</v>
      </c>
    </row>
    <row r="2691" spans="1:1" x14ac:dyDescent="0.25">
      <c r="A2691" s="9">
        <v>149771.68</v>
      </c>
    </row>
    <row r="2692" spans="1:1" x14ac:dyDescent="0.25">
      <c r="A2692" s="9">
        <v>2914572.28</v>
      </c>
    </row>
    <row r="2693" spans="1:1" x14ac:dyDescent="0.25">
      <c r="A2693" s="9">
        <v>286972.06</v>
      </c>
    </row>
    <row r="2694" spans="1:1" x14ac:dyDescent="0.25">
      <c r="A2694">
        <v>0</v>
      </c>
    </row>
    <row r="2695" spans="1:1" x14ac:dyDescent="0.25">
      <c r="A2695">
        <v>0</v>
      </c>
    </row>
    <row r="2696" spans="1:1" x14ac:dyDescent="0.25">
      <c r="A2696">
        <v>0</v>
      </c>
    </row>
    <row r="2697" spans="1:1" x14ac:dyDescent="0.25">
      <c r="A2697" s="9">
        <v>5199669.04</v>
      </c>
    </row>
    <row r="2698" spans="1:1" x14ac:dyDescent="0.25">
      <c r="A2698" s="9">
        <v>313705.74</v>
      </c>
    </row>
    <row r="2699" spans="1:1" x14ac:dyDescent="0.25">
      <c r="A2699">
        <v>0</v>
      </c>
    </row>
    <row r="2700" spans="1:1" x14ac:dyDescent="0.25">
      <c r="A2700" s="9">
        <v>410799.51</v>
      </c>
    </row>
    <row r="2701" spans="1:1" x14ac:dyDescent="0.25">
      <c r="A2701" s="9">
        <v>18421262.73</v>
      </c>
    </row>
    <row r="2702" spans="1:1" x14ac:dyDescent="0.25">
      <c r="A2702" s="9">
        <v>3081296.88</v>
      </c>
    </row>
    <row r="2703" spans="1:1" x14ac:dyDescent="0.25">
      <c r="A2703" s="9">
        <v>13287264.300000001</v>
      </c>
    </row>
    <row r="2704" spans="1:1" x14ac:dyDescent="0.25">
      <c r="A2704" s="9">
        <v>14347318.83</v>
      </c>
    </row>
    <row r="2705" spans="1:1" x14ac:dyDescent="0.25">
      <c r="A2705" s="9">
        <v>6753933.4299999997</v>
      </c>
    </row>
    <row r="2706" spans="1:1" x14ac:dyDescent="0.25">
      <c r="A2706" s="9">
        <v>111413.66</v>
      </c>
    </row>
    <row r="2707" spans="1:1" x14ac:dyDescent="0.25">
      <c r="A2707">
        <v>0</v>
      </c>
    </row>
    <row r="2708" spans="1:1" x14ac:dyDescent="0.25">
      <c r="A2708" s="9">
        <v>13740530.199999999</v>
      </c>
    </row>
    <row r="2709" spans="1:1" x14ac:dyDescent="0.25">
      <c r="A2709">
        <v>0</v>
      </c>
    </row>
    <row r="2710" spans="1:1" x14ac:dyDescent="0.25">
      <c r="A2710" s="9">
        <v>473129.04</v>
      </c>
    </row>
    <row r="2711" spans="1:1" x14ac:dyDescent="0.25">
      <c r="A2711" s="9">
        <v>3070231</v>
      </c>
    </row>
    <row r="2712" spans="1:1" x14ac:dyDescent="0.25">
      <c r="A2712" s="9">
        <v>158296.79999999999</v>
      </c>
    </row>
    <row r="2713" spans="1:1" x14ac:dyDescent="0.25">
      <c r="A2713" s="9">
        <v>5740906.0599999996</v>
      </c>
    </row>
    <row r="2714" spans="1:1" x14ac:dyDescent="0.25">
      <c r="A2714" s="9">
        <v>184735.48</v>
      </c>
    </row>
    <row r="2715" spans="1:1" x14ac:dyDescent="0.25">
      <c r="A2715" s="9">
        <v>373180.63</v>
      </c>
    </row>
    <row r="2716" spans="1:1" x14ac:dyDescent="0.25">
      <c r="A2716" s="9">
        <v>10315841.77</v>
      </c>
    </row>
    <row r="2717" spans="1:1" x14ac:dyDescent="0.25">
      <c r="A2717" s="9">
        <v>89327863.599999905</v>
      </c>
    </row>
    <row r="2718" spans="1:1" x14ac:dyDescent="0.25">
      <c r="A2718" s="9">
        <v>20044589.25</v>
      </c>
    </row>
    <row r="2719" spans="1:1" x14ac:dyDescent="0.25">
      <c r="A2719" s="9">
        <v>1326651.6499999999</v>
      </c>
    </row>
    <row r="2720" spans="1:1" x14ac:dyDescent="0.25">
      <c r="A2720" s="9">
        <v>3381011.66</v>
      </c>
    </row>
    <row r="2721" spans="1:1" x14ac:dyDescent="0.25">
      <c r="A2721">
        <v>0</v>
      </c>
    </row>
    <row r="2722" spans="1:1" x14ac:dyDescent="0.25">
      <c r="A2722" s="9">
        <v>2756039.79</v>
      </c>
    </row>
    <row r="2723" spans="1:1" x14ac:dyDescent="0.25">
      <c r="A2723" s="9">
        <v>18951492.899999999</v>
      </c>
    </row>
    <row r="2724" spans="1:1" x14ac:dyDescent="0.25">
      <c r="A2724" s="9">
        <v>1921238.97</v>
      </c>
    </row>
    <row r="2725" spans="1:1" x14ac:dyDescent="0.25">
      <c r="A2725" s="9">
        <v>3718374.34</v>
      </c>
    </row>
    <row r="2726" spans="1:1" x14ac:dyDescent="0.25">
      <c r="A2726" s="9">
        <v>3982196.58</v>
      </c>
    </row>
    <row r="2727" spans="1:1" x14ac:dyDescent="0.25">
      <c r="A2727" s="9">
        <v>310174.05</v>
      </c>
    </row>
    <row r="2728" spans="1:1" x14ac:dyDescent="0.25">
      <c r="A2728" s="9">
        <v>862912.36</v>
      </c>
    </row>
    <row r="2729" spans="1:1" x14ac:dyDescent="0.25">
      <c r="A2729">
        <v>0</v>
      </c>
    </row>
    <row r="2730" spans="1:1" x14ac:dyDescent="0.25">
      <c r="A2730" s="9">
        <v>2123607.75</v>
      </c>
    </row>
    <row r="2731" spans="1:1" x14ac:dyDescent="0.25">
      <c r="A2731" s="9">
        <v>2950395.61</v>
      </c>
    </row>
    <row r="2732" spans="1:1" x14ac:dyDescent="0.25">
      <c r="A2732" s="9">
        <v>5898009.6799999997</v>
      </c>
    </row>
    <row r="2733" spans="1:1" x14ac:dyDescent="0.25">
      <c r="A2733" s="9">
        <v>9462136.02999999</v>
      </c>
    </row>
    <row r="2734" spans="1:1" x14ac:dyDescent="0.25">
      <c r="A2734" s="9">
        <v>9353832.5299999993</v>
      </c>
    </row>
    <row r="2735" spans="1:1" x14ac:dyDescent="0.25">
      <c r="A2735" s="9">
        <v>6425192.7000000002</v>
      </c>
    </row>
    <row r="2736" spans="1:1" x14ac:dyDescent="0.25">
      <c r="A2736" s="9">
        <v>1406504.61</v>
      </c>
    </row>
    <row r="2737" spans="1:1" x14ac:dyDescent="0.25">
      <c r="A2737" s="9">
        <v>4046582.18</v>
      </c>
    </row>
    <row r="2738" spans="1:1" x14ac:dyDescent="0.25">
      <c r="A2738" s="9">
        <v>3081296.88</v>
      </c>
    </row>
    <row r="2739" spans="1:1" x14ac:dyDescent="0.25">
      <c r="A2739" s="9">
        <v>4951297.5999999996</v>
      </c>
    </row>
    <row r="2740" spans="1:1" x14ac:dyDescent="0.25">
      <c r="A2740" s="9">
        <v>4924967.43</v>
      </c>
    </row>
    <row r="2741" spans="1:1" x14ac:dyDescent="0.25">
      <c r="A2741" s="9">
        <v>22904470.219999999</v>
      </c>
    </row>
    <row r="2742" spans="1:1" x14ac:dyDescent="0.25">
      <c r="A2742" s="9">
        <v>506370.46</v>
      </c>
    </row>
    <row r="2743" spans="1:1" x14ac:dyDescent="0.25">
      <c r="A2743" s="9">
        <v>3064343.96</v>
      </c>
    </row>
    <row r="2744" spans="1:1" x14ac:dyDescent="0.25">
      <c r="A2744">
        <v>168812</v>
      </c>
    </row>
    <row r="2745" spans="1:1" x14ac:dyDescent="0.25">
      <c r="A2745">
        <v>0</v>
      </c>
    </row>
    <row r="2746" spans="1:1" x14ac:dyDescent="0.25">
      <c r="A2746" s="9">
        <v>588293.56999999995</v>
      </c>
    </row>
    <row r="2747" spans="1:1" x14ac:dyDescent="0.25">
      <c r="A2747" s="9">
        <v>8844462.1600000001</v>
      </c>
    </row>
    <row r="2748" spans="1:1" x14ac:dyDescent="0.25">
      <c r="A2748" s="9">
        <v>2829164.35</v>
      </c>
    </row>
    <row r="2749" spans="1:1" x14ac:dyDescent="0.25">
      <c r="A2749" s="9">
        <v>4573518.25</v>
      </c>
    </row>
    <row r="2750" spans="1:1" x14ac:dyDescent="0.25">
      <c r="A2750" s="9">
        <v>94400.639999999999</v>
      </c>
    </row>
    <row r="2751" spans="1:1" x14ac:dyDescent="0.25">
      <c r="A2751" s="9">
        <v>603174.14</v>
      </c>
    </row>
    <row r="2752" spans="1:1" x14ac:dyDescent="0.25">
      <c r="A2752" s="9">
        <v>486596.32</v>
      </c>
    </row>
    <row r="2753" spans="1:1" x14ac:dyDescent="0.25">
      <c r="A2753" s="9">
        <v>223878.2</v>
      </c>
    </row>
    <row r="2754" spans="1:1" x14ac:dyDescent="0.25">
      <c r="A2754">
        <v>0</v>
      </c>
    </row>
    <row r="2755" spans="1:1" x14ac:dyDescent="0.25">
      <c r="A2755">
        <v>0</v>
      </c>
    </row>
    <row r="2756" spans="1:1" x14ac:dyDescent="0.25">
      <c r="A2756">
        <v>0</v>
      </c>
    </row>
    <row r="2757" spans="1:1" x14ac:dyDescent="0.25">
      <c r="A2757" s="9">
        <v>3121087.68</v>
      </c>
    </row>
    <row r="2758" spans="1:1" x14ac:dyDescent="0.25">
      <c r="A2758">
        <v>0</v>
      </c>
    </row>
    <row r="2759" spans="1:1" x14ac:dyDescent="0.25">
      <c r="A2759" s="9">
        <v>99811.08</v>
      </c>
    </row>
    <row r="2760" spans="1:1" x14ac:dyDescent="0.25">
      <c r="A2760" s="9">
        <v>3121087.68</v>
      </c>
    </row>
    <row r="2761" spans="1:1" x14ac:dyDescent="0.25">
      <c r="A2761">
        <v>0</v>
      </c>
    </row>
    <row r="2762" spans="1:1" x14ac:dyDescent="0.25">
      <c r="A2762" s="9">
        <v>2771070.99</v>
      </c>
    </row>
    <row r="2763" spans="1:1" x14ac:dyDescent="0.25">
      <c r="A2763">
        <v>0</v>
      </c>
    </row>
    <row r="2764" spans="1:1" x14ac:dyDescent="0.25">
      <c r="A2764">
        <v>0</v>
      </c>
    </row>
    <row r="2765" spans="1:1" x14ac:dyDescent="0.25">
      <c r="A2765" s="9">
        <v>13782068.449999999</v>
      </c>
    </row>
    <row r="2766" spans="1:1" x14ac:dyDescent="0.25">
      <c r="A2766" s="9">
        <v>206723.34</v>
      </c>
    </row>
    <row r="2767" spans="1:1" x14ac:dyDescent="0.25">
      <c r="A2767" s="9">
        <v>6610521.5199999996</v>
      </c>
    </row>
    <row r="2768" spans="1:1" x14ac:dyDescent="0.25">
      <c r="A2768" s="9">
        <v>206723.34</v>
      </c>
    </row>
    <row r="2769" spans="1:1" x14ac:dyDescent="0.25">
      <c r="A2769" s="9">
        <v>35714.1</v>
      </c>
    </row>
    <row r="2770" spans="1:1" x14ac:dyDescent="0.25">
      <c r="A2770" s="9">
        <v>261559.04000000001</v>
      </c>
    </row>
    <row r="2771" spans="1:1" x14ac:dyDescent="0.25">
      <c r="A2771" s="9">
        <v>2341671.86</v>
      </c>
    </row>
    <row r="2772" spans="1:1" x14ac:dyDescent="0.25">
      <c r="A2772" s="9">
        <v>1460152.98</v>
      </c>
    </row>
    <row r="2773" spans="1:1" x14ac:dyDescent="0.25">
      <c r="A2773">
        <v>0</v>
      </c>
    </row>
    <row r="2774" spans="1:1" x14ac:dyDescent="0.25">
      <c r="A2774">
        <v>0</v>
      </c>
    </row>
    <row r="2775" spans="1:1" x14ac:dyDescent="0.25">
      <c r="A2775" s="9">
        <v>1864753.62</v>
      </c>
    </row>
    <row r="2776" spans="1:1" x14ac:dyDescent="0.25">
      <c r="A2776" s="9">
        <v>3042479.32</v>
      </c>
    </row>
    <row r="2777" spans="1:1" x14ac:dyDescent="0.25">
      <c r="A2777" s="9">
        <v>638199.02999999898</v>
      </c>
    </row>
    <row r="2778" spans="1:1" x14ac:dyDescent="0.25">
      <c r="A2778">
        <v>0</v>
      </c>
    </row>
    <row r="2779" spans="1:1" x14ac:dyDescent="0.25">
      <c r="A2779" s="9">
        <v>8690278.3000000007</v>
      </c>
    </row>
    <row r="2780" spans="1:1" x14ac:dyDescent="0.25">
      <c r="A2780" s="9">
        <v>1872817.2</v>
      </c>
    </row>
    <row r="2781" spans="1:1" x14ac:dyDescent="0.25">
      <c r="A2781" s="9">
        <v>5053520.25</v>
      </c>
    </row>
    <row r="2782" spans="1:1" x14ac:dyDescent="0.25">
      <c r="A2782" s="9">
        <v>31688310.370000001</v>
      </c>
    </row>
    <row r="2783" spans="1:1" x14ac:dyDescent="0.25">
      <c r="A2783" s="9">
        <v>3204375.15</v>
      </c>
    </row>
    <row r="2784" spans="1:1" x14ac:dyDescent="0.25">
      <c r="A2784">
        <v>0</v>
      </c>
    </row>
    <row r="2785" spans="1:1" x14ac:dyDescent="0.25">
      <c r="A2785" s="9">
        <v>2254666.54</v>
      </c>
    </row>
    <row r="2786" spans="1:1" x14ac:dyDescent="0.25">
      <c r="A2786" s="9">
        <v>3236572.14</v>
      </c>
    </row>
    <row r="2787" spans="1:1" x14ac:dyDescent="0.25">
      <c r="A2787">
        <v>0</v>
      </c>
    </row>
    <row r="2788" spans="1:1" x14ac:dyDescent="0.25">
      <c r="A2788" s="9">
        <v>8692369.0999999996</v>
      </c>
    </row>
    <row r="2789" spans="1:1" x14ac:dyDescent="0.25">
      <c r="A2789" s="9">
        <v>99811.08</v>
      </c>
    </row>
    <row r="2790" spans="1:1" x14ac:dyDescent="0.25">
      <c r="A2790" s="9">
        <v>4112786.3</v>
      </c>
    </row>
    <row r="2791" spans="1:1" x14ac:dyDescent="0.25">
      <c r="A2791" s="9">
        <v>1184691.95</v>
      </c>
    </row>
    <row r="2792" spans="1:1" x14ac:dyDescent="0.25">
      <c r="A2792" s="9">
        <v>8098785.7800000003</v>
      </c>
    </row>
    <row r="2793" spans="1:1" x14ac:dyDescent="0.25">
      <c r="A2793" s="9">
        <v>5923859.0499999998</v>
      </c>
    </row>
    <row r="2794" spans="1:1" x14ac:dyDescent="0.25">
      <c r="A2794" s="9">
        <v>4889731.04</v>
      </c>
    </row>
    <row r="2795" spans="1:1" x14ac:dyDescent="0.25">
      <c r="A2795" s="9">
        <v>298661.02</v>
      </c>
    </row>
    <row r="2796" spans="1:1" x14ac:dyDescent="0.25">
      <c r="A2796" s="9">
        <v>1608002.21</v>
      </c>
    </row>
    <row r="2797" spans="1:1" x14ac:dyDescent="0.25">
      <c r="A2797" s="9">
        <v>1262827.83</v>
      </c>
    </row>
    <row r="2798" spans="1:1" x14ac:dyDescent="0.25">
      <c r="A2798">
        <v>0</v>
      </c>
    </row>
    <row r="2799" spans="1:1" x14ac:dyDescent="0.25">
      <c r="A2799" s="9">
        <v>1449725.44</v>
      </c>
    </row>
    <row r="2800" spans="1:1" x14ac:dyDescent="0.25">
      <c r="A2800">
        <v>0</v>
      </c>
    </row>
    <row r="2801" spans="1:1" x14ac:dyDescent="0.25">
      <c r="A2801" s="9">
        <v>16530035.25</v>
      </c>
    </row>
    <row r="2802" spans="1:1" x14ac:dyDescent="0.25">
      <c r="A2802" s="9">
        <v>3135113.66</v>
      </c>
    </row>
    <row r="2803" spans="1:1" x14ac:dyDescent="0.25">
      <c r="A2803">
        <v>0</v>
      </c>
    </row>
    <row r="2804" spans="1:1" x14ac:dyDescent="0.25">
      <c r="A2804" s="9">
        <v>18867873.07</v>
      </c>
    </row>
    <row r="2805" spans="1:1" x14ac:dyDescent="0.25">
      <c r="A2805" s="9">
        <v>27920546.920000002</v>
      </c>
    </row>
    <row r="2806" spans="1:1" x14ac:dyDescent="0.25">
      <c r="A2806">
        <v>0</v>
      </c>
    </row>
    <row r="2807" spans="1:1" x14ac:dyDescent="0.25">
      <c r="A2807" s="9">
        <v>32367238.620000001</v>
      </c>
    </row>
    <row r="2808" spans="1:1" x14ac:dyDescent="0.25">
      <c r="A2808" s="9">
        <v>96805.53</v>
      </c>
    </row>
    <row r="2809" spans="1:1" x14ac:dyDescent="0.25">
      <c r="A2809" s="9">
        <v>106216.26</v>
      </c>
    </row>
    <row r="2810" spans="1:1" x14ac:dyDescent="0.25">
      <c r="A2810" s="9">
        <v>50964587.939999998</v>
      </c>
    </row>
    <row r="2811" spans="1:1" x14ac:dyDescent="0.25">
      <c r="A2811" s="9">
        <v>2418416.7400000002</v>
      </c>
    </row>
    <row r="2812" spans="1:1" x14ac:dyDescent="0.25">
      <c r="A2812" s="9">
        <v>2901031.98</v>
      </c>
    </row>
    <row r="2813" spans="1:1" x14ac:dyDescent="0.25">
      <c r="A2813" s="9">
        <v>3048197.74</v>
      </c>
    </row>
    <row r="2814" spans="1:1" x14ac:dyDescent="0.25">
      <c r="A2814" s="9">
        <v>105702.6</v>
      </c>
    </row>
    <row r="2815" spans="1:1" x14ac:dyDescent="0.25">
      <c r="A2815" s="9">
        <v>30530366.16</v>
      </c>
    </row>
    <row r="2816" spans="1:1" x14ac:dyDescent="0.25">
      <c r="A2816" s="9">
        <v>465173.33</v>
      </c>
    </row>
    <row r="2817" spans="1:1" x14ac:dyDescent="0.25">
      <c r="A2817" s="9">
        <v>169078.18</v>
      </c>
    </row>
    <row r="2818" spans="1:1" x14ac:dyDescent="0.25">
      <c r="A2818" s="9">
        <v>6439677.3200000003</v>
      </c>
    </row>
    <row r="2819" spans="1:1" x14ac:dyDescent="0.25">
      <c r="A2819" s="9">
        <v>3271621.31</v>
      </c>
    </row>
    <row r="2820" spans="1:1" x14ac:dyDescent="0.25">
      <c r="A2820" s="9">
        <v>10753219.369999999</v>
      </c>
    </row>
    <row r="2821" spans="1:1" x14ac:dyDescent="0.25">
      <c r="A2821" s="9">
        <v>209094.97</v>
      </c>
    </row>
    <row r="2822" spans="1:1" x14ac:dyDescent="0.25">
      <c r="A2822" s="9">
        <v>11501358.83</v>
      </c>
    </row>
    <row r="2823" spans="1:1" x14ac:dyDescent="0.25">
      <c r="A2823" s="9">
        <v>9979817.8000000007</v>
      </c>
    </row>
    <row r="2824" spans="1:1" x14ac:dyDescent="0.25">
      <c r="A2824" s="9">
        <v>8390116.5999999996</v>
      </c>
    </row>
    <row r="2825" spans="1:1" x14ac:dyDescent="0.25">
      <c r="A2825" s="9">
        <v>8574920.8200000003</v>
      </c>
    </row>
    <row r="2826" spans="1:1" x14ac:dyDescent="0.25">
      <c r="A2826">
        <v>0</v>
      </c>
    </row>
    <row r="2827" spans="1:1" x14ac:dyDescent="0.25">
      <c r="A2827">
        <v>0</v>
      </c>
    </row>
    <row r="2828" spans="1:1" x14ac:dyDescent="0.25">
      <c r="A2828" s="9">
        <v>765407.929999999</v>
      </c>
    </row>
    <row r="2829" spans="1:1" x14ac:dyDescent="0.25">
      <c r="A2829" s="9">
        <v>24867454.030000001</v>
      </c>
    </row>
    <row r="2830" spans="1:1" x14ac:dyDescent="0.25">
      <c r="A2830" s="9">
        <v>554293.57999999996</v>
      </c>
    </row>
    <row r="2831" spans="1:1" x14ac:dyDescent="0.25">
      <c r="A2831" s="9">
        <v>21256293.960000001</v>
      </c>
    </row>
    <row r="2832" spans="1:1" x14ac:dyDescent="0.25">
      <c r="A2832" s="9">
        <v>38473162.099999897</v>
      </c>
    </row>
    <row r="2833" spans="1:1" x14ac:dyDescent="0.25">
      <c r="A2833" s="9">
        <v>129640.48</v>
      </c>
    </row>
    <row r="2834" spans="1:1" x14ac:dyDescent="0.25">
      <c r="A2834" s="9">
        <v>2582834.94</v>
      </c>
    </row>
    <row r="2835" spans="1:1" x14ac:dyDescent="0.25">
      <c r="A2835" s="9">
        <v>7552026.0800000001</v>
      </c>
    </row>
    <row r="2836" spans="1:1" x14ac:dyDescent="0.25">
      <c r="A2836" s="9">
        <v>2441747.16</v>
      </c>
    </row>
    <row r="2837" spans="1:1" x14ac:dyDescent="0.25">
      <c r="A2837">
        <v>0</v>
      </c>
    </row>
    <row r="2838" spans="1:1" x14ac:dyDescent="0.25">
      <c r="A2838" s="9">
        <v>28432.95</v>
      </c>
    </row>
    <row r="2839" spans="1:1" x14ac:dyDescent="0.25">
      <c r="A2839" s="9">
        <v>24068973.539999999</v>
      </c>
    </row>
    <row r="2840" spans="1:1" x14ac:dyDescent="0.25">
      <c r="A2840" s="9">
        <v>151877.25</v>
      </c>
    </row>
    <row r="2841" spans="1:1" x14ac:dyDescent="0.25">
      <c r="A2841" s="9">
        <v>180596.36</v>
      </c>
    </row>
    <row r="2842" spans="1:1" x14ac:dyDescent="0.25">
      <c r="A2842" s="9">
        <v>3488981.61</v>
      </c>
    </row>
    <row r="2843" spans="1:1" x14ac:dyDescent="0.25">
      <c r="A2843">
        <v>0</v>
      </c>
    </row>
    <row r="2844" spans="1:1" x14ac:dyDescent="0.25">
      <c r="A2844">
        <v>0</v>
      </c>
    </row>
    <row r="2845" spans="1:1" x14ac:dyDescent="0.25">
      <c r="A2845" s="9">
        <v>529522.82999999996</v>
      </c>
    </row>
    <row r="2846" spans="1:1" x14ac:dyDescent="0.25">
      <c r="A2846" s="9">
        <v>14462054.49</v>
      </c>
    </row>
    <row r="2847" spans="1:1" x14ac:dyDescent="0.25">
      <c r="A2847" s="9">
        <v>205071.26</v>
      </c>
    </row>
    <row r="2848" spans="1:1" x14ac:dyDescent="0.25">
      <c r="A2848" s="9">
        <v>39271019.100000001</v>
      </c>
    </row>
    <row r="2849" spans="1:1" x14ac:dyDescent="0.25">
      <c r="A2849" s="9">
        <v>2494143.7000000002</v>
      </c>
    </row>
    <row r="2850" spans="1:1" x14ac:dyDescent="0.25">
      <c r="A2850" s="9">
        <v>3253794.64</v>
      </c>
    </row>
    <row r="2851" spans="1:1" x14ac:dyDescent="0.25">
      <c r="A2851" s="9">
        <v>370987.38</v>
      </c>
    </row>
    <row r="2852" spans="1:1" x14ac:dyDescent="0.25">
      <c r="A2852" s="9">
        <v>4650471.5599999996</v>
      </c>
    </row>
    <row r="2853" spans="1:1" x14ac:dyDescent="0.25">
      <c r="A2853" s="9">
        <v>4295862.08</v>
      </c>
    </row>
    <row r="2854" spans="1:1" x14ac:dyDescent="0.25">
      <c r="A2854" s="9">
        <v>1349530.65</v>
      </c>
    </row>
    <row r="2855" spans="1:1" x14ac:dyDescent="0.25">
      <c r="A2855" s="9">
        <v>579694.87</v>
      </c>
    </row>
    <row r="2856" spans="1:1" x14ac:dyDescent="0.25">
      <c r="A2856" s="9">
        <v>149183.43</v>
      </c>
    </row>
    <row r="2857" spans="1:1" x14ac:dyDescent="0.25">
      <c r="A2857">
        <v>0</v>
      </c>
    </row>
    <row r="2858" spans="1:1" x14ac:dyDescent="0.25">
      <c r="A2858" s="9">
        <v>4407710.42</v>
      </c>
    </row>
    <row r="2859" spans="1:1" x14ac:dyDescent="0.25">
      <c r="A2859">
        <v>0</v>
      </c>
    </row>
    <row r="2860" spans="1:1" x14ac:dyDescent="0.25">
      <c r="A2860" s="9">
        <v>413557.97</v>
      </c>
    </row>
    <row r="2861" spans="1:1" x14ac:dyDescent="0.25">
      <c r="A2861">
        <v>0</v>
      </c>
    </row>
    <row r="2862" spans="1:1" x14ac:dyDescent="0.25">
      <c r="A2862" s="9">
        <v>233431.91</v>
      </c>
    </row>
    <row r="2863" spans="1:1" x14ac:dyDescent="0.25">
      <c r="A2863" s="9">
        <v>7358784.7199999997</v>
      </c>
    </row>
    <row r="2864" spans="1:1" x14ac:dyDescent="0.25">
      <c r="A2864" s="9">
        <v>245626.16</v>
      </c>
    </row>
    <row r="2865" spans="1:1" x14ac:dyDescent="0.25">
      <c r="A2865">
        <v>0</v>
      </c>
    </row>
    <row r="2866" spans="1:1" x14ac:dyDescent="0.25">
      <c r="A2866">
        <v>0</v>
      </c>
    </row>
    <row r="2867" spans="1:1" x14ac:dyDescent="0.25">
      <c r="A2867" s="9">
        <v>3043252.11</v>
      </c>
    </row>
    <row r="2868" spans="1:1" x14ac:dyDescent="0.25">
      <c r="A2868" s="9">
        <v>197756.64</v>
      </c>
    </row>
    <row r="2869" spans="1:1" x14ac:dyDescent="0.25">
      <c r="A2869">
        <v>0</v>
      </c>
    </row>
    <row r="2870" spans="1:1" x14ac:dyDescent="0.25">
      <c r="A2870" s="9">
        <v>404292.14</v>
      </c>
    </row>
    <row r="2871" spans="1:1" x14ac:dyDescent="0.25">
      <c r="A2871" s="9">
        <v>11004299.220000001</v>
      </c>
    </row>
    <row r="2872" spans="1:1" x14ac:dyDescent="0.25">
      <c r="A2872" s="9">
        <v>3040104.57</v>
      </c>
    </row>
    <row r="2873" spans="1:1" x14ac:dyDescent="0.25">
      <c r="A2873" s="9">
        <v>564599.48</v>
      </c>
    </row>
    <row r="2874" spans="1:1" x14ac:dyDescent="0.25">
      <c r="A2874" s="9">
        <v>889158.78</v>
      </c>
    </row>
    <row r="2875" spans="1:1" x14ac:dyDescent="0.25">
      <c r="A2875">
        <v>0</v>
      </c>
    </row>
    <row r="2876" spans="1:1" x14ac:dyDescent="0.25">
      <c r="A2876" s="9">
        <v>2286337.31</v>
      </c>
    </row>
    <row r="2877" spans="1:1" x14ac:dyDescent="0.25">
      <c r="A2877" s="9">
        <v>106620.16</v>
      </c>
    </row>
    <row r="2878" spans="1:1" x14ac:dyDescent="0.25">
      <c r="A2878" s="9">
        <v>1261841.3799999999</v>
      </c>
    </row>
    <row r="2879" spans="1:1" x14ac:dyDescent="0.25">
      <c r="A2879" s="9">
        <v>3255929.78</v>
      </c>
    </row>
    <row r="2880" spans="1:1" x14ac:dyDescent="0.25">
      <c r="A2880" s="9">
        <v>6155175.0800000001</v>
      </c>
    </row>
    <row r="2881" spans="1:1" x14ac:dyDescent="0.25">
      <c r="A2881" s="9">
        <v>50317733.439999998</v>
      </c>
    </row>
    <row r="2882" spans="1:1" x14ac:dyDescent="0.25">
      <c r="A2882" s="9">
        <v>769281.21</v>
      </c>
    </row>
    <row r="2883" spans="1:1" x14ac:dyDescent="0.25">
      <c r="A2883">
        <v>0</v>
      </c>
    </row>
    <row r="2884" spans="1:1" x14ac:dyDescent="0.25">
      <c r="A2884">
        <v>0</v>
      </c>
    </row>
    <row r="2885" spans="1:1" x14ac:dyDescent="0.25">
      <c r="A2885" s="9">
        <v>612638.27999999898</v>
      </c>
    </row>
    <row r="2886" spans="1:1" x14ac:dyDescent="0.25">
      <c r="A2886" s="9">
        <v>221295.23</v>
      </c>
    </row>
    <row r="2887" spans="1:1" x14ac:dyDescent="0.25">
      <c r="A2887" s="9">
        <v>10709336.57</v>
      </c>
    </row>
    <row r="2888" spans="1:1" x14ac:dyDescent="0.25">
      <c r="A2888" s="9">
        <v>10843063.369999999</v>
      </c>
    </row>
    <row r="2889" spans="1:1" x14ac:dyDescent="0.25">
      <c r="A2889" s="9">
        <v>38993.599999999999</v>
      </c>
    </row>
    <row r="2890" spans="1:1" x14ac:dyDescent="0.25">
      <c r="A2890" s="9">
        <v>37560632.5</v>
      </c>
    </row>
    <row r="2891" spans="1:1" x14ac:dyDescent="0.25">
      <c r="A2891" s="9">
        <v>27207992.57</v>
      </c>
    </row>
    <row r="2892" spans="1:1" x14ac:dyDescent="0.25">
      <c r="A2892" s="9">
        <v>320915.34000000003</v>
      </c>
    </row>
    <row r="2893" spans="1:1" x14ac:dyDescent="0.25">
      <c r="A2893">
        <v>0</v>
      </c>
    </row>
    <row r="2894" spans="1:1" x14ac:dyDescent="0.25">
      <c r="A2894">
        <v>0</v>
      </c>
    </row>
    <row r="2895" spans="1:1" x14ac:dyDescent="0.25">
      <c r="A2895" s="9">
        <v>20357269.710000001</v>
      </c>
    </row>
    <row r="2896" spans="1:1" x14ac:dyDescent="0.25">
      <c r="A2896" s="9">
        <v>33621560.270000003</v>
      </c>
    </row>
    <row r="2897" spans="1:1" x14ac:dyDescent="0.25">
      <c r="A2897">
        <v>1944663</v>
      </c>
    </row>
    <row r="2898" spans="1:1" x14ac:dyDescent="0.25">
      <c r="A2898" s="9">
        <v>1565317.53</v>
      </c>
    </row>
    <row r="2899" spans="1:1" x14ac:dyDescent="0.25">
      <c r="A2899" s="9">
        <v>438727.96</v>
      </c>
    </row>
    <row r="2900" spans="1:1" x14ac:dyDescent="0.25">
      <c r="A2900" s="9">
        <v>390261.96</v>
      </c>
    </row>
    <row r="2901" spans="1:1" x14ac:dyDescent="0.25">
      <c r="A2901" s="9">
        <v>3106838.01</v>
      </c>
    </row>
    <row r="2902" spans="1:1" x14ac:dyDescent="0.25">
      <c r="A2902" s="9">
        <v>106620.16</v>
      </c>
    </row>
    <row r="2903" spans="1:1" x14ac:dyDescent="0.25">
      <c r="A2903" s="9">
        <v>2370759.83</v>
      </c>
    </row>
    <row r="2904" spans="1:1" x14ac:dyDescent="0.25">
      <c r="A2904" s="9">
        <v>261354.96</v>
      </c>
    </row>
    <row r="2905" spans="1:1" x14ac:dyDescent="0.25">
      <c r="A2905" s="9">
        <v>26705204.91</v>
      </c>
    </row>
    <row r="2906" spans="1:1" x14ac:dyDescent="0.25">
      <c r="A2906" s="9">
        <v>1339313.8400000001</v>
      </c>
    </row>
    <row r="2907" spans="1:1" x14ac:dyDescent="0.25">
      <c r="A2907" s="9">
        <v>1738103.82</v>
      </c>
    </row>
    <row r="2908" spans="1:1" x14ac:dyDescent="0.25">
      <c r="A2908" s="9">
        <v>12651335.119999999</v>
      </c>
    </row>
    <row r="2909" spans="1:1" x14ac:dyDescent="0.25">
      <c r="A2909">
        <v>0</v>
      </c>
    </row>
    <row r="2910" spans="1:1" x14ac:dyDescent="0.25">
      <c r="A2910">
        <v>0</v>
      </c>
    </row>
    <row r="2911" spans="1:1" x14ac:dyDescent="0.25">
      <c r="A2911" s="9">
        <v>4800536.93</v>
      </c>
    </row>
    <row r="2912" spans="1:1" x14ac:dyDescent="0.25">
      <c r="A2912" s="9">
        <v>3074397.98</v>
      </c>
    </row>
    <row r="2913" spans="1:1" x14ac:dyDescent="0.25">
      <c r="A2913" s="9">
        <v>2896717.51</v>
      </c>
    </row>
    <row r="2914" spans="1:1" x14ac:dyDescent="0.25">
      <c r="A2914" s="9">
        <v>163918.42000000001</v>
      </c>
    </row>
    <row r="2915" spans="1:1" x14ac:dyDescent="0.25">
      <c r="A2915" s="9">
        <v>5133336.13</v>
      </c>
    </row>
    <row r="2916" spans="1:1" x14ac:dyDescent="0.25">
      <c r="A2916" s="9">
        <v>15289494.199999999</v>
      </c>
    </row>
    <row r="2917" spans="1:1" x14ac:dyDescent="0.25">
      <c r="A2917" s="9">
        <v>1646664.2</v>
      </c>
    </row>
    <row r="2918" spans="1:1" x14ac:dyDescent="0.25">
      <c r="A2918" s="9">
        <v>65788.36</v>
      </c>
    </row>
    <row r="2919" spans="1:1" x14ac:dyDescent="0.25">
      <c r="A2919" s="9">
        <v>99811.08</v>
      </c>
    </row>
    <row r="2920" spans="1:1" x14ac:dyDescent="0.25">
      <c r="A2920" s="9">
        <v>14829869.82</v>
      </c>
    </row>
    <row r="2921" spans="1:1" x14ac:dyDescent="0.25">
      <c r="A2921" s="9">
        <v>282502.65999999997</v>
      </c>
    </row>
    <row r="2922" spans="1:1" x14ac:dyDescent="0.25">
      <c r="A2922" s="9">
        <v>7366454.3600000003</v>
      </c>
    </row>
    <row r="2923" spans="1:1" x14ac:dyDescent="0.25">
      <c r="A2923">
        <v>0</v>
      </c>
    </row>
    <row r="2924" spans="1:1" x14ac:dyDescent="0.25">
      <c r="A2924" s="9">
        <v>206723.34</v>
      </c>
    </row>
    <row r="2925" spans="1:1" x14ac:dyDescent="0.25">
      <c r="A2925" s="9">
        <v>400208.95</v>
      </c>
    </row>
    <row r="2926" spans="1:1" x14ac:dyDescent="0.25">
      <c r="A2926">
        <v>0</v>
      </c>
    </row>
    <row r="2927" spans="1:1" x14ac:dyDescent="0.25">
      <c r="A2927" s="9">
        <v>38993.599999999999</v>
      </c>
    </row>
    <row r="2928" spans="1:1" x14ac:dyDescent="0.25">
      <c r="A2928" s="9">
        <v>4445953.4800000004</v>
      </c>
    </row>
    <row r="2929" spans="1:1" x14ac:dyDescent="0.25">
      <c r="A2929" s="9">
        <v>173251.05</v>
      </c>
    </row>
    <row r="2930" spans="1:1" x14ac:dyDescent="0.25">
      <c r="A2930">
        <v>0</v>
      </c>
    </row>
    <row r="2931" spans="1:1" x14ac:dyDescent="0.25">
      <c r="A2931" s="9">
        <v>5818800.21</v>
      </c>
    </row>
    <row r="2932" spans="1:1" x14ac:dyDescent="0.25">
      <c r="A2932" s="9">
        <v>3549053.53</v>
      </c>
    </row>
    <row r="2933" spans="1:1" x14ac:dyDescent="0.25">
      <c r="A2933" s="9">
        <v>3624924.89</v>
      </c>
    </row>
    <row r="2934" spans="1:1" x14ac:dyDescent="0.25">
      <c r="A2934" s="9">
        <v>2244573.94</v>
      </c>
    </row>
    <row r="2935" spans="1:1" x14ac:dyDescent="0.25">
      <c r="A2935">
        <v>0</v>
      </c>
    </row>
    <row r="2936" spans="1:1" x14ac:dyDescent="0.25">
      <c r="A2936" s="9">
        <v>4502731.43</v>
      </c>
    </row>
    <row r="2937" spans="1:1" x14ac:dyDescent="0.25">
      <c r="A2937" s="9">
        <v>10970116.83</v>
      </c>
    </row>
    <row r="2938" spans="1:1" x14ac:dyDescent="0.25">
      <c r="A2938">
        <v>0</v>
      </c>
    </row>
    <row r="2939" spans="1:1" x14ac:dyDescent="0.25">
      <c r="A2939" s="9">
        <v>3082855.58</v>
      </c>
    </row>
    <row r="2940" spans="1:1" x14ac:dyDescent="0.25">
      <c r="A2940" s="9">
        <v>954368.64</v>
      </c>
    </row>
    <row r="2941" spans="1:1" x14ac:dyDescent="0.25">
      <c r="A2941" s="9">
        <v>12380821.109999999</v>
      </c>
    </row>
    <row r="2942" spans="1:1" x14ac:dyDescent="0.25">
      <c r="A2942" s="9">
        <v>21758853.699999999</v>
      </c>
    </row>
    <row r="2943" spans="1:1" x14ac:dyDescent="0.25">
      <c r="A2943" s="9">
        <v>11917510.5</v>
      </c>
    </row>
    <row r="2944" spans="1:1" x14ac:dyDescent="0.25">
      <c r="A2944">
        <v>0</v>
      </c>
    </row>
    <row r="2945" spans="1:1" x14ac:dyDescent="0.25">
      <c r="A2945" s="9">
        <v>2658104.2799999998</v>
      </c>
    </row>
    <row r="2946" spans="1:1" x14ac:dyDescent="0.25">
      <c r="A2946">
        <v>1060828</v>
      </c>
    </row>
    <row r="2947" spans="1:1" x14ac:dyDescent="0.25">
      <c r="A2947">
        <v>0</v>
      </c>
    </row>
    <row r="2948" spans="1:1" x14ac:dyDescent="0.25">
      <c r="A2948" s="9">
        <v>237383.27</v>
      </c>
    </row>
    <row r="2949" spans="1:1" x14ac:dyDescent="0.25">
      <c r="A2949" s="9">
        <v>3387349.42</v>
      </c>
    </row>
    <row r="2950" spans="1:1" x14ac:dyDescent="0.25">
      <c r="A2950" s="9">
        <v>14474818.609999999</v>
      </c>
    </row>
    <row r="2951" spans="1:1" x14ac:dyDescent="0.25">
      <c r="A2951" s="9">
        <v>4595452.22</v>
      </c>
    </row>
    <row r="2952" spans="1:1" x14ac:dyDescent="0.25">
      <c r="A2952" s="9">
        <v>26601020.850000001</v>
      </c>
    </row>
    <row r="2953" spans="1:1" x14ac:dyDescent="0.25">
      <c r="A2953" s="9">
        <v>4221307.3</v>
      </c>
    </row>
    <row r="2954" spans="1:1" x14ac:dyDescent="0.25">
      <c r="A2954" s="9">
        <v>5303550.17</v>
      </c>
    </row>
    <row r="2955" spans="1:1" x14ac:dyDescent="0.25">
      <c r="A2955" s="9">
        <v>2270782.13</v>
      </c>
    </row>
    <row r="2956" spans="1:1" x14ac:dyDescent="0.25">
      <c r="A2956" s="9">
        <v>2146255.85</v>
      </c>
    </row>
    <row r="2957" spans="1:1" x14ac:dyDescent="0.25">
      <c r="A2957">
        <v>0</v>
      </c>
    </row>
    <row r="2958" spans="1:1" x14ac:dyDescent="0.25">
      <c r="A2958" s="9">
        <v>2854296.8</v>
      </c>
    </row>
    <row r="2959" spans="1:1" x14ac:dyDescent="0.25">
      <c r="A2959" s="9">
        <v>5250574.52999999</v>
      </c>
    </row>
    <row r="2960" spans="1:1" x14ac:dyDescent="0.25">
      <c r="A2960" s="9">
        <v>81423833.150000006</v>
      </c>
    </row>
    <row r="2961" spans="1:1" x14ac:dyDescent="0.25">
      <c r="A2961" s="9">
        <v>2739364.74</v>
      </c>
    </row>
    <row r="2962" spans="1:1" x14ac:dyDescent="0.25">
      <c r="A2962" s="9">
        <v>3121087.68</v>
      </c>
    </row>
    <row r="2963" spans="1:1" x14ac:dyDescent="0.25">
      <c r="A2963">
        <v>3802860</v>
      </c>
    </row>
    <row r="2964" spans="1:1" x14ac:dyDescent="0.25">
      <c r="A2964" s="9">
        <v>17111048.440000001</v>
      </c>
    </row>
    <row r="2965" spans="1:1" x14ac:dyDescent="0.25">
      <c r="A2965" s="9">
        <v>280163.73</v>
      </c>
    </row>
    <row r="2966" spans="1:1" x14ac:dyDescent="0.25">
      <c r="A2966" s="9">
        <v>1399766.12</v>
      </c>
    </row>
    <row r="2967" spans="1:1" x14ac:dyDescent="0.25">
      <c r="A2967" s="9">
        <v>9105637.52999999</v>
      </c>
    </row>
    <row r="2968" spans="1:1" x14ac:dyDescent="0.25">
      <c r="A2968" s="9">
        <v>28432.95</v>
      </c>
    </row>
    <row r="2969" spans="1:1" x14ac:dyDescent="0.25">
      <c r="A2969">
        <v>0</v>
      </c>
    </row>
    <row r="2970" spans="1:1" x14ac:dyDescent="0.25">
      <c r="A2970" s="9">
        <v>17849066.050000001</v>
      </c>
    </row>
    <row r="2971" spans="1:1" x14ac:dyDescent="0.25">
      <c r="A2971" s="9">
        <v>28432.95</v>
      </c>
    </row>
    <row r="2972" spans="1:1" x14ac:dyDescent="0.25">
      <c r="A2972" s="9">
        <v>407483.68</v>
      </c>
    </row>
    <row r="2973" spans="1:1" x14ac:dyDescent="0.25">
      <c r="A2973" s="9">
        <v>21727423.5</v>
      </c>
    </row>
    <row r="2974" spans="1:1" x14ac:dyDescent="0.25">
      <c r="A2974" s="9">
        <v>6204476.29</v>
      </c>
    </row>
    <row r="2975" spans="1:1" x14ac:dyDescent="0.25">
      <c r="A2975" s="9">
        <v>12529641.779999999</v>
      </c>
    </row>
    <row r="2976" spans="1:1" x14ac:dyDescent="0.25">
      <c r="A2976" s="9">
        <v>1646793.63</v>
      </c>
    </row>
    <row r="2977" spans="1:1" x14ac:dyDescent="0.25">
      <c r="A2977" s="9">
        <v>193859.31</v>
      </c>
    </row>
    <row r="2978" spans="1:1" x14ac:dyDescent="0.25">
      <c r="A2978" s="9">
        <v>11760288.199999999</v>
      </c>
    </row>
    <row r="2979" spans="1:1" x14ac:dyDescent="0.25">
      <c r="A2979" s="9">
        <v>1836981.35</v>
      </c>
    </row>
    <row r="2980" spans="1:1" x14ac:dyDescent="0.25">
      <c r="A2980" s="9">
        <v>56974653.030000001</v>
      </c>
    </row>
    <row r="2981" spans="1:1" x14ac:dyDescent="0.25">
      <c r="A2981" s="9">
        <v>4257400.79</v>
      </c>
    </row>
    <row r="2982" spans="1:1" x14ac:dyDescent="0.25">
      <c r="A2982" s="9">
        <v>436066.43</v>
      </c>
    </row>
    <row r="2983" spans="1:1" x14ac:dyDescent="0.25">
      <c r="A2983" s="9">
        <v>1675569.26</v>
      </c>
    </row>
    <row r="2984" spans="1:1" x14ac:dyDescent="0.25">
      <c r="A2984">
        <v>0</v>
      </c>
    </row>
    <row r="2985" spans="1:1" x14ac:dyDescent="0.25">
      <c r="A2985" s="9">
        <v>3037791.26</v>
      </c>
    </row>
    <row r="2986" spans="1:1" x14ac:dyDescent="0.25">
      <c r="A2986" s="9">
        <v>4217947.3600000003</v>
      </c>
    </row>
    <row r="2987" spans="1:1" x14ac:dyDescent="0.25">
      <c r="A2987" s="9">
        <v>3446351.95</v>
      </c>
    </row>
    <row r="2988" spans="1:1" x14ac:dyDescent="0.25">
      <c r="A2988" s="9">
        <v>82988.849999999904</v>
      </c>
    </row>
    <row r="2989" spans="1:1" x14ac:dyDescent="0.25">
      <c r="A2989" s="9">
        <v>7054695.0700000003</v>
      </c>
    </row>
    <row r="2990" spans="1:1" x14ac:dyDescent="0.25">
      <c r="A2990">
        <v>0</v>
      </c>
    </row>
    <row r="2991" spans="1:1" x14ac:dyDescent="0.25">
      <c r="A2991">
        <v>0</v>
      </c>
    </row>
    <row r="2992" spans="1:1" x14ac:dyDescent="0.25">
      <c r="A2992" s="9">
        <v>3092353.7</v>
      </c>
    </row>
    <row r="2993" spans="1:1" x14ac:dyDescent="0.25">
      <c r="A2993" s="9">
        <v>6863412.1899999902</v>
      </c>
    </row>
    <row r="2994" spans="1:1" x14ac:dyDescent="0.25">
      <c r="A2994" s="9">
        <v>17675114.309999999</v>
      </c>
    </row>
    <row r="2995" spans="1:1" x14ac:dyDescent="0.25">
      <c r="A2995" s="9">
        <v>11068070.73</v>
      </c>
    </row>
    <row r="2996" spans="1:1" x14ac:dyDescent="0.25">
      <c r="A2996" s="9">
        <v>2774449.54</v>
      </c>
    </row>
    <row r="2997" spans="1:1" x14ac:dyDescent="0.25">
      <c r="A2997" s="9">
        <v>797224.89</v>
      </c>
    </row>
    <row r="2998" spans="1:1" x14ac:dyDescent="0.25">
      <c r="A2998">
        <v>0</v>
      </c>
    </row>
    <row r="2999" spans="1:1" x14ac:dyDescent="0.25">
      <c r="A2999" s="9">
        <v>63852.12</v>
      </c>
    </row>
    <row r="3000" spans="1:1" x14ac:dyDescent="0.25">
      <c r="A3000" s="9">
        <v>1481417.32</v>
      </c>
    </row>
    <row r="3001" spans="1:1" x14ac:dyDescent="0.25">
      <c r="A3001" s="9">
        <v>15091566.199999999</v>
      </c>
    </row>
    <row r="3002" spans="1:1" x14ac:dyDescent="0.25">
      <c r="A3002" s="9">
        <v>28432.95</v>
      </c>
    </row>
    <row r="3003" spans="1:1" x14ac:dyDescent="0.25">
      <c r="A3003" s="9">
        <v>4705542.1399999997</v>
      </c>
    </row>
    <row r="3004" spans="1:1" x14ac:dyDescent="0.25">
      <c r="A3004" s="9">
        <v>11905510.83</v>
      </c>
    </row>
    <row r="3005" spans="1:1" x14ac:dyDescent="0.25">
      <c r="A3005" s="9">
        <v>2964451.14</v>
      </c>
    </row>
    <row r="3006" spans="1:1" x14ac:dyDescent="0.25">
      <c r="A3006" s="9">
        <v>9012972.5399999898</v>
      </c>
    </row>
    <row r="3007" spans="1:1" x14ac:dyDescent="0.25">
      <c r="A3007" s="9">
        <v>3823536.34</v>
      </c>
    </row>
    <row r="3008" spans="1:1" x14ac:dyDescent="0.25">
      <c r="A3008" s="9">
        <v>10948504.560000001</v>
      </c>
    </row>
    <row r="3009" spans="1:1" x14ac:dyDescent="0.25">
      <c r="A3009" s="9">
        <v>314832.24</v>
      </c>
    </row>
    <row r="3010" spans="1:1" x14ac:dyDescent="0.25">
      <c r="A3010" s="9">
        <v>4410468.95</v>
      </c>
    </row>
    <row r="3011" spans="1:1" x14ac:dyDescent="0.25">
      <c r="A3011" s="9">
        <v>10437336.15</v>
      </c>
    </row>
    <row r="3012" spans="1:1" x14ac:dyDescent="0.25">
      <c r="A3012" s="9">
        <v>4067147.12</v>
      </c>
    </row>
    <row r="3013" spans="1:1" x14ac:dyDescent="0.25">
      <c r="A3013" s="9">
        <v>145009.26</v>
      </c>
    </row>
    <row r="3014" spans="1:1" x14ac:dyDescent="0.25">
      <c r="A3014" s="9">
        <v>9202465.9499999899</v>
      </c>
    </row>
    <row r="3015" spans="1:1" x14ac:dyDescent="0.25">
      <c r="A3015">
        <v>0</v>
      </c>
    </row>
    <row r="3016" spans="1:1" x14ac:dyDescent="0.25">
      <c r="A3016" s="9">
        <v>1414275.2</v>
      </c>
    </row>
    <row r="3017" spans="1:1" x14ac:dyDescent="0.25">
      <c r="A3017" s="9">
        <v>3514752.51</v>
      </c>
    </row>
    <row r="3018" spans="1:1" x14ac:dyDescent="0.25">
      <c r="A3018" s="9">
        <v>6969278.4900000002</v>
      </c>
    </row>
    <row r="3019" spans="1:1" x14ac:dyDescent="0.25">
      <c r="A3019" s="9">
        <v>1224072.92</v>
      </c>
    </row>
    <row r="3020" spans="1:1" x14ac:dyDescent="0.25">
      <c r="A3020">
        <v>0</v>
      </c>
    </row>
    <row r="3021" spans="1:1" x14ac:dyDescent="0.25">
      <c r="A3021" s="9">
        <v>6460853.4100000001</v>
      </c>
    </row>
    <row r="3022" spans="1:1" x14ac:dyDescent="0.25">
      <c r="A3022">
        <v>0</v>
      </c>
    </row>
    <row r="3023" spans="1:1" x14ac:dyDescent="0.25">
      <c r="A3023" s="9">
        <v>6277962.2400000002</v>
      </c>
    </row>
    <row r="3024" spans="1:1" x14ac:dyDescent="0.25">
      <c r="A3024" s="9">
        <v>3004750.32</v>
      </c>
    </row>
    <row r="3025" spans="1:1" x14ac:dyDescent="0.25">
      <c r="A3025" s="9">
        <v>511162.24</v>
      </c>
    </row>
    <row r="3026" spans="1:1" x14ac:dyDescent="0.25">
      <c r="A3026" s="9">
        <v>4204611.9800000004</v>
      </c>
    </row>
    <row r="3027" spans="1:1" x14ac:dyDescent="0.25">
      <c r="A3027" s="9">
        <v>5845810.6899999902</v>
      </c>
    </row>
    <row r="3028" spans="1:1" x14ac:dyDescent="0.25">
      <c r="A3028" s="9">
        <v>65788.36</v>
      </c>
    </row>
    <row r="3029" spans="1:1" x14ac:dyDescent="0.25">
      <c r="A3029" s="9">
        <v>22134253.789999999</v>
      </c>
    </row>
    <row r="3030" spans="1:1" x14ac:dyDescent="0.25">
      <c r="A3030" s="9">
        <v>5245276.9499999899</v>
      </c>
    </row>
    <row r="3031" spans="1:1" x14ac:dyDescent="0.25">
      <c r="A3031" s="9">
        <v>8136554.25</v>
      </c>
    </row>
    <row r="3032" spans="1:1" x14ac:dyDescent="0.25">
      <c r="A3032" s="9">
        <v>13073889.67</v>
      </c>
    </row>
    <row r="3033" spans="1:1" x14ac:dyDescent="0.25">
      <c r="A3033">
        <v>0</v>
      </c>
    </row>
    <row r="3034" spans="1:1" x14ac:dyDescent="0.25">
      <c r="A3034">
        <v>0</v>
      </c>
    </row>
    <row r="3035" spans="1:1" x14ac:dyDescent="0.25">
      <c r="A3035" s="9">
        <v>1536721.6</v>
      </c>
    </row>
    <row r="3036" spans="1:1" x14ac:dyDescent="0.25">
      <c r="A3036" s="9">
        <v>6047209.7800000003</v>
      </c>
    </row>
    <row r="3037" spans="1:1" x14ac:dyDescent="0.25">
      <c r="A3037" s="9">
        <v>6267441.8200000003</v>
      </c>
    </row>
    <row r="3038" spans="1:1" x14ac:dyDescent="0.25">
      <c r="A3038" s="9">
        <v>31054321.23</v>
      </c>
    </row>
    <row r="3039" spans="1:1" x14ac:dyDescent="0.25">
      <c r="A3039" s="9">
        <v>6139432.5599999996</v>
      </c>
    </row>
    <row r="3040" spans="1:1" x14ac:dyDescent="0.25">
      <c r="A3040" s="9">
        <v>37522215.840000004</v>
      </c>
    </row>
    <row r="3041" spans="1:1" x14ac:dyDescent="0.25">
      <c r="A3041" s="9">
        <v>1344475.18</v>
      </c>
    </row>
    <row r="3042" spans="1:1" x14ac:dyDescent="0.25">
      <c r="A3042">
        <v>0</v>
      </c>
    </row>
    <row r="3043" spans="1:1" x14ac:dyDescent="0.25">
      <c r="A3043" s="9">
        <v>261354.96</v>
      </c>
    </row>
    <row r="3044" spans="1:1" x14ac:dyDescent="0.25">
      <c r="A3044" s="9">
        <v>21208157.559999999</v>
      </c>
    </row>
    <row r="3045" spans="1:1" x14ac:dyDescent="0.25">
      <c r="A3045" s="9">
        <v>8798802.1199999899</v>
      </c>
    </row>
    <row r="3046" spans="1:1" x14ac:dyDescent="0.25">
      <c r="A3046" s="9">
        <v>3856572.41</v>
      </c>
    </row>
    <row r="3047" spans="1:1" x14ac:dyDescent="0.25">
      <c r="A3047" s="9">
        <v>2292363.2200000002</v>
      </c>
    </row>
    <row r="3048" spans="1:1" x14ac:dyDescent="0.25">
      <c r="A3048">
        <v>0</v>
      </c>
    </row>
    <row r="3049" spans="1:1" x14ac:dyDescent="0.25">
      <c r="A3049">
        <v>0</v>
      </c>
    </row>
    <row r="3050" spans="1:1" x14ac:dyDescent="0.25">
      <c r="A3050" s="9">
        <v>30719303.789999999</v>
      </c>
    </row>
    <row r="3051" spans="1:1" x14ac:dyDescent="0.25">
      <c r="A3051">
        <v>0</v>
      </c>
    </row>
    <row r="3052" spans="1:1" x14ac:dyDescent="0.25">
      <c r="A3052" s="9">
        <v>2605249.46</v>
      </c>
    </row>
    <row r="3053" spans="1:1" x14ac:dyDescent="0.25">
      <c r="A3053">
        <v>1944663</v>
      </c>
    </row>
    <row r="3054" spans="1:1" x14ac:dyDescent="0.25">
      <c r="A3054" s="9">
        <v>4955836.9199999897</v>
      </c>
    </row>
    <row r="3055" spans="1:1" x14ac:dyDescent="0.25">
      <c r="A3055" s="9">
        <v>315877.83</v>
      </c>
    </row>
    <row r="3056" spans="1:1" x14ac:dyDescent="0.25">
      <c r="A3056" s="9">
        <v>2546960.4500000002</v>
      </c>
    </row>
    <row r="3057" spans="1:1" x14ac:dyDescent="0.25">
      <c r="A3057" s="9">
        <v>10358780.869999999</v>
      </c>
    </row>
    <row r="3058" spans="1:1" x14ac:dyDescent="0.25">
      <c r="A3058" s="9">
        <v>1541036.54</v>
      </c>
    </row>
    <row r="3059" spans="1:1" x14ac:dyDescent="0.25">
      <c r="A3059" s="9">
        <v>5449157.6099999901</v>
      </c>
    </row>
    <row r="3060" spans="1:1" x14ac:dyDescent="0.25">
      <c r="A3060" s="9">
        <v>8854619.6699999999</v>
      </c>
    </row>
    <row r="3061" spans="1:1" x14ac:dyDescent="0.25">
      <c r="A3061" s="9">
        <v>94400.639999999999</v>
      </c>
    </row>
    <row r="3062" spans="1:1" x14ac:dyDescent="0.25">
      <c r="A3062" s="9">
        <v>14766645.57</v>
      </c>
    </row>
    <row r="3063" spans="1:1" x14ac:dyDescent="0.25">
      <c r="A3063" s="9">
        <v>6078645.4599999897</v>
      </c>
    </row>
    <row r="3064" spans="1:1" x14ac:dyDescent="0.25">
      <c r="A3064" s="9">
        <v>278424.76</v>
      </c>
    </row>
    <row r="3065" spans="1:1" x14ac:dyDescent="0.25">
      <c r="A3065" s="9">
        <v>336055.46</v>
      </c>
    </row>
    <row r="3066" spans="1:1" x14ac:dyDescent="0.25">
      <c r="A3066" s="9">
        <v>55802.559999999998</v>
      </c>
    </row>
    <row r="3067" spans="1:1" x14ac:dyDescent="0.25">
      <c r="A3067">
        <v>0</v>
      </c>
    </row>
    <row r="3068" spans="1:1" x14ac:dyDescent="0.25">
      <c r="A3068" s="9">
        <v>237103.17</v>
      </c>
    </row>
    <row r="3069" spans="1:1" x14ac:dyDescent="0.25">
      <c r="A3069" s="9">
        <v>12939855.890000001</v>
      </c>
    </row>
    <row r="3070" spans="1:1" x14ac:dyDescent="0.25">
      <c r="A3070" s="9">
        <v>613125.5</v>
      </c>
    </row>
    <row r="3071" spans="1:1" x14ac:dyDescent="0.25">
      <c r="A3071" s="9">
        <v>259798.08</v>
      </c>
    </row>
    <row r="3072" spans="1:1" x14ac:dyDescent="0.25">
      <c r="A3072" s="9">
        <v>7252949.2199999997</v>
      </c>
    </row>
    <row r="3073" spans="1:1" x14ac:dyDescent="0.25">
      <c r="A3073" s="9">
        <v>8252071.54</v>
      </c>
    </row>
    <row r="3074" spans="1:1" x14ac:dyDescent="0.25">
      <c r="A3074" s="9">
        <v>2964451.14</v>
      </c>
    </row>
    <row r="3075" spans="1:1" x14ac:dyDescent="0.25">
      <c r="A3075" s="9">
        <v>831384.91</v>
      </c>
    </row>
    <row r="3076" spans="1:1" x14ac:dyDescent="0.25">
      <c r="A3076">
        <v>0</v>
      </c>
    </row>
    <row r="3077" spans="1:1" x14ac:dyDescent="0.25">
      <c r="A3077" s="9">
        <v>5237557.9800000004</v>
      </c>
    </row>
    <row r="3078" spans="1:1" x14ac:dyDescent="0.25">
      <c r="A3078" s="9">
        <v>8143603.1299999999</v>
      </c>
    </row>
    <row r="3079" spans="1:1" x14ac:dyDescent="0.25">
      <c r="A3079" s="9">
        <v>21904539.870000001</v>
      </c>
    </row>
    <row r="3080" spans="1:1" x14ac:dyDescent="0.25">
      <c r="A3080" s="9">
        <v>24146173.109999999</v>
      </c>
    </row>
    <row r="3081" spans="1:1" x14ac:dyDescent="0.25">
      <c r="A3081" s="9">
        <v>4005440.44</v>
      </c>
    </row>
    <row r="3082" spans="1:1" x14ac:dyDescent="0.25">
      <c r="A3082">
        <v>0</v>
      </c>
    </row>
    <row r="3083" spans="1:1" x14ac:dyDescent="0.25">
      <c r="A3083">
        <v>0</v>
      </c>
    </row>
    <row r="3084" spans="1:1" x14ac:dyDescent="0.25">
      <c r="A3084" s="9">
        <v>1406504.61</v>
      </c>
    </row>
    <row r="3085" spans="1:1" x14ac:dyDescent="0.25">
      <c r="A3085" s="9">
        <v>327915.39</v>
      </c>
    </row>
    <row r="3086" spans="1:1" x14ac:dyDescent="0.25">
      <c r="A3086" s="9">
        <v>3271186.6</v>
      </c>
    </row>
    <row r="3087" spans="1:1" x14ac:dyDescent="0.25">
      <c r="A3087" s="9">
        <v>7798257.4699999997</v>
      </c>
    </row>
    <row r="3088" spans="1:1" x14ac:dyDescent="0.25">
      <c r="A3088" s="9">
        <v>2841344.72</v>
      </c>
    </row>
    <row r="3089" spans="1:1" x14ac:dyDescent="0.25">
      <c r="A3089" s="9">
        <v>7457637.1399999997</v>
      </c>
    </row>
    <row r="3090" spans="1:1" x14ac:dyDescent="0.25">
      <c r="A3090" s="9">
        <v>3130882.74</v>
      </c>
    </row>
    <row r="3091" spans="1:1" x14ac:dyDescent="0.25">
      <c r="A3091" s="9">
        <v>2973694.04</v>
      </c>
    </row>
    <row r="3092" spans="1:1" x14ac:dyDescent="0.25">
      <c r="A3092" s="9">
        <v>7952981.6600000001</v>
      </c>
    </row>
    <row r="3093" spans="1:1" x14ac:dyDescent="0.25">
      <c r="A3093" s="9">
        <v>2314215.29</v>
      </c>
    </row>
    <row r="3094" spans="1:1" x14ac:dyDescent="0.25">
      <c r="A3094" s="9">
        <v>53091.6</v>
      </c>
    </row>
    <row r="3095" spans="1:1" x14ac:dyDescent="0.25">
      <c r="A3095" s="9">
        <v>35349956.25</v>
      </c>
    </row>
    <row r="3096" spans="1:1" x14ac:dyDescent="0.25">
      <c r="A3096" s="9">
        <v>328704.40000000002</v>
      </c>
    </row>
    <row r="3097" spans="1:1" x14ac:dyDescent="0.25">
      <c r="A3097" s="9">
        <v>18524082.609999999</v>
      </c>
    </row>
    <row r="3098" spans="1:1" x14ac:dyDescent="0.25">
      <c r="A3098" s="9">
        <v>60402.75</v>
      </c>
    </row>
    <row r="3099" spans="1:1" x14ac:dyDescent="0.25">
      <c r="A3099">
        <v>0</v>
      </c>
    </row>
    <row r="3100" spans="1:1" x14ac:dyDescent="0.25">
      <c r="A3100" s="9">
        <v>1947336.89</v>
      </c>
    </row>
    <row r="3101" spans="1:1" x14ac:dyDescent="0.25">
      <c r="A3101" s="9">
        <v>74236633.340000004</v>
      </c>
    </row>
    <row r="3102" spans="1:1" x14ac:dyDescent="0.25">
      <c r="A3102" s="9">
        <v>221295.23</v>
      </c>
    </row>
    <row r="3103" spans="1:1" x14ac:dyDescent="0.25">
      <c r="A3103" s="9">
        <v>630767.26</v>
      </c>
    </row>
    <row r="3104" spans="1:1" x14ac:dyDescent="0.25">
      <c r="A3104" s="9">
        <v>5722144.5800000001</v>
      </c>
    </row>
    <row r="3105" spans="1:1" x14ac:dyDescent="0.25">
      <c r="A3105">
        <v>0</v>
      </c>
    </row>
    <row r="3106" spans="1:1" x14ac:dyDescent="0.25">
      <c r="A3106" s="9">
        <v>9045370.5099999998</v>
      </c>
    </row>
    <row r="3107" spans="1:1" x14ac:dyDescent="0.25">
      <c r="A3107" s="9">
        <v>227391.9</v>
      </c>
    </row>
    <row r="3108" spans="1:1" x14ac:dyDescent="0.25">
      <c r="A3108" s="9">
        <v>24769497.620000001</v>
      </c>
    </row>
    <row r="3109" spans="1:1" x14ac:dyDescent="0.25">
      <c r="A3109" s="9">
        <v>5039672.25</v>
      </c>
    </row>
    <row r="3110" spans="1:1" x14ac:dyDescent="0.25">
      <c r="A3110" s="9">
        <v>797224.89</v>
      </c>
    </row>
    <row r="3111" spans="1:1" x14ac:dyDescent="0.25">
      <c r="A3111">
        <v>0</v>
      </c>
    </row>
    <row r="3112" spans="1:1" x14ac:dyDescent="0.25">
      <c r="A3112" s="9">
        <v>20866758.25</v>
      </c>
    </row>
    <row r="3113" spans="1:1" x14ac:dyDescent="0.25">
      <c r="A3113" s="9">
        <v>184735.48</v>
      </c>
    </row>
    <row r="3114" spans="1:1" x14ac:dyDescent="0.25">
      <c r="A3114" s="9">
        <v>5578045.27999999</v>
      </c>
    </row>
    <row r="3115" spans="1:1" x14ac:dyDescent="0.25">
      <c r="A3115" s="9">
        <v>11749717.57</v>
      </c>
    </row>
    <row r="3116" spans="1:1" x14ac:dyDescent="0.25">
      <c r="A3116" s="9">
        <v>9015467.0999999996</v>
      </c>
    </row>
    <row r="3117" spans="1:1" x14ac:dyDescent="0.25">
      <c r="A3117" s="9">
        <v>17477553.940000001</v>
      </c>
    </row>
    <row r="3118" spans="1:1" x14ac:dyDescent="0.25">
      <c r="A3118" s="9">
        <v>5828458.5499999998</v>
      </c>
    </row>
    <row r="3119" spans="1:1" x14ac:dyDescent="0.25">
      <c r="A3119">
        <v>0</v>
      </c>
    </row>
    <row r="3120" spans="1:1" x14ac:dyDescent="0.25">
      <c r="A3120" s="9">
        <v>5567011.6299999999</v>
      </c>
    </row>
    <row r="3121" spans="1:1" x14ac:dyDescent="0.25">
      <c r="A3121" s="9">
        <v>7532154.5499999998</v>
      </c>
    </row>
    <row r="3122" spans="1:1" x14ac:dyDescent="0.25">
      <c r="A3122">
        <v>0</v>
      </c>
    </row>
    <row r="3123" spans="1:1" x14ac:dyDescent="0.25">
      <c r="A3123" s="9">
        <v>314832.24</v>
      </c>
    </row>
    <row r="3124" spans="1:1" x14ac:dyDescent="0.25">
      <c r="A3124" s="9">
        <v>7016998.1799999997</v>
      </c>
    </row>
    <row r="3125" spans="1:1" x14ac:dyDescent="0.25">
      <c r="A3125" s="9">
        <v>3754314.12</v>
      </c>
    </row>
    <row r="3126" spans="1:1" x14ac:dyDescent="0.25">
      <c r="A3126" s="9">
        <v>1884693.3</v>
      </c>
    </row>
    <row r="3127" spans="1:1" x14ac:dyDescent="0.25">
      <c r="A3127" s="9">
        <v>114628.94</v>
      </c>
    </row>
    <row r="3128" spans="1:1" x14ac:dyDescent="0.25">
      <c r="A3128" s="9">
        <v>976766.07</v>
      </c>
    </row>
    <row r="3129" spans="1:1" x14ac:dyDescent="0.25">
      <c r="A3129" s="9">
        <v>3834876.47</v>
      </c>
    </row>
    <row r="3130" spans="1:1" x14ac:dyDescent="0.25">
      <c r="A3130" s="9">
        <v>9616643.7400000002</v>
      </c>
    </row>
    <row r="3131" spans="1:1" x14ac:dyDescent="0.25">
      <c r="A3131">
        <v>0</v>
      </c>
    </row>
    <row r="3132" spans="1:1" x14ac:dyDescent="0.25">
      <c r="A3132" s="9">
        <v>179642.07</v>
      </c>
    </row>
    <row r="3133" spans="1:1" x14ac:dyDescent="0.25">
      <c r="A3133">
        <v>0</v>
      </c>
    </row>
    <row r="3134" spans="1:1" x14ac:dyDescent="0.25">
      <c r="A3134">
        <v>3802860</v>
      </c>
    </row>
    <row r="3135" spans="1:1" x14ac:dyDescent="0.25">
      <c r="A3135">
        <v>0</v>
      </c>
    </row>
    <row r="3136" spans="1:1" x14ac:dyDescent="0.25">
      <c r="A3136">
        <v>135778</v>
      </c>
    </row>
    <row r="3137" spans="1:1" x14ac:dyDescent="0.25">
      <c r="A3137" s="9">
        <v>1825807.56</v>
      </c>
    </row>
    <row r="3138" spans="1:1" x14ac:dyDescent="0.25">
      <c r="A3138" s="9">
        <v>513630.51</v>
      </c>
    </row>
    <row r="3139" spans="1:1" x14ac:dyDescent="0.25">
      <c r="A3139" s="9">
        <v>4368160.58</v>
      </c>
    </row>
    <row r="3140" spans="1:1" x14ac:dyDescent="0.25">
      <c r="A3140" s="9">
        <v>2108919.08</v>
      </c>
    </row>
    <row r="3141" spans="1:1" x14ac:dyDescent="0.25">
      <c r="A3141">
        <v>0</v>
      </c>
    </row>
    <row r="3142" spans="1:1" x14ac:dyDescent="0.25">
      <c r="A3142" s="9">
        <v>7699169.0700000003</v>
      </c>
    </row>
    <row r="3143" spans="1:1" x14ac:dyDescent="0.25">
      <c r="A3143" s="9">
        <v>2971822.14</v>
      </c>
    </row>
    <row r="3144" spans="1:1" x14ac:dyDescent="0.25">
      <c r="A3144">
        <v>0</v>
      </c>
    </row>
    <row r="3145" spans="1:1" x14ac:dyDescent="0.25">
      <c r="A3145">
        <v>0</v>
      </c>
    </row>
    <row r="3146" spans="1:1" x14ac:dyDescent="0.25">
      <c r="A3146" s="9">
        <v>254725.9</v>
      </c>
    </row>
    <row r="3147" spans="1:1" x14ac:dyDescent="0.25">
      <c r="A3147">
        <v>0</v>
      </c>
    </row>
    <row r="3148" spans="1:1" x14ac:dyDescent="0.25">
      <c r="A3148" s="9">
        <v>4426433.43</v>
      </c>
    </row>
    <row r="3149" spans="1:1" x14ac:dyDescent="0.25">
      <c r="A3149">
        <v>0</v>
      </c>
    </row>
    <row r="3150" spans="1:1" x14ac:dyDescent="0.25">
      <c r="A3150" s="9">
        <v>533469.72</v>
      </c>
    </row>
    <row r="3151" spans="1:1" x14ac:dyDescent="0.25">
      <c r="A3151" s="9">
        <v>7886528.5199999996</v>
      </c>
    </row>
    <row r="3152" spans="1:1" x14ac:dyDescent="0.25">
      <c r="A3152" s="9">
        <v>6470776.0700000003</v>
      </c>
    </row>
    <row r="3153" spans="1:1" x14ac:dyDescent="0.25">
      <c r="A3153" s="9">
        <v>6499303.52999999</v>
      </c>
    </row>
    <row r="3154" spans="1:1" x14ac:dyDescent="0.25">
      <c r="A3154" s="9">
        <v>408584.35</v>
      </c>
    </row>
    <row r="3155" spans="1:1" x14ac:dyDescent="0.25">
      <c r="A3155">
        <v>0</v>
      </c>
    </row>
    <row r="3156" spans="1:1" x14ac:dyDescent="0.25">
      <c r="A3156">
        <v>0</v>
      </c>
    </row>
    <row r="3157" spans="1:1" x14ac:dyDescent="0.25">
      <c r="A3157" s="9">
        <v>35714.1</v>
      </c>
    </row>
    <row r="3158" spans="1:1" x14ac:dyDescent="0.25">
      <c r="A3158" s="9">
        <v>3089734.44</v>
      </c>
    </row>
    <row r="3159" spans="1:1" x14ac:dyDescent="0.25">
      <c r="A3159" s="9">
        <v>4011999.25</v>
      </c>
    </row>
    <row r="3160" spans="1:1" x14ac:dyDescent="0.25">
      <c r="A3160" s="9">
        <v>35548579.329999998</v>
      </c>
    </row>
    <row r="3161" spans="1:1" x14ac:dyDescent="0.25">
      <c r="A3161" s="9">
        <v>2480847.6</v>
      </c>
    </row>
    <row r="3162" spans="1:1" x14ac:dyDescent="0.25">
      <c r="A3162" s="9">
        <v>16711847.18</v>
      </c>
    </row>
    <row r="3163" spans="1:1" x14ac:dyDescent="0.25">
      <c r="A3163" s="9">
        <v>357178.14</v>
      </c>
    </row>
    <row r="3164" spans="1:1" x14ac:dyDescent="0.25">
      <c r="A3164">
        <v>0</v>
      </c>
    </row>
    <row r="3165" spans="1:1" x14ac:dyDescent="0.25">
      <c r="A3165" s="9">
        <v>1536135.89</v>
      </c>
    </row>
    <row r="3166" spans="1:1" x14ac:dyDescent="0.25">
      <c r="A3166">
        <v>0</v>
      </c>
    </row>
    <row r="3167" spans="1:1" x14ac:dyDescent="0.25">
      <c r="A3167" s="9">
        <v>2697445.48</v>
      </c>
    </row>
    <row r="3168" spans="1:1" x14ac:dyDescent="0.25">
      <c r="A3168" s="9">
        <v>21042317.75</v>
      </c>
    </row>
    <row r="3169" spans="1:1" x14ac:dyDescent="0.25">
      <c r="A3169" s="9">
        <v>38588071.960000001</v>
      </c>
    </row>
    <row r="3170" spans="1:1" x14ac:dyDescent="0.25">
      <c r="A3170">
        <v>0</v>
      </c>
    </row>
    <row r="3171" spans="1:1" x14ac:dyDescent="0.25">
      <c r="A3171" s="9">
        <v>2993720.9</v>
      </c>
    </row>
    <row r="3172" spans="1:1" x14ac:dyDescent="0.25">
      <c r="A3172">
        <v>0</v>
      </c>
    </row>
    <row r="3173" spans="1:1" x14ac:dyDescent="0.25">
      <c r="A3173" s="9">
        <v>3109859.34</v>
      </c>
    </row>
    <row r="3174" spans="1:1" x14ac:dyDescent="0.25">
      <c r="A3174" s="9">
        <v>18241539.530000001</v>
      </c>
    </row>
    <row r="3175" spans="1:1" x14ac:dyDescent="0.25">
      <c r="A3175" s="9">
        <v>155658.72</v>
      </c>
    </row>
    <row r="3176" spans="1:1" x14ac:dyDescent="0.25">
      <c r="A3176" s="9">
        <v>423734.76</v>
      </c>
    </row>
    <row r="3177" spans="1:1" x14ac:dyDescent="0.25">
      <c r="A3177" s="9">
        <v>1205919.6000000001</v>
      </c>
    </row>
    <row r="3178" spans="1:1" x14ac:dyDescent="0.25">
      <c r="A3178" s="9">
        <v>8003718.3200000003</v>
      </c>
    </row>
    <row r="3179" spans="1:1" x14ac:dyDescent="0.25">
      <c r="A3179" s="9">
        <v>10185928.77</v>
      </c>
    </row>
    <row r="3180" spans="1:1" x14ac:dyDescent="0.25">
      <c r="A3180">
        <v>0</v>
      </c>
    </row>
    <row r="3181" spans="1:1" x14ac:dyDescent="0.25">
      <c r="A3181">
        <v>0</v>
      </c>
    </row>
    <row r="3182" spans="1:1" x14ac:dyDescent="0.25">
      <c r="A3182" s="9">
        <v>1933191.33</v>
      </c>
    </row>
    <row r="3183" spans="1:1" x14ac:dyDescent="0.25">
      <c r="A3183" s="9">
        <v>82988.849999999904</v>
      </c>
    </row>
    <row r="3184" spans="1:1" x14ac:dyDescent="0.25">
      <c r="A3184" s="9">
        <v>179642.07</v>
      </c>
    </row>
    <row r="3185" spans="1:1" x14ac:dyDescent="0.25">
      <c r="A3185">
        <v>0</v>
      </c>
    </row>
    <row r="3186" spans="1:1" x14ac:dyDescent="0.25">
      <c r="A3186" s="9">
        <v>8461455.3200000003</v>
      </c>
    </row>
    <row r="3187" spans="1:1" x14ac:dyDescent="0.25">
      <c r="A3187">
        <v>0</v>
      </c>
    </row>
    <row r="3188" spans="1:1" x14ac:dyDescent="0.25">
      <c r="A3188" s="9">
        <v>782451.18</v>
      </c>
    </row>
    <row r="3189" spans="1:1" x14ac:dyDescent="0.25">
      <c r="A3189" s="9">
        <v>3097293.73</v>
      </c>
    </row>
    <row r="3190" spans="1:1" x14ac:dyDescent="0.25">
      <c r="A3190" s="9">
        <v>6815052.7199999997</v>
      </c>
    </row>
    <row r="3191" spans="1:1" x14ac:dyDescent="0.25">
      <c r="A3191">
        <v>0</v>
      </c>
    </row>
    <row r="3192" spans="1:1" x14ac:dyDescent="0.25">
      <c r="A3192" s="9">
        <v>386566.7</v>
      </c>
    </row>
    <row r="3193" spans="1:1" x14ac:dyDescent="0.25">
      <c r="A3193" s="9">
        <v>7181944.9800000004</v>
      </c>
    </row>
    <row r="3194" spans="1:1" x14ac:dyDescent="0.25">
      <c r="A3194" s="9">
        <v>6806704.1799999997</v>
      </c>
    </row>
    <row r="3195" spans="1:1" x14ac:dyDescent="0.25">
      <c r="A3195">
        <v>0</v>
      </c>
    </row>
    <row r="3196" spans="1:1" x14ac:dyDescent="0.25">
      <c r="A3196" s="9">
        <v>2730487.24</v>
      </c>
    </row>
    <row r="3197" spans="1:1" x14ac:dyDescent="0.25">
      <c r="A3197" s="9">
        <v>1715089.21</v>
      </c>
    </row>
    <row r="3198" spans="1:1" x14ac:dyDescent="0.25">
      <c r="A3198" s="9">
        <v>1095638.97</v>
      </c>
    </row>
    <row r="3199" spans="1:1" x14ac:dyDescent="0.25">
      <c r="A3199">
        <v>0</v>
      </c>
    </row>
    <row r="3200" spans="1:1" x14ac:dyDescent="0.25">
      <c r="A3200" s="9">
        <v>4183047.61</v>
      </c>
    </row>
    <row r="3201" spans="1:1" x14ac:dyDescent="0.25">
      <c r="A3201" s="9">
        <v>19796202.059999999</v>
      </c>
    </row>
    <row r="3202" spans="1:1" x14ac:dyDescent="0.25">
      <c r="A3202">
        <v>0</v>
      </c>
    </row>
    <row r="3203" spans="1:1" x14ac:dyDescent="0.25">
      <c r="A3203" s="9">
        <v>4286470.04</v>
      </c>
    </row>
    <row r="3204" spans="1:1" x14ac:dyDescent="0.25">
      <c r="A3204">
        <v>0</v>
      </c>
    </row>
    <row r="3205" spans="1:1" x14ac:dyDescent="0.25">
      <c r="A3205" s="9">
        <v>3721116.25</v>
      </c>
    </row>
    <row r="3206" spans="1:1" x14ac:dyDescent="0.25">
      <c r="A3206" s="9">
        <v>5276968.32</v>
      </c>
    </row>
    <row r="3207" spans="1:1" x14ac:dyDescent="0.25">
      <c r="A3207" s="9">
        <v>89675.3</v>
      </c>
    </row>
    <row r="3208" spans="1:1" x14ac:dyDescent="0.25">
      <c r="A3208">
        <v>0</v>
      </c>
    </row>
    <row r="3209" spans="1:1" x14ac:dyDescent="0.25">
      <c r="A3209" s="9">
        <v>71846.95</v>
      </c>
    </row>
    <row r="3210" spans="1:1" x14ac:dyDescent="0.25">
      <c r="A3210" s="9">
        <v>244113.56</v>
      </c>
    </row>
    <row r="3211" spans="1:1" x14ac:dyDescent="0.25">
      <c r="A3211" s="9">
        <v>15583966.939999999</v>
      </c>
    </row>
    <row r="3212" spans="1:1" x14ac:dyDescent="0.25">
      <c r="A3212" s="9">
        <v>5299407.34</v>
      </c>
    </row>
    <row r="3213" spans="1:1" x14ac:dyDescent="0.25">
      <c r="A3213" s="9">
        <v>184735.48</v>
      </c>
    </row>
    <row r="3214" spans="1:1" x14ac:dyDescent="0.25">
      <c r="A3214" s="9">
        <v>7423026.5800000001</v>
      </c>
    </row>
    <row r="3215" spans="1:1" x14ac:dyDescent="0.25">
      <c r="A3215">
        <v>0</v>
      </c>
    </row>
    <row r="3216" spans="1:1" x14ac:dyDescent="0.25">
      <c r="A3216" s="9">
        <v>44609320.710000001</v>
      </c>
    </row>
    <row r="3217" spans="1:1" x14ac:dyDescent="0.25">
      <c r="A3217" s="9">
        <v>123823.33</v>
      </c>
    </row>
    <row r="3218" spans="1:1" x14ac:dyDescent="0.25">
      <c r="A3218">
        <v>0</v>
      </c>
    </row>
    <row r="3219" spans="1:1" x14ac:dyDescent="0.25">
      <c r="A3219" s="9">
        <v>2965778.68</v>
      </c>
    </row>
    <row r="3220" spans="1:1" x14ac:dyDescent="0.25">
      <c r="A3220" s="9">
        <v>2546960.4500000002</v>
      </c>
    </row>
    <row r="3221" spans="1:1" x14ac:dyDescent="0.25">
      <c r="A3221" s="9">
        <v>5368949.6500000004</v>
      </c>
    </row>
    <row r="3222" spans="1:1" x14ac:dyDescent="0.25">
      <c r="A3222">
        <v>0</v>
      </c>
    </row>
    <row r="3223" spans="1:1" x14ac:dyDescent="0.25">
      <c r="A3223" s="9">
        <v>401376.66</v>
      </c>
    </row>
    <row r="3224" spans="1:1" x14ac:dyDescent="0.25">
      <c r="A3224" s="9">
        <v>1023102.12</v>
      </c>
    </row>
    <row r="3225" spans="1:1" x14ac:dyDescent="0.25">
      <c r="A3225" s="9">
        <v>2196792.63</v>
      </c>
    </row>
    <row r="3226" spans="1:1" x14ac:dyDescent="0.25">
      <c r="A3226" s="9">
        <v>606766.46</v>
      </c>
    </row>
    <row r="3227" spans="1:1" x14ac:dyDescent="0.25">
      <c r="A3227" s="9">
        <v>7478343.7000000002</v>
      </c>
    </row>
    <row r="3228" spans="1:1" x14ac:dyDescent="0.25">
      <c r="A3228" s="9">
        <v>5895986.25</v>
      </c>
    </row>
    <row r="3229" spans="1:1" x14ac:dyDescent="0.25">
      <c r="A3229" s="9">
        <v>4541181.8600000003</v>
      </c>
    </row>
    <row r="3230" spans="1:1" x14ac:dyDescent="0.25">
      <c r="A3230" s="9">
        <v>8722424.3100000005</v>
      </c>
    </row>
    <row r="3231" spans="1:1" x14ac:dyDescent="0.25">
      <c r="A3231" s="9">
        <v>6894948.8799999999</v>
      </c>
    </row>
    <row r="3232" spans="1:1" x14ac:dyDescent="0.25">
      <c r="A3232" s="9">
        <v>3838574.1</v>
      </c>
    </row>
    <row r="3233" spans="1:1" x14ac:dyDescent="0.25">
      <c r="A3233" s="9">
        <v>148737.42000000001</v>
      </c>
    </row>
    <row r="3234" spans="1:1" x14ac:dyDescent="0.25">
      <c r="A3234" s="9">
        <v>1092739.8700000001</v>
      </c>
    </row>
    <row r="3235" spans="1:1" x14ac:dyDescent="0.25">
      <c r="A3235" s="9">
        <v>308129.84000000003</v>
      </c>
    </row>
    <row r="3236" spans="1:1" x14ac:dyDescent="0.25">
      <c r="A3236" s="9">
        <v>3784727.07</v>
      </c>
    </row>
    <row r="3237" spans="1:1" x14ac:dyDescent="0.25">
      <c r="A3237" s="9">
        <v>2209283.84</v>
      </c>
    </row>
    <row r="3238" spans="1:1" x14ac:dyDescent="0.25">
      <c r="A3238" s="9">
        <v>2928145.09</v>
      </c>
    </row>
    <row r="3239" spans="1:1" x14ac:dyDescent="0.25">
      <c r="A3239" s="9">
        <v>1512897.1</v>
      </c>
    </row>
    <row r="3240" spans="1:1" x14ac:dyDescent="0.25">
      <c r="A3240" s="9">
        <v>28317179.370000001</v>
      </c>
    </row>
    <row r="3241" spans="1:1" x14ac:dyDescent="0.25">
      <c r="A3241" s="9">
        <v>2233536.64</v>
      </c>
    </row>
    <row r="3242" spans="1:1" x14ac:dyDescent="0.25">
      <c r="A3242">
        <v>0</v>
      </c>
    </row>
    <row r="3243" spans="1:1" x14ac:dyDescent="0.25">
      <c r="A3243" s="9">
        <v>7206933.71</v>
      </c>
    </row>
    <row r="3244" spans="1:1" x14ac:dyDescent="0.25">
      <c r="A3244" s="9">
        <v>3187844.57</v>
      </c>
    </row>
    <row r="3245" spans="1:1" x14ac:dyDescent="0.25">
      <c r="A3245">
        <v>5933004</v>
      </c>
    </row>
    <row r="3246" spans="1:1" x14ac:dyDescent="0.25">
      <c r="A3246" s="9">
        <v>146917.04</v>
      </c>
    </row>
    <row r="3247" spans="1:1" x14ac:dyDescent="0.25">
      <c r="A3247" s="9">
        <v>2727266.92</v>
      </c>
    </row>
    <row r="3248" spans="1:1" x14ac:dyDescent="0.25">
      <c r="A3248" s="9">
        <v>6578935.3399999999</v>
      </c>
    </row>
    <row r="3249" spans="1:1" x14ac:dyDescent="0.25">
      <c r="A3249" s="9">
        <v>69340507.140000001</v>
      </c>
    </row>
    <row r="3250" spans="1:1" x14ac:dyDescent="0.25">
      <c r="A3250" s="9">
        <v>1198579.23</v>
      </c>
    </row>
    <row r="3251" spans="1:1" x14ac:dyDescent="0.25">
      <c r="A3251" s="9">
        <v>5499597.6799999997</v>
      </c>
    </row>
    <row r="3252" spans="1:1" x14ac:dyDescent="0.25">
      <c r="A3252" s="9">
        <v>4178199.64</v>
      </c>
    </row>
    <row r="3253" spans="1:1" x14ac:dyDescent="0.25">
      <c r="A3253" s="9">
        <v>359680.73</v>
      </c>
    </row>
    <row r="3254" spans="1:1" x14ac:dyDescent="0.25">
      <c r="A3254" s="9">
        <v>314832.24</v>
      </c>
    </row>
    <row r="3255" spans="1:1" x14ac:dyDescent="0.25">
      <c r="A3255" s="9">
        <v>589734.89999999898</v>
      </c>
    </row>
    <row r="3256" spans="1:1" x14ac:dyDescent="0.25">
      <c r="A3256" s="9">
        <v>1976045.81</v>
      </c>
    </row>
    <row r="3257" spans="1:1" x14ac:dyDescent="0.25">
      <c r="A3257" s="9">
        <v>2755660.33</v>
      </c>
    </row>
    <row r="3258" spans="1:1" x14ac:dyDescent="0.25">
      <c r="A3258" s="9">
        <v>37232161.890000001</v>
      </c>
    </row>
    <row r="3259" spans="1:1" x14ac:dyDescent="0.25">
      <c r="A3259" s="9">
        <v>3734000.67</v>
      </c>
    </row>
    <row r="3260" spans="1:1" x14ac:dyDescent="0.25">
      <c r="A3260" s="9">
        <v>3362498.54</v>
      </c>
    </row>
    <row r="3261" spans="1:1" x14ac:dyDescent="0.25">
      <c r="A3261" s="9">
        <v>8790810.6699999999</v>
      </c>
    </row>
    <row r="3262" spans="1:1" x14ac:dyDescent="0.25">
      <c r="A3262" s="9">
        <v>4492405.45</v>
      </c>
    </row>
    <row r="3263" spans="1:1" x14ac:dyDescent="0.25">
      <c r="A3263" s="9">
        <v>2067381.84</v>
      </c>
    </row>
    <row r="3264" spans="1:1" x14ac:dyDescent="0.25">
      <c r="A3264" s="9">
        <v>137493.4</v>
      </c>
    </row>
    <row r="3265" spans="1:1" x14ac:dyDescent="0.25">
      <c r="A3265">
        <v>168812</v>
      </c>
    </row>
    <row r="3266" spans="1:1" x14ac:dyDescent="0.25">
      <c r="A3266">
        <v>0</v>
      </c>
    </row>
    <row r="3267" spans="1:1" x14ac:dyDescent="0.25">
      <c r="A3267" s="9">
        <v>3024653.13</v>
      </c>
    </row>
    <row r="3268" spans="1:1" x14ac:dyDescent="0.25">
      <c r="A3268" s="9">
        <v>3329701.27</v>
      </c>
    </row>
    <row r="3269" spans="1:1" x14ac:dyDescent="0.25">
      <c r="A3269" s="9">
        <v>2943566.32</v>
      </c>
    </row>
    <row r="3270" spans="1:1" x14ac:dyDescent="0.25">
      <c r="A3270" s="9">
        <v>65788.36</v>
      </c>
    </row>
    <row r="3271" spans="1:1" x14ac:dyDescent="0.25">
      <c r="A3271" s="9">
        <v>26835008.18</v>
      </c>
    </row>
    <row r="3272" spans="1:1" x14ac:dyDescent="0.25">
      <c r="A3272" s="9">
        <v>23435399.440000001</v>
      </c>
    </row>
    <row r="3273" spans="1:1" x14ac:dyDescent="0.25">
      <c r="A3273" s="9">
        <v>36053.82</v>
      </c>
    </row>
    <row r="3274" spans="1:1" x14ac:dyDescent="0.25">
      <c r="A3274" s="9">
        <v>20571988.399999999</v>
      </c>
    </row>
    <row r="3275" spans="1:1" x14ac:dyDescent="0.25">
      <c r="A3275" s="9">
        <v>24738405.359999999</v>
      </c>
    </row>
    <row r="3276" spans="1:1" x14ac:dyDescent="0.25">
      <c r="A3276" s="9">
        <v>830408.57</v>
      </c>
    </row>
    <row r="3277" spans="1:1" x14ac:dyDescent="0.25">
      <c r="A3277" s="9">
        <v>17446502.300000001</v>
      </c>
    </row>
    <row r="3278" spans="1:1" x14ac:dyDescent="0.25">
      <c r="A3278">
        <v>0</v>
      </c>
    </row>
    <row r="3279" spans="1:1" x14ac:dyDescent="0.25">
      <c r="A3279" s="9">
        <v>37881523.520000003</v>
      </c>
    </row>
    <row r="3280" spans="1:1" x14ac:dyDescent="0.25">
      <c r="A3280">
        <v>0</v>
      </c>
    </row>
    <row r="3281" spans="1:1" x14ac:dyDescent="0.25">
      <c r="A3281" s="9">
        <v>9289069.9900000002</v>
      </c>
    </row>
    <row r="3282" spans="1:1" x14ac:dyDescent="0.25">
      <c r="A3282" s="9">
        <v>636215.22</v>
      </c>
    </row>
    <row r="3283" spans="1:1" x14ac:dyDescent="0.25">
      <c r="A3283" s="9">
        <v>154384.54999999999</v>
      </c>
    </row>
    <row r="3284" spans="1:1" x14ac:dyDescent="0.25">
      <c r="A3284" s="9">
        <v>206723.34</v>
      </c>
    </row>
    <row r="3285" spans="1:1" x14ac:dyDescent="0.25">
      <c r="A3285" s="9">
        <v>5576458.3300000001</v>
      </c>
    </row>
    <row r="3286" spans="1:1" x14ac:dyDescent="0.25">
      <c r="A3286" s="9">
        <v>25925048.25</v>
      </c>
    </row>
    <row r="3287" spans="1:1" x14ac:dyDescent="0.25">
      <c r="A3287" s="9">
        <v>2814318.45</v>
      </c>
    </row>
    <row r="3288" spans="1:1" x14ac:dyDescent="0.25">
      <c r="A3288" s="9">
        <v>10866728.07</v>
      </c>
    </row>
    <row r="3289" spans="1:1" x14ac:dyDescent="0.25">
      <c r="A3289" s="9">
        <v>10179325.220000001</v>
      </c>
    </row>
    <row r="3290" spans="1:1" x14ac:dyDescent="0.25">
      <c r="A3290" s="9">
        <v>26455814.469999999</v>
      </c>
    </row>
    <row r="3291" spans="1:1" x14ac:dyDescent="0.25">
      <c r="A3291" s="9">
        <v>3121087.68</v>
      </c>
    </row>
    <row r="3292" spans="1:1" x14ac:dyDescent="0.25">
      <c r="A3292" s="9">
        <v>87703260.969999999</v>
      </c>
    </row>
    <row r="3293" spans="1:1" x14ac:dyDescent="0.25">
      <c r="A3293">
        <v>62646</v>
      </c>
    </row>
    <row r="3294" spans="1:1" x14ac:dyDescent="0.25">
      <c r="A3294" s="9">
        <v>428119.1</v>
      </c>
    </row>
    <row r="3295" spans="1:1" x14ac:dyDescent="0.25">
      <c r="A3295" s="9">
        <v>3886850.38</v>
      </c>
    </row>
    <row r="3296" spans="1:1" x14ac:dyDescent="0.25">
      <c r="A3296">
        <v>0</v>
      </c>
    </row>
    <row r="3297" spans="1:1" x14ac:dyDescent="0.25">
      <c r="A3297" s="9">
        <v>11338155.73</v>
      </c>
    </row>
    <row r="3298" spans="1:1" x14ac:dyDescent="0.25">
      <c r="A3298">
        <v>0</v>
      </c>
    </row>
    <row r="3299" spans="1:1" x14ac:dyDescent="0.25">
      <c r="A3299" s="9">
        <v>1349530.65</v>
      </c>
    </row>
    <row r="3300" spans="1:1" x14ac:dyDescent="0.25">
      <c r="A3300">
        <v>0</v>
      </c>
    </row>
    <row r="3301" spans="1:1" x14ac:dyDescent="0.25">
      <c r="A3301" s="9">
        <v>14298014.890000001</v>
      </c>
    </row>
    <row r="3302" spans="1:1" x14ac:dyDescent="0.25">
      <c r="A3302" s="9">
        <v>308129.84000000003</v>
      </c>
    </row>
    <row r="3303" spans="1:1" x14ac:dyDescent="0.25">
      <c r="A3303" s="9">
        <v>12571098.810000001</v>
      </c>
    </row>
    <row r="3304" spans="1:1" x14ac:dyDescent="0.25">
      <c r="A3304" s="9">
        <v>1844307.06</v>
      </c>
    </row>
    <row r="3305" spans="1:1" x14ac:dyDescent="0.25">
      <c r="A3305">
        <v>0</v>
      </c>
    </row>
    <row r="3306" spans="1:1" x14ac:dyDescent="0.25">
      <c r="A3306" s="9">
        <v>66258045.679999903</v>
      </c>
    </row>
    <row r="3307" spans="1:1" x14ac:dyDescent="0.25">
      <c r="A3307" s="9">
        <v>1016236.68</v>
      </c>
    </row>
    <row r="3308" spans="1:1" x14ac:dyDescent="0.25">
      <c r="A3308" s="9">
        <v>2127658.0099999998</v>
      </c>
    </row>
    <row r="3309" spans="1:1" x14ac:dyDescent="0.25">
      <c r="A3309" s="9">
        <v>4783440.07</v>
      </c>
    </row>
    <row r="3310" spans="1:1" x14ac:dyDescent="0.25">
      <c r="A3310" s="9">
        <v>398190.25</v>
      </c>
    </row>
    <row r="3311" spans="1:1" x14ac:dyDescent="0.25">
      <c r="A3311">
        <v>0</v>
      </c>
    </row>
    <row r="3312" spans="1:1" x14ac:dyDescent="0.25">
      <c r="A3312">
        <v>0</v>
      </c>
    </row>
    <row r="3313" spans="1:1" x14ac:dyDescent="0.25">
      <c r="A3313" s="9">
        <v>293142.18</v>
      </c>
    </row>
    <row r="3314" spans="1:1" x14ac:dyDescent="0.25">
      <c r="A3314">
        <v>0</v>
      </c>
    </row>
    <row r="3315" spans="1:1" x14ac:dyDescent="0.25">
      <c r="A3315">
        <v>0</v>
      </c>
    </row>
    <row r="3316" spans="1:1" x14ac:dyDescent="0.25">
      <c r="A3316">
        <v>0</v>
      </c>
    </row>
    <row r="3317" spans="1:1" x14ac:dyDescent="0.25">
      <c r="A3317" s="9">
        <v>120431.52</v>
      </c>
    </row>
    <row r="3318" spans="1:1" x14ac:dyDescent="0.25">
      <c r="A3318" s="9">
        <v>4032745.03</v>
      </c>
    </row>
    <row r="3319" spans="1:1" x14ac:dyDescent="0.25">
      <c r="A3319" s="9">
        <v>4258951.1100000003</v>
      </c>
    </row>
    <row r="3320" spans="1:1" x14ac:dyDescent="0.25">
      <c r="A3320" s="9">
        <v>4761780.33</v>
      </c>
    </row>
    <row r="3321" spans="1:1" x14ac:dyDescent="0.25">
      <c r="A3321">
        <v>0</v>
      </c>
    </row>
    <row r="3322" spans="1:1" x14ac:dyDescent="0.25">
      <c r="A3322">
        <v>0</v>
      </c>
    </row>
    <row r="3323" spans="1:1" x14ac:dyDescent="0.25">
      <c r="A3323" s="9">
        <v>4932542.05</v>
      </c>
    </row>
    <row r="3324" spans="1:1" x14ac:dyDescent="0.25">
      <c r="A3324" s="9">
        <v>2928518.91</v>
      </c>
    </row>
    <row r="3325" spans="1:1" x14ac:dyDescent="0.25">
      <c r="A3325" s="9">
        <v>6086944.6299999999</v>
      </c>
    </row>
    <row r="3326" spans="1:1" x14ac:dyDescent="0.25">
      <c r="A3326" s="9">
        <v>6345925.4400000004</v>
      </c>
    </row>
    <row r="3327" spans="1:1" x14ac:dyDescent="0.25">
      <c r="A3327">
        <v>0</v>
      </c>
    </row>
    <row r="3328" spans="1:1" x14ac:dyDescent="0.25">
      <c r="A3328" s="9">
        <v>2091908.28</v>
      </c>
    </row>
    <row r="3329" spans="1:1" x14ac:dyDescent="0.25">
      <c r="A3329" s="9">
        <v>110670.62</v>
      </c>
    </row>
    <row r="3330" spans="1:1" x14ac:dyDescent="0.25">
      <c r="A3330" s="9">
        <v>8493302.8000000007</v>
      </c>
    </row>
    <row r="3331" spans="1:1" x14ac:dyDescent="0.25">
      <c r="A3331" s="9">
        <v>10682422.619999999</v>
      </c>
    </row>
    <row r="3332" spans="1:1" x14ac:dyDescent="0.25">
      <c r="A3332" s="9">
        <v>9142007.0500000007</v>
      </c>
    </row>
    <row r="3333" spans="1:1" x14ac:dyDescent="0.25">
      <c r="A3333">
        <v>681359</v>
      </c>
    </row>
    <row r="3334" spans="1:1" x14ac:dyDescent="0.25">
      <c r="A3334" s="9">
        <v>111681.92</v>
      </c>
    </row>
    <row r="3335" spans="1:1" x14ac:dyDescent="0.25">
      <c r="A3335" s="9">
        <v>32442002.25</v>
      </c>
    </row>
    <row r="3336" spans="1:1" x14ac:dyDescent="0.25">
      <c r="A3336" s="9">
        <v>32640428.77</v>
      </c>
    </row>
    <row r="3337" spans="1:1" x14ac:dyDescent="0.25">
      <c r="A3337">
        <v>0</v>
      </c>
    </row>
    <row r="3338" spans="1:1" x14ac:dyDescent="0.25">
      <c r="A3338" s="9">
        <v>166944.95999999999</v>
      </c>
    </row>
    <row r="3339" spans="1:1" x14ac:dyDescent="0.25">
      <c r="A3339" s="9">
        <v>496927.77</v>
      </c>
    </row>
    <row r="3340" spans="1:1" x14ac:dyDescent="0.25">
      <c r="A3340" s="9">
        <v>2139182.0800000001</v>
      </c>
    </row>
    <row r="3341" spans="1:1" x14ac:dyDescent="0.25">
      <c r="A3341" s="9">
        <v>233466.78</v>
      </c>
    </row>
    <row r="3342" spans="1:1" x14ac:dyDescent="0.25">
      <c r="A3342">
        <v>0</v>
      </c>
    </row>
    <row r="3343" spans="1:1" x14ac:dyDescent="0.25">
      <c r="A3343" s="9">
        <v>8858519.7799999993</v>
      </c>
    </row>
    <row r="3344" spans="1:1" x14ac:dyDescent="0.25">
      <c r="A3344" s="9">
        <v>158296.79999999999</v>
      </c>
    </row>
    <row r="3345" spans="1:1" x14ac:dyDescent="0.25">
      <c r="A3345" s="9">
        <v>4878983.17</v>
      </c>
    </row>
    <row r="3346" spans="1:1" x14ac:dyDescent="0.25">
      <c r="A3346" s="9">
        <v>14434412.41</v>
      </c>
    </row>
    <row r="3347" spans="1:1" x14ac:dyDescent="0.25">
      <c r="A3347" s="9">
        <v>419930.73</v>
      </c>
    </row>
    <row r="3348" spans="1:1" x14ac:dyDescent="0.25">
      <c r="A3348" s="9">
        <v>119654.68</v>
      </c>
    </row>
    <row r="3349" spans="1:1" x14ac:dyDescent="0.25">
      <c r="A3349" s="9">
        <v>6052930.7000000002</v>
      </c>
    </row>
    <row r="3350" spans="1:1" x14ac:dyDescent="0.25">
      <c r="A3350">
        <v>0</v>
      </c>
    </row>
    <row r="3351" spans="1:1" x14ac:dyDescent="0.25">
      <c r="A3351">
        <v>0</v>
      </c>
    </row>
    <row r="3352" spans="1:1" x14ac:dyDescent="0.25">
      <c r="A3352" s="9">
        <v>2493894.13</v>
      </c>
    </row>
    <row r="3353" spans="1:1" x14ac:dyDescent="0.25">
      <c r="A3353" s="9">
        <v>2803720.7</v>
      </c>
    </row>
    <row r="3354" spans="1:1" x14ac:dyDescent="0.25">
      <c r="A3354">
        <v>0</v>
      </c>
    </row>
    <row r="3355" spans="1:1" x14ac:dyDescent="0.25">
      <c r="A3355" s="9">
        <v>9450020.6999999899</v>
      </c>
    </row>
    <row r="3356" spans="1:1" x14ac:dyDescent="0.25">
      <c r="A3356" s="9">
        <v>2194449.29</v>
      </c>
    </row>
    <row r="3357" spans="1:1" x14ac:dyDescent="0.25">
      <c r="A3357" s="9">
        <v>11071469.810000001</v>
      </c>
    </row>
    <row r="3358" spans="1:1" x14ac:dyDescent="0.25">
      <c r="A3358" s="9">
        <v>1617190.1</v>
      </c>
    </row>
    <row r="3359" spans="1:1" x14ac:dyDescent="0.25">
      <c r="A3359" s="9">
        <v>2520676.11</v>
      </c>
    </row>
    <row r="3360" spans="1:1" x14ac:dyDescent="0.25">
      <c r="A3360" s="9">
        <v>732073.68</v>
      </c>
    </row>
    <row r="3361" spans="1:1" x14ac:dyDescent="0.25">
      <c r="A3361">
        <v>0</v>
      </c>
    </row>
    <row r="3362" spans="1:1" x14ac:dyDescent="0.25">
      <c r="A3362" s="9">
        <v>5426625.4699999997</v>
      </c>
    </row>
    <row r="3363" spans="1:1" x14ac:dyDescent="0.25">
      <c r="A3363">
        <v>0</v>
      </c>
    </row>
    <row r="3364" spans="1:1" x14ac:dyDescent="0.25">
      <c r="A3364" s="9">
        <v>4379706.4800000004</v>
      </c>
    </row>
    <row r="3365" spans="1:1" x14ac:dyDescent="0.25">
      <c r="A3365" s="9">
        <v>4638942.2</v>
      </c>
    </row>
    <row r="3366" spans="1:1" x14ac:dyDescent="0.25">
      <c r="A3366">
        <v>0</v>
      </c>
    </row>
    <row r="3367" spans="1:1" x14ac:dyDescent="0.25">
      <c r="A3367">
        <v>0</v>
      </c>
    </row>
    <row r="3368" spans="1:1" x14ac:dyDescent="0.25">
      <c r="A3368" s="9">
        <v>5783545.2199999997</v>
      </c>
    </row>
    <row r="3369" spans="1:1" x14ac:dyDescent="0.25">
      <c r="A3369">
        <v>0</v>
      </c>
    </row>
    <row r="3370" spans="1:1" x14ac:dyDescent="0.25">
      <c r="A3370" s="9">
        <v>106620.16</v>
      </c>
    </row>
    <row r="3371" spans="1:1" x14ac:dyDescent="0.25">
      <c r="A3371" s="9">
        <v>4714915.71</v>
      </c>
    </row>
    <row r="3372" spans="1:1" x14ac:dyDescent="0.25">
      <c r="A3372" s="9">
        <v>16866431.100000001</v>
      </c>
    </row>
    <row r="3373" spans="1:1" x14ac:dyDescent="0.25">
      <c r="A3373" s="9">
        <v>25250815.289999999</v>
      </c>
    </row>
    <row r="3374" spans="1:1" x14ac:dyDescent="0.25">
      <c r="A3374" s="9">
        <v>2737714.92</v>
      </c>
    </row>
    <row r="3375" spans="1:1" x14ac:dyDescent="0.25">
      <c r="A3375">
        <v>0</v>
      </c>
    </row>
    <row r="3376" spans="1:1" x14ac:dyDescent="0.25">
      <c r="A3376">
        <v>0</v>
      </c>
    </row>
    <row r="3377" spans="1:1" x14ac:dyDescent="0.25">
      <c r="A3377">
        <v>0</v>
      </c>
    </row>
    <row r="3378" spans="1:1" x14ac:dyDescent="0.25">
      <c r="A3378" s="9">
        <v>12741944.609999999</v>
      </c>
    </row>
    <row r="3379" spans="1:1" x14ac:dyDescent="0.25">
      <c r="A3379" s="9">
        <v>3279053.52</v>
      </c>
    </row>
    <row r="3380" spans="1:1" x14ac:dyDescent="0.25">
      <c r="A3380" s="9">
        <v>47534.38</v>
      </c>
    </row>
    <row r="3381" spans="1:1" x14ac:dyDescent="0.25">
      <c r="A3381">
        <v>0</v>
      </c>
    </row>
    <row r="3382" spans="1:1" x14ac:dyDescent="0.25">
      <c r="A3382" s="9">
        <v>3692752.18</v>
      </c>
    </row>
    <row r="3383" spans="1:1" x14ac:dyDescent="0.25">
      <c r="A3383" s="9">
        <v>22663751.66</v>
      </c>
    </row>
    <row r="3384" spans="1:1" x14ac:dyDescent="0.25">
      <c r="A3384">
        <v>0</v>
      </c>
    </row>
    <row r="3385" spans="1:1" x14ac:dyDescent="0.25">
      <c r="A3385" s="9">
        <v>101493.35</v>
      </c>
    </row>
    <row r="3386" spans="1:1" x14ac:dyDescent="0.25">
      <c r="A3386" s="9">
        <v>5819861.79</v>
      </c>
    </row>
    <row r="3387" spans="1:1" x14ac:dyDescent="0.25">
      <c r="A3387" s="9">
        <v>8340283.1399999997</v>
      </c>
    </row>
    <row r="3388" spans="1:1" x14ac:dyDescent="0.25">
      <c r="A3388" s="9">
        <v>31373274.670000002</v>
      </c>
    </row>
    <row r="3389" spans="1:1" x14ac:dyDescent="0.25">
      <c r="A3389" s="9">
        <v>3429750.95</v>
      </c>
    </row>
    <row r="3390" spans="1:1" x14ac:dyDescent="0.25">
      <c r="A3390" s="9">
        <v>12218729.82</v>
      </c>
    </row>
    <row r="3391" spans="1:1" x14ac:dyDescent="0.25">
      <c r="A3391" s="9">
        <v>6615431.4800000004</v>
      </c>
    </row>
    <row r="3392" spans="1:1" x14ac:dyDescent="0.25">
      <c r="A3392" s="9">
        <v>156727.75</v>
      </c>
    </row>
    <row r="3393" spans="1:1" x14ac:dyDescent="0.25">
      <c r="A3393" s="9">
        <v>36053.82</v>
      </c>
    </row>
    <row r="3394" spans="1:1" x14ac:dyDescent="0.25">
      <c r="A3394" s="9">
        <v>213831.41</v>
      </c>
    </row>
    <row r="3395" spans="1:1" x14ac:dyDescent="0.25">
      <c r="A3395">
        <v>0</v>
      </c>
    </row>
    <row r="3396" spans="1:1" x14ac:dyDescent="0.25">
      <c r="A3396">
        <v>0</v>
      </c>
    </row>
    <row r="3397" spans="1:1" x14ac:dyDescent="0.25">
      <c r="A3397" s="9">
        <v>1205919.6000000001</v>
      </c>
    </row>
    <row r="3398" spans="1:1" x14ac:dyDescent="0.25">
      <c r="A3398" s="9">
        <v>10574375.289999999</v>
      </c>
    </row>
    <row r="3399" spans="1:1" x14ac:dyDescent="0.25">
      <c r="A3399" s="9">
        <v>58386.46</v>
      </c>
    </row>
    <row r="3400" spans="1:1" x14ac:dyDescent="0.25">
      <c r="A3400" s="9">
        <v>376671.42</v>
      </c>
    </row>
    <row r="3401" spans="1:1" x14ac:dyDescent="0.25">
      <c r="A3401" s="9">
        <v>18708320.18</v>
      </c>
    </row>
    <row r="3402" spans="1:1" x14ac:dyDescent="0.25">
      <c r="A3402">
        <v>0</v>
      </c>
    </row>
    <row r="3403" spans="1:1" x14ac:dyDescent="0.25">
      <c r="A3403" s="9">
        <v>3341915.08</v>
      </c>
    </row>
    <row r="3404" spans="1:1" x14ac:dyDescent="0.25">
      <c r="A3404" s="9">
        <v>30576770.559999999</v>
      </c>
    </row>
    <row r="3405" spans="1:1" x14ac:dyDescent="0.25">
      <c r="A3405" s="9">
        <v>324252.48</v>
      </c>
    </row>
    <row r="3406" spans="1:1" x14ac:dyDescent="0.25">
      <c r="A3406" s="9">
        <v>55235.28</v>
      </c>
    </row>
    <row r="3407" spans="1:1" x14ac:dyDescent="0.25">
      <c r="A3407" s="9">
        <v>19935987.899999999</v>
      </c>
    </row>
    <row r="3408" spans="1:1" x14ac:dyDescent="0.25">
      <c r="A3408" s="9">
        <v>1173464.76</v>
      </c>
    </row>
    <row r="3409" spans="1:1" x14ac:dyDescent="0.25">
      <c r="A3409" s="9">
        <v>82988.849999999904</v>
      </c>
    </row>
    <row r="3410" spans="1:1" x14ac:dyDescent="0.25">
      <c r="A3410" s="9">
        <v>418107.51</v>
      </c>
    </row>
    <row r="3411" spans="1:1" x14ac:dyDescent="0.25">
      <c r="A3411" s="9">
        <v>8588727.3999999892</v>
      </c>
    </row>
    <row r="3412" spans="1:1" x14ac:dyDescent="0.25">
      <c r="A3412" s="9">
        <v>2956802.82</v>
      </c>
    </row>
    <row r="3413" spans="1:1" x14ac:dyDescent="0.25">
      <c r="A3413" s="9">
        <v>10686712.539999999</v>
      </c>
    </row>
    <row r="3414" spans="1:1" x14ac:dyDescent="0.25">
      <c r="A3414" s="9">
        <v>11788505.98</v>
      </c>
    </row>
    <row r="3415" spans="1:1" x14ac:dyDescent="0.25">
      <c r="A3415" s="9">
        <v>3114127.39</v>
      </c>
    </row>
    <row r="3416" spans="1:1" x14ac:dyDescent="0.25">
      <c r="A3416" s="9">
        <v>20914477.420000002</v>
      </c>
    </row>
    <row r="3417" spans="1:1" x14ac:dyDescent="0.25">
      <c r="A3417" s="9">
        <v>312614.42</v>
      </c>
    </row>
    <row r="3418" spans="1:1" x14ac:dyDescent="0.25">
      <c r="A3418" s="9">
        <v>10472961.75</v>
      </c>
    </row>
    <row r="3419" spans="1:1" x14ac:dyDescent="0.25">
      <c r="A3419" s="9">
        <v>11892347.52</v>
      </c>
    </row>
    <row r="3420" spans="1:1" x14ac:dyDescent="0.25">
      <c r="A3420" s="9">
        <v>2123106.16</v>
      </c>
    </row>
    <row r="3421" spans="1:1" x14ac:dyDescent="0.25">
      <c r="A3421" s="9">
        <v>39656535.310000002</v>
      </c>
    </row>
    <row r="3422" spans="1:1" x14ac:dyDescent="0.25">
      <c r="A3422" s="9">
        <v>14905297.91</v>
      </c>
    </row>
    <row r="3423" spans="1:1" x14ac:dyDescent="0.25">
      <c r="A3423" s="9">
        <v>2739171.25</v>
      </c>
    </row>
    <row r="3424" spans="1:1" x14ac:dyDescent="0.25">
      <c r="A3424" s="9">
        <v>208861.38</v>
      </c>
    </row>
    <row r="3425" spans="1:1" x14ac:dyDescent="0.25">
      <c r="A3425">
        <v>0</v>
      </c>
    </row>
    <row r="3426" spans="1:1" x14ac:dyDescent="0.25">
      <c r="A3426">
        <v>0</v>
      </c>
    </row>
    <row r="3427" spans="1:1" x14ac:dyDescent="0.25">
      <c r="A3427" s="9">
        <v>11280805.25</v>
      </c>
    </row>
    <row r="3428" spans="1:1" x14ac:dyDescent="0.25">
      <c r="A3428" s="9">
        <v>351974.26</v>
      </c>
    </row>
    <row r="3429" spans="1:1" x14ac:dyDescent="0.25">
      <c r="A3429" s="9">
        <v>441367.94</v>
      </c>
    </row>
    <row r="3430" spans="1:1" x14ac:dyDescent="0.25">
      <c r="A3430" s="9">
        <v>8743244.4499999899</v>
      </c>
    </row>
    <row r="3431" spans="1:1" x14ac:dyDescent="0.25">
      <c r="A3431" s="9">
        <v>5096211.4399999902</v>
      </c>
    </row>
    <row r="3432" spans="1:1" x14ac:dyDescent="0.25">
      <c r="A3432" s="9">
        <v>4301345.5199999996</v>
      </c>
    </row>
    <row r="3433" spans="1:1" x14ac:dyDescent="0.25">
      <c r="A3433" s="9">
        <v>2444802.75</v>
      </c>
    </row>
    <row r="3434" spans="1:1" x14ac:dyDescent="0.25">
      <c r="A3434" s="9">
        <v>113306.7</v>
      </c>
    </row>
    <row r="3435" spans="1:1" x14ac:dyDescent="0.25">
      <c r="A3435" s="9">
        <v>16982935.460000001</v>
      </c>
    </row>
    <row r="3436" spans="1:1" x14ac:dyDescent="0.25">
      <c r="A3436">
        <v>0</v>
      </c>
    </row>
    <row r="3437" spans="1:1" x14ac:dyDescent="0.25">
      <c r="A3437" s="9">
        <v>510233.55</v>
      </c>
    </row>
    <row r="3438" spans="1:1" x14ac:dyDescent="0.25">
      <c r="A3438">
        <v>0</v>
      </c>
    </row>
    <row r="3439" spans="1:1" x14ac:dyDescent="0.25">
      <c r="A3439" s="9">
        <v>756438.6</v>
      </c>
    </row>
    <row r="3440" spans="1:1" x14ac:dyDescent="0.25">
      <c r="A3440" s="9">
        <v>2401882.4700000002</v>
      </c>
    </row>
    <row r="3441" spans="1:1" x14ac:dyDescent="0.25">
      <c r="A3441" s="9">
        <v>95082207.120000005</v>
      </c>
    </row>
    <row r="3442" spans="1:1" x14ac:dyDescent="0.25">
      <c r="A3442" s="9">
        <v>7794704.3499999996</v>
      </c>
    </row>
    <row r="3443" spans="1:1" x14ac:dyDescent="0.25">
      <c r="A3443" s="9">
        <v>8774731.2400000002</v>
      </c>
    </row>
    <row r="3444" spans="1:1" x14ac:dyDescent="0.25">
      <c r="A3444" s="9">
        <v>547612.29</v>
      </c>
    </row>
    <row r="3445" spans="1:1" x14ac:dyDescent="0.25">
      <c r="A3445" s="9">
        <v>10721855.51</v>
      </c>
    </row>
    <row r="3446" spans="1:1" x14ac:dyDescent="0.25">
      <c r="A3446" s="9">
        <v>7346860.8700000001</v>
      </c>
    </row>
    <row r="3447" spans="1:1" x14ac:dyDescent="0.25">
      <c r="A3447" s="9">
        <v>28432.95</v>
      </c>
    </row>
    <row r="3448" spans="1:1" x14ac:dyDescent="0.25">
      <c r="A3448" s="9">
        <v>9570683.3399999999</v>
      </c>
    </row>
    <row r="3449" spans="1:1" x14ac:dyDescent="0.25">
      <c r="A3449">
        <v>0</v>
      </c>
    </row>
    <row r="3450" spans="1:1" x14ac:dyDescent="0.25">
      <c r="A3450">
        <v>0</v>
      </c>
    </row>
    <row r="3451" spans="1:1" x14ac:dyDescent="0.25">
      <c r="A3451">
        <v>0</v>
      </c>
    </row>
    <row r="3452" spans="1:1" x14ac:dyDescent="0.25">
      <c r="A3452" s="9">
        <v>14099701.67</v>
      </c>
    </row>
    <row r="3453" spans="1:1" x14ac:dyDescent="0.25">
      <c r="A3453" s="9">
        <v>930497.52</v>
      </c>
    </row>
    <row r="3454" spans="1:1" x14ac:dyDescent="0.25">
      <c r="A3454" s="9">
        <v>3424845.14</v>
      </c>
    </row>
    <row r="3455" spans="1:1" x14ac:dyDescent="0.25">
      <c r="A3455" s="9">
        <v>3939226.28</v>
      </c>
    </row>
    <row r="3456" spans="1:1" x14ac:dyDescent="0.25">
      <c r="A3456" s="9">
        <v>3776708.47</v>
      </c>
    </row>
    <row r="3457" spans="1:1" x14ac:dyDescent="0.25">
      <c r="A3457" s="9">
        <v>2634975.67</v>
      </c>
    </row>
    <row r="3458" spans="1:1" x14ac:dyDescent="0.25">
      <c r="A3458" s="9">
        <v>9075883.8599999901</v>
      </c>
    </row>
    <row r="3459" spans="1:1" x14ac:dyDescent="0.25">
      <c r="A3459" s="9">
        <v>12746052.439999999</v>
      </c>
    </row>
    <row r="3460" spans="1:1" x14ac:dyDescent="0.25">
      <c r="A3460" s="9">
        <v>7568396.2199999997</v>
      </c>
    </row>
    <row r="3461" spans="1:1" x14ac:dyDescent="0.25">
      <c r="A3461" s="9">
        <v>6094477.2599999998</v>
      </c>
    </row>
    <row r="3462" spans="1:1" x14ac:dyDescent="0.25">
      <c r="A3462">
        <v>0</v>
      </c>
    </row>
    <row r="3463" spans="1:1" x14ac:dyDescent="0.25">
      <c r="A3463" s="9">
        <v>3717735.01</v>
      </c>
    </row>
    <row r="3464" spans="1:1" x14ac:dyDescent="0.25">
      <c r="A3464" s="9">
        <v>314832.24</v>
      </c>
    </row>
    <row r="3465" spans="1:1" x14ac:dyDescent="0.25">
      <c r="A3465">
        <v>0</v>
      </c>
    </row>
    <row r="3466" spans="1:1" x14ac:dyDescent="0.25">
      <c r="A3466" s="9">
        <v>3551110.25</v>
      </c>
    </row>
    <row r="3467" spans="1:1" x14ac:dyDescent="0.25">
      <c r="A3467">
        <v>0</v>
      </c>
    </row>
    <row r="3468" spans="1:1" x14ac:dyDescent="0.25">
      <c r="A3468" s="9">
        <v>19528679.859999999</v>
      </c>
    </row>
    <row r="3469" spans="1:1" x14ac:dyDescent="0.25">
      <c r="A3469" s="9">
        <v>2494037.7799999998</v>
      </c>
    </row>
    <row r="3470" spans="1:1" x14ac:dyDescent="0.25">
      <c r="A3470" s="9">
        <v>685611.3</v>
      </c>
    </row>
    <row r="3471" spans="1:1" x14ac:dyDescent="0.25">
      <c r="A3471" s="9">
        <v>264266.2</v>
      </c>
    </row>
    <row r="3472" spans="1:1" x14ac:dyDescent="0.25">
      <c r="A3472" s="9">
        <v>31421892.379999999</v>
      </c>
    </row>
    <row r="3473" spans="1:1" x14ac:dyDescent="0.25">
      <c r="A3473">
        <v>0</v>
      </c>
    </row>
    <row r="3474" spans="1:1" x14ac:dyDescent="0.25">
      <c r="A3474" s="9">
        <v>6842153.5</v>
      </c>
    </row>
    <row r="3475" spans="1:1" x14ac:dyDescent="0.25">
      <c r="A3475">
        <v>3802860</v>
      </c>
    </row>
    <row r="3476" spans="1:1" x14ac:dyDescent="0.25">
      <c r="A3476" s="9">
        <v>7054071.6699999999</v>
      </c>
    </row>
    <row r="3477" spans="1:1" x14ac:dyDescent="0.25">
      <c r="A3477" s="9">
        <v>3814275.34</v>
      </c>
    </row>
    <row r="3478" spans="1:1" x14ac:dyDescent="0.25">
      <c r="A3478">
        <v>0</v>
      </c>
    </row>
    <row r="3479" spans="1:1" x14ac:dyDescent="0.25">
      <c r="A3479" s="9">
        <v>2117657.52</v>
      </c>
    </row>
    <row r="3480" spans="1:1" x14ac:dyDescent="0.25">
      <c r="A3480" s="9">
        <v>212291.28</v>
      </c>
    </row>
    <row r="3481" spans="1:1" x14ac:dyDescent="0.25">
      <c r="A3481" s="9">
        <v>223699.56</v>
      </c>
    </row>
    <row r="3482" spans="1:1" x14ac:dyDescent="0.25">
      <c r="A3482">
        <v>0</v>
      </c>
    </row>
    <row r="3483" spans="1:1" x14ac:dyDescent="0.25">
      <c r="A3483" s="9">
        <v>3355173.71</v>
      </c>
    </row>
    <row r="3484" spans="1:1" x14ac:dyDescent="0.25">
      <c r="A3484" s="9">
        <v>119034.68</v>
      </c>
    </row>
    <row r="3485" spans="1:1" x14ac:dyDescent="0.25">
      <c r="A3485" s="9">
        <v>8831944.9100000001</v>
      </c>
    </row>
    <row r="3486" spans="1:1" x14ac:dyDescent="0.25">
      <c r="A3486" s="9">
        <v>15594749.810000001</v>
      </c>
    </row>
    <row r="3487" spans="1:1" x14ac:dyDescent="0.25">
      <c r="A3487">
        <v>0</v>
      </c>
    </row>
    <row r="3488" spans="1:1" x14ac:dyDescent="0.25">
      <c r="A3488">
        <v>0</v>
      </c>
    </row>
    <row r="3489" spans="1:1" x14ac:dyDescent="0.25">
      <c r="A3489">
        <v>0</v>
      </c>
    </row>
    <row r="3490" spans="1:1" x14ac:dyDescent="0.25">
      <c r="A3490" s="9">
        <v>10899884.75</v>
      </c>
    </row>
    <row r="3491" spans="1:1" x14ac:dyDescent="0.25">
      <c r="A3491" s="9">
        <v>25868836.059999999</v>
      </c>
    </row>
    <row r="3492" spans="1:1" x14ac:dyDescent="0.25">
      <c r="A3492" s="9">
        <v>31921727.370000001</v>
      </c>
    </row>
    <row r="3493" spans="1:1" x14ac:dyDescent="0.25">
      <c r="A3493">
        <v>0</v>
      </c>
    </row>
    <row r="3494" spans="1:1" x14ac:dyDescent="0.25">
      <c r="A3494" s="9">
        <v>3192608.19</v>
      </c>
    </row>
    <row r="3495" spans="1:1" x14ac:dyDescent="0.25">
      <c r="A3495">
        <v>1944663</v>
      </c>
    </row>
    <row r="3496" spans="1:1" x14ac:dyDescent="0.25">
      <c r="A3496">
        <v>7044607</v>
      </c>
    </row>
    <row r="3497" spans="1:1" x14ac:dyDescent="0.25">
      <c r="A3497" s="9">
        <v>4068091.59</v>
      </c>
    </row>
    <row r="3498" spans="1:1" x14ac:dyDescent="0.25">
      <c r="A3498">
        <v>0</v>
      </c>
    </row>
    <row r="3499" spans="1:1" x14ac:dyDescent="0.25">
      <c r="A3499">
        <v>0</v>
      </c>
    </row>
    <row r="3500" spans="1:1" x14ac:dyDescent="0.25">
      <c r="A3500" s="9">
        <v>2827341.66</v>
      </c>
    </row>
    <row r="3501" spans="1:1" x14ac:dyDescent="0.25">
      <c r="A3501" s="9">
        <v>249916.92</v>
      </c>
    </row>
    <row r="3502" spans="1:1" x14ac:dyDescent="0.25">
      <c r="A3502" s="9">
        <v>207618.4</v>
      </c>
    </row>
    <row r="3503" spans="1:1" x14ac:dyDescent="0.25">
      <c r="A3503" s="9">
        <v>3518037.31</v>
      </c>
    </row>
    <row r="3504" spans="1:1" x14ac:dyDescent="0.25">
      <c r="A3504">
        <v>0</v>
      </c>
    </row>
    <row r="3505" spans="1:1" x14ac:dyDescent="0.25">
      <c r="A3505" s="9">
        <v>27131.79</v>
      </c>
    </row>
    <row r="3506" spans="1:1" x14ac:dyDescent="0.25">
      <c r="A3506">
        <v>0</v>
      </c>
    </row>
    <row r="3507" spans="1:1" x14ac:dyDescent="0.25">
      <c r="A3507" s="9">
        <v>6378940.7999999998</v>
      </c>
    </row>
    <row r="3508" spans="1:1" x14ac:dyDescent="0.25">
      <c r="A3508" s="9">
        <v>1484924.59</v>
      </c>
    </row>
    <row r="3509" spans="1:1" x14ac:dyDescent="0.25">
      <c r="A3509">
        <v>0</v>
      </c>
    </row>
    <row r="3510" spans="1:1" x14ac:dyDescent="0.25">
      <c r="A3510" s="9">
        <v>124401.86</v>
      </c>
    </row>
    <row r="3511" spans="1:1" x14ac:dyDescent="0.25">
      <c r="A3511" s="9">
        <v>1698198.35</v>
      </c>
    </row>
    <row r="3512" spans="1:1" x14ac:dyDescent="0.25">
      <c r="A3512" s="9">
        <v>21264773.050000001</v>
      </c>
    </row>
    <row r="3513" spans="1:1" x14ac:dyDescent="0.25">
      <c r="A3513" s="9">
        <v>1551929.11</v>
      </c>
    </row>
    <row r="3514" spans="1:1" x14ac:dyDescent="0.25">
      <c r="A3514" s="9">
        <v>28133718.43</v>
      </c>
    </row>
    <row r="3515" spans="1:1" x14ac:dyDescent="0.25">
      <c r="A3515" s="9">
        <v>3099307.76</v>
      </c>
    </row>
    <row r="3516" spans="1:1" x14ac:dyDescent="0.25">
      <c r="A3516" s="9">
        <v>5003143.88</v>
      </c>
    </row>
    <row r="3517" spans="1:1" x14ac:dyDescent="0.25">
      <c r="A3517" s="9">
        <v>1968924.74</v>
      </c>
    </row>
    <row r="3518" spans="1:1" x14ac:dyDescent="0.25">
      <c r="A3518">
        <v>0</v>
      </c>
    </row>
    <row r="3519" spans="1:1" x14ac:dyDescent="0.25">
      <c r="A3519" s="9">
        <v>4094235.59</v>
      </c>
    </row>
    <row r="3520" spans="1:1" x14ac:dyDescent="0.25">
      <c r="A3520" s="9">
        <v>7317922.6699999999</v>
      </c>
    </row>
    <row r="3521" spans="1:1" x14ac:dyDescent="0.25">
      <c r="A3521">
        <v>0</v>
      </c>
    </row>
    <row r="3522" spans="1:1" x14ac:dyDescent="0.25">
      <c r="A3522" s="9">
        <v>1086871.04</v>
      </c>
    </row>
    <row r="3523" spans="1:1" x14ac:dyDescent="0.25">
      <c r="A3523">
        <v>0</v>
      </c>
    </row>
    <row r="3524" spans="1:1" x14ac:dyDescent="0.25">
      <c r="A3524" s="9">
        <v>186499.5</v>
      </c>
    </row>
    <row r="3525" spans="1:1" x14ac:dyDescent="0.25">
      <c r="A3525">
        <v>0</v>
      </c>
    </row>
    <row r="3526" spans="1:1" x14ac:dyDescent="0.25">
      <c r="A3526">
        <v>0</v>
      </c>
    </row>
    <row r="3527" spans="1:1" x14ac:dyDescent="0.25">
      <c r="A3527" s="9">
        <v>817453.02999999898</v>
      </c>
    </row>
    <row r="3528" spans="1:1" x14ac:dyDescent="0.25">
      <c r="A3528" s="9">
        <v>2413045.23</v>
      </c>
    </row>
    <row r="3529" spans="1:1" x14ac:dyDescent="0.25">
      <c r="A3529" s="9">
        <v>5240817.3899999997</v>
      </c>
    </row>
    <row r="3530" spans="1:1" x14ac:dyDescent="0.25">
      <c r="A3530" s="9">
        <v>15004755.84</v>
      </c>
    </row>
    <row r="3531" spans="1:1" x14ac:dyDescent="0.25">
      <c r="A3531" s="9">
        <v>4909114.1399999997</v>
      </c>
    </row>
    <row r="3532" spans="1:1" x14ac:dyDescent="0.25">
      <c r="A3532" s="9">
        <v>7885261.5499999998</v>
      </c>
    </row>
    <row r="3533" spans="1:1" x14ac:dyDescent="0.25">
      <c r="A3533" s="9">
        <v>6056703.6799999997</v>
      </c>
    </row>
    <row r="3534" spans="1:1" x14ac:dyDescent="0.25">
      <c r="A3534" s="9">
        <v>2564386.79</v>
      </c>
    </row>
    <row r="3535" spans="1:1" x14ac:dyDescent="0.25">
      <c r="A3535">
        <v>0</v>
      </c>
    </row>
    <row r="3536" spans="1:1" x14ac:dyDescent="0.25">
      <c r="A3536">
        <v>0</v>
      </c>
    </row>
    <row r="3537" spans="1:1" x14ac:dyDescent="0.25">
      <c r="A3537" s="9">
        <v>212291.28</v>
      </c>
    </row>
    <row r="3538" spans="1:1" x14ac:dyDescent="0.25">
      <c r="A3538" s="9">
        <v>368010.62</v>
      </c>
    </row>
    <row r="3539" spans="1:1" x14ac:dyDescent="0.25">
      <c r="A3539" s="9">
        <v>20317902.789999999</v>
      </c>
    </row>
    <row r="3540" spans="1:1" x14ac:dyDescent="0.25">
      <c r="A3540" s="9">
        <v>3961219.45</v>
      </c>
    </row>
    <row r="3541" spans="1:1" x14ac:dyDescent="0.25">
      <c r="A3541" s="9">
        <v>536652.87</v>
      </c>
    </row>
    <row r="3542" spans="1:1" x14ac:dyDescent="0.25">
      <c r="A3542">
        <v>0</v>
      </c>
    </row>
    <row r="3543" spans="1:1" x14ac:dyDescent="0.25">
      <c r="A3543" s="9">
        <v>13594139.560000001</v>
      </c>
    </row>
    <row r="3544" spans="1:1" x14ac:dyDescent="0.25">
      <c r="A3544" s="9">
        <v>377839.16</v>
      </c>
    </row>
    <row r="3545" spans="1:1" x14ac:dyDescent="0.25">
      <c r="A3545">
        <v>0</v>
      </c>
    </row>
    <row r="3546" spans="1:1" x14ac:dyDescent="0.25">
      <c r="A3546" s="9">
        <v>549972.81999999995</v>
      </c>
    </row>
    <row r="3547" spans="1:1" x14ac:dyDescent="0.25">
      <c r="A3547" s="9">
        <v>10967196.25</v>
      </c>
    </row>
    <row r="3548" spans="1:1" x14ac:dyDescent="0.25">
      <c r="A3548" s="9">
        <v>280163.73</v>
      </c>
    </row>
    <row r="3549" spans="1:1" x14ac:dyDescent="0.25">
      <c r="A3549" s="9">
        <v>62088443.380000003</v>
      </c>
    </row>
    <row r="3550" spans="1:1" x14ac:dyDescent="0.25">
      <c r="A3550" s="9">
        <v>29269.759999999998</v>
      </c>
    </row>
    <row r="3551" spans="1:1" x14ac:dyDescent="0.25">
      <c r="A3551" s="9">
        <v>9483957.6899999902</v>
      </c>
    </row>
    <row r="3552" spans="1:1" x14ac:dyDescent="0.25">
      <c r="A3552" s="9">
        <v>1937511.36</v>
      </c>
    </row>
    <row r="3553" spans="1:1" x14ac:dyDescent="0.25">
      <c r="A3553" s="9">
        <v>65788.36</v>
      </c>
    </row>
    <row r="3554" spans="1:1" x14ac:dyDescent="0.25">
      <c r="A3554" s="9">
        <v>6535421.3300000001</v>
      </c>
    </row>
    <row r="3555" spans="1:1" x14ac:dyDescent="0.25">
      <c r="A3555" s="9">
        <v>20446309.510000002</v>
      </c>
    </row>
    <row r="3556" spans="1:1" x14ac:dyDescent="0.25">
      <c r="A3556">
        <v>0</v>
      </c>
    </row>
    <row r="3557" spans="1:1" x14ac:dyDescent="0.25">
      <c r="A3557">
        <v>0</v>
      </c>
    </row>
    <row r="3558" spans="1:1" x14ac:dyDescent="0.25">
      <c r="A3558" s="9">
        <v>6626437.8799999999</v>
      </c>
    </row>
    <row r="3559" spans="1:1" x14ac:dyDescent="0.25">
      <c r="A3559" s="9">
        <v>233466.78</v>
      </c>
    </row>
    <row r="3560" spans="1:1" x14ac:dyDescent="0.25">
      <c r="A3560" s="9">
        <v>1640714.69</v>
      </c>
    </row>
    <row r="3561" spans="1:1" x14ac:dyDescent="0.25">
      <c r="A3561" s="9">
        <v>6452588.5300000003</v>
      </c>
    </row>
    <row r="3562" spans="1:1" x14ac:dyDescent="0.25">
      <c r="A3562">
        <v>0</v>
      </c>
    </row>
    <row r="3563" spans="1:1" x14ac:dyDescent="0.25">
      <c r="A3563">
        <v>0</v>
      </c>
    </row>
    <row r="3564" spans="1:1" x14ac:dyDescent="0.25">
      <c r="A3564" s="9">
        <v>78532104.890000001</v>
      </c>
    </row>
    <row r="3565" spans="1:1" x14ac:dyDescent="0.25">
      <c r="A3565">
        <v>0</v>
      </c>
    </row>
    <row r="3566" spans="1:1" x14ac:dyDescent="0.25">
      <c r="A3566" s="9">
        <v>10907539.539999999</v>
      </c>
    </row>
    <row r="3567" spans="1:1" x14ac:dyDescent="0.25">
      <c r="A3567" s="9">
        <v>72231571.469999999</v>
      </c>
    </row>
    <row r="3568" spans="1:1" x14ac:dyDescent="0.25">
      <c r="A3568" s="9">
        <v>1161448.04</v>
      </c>
    </row>
    <row r="3569" spans="1:1" x14ac:dyDescent="0.25">
      <c r="A3569" s="9">
        <v>32768188.809999999</v>
      </c>
    </row>
    <row r="3570" spans="1:1" x14ac:dyDescent="0.25">
      <c r="A3570" s="9">
        <v>399232.39</v>
      </c>
    </row>
    <row r="3571" spans="1:1" x14ac:dyDescent="0.25">
      <c r="A3571">
        <v>0</v>
      </c>
    </row>
    <row r="3572" spans="1:1" x14ac:dyDescent="0.25">
      <c r="A3572" s="9">
        <v>23199574.890000001</v>
      </c>
    </row>
    <row r="3573" spans="1:1" x14ac:dyDescent="0.25">
      <c r="A3573" s="9">
        <v>6175625.7000000002</v>
      </c>
    </row>
    <row r="3574" spans="1:1" x14ac:dyDescent="0.25">
      <c r="A3574">
        <v>0</v>
      </c>
    </row>
    <row r="3575" spans="1:1" x14ac:dyDescent="0.25">
      <c r="A3575" s="9">
        <v>5315686.63</v>
      </c>
    </row>
    <row r="3576" spans="1:1" x14ac:dyDescent="0.25">
      <c r="A3576" s="9">
        <v>4132096.15</v>
      </c>
    </row>
    <row r="3577" spans="1:1" x14ac:dyDescent="0.25">
      <c r="A3577" s="9">
        <v>315372.46000000002</v>
      </c>
    </row>
    <row r="3578" spans="1:1" x14ac:dyDescent="0.25">
      <c r="A3578">
        <v>0</v>
      </c>
    </row>
    <row r="3579" spans="1:1" x14ac:dyDescent="0.25">
      <c r="A3579">
        <v>0</v>
      </c>
    </row>
    <row r="3580" spans="1:1" x14ac:dyDescent="0.25">
      <c r="A3580" s="9">
        <v>24204498.309999999</v>
      </c>
    </row>
    <row r="3581" spans="1:1" x14ac:dyDescent="0.25">
      <c r="A3581" s="9">
        <v>19940820.399999999</v>
      </c>
    </row>
    <row r="3582" spans="1:1" x14ac:dyDescent="0.25">
      <c r="A3582">
        <v>14395627</v>
      </c>
    </row>
    <row r="3583" spans="1:1" x14ac:dyDescent="0.25">
      <c r="A3583" s="9">
        <v>29111885.800000001</v>
      </c>
    </row>
    <row r="3584" spans="1:1" x14ac:dyDescent="0.25">
      <c r="A3584" s="9">
        <v>2391257.56</v>
      </c>
    </row>
    <row r="3585" spans="1:1" x14ac:dyDescent="0.25">
      <c r="A3585" s="9">
        <v>4743108.12</v>
      </c>
    </row>
    <row r="3586" spans="1:1" x14ac:dyDescent="0.25">
      <c r="A3586" s="9">
        <v>2964451.14</v>
      </c>
    </row>
    <row r="3587" spans="1:1" x14ac:dyDescent="0.25">
      <c r="A3587" s="9">
        <v>37191488.219999999</v>
      </c>
    </row>
    <row r="3588" spans="1:1" x14ac:dyDescent="0.25">
      <c r="A3588" s="9">
        <v>60402.75</v>
      </c>
    </row>
    <row r="3589" spans="1:1" x14ac:dyDescent="0.25">
      <c r="A3589" s="9">
        <v>315372.46000000002</v>
      </c>
    </row>
    <row r="3590" spans="1:1" x14ac:dyDescent="0.25">
      <c r="A3590" s="9">
        <v>5674695.2199999997</v>
      </c>
    </row>
    <row r="3591" spans="1:1" x14ac:dyDescent="0.25">
      <c r="A3591">
        <v>0</v>
      </c>
    </row>
    <row r="3592" spans="1:1" x14ac:dyDescent="0.25">
      <c r="A3592" s="9">
        <v>23005243.57</v>
      </c>
    </row>
    <row r="3593" spans="1:1" x14ac:dyDescent="0.25">
      <c r="A3593" s="9">
        <v>224876.73</v>
      </c>
    </row>
    <row r="3594" spans="1:1" x14ac:dyDescent="0.25">
      <c r="A3594" s="9">
        <v>535633.11</v>
      </c>
    </row>
    <row r="3595" spans="1:1" x14ac:dyDescent="0.25">
      <c r="A3595" s="9">
        <v>2306675.7200000002</v>
      </c>
    </row>
    <row r="3596" spans="1:1" x14ac:dyDescent="0.25">
      <c r="A3596">
        <v>0</v>
      </c>
    </row>
    <row r="3597" spans="1:1" x14ac:dyDescent="0.25">
      <c r="A3597" s="9">
        <v>826428.24</v>
      </c>
    </row>
    <row r="3598" spans="1:1" x14ac:dyDescent="0.25">
      <c r="A3598" s="9">
        <v>1434115.09</v>
      </c>
    </row>
    <row r="3599" spans="1:1" x14ac:dyDescent="0.25">
      <c r="A3599" s="9">
        <v>3262018.86</v>
      </c>
    </row>
    <row r="3600" spans="1:1" x14ac:dyDescent="0.25">
      <c r="A3600">
        <v>0</v>
      </c>
    </row>
    <row r="3601" spans="1:1" x14ac:dyDescent="0.25">
      <c r="A3601">
        <v>0</v>
      </c>
    </row>
    <row r="3602" spans="1:1" x14ac:dyDescent="0.25">
      <c r="A3602" s="9">
        <v>5419398.5999999996</v>
      </c>
    </row>
    <row r="3603" spans="1:1" x14ac:dyDescent="0.25">
      <c r="A3603">
        <v>0</v>
      </c>
    </row>
    <row r="3604" spans="1:1" x14ac:dyDescent="0.25">
      <c r="A3604" s="9">
        <v>2666126.88</v>
      </c>
    </row>
    <row r="3605" spans="1:1" x14ac:dyDescent="0.25">
      <c r="A3605" s="9">
        <v>12440762.890000001</v>
      </c>
    </row>
    <row r="3606" spans="1:1" x14ac:dyDescent="0.25">
      <c r="A3606">
        <v>0</v>
      </c>
    </row>
    <row r="3607" spans="1:1" x14ac:dyDescent="0.25">
      <c r="A3607" s="9">
        <v>23203583.469999999</v>
      </c>
    </row>
    <row r="3608" spans="1:1" x14ac:dyDescent="0.25">
      <c r="A3608">
        <v>0</v>
      </c>
    </row>
    <row r="3609" spans="1:1" x14ac:dyDescent="0.25">
      <c r="A3609" s="9">
        <v>917555.52</v>
      </c>
    </row>
    <row r="3610" spans="1:1" x14ac:dyDescent="0.25">
      <c r="A3610">
        <v>0</v>
      </c>
    </row>
    <row r="3611" spans="1:1" x14ac:dyDescent="0.25">
      <c r="A3611" s="9">
        <v>9555974.4199999999</v>
      </c>
    </row>
    <row r="3612" spans="1:1" x14ac:dyDescent="0.25">
      <c r="A3612" s="9">
        <v>237404.7</v>
      </c>
    </row>
    <row r="3613" spans="1:1" x14ac:dyDescent="0.25">
      <c r="A3613" s="9">
        <v>1704151.7</v>
      </c>
    </row>
    <row r="3614" spans="1:1" x14ac:dyDescent="0.25">
      <c r="A3614" s="9">
        <v>105283.26</v>
      </c>
    </row>
    <row r="3615" spans="1:1" x14ac:dyDescent="0.25">
      <c r="A3615" s="9">
        <v>280163.73</v>
      </c>
    </row>
    <row r="3616" spans="1:1" x14ac:dyDescent="0.25">
      <c r="A3616" s="9">
        <v>341235.41</v>
      </c>
    </row>
    <row r="3617" spans="1:1" x14ac:dyDescent="0.25">
      <c r="A3617" s="9">
        <v>3704375.08</v>
      </c>
    </row>
    <row r="3618" spans="1:1" x14ac:dyDescent="0.25">
      <c r="A3618" s="9">
        <v>3081296.88</v>
      </c>
    </row>
    <row r="3619" spans="1:1" x14ac:dyDescent="0.25">
      <c r="A3619">
        <v>0</v>
      </c>
    </row>
    <row r="3620" spans="1:1" x14ac:dyDescent="0.25">
      <c r="A3620">
        <v>0</v>
      </c>
    </row>
    <row r="3621" spans="1:1" x14ac:dyDescent="0.25">
      <c r="A3621" s="9">
        <v>7267124.5</v>
      </c>
    </row>
    <row r="3622" spans="1:1" x14ac:dyDescent="0.25">
      <c r="A3622" s="9">
        <v>24995056.289999999</v>
      </c>
    </row>
    <row r="3623" spans="1:1" x14ac:dyDescent="0.25">
      <c r="A3623">
        <v>0</v>
      </c>
    </row>
    <row r="3624" spans="1:1" x14ac:dyDescent="0.25">
      <c r="A3624" s="9">
        <v>65788.36</v>
      </c>
    </row>
    <row r="3625" spans="1:1" x14ac:dyDescent="0.25">
      <c r="A3625">
        <v>0</v>
      </c>
    </row>
    <row r="3626" spans="1:1" x14ac:dyDescent="0.25">
      <c r="A3626" s="9">
        <v>4646154.46</v>
      </c>
    </row>
    <row r="3627" spans="1:1" x14ac:dyDescent="0.25">
      <c r="A3627" s="9">
        <v>460760.09</v>
      </c>
    </row>
    <row r="3628" spans="1:1" x14ac:dyDescent="0.25">
      <c r="A3628" s="9">
        <v>3034649.24</v>
      </c>
    </row>
    <row r="3629" spans="1:1" x14ac:dyDescent="0.25">
      <c r="A3629" s="9">
        <v>176203.95</v>
      </c>
    </row>
    <row r="3630" spans="1:1" x14ac:dyDescent="0.25">
      <c r="A3630" s="9">
        <v>11426207.33</v>
      </c>
    </row>
    <row r="3631" spans="1:1" x14ac:dyDescent="0.25">
      <c r="A3631">
        <v>0</v>
      </c>
    </row>
    <row r="3632" spans="1:1" x14ac:dyDescent="0.25">
      <c r="A3632">
        <v>0</v>
      </c>
    </row>
    <row r="3633" spans="1:1" x14ac:dyDescent="0.25">
      <c r="A3633" s="9">
        <v>2779989.34</v>
      </c>
    </row>
    <row r="3634" spans="1:1" x14ac:dyDescent="0.25">
      <c r="A3634" s="9">
        <v>94265.549999999901</v>
      </c>
    </row>
    <row r="3635" spans="1:1" x14ac:dyDescent="0.25">
      <c r="A3635" s="9">
        <v>6602317.2999999998</v>
      </c>
    </row>
    <row r="3636" spans="1:1" x14ac:dyDescent="0.25">
      <c r="A3636" s="9">
        <v>596310.54</v>
      </c>
    </row>
    <row r="3637" spans="1:1" x14ac:dyDescent="0.25">
      <c r="A3637" s="9">
        <v>6281037.4500000002</v>
      </c>
    </row>
    <row r="3638" spans="1:1" x14ac:dyDescent="0.25">
      <c r="A3638" s="9">
        <v>7455312.0899999999</v>
      </c>
    </row>
    <row r="3639" spans="1:1" x14ac:dyDescent="0.25">
      <c r="A3639" s="9">
        <v>6139690.9199999999</v>
      </c>
    </row>
    <row r="3640" spans="1:1" x14ac:dyDescent="0.25">
      <c r="A3640" s="9">
        <v>10284136.15</v>
      </c>
    </row>
    <row r="3641" spans="1:1" x14ac:dyDescent="0.25">
      <c r="A3641" s="9">
        <v>5769568.6399999997</v>
      </c>
    </row>
    <row r="3642" spans="1:1" x14ac:dyDescent="0.25">
      <c r="A3642" s="9">
        <v>17731283.93</v>
      </c>
    </row>
    <row r="3643" spans="1:1" x14ac:dyDescent="0.25">
      <c r="A3643" s="9">
        <v>16175567.76</v>
      </c>
    </row>
    <row r="3644" spans="1:1" x14ac:dyDescent="0.25">
      <c r="A3644" s="9">
        <v>10140329.41</v>
      </c>
    </row>
    <row r="3645" spans="1:1" x14ac:dyDescent="0.25">
      <c r="A3645" s="9">
        <v>438617.65</v>
      </c>
    </row>
    <row r="3646" spans="1:1" x14ac:dyDescent="0.25">
      <c r="A3646" s="9">
        <v>8364114.3399999999</v>
      </c>
    </row>
    <row r="3647" spans="1:1" x14ac:dyDescent="0.25">
      <c r="A3647" s="9">
        <v>2808390.64</v>
      </c>
    </row>
    <row r="3648" spans="1:1" x14ac:dyDescent="0.25">
      <c r="A3648" s="9">
        <v>2824904.34</v>
      </c>
    </row>
    <row r="3649" spans="1:1" x14ac:dyDescent="0.25">
      <c r="A3649" s="9">
        <v>1491218.68</v>
      </c>
    </row>
    <row r="3650" spans="1:1" x14ac:dyDescent="0.25">
      <c r="A3650" s="9">
        <v>346382.4</v>
      </c>
    </row>
    <row r="3651" spans="1:1" x14ac:dyDescent="0.25">
      <c r="A3651" s="9">
        <v>8514631.3300000001</v>
      </c>
    </row>
    <row r="3652" spans="1:1" x14ac:dyDescent="0.25">
      <c r="A3652" s="9">
        <v>2122438.04</v>
      </c>
    </row>
    <row r="3653" spans="1:1" x14ac:dyDescent="0.25">
      <c r="A3653">
        <v>0</v>
      </c>
    </row>
    <row r="3654" spans="1:1" x14ac:dyDescent="0.25">
      <c r="A3654" s="9">
        <v>6983197.3399999999</v>
      </c>
    </row>
    <row r="3655" spans="1:1" x14ac:dyDescent="0.25">
      <c r="A3655">
        <v>1944663</v>
      </c>
    </row>
    <row r="3656" spans="1:1" x14ac:dyDescent="0.25">
      <c r="A3656" s="9">
        <v>151877.25</v>
      </c>
    </row>
    <row r="3657" spans="1:1" x14ac:dyDescent="0.25">
      <c r="A3657">
        <v>0</v>
      </c>
    </row>
    <row r="3658" spans="1:1" x14ac:dyDescent="0.25">
      <c r="A3658" s="9">
        <v>352699.81999999902</v>
      </c>
    </row>
    <row r="3659" spans="1:1" x14ac:dyDescent="0.25">
      <c r="A3659" s="9">
        <v>409167.28</v>
      </c>
    </row>
    <row r="3660" spans="1:1" x14ac:dyDescent="0.25">
      <c r="A3660" s="9">
        <v>63852.12</v>
      </c>
    </row>
    <row r="3661" spans="1:1" x14ac:dyDescent="0.25">
      <c r="A3661" s="9">
        <v>4032076.23</v>
      </c>
    </row>
    <row r="3662" spans="1:1" x14ac:dyDescent="0.25">
      <c r="A3662" s="9">
        <v>9865068.4399999902</v>
      </c>
    </row>
    <row r="3663" spans="1:1" x14ac:dyDescent="0.25">
      <c r="A3663" s="9">
        <v>280163.73</v>
      </c>
    </row>
    <row r="3664" spans="1:1" x14ac:dyDescent="0.25">
      <c r="A3664" s="9">
        <v>2929830.61</v>
      </c>
    </row>
    <row r="3665" spans="1:1" x14ac:dyDescent="0.25">
      <c r="A3665">
        <v>0</v>
      </c>
    </row>
    <row r="3666" spans="1:1" x14ac:dyDescent="0.25">
      <c r="A3666" s="9">
        <v>23109960.289999999</v>
      </c>
    </row>
    <row r="3667" spans="1:1" x14ac:dyDescent="0.25">
      <c r="A3667" s="9">
        <v>3397998.08</v>
      </c>
    </row>
    <row r="3668" spans="1:1" x14ac:dyDescent="0.25">
      <c r="A3668" s="9">
        <v>20263474.390000001</v>
      </c>
    </row>
    <row r="3669" spans="1:1" x14ac:dyDescent="0.25">
      <c r="A3669" s="9">
        <v>4382633.8899999997</v>
      </c>
    </row>
    <row r="3670" spans="1:1" x14ac:dyDescent="0.25">
      <c r="A3670" s="9">
        <v>155459.1</v>
      </c>
    </row>
    <row r="3671" spans="1:1" x14ac:dyDescent="0.25">
      <c r="A3671" s="9">
        <v>10139173.24</v>
      </c>
    </row>
    <row r="3672" spans="1:1" x14ac:dyDescent="0.25">
      <c r="A3672" s="9">
        <v>5201426.8</v>
      </c>
    </row>
    <row r="3673" spans="1:1" x14ac:dyDescent="0.25">
      <c r="A3673" s="9">
        <v>478970.88</v>
      </c>
    </row>
    <row r="3674" spans="1:1" x14ac:dyDescent="0.25">
      <c r="A3674">
        <v>0</v>
      </c>
    </row>
    <row r="3675" spans="1:1" x14ac:dyDescent="0.25">
      <c r="A3675" s="9">
        <v>2183757.75</v>
      </c>
    </row>
    <row r="3676" spans="1:1" x14ac:dyDescent="0.25">
      <c r="A3676" s="9">
        <v>2929830.61</v>
      </c>
    </row>
    <row r="3677" spans="1:1" x14ac:dyDescent="0.25">
      <c r="A3677" s="9">
        <v>3964959.9</v>
      </c>
    </row>
    <row r="3678" spans="1:1" x14ac:dyDescent="0.25">
      <c r="A3678" s="9">
        <v>53096828.479999997</v>
      </c>
    </row>
    <row r="3679" spans="1:1" x14ac:dyDescent="0.25">
      <c r="A3679" s="9">
        <v>177629.35</v>
      </c>
    </row>
    <row r="3680" spans="1:1" x14ac:dyDescent="0.25">
      <c r="A3680" s="9">
        <v>53900150.209999897</v>
      </c>
    </row>
    <row r="3681" spans="1:1" x14ac:dyDescent="0.25">
      <c r="A3681" s="9">
        <v>2688154.48</v>
      </c>
    </row>
    <row r="3682" spans="1:1" x14ac:dyDescent="0.25">
      <c r="A3682" s="9">
        <v>2336898.4500000002</v>
      </c>
    </row>
    <row r="3683" spans="1:1" x14ac:dyDescent="0.25">
      <c r="A3683" s="9">
        <v>1985023.19</v>
      </c>
    </row>
    <row r="3684" spans="1:1" x14ac:dyDescent="0.25">
      <c r="A3684" s="9">
        <v>1150665.96</v>
      </c>
    </row>
    <row r="3685" spans="1:1" x14ac:dyDescent="0.25">
      <c r="A3685" s="9">
        <v>275386.15000000002</v>
      </c>
    </row>
    <row r="3686" spans="1:1" x14ac:dyDescent="0.25">
      <c r="A3686" s="9">
        <v>499663.27</v>
      </c>
    </row>
    <row r="3687" spans="1:1" x14ac:dyDescent="0.25">
      <c r="A3687">
        <v>0</v>
      </c>
    </row>
    <row r="3688" spans="1:1" x14ac:dyDescent="0.25">
      <c r="A3688" s="9">
        <v>1038411.5</v>
      </c>
    </row>
    <row r="3689" spans="1:1" x14ac:dyDescent="0.25">
      <c r="A3689" s="9">
        <v>6551165.9699999904</v>
      </c>
    </row>
    <row r="3690" spans="1:1" x14ac:dyDescent="0.25">
      <c r="A3690">
        <v>3802860</v>
      </c>
    </row>
    <row r="3691" spans="1:1" x14ac:dyDescent="0.25">
      <c r="A3691" s="9">
        <v>16333676.710000001</v>
      </c>
    </row>
    <row r="3692" spans="1:1" x14ac:dyDescent="0.25">
      <c r="A3692" s="9">
        <v>9470745.6699999999</v>
      </c>
    </row>
    <row r="3693" spans="1:1" x14ac:dyDescent="0.25">
      <c r="A3693" s="9">
        <v>3957327.2</v>
      </c>
    </row>
    <row r="3694" spans="1:1" x14ac:dyDescent="0.25">
      <c r="A3694" s="9">
        <v>5061407.87</v>
      </c>
    </row>
    <row r="3695" spans="1:1" x14ac:dyDescent="0.25">
      <c r="A3695" s="9">
        <v>28385757.199999999</v>
      </c>
    </row>
    <row r="3696" spans="1:1" x14ac:dyDescent="0.25">
      <c r="A3696" s="9">
        <v>145009.26</v>
      </c>
    </row>
    <row r="3697" spans="1:1" x14ac:dyDescent="0.25">
      <c r="A3697" s="9">
        <v>396812.56</v>
      </c>
    </row>
    <row r="3698" spans="1:1" x14ac:dyDescent="0.25">
      <c r="A3698" s="9">
        <v>84818.94</v>
      </c>
    </row>
    <row r="3699" spans="1:1" x14ac:dyDescent="0.25">
      <c r="A3699" s="9">
        <v>3176890.24</v>
      </c>
    </row>
    <row r="3700" spans="1:1" x14ac:dyDescent="0.25">
      <c r="A3700">
        <v>0</v>
      </c>
    </row>
    <row r="3701" spans="1:1" x14ac:dyDescent="0.25">
      <c r="A3701">
        <v>168812</v>
      </c>
    </row>
    <row r="3702" spans="1:1" x14ac:dyDescent="0.25">
      <c r="A3702" s="9">
        <v>9027383.2599999998</v>
      </c>
    </row>
    <row r="3703" spans="1:1" x14ac:dyDescent="0.25">
      <c r="A3703">
        <v>0</v>
      </c>
    </row>
    <row r="3704" spans="1:1" x14ac:dyDescent="0.25">
      <c r="A3704" s="9">
        <v>12616071.460000001</v>
      </c>
    </row>
    <row r="3705" spans="1:1" x14ac:dyDescent="0.25">
      <c r="A3705">
        <v>0</v>
      </c>
    </row>
    <row r="3706" spans="1:1" x14ac:dyDescent="0.25">
      <c r="A3706">
        <v>8018929</v>
      </c>
    </row>
    <row r="3707" spans="1:1" x14ac:dyDescent="0.25">
      <c r="A3707" s="9">
        <v>18813249.59</v>
      </c>
    </row>
    <row r="3708" spans="1:1" x14ac:dyDescent="0.25">
      <c r="A3708" s="9">
        <v>1086871.04</v>
      </c>
    </row>
    <row r="3709" spans="1:1" x14ac:dyDescent="0.25">
      <c r="A3709" s="9">
        <v>1851374.53</v>
      </c>
    </row>
    <row r="3710" spans="1:1" x14ac:dyDescent="0.25">
      <c r="A3710" s="9">
        <v>4253893.5999999996</v>
      </c>
    </row>
    <row r="3711" spans="1:1" x14ac:dyDescent="0.25">
      <c r="A3711" s="9">
        <v>6927307.0499999998</v>
      </c>
    </row>
    <row r="3712" spans="1:1" x14ac:dyDescent="0.25">
      <c r="A3712">
        <v>0</v>
      </c>
    </row>
    <row r="3713" spans="1:1" x14ac:dyDescent="0.25">
      <c r="A3713" s="9">
        <v>13022974.73</v>
      </c>
    </row>
    <row r="3714" spans="1:1" x14ac:dyDescent="0.25">
      <c r="A3714" s="9">
        <v>8355314.9399999902</v>
      </c>
    </row>
    <row r="3715" spans="1:1" x14ac:dyDescent="0.25">
      <c r="A3715" s="9">
        <v>23238114.98</v>
      </c>
    </row>
    <row r="3716" spans="1:1" x14ac:dyDescent="0.25">
      <c r="A3716" s="9">
        <v>1407917.11</v>
      </c>
    </row>
    <row r="3717" spans="1:1" x14ac:dyDescent="0.25">
      <c r="A3717" s="9">
        <v>4118257.39</v>
      </c>
    </row>
    <row r="3718" spans="1:1" x14ac:dyDescent="0.25">
      <c r="A3718" s="9">
        <v>4967841.63</v>
      </c>
    </row>
    <row r="3719" spans="1:1" x14ac:dyDescent="0.25">
      <c r="A3719" s="9">
        <v>5297855.58</v>
      </c>
    </row>
    <row r="3720" spans="1:1" x14ac:dyDescent="0.25">
      <c r="A3720" s="9">
        <v>314832.24</v>
      </c>
    </row>
    <row r="3721" spans="1:1" x14ac:dyDescent="0.25">
      <c r="A3721">
        <v>0</v>
      </c>
    </row>
    <row r="3722" spans="1:1" x14ac:dyDescent="0.25">
      <c r="A3722" s="9">
        <v>16558111.210000001</v>
      </c>
    </row>
    <row r="3723" spans="1:1" x14ac:dyDescent="0.25">
      <c r="A3723" s="9">
        <v>7017400.1999999899</v>
      </c>
    </row>
    <row r="3724" spans="1:1" x14ac:dyDescent="0.25">
      <c r="A3724" s="9">
        <v>421288.37</v>
      </c>
    </row>
    <row r="3725" spans="1:1" x14ac:dyDescent="0.25">
      <c r="A3725" s="9">
        <v>46801999.460000001</v>
      </c>
    </row>
    <row r="3726" spans="1:1" x14ac:dyDescent="0.25">
      <c r="A3726" s="9">
        <v>1475867.59</v>
      </c>
    </row>
    <row r="3727" spans="1:1" x14ac:dyDescent="0.25">
      <c r="A3727" s="9">
        <v>8454565.2899999898</v>
      </c>
    </row>
    <row r="3728" spans="1:1" x14ac:dyDescent="0.25">
      <c r="A3728">
        <v>0</v>
      </c>
    </row>
    <row r="3729" spans="1:1" x14ac:dyDescent="0.25">
      <c r="A3729" s="9">
        <v>309098.32</v>
      </c>
    </row>
    <row r="3730" spans="1:1" x14ac:dyDescent="0.25">
      <c r="A3730">
        <v>0</v>
      </c>
    </row>
    <row r="3731" spans="1:1" x14ac:dyDescent="0.25">
      <c r="A3731" s="9">
        <v>7010738.0300000003</v>
      </c>
    </row>
    <row r="3732" spans="1:1" x14ac:dyDescent="0.25">
      <c r="A3732" s="9">
        <v>5540129.9400000004</v>
      </c>
    </row>
    <row r="3733" spans="1:1" x14ac:dyDescent="0.25">
      <c r="A3733" s="9">
        <v>5151101.88</v>
      </c>
    </row>
    <row r="3734" spans="1:1" x14ac:dyDescent="0.25">
      <c r="A3734" s="9">
        <v>59412.959999999999</v>
      </c>
    </row>
    <row r="3735" spans="1:1" x14ac:dyDescent="0.25">
      <c r="A3735" s="9">
        <v>8003572.9900000002</v>
      </c>
    </row>
    <row r="3736" spans="1:1" x14ac:dyDescent="0.25">
      <c r="A3736" s="9">
        <v>149771.68</v>
      </c>
    </row>
    <row r="3737" spans="1:1" x14ac:dyDescent="0.25">
      <c r="A3737" s="9">
        <v>6192383.0899999999</v>
      </c>
    </row>
    <row r="3738" spans="1:1" x14ac:dyDescent="0.25">
      <c r="A3738" s="9">
        <v>1610901.15</v>
      </c>
    </row>
    <row r="3739" spans="1:1" x14ac:dyDescent="0.25">
      <c r="A3739" s="9">
        <v>320689.25</v>
      </c>
    </row>
    <row r="3740" spans="1:1" x14ac:dyDescent="0.25">
      <c r="A3740" s="9">
        <v>243614.5</v>
      </c>
    </row>
    <row r="3741" spans="1:1" x14ac:dyDescent="0.25">
      <c r="A3741" s="9">
        <v>115484.46</v>
      </c>
    </row>
    <row r="3742" spans="1:1" x14ac:dyDescent="0.25">
      <c r="A3742" s="9">
        <v>10086386.24</v>
      </c>
    </row>
    <row r="3743" spans="1:1" x14ac:dyDescent="0.25">
      <c r="A3743" s="9">
        <v>1603756.54</v>
      </c>
    </row>
    <row r="3744" spans="1:1" x14ac:dyDescent="0.25">
      <c r="A3744" s="9">
        <v>9352420.3399999999</v>
      </c>
    </row>
    <row r="3745" spans="1:1" x14ac:dyDescent="0.25">
      <c r="A3745">
        <v>0</v>
      </c>
    </row>
    <row r="3746" spans="1:1" x14ac:dyDescent="0.25">
      <c r="A3746">
        <v>0</v>
      </c>
    </row>
    <row r="3747" spans="1:1" x14ac:dyDescent="0.25">
      <c r="A3747" s="9">
        <v>3413922.15</v>
      </c>
    </row>
    <row r="3748" spans="1:1" x14ac:dyDescent="0.25">
      <c r="A3748" s="9">
        <v>12559075.710000001</v>
      </c>
    </row>
    <row r="3749" spans="1:1" x14ac:dyDescent="0.25">
      <c r="A3749" s="9">
        <v>60402.75</v>
      </c>
    </row>
    <row r="3750" spans="1:1" x14ac:dyDescent="0.25">
      <c r="A3750">
        <v>0</v>
      </c>
    </row>
    <row r="3751" spans="1:1" x14ac:dyDescent="0.25">
      <c r="A3751" s="9">
        <v>27525724.969999999</v>
      </c>
    </row>
    <row r="3752" spans="1:1" x14ac:dyDescent="0.25">
      <c r="A3752" s="9">
        <v>256707.1</v>
      </c>
    </row>
    <row r="3753" spans="1:1" x14ac:dyDescent="0.25">
      <c r="A3753" s="9">
        <v>12363775.810000001</v>
      </c>
    </row>
    <row r="3754" spans="1:1" x14ac:dyDescent="0.25">
      <c r="A3754" s="9">
        <v>4906720.63</v>
      </c>
    </row>
    <row r="3755" spans="1:1" x14ac:dyDescent="0.25">
      <c r="A3755" s="9">
        <v>398515.68</v>
      </c>
    </row>
    <row r="3756" spans="1:1" x14ac:dyDescent="0.25">
      <c r="A3756" s="9">
        <v>31045804.609999999</v>
      </c>
    </row>
    <row r="3757" spans="1:1" x14ac:dyDescent="0.25">
      <c r="A3757" s="9">
        <v>6267871.5599999996</v>
      </c>
    </row>
    <row r="3758" spans="1:1" x14ac:dyDescent="0.25">
      <c r="A3758">
        <v>0</v>
      </c>
    </row>
    <row r="3759" spans="1:1" x14ac:dyDescent="0.25">
      <c r="A3759">
        <v>0</v>
      </c>
    </row>
    <row r="3760" spans="1:1" x14ac:dyDescent="0.25">
      <c r="A3760" s="9">
        <v>3240456.6</v>
      </c>
    </row>
    <row r="3761" spans="1:1" x14ac:dyDescent="0.25">
      <c r="A3761" s="9">
        <v>26958250.699999999</v>
      </c>
    </row>
    <row r="3762" spans="1:1" x14ac:dyDescent="0.25">
      <c r="A3762" s="9">
        <v>13782396.029999999</v>
      </c>
    </row>
    <row r="3763" spans="1:1" x14ac:dyDescent="0.25">
      <c r="A3763" s="9">
        <v>22722529.370000001</v>
      </c>
    </row>
    <row r="3764" spans="1:1" x14ac:dyDescent="0.25">
      <c r="A3764" s="9">
        <v>15029734.880000001</v>
      </c>
    </row>
    <row r="3765" spans="1:1" x14ac:dyDescent="0.25">
      <c r="A3765" s="9">
        <v>7093395.4900000002</v>
      </c>
    </row>
    <row r="3766" spans="1:1" x14ac:dyDescent="0.25">
      <c r="A3766">
        <v>0</v>
      </c>
    </row>
    <row r="3767" spans="1:1" x14ac:dyDescent="0.25">
      <c r="A3767" s="9">
        <v>4439265.09</v>
      </c>
    </row>
    <row r="3768" spans="1:1" x14ac:dyDescent="0.25">
      <c r="A3768">
        <v>0</v>
      </c>
    </row>
    <row r="3769" spans="1:1" x14ac:dyDescent="0.25">
      <c r="A3769" s="9">
        <v>226699.08</v>
      </c>
    </row>
    <row r="3770" spans="1:1" x14ac:dyDescent="0.25">
      <c r="A3770" s="9">
        <v>186499.5</v>
      </c>
    </row>
    <row r="3771" spans="1:1" x14ac:dyDescent="0.25">
      <c r="A3771" s="9">
        <v>6764455.96</v>
      </c>
    </row>
    <row r="3772" spans="1:1" x14ac:dyDescent="0.25">
      <c r="A3772" s="9">
        <v>4926224.62</v>
      </c>
    </row>
    <row r="3773" spans="1:1" x14ac:dyDescent="0.25">
      <c r="A3773" s="9">
        <v>4303656.38</v>
      </c>
    </row>
    <row r="3774" spans="1:1" x14ac:dyDescent="0.25">
      <c r="A3774" s="9">
        <v>2181414.9</v>
      </c>
    </row>
    <row r="3775" spans="1:1" x14ac:dyDescent="0.25">
      <c r="A3775" s="9">
        <v>21054724.379999999</v>
      </c>
    </row>
    <row r="3776" spans="1:1" x14ac:dyDescent="0.25">
      <c r="A3776" s="9">
        <v>314832.24</v>
      </c>
    </row>
    <row r="3777" spans="1:1" x14ac:dyDescent="0.25">
      <c r="A3777" s="9">
        <v>1740504.45</v>
      </c>
    </row>
    <row r="3778" spans="1:1" x14ac:dyDescent="0.25">
      <c r="A3778">
        <v>0</v>
      </c>
    </row>
    <row r="3779" spans="1:1" x14ac:dyDescent="0.25">
      <c r="A3779" s="9">
        <v>16148758.619999999</v>
      </c>
    </row>
    <row r="3780" spans="1:1" x14ac:dyDescent="0.25">
      <c r="A3780" s="9">
        <v>6664108.96</v>
      </c>
    </row>
    <row r="3781" spans="1:1" x14ac:dyDescent="0.25">
      <c r="A3781" s="9">
        <v>428552.38</v>
      </c>
    </row>
    <row r="3782" spans="1:1" x14ac:dyDescent="0.25">
      <c r="A3782" s="9">
        <v>1081017.72</v>
      </c>
    </row>
    <row r="3783" spans="1:1" x14ac:dyDescent="0.25">
      <c r="A3783" s="9">
        <v>4387222.38</v>
      </c>
    </row>
    <row r="3784" spans="1:1" x14ac:dyDescent="0.25">
      <c r="A3784" s="9">
        <v>4524001.57</v>
      </c>
    </row>
    <row r="3785" spans="1:1" x14ac:dyDescent="0.25">
      <c r="A3785">
        <v>1944663</v>
      </c>
    </row>
    <row r="3786" spans="1:1" x14ac:dyDescent="0.25">
      <c r="A3786" s="9">
        <v>5411057.8499999996</v>
      </c>
    </row>
    <row r="3787" spans="1:1" x14ac:dyDescent="0.25">
      <c r="A3787" s="9">
        <v>2085961.7</v>
      </c>
    </row>
    <row r="3788" spans="1:1" x14ac:dyDescent="0.25">
      <c r="A3788" s="9">
        <v>2796220.06</v>
      </c>
    </row>
    <row r="3789" spans="1:1" x14ac:dyDescent="0.25">
      <c r="A3789" s="9">
        <v>21521409.989999998</v>
      </c>
    </row>
    <row r="3790" spans="1:1" x14ac:dyDescent="0.25">
      <c r="A3790" s="9">
        <v>59412.959999999999</v>
      </c>
    </row>
    <row r="3791" spans="1:1" x14ac:dyDescent="0.25">
      <c r="A3791" s="9">
        <v>46702303.799999997</v>
      </c>
    </row>
    <row r="3792" spans="1:1" x14ac:dyDescent="0.25">
      <c r="A3792" s="9">
        <v>2018586.17</v>
      </c>
    </row>
    <row r="3793" spans="1:1" x14ac:dyDescent="0.25">
      <c r="A3793" s="9">
        <v>5626341.3200000003</v>
      </c>
    </row>
    <row r="3794" spans="1:1" x14ac:dyDescent="0.25">
      <c r="A3794" s="9">
        <v>4204205.54</v>
      </c>
    </row>
    <row r="3795" spans="1:1" x14ac:dyDescent="0.25">
      <c r="A3795" s="9">
        <v>4746305.6399999997</v>
      </c>
    </row>
    <row r="3796" spans="1:1" x14ac:dyDescent="0.25">
      <c r="A3796" s="9">
        <v>5855282.54</v>
      </c>
    </row>
    <row r="3797" spans="1:1" x14ac:dyDescent="0.25">
      <c r="A3797" s="9">
        <v>339843.68</v>
      </c>
    </row>
    <row r="3798" spans="1:1" x14ac:dyDescent="0.25">
      <c r="A3798" s="9">
        <v>3197703.98</v>
      </c>
    </row>
    <row r="3799" spans="1:1" x14ac:dyDescent="0.25">
      <c r="A3799" s="9">
        <v>128802.6</v>
      </c>
    </row>
    <row r="3800" spans="1:1" x14ac:dyDescent="0.25">
      <c r="A3800" s="9">
        <v>7099768.8499999996</v>
      </c>
    </row>
    <row r="3801" spans="1:1" x14ac:dyDescent="0.25">
      <c r="A3801" s="9">
        <v>8067797.75</v>
      </c>
    </row>
    <row r="3802" spans="1:1" x14ac:dyDescent="0.25">
      <c r="A3802" s="9">
        <v>180016.88</v>
      </c>
    </row>
    <row r="3803" spans="1:1" x14ac:dyDescent="0.25">
      <c r="A3803" s="9">
        <v>5088451.51</v>
      </c>
    </row>
    <row r="3804" spans="1:1" x14ac:dyDescent="0.25">
      <c r="A3804" s="9">
        <v>224876.73</v>
      </c>
    </row>
    <row r="3805" spans="1:1" x14ac:dyDescent="0.25">
      <c r="A3805" s="9">
        <v>4238771.17</v>
      </c>
    </row>
    <row r="3806" spans="1:1" x14ac:dyDescent="0.25">
      <c r="A3806">
        <v>0</v>
      </c>
    </row>
    <row r="3807" spans="1:1" x14ac:dyDescent="0.25">
      <c r="A3807" s="9">
        <v>55235.28</v>
      </c>
    </row>
    <row r="3808" spans="1:1" x14ac:dyDescent="0.25">
      <c r="A3808" s="9">
        <v>2113954.7799999998</v>
      </c>
    </row>
    <row r="3809" spans="1:1" x14ac:dyDescent="0.25">
      <c r="A3809" s="9">
        <v>2454057.71</v>
      </c>
    </row>
    <row r="3810" spans="1:1" x14ac:dyDescent="0.25">
      <c r="A3810" s="9">
        <v>225978.12</v>
      </c>
    </row>
    <row r="3811" spans="1:1" x14ac:dyDescent="0.25">
      <c r="A3811">
        <v>0</v>
      </c>
    </row>
    <row r="3812" spans="1:1" x14ac:dyDescent="0.25">
      <c r="A3812" s="9">
        <v>455827.59</v>
      </c>
    </row>
    <row r="3813" spans="1:1" x14ac:dyDescent="0.25">
      <c r="A3813" s="9">
        <v>9173007.0999999996</v>
      </c>
    </row>
    <row r="3814" spans="1:1" x14ac:dyDescent="0.25">
      <c r="A3814" s="9">
        <v>8197912.5800000001</v>
      </c>
    </row>
    <row r="3815" spans="1:1" x14ac:dyDescent="0.25">
      <c r="A3815" s="9">
        <v>4032127.79</v>
      </c>
    </row>
    <row r="3816" spans="1:1" x14ac:dyDescent="0.25">
      <c r="A3816" s="9">
        <v>111413.66</v>
      </c>
    </row>
    <row r="3817" spans="1:1" x14ac:dyDescent="0.25">
      <c r="A3817" s="9">
        <v>831384.91</v>
      </c>
    </row>
    <row r="3818" spans="1:1" x14ac:dyDescent="0.25">
      <c r="A3818" s="9">
        <v>307372.90999999997</v>
      </c>
    </row>
    <row r="3819" spans="1:1" x14ac:dyDescent="0.25">
      <c r="A3819" s="9">
        <v>7216365.3899999997</v>
      </c>
    </row>
    <row r="3820" spans="1:1" x14ac:dyDescent="0.25">
      <c r="A3820" s="9">
        <v>6436922.96</v>
      </c>
    </row>
    <row r="3821" spans="1:1" x14ac:dyDescent="0.25">
      <c r="A3821" s="9">
        <v>808893.68</v>
      </c>
    </row>
    <row r="3822" spans="1:1" x14ac:dyDescent="0.25">
      <c r="A3822" s="9">
        <v>2633231.7000000002</v>
      </c>
    </row>
    <row r="3823" spans="1:1" x14ac:dyDescent="0.25">
      <c r="A3823">
        <v>0</v>
      </c>
    </row>
    <row r="3824" spans="1:1" x14ac:dyDescent="0.25">
      <c r="A3824" s="9">
        <v>177629.35</v>
      </c>
    </row>
    <row r="3825" spans="1:1" x14ac:dyDescent="0.25">
      <c r="A3825">
        <v>0</v>
      </c>
    </row>
    <row r="3826" spans="1:1" x14ac:dyDescent="0.25">
      <c r="A3826" s="9">
        <v>810351.429999999</v>
      </c>
    </row>
    <row r="3827" spans="1:1" x14ac:dyDescent="0.25">
      <c r="A3827">
        <v>0</v>
      </c>
    </row>
    <row r="3828" spans="1:1" x14ac:dyDescent="0.25">
      <c r="A3828" s="9">
        <v>35714.1</v>
      </c>
    </row>
    <row r="3829" spans="1:1" x14ac:dyDescent="0.25">
      <c r="A3829" s="9">
        <v>4169424.04</v>
      </c>
    </row>
    <row r="3830" spans="1:1" x14ac:dyDescent="0.25">
      <c r="A3830">
        <v>797124</v>
      </c>
    </row>
    <row r="3831" spans="1:1" x14ac:dyDescent="0.25">
      <c r="A3831" s="9">
        <v>202863.28</v>
      </c>
    </row>
    <row r="3832" spans="1:1" x14ac:dyDescent="0.25">
      <c r="A3832" s="9">
        <v>1159821.1100000001</v>
      </c>
    </row>
    <row r="3833" spans="1:1" x14ac:dyDescent="0.25">
      <c r="A3833" s="9">
        <v>145009.26</v>
      </c>
    </row>
    <row r="3834" spans="1:1" x14ac:dyDescent="0.25">
      <c r="A3834" s="9">
        <v>6659813.2199999997</v>
      </c>
    </row>
    <row r="3835" spans="1:1" x14ac:dyDescent="0.25">
      <c r="A3835" s="9">
        <v>3379767.69</v>
      </c>
    </row>
    <row r="3836" spans="1:1" x14ac:dyDescent="0.25">
      <c r="A3836" s="9">
        <v>1415859.37</v>
      </c>
    </row>
    <row r="3837" spans="1:1" x14ac:dyDescent="0.25">
      <c r="A3837">
        <v>0</v>
      </c>
    </row>
    <row r="3838" spans="1:1" x14ac:dyDescent="0.25">
      <c r="A3838" s="9">
        <v>4467129.71</v>
      </c>
    </row>
    <row r="3839" spans="1:1" x14ac:dyDescent="0.25">
      <c r="A3839">
        <v>0</v>
      </c>
    </row>
    <row r="3840" spans="1:1" x14ac:dyDescent="0.25">
      <c r="A3840" s="9">
        <v>25512125.920000002</v>
      </c>
    </row>
    <row r="3841" spans="1:1" x14ac:dyDescent="0.25">
      <c r="A3841" s="9">
        <v>9168025.0500000007</v>
      </c>
    </row>
    <row r="3842" spans="1:1" x14ac:dyDescent="0.25">
      <c r="A3842" s="9">
        <v>3084041.93</v>
      </c>
    </row>
    <row r="3843" spans="1:1" x14ac:dyDescent="0.25">
      <c r="A3843">
        <v>0</v>
      </c>
    </row>
    <row r="3844" spans="1:1" x14ac:dyDescent="0.25">
      <c r="A3844" s="9">
        <v>3770327.48</v>
      </c>
    </row>
    <row r="3845" spans="1:1" x14ac:dyDescent="0.25">
      <c r="A3845" s="9">
        <v>2627455.84</v>
      </c>
    </row>
    <row r="3846" spans="1:1" x14ac:dyDescent="0.25">
      <c r="A3846" s="9">
        <v>647771.29</v>
      </c>
    </row>
    <row r="3847" spans="1:1" x14ac:dyDescent="0.25">
      <c r="A3847" s="9">
        <v>1642417.84</v>
      </c>
    </row>
    <row r="3848" spans="1:1" x14ac:dyDescent="0.25">
      <c r="A3848" s="9">
        <v>140021.70000000001</v>
      </c>
    </row>
    <row r="3849" spans="1:1" x14ac:dyDescent="0.25">
      <c r="A3849" s="9">
        <v>66982465.840000004</v>
      </c>
    </row>
    <row r="3850" spans="1:1" x14ac:dyDescent="0.25">
      <c r="A3850" s="9">
        <v>5990158.25</v>
      </c>
    </row>
    <row r="3851" spans="1:1" x14ac:dyDescent="0.25">
      <c r="A3851" s="9">
        <v>2700622.4599999902</v>
      </c>
    </row>
    <row r="3852" spans="1:1" x14ac:dyDescent="0.25">
      <c r="A3852" s="9">
        <v>3698629.46</v>
      </c>
    </row>
    <row r="3853" spans="1:1" x14ac:dyDescent="0.25">
      <c r="A3853" s="9">
        <v>2769966.48</v>
      </c>
    </row>
    <row r="3854" spans="1:1" x14ac:dyDescent="0.25">
      <c r="A3854">
        <v>0</v>
      </c>
    </row>
    <row r="3855" spans="1:1" x14ac:dyDescent="0.25">
      <c r="A3855">
        <v>2390068</v>
      </c>
    </row>
    <row r="3856" spans="1:1" x14ac:dyDescent="0.25">
      <c r="A3856" s="9">
        <v>18571564.16</v>
      </c>
    </row>
    <row r="3857" spans="1:1" x14ac:dyDescent="0.25">
      <c r="A3857" s="9">
        <v>12341421.01</v>
      </c>
    </row>
    <row r="3858" spans="1:1" x14ac:dyDescent="0.25">
      <c r="A3858">
        <v>0</v>
      </c>
    </row>
    <row r="3859" spans="1:1" x14ac:dyDescent="0.25">
      <c r="A3859" s="9">
        <v>13471262.42</v>
      </c>
    </row>
    <row r="3860" spans="1:1" x14ac:dyDescent="0.25">
      <c r="A3860" s="9">
        <v>3046932.04</v>
      </c>
    </row>
    <row r="3861" spans="1:1" x14ac:dyDescent="0.25">
      <c r="A3861" s="9">
        <v>362251.67</v>
      </c>
    </row>
    <row r="3862" spans="1:1" x14ac:dyDescent="0.25">
      <c r="A3862" s="9">
        <v>10502059.49</v>
      </c>
    </row>
    <row r="3863" spans="1:1" x14ac:dyDescent="0.25">
      <c r="A3863">
        <v>0</v>
      </c>
    </row>
    <row r="3864" spans="1:1" x14ac:dyDescent="0.25">
      <c r="A3864" s="9">
        <v>354508.47</v>
      </c>
    </row>
    <row r="3865" spans="1:1" x14ac:dyDescent="0.25">
      <c r="A3865" s="9">
        <v>3851052.38</v>
      </c>
    </row>
    <row r="3866" spans="1:1" x14ac:dyDescent="0.25">
      <c r="A3866" s="9">
        <v>950253.96</v>
      </c>
    </row>
    <row r="3867" spans="1:1" x14ac:dyDescent="0.25">
      <c r="A3867" s="9">
        <v>3272593.91</v>
      </c>
    </row>
    <row r="3868" spans="1:1" x14ac:dyDescent="0.25">
      <c r="A3868">
        <v>0</v>
      </c>
    </row>
    <row r="3869" spans="1:1" x14ac:dyDescent="0.25">
      <c r="A3869" s="9">
        <v>9099295.4499999899</v>
      </c>
    </row>
    <row r="3870" spans="1:1" x14ac:dyDescent="0.25">
      <c r="A3870">
        <v>0</v>
      </c>
    </row>
    <row r="3871" spans="1:1" x14ac:dyDescent="0.25">
      <c r="A3871" s="9">
        <v>7821698.1299999896</v>
      </c>
    </row>
    <row r="3872" spans="1:1" x14ac:dyDescent="0.25">
      <c r="A3872" s="9">
        <v>69787648.859999999</v>
      </c>
    </row>
    <row r="3873" spans="1:1" x14ac:dyDescent="0.25">
      <c r="A3873">
        <v>0</v>
      </c>
    </row>
    <row r="3874" spans="1:1" x14ac:dyDescent="0.25">
      <c r="A3874" s="9">
        <v>3262380.28</v>
      </c>
    </row>
    <row r="3875" spans="1:1" x14ac:dyDescent="0.25">
      <c r="A3875" s="9">
        <v>13443392.460000001</v>
      </c>
    </row>
    <row r="3876" spans="1:1" x14ac:dyDescent="0.25">
      <c r="A3876">
        <v>0</v>
      </c>
    </row>
    <row r="3877" spans="1:1" x14ac:dyDescent="0.25">
      <c r="A3877" s="9">
        <v>261354.96</v>
      </c>
    </row>
    <row r="3878" spans="1:1" x14ac:dyDescent="0.25">
      <c r="A3878">
        <v>0</v>
      </c>
    </row>
    <row r="3879" spans="1:1" x14ac:dyDescent="0.25">
      <c r="A3879" s="9">
        <v>1246458.8700000001</v>
      </c>
    </row>
    <row r="3880" spans="1:1" x14ac:dyDescent="0.25">
      <c r="A3880" s="9">
        <v>14345552.789999999</v>
      </c>
    </row>
    <row r="3881" spans="1:1" x14ac:dyDescent="0.25">
      <c r="A3881">
        <v>0</v>
      </c>
    </row>
    <row r="3882" spans="1:1" x14ac:dyDescent="0.25">
      <c r="A3882" s="9">
        <v>12958364.65</v>
      </c>
    </row>
    <row r="3883" spans="1:1" x14ac:dyDescent="0.25">
      <c r="A3883" s="9">
        <v>256707.1</v>
      </c>
    </row>
    <row r="3884" spans="1:1" x14ac:dyDescent="0.25">
      <c r="A3884">
        <v>0</v>
      </c>
    </row>
    <row r="3885" spans="1:1" x14ac:dyDescent="0.25">
      <c r="A3885" s="9">
        <v>2000247.29</v>
      </c>
    </row>
    <row r="3886" spans="1:1" x14ac:dyDescent="0.25">
      <c r="A3886" s="9">
        <v>197756.64</v>
      </c>
    </row>
    <row r="3887" spans="1:1" x14ac:dyDescent="0.25">
      <c r="A3887" s="9">
        <v>149771.68</v>
      </c>
    </row>
    <row r="3888" spans="1:1" x14ac:dyDescent="0.25">
      <c r="A3888" s="9">
        <v>63852.12</v>
      </c>
    </row>
    <row r="3889" spans="1:1" x14ac:dyDescent="0.25">
      <c r="A3889">
        <v>3802860</v>
      </c>
    </row>
    <row r="3890" spans="1:1" x14ac:dyDescent="0.25">
      <c r="A3890" s="9">
        <v>12930437.630000001</v>
      </c>
    </row>
    <row r="3891" spans="1:1" x14ac:dyDescent="0.25">
      <c r="A3891">
        <v>1944663</v>
      </c>
    </row>
    <row r="3892" spans="1:1" x14ac:dyDescent="0.25">
      <c r="A3892" s="9">
        <v>179642.07</v>
      </c>
    </row>
    <row r="3893" spans="1:1" x14ac:dyDescent="0.25">
      <c r="A3893" s="9">
        <v>336779.69</v>
      </c>
    </row>
    <row r="3894" spans="1:1" x14ac:dyDescent="0.25">
      <c r="A3894" s="9">
        <v>155658.72</v>
      </c>
    </row>
    <row r="3895" spans="1:1" x14ac:dyDescent="0.25">
      <c r="A3895" s="9">
        <v>451969.64</v>
      </c>
    </row>
    <row r="3896" spans="1:1" x14ac:dyDescent="0.25">
      <c r="A3896" s="9">
        <v>292277.58</v>
      </c>
    </row>
    <row r="3897" spans="1:1" x14ac:dyDescent="0.25">
      <c r="A3897" s="9">
        <v>52177334.219999999</v>
      </c>
    </row>
    <row r="3898" spans="1:1" x14ac:dyDescent="0.25">
      <c r="A3898" s="9">
        <v>8665928.2999999896</v>
      </c>
    </row>
    <row r="3899" spans="1:1" x14ac:dyDescent="0.25">
      <c r="A3899" s="9">
        <v>374319.72</v>
      </c>
    </row>
    <row r="3900" spans="1:1" x14ac:dyDescent="0.25">
      <c r="A3900" s="9">
        <v>286164.24</v>
      </c>
    </row>
    <row r="3901" spans="1:1" x14ac:dyDescent="0.25">
      <c r="A3901" s="9">
        <v>426830.11</v>
      </c>
    </row>
    <row r="3902" spans="1:1" x14ac:dyDescent="0.25">
      <c r="A3902" s="9">
        <v>151877.25</v>
      </c>
    </row>
    <row r="3903" spans="1:1" x14ac:dyDescent="0.25">
      <c r="A3903" s="9">
        <v>1692241.56</v>
      </c>
    </row>
    <row r="3904" spans="1:1" x14ac:dyDescent="0.25">
      <c r="A3904" s="9">
        <v>5040149.41</v>
      </c>
    </row>
    <row r="3905" spans="1:1" x14ac:dyDescent="0.25">
      <c r="A3905">
        <v>0</v>
      </c>
    </row>
    <row r="3906" spans="1:1" x14ac:dyDescent="0.25">
      <c r="A3906" s="9">
        <v>65826684.530000001</v>
      </c>
    </row>
    <row r="3907" spans="1:1" x14ac:dyDescent="0.25">
      <c r="A3907" s="9">
        <v>3015453.27</v>
      </c>
    </row>
    <row r="3908" spans="1:1" x14ac:dyDescent="0.25">
      <c r="A3908">
        <v>0</v>
      </c>
    </row>
    <row r="3909" spans="1:1" x14ac:dyDescent="0.25">
      <c r="A3909" s="9">
        <v>2890856.84</v>
      </c>
    </row>
    <row r="3910" spans="1:1" x14ac:dyDescent="0.25">
      <c r="A3910" s="9">
        <v>3311697.77</v>
      </c>
    </row>
    <row r="3911" spans="1:1" x14ac:dyDescent="0.25">
      <c r="A3911" s="9">
        <v>120431.52</v>
      </c>
    </row>
    <row r="3912" spans="1:1" x14ac:dyDescent="0.25">
      <c r="A3912" s="9">
        <v>137493.4</v>
      </c>
    </row>
    <row r="3913" spans="1:1" x14ac:dyDescent="0.25">
      <c r="A3913" s="9">
        <v>15778611.16</v>
      </c>
    </row>
    <row r="3914" spans="1:1" x14ac:dyDescent="0.25">
      <c r="A3914" s="9">
        <v>10300298.189999999</v>
      </c>
    </row>
    <row r="3915" spans="1:1" x14ac:dyDescent="0.25">
      <c r="A3915" s="9">
        <v>47829.8</v>
      </c>
    </row>
    <row r="3916" spans="1:1" x14ac:dyDescent="0.25">
      <c r="A3916" s="9">
        <v>386783.89</v>
      </c>
    </row>
    <row r="3917" spans="1:1" x14ac:dyDescent="0.25">
      <c r="A3917" s="9">
        <v>8675698.6399999894</v>
      </c>
    </row>
    <row r="3918" spans="1:1" x14ac:dyDescent="0.25">
      <c r="A3918" s="9">
        <v>11175257.199999999</v>
      </c>
    </row>
    <row r="3919" spans="1:1" x14ac:dyDescent="0.25">
      <c r="A3919" s="9">
        <v>3887343.61</v>
      </c>
    </row>
    <row r="3920" spans="1:1" x14ac:dyDescent="0.25">
      <c r="A3920" s="9">
        <v>55490.76</v>
      </c>
    </row>
    <row r="3921" spans="1:1" x14ac:dyDescent="0.25">
      <c r="A3921" s="9">
        <v>31180318.34</v>
      </c>
    </row>
    <row r="3922" spans="1:1" x14ac:dyDescent="0.25">
      <c r="A3922">
        <v>0</v>
      </c>
    </row>
    <row r="3923" spans="1:1" x14ac:dyDescent="0.25">
      <c r="A3923" s="9">
        <v>6923947.6799999997</v>
      </c>
    </row>
    <row r="3924" spans="1:1" x14ac:dyDescent="0.25">
      <c r="A3924" s="9">
        <v>405047.76</v>
      </c>
    </row>
    <row r="3925" spans="1:1" x14ac:dyDescent="0.25">
      <c r="A3925" s="9">
        <v>69989.64</v>
      </c>
    </row>
    <row r="3926" spans="1:1" x14ac:dyDescent="0.25">
      <c r="A3926">
        <v>9849430</v>
      </c>
    </row>
    <row r="3927" spans="1:1" x14ac:dyDescent="0.25">
      <c r="A3927" s="9">
        <v>1745461.41</v>
      </c>
    </row>
    <row r="3928" spans="1:1" x14ac:dyDescent="0.25">
      <c r="A3928">
        <v>3159343</v>
      </c>
    </row>
    <row r="3929" spans="1:1" x14ac:dyDescent="0.25">
      <c r="A3929" s="9">
        <v>2832783.6</v>
      </c>
    </row>
    <row r="3930" spans="1:1" x14ac:dyDescent="0.25">
      <c r="A3930" s="9">
        <v>1134893.2</v>
      </c>
    </row>
    <row r="3931" spans="1:1" x14ac:dyDescent="0.25">
      <c r="A3931" s="9">
        <v>2238655.67</v>
      </c>
    </row>
    <row r="3932" spans="1:1" x14ac:dyDescent="0.25">
      <c r="A3932" s="9">
        <v>444726.48</v>
      </c>
    </row>
    <row r="3933" spans="1:1" x14ac:dyDescent="0.25">
      <c r="A3933" s="9">
        <v>155459.1</v>
      </c>
    </row>
    <row r="3934" spans="1:1" x14ac:dyDescent="0.25">
      <c r="A3934" s="9">
        <v>1291324.01</v>
      </c>
    </row>
    <row r="3935" spans="1:1" x14ac:dyDescent="0.25">
      <c r="A3935" s="9">
        <v>3327811.02</v>
      </c>
    </row>
    <row r="3936" spans="1:1" x14ac:dyDescent="0.25">
      <c r="A3936" s="9">
        <v>14557783.050000001</v>
      </c>
    </row>
    <row r="3937" spans="1:1" x14ac:dyDescent="0.25">
      <c r="A3937" s="9">
        <v>1696609.49</v>
      </c>
    </row>
    <row r="3938" spans="1:1" x14ac:dyDescent="0.25">
      <c r="A3938" s="9">
        <v>3201318.93</v>
      </c>
    </row>
    <row r="3939" spans="1:1" x14ac:dyDescent="0.25">
      <c r="A3939">
        <v>0</v>
      </c>
    </row>
    <row r="3940" spans="1:1" x14ac:dyDescent="0.25">
      <c r="A3940" s="9">
        <v>65832.599999999904</v>
      </c>
    </row>
    <row r="3941" spans="1:1" x14ac:dyDescent="0.25">
      <c r="A3941" s="9">
        <v>682006.62999999896</v>
      </c>
    </row>
    <row r="3942" spans="1:1" x14ac:dyDescent="0.25">
      <c r="A3942">
        <v>0</v>
      </c>
    </row>
    <row r="3943" spans="1:1" x14ac:dyDescent="0.25">
      <c r="A3943" s="9">
        <v>32725018.629999999</v>
      </c>
    </row>
    <row r="3944" spans="1:1" x14ac:dyDescent="0.25">
      <c r="A3944" s="9">
        <v>7622024.2999999998</v>
      </c>
    </row>
    <row r="3945" spans="1:1" x14ac:dyDescent="0.25">
      <c r="A3945" s="9">
        <v>4877064.6500000004</v>
      </c>
    </row>
    <row r="3946" spans="1:1" x14ac:dyDescent="0.25">
      <c r="A3946">
        <v>0</v>
      </c>
    </row>
    <row r="3947" spans="1:1" x14ac:dyDescent="0.25">
      <c r="A3947" s="9">
        <v>681669.51</v>
      </c>
    </row>
    <row r="3948" spans="1:1" x14ac:dyDescent="0.25">
      <c r="A3948" s="9">
        <v>7455483.6100000003</v>
      </c>
    </row>
    <row r="3949" spans="1:1" x14ac:dyDescent="0.25">
      <c r="A3949" s="9">
        <v>1819607.08</v>
      </c>
    </row>
    <row r="3950" spans="1:1" x14ac:dyDescent="0.25">
      <c r="A3950" s="9">
        <v>11509141.4</v>
      </c>
    </row>
    <row r="3951" spans="1:1" x14ac:dyDescent="0.25">
      <c r="A3951" s="9">
        <v>3259740.09</v>
      </c>
    </row>
    <row r="3952" spans="1:1" x14ac:dyDescent="0.25">
      <c r="A3952" s="9">
        <v>89443.64</v>
      </c>
    </row>
    <row r="3953" spans="1:1" x14ac:dyDescent="0.25">
      <c r="A3953" s="9">
        <v>302271.84999999998</v>
      </c>
    </row>
    <row r="3954" spans="1:1" x14ac:dyDescent="0.25">
      <c r="A3954" s="9">
        <v>4020244.52</v>
      </c>
    </row>
    <row r="3955" spans="1:1" x14ac:dyDescent="0.25">
      <c r="A3955">
        <v>0</v>
      </c>
    </row>
    <row r="3956" spans="1:1" x14ac:dyDescent="0.25">
      <c r="A3956" s="9">
        <v>230598.43</v>
      </c>
    </row>
    <row r="3957" spans="1:1" x14ac:dyDescent="0.25">
      <c r="A3957" s="9">
        <v>248271.48</v>
      </c>
    </row>
    <row r="3958" spans="1:1" x14ac:dyDescent="0.25">
      <c r="A3958" s="9">
        <v>2109226.2000000002</v>
      </c>
    </row>
    <row r="3959" spans="1:1" x14ac:dyDescent="0.25">
      <c r="A3959">
        <v>0</v>
      </c>
    </row>
    <row r="3960" spans="1:1" x14ac:dyDescent="0.25">
      <c r="A3960" s="9">
        <v>89675.3</v>
      </c>
    </row>
    <row r="3961" spans="1:1" x14ac:dyDescent="0.25">
      <c r="A3961" s="9">
        <v>1828198.82</v>
      </c>
    </row>
    <row r="3962" spans="1:1" x14ac:dyDescent="0.25">
      <c r="A3962" s="9">
        <v>20502575.370000001</v>
      </c>
    </row>
    <row r="3963" spans="1:1" x14ac:dyDescent="0.25">
      <c r="A3963">
        <v>0</v>
      </c>
    </row>
    <row r="3964" spans="1:1" x14ac:dyDescent="0.25">
      <c r="A3964" s="9">
        <v>964344.59</v>
      </c>
    </row>
    <row r="3965" spans="1:1" x14ac:dyDescent="0.25">
      <c r="A3965" s="9">
        <v>4237904.5</v>
      </c>
    </row>
    <row r="3966" spans="1:1" x14ac:dyDescent="0.25">
      <c r="A3966" s="9">
        <v>304274.96000000002</v>
      </c>
    </row>
    <row r="3967" spans="1:1" x14ac:dyDescent="0.25">
      <c r="A3967" s="9">
        <v>11734336.539999999</v>
      </c>
    </row>
    <row r="3968" spans="1:1" x14ac:dyDescent="0.25">
      <c r="A3968" s="9">
        <v>63686.03</v>
      </c>
    </row>
    <row r="3969" spans="1:1" x14ac:dyDescent="0.25">
      <c r="A3969" s="9">
        <v>59439748.560000002</v>
      </c>
    </row>
    <row r="3970" spans="1:1" x14ac:dyDescent="0.25">
      <c r="A3970" s="9">
        <v>153527.42000000001</v>
      </c>
    </row>
    <row r="3971" spans="1:1" x14ac:dyDescent="0.25">
      <c r="A3971" s="9">
        <v>11095353.029999999</v>
      </c>
    </row>
    <row r="3972" spans="1:1" x14ac:dyDescent="0.25">
      <c r="A3972" s="9">
        <v>6069697.1200000001</v>
      </c>
    </row>
    <row r="3973" spans="1:1" x14ac:dyDescent="0.25">
      <c r="A3973" s="9">
        <v>6295408.0899999999</v>
      </c>
    </row>
    <row r="3974" spans="1:1" x14ac:dyDescent="0.25">
      <c r="A3974" s="9">
        <v>17868782.559999999</v>
      </c>
    </row>
    <row r="3975" spans="1:1" x14ac:dyDescent="0.25">
      <c r="A3975" s="9">
        <v>439234.1</v>
      </c>
    </row>
    <row r="3976" spans="1:1" x14ac:dyDescent="0.25">
      <c r="A3976" s="9">
        <v>710042.09</v>
      </c>
    </row>
    <row r="3977" spans="1:1" x14ac:dyDescent="0.25">
      <c r="A3977" s="9">
        <v>13581292.630000001</v>
      </c>
    </row>
    <row r="3978" spans="1:1" x14ac:dyDescent="0.25">
      <c r="A3978" s="9">
        <v>4897590.8899999997</v>
      </c>
    </row>
    <row r="3979" spans="1:1" x14ac:dyDescent="0.25">
      <c r="A3979" s="9">
        <v>24541331.190000001</v>
      </c>
    </row>
    <row r="3980" spans="1:1" x14ac:dyDescent="0.25">
      <c r="A3980" s="9">
        <v>76927.399999999907</v>
      </c>
    </row>
    <row r="3981" spans="1:1" x14ac:dyDescent="0.25">
      <c r="A3981" s="9">
        <v>11547839.76</v>
      </c>
    </row>
    <row r="3982" spans="1:1" x14ac:dyDescent="0.25">
      <c r="A3982" s="9">
        <v>2966315.2</v>
      </c>
    </row>
    <row r="3983" spans="1:1" x14ac:dyDescent="0.25">
      <c r="A3983" s="9">
        <v>6969588.9499999899</v>
      </c>
    </row>
    <row r="3984" spans="1:1" x14ac:dyDescent="0.25">
      <c r="A3984" s="9">
        <v>13819148.710000001</v>
      </c>
    </row>
    <row r="3985" spans="1:1" x14ac:dyDescent="0.25">
      <c r="A3985" s="9">
        <v>6399490.2400000002</v>
      </c>
    </row>
    <row r="3986" spans="1:1" x14ac:dyDescent="0.25">
      <c r="A3986" s="9">
        <v>195824.26</v>
      </c>
    </row>
    <row r="3987" spans="1:1" x14ac:dyDescent="0.25">
      <c r="A3987" s="9">
        <v>78690.3</v>
      </c>
    </row>
    <row r="3988" spans="1:1" x14ac:dyDescent="0.25">
      <c r="A3988" s="9">
        <v>4477716.24</v>
      </c>
    </row>
    <row r="3989" spans="1:1" x14ac:dyDescent="0.25">
      <c r="A3989">
        <v>0</v>
      </c>
    </row>
    <row r="3990" spans="1:1" x14ac:dyDescent="0.25">
      <c r="A3990">
        <v>17560544</v>
      </c>
    </row>
    <row r="3991" spans="1:1" x14ac:dyDescent="0.25">
      <c r="A3991" s="9">
        <v>3651110.78</v>
      </c>
    </row>
    <row r="3992" spans="1:1" x14ac:dyDescent="0.25">
      <c r="A3992" s="9">
        <v>6210549.5899999999</v>
      </c>
    </row>
    <row r="3993" spans="1:1" x14ac:dyDescent="0.25">
      <c r="A3993" s="9">
        <v>352975.73</v>
      </c>
    </row>
    <row r="3994" spans="1:1" x14ac:dyDescent="0.25">
      <c r="A3994">
        <v>797124</v>
      </c>
    </row>
    <row r="3995" spans="1:1" x14ac:dyDescent="0.25">
      <c r="A3995" s="9">
        <v>608087.64999999898</v>
      </c>
    </row>
    <row r="3996" spans="1:1" x14ac:dyDescent="0.25">
      <c r="A3996" s="9">
        <v>3972614.67</v>
      </c>
    </row>
    <row r="3997" spans="1:1" x14ac:dyDescent="0.25">
      <c r="A3997" s="9">
        <v>3647756.91</v>
      </c>
    </row>
    <row r="3998" spans="1:1" x14ac:dyDescent="0.25">
      <c r="A3998" s="9">
        <v>22299341.100000001</v>
      </c>
    </row>
    <row r="3999" spans="1:1" x14ac:dyDescent="0.25">
      <c r="A3999" s="9">
        <v>38004466.210000001</v>
      </c>
    </row>
    <row r="4000" spans="1:1" x14ac:dyDescent="0.25">
      <c r="A4000" s="9">
        <v>9485000.6999999899</v>
      </c>
    </row>
    <row r="4001" spans="1:1" x14ac:dyDescent="0.25">
      <c r="A4001" s="9">
        <v>102149.02</v>
      </c>
    </row>
    <row r="4002" spans="1:1" x14ac:dyDescent="0.25">
      <c r="A4002" s="9">
        <v>5902962.2000000002</v>
      </c>
    </row>
    <row r="4003" spans="1:1" x14ac:dyDescent="0.25">
      <c r="A4003">
        <v>0</v>
      </c>
    </row>
    <row r="4004" spans="1:1" x14ac:dyDescent="0.25">
      <c r="A4004">
        <v>0</v>
      </c>
    </row>
    <row r="4005" spans="1:1" x14ac:dyDescent="0.25">
      <c r="A4005" s="9">
        <v>3957327.2</v>
      </c>
    </row>
    <row r="4006" spans="1:1" x14ac:dyDescent="0.25">
      <c r="A4006" s="9">
        <v>13962773.220000001</v>
      </c>
    </row>
    <row r="4007" spans="1:1" x14ac:dyDescent="0.25">
      <c r="A4007">
        <v>0</v>
      </c>
    </row>
    <row r="4008" spans="1:1" x14ac:dyDescent="0.25">
      <c r="A4008" s="9">
        <v>4307136.72</v>
      </c>
    </row>
    <row r="4009" spans="1:1" x14ac:dyDescent="0.25">
      <c r="A4009">
        <v>0</v>
      </c>
    </row>
    <row r="4010" spans="1:1" x14ac:dyDescent="0.25">
      <c r="A4010" s="9">
        <v>254146.49</v>
      </c>
    </row>
    <row r="4011" spans="1:1" x14ac:dyDescent="0.25">
      <c r="A4011" s="9">
        <v>18326314.739999998</v>
      </c>
    </row>
    <row r="4012" spans="1:1" x14ac:dyDescent="0.25">
      <c r="A4012" s="9">
        <v>3376806.78</v>
      </c>
    </row>
    <row r="4013" spans="1:1" x14ac:dyDescent="0.25">
      <c r="A4013" s="9">
        <v>2312833.42</v>
      </c>
    </row>
    <row r="4014" spans="1:1" x14ac:dyDescent="0.25">
      <c r="A4014" s="9">
        <v>200483.82</v>
      </c>
    </row>
    <row r="4015" spans="1:1" x14ac:dyDescent="0.25">
      <c r="A4015" s="9">
        <v>7647004.0499999998</v>
      </c>
    </row>
    <row r="4016" spans="1:1" x14ac:dyDescent="0.25">
      <c r="A4016" s="9">
        <v>35714.1</v>
      </c>
    </row>
    <row r="4017" spans="1:1" x14ac:dyDescent="0.25">
      <c r="A4017" s="9">
        <v>11108269.58</v>
      </c>
    </row>
    <row r="4018" spans="1:1" x14ac:dyDescent="0.25">
      <c r="A4018">
        <v>1944663</v>
      </c>
    </row>
    <row r="4019" spans="1:1" x14ac:dyDescent="0.25">
      <c r="A4019" s="9">
        <v>3021648.73</v>
      </c>
    </row>
    <row r="4020" spans="1:1" x14ac:dyDescent="0.25">
      <c r="A4020" s="9">
        <v>7209344.5300000003</v>
      </c>
    </row>
    <row r="4021" spans="1:1" x14ac:dyDescent="0.25">
      <c r="A4021">
        <v>0</v>
      </c>
    </row>
    <row r="4022" spans="1:1" x14ac:dyDescent="0.25">
      <c r="A4022">
        <v>0</v>
      </c>
    </row>
    <row r="4023" spans="1:1" x14ac:dyDescent="0.25">
      <c r="A4023" s="9">
        <v>39600755.719999999</v>
      </c>
    </row>
    <row r="4024" spans="1:1" x14ac:dyDescent="0.25">
      <c r="A4024" s="9">
        <v>23724015.489999998</v>
      </c>
    </row>
    <row r="4025" spans="1:1" x14ac:dyDescent="0.25">
      <c r="A4025" s="9">
        <v>546058.28</v>
      </c>
    </row>
    <row r="4026" spans="1:1" x14ac:dyDescent="0.25">
      <c r="A4026">
        <v>0</v>
      </c>
    </row>
    <row r="4027" spans="1:1" x14ac:dyDescent="0.25">
      <c r="A4027" s="9">
        <v>210885.18</v>
      </c>
    </row>
    <row r="4028" spans="1:1" x14ac:dyDescent="0.25">
      <c r="A4028" s="9">
        <v>2118904.88</v>
      </c>
    </row>
    <row r="4029" spans="1:1" x14ac:dyDescent="0.25">
      <c r="A4029" s="9">
        <v>9728065.2599999998</v>
      </c>
    </row>
    <row r="4030" spans="1:1" x14ac:dyDescent="0.25">
      <c r="A4030">
        <v>0</v>
      </c>
    </row>
    <row r="4031" spans="1:1" x14ac:dyDescent="0.25">
      <c r="A4031" s="9">
        <v>1169859.8899999999</v>
      </c>
    </row>
    <row r="4032" spans="1:1" x14ac:dyDescent="0.25">
      <c r="A4032" s="9">
        <v>8496129.3300000001</v>
      </c>
    </row>
    <row r="4033" spans="1:1" x14ac:dyDescent="0.25">
      <c r="A4033">
        <v>0</v>
      </c>
    </row>
    <row r="4034" spans="1:1" x14ac:dyDescent="0.25">
      <c r="A4034" s="9">
        <v>421646.9</v>
      </c>
    </row>
    <row r="4035" spans="1:1" x14ac:dyDescent="0.25">
      <c r="A4035">
        <v>0</v>
      </c>
    </row>
    <row r="4036" spans="1:1" x14ac:dyDescent="0.25">
      <c r="A4036">
        <v>0</v>
      </c>
    </row>
    <row r="4037" spans="1:1" x14ac:dyDescent="0.25">
      <c r="A4037" s="9">
        <v>2914572.28</v>
      </c>
    </row>
    <row r="4038" spans="1:1" x14ac:dyDescent="0.25">
      <c r="A4038" s="9">
        <v>1355464.35</v>
      </c>
    </row>
    <row r="4039" spans="1:1" x14ac:dyDescent="0.25">
      <c r="A4039" s="9">
        <v>2868086.93</v>
      </c>
    </row>
    <row r="4040" spans="1:1" x14ac:dyDescent="0.25">
      <c r="A4040">
        <v>0</v>
      </c>
    </row>
    <row r="4041" spans="1:1" x14ac:dyDescent="0.25">
      <c r="A4041" s="9">
        <v>19000313.949999999</v>
      </c>
    </row>
    <row r="4042" spans="1:1" x14ac:dyDescent="0.25">
      <c r="A4042" s="9">
        <v>3930749.58</v>
      </c>
    </row>
    <row r="4043" spans="1:1" x14ac:dyDescent="0.25">
      <c r="A4043" s="9">
        <v>857706.84</v>
      </c>
    </row>
    <row r="4044" spans="1:1" x14ac:dyDescent="0.25">
      <c r="A4044" s="9">
        <v>14982637.49</v>
      </c>
    </row>
    <row r="4045" spans="1:1" x14ac:dyDescent="0.25">
      <c r="A4045" s="9">
        <v>1742032.39</v>
      </c>
    </row>
    <row r="4046" spans="1:1" x14ac:dyDescent="0.25">
      <c r="A4046" s="9">
        <v>16352931.609999999</v>
      </c>
    </row>
    <row r="4047" spans="1:1" x14ac:dyDescent="0.25">
      <c r="A4047" s="9">
        <v>605774.6</v>
      </c>
    </row>
    <row r="4048" spans="1:1" x14ac:dyDescent="0.25">
      <c r="A4048">
        <v>0</v>
      </c>
    </row>
    <row r="4049" spans="1:1" x14ac:dyDescent="0.25">
      <c r="A4049">
        <v>0</v>
      </c>
    </row>
    <row r="4050" spans="1:1" x14ac:dyDescent="0.25">
      <c r="A4050" s="9">
        <v>2815026.85</v>
      </c>
    </row>
    <row r="4051" spans="1:1" x14ac:dyDescent="0.25">
      <c r="A4051" s="9">
        <v>2041627.36</v>
      </c>
    </row>
    <row r="4052" spans="1:1" x14ac:dyDescent="0.25">
      <c r="A4052" s="9">
        <v>534504.56000000006</v>
      </c>
    </row>
    <row r="4053" spans="1:1" x14ac:dyDescent="0.25">
      <c r="A4053" s="9">
        <v>1107412.28</v>
      </c>
    </row>
    <row r="4054" spans="1:1" x14ac:dyDescent="0.25">
      <c r="A4054" s="9">
        <v>259798.08</v>
      </c>
    </row>
    <row r="4055" spans="1:1" x14ac:dyDescent="0.25">
      <c r="A4055" s="9">
        <v>187591.35</v>
      </c>
    </row>
    <row r="4056" spans="1:1" x14ac:dyDescent="0.25">
      <c r="A4056">
        <v>0</v>
      </c>
    </row>
    <row r="4057" spans="1:1" x14ac:dyDescent="0.25">
      <c r="A4057" s="9">
        <v>444989.92</v>
      </c>
    </row>
    <row r="4058" spans="1:1" x14ac:dyDescent="0.25">
      <c r="A4058" s="9">
        <v>29269.759999999998</v>
      </c>
    </row>
    <row r="4059" spans="1:1" x14ac:dyDescent="0.25">
      <c r="A4059" s="9">
        <v>106620.16</v>
      </c>
    </row>
    <row r="4060" spans="1:1" x14ac:dyDescent="0.25">
      <c r="A4060" s="9">
        <v>11256456.49</v>
      </c>
    </row>
    <row r="4061" spans="1:1" x14ac:dyDescent="0.25">
      <c r="A4061" s="9">
        <v>186499.5</v>
      </c>
    </row>
    <row r="4062" spans="1:1" x14ac:dyDescent="0.25">
      <c r="A4062" s="9">
        <v>1291324.01</v>
      </c>
    </row>
    <row r="4063" spans="1:1" x14ac:dyDescent="0.25">
      <c r="A4063">
        <v>0</v>
      </c>
    </row>
    <row r="4064" spans="1:1" x14ac:dyDescent="0.25">
      <c r="A4064" s="9">
        <v>9988918.4000000004</v>
      </c>
    </row>
    <row r="4065" spans="1:1" x14ac:dyDescent="0.25">
      <c r="A4065" s="9">
        <v>12762609.93</v>
      </c>
    </row>
    <row r="4066" spans="1:1" x14ac:dyDescent="0.25">
      <c r="A4066">
        <v>0</v>
      </c>
    </row>
    <row r="4067" spans="1:1" x14ac:dyDescent="0.25">
      <c r="A4067">
        <v>0</v>
      </c>
    </row>
    <row r="4068" spans="1:1" x14ac:dyDescent="0.25">
      <c r="A4068">
        <v>0</v>
      </c>
    </row>
    <row r="4069" spans="1:1" x14ac:dyDescent="0.25">
      <c r="A4069" s="9">
        <v>18631185.699999999</v>
      </c>
    </row>
    <row r="4070" spans="1:1" x14ac:dyDescent="0.25">
      <c r="A4070" s="9">
        <v>37488737.299999997</v>
      </c>
    </row>
    <row r="4071" spans="1:1" x14ac:dyDescent="0.25">
      <c r="A4071">
        <v>0</v>
      </c>
    </row>
    <row r="4072" spans="1:1" x14ac:dyDescent="0.25">
      <c r="A4072" s="9">
        <v>430520.929999999</v>
      </c>
    </row>
    <row r="4073" spans="1:1" x14ac:dyDescent="0.25">
      <c r="A4073" s="9">
        <v>603116.74</v>
      </c>
    </row>
    <row r="4074" spans="1:1" x14ac:dyDescent="0.25">
      <c r="A4074">
        <v>0</v>
      </c>
    </row>
    <row r="4075" spans="1:1" x14ac:dyDescent="0.25">
      <c r="A4075" s="9">
        <v>672324.6</v>
      </c>
    </row>
    <row r="4076" spans="1:1" x14ac:dyDescent="0.25">
      <c r="A4076" s="9">
        <v>420010.34</v>
      </c>
    </row>
    <row r="4077" spans="1:1" x14ac:dyDescent="0.25">
      <c r="A4077" s="9">
        <v>10579736.83</v>
      </c>
    </row>
    <row r="4078" spans="1:1" x14ac:dyDescent="0.25">
      <c r="A4078" s="9">
        <v>608612.24999999895</v>
      </c>
    </row>
    <row r="4079" spans="1:1" x14ac:dyDescent="0.25">
      <c r="A4079">
        <v>3802860</v>
      </c>
    </row>
    <row r="4080" spans="1:1" x14ac:dyDescent="0.25">
      <c r="A4080" s="9">
        <v>25201684.48</v>
      </c>
    </row>
    <row r="4081" spans="1:1" x14ac:dyDescent="0.25">
      <c r="A4081">
        <v>0</v>
      </c>
    </row>
    <row r="4082" spans="1:1" x14ac:dyDescent="0.25">
      <c r="A4082" s="9">
        <v>14908820.220000001</v>
      </c>
    </row>
    <row r="4083" spans="1:1" x14ac:dyDescent="0.25">
      <c r="A4083">
        <v>0</v>
      </c>
    </row>
    <row r="4084" spans="1:1" x14ac:dyDescent="0.25">
      <c r="A4084" s="9">
        <v>6608195.7199999997</v>
      </c>
    </row>
    <row r="4085" spans="1:1" x14ac:dyDescent="0.25">
      <c r="A4085" s="9">
        <v>6336596.8099999996</v>
      </c>
    </row>
    <row r="4086" spans="1:1" x14ac:dyDescent="0.25">
      <c r="A4086" s="9">
        <v>1884260.12</v>
      </c>
    </row>
    <row r="4087" spans="1:1" x14ac:dyDescent="0.25">
      <c r="A4087">
        <v>0</v>
      </c>
    </row>
    <row r="4088" spans="1:1" x14ac:dyDescent="0.25">
      <c r="A4088">
        <v>0</v>
      </c>
    </row>
    <row r="4089" spans="1:1" x14ac:dyDescent="0.25">
      <c r="A4089">
        <v>0</v>
      </c>
    </row>
    <row r="4090" spans="1:1" x14ac:dyDescent="0.25">
      <c r="A4090">
        <v>0</v>
      </c>
    </row>
    <row r="4091" spans="1:1" x14ac:dyDescent="0.25">
      <c r="A4091">
        <v>0</v>
      </c>
    </row>
    <row r="4092" spans="1:1" x14ac:dyDescent="0.25">
      <c r="A4092" s="9">
        <v>23026199.890000001</v>
      </c>
    </row>
    <row r="4093" spans="1:1" x14ac:dyDescent="0.25">
      <c r="A4093">
        <v>0</v>
      </c>
    </row>
    <row r="4094" spans="1:1" x14ac:dyDescent="0.25">
      <c r="A4094" s="9">
        <v>4851387.09</v>
      </c>
    </row>
    <row r="4095" spans="1:1" x14ac:dyDescent="0.25">
      <c r="A4095" s="9">
        <v>9942279.8499999996</v>
      </c>
    </row>
    <row r="4096" spans="1:1" x14ac:dyDescent="0.25">
      <c r="A4096">
        <v>0</v>
      </c>
    </row>
    <row r="4097" spans="1:1" x14ac:dyDescent="0.25">
      <c r="A4097" s="9">
        <v>1577603.48</v>
      </c>
    </row>
    <row r="4098" spans="1:1" x14ac:dyDescent="0.25">
      <c r="A4098" s="9">
        <v>5012871.12</v>
      </c>
    </row>
    <row r="4099" spans="1:1" x14ac:dyDescent="0.25">
      <c r="A4099" s="9">
        <v>14350304.060000001</v>
      </c>
    </row>
    <row r="4100" spans="1:1" x14ac:dyDescent="0.25">
      <c r="A4100" s="9">
        <v>484585.95</v>
      </c>
    </row>
    <row r="4101" spans="1:1" x14ac:dyDescent="0.25">
      <c r="A4101" s="9">
        <v>137493.4</v>
      </c>
    </row>
    <row r="4102" spans="1:1" x14ac:dyDescent="0.25">
      <c r="A4102" s="9">
        <v>6184817.0599999996</v>
      </c>
    </row>
    <row r="4103" spans="1:1" x14ac:dyDescent="0.25">
      <c r="A4103" s="9">
        <v>573655.75</v>
      </c>
    </row>
    <row r="4104" spans="1:1" x14ac:dyDescent="0.25">
      <c r="A4104" s="9">
        <v>26190859.43</v>
      </c>
    </row>
    <row r="4105" spans="1:1" x14ac:dyDescent="0.25">
      <c r="A4105" s="9">
        <v>333918.90999999997</v>
      </c>
    </row>
    <row r="4106" spans="1:1" x14ac:dyDescent="0.25">
      <c r="A4106" s="9">
        <v>685244.2</v>
      </c>
    </row>
    <row r="4107" spans="1:1" x14ac:dyDescent="0.25">
      <c r="A4107" s="9">
        <v>2834705.93</v>
      </c>
    </row>
    <row r="4108" spans="1:1" x14ac:dyDescent="0.25">
      <c r="A4108" s="9">
        <v>2956506.78</v>
      </c>
    </row>
    <row r="4109" spans="1:1" x14ac:dyDescent="0.25">
      <c r="A4109" s="9">
        <v>29726811.5</v>
      </c>
    </row>
    <row r="4110" spans="1:1" x14ac:dyDescent="0.25">
      <c r="A4110" s="9">
        <v>555179.05000000005</v>
      </c>
    </row>
    <row r="4111" spans="1:1" x14ac:dyDescent="0.25">
      <c r="A4111" s="9">
        <v>21272278.359999999</v>
      </c>
    </row>
    <row r="4112" spans="1:1" x14ac:dyDescent="0.25">
      <c r="A4112" s="9">
        <v>4428254.28</v>
      </c>
    </row>
    <row r="4113" spans="1:1" x14ac:dyDescent="0.25">
      <c r="A4113" s="9">
        <v>16839578.43</v>
      </c>
    </row>
    <row r="4114" spans="1:1" x14ac:dyDescent="0.25">
      <c r="A4114" s="9">
        <v>2038757.08</v>
      </c>
    </row>
    <row r="4115" spans="1:1" x14ac:dyDescent="0.25">
      <c r="A4115">
        <v>0</v>
      </c>
    </row>
    <row r="4116" spans="1:1" x14ac:dyDescent="0.25">
      <c r="A4116">
        <v>0</v>
      </c>
    </row>
    <row r="4117" spans="1:1" x14ac:dyDescent="0.25">
      <c r="A4117" s="9">
        <v>18796596.859999999</v>
      </c>
    </row>
    <row r="4118" spans="1:1" x14ac:dyDescent="0.25">
      <c r="A4118">
        <v>0</v>
      </c>
    </row>
    <row r="4119" spans="1:1" x14ac:dyDescent="0.25">
      <c r="A4119">
        <v>0</v>
      </c>
    </row>
    <row r="4120" spans="1:1" x14ac:dyDescent="0.25">
      <c r="A4120" s="9">
        <v>6518272.6600000001</v>
      </c>
    </row>
    <row r="4121" spans="1:1" x14ac:dyDescent="0.25">
      <c r="A4121">
        <v>0</v>
      </c>
    </row>
    <row r="4122" spans="1:1" x14ac:dyDescent="0.25">
      <c r="A4122">
        <v>991725</v>
      </c>
    </row>
    <row r="4123" spans="1:1" x14ac:dyDescent="0.25">
      <c r="A4123">
        <v>0</v>
      </c>
    </row>
    <row r="4124" spans="1:1" x14ac:dyDescent="0.25">
      <c r="A4124" s="9">
        <v>7731079.21</v>
      </c>
    </row>
    <row r="4125" spans="1:1" x14ac:dyDescent="0.25">
      <c r="A4125" s="9">
        <v>12049166.23</v>
      </c>
    </row>
    <row r="4126" spans="1:1" x14ac:dyDescent="0.25">
      <c r="A4126" s="9">
        <v>3455615.58</v>
      </c>
    </row>
    <row r="4127" spans="1:1" x14ac:dyDescent="0.25">
      <c r="A4127" s="9">
        <v>1846592.85</v>
      </c>
    </row>
    <row r="4128" spans="1:1" x14ac:dyDescent="0.25">
      <c r="A4128" s="9">
        <v>10428820.970000001</v>
      </c>
    </row>
    <row r="4129" spans="1:1" x14ac:dyDescent="0.25">
      <c r="A4129" s="9">
        <v>636834.66999999899</v>
      </c>
    </row>
    <row r="4130" spans="1:1" x14ac:dyDescent="0.25">
      <c r="A4130" s="9">
        <v>17166854.829999998</v>
      </c>
    </row>
    <row r="4131" spans="1:1" x14ac:dyDescent="0.25">
      <c r="A4131" s="9">
        <v>450357.049999999</v>
      </c>
    </row>
    <row r="4132" spans="1:1" x14ac:dyDescent="0.25">
      <c r="A4132" s="9">
        <v>4277985.75</v>
      </c>
    </row>
    <row r="4133" spans="1:1" x14ac:dyDescent="0.25">
      <c r="A4133">
        <v>0</v>
      </c>
    </row>
    <row r="4134" spans="1:1" x14ac:dyDescent="0.25">
      <c r="A4134" s="9">
        <v>452579.67</v>
      </c>
    </row>
    <row r="4135" spans="1:1" x14ac:dyDescent="0.25">
      <c r="A4135" s="9">
        <v>3528295.73</v>
      </c>
    </row>
    <row r="4136" spans="1:1" x14ac:dyDescent="0.25">
      <c r="A4136" s="9">
        <v>463430.44</v>
      </c>
    </row>
    <row r="4137" spans="1:1" x14ac:dyDescent="0.25">
      <c r="A4137" s="9">
        <v>2891110.44</v>
      </c>
    </row>
    <row r="4138" spans="1:1" x14ac:dyDescent="0.25">
      <c r="A4138">
        <v>0</v>
      </c>
    </row>
    <row r="4139" spans="1:1" x14ac:dyDescent="0.25">
      <c r="A4139">
        <v>0</v>
      </c>
    </row>
    <row r="4140" spans="1:1" x14ac:dyDescent="0.25">
      <c r="A4140" s="9">
        <v>3344612.99</v>
      </c>
    </row>
    <row r="4141" spans="1:1" x14ac:dyDescent="0.25">
      <c r="A4141" s="9">
        <v>1484740.95</v>
      </c>
    </row>
    <row r="4142" spans="1:1" x14ac:dyDescent="0.25">
      <c r="A4142" s="9">
        <v>20212497.109999999</v>
      </c>
    </row>
    <row r="4143" spans="1:1" x14ac:dyDescent="0.25">
      <c r="A4143" s="9">
        <v>10877771.41</v>
      </c>
    </row>
    <row r="4144" spans="1:1" x14ac:dyDescent="0.25">
      <c r="A4144" s="9">
        <v>4588003.01</v>
      </c>
    </row>
    <row r="4145" spans="1:1" x14ac:dyDescent="0.25">
      <c r="A4145" s="9">
        <v>1349530.65</v>
      </c>
    </row>
    <row r="4146" spans="1:1" x14ac:dyDescent="0.25">
      <c r="A4146">
        <v>0</v>
      </c>
    </row>
    <row r="4147" spans="1:1" x14ac:dyDescent="0.25">
      <c r="A4147" s="9">
        <v>5511866.8799999999</v>
      </c>
    </row>
    <row r="4148" spans="1:1" x14ac:dyDescent="0.25">
      <c r="A4148" s="9">
        <v>2947006.58</v>
      </c>
    </row>
    <row r="4149" spans="1:1" x14ac:dyDescent="0.25">
      <c r="A4149" s="9">
        <v>8017672.4000000004</v>
      </c>
    </row>
    <row r="4150" spans="1:1" x14ac:dyDescent="0.25">
      <c r="A4150" s="9">
        <v>1896072.6</v>
      </c>
    </row>
    <row r="4151" spans="1:1" x14ac:dyDescent="0.25">
      <c r="A4151" s="9">
        <v>414341.09</v>
      </c>
    </row>
    <row r="4152" spans="1:1" x14ac:dyDescent="0.25">
      <c r="A4152">
        <v>0</v>
      </c>
    </row>
    <row r="4153" spans="1:1" x14ac:dyDescent="0.25">
      <c r="A4153">
        <v>7793657</v>
      </c>
    </row>
    <row r="4154" spans="1:1" x14ac:dyDescent="0.25">
      <c r="A4154" s="9">
        <v>5748804.5199999996</v>
      </c>
    </row>
    <row r="4155" spans="1:1" x14ac:dyDescent="0.25">
      <c r="A4155" s="9">
        <v>9025510.0899999999</v>
      </c>
    </row>
    <row r="4156" spans="1:1" x14ac:dyDescent="0.25">
      <c r="A4156" s="9">
        <v>334319.21999999997</v>
      </c>
    </row>
    <row r="4157" spans="1:1" x14ac:dyDescent="0.25">
      <c r="A4157">
        <v>0</v>
      </c>
    </row>
    <row r="4158" spans="1:1" x14ac:dyDescent="0.25">
      <c r="A4158" s="9">
        <v>468245.97</v>
      </c>
    </row>
    <row r="4159" spans="1:1" x14ac:dyDescent="0.25">
      <c r="A4159">
        <v>0</v>
      </c>
    </row>
    <row r="4160" spans="1:1" x14ac:dyDescent="0.25">
      <c r="A4160" s="9">
        <v>440930.52</v>
      </c>
    </row>
    <row r="4161" spans="1:1" x14ac:dyDescent="0.25">
      <c r="A4161" s="9">
        <v>1756371.35</v>
      </c>
    </row>
    <row r="4162" spans="1:1" x14ac:dyDescent="0.25">
      <c r="A4162" s="9">
        <v>3331016.35</v>
      </c>
    </row>
    <row r="4163" spans="1:1" x14ac:dyDescent="0.25">
      <c r="A4163">
        <v>0</v>
      </c>
    </row>
    <row r="4164" spans="1:1" x14ac:dyDescent="0.25">
      <c r="A4164" s="9">
        <v>16690213.42</v>
      </c>
    </row>
    <row r="4165" spans="1:1" x14ac:dyDescent="0.25">
      <c r="A4165" s="9">
        <v>9784000.9499999899</v>
      </c>
    </row>
    <row r="4166" spans="1:1" x14ac:dyDescent="0.25">
      <c r="A4166" s="9">
        <v>2441747.16</v>
      </c>
    </row>
    <row r="4167" spans="1:1" x14ac:dyDescent="0.25">
      <c r="A4167">
        <v>0</v>
      </c>
    </row>
    <row r="4168" spans="1:1" x14ac:dyDescent="0.25">
      <c r="A4168" s="9">
        <v>320510.61</v>
      </c>
    </row>
    <row r="4169" spans="1:1" x14ac:dyDescent="0.25">
      <c r="A4169" s="9">
        <v>7284976.1600000001</v>
      </c>
    </row>
    <row r="4170" spans="1:1" x14ac:dyDescent="0.25">
      <c r="A4170" s="9">
        <v>12571250.210000001</v>
      </c>
    </row>
    <row r="4171" spans="1:1" x14ac:dyDescent="0.25">
      <c r="A4171" s="9">
        <v>2819748.09</v>
      </c>
    </row>
    <row r="4172" spans="1:1" x14ac:dyDescent="0.25">
      <c r="A4172" s="9">
        <v>5785336.1699999999</v>
      </c>
    </row>
    <row r="4173" spans="1:1" x14ac:dyDescent="0.25">
      <c r="A4173" s="9">
        <v>8479519.0999999996</v>
      </c>
    </row>
    <row r="4174" spans="1:1" x14ac:dyDescent="0.25">
      <c r="A4174" s="9">
        <v>358619.8</v>
      </c>
    </row>
    <row r="4175" spans="1:1" x14ac:dyDescent="0.25">
      <c r="A4175" s="9">
        <v>20788903.829999998</v>
      </c>
    </row>
    <row r="4176" spans="1:1" x14ac:dyDescent="0.25">
      <c r="A4176" s="9">
        <v>1732272.46</v>
      </c>
    </row>
    <row r="4177" spans="1:1" x14ac:dyDescent="0.25">
      <c r="A4177" s="9">
        <v>1241973.42</v>
      </c>
    </row>
    <row r="4178" spans="1:1" x14ac:dyDescent="0.25">
      <c r="A4178">
        <v>0</v>
      </c>
    </row>
    <row r="4179" spans="1:1" x14ac:dyDescent="0.25">
      <c r="A4179" s="9">
        <v>6831781.2000000002</v>
      </c>
    </row>
    <row r="4180" spans="1:1" x14ac:dyDescent="0.25">
      <c r="A4180" s="9">
        <v>275890.62</v>
      </c>
    </row>
    <row r="4181" spans="1:1" x14ac:dyDescent="0.25">
      <c r="A4181" s="9">
        <v>151877.25</v>
      </c>
    </row>
    <row r="4182" spans="1:1" x14ac:dyDescent="0.25">
      <c r="A4182" s="9">
        <v>13957084.67</v>
      </c>
    </row>
    <row r="4183" spans="1:1" x14ac:dyDescent="0.25">
      <c r="A4183" s="9">
        <v>393857.63</v>
      </c>
    </row>
    <row r="4184" spans="1:1" x14ac:dyDescent="0.25">
      <c r="A4184">
        <v>0</v>
      </c>
    </row>
    <row r="4185" spans="1:1" x14ac:dyDescent="0.25">
      <c r="A4185">
        <v>0</v>
      </c>
    </row>
    <row r="4186" spans="1:1" x14ac:dyDescent="0.25">
      <c r="A4186" s="9">
        <v>529982.32999999996</v>
      </c>
    </row>
    <row r="4187" spans="1:1" x14ac:dyDescent="0.25">
      <c r="A4187" s="9">
        <v>2882333.08</v>
      </c>
    </row>
    <row r="4188" spans="1:1" x14ac:dyDescent="0.25">
      <c r="A4188" s="9">
        <v>6438418.6500000004</v>
      </c>
    </row>
    <row r="4189" spans="1:1" x14ac:dyDescent="0.25">
      <c r="A4189" s="9">
        <v>12560789.859999999</v>
      </c>
    </row>
    <row r="4190" spans="1:1" x14ac:dyDescent="0.25">
      <c r="A4190" s="9">
        <v>3615292.77</v>
      </c>
    </row>
    <row r="4191" spans="1:1" x14ac:dyDescent="0.25">
      <c r="A4191" s="9">
        <v>15500611.859999999</v>
      </c>
    </row>
    <row r="4192" spans="1:1" x14ac:dyDescent="0.25">
      <c r="A4192" s="9">
        <v>10757966.289999999</v>
      </c>
    </row>
    <row r="4193" spans="1:1" x14ac:dyDescent="0.25">
      <c r="A4193" s="9">
        <v>15605788.640000001</v>
      </c>
    </row>
    <row r="4194" spans="1:1" x14ac:dyDescent="0.25">
      <c r="A4194">
        <v>0</v>
      </c>
    </row>
    <row r="4195" spans="1:1" x14ac:dyDescent="0.25">
      <c r="A4195" s="9">
        <v>362231.1</v>
      </c>
    </row>
    <row r="4196" spans="1:1" x14ac:dyDescent="0.25">
      <c r="A4196">
        <v>0</v>
      </c>
    </row>
    <row r="4197" spans="1:1" x14ac:dyDescent="0.25">
      <c r="A4197" s="9">
        <v>7730108.3200000003</v>
      </c>
    </row>
    <row r="4198" spans="1:1" x14ac:dyDescent="0.25">
      <c r="A4198" s="9">
        <v>162637.72</v>
      </c>
    </row>
    <row r="4199" spans="1:1" x14ac:dyDescent="0.25">
      <c r="A4199" s="9">
        <v>17508252.23</v>
      </c>
    </row>
    <row r="4200" spans="1:1" x14ac:dyDescent="0.25">
      <c r="A4200" s="9">
        <v>8589252.5099999998</v>
      </c>
    </row>
    <row r="4201" spans="1:1" x14ac:dyDescent="0.25">
      <c r="A4201" s="9">
        <v>454418.69</v>
      </c>
    </row>
    <row r="4202" spans="1:1" x14ac:dyDescent="0.25">
      <c r="A4202" s="9">
        <v>46784345.780000001</v>
      </c>
    </row>
    <row r="4203" spans="1:1" x14ac:dyDescent="0.25">
      <c r="A4203" s="9">
        <v>8732255.8399999999</v>
      </c>
    </row>
    <row r="4204" spans="1:1" x14ac:dyDescent="0.25">
      <c r="A4204" s="9">
        <v>14328174.470000001</v>
      </c>
    </row>
    <row r="4205" spans="1:1" x14ac:dyDescent="0.25">
      <c r="A4205">
        <v>0</v>
      </c>
    </row>
    <row r="4206" spans="1:1" x14ac:dyDescent="0.25">
      <c r="A4206" s="9">
        <v>2292485.3199999998</v>
      </c>
    </row>
    <row r="4207" spans="1:1" x14ac:dyDescent="0.25">
      <c r="A4207" s="9">
        <v>756438.6</v>
      </c>
    </row>
    <row r="4208" spans="1:1" x14ac:dyDescent="0.25">
      <c r="A4208" s="9">
        <v>3214136.3</v>
      </c>
    </row>
    <row r="4209" spans="1:1" x14ac:dyDescent="0.25">
      <c r="A4209" s="9">
        <v>14877318.869999999</v>
      </c>
    </row>
    <row r="4210" spans="1:1" x14ac:dyDescent="0.25">
      <c r="A4210" s="9">
        <v>7714167.7699999996</v>
      </c>
    </row>
    <row r="4211" spans="1:1" x14ac:dyDescent="0.25">
      <c r="A4211" s="9">
        <v>1353725.28</v>
      </c>
    </row>
    <row r="4212" spans="1:1" x14ac:dyDescent="0.25">
      <c r="A4212" s="9">
        <v>12502984.9</v>
      </c>
    </row>
    <row r="4213" spans="1:1" x14ac:dyDescent="0.25">
      <c r="A4213" s="9">
        <v>2895023.46</v>
      </c>
    </row>
    <row r="4214" spans="1:1" x14ac:dyDescent="0.25">
      <c r="A4214" s="9">
        <v>2980820.52</v>
      </c>
    </row>
    <row r="4215" spans="1:1" x14ac:dyDescent="0.25">
      <c r="A4215" s="9">
        <v>591117.93999999994</v>
      </c>
    </row>
    <row r="4216" spans="1:1" x14ac:dyDescent="0.25">
      <c r="A4216" s="9">
        <v>18047246.350000001</v>
      </c>
    </row>
    <row r="4217" spans="1:1" x14ac:dyDescent="0.25">
      <c r="A4217" s="9">
        <v>11804842.119999999</v>
      </c>
    </row>
    <row r="4218" spans="1:1" x14ac:dyDescent="0.25">
      <c r="A4218" s="9">
        <v>2065005.75</v>
      </c>
    </row>
    <row r="4219" spans="1:1" x14ac:dyDescent="0.25">
      <c r="A4219">
        <v>5747523</v>
      </c>
    </row>
    <row r="4220" spans="1:1" x14ac:dyDescent="0.25">
      <c r="A4220" s="9">
        <v>173251.05</v>
      </c>
    </row>
    <row r="4221" spans="1:1" x14ac:dyDescent="0.25">
      <c r="A4221">
        <v>0</v>
      </c>
    </row>
    <row r="4222" spans="1:1" x14ac:dyDescent="0.25">
      <c r="A4222">
        <v>0</v>
      </c>
    </row>
    <row r="4223" spans="1:1" x14ac:dyDescent="0.25">
      <c r="A4223" s="9">
        <v>2111287.37</v>
      </c>
    </row>
    <row r="4224" spans="1:1" x14ac:dyDescent="0.25">
      <c r="A4224" s="9">
        <v>22169627.829999998</v>
      </c>
    </row>
    <row r="4225" spans="1:1" x14ac:dyDescent="0.25">
      <c r="A4225">
        <v>0</v>
      </c>
    </row>
    <row r="4226" spans="1:1" x14ac:dyDescent="0.25">
      <c r="A4226" s="9">
        <v>3506176.07</v>
      </c>
    </row>
    <row r="4227" spans="1:1" x14ac:dyDescent="0.25">
      <c r="A4227" s="9">
        <v>65832.599999999904</v>
      </c>
    </row>
    <row r="4228" spans="1:1" x14ac:dyDescent="0.25">
      <c r="A4228" s="9">
        <v>69019.8</v>
      </c>
    </row>
    <row r="4229" spans="1:1" x14ac:dyDescent="0.25">
      <c r="A4229" s="9">
        <v>10845044.32</v>
      </c>
    </row>
    <row r="4230" spans="1:1" x14ac:dyDescent="0.25">
      <c r="A4230" s="9">
        <v>3738933.83</v>
      </c>
    </row>
    <row r="4231" spans="1:1" x14ac:dyDescent="0.25">
      <c r="A4231" s="9">
        <v>26827698.18</v>
      </c>
    </row>
    <row r="4232" spans="1:1" x14ac:dyDescent="0.25">
      <c r="A4232" s="9">
        <v>3114222.82</v>
      </c>
    </row>
    <row r="4233" spans="1:1" x14ac:dyDescent="0.25">
      <c r="A4233" s="9">
        <v>9416844.1300000008</v>
      </c>
    </row>
    <row r="4234" spans="1:1" x14ac:dyDescent="0.25">
      <c r="A4234" s="9">
        <v>4078547.48</v>
      </c>
    </row>
    <row r="4235" spans="1:1" x14ac:dyDescent="0.25">
      <c r="A4235" s="9">
        <v>55802.559999999998</v>
      </c>
    </row>
    <row r="4236" spans="1:1" x14ac:dyDescent="0.25">
      <c r="A4236" s="9">
        <v>3152757.83</v>
      </c>
    </row>
    <row r="4237" spans="1:1" x14ac:dyDescent="0.25">
      <c r="A4237" s="9">
        <v>5262000.6500000004</v>
      </c>
    </row>
    <row r="4238" spans="1:1" x14ac:dyDescent="0.25">
      <c r="A4238" s="9">
        <v>170807.67999999999</v>
      </c>
    </row>
    <row r="4239" spans="1:1" x14ac:dyDescent="0.25">
      <c r="A4239" s="9">
        <v>7462356.6299999896</v>
      </c>
    </row>
    <row r="4240" spans="1:1" x14ac:dyDescent="0.25">
      <c r="A4240" s="9">
        <v>1811620.53</v>
      </c>
    </row>
    <row r="4241" spans="1:1" x14ac:dyDescent="0.25">
      <c r="A4241">
        <v>0</v>
      </c>
    </row>
    <row r="4242" spans="1:1" x14ac:dyDescent="0.25">
      <c r="A4242" s="9">
        <v>13792472.939999999</v>
      </c>
    </row>
    <row r="4243" spans="1:1" x14ac:dyDescent="0.25">
      <c r="A4243" s="9">
        <v>5313092.84</v>
      </c>
    </row>
    <row r="4244" spans="1:1" x14ac:dyDescent="0.25">
      <c r="A4244" s="9">
        <v>219011.8</v>
      </c>
    </row>
    <row r="4245" spans="1:1" x14ac:dyDescent="0.25">
      <c r="A4245" s="9">
        <v>2441747.16</v>
      </c>
    </row>
    <row r="4246" spans="1:1" x14ac:dyDescent="0.25">
      <c r="A4246" s="9">
        <v>472830.73</v>
      </c>
    </row>
    <row r="4247" spans="1:1" x14ac:dyDescent="0.25">
      <c r="A4247" s="9">
        <v>3636473.8199999901</v>
      </c>
    </row>
    <row r="4248" spans="1:1" x14ac:dyDescent="0.25">
      <c r="A4248" s="9">
        <v>1197541.6599999999</v>
      </c>
    </row>
    <row r="4249" spans="1:1" x14ac:dyDescent="0.25">
      <c r="A4249" s="9">
        <v>1400839.55</v>
      </c>
    </row>
    <row r="4250" spans="1:1" x14ac:dyDescent="0.25">
      <c r="A4250">
        <v>0</v>
      </c>
    </row>
    <row r="4251" spans="1:1" x14ac:dyDescent="0.25">
      <c r="A4251" s="9">
        <v>2195252.4</v>
      </c>
    </row>
    <row r="4252" spans="1:1" x14ac:dyDescent="0.25">
      <c r="A4252" s="9">
        <v>2257805.08</v>
      </c>
    </row>
    <row r="4253" spans="1:1" x14ac:dyDescent="0.25">
      <c r="A4253" s="9">
        <v>12448722.18</v>
      </c>
    </row>
    <row r="4254" spans="1:1" x14ac:dyDescent="0.25">
      <c r="A4254">
        <v>0</v>
      </c>
    </row>
    <row r="4255" spans="1:1" x14ac:dyDescent="0.25">
      <c r="A4255" s="9">
        <v>21424580.359999999</v>
      </c>
    </row>
    <row r="4256" spans="1:1" x14ac:dyDescent="0.25">
      <c r="A4256" s="9">
        <v>3121087.68</v>
      </c>
    </row>
    <row r="4257" spans="1:1" x14ac:dyDescent="0.25">
      <c r="A4257" s="9">
        <v>4723432.9000000004</v>
      </c>
    </row>
    <row r="4258" spans="1:1" x14ac:dyDescent="0.25">
      <c r="A4258" s="9">
        <v>6585734.8499999996</v>
      </c>
    </row>
    <row r="4259" spans="1:1" x14ac:dyDescent="0.25">
      <c r="A4259" s="9">
        <v>21192678.309999999</v>
      </c>
    </row>
    <row r="4260" spans="1:1" x14ac:dyDescent="0.25">
      <c r="A4260" s="9">
        <v>6538365.2400000002</v>
      </c>
    </row>
    <row r="4261" spans="1:1" x14ac:dyDescent="0.25">
      <c r="A4261" s="9">
        <v>296541.81</v>
      </c>
    </row>
    <row r="4262" spans="1:1" x14ac:dyDescent="0.25">
      <c r="A4262" s="9">
        <v>315372.46000000002</v>
      </c>
    </row>
    <row r="4263" spans="1:1" x14ac:dyDescent="0.25">
      <c r="A4263" s="9">
        <v>6240003.4199999999</v>
      </c>
    </row>
    <row r="4264" spans="1:1" x14ac:dyDescent="0.25">
      <c r="A4264" s="9">
        <v>16330246.26</v>
      </c>
    </row>
    <row r="4265" spans="1:1" x14ac:dyDescent="0.25">
      <c r="A4265" s="9">
        <v>212417.68</v>
      </c>
    </row>
    <row r="4266" spans="1:1" x14ac:dyDescent="0.25">
      <c r="A4266">
        <v>0</v>
      </c>
    </row>
    <row r="4267" spans="1:1" x14ac:dyDescent="0.25">
      <c r="A4267" s="9">
        <v>2744770.91</v>
      </c>
    </row>
    <row r="4268" spans="1:1" x14ac:dyDescent="0.25">
      <c r="A4268" s="9">
        <v>1973427.51</v>
      </c>
    </row>
    <row r="4269" spans="1:1" x14ac:dyDescent="0.25">
      <c r="A4269" s="9">
        <v>2441747.16</v>
      </c>
    </row>
    <row r="4270" spans="1:1" x14ac:dyDescent="0.25">
      <c r="A4270" s="9">
        <v>10462086.32</v>
      </c>
    </row>
    <row r="4271" spans="1:1" x14ac:dyDescent="0.25">
      <c r="A4271">
        <v>0</v>
      </c>
    </row>
    <row r="4272" spans="1:1" x14ac:dyDescent="0.25">
      <c r="A4272" s="9">
        <v>19398234.469999999</v>
      </c>
    </row>
    <row r="4273" spans="1:1" x14ac:dyDescent="0.25">
      <c r="A4273">
        <v>3447059</v>
      </c>
    </row>
    <row r="4274" spans="1:1" x14ac:dyDescent="0.25">
      <c r="A4274" s="9">
        <v>16647142.77</v>
      </c>
    </row>
    <row r="4275" spans="1:1" x14ac:dyDescent="0.25">
      <c r="A4275" s="9">
        <v>677841.87</v>
      </c>
    </row>
    <row r="4276" spans="1:1" x14ac:dyDescent="0.25">
      <c r="A4276" s="9">
        <v>8219400.7400000002</v>
      </c>
    </row>
    <row r="4277" spans="1:1" x14ac:dyDescent="0.25">
      <c r="A4277">
        <v>0</v>
      </c>
    </row>
    <row r="4278" spans="1:1" x14ac:dyDescent="0.25">
      <c r="A4278" s="9">
        <v>3183336.83</v>
      </c>
    </row>
    <row r="4279" spans="1:1" x14ac:dyDescent="0.25">
      <c r="A4279" s="9">
        <v>2493164.31</v>
      </c>
    </row>
    <row r="4280" spans="1:1" x14ac:dyDescent="0.25">
      <c r="A4280">
        <v>0</v>
      </c>
    </row>
    <row r="4281" spans="1:1" x14ac:dyDescent="0.25">
      <c r="A4281" s="9">
        <v>30446052.100000001</v>
      </c>
    </row>
    <row r="4282" spans="1:1" x14ac:dyDescent="0.25">
      <c r="A4282">
        <v>0</v>
      </c>
    </row>
    <row r="4283" spans="1:1" x14ac:dyDescent="0.25">
      <c r="A4283" s="9">
        <v>1369073.76</v>
      </c>
    </row>
    <row r="4284" spans="1:1" x14ac:dyDescent="0.25">
      <c r="A4284" s="9">
        <v>44248423.729999997</v>
      </c>
    </row>
    <row r="4285" spans="1:1" x14ac:dyDescent="0.25">
      <c r="A4285" s="9">
        <v>1378879.81</v>
      </c>
    </row>
    <row r="4286" spans="1:1" x14ac:dyDescent="0.25">
      <c r="A4286" s="9">
        <v>5799351.7300000004</v>
      </c>
    </row>
    <row r="4287" spans="1:1" x14ac:dyDescent="0.25">
      <c r="A4287" s="9">
        <v>4071942.66</v>
      </c>
    </row>
    <row r="4288" spans="1:1" x14ac:dyDescent="0.25">
      <c r="A4288" s="9">
        <v>3544865.36</v>
      </c>
    </row>
    <row r="4289" spans="1:1" x14ac:dyDescent="0.25">
      <c r="A4289" s="9">
        <v>5048096.5999999903</v>
      </c>
    </row>
    <row r="4290" spans="1:1" x14ac:dyDescent="0.25">
      <c r="A4290">
        <v>0</v>
      </c>
    </row>
    <row r="4291" spans="1:1" x14ac:dyDescent="0.25">
      <c r="A4291" s="9">
        <v>239039.41</v>
      </c>
    </row>
    <row r="4292" spans="1:1" x14ac:dyDescent="0.25">
      <c r="A4292" s="9">
        <v>297373.99</v>
      </c>
    </row>
    <row r="4293" spans="1:1" x14ac:dyDescent="0.25">
      <c r="A4293" s="9">
        <v>2668229.42</v>
      </c>
    </row>
    <row r="4294" spans="1:1" x14ac:dyDescent="0.25">
      <c r="A4294" s="9">
        <v>2619097.11</v>
      </c>
    </row>
    <row r="4295" spans="1:1" x14ac:dyDescent="0.25">
      <c r="A4295" s="9">
        <v>1988411.96</v>
      </c>
    </row>
    <row r="4296" spans="1:1" x14ac:dyDescent="0.25">
      <c r="A4296" s="9">
        <v>7882639.04</v>
      </c>
    </row>
    <row r="4297" spans="1:1" x14ac:dyDescent="0.25">
      <c r="A4297" s="9">
        <v>21404889.100000001</v>
      </c>
    </row>
    <row r="4298" spans="1:1" x14ac:dyDescent="0.25">
      <c r="A4298" s="9">
        <v>6204096.2000000002</v>
      </c>
    </row>
    <row r="4299" spans="1:1" x14ac:dyDescent="0.25">
      <c r="A4299" s="9">
        <v>7125653.3600000003</v>
      </c>
    </row>
    <row r="4300" spans="1:1" x14ac:dyDescent="0.25">
      <c r="A4300" s="9">
        <v>73872.959999999905</v>
      </c>
    </row>
    <row r="4301" spans="1:1" x14ac:dyDescent="0.25">
      <c r="A4301" s="9">
        <v>14431744.07</v>
      </c>
    </row>
    <row r="4302" spans="1:1" x14ac:dyDescent="0.25">
      <c r="A4302" s="9">
        <v>11104969.199999999</v>
      </c>
    </row>
    <row r="4303" spans="1:1" x14ac:dyDescent="0.25">
      <c r="A4303" s="9">
        <v>28432.95</v>
      </c>
    </row>
    <row r="4304" spans="1:1" x14ac:dyDescent="0.25">
      <c r="A4304" s="9">
        <v>119034.68</v>
      </c>
    </row>
    <row r="4305" spans="1:1" x14ac:dyDescent="0.25">
      <c r="A4305" s="9">
        <v>1572863</v>
      </c>
    </row>
    <row r="4306" spans="1:1" x14ac:dyDescent="0.25">
      <c r="A4306">
        <v>0</v>
      </c>
    </row>
    <row r="4307" spans="1:1" x14ac:dyDescent="0.25">
      <c r="A4307" s="9">
        <v>1726552.38</v>
      </c>
    </row>
    <row r="4308" spans="1:1" x14ac:dyDescent="0.25">
      <c r="A4308" s="9">
        <v>114404.4</v>
      </c>
    </row>
    <row r="4309" spans="1:1" x14ac:dyDescent="0.25">
      <c r="A4309">
        <v>0</v>
      </c>
    </row>
    <row r="4310" spans="1:1" x14ac:dyDescent="0.25">
      <c r="A4310">
        <v>0</v>
      </c>
    </row>
    <row r="4311" spans="1:1" x14ac:dyDescent="0.25">
      <c r="A4311">
        <v>0</v>
      </c>
    </row>
    <row r="4312" spans="1:1" x14ac:dyDescent="0.25">
      <c r="A4312" s="9">
        <v>1341021.43</v>
      </c>
    </row>
    <row r="4313" spans="1:1" x14ac:dyDescent="0.25">
      <c r="A4313" s="9">
        <v>3748115.81</v>
      </c>
    </row>
    <row r="4314" spans="1:1" x14ac:dyDescent="0.25">
      <c r="A4314" s="9">
        <v>4049541.95</v>
      </c>
    </row>
    <row r="4315" spans="1:1" x14ac:dyDescent="0.25">
      <c r="A4315" s="9">
        <v>5231222.87</v>
      </c>
    </row>
    <row r="4316" spans="1:1" x14ac:dyDescent="0.25">
      <c r="A4316" s="9">
        <v>29481409.870000001</v>
      </c>
    </row>
    <row r="4317" spans="1:1" x14ac:dyDescent="0.25">
      <c r="A4317">
        <v>0</v>
      </c>
    </row>
    <row r="4318" spans="1:1" x14ac:dyDescent="0.25">
      <c r="A4318" s="9">
        <v>280163.73</v>
      </c>
    </row>
    <row r="4319" spans="1:1" x14ac:dyDescent="0.25">
      <c r="A4319">
        <v>0</v>
      </c>
    </row>
    <row r="4320" spans="1:1" x14ac:dyDescent="0.25">
      <c r="A4320" s="9">
        <v>2461456.2000000002</v>
      </c>
    </row>
    <row r="4321" spans="1:1" x14ac:dyDescent="0.25">
      <c r="A4321" s="9">
        <v>6332130.4000000004</v>
      </c>
    </row>
    <row r="4322" spans="1:1" x14ac:dyDescent="0.25">
      <c r="A4322" s="9">
        <v>48131421.799999997</v>
      </c>
    </row>
    <row r="4323" spans="1:1" x14ac:dyDescent="0.25">
      <c r="A4323">
        <v>0</v>
      </c>
    </row>
    <row r="4324" spans="1:1" x14ac:dyDescent="0.25">
      <c r="A4324" s="9">
        <v>20334732.120000001</v>
      </c>
    </row>
    <row r="4325" spans="1:1" x14ac:dyDescent="0.25">
      <c r="A4325">
        <v>0</v>
      </c>
    </row>
    <row r="4326" spans="1:1" x14ac:dyDescent="0.25">
      <c r="A4326" s="9">
        <v>4359860.3600000003</v>
      </c>
    </row>
    <row r="4327" spans="1:1" x14ac:dyDescent="0.25">
      <c r="A4327" s="9">
        <v>3913292.54</v>
      </c>
    </row>
    <row r="4328" spans="1:1" x14ac:dyDescent="0.25">
      <c r="A4328" s="9">
        <v>2025492.41</v>
      </c>
    </row>
    <row r="4329" spans="1:1" x14ac:dyDescent="0.25">
      <c r="A4329">
        <v>0</v>
      </c>
    </row>
    <row r="4330" spans="1:1" x14ac:dyDescent="0.25">
      <c r="A4330" s="9">
        <v>119320.32000000001</v>
      </c>
    </row>
    <row r="4331" spans="1:1" x14ac:dyDescent="0.25">
      <c r="A4331" s="9">
        <v>6424541.75</v>
      </c>
    </row>
    <row r="4332" spans="1:1" x14ac:dyDescent="0.25">
      <c r="A4332">
        <v>0</v>
      </c>
    </row>
    <row r="4333" spans="1:1" x14ac:dyDescent="0.25">
      <c r="A4333" s="9">
        <v>143571.34</v>
      </c>
    </row>
    <row r="4334" spans="1:1" x14ac:dyDescent="0.25">
      <c r="A4334" s="9">
        <v>124401.86</v>
      </c>
    </row>
    <row r="4335" spans="1:1" x14ac:dyDescent="0.25">
      <c r="A4335" s="9">
        <v>4407576.9000000004</v>
      </c>
    </row>
    <row r="4336" spans="1:1" x14ac:dyDescent="0.25">
      <c r="A4336" s="9">
        <v>1979469.28</v>
      </c>
    </row>
    <row r="4337" spans="1:1" x14ac:dyDescent="0.25">
      <c r="A4337" s="9">
        <v>496485.45</v>
      </c>
    </row>
    <row r="4338" spans="1:1" x14ac:dyDescent="0.25">
      <c r="A4338" s="9">
        <v>1107591.6000000001</v>
      </c>
    </row>
    <row r="4339" spans="1:1" x14ac:dyDescent="0.25">
      <c r="A4339" s="9">
        <v>1847244.8</v>
      </c>
    </row>
    <row r="4340" spans="1:1" x14ac:dyDescent="0.25">
      <c r="A4340" s="9">
        <v>6327309.8300000001</v>
      </c>
    </row>
    <row r="4341" spans="1:1" x14ac:dyDescent="0.25">
      <c r="A4341" s="9">
        <v>33515920.960000001</v>
      </c>
    </row>
    <row r="4342" spans="1:1" x14ac:dyDescent="0.25">
      <c r="A4342" s="9">
        <v>1268565.6000000001</v>
      </c>
    </row>
    <row r="4343" spans="1:1" x14ac:dyDescent="0.25">
      <c r="A4343" s="9">
        <v>5297595.83</v>
      </c>
    </row>
    <row r="4344" spans="1:1" x14ac:dyDescent="0.25">
      <c r="A4344">
        <v>0</v>
      </c>
    </row>
    <row r="4345" spans="1:1" x14ac:dyDescent="0.25">
      <c r="A4345">
        <v>0</v>
      </c>
    </row>
    <row r="4346" spans="1:1" x14ac:dyDescent="0.25">
      <c r="A4346" s="9">
        <v>2053116.52</v>
      </c>
    </row>
    <row r="4347" spans="1:1" x14ac:dyDescent="0.25">
      <c r="A4347" s="9">
        <v>5147530.79</v>
      </c>
    </row>
    <row r="4348" spans="1:1" x14ac:dyDescent="0.25">
      <c r="A4348" s="9">
        <v>6655009.4900000002</v>
      </c>
    </row>
    <row r="4349" spans="1:1" x14ac:dyDescent="0.25">
      <c r="A4349" s="9">
        <v>29269.759999999998</v>
      </c>
    </row>
    <row r="4350" spans="1:1" x14ac:dyDescent="0.25">
      <c r="A4350" s="9">
        <v>3050509.15</v>
      </c>
    </row>
    <row r="4351" spans="1:1" x14ac:dyDescent="0.25">
      <c r="A4351">
        <v>0</v>
      </c>
    </row>
    <row r="4352" spans="1:1" x14ac:dyDescent="0.25">
      <c r="A4352">
        <v>0</v>
      </c>
    </row>
    <row r="4353" spans="1:1" x14ac:dyDescent="0.25">
      <c r="A4353" s="9">
        <v>37623509.890000001</v>
      </c>
    </row>
    <row r="4354" spans="1:1" x14ac:dyDescent="0.25">
      <c r="A4354" s="9">
        <v>6708956.4199999897</v>
      </c>
    </row>
    <row r="4355" spans="1:1" x14ac:dyDescent="0.25">
      <c r="A4355" s="9">
        <v>2548825.48</v>
      </c>
    </row>
    <row r="4356" spans="1:1" x14ac:dyDescent="0.25">
      <c r="A4356" s="9">
        <v>442951.93999999901</v>
      </c>
    </row>
    <row r="4357" spans="1:1" x14ac:dyDescent="0.25">
      <c r="A4357" s="9">
        <v>2011101.94</v>
      </c>
    </row>
    <row r="4358" spans="1:1" x14ac:dyDescent="0.25">
      <c r="A4358" s="9">
        <v>11815612.640000001</v>
      </c>
    </row>
    <row r="4359" spans="1:1" x14ac:dyDescent="0.25">
      <c r="A4359" s="9">
        <v>30196523.710000001</v>
      </c>
    </row>
    <row r="4360" spans="1:1" x14ac:dyDescent="0.25">
      <c r="A4360" s="9">
        <v>28432.95</v>
      </c>
    </row>
    <row r="4361" spans="1:1" x14ac:dyDescent="0.25">
      <c r="A4361" s="9">
        <v>8675582.25</v>
      </c>
    </row>
    <row r="4362" spans="1:1" x14ac:dyDescent="0.25">
      <c r="A4362" s="9">
        <v>7453403.8499999996</v>
      </c>
    </row>
    <row r="4363" spans="1:1" x14ac:dyDescent="0.25">
      <c r="A4363" s="9">
        <v>7420674.6899999902</v>
      </c>
    </row>
    <row r="4364" spans="1:1" x14ac:dyDescent="0.25">
      <c r="A4364" s="9">
        <v>4253096.97</v>
      </c>
    </row>
    <row r="4365" spans="1:1" x14ac:dyDescent="0.25">
      <c r="A4365" s="9">
        <v>4695234.87</v>
      </c>
    </row>
    <row r="4366" spans="1:1" x14ac:dyDescent="0.25">
      <c r="A4366" s="9">
        <v>9039950.9600000009</v>
      </c>
    </row>
    <row r="4367" spans="1:1" x14ac:dyDescent="0.25">
      <c r="A4367">
        <v>0</v>
      </c>
    </row>
    <row r="4368" spans="1:1" x14ac:dyDescent="0.25">
      <c r="A4368" s="9">
        <v>234602.6</v>
      </c>
    </row>
    <row r="4369" spans="1:1" x14ac:dyDescent="0.25">
      <c r="A4369" s="9">
        <v>2058686.52</v>
      </c>
    </row>
    <row r="4370" spans="1:1" x14ac:dyDescent="0.25">
      <c r="A4370" s="9">
        <v>6567856.4100000001</v>
      </c>
    </row>
    <row r="4371" spans="1:1" x14ac:dyDescent="0.25">
      <c r="A4371" s="9">
        <v>9924604.3800000008</v>
      </c>
    </row>
    <row r="4372" spans="1:1" x14ac:dyDescent="0.25">
      <c r="A4372">
        <v>0</v>
      </c>
    </row>
    <row r="4373" spans="1:1" x14ac:dyDescent="0.25">
      <c r="A4373" s="9">
        <v>5165497.8600000003</v>
      </c>
    </row>
    <row r="4374" spans="1:1" x14ac:dyDescent="0.25">
      <c r="A4374" s="9">
        <v>2359833.77</v>
      </c>
    </row>
    <row r="4375" spans="1:1" x14ac:dyDescent="0.25">
      <c r="A4375" s="9">
        <v>4128792.83</v>
      </c>
    </row>
    <row r="4376" spans="1:1" x14ac:dyDescent="0.25">
      <c r="A4376">
        <v>1944663</v>
      </c>
    </row>
    <row r="4377" spans="1:1" x14ac:dyDescent="0.25">
      <c r="A4377" s="9">
        <v>17965394.800000001</v>
      </c>
    </row>
    <row r="4378" spans="1:1" x14ac:dyDescent="0.25">
      <c r="A4378" s="9">
        <v>4974615.1399999997</v>
      </c>
    </row>
    <row r="4379" spans="1:1" x14ac:dyDescent="0.25">
      <c r="A4379" s="9">
        <v>259798.08</v>
      </c>
    </row>
    <row r="4380" spans="1:1" x14ac:dyDescent="0.25">
      <c r="A4380" s="9">
        <v>4035891.11</v>
      </c>
    </row>
    <row r="4381" spans="1:1" x14ac:dyDescent="0.25">
      <c r="A4381" s="9">
        <v>3106729.23</v>
      </c>
    </row>
    <row r="4382" spans="1:1" x14ac:dyDescent="0.25">
      <c r="A4382" s="9">
        <v>20075843.789999999</v>
      </c>
    </row>
    <row r="4383" spans="1:1" x14ac:dyDescent="0.25">
      <c r="A4383" s="9">
        <v>6439881.96</v>
      </c>
    </row>
    <row r="4384" spans="1:1" x14ac:dyDescent="0.25">
      <c r="A4384" s="9">
        <v>3813785.11</v>
      </c>
    </row>
    <row r="4385" spans="1:1" x14ac:dyDescent="0.25">
      <c r="A4385" s="9">
        <v>7615351.5999999996</v>
      </c>
    </row>
    <row r="4386" spans="1:1" x14ac:dyDescent="0.25">
      <c r="A4386" s="9">
        <v>3446528.53</v>
      </c>
    </row>
    <row r="4387" spans="1:1" x14ac:dyDescent="0.25">
      <c r="A4387">
        <v>0</v>
      </c>
    </row>
    <row r="4388" spans="1:1" x14ac:dyDescent="0.25">
      <c r="A4388">
        <v>0</v>
      </c>
    </row>
    <row r="4389" spans="1:1" x14ac:dyDescent="0.25">
      <c r="A4389" s="9">
        <v>3379176.2</v>
      </c>
    </row>
    <row r="4390" spans="1:1" x14ac:dyDescent="0.25">
      <c r="A4390" s="9">
        <v>97820.91</v>
      </c>
    </row>
    <row r="4391" spans="1:1" x14ac:dyDescent="0.25">
      <c r="A4391" s="9">
        <v>2986340.5</v>
      </c>
    </row>
    <row r="4392" spans="1:1" x14ac:dyDescent="0.25">
      <c r="A4392">
        <v>0</v>
      </c>
    </row>
    <row r="4393" spans="1:1" x14ac:dyDescent="0.25">
      <c r="A4393" s="9">
        <v>184735.48</v>
      </c>
    </row>
    <row r="4394" spans="1:1" x14ac:dyDescent="0.25">
      <c r="A4394" s="9">
        <v>28432.95</v>
      </c>
    </row>
    <row r="4395" spans="1:1" x14ac:dyDescent="0.25">
      <c r="A4395">
        <v>0</v>
      </c>
    </row>
    <row r="4396" spans="1:1" x14ac:dyDescent="0.25">
      <c r="A4396" s="9">
        <v>263420.96000000002</v>
      </c>
    </row>
    <row r="4397" spans="1:1" x14ac:dyDescent="0.25">
      <c r="A4397" s="9">
        <v>7681125.1299999999</v>
      </c>
    </row>
    <row r="4398" spans="1:1" x14ac:dyDescent="0.25">
      <c r="A4398">
        <v>0</v>
      </c>
    </row>
    <row r="4399" spans="1:1" x14ac:dyDescent="0.25">
      <c r="A4399" s="9">
        <v>22488241.879999999</v>
      </c>
    </row>
    <row r="4400" spans="1:1" x14ac:dyDescent="0.25">
      <c r="A4400">
        <v>0</v>
      </c>
    </row>
    <row r="4401" spans="1:1" x14ac:dyDescent="0.25">
      <c r="A4401" s="9">
        <v>14164666.68</v>
      </c>
    </row>
    <row r="4402" spans="1:1" x14ac:dyDescent="0.25">
      <c r="A4402">
        <v>0</v>
      </c>
    </row>
    <row r="4403" spans="1:1" x14ac:dyDescent="0.25">
      <c r="A4403" s="9">
        <v>314832.24</v>
      </c>
    </row>
    <row r="4404" spans="1:1" x14ac:dyDescent="0.25">
      <c r="A4404">
        <v>0</v>
      </c>
    </row>
    <row r="4405" spans="1:1" x14ac:dyDescent="0.25">
      <c r="A4405" s="9">
        <v>1205919.6000000001</v>
      </c>
    </row>
    <row r="4406" spans="1:1" x14ac:dyDescent="0.25">
      <c r="A4406" s="9">
        <v>3890844.78</v>
      </c>
    </row>
    <row r="4407" spans="1:1" x14ac:dyDescent="0.25">
      <c r="A4407" s="9">
        <v>20799694.82</v>
      </c>
    </row>
    <row r="4408" spans="1:1" x14ac:dyDescent="0.25">
      <c r="A4408" s="9">
        <v>15292911.08</v>
      </c>
    </row>
    <row r="4409" spans="1:1" x14ac:dyDescent="0.25">
      <c r="A4409" s="9">
        <v>6495232.0499999998</v>
      </c>
    </row>
    <row r="4410" spans="1:1" x14ac:dyDescent="0.25">
      <c r="A4410" s="9">
        <v>32080266.82</v>
      </c>
    </row>
    <row r="4411" spans="1:1" x14ac:dyDescent="0.25">
      <c r="A4411" s="9">
        <v>2169539.73</v>
      </c>
    </row>
    <row r="4412" spans="1:1" x14ac:dyDescent="0.25">
      <c r="A4412" s="9">
        <v>23635814.289999999</v>
      </c>
    </row>
    <row r="4413" spans="1:1" x14ac:dyDescent="0.25">
      <c r="A4413" s="9">
        <v>8956149.7599999998</v>
      </c>
    </row>
    <row r="4414" spans="1:1" x14ac:dyDescent="0.25">
      <c r="A4414">
        <v>0</v>
      </c>
    </row>
    <row r="4415" spans="1:1" x14ac:dyDescent="0.25">
      <c r="A4415">
        <v>0</v>
      </c>
    </row>
    <row r="4416" spans="1:1" x14ac:dyDescent="0.25">
      <c r="A4416" s="9">
        <v>1425215.34</v>
      </c>
    </row>
    <row r="4417" spans="1:1" x14ac:dyDescent="0.25">
      <c r="A4417" s="9">
        <v>3009856.48</v>
      </c>
    </row>
    <row r="4418" spans="1:1" x14ac:dyDescent="0.25">
      <c r="A4418" s="9">
        <v>1301611.8799999999</v>
      </c>
    </row>
    <row r="4419" spans="1:1" x14ac:dyDescent="0.25">
      <c r="A4419" s="9">
        <v>2316525.4900000002</v>
      </c>
    </row>
    <row r="4420" spans="1:1" x14ac:dyDescent="0.25">
      <c r="A4420" s="9">
        <v>18640327.170000002</v>
      </c>
    </row>
    <row r="4421" spans="1:1" x14ac:dyDescent="0.25">
      <c r="A4421" s="9">
        <v>1089217.8</v>
      </c>
    </row>
    <row r="4422" spans="1:1" x14ac:dyDescent="0.25">
      <c r="A4422" s="9">
        <v>9525231.0999999996</v>
      </c>
    </row>
    <row r="4423" spans="1:1" x14ac:dyDescent="0.25">
      <c r="A4423" s="9">
        <v>2826421.5</v>
      </c>
    </row>
    <row r="4424" spans="1:1" x14ac:dyDescent="0.25">
      <c r="A4424" s="9">
        <v>937368.00999999896</v>
      </c>
    </row>
    <row r="4425" spans="1:1" x14ac:dyDescent="0.25">
      <c r="A4425" s="9">
        <v>5802382.2599999998</v>
      </c>
    </row>
    <row r="4426" spans="1:1" x14ac:dyDescent="0.25">
      <c r="A4426">
        <v>0</v>
      </c>
    </row>
    <row r="4427" spans="1:1" x14ac:dyDescent="0.25">
      <c r="A4427" s="9">
        <v>418568.32</v>
      </c>
    </row>
    <row r="4428" spans="1:1" x14ac:dyDescent="0.25">
      <c r="A4428">
        <v>0</v>
      </c>
    </row>
    <row r="4429" spans="1:1" x14ac:dyDescent="0.25">
      <c r="A4429" s="9">
        <v>267506.99</v>
      </c>
    </row>
    <row r="4430" spans="1:1" x14ac:dyDescent="0.25">
      <c r="A4430" s="9">
        <v>69989.64</v>
      </c>
    </row>
    <row r="4431" spans="1:1" x14ac:dyDescent="0.25">
      <c r="A4431">
        <v>0</v>
      </c>
    </row>
    <row r="4432" spans="1:1" x14ac:dyDescent="0.25">
      <c r="A4432" s="9">
        <v>22839233.02</v>
      </c>
    </row>
    <row r="4433" spans="1:1" x14ac:dyDescent="0.25">
      <c r="A4433">
        <v>0</v>
      </c>
    </row>
    <row r="4434" spans="1:1" x14ac:dyDescent="0.25">
      <c r="A4434" s="9">
        <v>5456017.0800000001</v>
      </c>
    </row>
    <row r="4435" spans="1:1" x14ac:dyDescent="0.25">
      <c r="A4435" s="9">
        <v>605727.55999999901</v>
      </c>
    </row>
    <row r="4436" spans="1:1" x14ac:dyDescent="0.25">
      <c r="A4436">
        <v>0</v>
      </c>
    </row>
    <row r="4437" spans="1:1" x14ac:dyDescent="0.25">
      <c r="A4437" s="9">
        <v>434258.52</v>
      </c>
    </row>
    <row r="4438" spans="1:1" x14ac:dyDescent="0.25">
      <c r="A4438" s="9">
        <v>55802.559999999998</v>
      </c>
    </row>
    <row r="4439" spans="1:1" x14ac:dyDescent="0.25">
      <c r="A4439" s="9">
        <v>2372537.62</v>
      </c>
    </row>
    <row r="4440" spans="1:1" x14ac:dyDescent="0.25">
      <c r="A4440" s="9">
        <v>2982979.24</v>
      </c>
    </row>
    <row r="4441" spans="1:1" x14ac:dyDescent="0.25">
      <c r="A4441" s="9">
        <v>4724988.1500000004</v>
      </c>
    </row>
    <row r="4442" spans="1:1" x14ac:dyDescent="0.25">
      <c r="A4442" s="9">
        <v>3081296.88</v>
      </c>
    </row>
    <row r="4443" spans="1:1" x14ac:dyDescent="0.25">
      <c r="A4443" s="9">
        <v>2591011.42</v>
      </c>
    </row>
    <row r="4444" spans="1:1" x14ac:dyDescent="0.25">
      <c r="A4444" s="9">
        <v>1195000.1200000001</v>
      </c>
    </row>
    <row r="4445" spans="1:1" x14ac:dyDescent="0.25">
      <c r="A4445" s="9">
        <v>36404957.630000003</v>
      </c>
    </row>
    <row r="4446" spans="1:1" x14ac:dyDescent="0.25">
      <c r="A4446" s="9">
        <v>280163.73</v>
      </c>
    </row>
    <row r="4447" spans="1:1" x14ac:dyDescent="0.25">
      <c r="A4447" s="9">
        <v>2144129.23</v>
      </c>
    </row>
    <row r="4448" spans="1:1" x14ac:dyDescent="0.25">
      <c r="A4448" s="9">
        <v>3059540.69</v>
      </c>
    </row>
    <row r="4449" spans="1:1" x14ac:dyDescent="0.25">
      <c r="A4449" s="9">
        <v>232270.05</v>
      </c>
    </row>
    <row r="4450" spans="1:1" x14ac:dyDescent="0.25">
      <c r="A4450" s="9">
        <v>15752724.640000001</v>
      </c>
    </row>
    <row r="4451" spans="1:1" x14ac:dyDescent="0.25">
      <c r="A4451" s="9">
        <v>280163.73</v>
      </c>
    </row>
    <row r="4452" spans="1:1" x14ac:dyDescent="0.25">
      <c r="A4452">
        <v>0</v>
      </c>
    </row>
    <row r="4453" spans="1:1" x14ac:dyDescent="0.25">
      <c r="A4453" s="9">
        <v>89675.3</v>
      </c>
    </row>
    <row r="4454" spans="1:1" x14ac:dyDescent="0.25">
      <c r="A4454" s="9">
        <v>63686.03</v>
      </c>
    </row>
    <row r="4455" spans="1:1" x14ac:dyDescent="0.25">
      <c r="A4455">
        <v>0</v>
      </c>
    </row>
    <row r="4456" spans="1:1" x14ac:dyDescent="0.25">
      <c r="A4456" s="9">
        <v>196667.86</v>
      </c>
    </row>
    <row r="4457" spans="1:1" x14ac:dyDescent="0.25">
      <c r="A4457">
        <v>0</v>
      </c>
    </row>
    <row r="4458" spans="1:1" x14ac:dyDescent="0.25">
      <c r="A4458" s="9">
        <v>5687885.6199999899</v>
      </c>
    </row>
    <row r="4459" spans="1:1" x14ac:dyDescent="0.25">
      <c r="A4459" s="9">
        <v>1512102.31</v>
      </c>
    </row>
    <row r="4460" spans="1:1" x14ac:dyDescent="0.25">
      <c r="A4460" s="9">
        <v>3162598.46</v>
      </c>
    </row>
    <row r="4461" spans="1:1" x14ac:dyDescent="0.25">
      <c r="A4461" s="9">
        <v>9922576.1600000001</v>
      </c>
    </row>
    <row r="4462" spans="1:1" x14ac:dyDescent="0.25">
      <c r="A4462" s="9">
        <v>7017721.02999999</v>
      </c>
    </row>
    <row r="4463" spans="1:1" x14ac:dyDescent="0.25">
      <c r="A4463" s="9">
        <v>905622.03</v>
      </c>
    </row>
    <row r="4464" spans="1:1" x14ac:dyDescent="0.25">
      <c r="A4464" s="9">
        <v>3669958.73</v>
      </c>
    </row>
    <row r="4465" spans="1:1" x14ac:dyDescent="0.25">
      <c r="A4465" s="9">
        <v>124401.86</v>
      </c>
    </row>
    <row r="4466" spans="1:1" x14ac:dyDescent="0.25">
      <c r="A4466">
        <v>0</v>
      </c>
    </row>
    <row r="4467" spans="1:1" x14ac:dyDescent="0.25">
      <c r="A4467" s="9">
        <v>349461.2</v>
      </c>
    </row>
    <row r="4468" spans="1:1" x14ac:dyDescent="0.25">
      <c r="A4468" s="9">
        <v>3762400.33</v>
      </c>
    </row>
    <row r="4469" spans="1:1" x14ac:dyDescent="0.25">
      <c r="A4469" s="9">
        <v>18178757.969999999</v>
      </c>
    </row>
    <row r="4470" spans="1:1" x14ac:dyDescent="0.25">
      <c r="A4470" s="9">
        <v>2324061.7599999998</v>
      </c>
    </row>
    <row r="4471" spans="1:1" x14ac:dyDescent="0.25">
      <c r="A4471" s="9">
        <v>43713.93</v>
      </c>
    </row>
    <row r="4472" spans="1:1" x14ac:dyDescent="0.25">
      <c r="A4472" s="9">
        <v>1205919.6000000001</v>
      </c>
    </row>
    <row r="4473" spans="1:1" x14ac:dyDescent="0.25">
      <c r="A4473" s="9">
        <v>528960.99</v>
      </c>
    </row>
    <row r="4474" spans="1:1" x14ac:dyDescent="0.25">
      <c r="A4474" s="9">
        <v>69019.8</v>
      </c>
    </row>
    <row r="4475" spans="1:1" x14ac:dyDescent="0.25">
      <c r="A4475" s="9">
        <v>3751528.76</v>
      </c>
    </row>
    <row r="4476" spans="1:1" x14ac:dyDescent="0.25">
      <c r="A4476" s="9">
        <v>7846977.0899999999</v>
      </c>
    </row>
    <row r="4477" spans="1:1" x14ac:dyDescent="0.25">
      <c r="A4477" s="9">
        <v>3121087.68</v>
      </c>
    </row>
    <row r="4478" spans="1:1" x14ac:dyDescent="0.25">
      <c r="A4478" s="9">
        <v>3117820.87</v>
      </c>
    </row>
    <row r="4479" spans="1:1" x14ac:dyDescent="0.25">
      <c r="A4479" s="9">
        <v>585989.31000000006</v>
      </c>
    </row>
    <row r="4480" spans="1:1" x14ac:dyDescent="0.25">
      <c r="A4480" s="9">
        <v>186499.5</v>
      </c>
    </row>
    <row r="4481" spans="1:1" x14ac:dyDescent="0.25">
      <c r="A4481" s="9">
        <v>25263374.190000001</v>
      </c>
    </row>
    <row r="4482" spans="1:1" x14ac:dyDescent="0.25">
      <c r="A4482" s="9">
        <v>2854449.7</v>
      </c>
    </row>
    <row r="4483" spans="1:1" x14ac:dyDescent="0.25">
      <c r="A4483" s="9">
        <v>8033932.6699999999</v>
      </c>
    </row>
    <row r="4484" spans="1:1" x14ac:dyDescent="0.25">
      <c r="A4484" s="9">
        <v>4509698.84</v>
      </c>
    </row>
    <row r="4485" spans="1:1" x14ac:dyDescent="0.25">
      <c r="A4485" s="9">
        <v>63852.12</v>
      </c>
    </row>
    <row r="4486" spans="1:1" x14ac:dyDescent="0.25">
      <c r="A4486" s="9">
        <v>9404725.2100000009</v>
      </c>
    </row>
    <row r="4487" spans="1:1" x14ac:dyDescent="0.25">
      <c r="A4487" s="9">
        <v>14764882.01</v>
      </c>
    </row>
    <row r="4488" spans="1:1" x14ac:dyDescent="0.25">
      <c r="A4488" s="9">
        <v>5083522.96</v>
      </c>
    </row>
    <row r="4489" spans="1:1" x14ac:dyDescent="0.25">
      <c r="A4489">
        <v>0</v>
      </c>
    </row>
    <row r="4490" spans="1:1" x14ac:dyDescent="0.25">
      <c r="A4490">
        <v>0</v>
      </c>
    </row>
    <row r="4491" spans="1:1" x14ac:dyDescent="0.25">
      <c r="A4491" s="9">
        <v>123823.33</v>
      </c>
    </row>
    <row r="4492" spans="1:1" x14ac:dyDescent="0.25">
      <c r="A4492" s="9">
        <v>206742.55</v>
      </c>
    </row>
    <row r="4493" spans="1:1" x14ac:dyDescent="0.25">
      <c r="A4493" s="9">
        <v>2233536.64</v>
      </c>
    </row>
    <row r="4494" spans="1:1" x14ac:dyDescent="0.25">
      <c r="A4494" s="9">
        <v>112437.35</v>
      </c>
    </row>
    <row r="4495" spans="1:1" x14ac:dyDescent="0.25">
      <c r="A4495" s="9">
        <v>20967889.190000001</v>
      </c>
    </row>
    <row r="4496" spans="1:1" x14ac:dyDescent="0.25">
      <c r="A4496">
        <v>0</v>
      </c>
    </row>
    <row r="4497" spans="1:1" x14ac:dyDescent="0.25">
      <c r="A4497" s="9">
        <v>445606.27</v>
      </c>
    </row>
    <row r="4498" spans="1:1" x14ac:dyDescent="0.25">
      <c r="A4498">
        <v>0</v>
      </c>
    </row>
    <row r="4499" spans="1:1" x14ac:dyDescent="0.25">
      <c r="A4499" s="9">
        <v>1729107.44</v>
      </c>
    </row>
    <row r="4500" spans="1:1" x14ac:dyDescent="0.25">
      <c r="A4500" s="9">
        <v>6182785.5899999999</v>
      </c>
    </row>
    <row r="4501" spans="1:1" x14ac:dyDescent="0.25">
      <c r="A4501">
        <v>0</v>
      </c>
    </row>
    <row r="4502" spans="1:1" x14ac:dyDescent="0.25">
      <c r="A4502">
        <v>0</v>
      </c>
    </row>
    <row r="4503" spans="1:1" x14ac:dyDescent="0.25">
      <c r="A4503" s="9">
        <v>8229911.8599999901</v>
      </c>
    </row>
    <row r="4504" spans="1:1" x14ac:dyDescent="0.25">
      <c r="A4504" s="9">
        <v>564390.81999999995</v>
      </c>
    </row>
    <row r="4505" spans="1:1" x14ac:dyDescent="0.25">
      <c r="A4505" s="9">
        <v>32427401.699999999</v>
      </c>
    </row>
    <row r="4506" spans="1:1" x14ac:dyDescent="0.25">
      <c r="A4506" s="9">
        <v>8750436.5399999991</v>
      </c>
    </row>
    <row r="4507" spans="1:1" x14ac:dyDescent="0.25">
      <c r="A4507" s="9">
        <v>3699018.95</v>
      </c>
    </row>
    <row r="4508" spans="1:1" x14ac:dyDescent="0.25">
      <c r="A4508" s="9">
        <v>15161288.119999999</v>
      </c>
    </row>
    <row r="4509" spans="1:1" x14ac:dyDescent="0.25">
      <c r="A4509" s="9">
        <v>4196330.78</v>
      </c>
    </row>
    <row r="4510" spans="1:1" x14ac:dyDescent="0.25">
      <c r="A4510" s="9">
        <v>280163.73</v>
      </c>
    </row>
    <row r="4511" spans="1:1" x14ac:dyDescent="0.25">
      <c r="A4511">
        <v>0</v>
      </c>
    </row>
    <row r="4512" spans="1:1" x14ac:dyDescent="0.25">
      <c r="A4512">
        <v>0</v>
      </c>
    </row>
    <row r="4513" spans="1:1" x14ac:dyDescent="0.25">
      <c r="A4513">
        <v>0</v>
      </c>
    </row>
    <row r="4514" spans="1:1" x14ac:dyDescent="0.25">
      <c r="A4514" s="9">
        <v>318551.09999999998</v>
      </c>
    </row>
    <row r="4515" spans="1:1" x14ac:dyDescent="0.25">
      <c r="A4515" s="9">
        <v>3093814.03</v>
      </c>
    </row>
    <row r="4516" spans="1:1" x14ac:dyDescent="0.25">
      <c r="A4516" s="9">
        <v>633460.88</v>
      </c>
    </row>
    <row r="4517" spans="1:1" x14ac:dyDescent="0.25">
      <c r="A4517" s="9">
        <v>1564355.63</v>
      </c>
    </row>
    <row r="4518" spans="1:1" x14ac:dyDescent="0.25">
      <c r="A4518">
        <v>0</v>
      </c>
    </row>
    <row r="4519" spans="1:1" x14ac:dyDescent="0.25">
      <c r="A4519" s="9">
        <v>2243964.04</v>
      </c>
    </row>
    <row r="4520" spans="1:1" x14ac:dyDescent="0.25">
      <c r="A4520" s="9">
        <v>2863534.62</v>
      </c>
    </row>
    <row r="4521" spans="1:1" x14ac:dyDescent="0.25">
      <c r="A4521" s="9">
        <v>10342301.109999999</v>
      </c>
    </row>
    <row r="4522" spans="1:1" x14ac:dyDescent="0.25">
      <c r="A4522" s="9">
        <v>1499255.97</v>
      </c>
    </row>
    <row r="4523" spans="1:1" x14ac:dyDescent="0.25">
      <c r="A4523">
        <v>0</v>
      </c>
    </row>
    <row r="4524" spans="1:1" x14ac:dyDescent="0.25">
      <c r="A4524">
        <v>479630</v>
      </c>
    </row>
    <row r="4525" spans="1:1" x14ac:dyDescent="0.25">
      <c r="A4525" s="9">
        <v>9480757.2200000007</v>
      </c>
    </row>
    <row r="4526" spans="1:1" x14ac:dyDescent="0.25">
      <c r="A4526" s="9">
        <v>3050137.61</v>
      </c>
    </row>
    <row r="4527" spans="1:1" x14ac:dyDescent="0.25">
      <c r="A4527" s="9">
        <v>5563589.8799999999</v>
      </c>
    </row>
    <row r="4528" spans="1:1" x14ac:dyDescent="0.25">
      <c r="A4528" s="9">
        <v>5963981.8899999997</v>
      </c>
    </row>
    <row r="4529" spans="1:1" x14ac:dyDescent="0.25">
      <c r="A4529" s="9">
        <v>149183.43</v>
      </c>
    </row>
    <row r="4530" spans="1:1" x14ac:dyDescent="0.25">
      <c r="A4530" s="9">
        <v>7375721.5599999996</v>
      </c>
    </row>
    <row r="4531" spans="1:1" x14ac:dyDescent="0.25">
      <c r="A4531" s="9">
        <v>185816.22</v>
      </c>
    </row>
    <row r="4532" spans="1:1" x14ac:dyDescent="0.25">
      <c r="A4532" s="9">
        <v>11241696.199999999</v>
      </c>
    </row>
    <row r="4533" spans="1:1" x14ac:dyDescent="0.25">
      <c r="A4533">
        <v>0</v>
      </c>
    </row>
    <row r="4534" spans="1:1" x14ac:dyDescent="0.25">
      <c r="A4534" s="9">
        <v>28879075.539999999</v>
      </c>
    </row>
    <row r="4535" spans="1:1" x14ac:dyDescent="0.25">
      <c r="A4535" s="9">
        <v>3149520.63</v>
      </c>
    </row>
    <row r="4536" spans="1:1" x14ac:dyDescent="0.25">
      <c r="A4536" s="9">
        <v>3089734.44</v>
      </c>
    </row>
    <row r="4537" spans="1:1" x14ac:dyDescent="0.25">
      <c r="A4537">
        <v>10291577</v>
      </c>
    </row>
    <row r="4538" spans="1:1" x14ac:dyDescent="0.25">
      <c r="A4538" s="9">
        <v>24686902.57</v>
      </c>
    </row>
    <row r="4539" spans="1:1" x14ac:dyDescent="0.25">
      <c r="A4539" s="9">
        <v>5248455.34</v>
      </c>
    </row>
    <row r="4540" spans="1:1" x14ac:dyDescent="0.25">
      <c r="A4540" s="9">
        <v>2627455.84</v>
      </c>
    </row>
    <row r="4541" spans="1:1" x14ac:dyDescent="0.25">
      <c r="A4541">
        <v>0</v>
      </c>
    </row>
    <row r="4542" spans="1:1" x14ac:dyDescent="0.25">
      <c r="A4542" s="9">
        <v>607390.28</v>
      </c>
    </row>
    <row r="4543" spans="1:1" x14ac:dyDescent="0.25">
      <c r="A4543" s="9">
        <v>7627548.8200000003</v>
      </c>
    </row>
    <row r="4544" spans="1:1" x14ac:dyDescent="0.25">
      <c r="A4544" s="9">
        <v>16615276.17</v>
      </c>
    </row>
    <row r="4545" spans="1:1" x14ac:dyDescent="0.25">
      <c r="A4545" s="9">
        <v>5179861.96</v>
      </c>
    </row>
    <row r="4546" spans="1:1" x14ac:dyDescent="0.25">
      <c r="A4546" s="9">
        <v>20099928.16</v>
      </c>
    </row>
    <row r="4547" spans="1:1" x14ac:dyDescent="0.25">
      <c r="A4547" s="9">
        <v>5334198.7699999996</v>
      </c>
    </row>
    <row r="4548" spans="1:1" x14ac:dyDescent="0.25">
      <c r="A4548" s="9">
        <v>26411195.32</v>
      </c>
    </row>
    <row r="4549" spans="1:1" x14ac:dyDescent="0.25">
      <c r="A4549">
        <v>0</v>
      </c>
    </row>
    <row r="4550" spans="1:1" x14ac:dyDescent="0.25">
      <c r="A4550" s="9">
        <v>3081296.88</v>
      </c>
    </row>
    <row r="4551" spans="1:1" x14ac:dyDescent="0.25">
      <c r="A4551">
        <v>401744</v>
      </c>
    </row>
    <row r="4552" spans="1:1" x14ac:dyDescent="0.25">
      <c r="A4552">
        <v>0</v>
      </c>
    </row>
    <row r="4553" spans="1:1" x14ac:dyDescent="0.25">
      <c r="A4553" s="9">
        <v>485109.45</v>
      </c>
    </row>
    <row r="4554" spans="1:1" x14ac:dyDescent="0.25">
      <c r="A4554">
        <v>0</v>
      </c>
    </row>
    <row r="4555" spans="1:1" x14ac:dyDescent="0.25">
      <c r="A4555" s="9">
        <v>3019461.88</v>
      </c>
    </row>
    <row r="4556" spans="1:1" x14ac:dyDescent="0.25">
      <c r="A4556">
        <v>0</v>
      </c>
    </row>
    <row r="4557" spans="1:1" x14ac:dyDescent="0.25">
      <c r="A4557" s="9">
        <v>300771.08</v>
      </c>
    </row>
    <row r="4558" spans="1:1" x14ac:dyDescent="0.25">
      <c r="A4558">
        <v>0</v>
      </c>
    </row>
    <row r="4559" spans="1:1" x14ac:dyDescent="0.25">
      <c r="A4559">
        <v>0</v>
      </c>
    </row>
    <row r="4560" spans="1:1" x14ac:dyDescent="0.25">
      <c r="A4560" s="9">
        <v>28727473.600000001</v>
      </c>
    </row>
    <row r="4561" spans="1:1" x14ac:dyDescent="0.25">
      <c r="A4561">
        <v>1322150</v>
      </c>
    </row>
    <row r="4562" spans="1:1" x14ac:dyDescent="0.25">
      <c r="A4562">
        <v>0</v>
      </c>
    </row>
    <row r="4563" spans="1:1" x14ac:dyDescent="0.25">
      <c r="A4563">
        <v>0</v>
      </c>
    </row>
    <row r="4564" spans="1:1" x14ac:dyDescent="0.25">
      <c r="A4564" s="9">
        <v>15995981.74</v>
      </c>
    </row>
    <row r="4565" spans="1:1" x14ac:dyDescent="0.25">
      <c r="A4565" s="9">
        <v>2594328.1800000002</v>
      </c>
    </row>
    <row r="4566" spans="1:1" x14ac:dyDescent="0.25">
      <c r="A4566">
        <v>0</v>
      </c>
    </row>
    <row r="4567" spans="1:1" x14ac:dyDescent="0.25">
      <c r="A4567" s="9">
        <v>1375431.24</v>
      </c>
    </row>
    <row r="4568" spans="1:1" x14ac:dyDescent="0.25">
      <c r="A4568">
        <v>0</v>
      </c>
    </row>
    <row r="4569" spans="1:1" x14ac:dyDescent="0.25">
      <c r="A4569" s="9">
        <v>10363216.390000001</v>
      </c>
    </row>
    <row r="4570" spans="1:1" x14ac:dyDescent="0.25">
      <c r="A4570">
        <v>0</v>
      </c>
    </row>
    <row r="4571" spans="1:1" x14ac:dyDescent="0.25">
      <c r="A4571" s="9">
        <v>4325128.78</v>
      </c>
    </row>
    <row r="4572" spans="1:1" x14ac:dyDescent="0.25">
      <c r="A4572" s="9">
        <v>184735.48</v>
      </c>
    </row>
    <row r="4573" spans="1:1" x14ac:dyDescent="0.25">
      <c r="A4573" s="9">
        <v>50172863.049999997</v>
      </c>
    </row>
    <row r="4574" spans="1:1" x14ac:dyDescent="0.25">
      <c r="A4574" s="9">
        <v>197756.64</v>
      </c>
    </row>
    <row r="4575" spans="1:1" x14ac:dyDescent="0.25">
      <c r="A4575" s="9">
        <v>2709722.8999999901</v>
      </c>
    </row>
    <row r="4576" spans="1:1" x14ac:dyDescent="0.25">
      <c r="A4576" s="9">
        <v>2844401.4</v>
      </c>
    </row>
    <row r="4577" spans="1:1" x14ac:dyDescent="0.25">
      <c r="A4577" s="9">
        <v>43067589.490000002</v>
      </c>
    </row>
    <row r="4578" spans="1:1" x14ac:dyDescent="0.25">
      <c r="A4578" s="9">
        <v>7779226.8600000003</v>
      </c>
    </row>
    <row r="4579" spans="1:1" x14ac:dyDescent="0.25">
      <c r="A4579">
        <v>0</v>
      </c>
    </row>
    <row r="4580" spans="1:1" x14ac:dyDescent="0.25">
      <c r="A4580" s="9">
        <v>547094.66</v>
      </c>
    </row>
    <row r="4581" spans="1:1" x14ac:dyDescent="0.25">
      <c r="A4581" s="9">
        <v>21540422.739999998</v>
      </c>
    </row>
    <row r="4582" spans="1:1" x14ac:dyDescent="0.25">
      <c r="A4582">
        <v>0</v>
      </c>
    </row>
    <row r="4583" spans="1:1" x14ac:dyDescent="0.25">
      <c r="A4583" s="9">
        <v>2139182.0800000001</v>
      </c>
    </row>
    <row r="4584" spans="1:1" x14ac:dyDescent="0.25">
      <c r="A4584" s="9">
        <v>241984.05</v>
      </c>
    </row>
    <row r="4585" spans="1:1" x14ac:dyDescent="0.25">
      <c r="A4585">
        <v>0</v>
      </c>
    </row>
    <row r="4586" spans="1:1" x14ac:dyDescent="0.25">
      <c r="A4586" s="9">
        <v>89675.3</v>
      </c>
    </row>
    <row r="4587" spans="1:1" x14ac:dyDescent="0.25">
      <c r="A4587" s="9">
        <v>9249426.9199999999</v>
      </c>
    </row>
    <row r="4588" spans="1:1" x14ac:dyDescent="0.25">
      <c r="A4588" s="9">
        <v>561236.49</v>
      </c>
    </row>
    <row r="4589" spans="1:1" x14ac:dyDescent="0.25">
      <c r="A4589" s="9">
        <v>233466.78</v>
      </c>
    </row>
    <row r="4590" spans="1:1" x14ac:dyDescent="0.25">
      <c r="A4590" s="9">
        <v>6374368.5199999996</v>
      </c>
    </row>
    <row r="4591" spans="1:1" x14ac:dyDescent="0.25">
      <c r="A4591">
        <v>0</v>
      </c>
    </row>
    <row r="4592" spans="1:1" x14ac:dyDescent="0.25">
      <c r="A4592" s="9">
        <v>111413.66</v>
      </c>
    </row>
    <row r="4593" spans="1:1" x14ac:dyDescent="0.25">
      <c r="A4593" s="9">
        <v>11659079.82</v>
      </c>
    </row>
    <row r="4594" spans="1:1" x14ac:dyDescent="0.25">
      <c r="A4594" s="9">
        <v>12039992.85</v>
      </c>
    </row>
    <row r="4595" spans="1:1" x14ac:dyDescent="0.25">
      <c r="A4595" s="9">
        <v>10635133.800000001</v>
      </c>
    </row>
    <row r="4596" spans="1:1" x14ac:dyDescent="0.25">
      <c r="A4596" s="9">
        <v>14065826.59</v>
      </c>
    </row>
    <row r="4597" spans="1:1" x14ac:dyDescent="0.25">
      <c r="A4597" s="9">
        <v>317550.57</v>
      </c>
    </row>
    <row r="4598" spans="1:1" x14ac:dyDescent="0.25">
      <c r="A4598" s="9">
        <v>4256114.13</v>
      </c>
    </row>
    <row r="4599" spans="1:1" x14ac:dyDescent="0.25">
      <c r="A4599">
        <v>0</v>
      </c>
    </row>
    <row r="4600" spans="1:1" x14ac:dyDescent="0.25">
      <c r="A4600" s="9">
        <v>3430096.12</v>
      </c>
    </row>
    <row r="4601" spans="1:1" x14ac:dyDescent="0.25">
      <c r="A4601" s="9">
        <v>6831602.0800000001</v>
      </c>
    </row>
    <row r="4602" spans="1:1" x14ac:dyDescent="0.25">
      <c r="A4602" s="9">
        <v>50189130.049999997</v>
      </c>
    </row>
    <row r="4603" spans="1:1" x14ac:dyDescent="0.25">
      <c r="A4603">
        <v>0</v>
      </c>
    </row>
    <row r="4604" spans="1:1" x14ac:dyDescent="0.25">
      <c r="A4604" s="9">
        <v>620773.89</v>
      </c>
    </row>
    <row r="4605" spans="1:1" x14ac:dyDescent="0.25">
      <c r="A4605" s="9">
        <v>1123980.75</v>
      </c>
    </row>
    <row r="4606" spans="1:1" x14ac:dyDescent="0.25">
      <c r="A4606" s="9">
        <v>9781929.5500000007</v>
      </c>
    </row>
    <row r="4607" spans="1:1" x14ac:dyDescent="0.25">
      <c r="A4607" s="9">
        <v>36609.14</v>
      </c>
    </row>
    <row r="4608" spans="1:1" x14ac:dyDescent="0.25">
      <c r="A4608" s="9">
        <v>7122480.1399999997</v>
      </c>
    </row>
    <row r="4609" spans="1:1" x14ac:dyDescent="0.25">
      <c r="A4609" s="9">
        <v>69989.64</v>
      </c>
    </row>
    <row r="4610" spans="1:1" x14ac:dyDescent="0.25">
      <c r="A4610" s="9">
        <v>10163092.02</v>
      </c>
    </row>
    <row r="4611" spans="1:1" x14ac:dyDescent="0.25">
      <c r="A4611" s="9">
        <v>5312193.99</v>
      </c>
    </row>
    <row r="4612" spans="1:1" x14ac:dyDescent="0.25">
      <c r="A4612" s="9">
        <v>1713677.81</v>
      </c>
    </row>
    <row r="4613" spans="1:1" x14ac:dyDescent="0.25">
      <c r="A4613" s="9">
        <v>1181627.24</v>
      </c>
    </row>
    <row r="4614" spans="1:1" x14ac:dyDescent="0.25">
      <c r="A4614" s="9">
        <v>118937.28</v>
      </c>
    </row>
    <row r="4615" spans="1:1" x14ac:dyDescent="0.25">
      <c r="A4615" s="9">
        <v>3407574.26</v>
      </c>
    </row>
    <row r="4616" spans="1:1" x14ac:dyDescent="0.25">
      <c r="A4616" s="9">
        <v>234600.36</v>
      </c>
    </row>
    <row r="4617" spans="1:1" x14ac:dyDescent="0.25">
      <c r="A4617" s="9">
        <v>23553152.460000001</v>
      </c>
    </row>
    <row r="4618" spans="1:1" x14ac:dyDescent="0.25">
      <c r="A4618" s="9">
        <v>3219252.16</v>
      </c>
    </row>
    <row r="4619" spans="1:1" x14ac:dyDescent="0.25">
      <c r="A4619" s="9">
        <v>2546960.4500000002</v>
      </c>
    </row>
    <row r="4620" spans="1:1" x14ac:dyDescent="0.25">
      <c r="A4620" s="9">
        <v>65788.36</v>
      </c>
    </row>
    <row r="4621" spans="1:1" x14ac:dyDescent="0.25">
      <c r="A4621" s="9">
        <v>3401474.25</v>
      </c>
    </row>
    <row r="4622" spans="1:1" x14ac:dyDescent="0.25">
      <c r="A4622" s="9">
        <v>5218273.2300000004</v>
      </c>
    </row>
    <row r="4623" spans="1:1" x14ac:dyDescent="0.25">
      <c r="A4623" s="9">
        <v>5835088.2699999996</v>
      </c>
    </row>
    <row r="4624" spans="1:1" x14ac:dyDescent="0.25">
      <c r="A4624" s="9">
        <v>13258160.93</v>
      </c>
    </row>
    <row r="4625" spans="1:1" x14ac:dyDescent="0.25">
      <c r="A4625">
        <v>0</v>
      </c>
    </row>
    <row r="4626" spans="1:1" x14ac:dyDescent="0.25">
      <c r="A4626" s="9">
        <v>1878777.86</v>
      </c>
    </row>
    <row r="4627" spans="1:1" x14ac:dyDescent="0.25">
      <c r="A4627">
        <v>0</v>
      </c>
    </row>
    <row r="4628" spans="1:1" x14ac:dyDescent="0.25">
      <c r="A4628" s="9">
        <v>315372.46000000002</v>
      </c>
    </row>
    <row r="4629" spans="1:1" x14ac:dyDescent="0.25">
      <c r="A4629" s="9">
        <v>4888548.9000000004</v>
      </c>
    </row>
    <row r="4630" spans="1:1" x14ac:dyDescent="0.25">
      <c r="A4630" s="9">
        <v>53720968.489999898</v>
      </c>
    </row>
    <row r="4631" spans="1:1" x14ac:dyDescent="0.25">
      <c r="A4631" s="9">
        <v>12047157.560000001</v>
      </c>
    </row>
    <row r="4632" spans="1:1" x14ac:dyDescent="0.25">
      <c r="A4632" s="9">
        <v>1912222.16</v>
      </c>
    </row>
    <row r="4633" spans="1:1" x14ac:dyDescent="0.25">
      <c r="A4633" s="9">
        <v>42270255.68</v>
      </c>
    </row>
    <row r="4634" spans="1:1" x14ac:dyDescent="0.25">
      <c r="A4634" s="9">
        <v>35714.1</v>
      </c>
    </row>
    <row r="4635" spans="1:1" x14ac:dyDescent="0.25">
      <c r="A4635">
        <v>0</v>
      </c>
    </row>
    <row r="4636" spans="1:1" x14ac:dyDescent="0.25">
      <c r="A4636" s="9">
        <v>1174774.3999999999</v>
      </c>
    </row>
    <row r="4637" spans="1:1" x14ac:dyDescent="0.25">
      <c r="A4637" s="9">
        <v>5089602.47</v>
      </c>
    </row>
    <row r="4638" spans="1:1" x14ac:dyDescent="0.25">
      <c r="A4638">
        <v>0</v>
      </c>
    </row>
    <row r="4639" spans="1:1" x14ac:dyDescent="0.25">
      <c r="A4639" s="9">
        <v>2652429.59</v>
      </c>
    </row>
    <row r="4640" spans="1:1" x14ac:dyDescent="0.25">
      <c r="A4640" s="9">
        <v>185002.34</v>
      </c>
    </row>
    <row r="4641" spans="1:1" x14ac:dyDescent="0.25">
      <c r="A4641" s="9">
        <v>10782729.470000001</v>
      </c>
    </row>
    <row r="4642" spans="1:1" x14ac:dyDescent="0.25">
      <c r="A4642" s="9">
        <v>1319031.24</v>
      </c>
    </row>
    <row r="4643" spans="1:1" x14ac:dyDescent="0.25">
      <c r="A4643" s="9">
        <v>21183387.420000002</v>
      </c>
    </row>
    <row r="4644" spans="1:1" x14ac:dyDescent="0.25">
      <c r="A4644" s="9">
        <v>2583408.58</v>
      </c>
    </row>
    <row r="4645" spans="1:1" x14ac:dyDescent="0.25">
      <c r="A4645" s="9">
        <v>4605607.16</v>
      </c>
    </row>
    <row r="4646" spans="1:1" x14ac:dyDescent="0.25">
      <c r="A4646" s="9">
        <v>4802617.87</v>
      </c>
    </row>
    <row r="4647" spans="1:1" x14ac:dyDescent="0.25">
      <c r="A4647">
        <v>0</v>
      </c>
    </row>
    <row r="4648" spans="1:1" x14ac:dyDescent="0.25">
      <c r="A4648" s="9">
        <v>65832.599999999904</v>
      </c>
    </row>
    <row r="4649" spans="1:1" x14ac:dyDescent="0.25">
      <c r="A4649" s="9">
        <v>343129.54</v>
      </c>
    </row>
    <row r="4650" spans="1:1" x14ac:dyDescent="0.25">
      <c r="A4650" s="9">
        <v>6098660.3499999996</v>
      </c>
    </row>
    <row r="4651" spans="1:1" x14ac:dyDescent="0.25">
      <c r="A4651" s="9">
        <v>1649311.91</v>
      </c>
    </row>
    <row r="4652" spans="1:1" x14ac:dyDescent="0.25">
      <c r="A4652" s="9">
        <v>437904.48</v>
      </c>
    </row>
    <row r="4653" spans="1:1" x14ac:dyDescent="0.25">
      <c r="A4653">
        <v>0</v>
      </c>
    </row>
    <row r="4654" spans="1:1" x14ac:dyDescent="0.25">
      <c r="A4654" s="9">
        <v>262209.03000000003</v>
      </c>
    </row>
    <row r="4655" spans="1:1" x14ac:dyDescent="0.25">
      <c r="A4655" s="9">
        <v>14494191.08</v>
      </c>
    </row>
    <row r="4656" spans="1:1" x14ac:dyDescent="0.25">
      <c r="A4656" s="9">
        <v>3191047.61</v>
      </c>
    </row>
    <row r="4657" spans="1:1" x14ac:dyDescent="0.25">
      <c r="A4657" s="9">
        <v>440209.33</v>
      </c>
    </row>
    <row r="4658" spans="1:1" x14ac:dyDescent="0.25">
      <c r="A4658" s="9">
        <v>11660865.630000001</v>
      </c>
    </row>
    <row r="4659" spans="1:1" x14ac:dyDescent="0.25">
      <c r="A4659" s="9">
        <v>2366710.9500000002</v>
      </c>
    </row>
    <row r="4660" spans="1:1" x14ac:dyDescent="0.25">
      <c r="A4660" s="9">
        <v>48694173.159999996</v>
      </c>
    </row>
    <row r="4661" spans="1:1" x14ac:dyDescent="0.25">
      <c r="A4661" s="9">
        <v>3136807.44</v>
      </c>
    </row>
    <row r="4662" spans="1:1" x14ac:dyDescent="0.25">
      <c r="A4662" s="9">
        <v>332081.67</v>
      </c>
    </row>
    <row r="4663" spans="1:1" x14ac:dyDescent="0.25">
      <c r="A4663">
        <v>0</v>
      </c>
    </row>
    <row r="4664" spans="1:1" x14ac:dyDescent="0.25">
      <c r="A4664" s="9">
        <v>2962402.18</v>
      </c>
    </row>
    <row r="4665" spans="1:1" x14ac:dyDescent="0.25">
      <c r="A4665" s="9">
        <v>1878777.86</v>
      </c>
    </row>
    <row r="4666" spans="1:1" x14ac:dyDescent="0.25">
      <c r="A4666" s="9">
        <v>5463166.5999999996</v>
      </c>
    </row>
    <row r="4667" spans="1:1" x14ac:dyDescent="0.25">
      <c r="A4667" s="9">
        <v>1646109.72</v>
      </c>
    </row>
    <row r="4668" spans="1:1" x14ac:dyDescent="0.25">
      <c r="A4668" s="9">
        <v>1637766.35</v>
      </c>
    </row>
    <row r="4669" spans="1:1" x14ac:dyDescent="0.25">
      <c r="A4669" s="9">
        <v>7241900.4800000004</v>
      </c>
    </row>
    <row r="4670" spans="1:1" x14ac:dyDescent="0.25">
      <c r="A4670" s="9">
        <v>12171969.130000001</v>
      </c>
    </row>
    <row r="4671" spans="1:1" x14ac:dyDescent="0.25">
      <c r="A4671" s="9">
        <v>119320.32000000001</v>
      </c>
    </row>
    <row r="4672" spans="1:1" x14ac:dyDescent="0.25">
      <c r="A4672" s="9">
        <v>490581.21</v>
      </c>
    </row>
    <row r="4673" spans="1:1" x14ac:dyDescent="0.25">
      <c r="A4673" s="9">
        <v>59412.959999999999</v>
      </c>
    </row>
    <row r="4674" spans="1:1" x14ac:dyDescent="0.25">
      <c r="A4674" s="9">
        <v>476272.54</v>
      </c>
    </row>
    <row r="4675" spans="1:1" x14ac:dyDescent="0.25">
      <c r="A4675" s="9">
        <v>39215897.619999997</v>
      </c>
    </row>
    <row r="4676" spans="1:1" x14ac:dyDescent="0.25">
      <c r="A4676" s="9">
        <v>4188865.35</v>
      </c>
    </row>
    <row r="4677" spans="1:1" x14ac:dyDescent="0.25">
      <c r="A4677" s="9">
        <v>40441857.240000002</v>
      </c>
    </row>
    <row r="4678" spans="1:1" x14ac:dyDescent="0.25">
      <c r="A4678" s="9">
        <v>190421.16</v>
      </c>
    </row>
    <row r="4679" spans="1:1" x14ac:dyDescent="0.25">
      <c r="A4679">
        <v>0</v>
      </c>
    </row>
    <row r="4680" spans="1:1" x14ac:dyDescent="0.25">
      <c r="A4680" s="9">
        <v>6349015.9900000002</v>
      </c>
    </row>
    <row r="4681" spans="1:1" x14ac:dyDescent="0.25">
      <c r="A4681" s="9">
        <v>809506.95</v>
      </c>
    </row>
    <row r="4682" spans="1:1" x14ac:dyDescent="0.25">
      <c r="A4682">
        <v>0</v>
      </c>
    </row>
    <row r="4683" spans="1:1" x14ac:dyDescent="0.25">
      <c r="A4683" s="9">
        <v>377537.28000000003</v>
      </c>
    </row>
    <row r="4684" spans="1:1" x14ac:dyDescent="0.25">
      <c r="A4684" s="9">
        <v>6640094.5999999996</v>
      </c>
    </row>
    <row r="4685" spans="1:1" x14ac:dyDescent="0.25">
      <c r="A4685">
        <v>0</v>
      </c>
    </row>
    <row r="4686" spans="1:1" x14ac:dyDescent="0.25">
      <c r="A4686" s="9">
        <v>31165640.84</v>
      </c>
    </row>
    <row r="4687" spans="1:1" x14ac:dyDescent="0.25">
      <c r="A4687" s="9">
        <v>13350501.85</v>
      </c>
    </row>
    <row r="4688" spans="1:1" x14ac:dyDescent="0.25">
      <c r="A4688" s="9">
        <v>47829.8</v>
      </c>
    </row>
    <row r="4689" spans="1:1" x14ac:dyDescent="0.25">
      <c r="A4689" s="9">
        <v>8196342.8499999996</v>
      </c>
    </row>
    <row r="4690" spans="1:1" x14ac:dyDescent="0.25">
      <c r="A4690" s="9">
        <v>3320915.7</v>
      </c>
    </row>
    <row r="4691" spans="1:1" x14ac:dyDescent="0.25">
      <c r="A4691" s="9">
        <v>1531696.83</v>
      </c>
    </row>
    <row r="4692" spans="1:1" x14ac:dyDescent="0.25">
      <c r="A4692" s="9">
        <v>314795.90999999997</v>
      </c>
    </row>
    <row r="4693" spans="1:1" x14ac:dyDescent="0.25">
      <c r="A4693" s="9">
        <v>21873620.739999998</v>
      </c>
    </row>
    <row r="4694" spans="1:1" x14ac:dyDescent="0.25">
      <c r="A4694" s="9">
        <v>65832.599999999904</v>
      </c>
    </row>
    <row r="4695" spans="1:1" x14ac:dyDescent="0.25">
      <c r="A4695" s="9">
        <v>3758766.81</v>
      </c>
    </row>
    <row r="4696" spans="1:1" x14ac:dyDescent="0.25">
      <c r="A4696">
        <v>0</v>
      </c>
    </row>
    <row r="4697" spans="1:1" x14ac:dyDescent="0.25">
      <c r="A4697" s="9">
        <v>1974918.36</v>
      </c>
    </row>
    <row r="4698" spans="1:1" x14ac:dyDescent="0.25">
      <c r="A4698" s="9">
        <v>1007896.12</v>
      </c>
    </row>
    <row r="4699" spans="1:1" x14ac:dyDescent="0.25">
      <c r="A4699" s="9">
        <v>2148509.27</v>
      </c>
    </row>
    <row r="4700" spans="1:1" x14ac:dyDescent="0.25">
      <c r="A4700" s="9">
        <v>3874627.92</v>
      </c>
    </row>
    <row r="4701" spans="1:1" x14ac:dyDescent="0.25">
      <c r="A4701" s="9">
        <v>12497791.9</v>
      </c>
    </row>
    <row r="4702" spans="1:1" x14ac:dyDescent="0.25">
      <c r="A4702" s="9">
        <v>1933173.3</v>
      </c>
    </row>
    <row r="4703" spans="1:1" x14ac:dyDescent="0.25">
      <c r="A4703" s="9">
        <v>9225826.5899999999</v>
      </c>
    </row>
    <row r="4704" spans="1:1" x14ac:dyDescent="0.25">
      <c r="A4704" s="9">
        <v>20502561.489999998</v>
      </c>
    </row>
    <row r="4705" spans="1:1" x14ac:dyDescent="0.25">
      <c r="A4705" s="9">
        <v>6951860.3199999901</v>
      </c>
    </row>
    <row r="4706" spans="1:1" x14ac:dyDescent="0.25">
      <c r="A4706" s="9">
        <v>5117867.3600000003</v>
      </c>
    </row>
    <row r="4707" spans="1:1" x14ac:dyDescent="0.25">
      <c r="A4707" s="9">
        <v>219153.96</v>
      </c>
    </row>
    <row r="4708" spans="1:1" x14ac:dyDescent="0.25">
      <c r="A4708" s="9">
        <v>239970.76</v>
      </c>
    </row>
    <row r="4709" spans="1:1" x14ac:dyDescent="0.25">
      <c r="A4709" s="9">
        <v>12366704.52</v>
      </c>
    </row>
    <row r="4710" spans="1:1" x14ac:dyDescent="0.25">
      <c r="A4710" s="9">
        <v>19407789.289999999</v>
      </c>
    </row>
    <row r="4711" spans="1:1" x14ac:dyDescent="0.25">
      <c r="A4711" s="9">
        <v>7844608.0199999996</v>
      </c>
    </row>
    <row r="4712" spans="1:1" x14ac:dyDescent="0.25">
      <c r="A4712" s="9">
        <v>3178748.51</v>
      </c>
    </row>
    <row r="4713" spans="1:1" x14ac:dyDescent="0.25">
      <c r="A4713" s="9">
        <v>19088492.329999998</v>
      </c>
    </row>
    <row r="4714" spans="1:1" x14ac:dyDescent="0.25">
      <c r="A4714" s="9">
        <v>2108581.42</v>
      </c>
    </row>
    <row r="4715" spans="1:1" x14ac:dyDescent="0.25">
      <c r="A4715" s="9">
        <v>99811.08</v>
      </c>
    </row>
    <row r="4716" spans="1:1" x14ac:dyDescent="0.25">
      <c r="A4716" s="9">
        <v>30182091.940000001</v>
      </c>
    </row>
    <row r="4717" spans="1:1" x14ac:dyDescent="0.25">
      <c r="A4717" s="9">
        <v>8407895.9299999997</v>
      </c>
    </row>
    <row r="4718" spans="1:1" x14ac:dyDescent="0.25">
      <c r="A4718">
        <v>0</v>
      </c>
    </row>
    <row r="4719" spans="1:1" x14ac:dyDescent="0.25">
      <c r="A4719" s="9">
        <v>9866663.5199999996</v>
      </c>
    </row>
    <row r="4720" spans="1:1" x14ac:dyDescent="0.25">
      <c r="A4720" s="9">
        <v>3697308.26</v>
      </c>
    </row>
    <row r="4721" spans="1:1" x14ac:dyDescent="0.25">
      <c r="A4721" s="9">
        <v>35714.1</v>
      </c>
    </row>
    <row r="4722" spans="1:1" x14ac:dyDescent="0.25">
      <c r="A4722" s="9">
        <v>3402886.77</v>
      </c>
    </row>
    <row r="4723" spans="1:1" x14ac:dyDescent="0.25">
      <c r="A4723" s="9">
        <v>5516763.0899999999</v>
      </c>
    </row>
    <row r="4724" spans="1:1" x14ac:dyDescent="0.25">
      <c r="A4724" s="9">
        <v>5448155.96</v>
      </c>
    </row>
    <row r="4725" spans="1:1" x14ac:dyDescent="0.25">
      <c r="A4725">
        <v>0</v>
      </c>
    </row>
    <row r="4726" spans="1:1" x14ac:dyDescent="0.25">
      <c r="A4726" s="9">
        <v>439209.9</v>
      </c>
    </row>
    <row r="4727" spans="1:1" x14ac:dyDescent="0.25">
      <c r="A4727" s="9">
        <v>4722172.1499999901</v>
      </c>
    </row>
    <row r="4728" spans="1:1" x14ac:dyDescent="0.25">
      <c r="A4728">
        <v>0</v>
      </c>
    </row>
    <row r="4729" spans="1:1" x14ac:dyDescent="0.25">
      <c r="A4729" s="9">
        <v>568463.179999999</v>
      </c>
    </row>
    <row r="4730" spans="1:1" x14ac:dyDescent="0.25">
      <c r="A4730" s="9">
        <v>200483.82</v>
      </c>
    </row>
    <row r="4731" spans="1:1" x14ac:dyDescent="0.25">
      <c r="A4731" s="9">
        <v>6745658.7400000002</v>
      </c>
    </row>
    <row r="4732" spans="1:1" x14ac:dyDescent="0.25">
      <c r="A4732" s="9">
        <v>3143255.69</v>
      </c>
    </row>
    <row r="4733" spans="1:1" x14ac:dyDescent="0.25">
      <c r="A4733" s="9">
        <v>4179538.86</v>
      </c>
    </row>
    <row r="4734" spans="1:1" x14ac:dyDescent="0.25">
      <c r="A4734">
        <v>0</v>
      </c>
    </row>
    <row r="4735" spans="1:1" x14ac:dyDescent="0.25">
      <c r="A4735" s="9">
        <v>6214925.3200000003</v>
      </c>
    </row>
    <row r="4736" spans="1:1" x14ac:dyDescent="0.25">
      <c r="A4736" s="9">
        <v>432498.14</v>
      </c>
    </row>
    <row r="4737" spans="1:1" x14ac:dyDescent="0.25">
      <c r="A4737" s="9">
        <v>237613.49</v>
      </c>
    </row>
    <row r="4738" spans="1:1" x14ac:dyDescent="0.25">
      <c r="A4738" s="9">
        <v>6506829.5899999999</v>
      </c>
    </row>
    <row r="4739" spans="1:1" x14ac:dyDescent="0.25">
      <c r="A4739" s="9">
        <v>20992214.469999999</v>
      </c>
    </row>
    <row r="4740" spans="1:1" x14ac:dyDescent="0.25">
      <c r="A4740" s="9">
        <v>976394.17</v>
      </c>
    </row>
    <row r="4741" spans="1:1" x14ac:dyDescent="0.25">
      <c r="A4741" s="9">
        <v>5334558.2699999996</v>
      </c>
    </row>
    <row r="4742" spans="1:1" x14ac:dyDescent="0.25">
      <c r="A4742" s="9">
        <v>10517757.1</v>
      </c>
    </row>
    <row r="4743" spans="1:1" x14ac:dyDescent="0.25">
      <c r="A4743" s="9">
        <v>370889.05</v>
      </c>
    </row>
    <row r="4744" spans="1:1" x14ac:dyDescent="0.25">
      <c r="A4744" s="9">
        <v>2964451.14</v>
      </c>
    </row>
    <row r="4745" spans="1:1" x14ac:dyDescent="0.25">
      <c r="A4745" s="9">
        <v>185002.34</v>
      </c>
    </row>
    <row r="4746" spans="1:1" x14ac:dyDescent="0.25">
      <c r="A4746" s="9">
        <v>22775413.469999999</v>
      </c>
    </row>
    <row r="4747" spans="1:1" x14ac:dyDescent="0.25">
      <c r="A4747" s="9">
        <v>212323.9</v>
      </c>
    </row>
    <row r="4748" spans="1:1" x14ac:dyDescent="0.25">
      <c r="A4748" s="9">
        <v>1353725.28</v>
      </c>
    </row>
    <row r="4749" spans="1:1" x14ac:dyDescent="0.25">
      <c r="A4749" s="9">
        <v>6668479.6900000004</v>
      </c>
    </row>
    <row r="4750" spans="1:1" x14ac:dyDescent="0.25">
      <c r="A4750">
        <v>0</v>
      </c>
    </row>
    <row r="4751" spans="1:1" x14ac:dyDescent="0.25">
      <c r="A4751" s="9">
        <v>8356767.1299999999</v>
      </c>
    </row>
    <row r="4752" spans="1:1" x14ac:dyDescent="0.25">
      <c r="A4752" s="9">
        <v>160115.96</v>
      </c>
    </row>
    <row r="4753" spans="1:1" x14ac:dyDescent="0.25">
      <c r="A4753">
        <v>168812</v>
      </c>
    </row>
    <row r="4754" spans="1:1" x14ac:dyDescent="0.25">
      <c r="A4754" s="9">
        <v>6145440.6399999997</v>
      </c>
    </row>
    <row r="4755" spans="1:1" x14ac:dyDescent="0.25">
      <c r="A4755">
        <v>0</v>
      </c>
    </row>
    <row r="4756" spans="1:1" x14ac:dyDescent="0.25">
      <c r="A4756" s="9">
        <v>308129.84000000003</v>
      </c>
    </row>
    <row r="4757" spans="1:1" x14ac:dyDescent="0.25">
      <c r="A4757">
        <v>0</v>
      </c>
    </row>
    <row r="4758" spans="1:1" x14ac:dyDescent="0.25">
      <c r="A4758">
        <v>0</v>
      </c>
    </row>
    <row r="4759" spans="1:1" x14ac:dyDescent="0.25">
      <c r="A4759" s="9">
        <v>4674791.54</v>
      </c>
    </row>
    <row r="4760" spans="1:1" x14ac:dyDescent="0.25">
      <c r="A4760">
        <v>0</v>
      </c>
    </row>
    <row r="4761" spans="1:1" x14ac:dyDescent="0.25">
      <c r="A4761" s="9">
        <v>288218.7</v>
      </c>
    </row>
    <row r="4762" spans="1:1" x14ac:dyDescent="0.25">
      <c r="A4762" s="9">
        <v>4157606.47</v>
      </c>
    </row>
    <row r="4763" spans="1:1" x14ac:dyDescent="0.25">
      <c r="A4763" s="9">
        <v>2722496.11</v>
      </c>
    </row>
    <row r="4764" spans="1:1" x14ac:dyDescent="0.25">
      <c r="A4764">
        <v>0</v>
      </c>
    </row>
    <row r="4765" spans="1:1" x14ac:dyDescent="0.25">
      <c r="A4765" s="9">
        <v>1291324.01</v>
      </c>
    </row>
    <row r="4766" spans="1:1" x14ac:dyDescent="0.25">
      <c r="A4766">
        <v>0</v>
      </c>
    </row>
    <row r="4767" spans="1:1" x14ac:dyDescent="0.25">
      <c r="A4767">
        <v>0</v>
      </c>
    </row>
    <row r="4768" spans="1:1" x14ac:dyDescent="0.25">
      <c r="A4768" s="9">
        <v>1147922.6000000001</v>
      </c>
    </row>
    <row r="4769" spans="1:1" x14ac:dyDescent="0.25">
      <c r="A4769" s="9">
        <v>13457525.050000001</v>
      </c>
    </row>
    <row r="4770" spans="1:1" x14ac:dyDescent="0.25">
      <c r="A4770" s="9">
        <v>5120567.5599999996</v>
      </c>
    </row>
    <row r="4771" spans="1:1" x14ac:dyDescent="0.25">
      <c r="A4771" s="9">
        <v>4402510.0599999996</v>
      </c>
    </row>
    <row r="4772" spans="1:1" x14ac:dyDescent="0.25">
      <c r="A4772" s="9">
        <v>1086871.04</v>
      </c>
    </row>
    <row r="4773" spans="1:1" x14ac:dyDescent="0.25">
      <c r="A4773" s="9">
        <v>26024509.800000001</v>
      </c>
    </row>
    <row r="4774" spans="1:1" x14ac:dyDescent="0.25">
      <c r="A4774" s="9">
        <v>4738525.29</v>
      </c>
    </row>
    <row r="4775" spans="1:1" x14ac:dyDescent="0.25">
      <c r="A4775" s="9">
        <v>490109.67</v>
      </c>
    </row>
    <row r="4776" spans="1:1" x14ac:dyDescent="0.25">
      <c r="A4776" s="9">
        <v>12367482.35</v>
      </c>
    </row>
    <row r="4777" spans="1:1" x14ac:dyDescent="0.25">
      <c r="A4777" s="9">
        <v>3044733.87</v>
      </c>
    </row>
    <row r="4778" spans="1:1" x14ac:dyDescent="0.25">
      <c r="A4778" s="9">
        <v>7264490.21</v>
      </c>
    </row>
    <row r="4779" spans="1:1" x14ac:dyDescent="0.25">
      <c r="A4779" s="9">
        <v>16080002.83</v>
      </c>
    </row>
    <row r="4780" spans="1:1" x14ac:dyDescent="0.25">
      <c r="A4780">
        <v>0</v>
      </c>
    </row>
    <row r="4781" spans="1:1" x14ac:dyDescent="0.25">
      <c r="A4781" s="9">
        <v>69989.64</v>
      </c>
    </row>
    <row r="4782" spans="1:1" x14ac:dyDescent="0.25">
      <c r="A4782" s="9">
        <v>10146934.07</v>
      </c>
    </row>
    <row r="4783" spans="1:1" x14ac:dyDescent="0.25">
      <c r="A4783" s="9">
        <v>28909887.390000001</v>
      </c>
    </row>
    <row r="4784" spans="1:1" x14ac:dyDescent="0.25">
      <c r="A4784" s="9">
        <v>9922162.4700000007</v>
      </c>
    </row>
    <row r="4785" spans="1:1" x14ac:dyDescent="0.25">
      <c r="A4785">
        <v>0</v>
      </c>
    </row>
    <row r="4786" spans="1:1" x14ac:dyDescent="0.25">
      <c r="A4786">
        <v>0</v>
      </c>
    </row>
    <row r="4787" spans="1:1" x14ac:dyDescent="0.25">
      <c r="A4787" s="9">
        <v>128802.6</v>
      </c>
    </row>
    <row r="4788" spans="1:1" x14ac:dyDescent="0.25">
      <c r="A4788" s="9">
        <v>111413.66</v>
      </c>
    </row>
    <row r="4789" spans="1:1" x14ac:dyDescent="0.25">
      <c r="A4789" s="9">
        <v>7110704.9800000004</v>
      </c>
    </row>
    <row r="4790" spans="1:1" x14ac:dyDescent="0.25">
      <c r="A4790" s="9">
        <v>6083097.4399999902</v>
      </c>
    </row>
    <row r="4791" spans="1:1" x14ac:dyDescent="0.25">
      <c r="A4791" s="9">
        <v>18324965.82</v>
      </c>
    </row>
    <row r="4792" spans="1:1" x14ac:dyDescent="0.25">
      <c r="A4792" s="9">
        <v>20216991.43</v>
      </c>
    </row>
    <row r="4793" spans="1:1" x14ac:dyDescent="0.25">
      <c r="A4793" s="9">
        <v>2636520.2000000002</v>
      </c>
    </row>
    <row r="4794" spans="1:1" x14ac:dyDescent="0.25">
      <c r="A4794" s="9">
        <v>308444.67</v>
      </c>
    </row>
    <row r="4795" spans="1:1" x14ac:dyDescent="0.25">
      <c r="A4795" s="9">
        <v>3247349.04</v>
      </c>
    </row>
    <row r="4796" spans="1:1" x14ac:dyDescent="0.25">
      <c r="A4796" s="9">
        <v>3204076.53</v>
      </c>
    </row>
    <row r="4797" spans="1:1" x14ac:dyDescent="0.25">
      <c r="A4797">
        <v>0</v>
      </c>
    </row>
    <row r="4798" spans="1:1" x14ac:dyDescent="0.25">
      <c r="A4798">
        <v>0</v>
      </c>
    </row>
    <row r="4799" spans="1:1" x14ac:dyDescent="0.25">
      <c r="A4799" s="9">
        <v>1341507.8600000001</v>
      </c>
    </row>
    <row r="4800" spans="1:1" x14ac:dyDescent="0.25">
      <c r="A4800" s="9">
        <v>3479488.93</v>
      </c>
    </row>
    <row r="4801" spans="1:1" x14ac:dyDescent="0.25">
      <c r="A4801" s="9">
        <v>314832.24</v>
      </c>
    </row>
    <row r="4802" spans="1:1" x14ac:dyDescent="0.25">
      <c r="A4802" s="9">
        <v>536127.47</v>
      </c>
    </row>
    <row r="4803" spans="1:1" x14ac:dyDescent="0.25">
      <c r="A4803" s="9">
        <v>473639.03</v>
      </c>
    </row>
    <row r="4804" spans="1:1" x14ac:dyDescent="0.25">
      <c r="A4804" s="9">
        <v>9644081.6199999992</v>
      </c>
    </row>
    <row r="4805" spans="1:1" x14ac:dyDescent="0.25">
      <c r="A4805">
        <v>0</v>
      </c>
    </row>
    <row r="4806" spans="1:1" x14ac:dyDescent="0.25">
      <c r="A4806" s="9">
        <v>280163.73</v>
      </c>
    </row>
    <row r="4807" spans="1:1" x14ac:dyDescent="0.25">
      <c r="A4807" s="9">
        <v>8873326.7200000007</v>
      </c>
    </row>
    <row r="4808" spans="1:1" x14ac:dyDescent="0.25">
      <c r="A4808" s="9">
        <v>26202659.239999998</v>
      </c>
    </row>
    <row r="4809" spans="1:1" x14ac:dyDescent="0.25">
      <c r="A4809" s="9">
        <v>18744622.989999998</v>
      </c>
    </row>
    <row r="4810" spans="1:1" x14ac:dyDescent="0.25">
      <c r="A4810" s="9">
        <v>4580929.24</v>
      </c>
    </row>
    <row r="4811" spans="1:1" x14ac:dyDescent="0.25">
      <c r="A4811" s="9">
        <v>263884.84000000003</v>
      </c>
    </row>
    <row r="4812" spans="1:1" x14ac:dyDescent="0.25">
      <c r="A4812">
        <v>0</v>
      </c>
    </row>
    <row r="4813" spans="1:1" x14ac:dyDescent="0.25">
      <c r="A4813" s="9">
        <v>4897129.4499999899</v>
      </c>
    </row>
    <row r="4814" spans="1:1" x14ac:dyDescent="0.25">
      <c r="A4814" s="9">
        <v>2988340.65</v>
      </c>
    </row>
    <row r="4815" spans="1:1" x14ac:dyDescent="0.25">
      <c r="A4815" s="9">
        <v>6115462.7000000002</v>
      </c>
    </row>
    <row r="4816" spans="1:1" x14ac:dyDescent="0.25">
      <c r="A4816" s="9">
        <v>4144220.53</v>
      </c>
    </row>
    <row r="4817" spans="1:1" x14ac:dyDescent="0.25">
      <c r="A4817" s="9">
        <v>290023.87</v>
      </c>
    </row>
    <row r="4818" spans="1:1" x14ac:dyDescent="0.25">
      <c r="A4818" s="9">
        <v>9957722.4600000009</v>
      </c>
    </row>
    <row r="4819" spans="1:1" x14ac:dyDescent="0.25">
      <c r="A4819">
        <v>0</v>
      </c>
    </row>
    <row r="4820" spans="1:1" x14ac:dyDescent="0.25">
      <c r="A4820" s="9">
        <v>8598117.3399999999</v>
      </c>
    </row>
    <row r="4821" spans="1:1" x14ac:dyDescent="0.25">
      <c r="A4821" s="9">
        <v>8966596.6600000001</v>
      </c>
    </row>
    <row r="4822" spans="1:1" x14ac:dyDescent="0.25">
      <c r="A4822" s="9">
        <v>14749890.74</v>
      </c>
    </row>
    <row r="4823" spans="1:1" x14ac:dyDescent="0.25">
      <c r="A4823" s="9">
        <v>18857475.75</v>
      </c>
    </row>
    <row r="4824" spans="1:1" x14ac:dyDescent="0.25">
      <c r="A4824">
        <v>0</v>
      </c>
    </row>
    <row r="4825" spans="1:1" x14ac:dyDescent="0.25">
      <c r="A4825" s="9">
        <v>6100360.2699999996</v>
      </c>
    </row>
    <row r="4826" spans="1:1" x14ac:dyDescent="0.25">
      <c r="A4826" s="9">
        <v>1471920.37</v>
      </c>
    </row>
    <row r="4827" spans="1:1" x14ac:dyDescent="0.25">
      <c r="A4827" s="9">
        <v>26244937.989999902</v>
      </c>
    </row>
    <row r="4828" spans="1:1" x14ac:dyDescent="0.25">
      <c r="A4828" s="9">
        <v>482816.61</v>
      </c>
    </row>
    <row r="4829" spans="1:1" x14ac:dyDescent="0.25">
      <c r="A4829" s="9">
        <v>9827032.0399999898</v>
      </c>
    </row>
    <row r="4830" spans="1:1" x14ac:dyDescent="0.25">
      <c r="A4830" s="9">
        <v>5872242.9000000004</v>
      </c>
    </row>
    <row r="4831" spans="1:1" x14ac:dyDescent="0.25">
      <c r="A4831" s="9">
        <v>2087884.79</v>
      </c>
    </row>
    <row r="4832" spans="1:1" x14ac:dyDescent="0.25">
      <c r="A4832">
        <v>0</v>
      </c>
    </row>
    <row r="4833" spans="1:1" x14ac:dyDescent="0.25">
      <c r="A4833" s="9">
        <v>4795450.8599999901</v>
      </c>
    </row>
    <row r="4834" spans="1:1" x14ac:dyDescent="0.25">
      <c r="A4834" s="9">
        <v>256707.1</v>
      </c>
    </row>
    <row r="4835" spans="1:1" x14ac:dyDescent="0.25">
      <c r="A4835" s="9">
        <v>1475524.41</v>
      </c>
    </row>
    <row r="4836" spans="1:1" x14ac:dyDescent="0.25">
      <c r="A4836" s="9">
        <v>14315730.869999999</v>
      </c>
    </row>
    <row r="4837" spans="1:1" x14ac:dyDescent="0.25">
      <c r="A4837" s="9">
        <v>63852.12</v>
      </c>
    </row>
    <row r="4838" spans="1:1" x14ac:dyDescent="0.25">
      <c r="A4838" s="9">
        <v>8218419.7599999998</v>
      </c>
    </row>
    <row r="4839" spans="1:1" x14ac:dyDescent="0.25">
      <c r="A4839">
        <v>0</v>
      </c>
    </row>
    <row r="4840" spans="1:1" x14ac:dyDescent="0.25">
      <c r="A4840" s="9">
        <v>7545315.7899999898</v>
      </c>
    </row>
    <row r="4841" spans="1:1" x14ac:dyDescent="0.25">
      <c r="A4841">
        <v>0</v>
      </c>
    </row>
    <row r="4842" spans="1:1" x14ac:dyDescent="0.25">
      <c r="A4842" s="9">
        <v>4436728.55</v>
      </c>
    </row>
    <row r="4843" spans="1:1" x14ac:dyDescent="0.25">
      <c r="A4843" s="9">
        <v>12619075.859999999</v>
      </c>
    </row>
    <row r="4844" spans="1:1" x14ac:dyDescent="0.25">
      <c r="A4844" s="9">
        <v>4351159.0199999996</v>
      </c>
    </row>
    <row r="4845" spans="1:1" x14ac:dyDescent="0.25">
      <c r="A4845" s="9">
        <v>318957.38</v>
      </c>
    </row>
    <row r="4846" spans="1:1" x14ac:dyDescent="0.25">
      <c r="A4846">
        <v>0</v>
      </c>
    </row>
    <row r="4847" spans="1:1" x14ac:dyDescent="0.25">
      <c r="A4847">
        <v>0</v>
      </c>
    </row>
    <row r="4848" spans="1:1" x14ac:dyDescent="0.25">
      <c r="A4848" s="9">
        <v>2341335.2200000002</v>
      </c>
    </row>
    <row r="4849" spans="1:1" x14ac:dyDescent="0.25">
      <c r="A4849" s="9">
        <v>5356062.7300000004</v>
      </c>
    </row>
    <row r="4850" spans="1:1" x14ac:dyDescent="0.25">
      <c r="A4850" s="9">
        <v>62870665.329999998</v>
      </c>
    </row>
    <row r="4851" spans="1:1" x14ac:dyDescent="0.25">
      <c r="A4851">
        <v>0</v>
      </c>
    </row>
    <row r="4852" spans="1:1" x14ac:dyDescent="0.25">
      <c r="A4852" s="9">
        <v>6356923.7199999997</v>
      </c>
    </row>
    <row r="4853" spans="1:1" x14ac:dyDescent="0.25">
      <c r="A4853" s="9">
        <v>292010.02</v>
      </c>
    </row>
    <row r="4854" spans="1:1" x14ac:dyDescent="0.25">
      <c r="A4854" s="9">
        <v>15203484.109999999</v>
      </c>
    </row>
    <row r="4855" spans="1:1" x14ac:dyDescent="0.25">
      <c r="A4855" s="9">
        <v>7498616.9499999899</v>
      </c>
    </row>
    <row r="4856" spans="1:1" x14ac:dyDescent="0.25">
      <c r="A4856" s="9">
        <v>10095791.539999999</v>
      </c>
    </row>
    <row r="4857" spans="1:1" x14ac:dyDescent="0.25">
      <c r="A4857">
        <v>0</v>
      </c>
    </row>
    <row r="4858" spans="1:1" x14ac:dyDescent="0.25">
      <c r="A4858" s="9">
        <v>10011690.99</v>
      </c>
    </row>
    <row r="4859" spans="1:1" x14ac:dyDescent="0.25">
      <c r="A4859" s="9">
        <v>3846573.93</v>
      </c>
    </row>
    <row r="4860" spans="1:1" x14ac:dyDescent="0.25">
      <c r="A4860" s="9">
        <v>3959008.04</v>
      </c>
    </row>
    <row r="4861" spans="1:1" x14ac:dyDescent="0.25">
      <c r="A4861" s="9">
        <v>8596295.7200000007</v>
      </c>
    </row>
    <row r="4862" spans="1:1" x14ac:dyDescent="0.25">
      <c r="A4862" s="9">
        <v>82988.849999999904</v>
      </c>
    </row>
    <row r="4863" spans="1:1" x14ac:dyDescent="0.25">
      <c r="A4863" s="9">
        <v>168273.6</v>
      </c>
    </row>
    <row r="4864" spans="1:1" x14ac:dyDescent="0.25">
      <c r="A4864" s="9">
        <v>4274646.43</v>
      </c>
    </row>
    <row r="4865" spans="1:1" x14ac:dyDescent="0.25">
      <c r="A4865" s="9">
        <v>4176201.4</v>
      </c>
    </row>
    <row r="4866" spans="1:1" x14ac:dyDescent="0.25">
      <c r="A4866" s="9">
        <v>1859578.63</v>
      </c>
    </row>
    <row r="4867" spans="1:1" x14ac:dyDescent="0.25">
      <c r="A4867" s="9">
        <v>494474.31</v>
      </c>
    </row>
    <row r="4868" spans="1:1" x14ac:dyDescent="0.25">
      <c r="A4868">
        <v>0</v>
      </c>
    </row>
    <row r="4869" spans="1:1" x14ac:dyDescent="0.25">
      <c r="A4869">
        <v>0</v>
      </c>
    </row>
    <row r="4870" spans="1:1" x14ac:dyDescent="0.25">
      <c r="A4870" s="9">
        <v>2023775.09</v>
      </c>
    </row>
    <row r="4871" spans="1:1" x14ac:dyDescent="0.25">
      <c r="A4871">
        <v>628050</v>
      </c>
    </row>
    <row r="4872" spans="1:1" x14ac:dyDescent="0.25">
      <c r="A4872" s="9">
        <v>4659560.6899999902</v>
      </c>
    </row>
    <row r="4873" spans="1:1" x14ac:dyDescent="0.25">
      <c r="A4873" s="9">
        <v>4662732.54</v>
      </c>
    </row>
    <row r="4874" spans="1:1" x14ac:dyDescent="0.25">
      <c r="A4874" s="9">
        <v>11705791.550000001</v>
      </c>
    </row>
    <row r="4875" spans="1:1" x14ac:dyDescent="0.25">
      <c r="A4875" s="9">
        <v>1720116.87</v>
      </c>
    </row>
    <row r="4876" spans="1:1" x14ac:dyDescent="0.25">
      <c r="A4876">
        <v>0</v>
      </c>
    </row>
    <row r="4877" spans="1:1" x14ac:dyDescent="0.25">
      <c r="A4877" s="9">
        <v>2964451.14</v>
      </c>
    </row>
    <row r="4878" spans="1:1" x14ac:dyDescent="0.25">
      <c r="A4878">
        <v>0</v>
      </c>
    </row>
    <row r="4879" spans="1:1" x14ac:dyDescent="0.25">
      <c r="A4879">
        <v>0</v>
      </c>
    </row>
    <row r="4880" spans="1:1" x14ac:dyDescent="0.25">
      <c r="A4880" s="9">
        <v>7704425.4699999997</v>
      </c>
    </row>
    <row r="4881" spans="1:1" x14ac:dyDescent="0.25">
      <c r="A4881" s="9">
        <v>2963918.3</v>
      </c>
    </row>
    <row r="4882" spans="1:1" x14ac:dyDescent="0.25">
      <c r="A4882" s="9">
        <v>307774.15000000002</v>
      </c>
    </row>
    <row r="4883" spans="1:1" x14ac:dyDescent="0.25">
      <c r="A4883" s="9">
        <v>2351320.7400000002</v>
      </c>
    </row>
    <row r="4884" spans="1:1" x14ac:dyDescent="0.25">
      <c r="A4884" s="9">
        <v>203820.96</v>
      </c>
    </row>
    <row r="4885" spans="1:1" x14ac:dyDescent="0.25">
      <c r="A4885" s="9">
        <v>2625370.5</v>
      </c>
    </row>
    <row r="4886" spans="1:1" x14ac:dyDescent="0.25">
      <c r="A4886" s="9">
        <v>2460928.54</v>
      </c>
    </row>
    <row r="4887" spans="1:1" x14ac:dyDescent="0.25">
      <c r="A4887" s="9">
        <v>280163.73</v>
      </c>
    </row>
    <row r="4888" spans="1:1" x14ac:dyDescent="0.25">
      <c r="A4888" s="9">
        <v>370163.61</v>
      </c>
    </row>
    <row r="4889" spans="1:1" x14ac:dyDescent="0.25">
      <c r="A4889">
        <v>0</v>
      </c>
    </row>
    <row r="4890" spans="1:1" x14ac:dyDescent="0.25">
      <c r="A4890" s="9">
        <v>457728.06</v>
      </c>
    </row>
    <row r="4891" spans="1:1" x14ac:dyDescent="0.25">
      <c r="A4891" s="9">
        <v>7008588.3200000003</v>
      </c>
    </row>
    <row r="4892" spans="1:1" x14ac:dyDescent="0.25">
      <c r="A4892" s="9">
        <v>26226114.289999999</v>
      </c>
    </row>
    <row r="4893" spans="1:1" x14ac:dyDescent="0.25">
      <c r="A4893" s="9">
        <v>4874685.87</v>
      </c>
    </row>
    <row r="4894" spans="1:1" x14ac:dyDescent="0.25">
      <c r="A4894" s="9">
        <v>7201779.2300000004</v>
      </c>
    </row>
    <row r="4895" spans="1:1" x14ac:dyDescent="0.25">
      <c r="A4895" s="9">
        <v>9349343.4600000009</v>
      </c>
    </row>
    <row r="4896" spans="1:1" x14ac:dyDescent="0.25">
      <c r="A4896" s="9">
        <v>7609277.9400000004</v>
      </c>
    </row>
    <row r="4897" spans="1:1" x14ac:dyDescent="0.25">
      <c r="A4897" s="9">
        <v>40808099.299999997</v>
      </c>
    </row>
    <row r="4898" spans="1:1" x14ac:dyDescent="0.25">
      <c r="A4898" s="9">
        <v>3174456.54</v>
      </c>
    </row>
    <row r="4899" spans="1:1" x14ac:dyDescent="0.25">
      <c r="A4899">
        <v>0</v>
      </c>
    </row>
    <row r="4900" spans="1:1" x14ac:dyDescent="0.25">
      <c r="A4900" s="9">
        <v>17926597.870000001</v>
      </c>
    </row>
    <row r="4901" spans="1:1" x14ac:dyDescent="0.25">
      <c r="A4901">
        <v>0</v>
      </c>
    </row>
    <row r="4902" spans="1:1" x14ac:dyDescent="0.25">
      <c r="A4902">
        <v>0</v>
      </c>
    </row>
    <row r="4903" spans="1:1" x14ac:dyDescent="0.25">
      <c r="A4903" s="9">
        <v>1335103.07</v>
      </c>
    </row>
    <row r="4904" spans="1:1" x14ac:dyDescent="0.25">
      <c r="A4904" s="9">
        <v>419129.82</v>
      </c>
    </row>
    <row r="4905" spans="1:1" x14ac:dyDescent="0.25">
      <c r="A4905">
        <v>0</v>
      </c>
    </row>
    <row r="4906" spans="1:1" x14ac:dyDescent="0.25">
      <c r="A4906" s="9">
        <v>290525.58</v>
      </c>
    </row>
    <row r="4907" spans="1:1" x14ac:dyDescent="0.25">
      <c r="A4907" s="9">
        <v>12243501.539999999</v>
      </c>
    </row>
    <row r="4908" spans="1:1" x14ac:dyDescent="0.25">
      <c r="A4908">
        <v>0</v>
      </c>
    </row>
    <row r="4909" spans="1:1" x14ac:dyDescent="0.25">
      <c r="A4909" s="9">
        <v>7970365.4199999999</v>
      </c>
    </row>
    <row r="4910" spans="1:1" x14ac:dyDescent="0.25">
      <c r="A4910" s="9">
        <v>7444838.7199999997</v>
      </c>
    </row>
    <row r="4911" spans="1:1" x14ac:dyDescent="0.25">
      <c r="A4911" s="9">
        <v>6132680.8499999996</v>
      </c>
    </row>
    <row r="4912" spans="1:1" x14ac:dyDescent="0.25">
      <c r="A4912" s="9">
        <v>3866275.07</v>
      </c>
    </row>
    <row r="4913" spans="1:1" x14ac:dyDescent="0.25">
      <c r="A4913" s="9">
        <v>3150357.4399999902</v>
      </c>
    </row>
    <row r="4914" spans="1:1" x14ac:dyDescent="0.25">
      <c r="A4914">
        <v>0</v>
      </c>
    </row>
    <row r="4915" spans="1:1" x14ac:dyDescent="0.25">
      <c r="A4915" s="9">
        <v>4034001.77</v>
      </c>
    </row>
    <row r="4916" spans="1:1" x14ac:dyDescent="0.25">
      <c r="A4916" s="9">
        <v>1431481.5</v>
      </c>
    </row>
    <row r="4917" spans="1:1" x14ac:dyDescent="0.25">
      <c r="A4917" s="9">
        <v>6869391.2999999998</v>
      </c>
    </row>
    <row r="4918" spans="1:1" x14ac:dyDescent="0.25">
      <c r="A4918" s="9">
        <v>7833720.2199999904</v>
      </c>
    </row>
    <row r="4919" spans="1:1" x14ac:dyDescent="0.25">
      <c r="A4919" s="9">
        <v>2509922.88</v>
      </c>
    </row>
    <row r="4920" spans="1:1" x14ac:dyDescent="0.25">
      <c r="A4920" s="9">
        <v>65788.36</v>
      </c>
    </row>
    <row r="4921" spans="1:1" x14ac:dyDescent="0.25">
      <c r="A4921" s="9">
        <v>7280801.3399999999</v>
      </c>
    </row>
    <row r="4922" spans="1:1" x14ac:dyDescent="0.25">
      <c r="A4922" s="9">
        <v>55802.559999999998</v>
      </c>
    </row>
    <row r="4923" spans="1:1" x14ac:dyDescent="0.25">
      <c r="A4923">
        <v>0</v>
      </c>
    </row>
    <row r="4924" spans="1:1" x14ac:dyDescent="0.25">
      <c r="A4924" s="9">
        <v>1025528.53</v>
      </c>
    </row>
    <row r="4925" spans="1:1" x14ac:dyDescent="0.25">
      <c r="A4925" s="9">
        <v>9703316.1099999901</v>
      </c>
    </row>
    <row r="4926" spans="1:1" x14ac:dyDescent="0.25">
      <c r="A4926">
        <v>0</v>
      </c>
    </row>
    <row r="4927" spans="1:1" x14ac:dyDescent="0.25">
      <c r="A4927" s="9">
        <v>10464227.130000001</v>
      </c>
    </row>
    <row r="4928" spans="1:1" x14ac:dyDescent="0.25">
      <c r="A4928">
        <v>0</v>
      </c>
    </row>
    <row r="4929" spans="1:1" x14ac:dyDescent="0.25">
      <c r="A4929" s="9">
        <v>206723.34</v>
      </c>
    </row>
    <row r="4930" spans="1:1" x14ac:dyDescent="0.25">
      <c r="A4930" s="9">
        <v>65788.36</v>
      </c>
    </row>
    <row r="4931" spans="1:1" x14ac:dyDescent="0.25">
      <c r="A4931" s="9">
        <v>674327.89</v>
      </c>
    </row>
    <row r="4932" spans="1:1" x14ac:dyDescent="0.25">
      <c r="A4932" s="9">
        <v>9424216.3900000006</v>
      </c>
    </row>
    <row r="4933" spans="1:1" x14ac:dyDescent="0.25">
      <c r="A4933" s="9">
        <v>7144322.0499999896</v>
      </c>
    </row>
    <row r="4934" spans="1:1" x14ac:dyDescent="0.25">
      <c r="A4934" s="9">
        <v>9623882.1999999993</v>
      </c>
    </row>
    <row r="4935" spans="1:1" x14ac:dyDescent="0.25">
      <c r="A4935" s="9">
        <v>65832.599999999904</v>
      </c>
    </row>
    <row r="4936" spans="1:1" x14ac:dyDescent="0.25">
      <c r="A4936" s="9">
        <v>302444.42</v>
      </c>
    </row>
    <row r="4937" spans="1:1" x14ac:dyDescent="0.25">
      <c r="A4937" s="9">
        <v>1351521.46</v>
      </c>
    </row>
    <row r="4938" spans="1:1" x14ac:dyDescent="0.25">
      <c r="A4938" s="9">
        <v>9133748.2400000002</v>
      </c>
    </row>
    <row r="4939" spans="1:1" x14ac:dyDescent="0.25">
      <c r="A4939" s="9">
        <v>457030.7</v>
      </c>
    </row>
    <row r="4940" spans="1:1" x14ac:dyDescent="0.25">
      <c r="A4940" s="9">
        <v>137493.4</v>
      </c>
    </row>
    <row r="4941" spans="1:1" x14ac:dyDescent="0.25">
      <c r="A4941" s="9">
        <v>22081276.419999901</v>
      </c>
    </row>
    <row r="4942" spans="1:1" x14ac:dyDescent="0.25">
      <c r="A4942" s="9">
        <v>313821.26</v>
      </c>
    </row>
    <row r="4943" spans="1:1" x14ac:dyDescent="0.25">
      <c r="A4943" s="9">
        <v>7567012.7999999998</v>
      </c>
    </row>
    <row r="4944" spans="1:1" x14ac:dyDescent="0.25">
      <c r="A4944">
        <v>0</v>
      </c>
    </row>
    <row r="4945" spans="1:1" x14ac:dyDescent="0.25">
      <c r="A4945" s="9">
        <v>8637585.5700000003</v>
      </c>
    </row>
    <row r="4946" spans="1:1" x14ac:dyDescent="0.25">
      <c r="A4946" s="9">
        <v>3329965.76</v>
      </c>
    </row>
    <row r="4947" spans="1:1" x14ac:dyDescent="0.25">
      <c r="A4947" s="9">
        <v>4031200.16</v>
      </c>
    </row>
    <row r="4948" spans="1:1" x14ac:dyDescent="0.25">
      <c r="A4948" s="9">
        <v>658789.62</v>
      </c>
    </row>
    <row r="4949" spans="1:1" x14ac:dyDescent="0.25">
      <c r="A4949" s="9">
        <v>1649621.41</v>
      </c>
    </row>
    <row r="4950" spans="1:1" x14ac:dyDescent="0.25">
      <c r="A4950" s="9">
        <v>327401.03000000003</v>
      </c>
    </row>
    <row r="4951" spans="1:1" x14ac:dyDescent="0.25">
      <c r="A4951" s="9">
        <v>3144741.12</v>
      </c>
    </row>
    <row r="4952" spans="1:1" x14ac:dyDescent="0.25">
      <c r="A4952" s="9">
        <v>124401.86</v>
      </c>
    </row>
    <row r="4953" spans="1:1" x14ac:dyDescent="0.25">
      <c r="A4953" s="9">
        <v>8892627.1799999997</v>
      </c>
    </row>
    <row r="4954" spans="1:1" x14ac:dyDescent="0.25">
      <c r="A4954" s="9">
        <v>7181583.9900000002</v>
      </c>
    </row>
    <row r="4955" spans="1:1" x14ac:dyDescent="0.25">
      <c r="A4955">
        <v>0</v>
      </c>
    </row>
    <row r="4956" spans="1:1" x14ac:dyDescent="0.25">
      <c r="A4956">
        <v>0</v>
      </c>
    </row>
    <row r="4957" spans="1:1" x14ac:dyDescent="0.25">
      <c r="A4957" s="9">
        <v>3301486.98</v>
      </c>
    </row>
    <row r="4958" spans="1:1" x14ac:dyDescent="0.25">
      <c r="A4958" s="9">
        <v>16439409.57</v>
      </c>
    </row>
    <row r="4959" spans="1:1" x14ac:dyDescent="0.25">
      <c r="A4959">
        <v>0</v>
      </c>
    </row>
    <row r="4960" spans="1:1" x14ac:dyDescent="0.25">
      <c r="A4960" s="9">
        <v>206742.55</v>
      </c>
    </row>
    <row r="4961" spans="1:1" x14ac:dyDescent="0.25">
      <c r="A4961" s="9">
        <v>3402024.43</v>
      </c>
    </row>
    <row r="4962" spans="1:1" x14ac:dyDescent="0.25">
      <c r="A4962" s="9">
        <v>3516392.07</v>
      </c>
    </row>
    <row r="4963" spans="1:1" x14ac:dyDescent="0.25">
      <c r="A4963" s="9">
        <v>837661.93999999901</v>
      </c>
    </row>
    <row r="4964" spans="1:1" x14ac:dyDescent="0.25">
      <c r="A4964" s="9">
        <v>9345323.4800000004</v>
      </c>
    </row>
    <row r="4965" spans="1:1" x14ac:dyDescent="0.25">
      <c r="A4965">
        <v>0</v>
      </c>
    </row>
    <row r="4966" spans="1:1" x14ac:dyDescent="0.25">
      <c r="A4966" s="9">
        <v>2319762.17</v>
      </c>
    </row>
    <row r="4967" spans="1:1" x14ac:dyDescent="0.25">
      <c r="A4967" s="9">
        <v>11588446.25</v>
      </c>
    </row>
    <row r="4968" spans="1:1" x14ac:dyDescent="0.25">
      <c r="A4968" s="9">
        <v>3089734.44</v>
      </c>
    </row>
    <row r="4969" spans="1:1" x14ac:dyDescent="0.25">
      <c r="A4969">
        <v>0</v>
      </c>
    </row>
    <row r="4970" spans="1:1" x14ac:dyDescent="0.25">
      <c r="A4970" s="9">
        <v>4446830.68</v>
      </c>
    </row>
    <row r="4971" spans="1:1" x14ac:dyDescent="0.25">
      <c r="A4971" s="9">
        <v>5825344.8600000003</v>
      </c>
    </row>
    <row r="4972" spans="1:1" x14ac:dyDescent="0.25">
      <c r="A4972" s="9">
        <v>27554495.91</v>
      </c>
    </row>
    <row r="4973" spans="1:1" x14ac:dyDescent="0.25">
      <c r="A4973">
        <v>0</v>
      </c>
    </row>
    <row r="4974" spans="1:1" x14ac:dyDescent="0.25">
      <c r="A4974" s="9">
        <v>425938.92</v>
      </c>
    </row>
    <row r="4975" spans="1:1" x14ac:dyDescent="0.25">
      <c r="A4975">
        <v>0</v>
      </c>
    </row>
    <row r="4976" spans="1:1" x14ac:dyDescent="0.25">
      <c r="A4976" s="9">
        <v>22600965.77</v>
      </c>
    </row>
    <row r="4977" spans="1:1" x14ac:dyDescent="0.25">
      <c r="A4977" s="9">
        <v>65788.36</v>
      </c>
    </row>
    <row r="4978" spans="1:1" x14ac:dyDescent="0.25">
      <c r="A4978">
        <v>0</v>
      </c>
    </row>
    <row r="4979" spans="1:1" x14ac:dyDescent="0.25">
      <c r="A4979">
        <v>0</v>
      </c>
    </row>
    <row r="4980" spans="1:1" x14ac:dyDescent="0.25">
      <c r="A4980" s="9">
        <v>5632976.4399999902</v>
      </c>
    </row>
    <row r="4981" spans="1:1" x14ac:dyDescent="0.25">
      <c r="A4981" s="9">
        <v>2354271.94</v>
      </c>
    </row>
    <row r="4982" spans="1:1" x14ac:dyDescent="0.25">
      <c r="A4982" s="9">
        <v>17173790.530000001</v>
      </c>
    </row>
    <row r="4983" spans="1:1" x14ac:dyDescent="0.25">
      <c r="A4983">
        <v>0</v>
      </c>
    </row>
    <row r="4984" spans="1:1" x14ac:dyDescent="0.25">
      <c r="A4984" s="9">
        <v>9828960.0099999998</v>
      </c>
    </row>
    <row r="4985" spans="1:1" x14ac:dyDescent="0.25">
      <c r="A4985">
        <v>0</v>
      </c>
    </row>
    <row r="4986" spans="1:1" x14ac:dyDescent="0.25">
      <c r="A4986">
        <v>0</v>
      </c>
    </row>
    <row r="4987" spans="1:1" x14ac:dyDescent="0.25">
      <c r="A4987">
        <v>0</v>
      </c>
    </row>
    <row r="4988" spans="1:1" x14ac:dyDescent="0.25">
      <c r="A4988">
        <v>0</v>
      </c>
    </row>
    <row r="4989" spans="1:1" x14ac:dyDescent="0.25">
      <c r="A4989" s="9">
        <v>35714.1</v>
      </c>
    </row>
    <row r="4990" spans="1:1" x14ac:dyDescent="0.25">
      <c r="A4990" s="9">
        <v>4912125.1399999997</v>
      </c>
    </row>
    <row r="4991" spans="1:1" x14ac:dyDescent="0.25">
      <c r="A4991" s="9">
        <v>139661.32</v>
      </c>
    </row>
    <row r="4992" spans="1:1" x14ac:dyDescent="0.25">
      <c r="A4992" s="9">
        <v>3083388.42</v>
      </c>
    </row>
    <row r="4993" spans="1:1" x14ac:dyDescent="0.25">
      <c r="A4993">
        <v>0</v>
      </c>
    </row>
    <row r="4994" spans="1:1" x14ac:dyDescent="0.25">
      <c r="A4994" s="9">
        <v>44364726.729999997</v>
      </c>
    </row>
    <row r="4995" spans="1:1" x14ac:dyDescent="0.25">
      <c r="A4995" s="9">
        <v>10988237.890000001</v>
      </c>
    </row>
    <row r="4996" spans="1:1" x14ac:dyDescent="0.25">
      <c r="A4996" s="9">
        <v>1649994.58</v>
      </c>
    </row>
    <row r="4997" spans="1:1" x14ac:dyDescent="0.25">
      <c r="A4997" s="9">
        <v>5092220.4000000004</v>
      </c>
    </row>
    <row r="4998" spans="1:1" x14ac:dyDescent="0.25">
      <c r="A4998" s="9">
        <v>28102711.52</v>
      </c>
    </row>
    <row r="4999" spans="1:1" x14ac:dyDescent="0.25">
      <c r="A4999" s="9">
        <v>3488657.2</v>
      </c>
    </row>
    <row r="5000" spans="1:1" x14ac:dyDescent="0.25">
      <c r="A5000" s="9">
        <v>19904902.149999999</v>
      </c>
    </row>
    <row r="5001" spans="1:1" x14ac:dyDescent="0.25">
      <c r="A5001" s="9">
        <v>16542611.710000001</v>
      </c>
    </row>
    <row r="5002" spans="1:1" x14ac:dyDescent="0.25">
      <c r="A5002">
        <v>1944663</v>
      </c>
    </row>
    <row r="5003" spans="1:1" x14ac:dyDescent="0.25">
      <c r="A5003" s="9">
        <v>47782971.590000004</v>
      </c>
    </row>
    <row r="5004" spans="1:1" x14ac:dyDescent="0.25">
      <c r="A5004">
        <v>0</v>
      </c>
    </row>
    <row r="5005" spans="1:1" x14ac:dyDescent="0.25">
      <c r="A5005" s="9">
        <v>65832.599999999904</v>
      </c>
    </row>
    <row r="5006" spans="1:1" x14ac:dyDescent="0.25">
      <c r="A5006" s="9">
        <v>6225262.6200000001</v>
      </c>
    </row>
    <row r="5007" spans="1:1" x14ac:dyDescent="0.25">
      <c r="A5007" s="9">
        <v>6887570.6500000004</v>
      </c>
    </row>
    <row r="5008" spans="1:1" x14ac:dyDescent="0.25">
      <c r="A5008" s="9">
        <v>111413.66</v>
      </c>
    </row>
    <row r="5009" spans="1:1" x14ac:dyDescent="0.25">
      <c r="A5009">
        <v>0</v>
      </c>
    </row>
    <row r="5010" spans="1:1" x14ac:dyDescent="0.25">
      <c r="A5010" s="9">
        <v>4486108.01</v>
      </c>
    </row>
    <row r="5011" spans="1:1" x14ac:dyDescent="0.25">
      <c r="A5011" s="9">
        <v>5030963.8099999996</v>
      </c>
    </row>
    <row r="5012" spans="1:1" x14ac:dyDescent="0.25">
      <c r="A5012" s="9">
        <v>1284627.68</v>
      </c>
    </row>
    <row r="5013" spans="1:1" x14ac:dyDescent="0.25">
      <c r="A5013" s="9">
        <v>256707.1</v>
      </c>
    </row>
    <row r="5014" spans="1:1" x14ac:dyDescent="0.25">
      <c r="A5014">
        <v>0</v>
      </c>
    </row>
    <row r="5015" spans="1:1" x14ac:dyDescent="0.25">
      <c r="A5015">
        <v>0</v>
      </c>
    </row>
    <row r="5016" spans="1:1" x14ac:dyDescent="0.25">
      <c r="A5016" s="9">
        <v>6416002.6600000001</v>
      </c>
    </row>
    <row r="5017" spans="1:1" x14ac:dyDescent="0.25">
      <c r="A5017" s="9">
        <v>1836890.49</v>
      </c>
    </row>
    <row r="5018" spans="1:1" x14ac:dyDescent="0.25">
      <c r="A5018" s="9">
        <v>44797837.140000001</v>
      </c>
    </row>
    <row r="5019" spans="1:1" x14ac:dyDescent="0.25">
      <c r="A5019" s="9">
        <v>464386.91</v>
      </c>
    </row>
    <row r="5020" spans="1:1" x14ac:dyDescent="0.25">
      <c r="A5020" s="9">
        <v>11589735.859999999</v>
      </c>
    </row>
    <row r="5021" spans="1:1" x14ac:dyDescent="0.25">
      <c r="A5021" s="9">
        <v>9682461.3299999908</v>
      </c>
    </row>
    <row r="5022" spans="1:1" x14ac:dyDescent="0.25">
      <c r="A5022" s="9">
        <v>148737.42000000001</v>
      </c>
    </row>
    <row r="5023" spans="1:1" x14ac:dyDescent="0.25">
      <c r="A5023">
        <v>0</v>
      </c>
    </row>
    <row r="5024" spans="1:1" x14ac:dyDescent="0.25">
      <c r="A5024" s="9">
        <v>9501486.7400000002</v>
      </c>
    </row>
    <row r="5025" spans="1:1" x14ac:dyDescent="0.25">
      <c r="A5025">
        <v>0</v>
      </c>
    </row>
    <row r="5026" spans="1:1" x14ac:dyDescent="0.25">
      <c r="A5026">
        <v>0</v>
      </c>
    </row>
    <row r="5027" spans="1:1" x14ac:dyDescent="0.25">
      <c r="A5027" s="9">
        <v>524145.08</v>
      </c>
    </row>
    <row r="5028" spans="1:1" x14ac:dyDescent="0.25">
      <c r="A5028" s="9">
        <v>30474398.609999999</v>
      </c>
    </row>
    <row r="5029" spans="1:1" x14ac:dyDescent="0.25">
      <c r="A5029" s="9">
        <v>256707.1</v>
      </c>
    </row>
    <row r="5030" spans="1:1" x14ac:dyDescent="0.25">
      <c r="A5030" s="9">
        <v>75811064.549999997</v>
      </c>
    </row>
    <row r="5031" spans="1:1" x14ac:dyDescent="0.25">
      <c r="A5031" s="9">
        <v>3119363.87</v>
      </c>
    </row>
    <row r="5032" spans="1:1" x14ac:dyDescent="0.25">
      <c r="A5032" s="9">
        <v>664443.84</v>
      </c>
    </row>
    <row r="5033" spans="1:1" x14ac:dyDescent="0.25">
      <c r="A5033" s="9">
        <v>304536.90000000002</v>
      </c>
    </row>
    <row r="5034" spans="1:1" x14ac:dyDescent="0.25">
      <c r="A5034" s="9">
        <v>1287233.67</v>
      </c>
    </row>
    <row r="5035" spans="1:1" x14ac:dyDescent="0.25">
      <c r="A5035" s="9">
        <v>2566744.31</v>
      </c>
    </row>
    <row r="5036" spans="1:1" x14ac:dyDescent="0.25">
      <c r="A5036" s="9">
        <v>2711765.44</v>
      </c>
    </row>
    <row r="5037" spans="1:1" x14ac:dyDescent="0.25">
      <c r="A5037" s="9">
        <v>8240128.2599999998</v>
      </c>
    </row>
    <row r="5038" spans="1:1" x14ac:dyDescent="0.25">
      <c r="A5038" s="9">
        <v>4016894.16</v>
      </c>
    </row>
    <row r="5039" spans="1:1" x14ac:dyDescent="0.25">
      <c r="A5039" s="9">
        <v>3110859.98</v>
      </c>
    </row>
    <row r="5040" spans="1:1" x14ac:dyDescent="0.25">
      <c r="A5040" s="9">
        <v>2583899.54</v>
      </c>
    </row>
    <row r="5041" spans="1:1" x14ac:dyDescent="0.25">
      <c r="A5041" s="9">
        <v>39767078.659999996</v>
      </c>
    </row>
    <row r="5042" spans="1:1" x14ac:dyDescent="0.25">
      <c r="A5042" s="9">
        <v>119320.32000000001</v>
      </c>
    </row>
    <row r="5043" spans="1:1" x14ac:dyDescent="0.25">
      <c r="A5043" s="9">
        <v>4319662.6900000004</v>
      </c>
    </row>
    <row r="5044" spans="1:1" x14ac:dyDescent="0.25">
      <c r="A5044" s="9">
        <v>49821085.359999999</v>
      </c>
    </row>
    <row r="5045" spans="1:1" x14ac:dyDescent="0.25">
      <c r="A5045">
        <v>0</v>
      </c>
    </row>
    <row r="5046" spans="1:1" x14ac:dyDescent="0.25">
      <c r="A5046" s="9">
        <v>24243863.940000001</v>
      </c>
    </row>
    <row r="5047" spans="1:1" x14ac:dyDescent="0.25">
      <c r="A5047" s="9">
        <v>18218778.809999999</v>
      </c>
    </row>
    <row r="5048" spans="1:1" x14ac:dyDescent="0.25">
      <c r="A5048" s="9">
        <v>500183.94</v>
      </c>
    </row>
    <row r="5049" spans="1:1" x14ac:dyDescent="0.25">
      <c r="A5049" s="9">
        <v>142334.26</v>
      </c>
    </row>
    <row r="5050" spans="1:1" x14ac:dyDescent="0.25">
      <c r="A5050">
        <v>0</v>
      </c>
    </row>
    <row r="5051" spans="1:1" x14ac:dyDescent="0.25">
      <c r="A5051" s="9">
        <v>5870795.5800000001</v>
      </c>
    </row>
    <row r="5052" spans="1:1" x14ac:dyDescent="0.25">
      <c r="A5052" s="9">
        <v>22846404.710000001</v>
      </c>
    </row>
    <row r="5053" spans="1:1" x14ac:dyDescent="0.25">
      <c r="A5053" s="9">
        <v>2560684.4399999902</v>
      </c>
    </row>
    <row r="5054" spans="1:1" x14ac:dyDescent="0.25">
      <c r="A5054" s="9">
        <v>15378197.050000001</v>
      </c>
    </row>
    <row r="5055" spans="1:1" x14ac:dyDescent="0.25">
      <c r="A5055" s="9">
        <v>6290005.6600000001</v>
      </c>
    </row>
    <row r="5056" spans="1:1" x14ac:dyDescent="0.25">
      <c r="A5056">
        <v>0</v>
      </c>
    </row>
    <row r="5057" spans="1:1" x14ac:dyDescent="0.25">
      <c r="A5057" s="9">
        <v>35714.1</v>
      </c>
    </row>
    <row r="5058" spans="1:1" x14ac:dyDescent="0.25">
      <c r="A5058" s="9">
        <v>233466.78</v>
      </c>
    </row>
    <row r="5059" spans="1:1" x14ac:dyDescent="0.25">
      <c r="A5059" s="9">
        <v>218882.22</v>
      </c>
    </row>
    <row r="5060" spans="1:1" x14ac:dyDescent="0.25">
      <c r="A5060">
        <v>0</v>
      </c>
    </row>
    <row r="5061" spans="1:1" x14ac:dyDescent="0.25">
      <c r="A5061" s="9">
        <v>2159539.5499999998</v>
      </c>
    </row>
    <row r="5062" spans="1:1" x14ac:dyDescent="0.25">
      <c r="A5062">
        <v>0</v>
      </c>
    </row>
    <row r="5063" spans="1:1" x14ac:dyDescent="0.25">
      <c r="A5063">
        <v>0</v>
      </c>
    </row>
    <row r="5064" spans="1:1" x14ac:dyDescent="0.25">
      <c r="A5064" s="9">
        <v>155459.1</v>
      </c>
    </row>
    <row r="5065" spans="1:1" x14ac:dyDescent="0.25">
      <c r="A5065" s="9">
        <v>30057323.190000001</v>
      </c>
    </row>
    <row r="5066" spans="1:1" x14ac:dyDescent="0.25">
      <c r="A5066" s="9">
        <v>9509707.0700000003</v>
      </c>
    </row>
    <row r="5067" spans="1:1" x14ac:dyDescent="0.25">
      <c r="A5067" s="9">
        <v>8083413.1399999997</v>
      </c>
    </row>
    <row r="5068" spans="1:1" x14ac:dyDescent="0.25">
      <c r="A5068" s="9">
        <v>36053.82</v>
      </c>
    </row>
    <row r="5069" spans="1:1" x14ac:dyDescent="0.25">
      <c r="A5069" s="9">
        <v>2345100.9</v>
      </c>
    </row>
    <row r="5070" spans="1:1" x14ac:dyDescent="0.25">
      <c r="A5070" s="9">
        <v>2171957.65</v>
      </c>
    </row>
    <row r="5071" spans="1:1" x14ac:dyDescent="0.25">
      <c r="A5071" s="9">
        <v>40105622.200000003</v>
      </c>
    </row>
    <row r="5072" spans="1:1" x14ac:dyDescent="0.25">
      <c r="A5072" s="9">
        <v>110670.62</v>
      </c>
    </row>
    <row r="5073" spans="1:1" x14ac:dyDescent="0.25">
      <c r="A5073" s="9">
        <v>8605159.7899999991</v>
      </c>
    </row>
    <row r="5074" spans="1:1" x14ac:dyDescent="0.25">
      <c r="A5074" s="9">
        <v>2652447.71</v>
      </c>
    </row>
    <row r="5075" spans="1:1" x14ac:dyDescent="0.25">
      <c r="A5075">
        <v>0</v>
      </c>
    </row>
    <row r="5076" spans="1:1" x14ac:dyDescent="0.25">
      <c r="A5076" s="9">
        <v>10256137.84</v>
      </c>
    </row>
    <row r="5077" spans="1:1" x14ac:dyDescent="0.25">
      <c r="A5077" s="9">
        <v>1585853.92</v>
      </c>
    </row>
    <row r="5078" spans="1:1" x14ac:dyDescent="0.25">
      <c r="A5078" s="9">
        <v>3860778.71</v>
      </c>
    </row>
    <row r="5079" spans="1:1" x14ac:dyDescent="0.25">
      <c r="A5079" s="9">
        <v>124401.86</v>
      </c>
    </row>
    <row r="5080" spans="1:1" x14ac:dyDescent="0.25">
      <c r="A5080" s="9">
        <v>19528986.039999999</v>
      </c>
    </row>
    <row r="5081" spans="1:1" x14ac:dyDescent="0.25">
      <c r="A5081" s="9">
        <v>61079.6</v>
      </c>
    </row>
    <row r="5082" spans="1:1" x14ac:dyDescent="0.25">
      <c r="A5082" s="9">
        <v>2641775.7999999998</v>
      </c>
    </row>
    <row r="5083" spans="1:1" x14ac:dyDescent="0.25">
      <c r="A5083" s="9">
        <v>3702088.22</v>
      </c>
    </row>
    <row r="5084" spans="1:1" x14ac:dyDescent="0.25">
      <c r="A5084">
        <v>0</v>
      </c>
    </row>
    <row r="5085" spans="1:1" x14ac:dyDescent="0.25">
      <c r="A5085" s="9">
        <v>1174774.3999999999</v>
      </c>
    </row>
    <row r="5086" spans="1:1" x14ac:dyDescent="0.25">
      <c r="A5086" s="9">
        <v>2914572.28</v>
      </c>
    </row>
    <row r="5087" spans="1:1" x14ac:dyDescent="0.25">
      <c r="A5087">
        <v>0</v>
      </c>
    </row>
    <row r="5088" spans="1:1" x14ac:dyDescent="0.25">
      <c r="A5088" s="9">
        <v>2018535.96</v>
      </c>
    </row>
    <row r="5089" spans="1:1" x14ac:dyDescent="0.25">
      <c r="A5089" s="9">
        <v>770744.2</v>
      </c>
    </row>
    <row r="5090" spans="1:1" x14ac:dyDescent="0.25">
      <c r="A5090" s="9">
        <v>5300398.0399999898</v>
      </c>
    </row>
    <row r="5091" spans="1:1" x14ac:dyDescent="0.25">
      <c r="A5091" s="9">
        <v>26348903.23</v>
      </c>
    </row>
    <row r="5092" spans="1:1" x14ac:dyDescent="0.25">
      <c r="A5092" s="9">
        <v>27212479.940000001</v>
      </c>
    </row>
    <row r="5093" spans="1:1" x14ac:dyDescent="0.25">
      <c r="A5093">
        <v>0</v>
      </c>
    </row>
    <row r="5094" spans="1:1" x14ac:dyDescent="0.25">
      <c r="A5094" s="9">
        <v>7838321.4399999902</v>
      </c>
    </row>
    <row r="5095" spans="1:1" x14ac:dyDescent="0.25">
      <c r="A5095">
        <v>0</v>
      </c>
    </row>
    <row r="5096" spans="1:1" x14ac:dyDescent="0.25">
      <c r="A5096" s="9">
        <v>3986093.24</v>
      </c>
    </row>
    <row r="5097" spans="1:1" x14ac:dyDescent="0.25">
      <c r="A5097" s="9">
        <v>1756935.76</v>
      </c>
    </row>
    <row r="5098" spans="1:1" x14ac:dyDescent="0.25">
      <c r="A5098" s="9">
        <v>5635916.0599999996</v>
      </c>
    </row>
    <row r="5099" spans="1:1" x14ac:dyDescent="0.25">
      <c r="A5099" s="9">
        <v>27211015.289999999</v>
      </c>
    </row>
    <row r="5100" spans="1:1" x14ac:dyDescent="0.25">
      <c r="A5100" s="9">
        <v>27323002.199999999</v>
      </c>
    </row>
    <row r="5101" spans="1:1" x14ac:dyDescent="0.25">
      <c r="A5101">
        <v>0</v>
      </c>
    </row>
    <row r="5102" spans="1:1" x14ac:dyDescent="0.25">
      <c r="A5102" s="9">
        <v>4933740.58</v>
      </c>
    </row>
    <row r="5103" spans="1:1" x14ac:dyDescent="0.25">
      <c r="A5103" s="9">
        <v>106620.16</v>
      </c>
    </row>
    <row r="5104" spans="1:1" x14ac:dyDescent="0.25">
      <c r="A5104" s="9">
        <v>19087662.27</v>
      </c>
    </row>
    <row r="5105" spans="1:1" x14ac:dyDescent="0.25">
      <c r="A5105" s="9">
        <v>304668.42</v>
      </c>
    </row>
    <row r="5106" spans="1:1" x14ac:dyDescent="0.25">
      <c r="A5106" s="9">
        <v>4144470.78</v>
      </c>
    </row>
    <row r="5107" spans="1:1" x14ac:dyDescent="0.25">
      <c r="A5107" s="9">
        <v>9085596.4099999908</v>
      </c>
    </row>
    <row r="5108" spans="1:1" x14ac:dyDescent="0.25">
      <c r="A5108" s="9">
        <v>25190360.32</v>
      </c>
    </row>
    <row r="5109" spans="1:1" x14ac:dyDescent="0.25">
      <c r="A5109" s="9">
        <v>10145322.4</v>
      </c>
    </row>
    <row r="5110" spans="1:1" x14ac:dyDescent="0.25">
      <c r="A5110" s="9">
        <v>2888534.51</v>
      </c>
    </row>
    <row r="5111" spans="1:1" x14ac:dyDescent="0.25">
      <c r="A5111" s="9">
        <v>17580546.100000001</v>
      </c>
    </row>
    <row r="5112" spans="1:1" x14ac:dyDescent="0.25">
      <c r="A5112" s="9">
        <v>47135243.799999997</v>
      </c>
    </row>
    <row r="5113" spans="1:1" x14ac:dyDescent="0.25">
      <c r="A5113" s="9">
        <v>2441747.16</v>
      </c>
    </row>
    <row r="5114" spans="1:1" x14ac:dyDescent="0.25">
      <c r="A5114" s="9">
        <v>5258974.8199999901</v>
      </c>
    </row>
    <row r="5115" spans="1:1" x14ac:dyDescent="0.25">
      <c r="A5115">
        <v>0</v>
      </c>
    </row>
    <row r="5116" spans="1:1" x14ac:dyDescent="0.25">
      <c r="A5116" s="9">
        <v>128244.03</v>
      </c>
    </row>
    <row r="5117" spans="1:1" x14ac:dyDescent="0.25">
      <c r="A5117" s="9">
        <v>4708393.5699999901</v>
      </c>
    </row>
    <row r="5118" spans="1:1" x14ac:dyDescent="0.25">
      <c r="A5118" s="9">
        <v>4541957.05</v>
      </c>
    </row>
    <row r="5119" spans="1:1" x14ac:dyDescent="0.25">
      <c r="A5119">
        <v>0</v>
      </c>
    </row>
    <row r="5120" spans="1:1" x14ac:dyDescent="0.25">
      <c r="A5120" s="9">
        <v>2591518.2200000002</v>
      </c>
    </row>
    <row r="5121" spans="1:1" x14ac:dyDescent="0.25">
      <c r="A5121">
        <v>0</v>
      </c>
    </row>
    <row r="5122" spans="1:1" x14ac:dyDescent="0.25">
      <c r="A5122">
        <v>0</v>
      </c>
    </row>
    <row r="5123" spans="1:1" x14ac:dyDescent="0.25">
      <c r="A5123" s="9">
        <v>2911264.15</v>
      </c>
    </row>
    <row r="5124" spans="1:1" x14ac:dyDescent="0.25">
      <c r="A5124" s="9">
        <v>4272639.2300000004</v>
      </c>
    </row>
    <row r="5125" spans="1:1" x14ac:dyDescent="0.25">
      <c r="A5125" s="9">
        <v>1205919.6000000001</v>
      </c>
    </row>
    <row r="5126" spans="1:1" x14ac:dyDescent="0.25">
      <c r="A5126" s="9">
        <v>4815887.29</v>
      </c>
    </row>
    <row r="5127" spans="1:1" x14ac:dyDescent="0.25">
      <c r="A5127" s="9">
        <v>237404.7</v>
      </c>
    </row>
    <row r="5128" spans="1:1" x14ac:dyDescent="0.25">
      <c r="A5128" s="9">
        <v>18675105.079999998</v>
      </c>
    </row>
    <row r="5129" spans="1:1" x14ac:dyDescent="0.25">
      <c r="A5129" s="9">
        <v>3241938.59</v>
      </c>
    </row>
    <row r="5130" spans="1:1" x14ac:dyDescent="0.25">
      <c r="A5130">
        <v>0</v>
      </c>
    </row>
    <row r="5131" spans="1:1" x14ac:dyDescent="0.25">
      <c r="A5131" s="9">
        <v>6408260.8499999996</v>
      </c>
    </row>
    <row r="5132" spans="1:1" x14ac:dyDescent="0.25">
      <c r="A5132" s="9">
        <v>211913.88</v>
      </c>
    </row>
    <row r="5133" spans="1:1" x14ac:dyDescent="0.25">
      <c r="A5133">
        <v>0</v>
      </c>
    </row>
    <row r="5134" spans="1:1" x14ac:dyDescent="0.25">
      <c r="A5134" s="9">
        <v>623854.38</v>
      </c>
    </row>
    <row r="5135" spans="1:1" x14ac:dyDescent="0.25">
      <c r="A5135">
        <v>0</v>
      </c>
    </row>
    <row r="5136" spans="1:1" x14ac:dyDescent="0.25">
      <c r="A5136">
        <v>0</v>
      </c>
    </row>
    <row r="5137" spans="1:1" x14ac:dyDescent="0.25">
      <c r="A5137">
        <v>0</v>
      </c>
    </row>
    <row r="5138" spans="1:1" x14ac:dyDescent="0.25">
      <c r="A5138" s="9">
        <v>12120997.02</v>
      </c>
    </row>
    <row r="5139" spans="1:1" x14ac:dyDescent="0.25">
      <c r="A5139" s="9">
        <v>5052337.6900000004</v>
      </c>
    </row>
    <row r="5140" spans="1:1" x14ac:dyDescent="0.25">
      <c r="A5140" s="9">
        <v>13105147.42</v>
      </c>
    </row>
    <row r="5141" spans="1:1" x14ac:dyDescent="0.25">
      <c r="A5141" s="9">
        <v>197654.26</v>
      </c>
    </row>
    <row r="5142" spans="1:1" x14ac:dyDescent="0.25">
      <c r="A5142" s="9">
        <v>7079870.73999999</v>
      </c>
    </row>
    <row r="5143" spans="1:1" x14ac:dyDescent="0.25">
      <c r="A5143" s="9">
        <v>16405021.869999999</v>
      </c>
    </row>
    <row r="5144" spans="1:1" x14ac:dyDescent="0.25">
      <c r="A5144">
        <v>0</v>
      </c>
    </row>
    <row r="5145" spans="1:1" x14ac:dyDescent="0.25">
      <c r="A5145">
        <v>0</v>
      </c>
    </row>
    <row r="5146" spans="1:1" x14ac:dyDescent="0.25">
      <c r="A5146" s="9">
        <v>4850692.71</v>
      </c>
    </row>
    <row r="5147" spans="1:1" x14ac:dyDescent="0.25">
      <c r="A5147" s="9">
        <v>949001.25</v>
      </c>
    </row>
    <row r="5148" spans="1:1" x14ac:dyDescent="0.25">
      <c r="A5148" s="9">
        <v>43801069.590000004</v>
      </c>
    </row>
    <row r="5149" spans="1:1" x14ac:dyDescent="0.25">
      <c r="A5149" s="9">
        <v>5241836.03</v>
      </c>
    </row>
    <row r="5150" spans="1:1" x14ac:dyDescent="0.25">
      <c r="A5150" s="9">
        <v>180596.36</v>
      </c>
    </row>
    <row r="5151" spans="1:1" x14ac:dyDescent="0.25">
      <c r="A5151">
        <v>0</v>
      </c>
    </row>
    <row r="5152" spans="1:1" x14ac:dyDescent="0.25">
      <c r="A5152" s="9">
        <v>635036.23</v>
      </c>
    </row>
    <row r="5153" spans="1:1" x14ac:dyDescent="0.25">
      <c r="A5153" s="9">
        <v>886668.53</v>
      </c>
    </row>
    <row r="5154" spans="1:1" x14ac:dyDescent="0.25">
      <c r="A5154" s="9">
        <v>6726077.6500000004</v>
      </c>
    </row>
    <row r="5155" spans="1:1" x14ac:dyDescent="0.25">
      <c r="A5155">
        <v>0</v>
      </c>
    </row>
    <row r="5156" spans="1:1" x14ac:dyDescent="0.25">
      <c r="A5156" s="9">
        <v>2826050.44</v>
      </c>
    </row>
    <row r="5157" spans="1:1" x14ac:dyDescent="0.25">
      <c r="A5157" s="9">
        <v>392922.54</v>
      </c>
    </row>
    <row r="5158" spans="1:1" x14ac:dyDescent="0.25">
      <c r="A5158" s="9">
        <v>19219938.239999998</v>
      </c>
    </row>
    <row r="5159" spans="1:1" x14ac:dyDescent="0.25">
      <c r="A5159" s="9">
        <v>7787982.3499999996</v>
      </c>
    </row>
    <row r="5160" spans="1:1" x14ac:dyDescent="0.25">
      <c r="A5160" s="9">
        <v>2254535.92</v>
      </c>
    </row>
    <row r="5161" spans="1:1" x14ac:dyDescent="0.25">
      <c r="A5161" s="9">
        <v>23089731.739999902</v>
      </c>
    </row>
    <row r="5162" spans="1:1" x14ac:dyDescent="0.25">
      <c r="A5162" s="9">
        <v>20631329.91</v>
      </c>
    </row>
    <row r="5163" spans="1:1" x14ac:dyDescent="0.25">
      <c r="A5163" s="9">
        <v>4387287.4000000004</v>
      </c>
    </row>
    <row r="5164" spans="1:1" x14ac:dyDescent="0.25">
      <c r="A5164">
        <v>0</v>
      </c>
    </row>
    <row r="5165" spans="1:1" x14ac:dyDescent="0.25">
      <c r="A5165" s="9">
        <v>3333410.4399999902</v>
      </c>
    </row>
    <row r="5166" spans="1:1" x14ac:dyDescent="0.25">
      <c r="A5166" s="9">
        <v>241984.05</v>
      </c>
    </row>
    <row r="5167" spans="1:1" x14ac:dyDescent="0.25">
      <c r="A5167">
        <v>0</v>
      </c>
    </row>
    <row r="5168" spans="1:1" x14ac:dyDescent="0.25">
      <c r="A5168" s="9">
        <v>15031305.43</v>
      </c>
    </row>
    <row r="5169" spans="1:1" x14ac:dyDescent="0.25">
      <c r="A5169" s="9">
        <v>1591240.09</v>
      </c>
    </row>
    <row r="5170" spans="1:1" x14ac:dyDescent="0.25">
      <c r="A5170">
        <v>0</v>
      </c>
    </row>
    <row r="5171" spans="1:1" x14ac:dyDescent="0.25">
      <c r="A5171" s="9">
        <v>35714.1</v>
      </c>
    </row>
    <row r="5172" spans="1:1" x14ac:dyDescent="0.25">
      <c r="A5172" s="9">
        <v>65714.75</v>
      </c>
    </row>
    <row r="5173" spans="1:1" x14ac:dyDescent="0.25">
      <c r="A5173" s="9">
        <v>857265.42</v>
      </c>
    </row>
    <row r="5174" spans="1:1" x14ac:dyDescent="0.25">
      <c r="A5174" s="9">
        <v>113618.16</v>
      </c>
    </row>
    <row r="5175" spans="1:1" x14ac:dyDescent="0.25">
      <c r="A5175" s="9">
        <v>1269714.52</v>
      </c>
    </row>
    <row r="5176" spans="1:1" x14ac:dyDescent="0.25">
      <c r="A5176">
        <v>0</v>
      </c>
    </row>
    <row r="5177" spans="1:1" x14ac:dyDescent="0.25">
      <c r="A5177" s="9">
        <v>330580.06</v>
      </c>
    </row>
    <row r="5178" spans="1:1" x14ac:dyDescent="0.25">
      <c r="A5178" s="9">
        <v>24247984.649999999</v>
      </c>
    </row>
    <row r="5179" spans="1:1" x14ac:dyDescent="0.25">
      <c r="A5179" s="9">
        <v>10325506.789999999</v>
      </c>
    </row>
    <row r="5180" spans="1:1" x14ac:dyDescent="0.25">
      <c r="A5180" s="9">
        <v>563629.5</v>
      </c>
    </row>
    <row r="5181" spans="1:1" x14ac:dyDescent="0.25">
      <c r="A5181" s="9">
        <v>6664934.7899999898</v>
      </c>
    </row>
    <row r="5182" spans="1:1" x14ac:dyDescent="0.25">
      <c r="A5182">
        <v>0</v>
      </c>
    </row>
    <row r="5183" spans="1:1" x14ac:dyDescent="0.25">
      <c r="A5183" s="9">
        <v>314832.24</v>
      </c>
    </row>
    <row r="5184" spans="1:1" x14ac:dyDescent="0.25">
      <c r="A5184" s="9">
        <v>149771.68</v>
      </c>
    </row>
    <row r="5185" spans="1:1" x14ac:dyDescent="0.25">
      <c r="A5185">
        <v>0</v>
      </c>
    </row>
    <row r="5186" spans="1:1" x14ac:dyDescent="0.25">
      <c r="A5186">
        <v>0</v>
      </c>
    </row>
    <row r="5187" spans="1:1" x14ac:dyDescent="0.25">
      <c r="A5187">
        <v>0</v>
      </c>
    </row>
    <row r="5188" spans="1:1" x14ac:dyDescent="0.25">
      <c r="A5188">
        <v>0</v>
      </c>
    </row>
    <row r="5189" spans="1:1" x14ac:dyDescent="0.25">
      <c r="A5189" s="9">
        <v>149771.68</v>
      </c>
    </row>
    <row r="5190" spans="1:1" x14ac:dyDescent="0.25">
      <c r="A5190" s="9">
        <v>42364181.689999998</v>
      </c>
    </row>
    <row r="5191" spans="1:1" x14ac:dyDescent="0.25">
      <c r="A5191" s="9">
        <v>3058225.64</v>
      </c>
    </row>
    <row r="5192" spans="1:1" x14ac:dyDescent="0.25">
      <c r="A5192" s="9">
        <v>9219803.8100000005</v>
      </c>
    </row>
    <row r="5193" spans="1:1" x14ac:dyDescent="0.25">
      <c r="A5193" s="9">
        <v>63794.92</v>
      </c>
    </row>
    <row r="5194" spans="1:1" x14ac:dyDescent="0.25">
      <c r="A5194" s="9">
        <v>15015273.16</v>
      </c>
    </row>
    <row r="5195" spans="1:1" x14ac:dyDescent="0.25">
      <c r="A5195" s="9">
        <v>24550090.32</v>
      </c>
    </row>
    <row r="5196" spans="1:1" x14ac:dyDescent="0.25">
      <c r="A5196" s="9">
        <v>5543490.2999999998</v>
      </c>
    </row>
    <row r="5197" spans="1:1" x14ac:dyDescent="0.25">
      <c r="A5197">
        <v>0</v>
      </c>
    </row>
    <row r="5198" spans="1:1" x14ac:dyDescent="0.25">
      <c r="A5198" s="9">
        <v>4217494.66</v>
      </c>
    </row>
    <row r="5199" spans="1:1" x14ac:dyDescent="0.25">
      <c r="A5199">
        <v>0</v>
      </c>
    </row>
    <row r="5200" spans="1:1" x14ac:dyDescent="0.25">
      <c r="A5200" s="9">
        <v>6175720.4400000004</v>
      </c>
    </row>
    <row r="5201" spans="1:1" x14ac:dyDescent="0.25">
      <c r="A5201" s="9">
        <v>4653276.24</v>
      </c>
    </row>
    <row r="5202" spans="1:1" x14ac:dyDescent="0.25">
      <c r="A5202" s="9">
        <v>106620.16</v>
      </c>
    </row>
    <row r="5203" spans="1:1" x14ac:dyDescent="0.25">
      <c r="A5203">
        <v>0</v>
      </c>
    </row>
    <row r="5204" spans="1:1" x14ac:dyDescent="0.25">
      <c r="A5204">
        <v>0</v>
      </c>
    </row>
    <row r="5205" spans="1:1" x14ac:dyDescent="0.25">
      <c r="A5205" s="9">
        <v>2228568.2999999998</v>
      </c>
    </row>
    <row r="5206" spans="1:1" x14ac:dyDescent="0.25">
      <c r="A5206" s="9">
        <v>214892.55</v>
      </c>
    </row>
    <row r="5207" spans="1:1" x14ac:dyDescent="0.25">
      <c r="A5207" s="9">
        <v>1381062.88</v>
      </c>
    </row>
    <row r="5208" spans="1:1" x14ac:dyDescent="0.25">
      <c r="A5208">
        <v>1353905</v>
      </c>
    </row>
    <row r="5209" spans="1:1" x14ac:dyDescent="0.25">
      <c r="A5209" s="9">
        <v>949508.1</v>
      </c>
    </row>
    <row r="5210" spans="1:1" x14ac:dyDescent="0.25">
      <c r="A5210" s="9">
        <v>167733.66</v>
      </c>
    </row>
    <row r="5211" spans="1:1" x14ac:dyDescent="0.25">
      <c r="A5211" s="9">
        <v>4830432.1399999997</v>
      </c>
    </row>
    <row r="5212" spans="1:1" x14ac:dyDescent="0.25">
      <c r="A5212" s="9">
        <v>1527020.64</v>
      </c>
    </row>
    <row r="5213" spans="1:1" x14ac:dyDescent="0.25">
      <c r="A5213" s="9">
        <v>1210693.17</v>
      </c>
    </row>
    <row r="5214" spans="1:1" x14ac:dyDescent="0.25">
      <c r="A5214" s="9">
        <v>24055311.91</v>
      </c>
    </row>
    <row r="5215" spans="1:1" x14ac:dyDescent="0.25">
      <c r="A5215">
        <v>0</v>
      </c>
    </row>
    <row r="5216" spans="1:1" x14ac:dyDescent="0.25">
      <c r="A5216" s="9">
        <v>3304643.87</v>
      </c>
    </row>
    <row r="5217" spans="1:1" x14ac:dyDescent="0.25">
      <c r="A5217">
        <v>0</v>
      </c>
    </row>
    <row r="5218" spans="1:1" x14ac:dyDescent="0.25">
      <c r="A5218" s="9">
        <v>1791289.92</v>
      </c>
    </row>
    <row r="5219" spans="1:1" x14ac:dyDescent="0.25">
      <c r="A5219" s="9">
        <v>4002592.31</v>
      </c>
    </row>
    <row r="5220" spans="1:1" x14ac:dyDescent="0.25">
      <c r="A5220" s="9">
        <v>3121087.68</v>
      </c>
    </row>
    <row r="5221" spans="1:1" x14ac:dyDescent="0.25">
      <c r="A5221" s="9">
        <v>2302247.0099999998</v>
      </c>
    </row>
    <row r="5222" spans="1:1" x14ac:dyDescent="0.25">
      <c r="A5222" s="9">
        <v>61113.499999999898</v>
      </c>
    </row>
    <row r="5223" spans="1:1" x14ac:dyDescent="0.25">
      <c r="A5223">
        <v>0</v>
      </c>
    </row>
    <row r="5224" spans="1:1" x14ac:dyDescent="0.25">
      <c r="A5224">
        <v>0</v>
      </c>
    </row>
    <row r="5225" spans="1:1" x14ac:dyDescent="0.25">
      <c r="A5225" s="9">
        <v>36053.82</v>
      </c>
    </row>
    <row r="5226" spans="1:1" x14ac:dyDescent="0.25">
      <c r="A5226">
        <v>0</v>
      </c>
    </row>
    <row r="5227" spans="1:1" x14ac:dyDescent="0.25">
      <c r="A5227" s="9">
        <v>56995664.649999999</v>
      </c>
    </row>
    <row r="5228" spans="1:1" x14ac:dyDescent="0.25">
      <c r="A5228" s="9">
        <v>9072160.2400000002</v>
      </c>
    </row>
    <row r="5229" spans="1:1" x14ac:dyDescent="0.25">
      <c r="A5229" s="9">
        <v>8861848.5099999998</v>
      </c>
    </row>
    <row r="5230" spans="1:1" x14ac:dyDescent="0.25">
      <c r="A5230" s="9">
        <v>5226585.0199999996</v>
      </c>
    </row>
    <row r="5231" spans="1:1" x14ac:dyDescent="0.25">
      <c r="A5231" s="9">
        <v>4996006.1900000004</v>
      </c>
    </row>
    <row r="5232" spans="1:1" x14ac:dyDescent="0.25">
      <c r="A5232" s="9">
        <v>2441747.16</v>
      </c>
    </row>
    <row r="5233" spans="1:1" x14ac:dyDescent="0.25">
      <c r="A5233">
        <v>0</v>
      </c>
    </row>
    <row r="5234" spans="1:1" x14ac:dyDescent="0.25">
      <c r="A5234" s="9">
        <v>238257.6</v>
      </c>
    </row>
    <row r="5235" spans="1:1" x14ac:dyDescent="0.25">
      <c r="A5235" s="9">
        <v>7654670.6399999997</v>
      </c>
    </row>
    <row r="5236" spans="1:1" x14ac:dyDescent="0.25">
      <c r="A5236" s="9">
        <v>3202937.13</v>
      </c>
    </row>
    <row r="5237" spans="1:1" x14ac:dyDescent="0.25">
      <c r="A5237">
        <v>0</v>
      </c>
    </row>
    <row r="5238" spans="1:1" x14ac:dyDescent="0.25">
      <c r="A5238">
        <v>0</v>
      </c>
    </row>
    <row r="5239" spans="1:1" x14ac:dyDescent="0.25">
      <c r="A5239" s="9">
        <v>16511679.789999999</v>
      </c>
    </row>
    <row r="5240" spans="1:1" x14ac:dyDescent="0.25">
      <c r="A5240" s="9">
        <v>16323156.68</v>
      </c>
    </row>
    <row r="5241" spans="1:1" x14ac:dyDescent="0.25">
      <c r="A5241" s="9">
        <v>179485.5</v>
      </c>
    </row>
    <row r="5242" spans="1:1" x14ac:dyDescent="0.25">
      <c r="A5242">
        <v>0</v>
      </c>
    </row>
    <row r="5243" spans="1:1" x14ac:dyDescent="0.25">
      <c r="A5243" s="9">
        <v>4817836.5599999996</v>
      </c>
    </row>
    <row r="5244" spans="1:1" x14ac:dyDescent="0.25">
      <c r="A5244" s="9">
        <v>184735.48</v>
      </c>
    </row>
    <row r="5245" spans="1:1" x14ac:dyDescent="0.25">
      <c r="A5245" s="9">
        <v>8339048.6600000001</v>
      </c>
    </row>
    <row r="5246" spans="1:1" x14ac:dyDescent="0.25">
      <c r="A5246" s="9">
        <v>260760.46</v>
      </c>
    </row>
    <row r="5247" spans="1:1" x14ac:dyDescent="0.25">
      <c r="A5247" s="9">
        <v>3744535.49</v>
      </c>
    </row>
    <row r="5248" spans="1:1" x14ac:dyDescent="0.25">
      <c r="A5248">
        <v>0</v>
      </c>
    </row>
    <row r="5249" spans="1:1" x14ac:dyDescent="0.25">
      <c r="A5249" s="9">
        <v>12848741.119999999</v>
      </c>
    </row>
    <row r="5250" spans="1:1" x14ac:dyDescent="0.25">
      <c r="A5250" s="9">
        <v>44095863.950000003</v>
      </c>
    </row>
    <row r="5251" spans="1:1" x14ac:dyDescent="0.25">
      <c r="A5251" s="9">
        <v>1069097.1599999999</v>
      </c>
    </row>
    <row r="5252" spans="1:1" x14ac:dyDescent="0.25">
      <c r="A5252">
        <v>0</v>
      </c>
    </row>
    <row r="5253" spans="1:1" x14ac:dyDescent="0.25">
      <c r="A5253" s="9">
        <v>313642.53999999998</v>
      </c>
    </row>
    <row r="5254" spans="1:1" x14ac:dyDescent="0.25">
      <c r="A5254" s="9">
        <v>324972.90000000002</v>
      </c>
    </row>
    <row r="5255" spans="1:1" x14ac:dyDescent="0.25">
      <c r="A5255">
        <v>0</v>
      </c>
    </row>
    <row r="5256" spans="1:1" x14ac:dyDescent="0.25">
      <c r="A5256">
        <v>55982686</v>
      </c>
    </row>
    <row r="5257" spans="1:1" x14ac:dyDescent="0.25">
      <c r="A5257" s="9">
        <v>1539949.44</v>
      </c>
    </row>
    <row r="5258" spans="1:1" x14ac:dyDescent="0.25">
      <c r="A5258" s="9">
        <v>2677489.9</v>
      </c>
    </row>
    <row r="5259" spans="1:1" x14ac:dyDescent="0.25">
      <c r="A5259">
        <v>0</v>
      </c>
    </row>
    <row r="5260" spans="1:1" x14ac:dyDescent="0.25">
      <c r="A5260">
        <v>0</v>
      </c>
    </row>
    <row r="5261" spans="1:1" x14ac:dyDescent="0.25">
      <c r="A5261" s="9">
        <v>736852.87</v>
      </c>
    </row>
    <row r="5262" spans="1:1" x14ac:dyDescent="0.25">
      <c r="A5262">
        <v>0</v>
      </c>
    </row>
    <row r="5263" spans="1:1" x14ac:dyDescent="0.25">
      <c r="A5263" s="9">
        <v>3935869.65</v>
      </c>
    </row>
    <row r="5264" spans="1:1" x14ac:dyDescent="0.25">
      <c r="A5264" s="9">
        <v>304536.90000000002</v>
      </c>
    </row>
    <row r="5265" spans="1:1" x14ac:dyDescent="0.25">
      <c r="A5265" s="9">
        <v>4272620.5199999996</v>
      </c>
    </row>
    <row r="5266" spans="1:1" x14ac:dyDescent="0.25">
      <c r="A5266" s="9">
        <v>6238479.8700000001</v>
      </c>
    </row>
    <row r="5267" spans="1:1" x14ac:dyDescent="0.25">
      <c r="A5267" s="9">
        <v>3737695.53</v>
      </c>
    </row>
    <row r="5268" spans="1:1" x14ac:dyDescent="0.25">
      <c r="A5268">
        <v>0</v>
      </c>
    </row>
    <row r="5269" spans="1:1" x14ac:dyDescent="0.25">
      <c r="A5269" s="9">
        <v>6513688.9400000004</v>
      </c>
    </row>
    <row r="5270" spans="1:1" x14ac:dyDescent="0.25">
      <c r="A5270" s="9">
        <v>270518.26</v>
      </c>
    </row>
    <row r="5271" spans="1:1" x14ac:dyDescent="0.25">
      <c r="A5271" s="9">
        <v>8594052.6099999901</v>
      </c>
    </row>
    <row r="5272" spans="1:1" x14ac:dyDescent="0.25">
      <c r="A5272" s="9">
        <v>280163.73</v>
      </c>
    </row>
    <row r="5273" spans="1:1" x14ac:dyDescent="0.25">
      <c r="A5273" s="9">
        <v>2266935.61</v>
      </c>
    </row>
    <row r="5274" spans="1:1" x14ac:dyDescent="0.25">
      <c r="A5274">
        <v>0</v>
      </c>
    </row>
    <row r="5275" spans="1:1" x14ac:dyDescent="0.25">
      <c r="A5275" s="9">
        <v>273406.76</v>
      </c>
    </row>
    <row r="5276" spans="1:1" x14ac:dyDescent="0.25">
      <c r="A5276" s="9">
        <v>8662819.1199999899</v>
      </c>
    </row>
    <row r="5277" spans="1:1" x14ac:dyDescent="0.25">
      <c r="A5277" s="9">
        <v>7330593.6200000001</v>
      </c>
    </row>
    <row r="5278" spans="1:1" x14ac:dyDescent="0.25">
      <c r="A5278" s="9">
        <v>3089734.44</v>
      </c>
    </row>
    <row r="5279" spans="1:1" x14ac:dyDescent="0.25">
      <c r="A5279">
        <v>0</v>
      </c>
    </row>
    <row r="5280" spans="1:1" x14ac:dyDescent="0.25">
      <c r="A5280" s="9">
        <v>311942.38</v>
      </c>
    </row>
    <row r="5281" spans="1:1" x14ac:dyDescent="0.25">
      <c r="A5281">
        <v>0</v>
      </c>
    </row>
    <row r="5282" spans="1:1" x14ac:dyDescent="0.25">
      <c r="A5282" s="9">
        <v>1433539.92</v>
      </c>
    </row>
    <row r="5283" spans="1:1" x14ac:dyDescent="0.25">
      <c r="A5283" s="9">
        <v>14072094.82</v>
      </c>
    </row>
    <row r="5284" spans="1:1" x14ac:dyDescent="0.25">
      <c r="A5284" s="9">
        <v>4135771.36</v>
      </c>
    </row>
    <row r="5285" spans="1:1" x14ac:dyDescent="0.25">
      <c r="A5285" s="9">
        <v>8249934.9299999997</v>
      </c>
    </row>
    <row r="5286" spans="1:1" x14ac:dyDescent="0.25">
      <c r="A5286" s="9">
        <v>1045036.11</v>
      </c>
    </row>
    <row r="5287" spans="1:1" x14ac:dyDescent="0.25">
      <c r="A5287" s="9">
        <v>7925537.1299999999</v>
      </c>
    </row>
    <row r="5288" spans="1:1" x14ac:dyDescent="0.25">
      <c r="A5288">
        <v>0</v>
      </c>
    </row>
    <row r="5289" spans="1:1" x14ac:dyDescent="0.25">
      <c r="A5289">
        <v>0</v>
      </c>
    </row>
    <row r="5290" spans="1:1" x14ac:dyDescent="0.25">
      <c r="A5290" s="9">
        <v>3434551.8</v>
      </c>
    </row>
    <row r="5291" spans="1:1" x14ac:dyDescent="0.25">
      <c r="A5291" s="9">
        <v>28711297.199999999</v>
      </c>
    </row>
    <row r="5292" spans="1:1" x14ac:dyDescent="0.25">
      <c r="A5292">
        <v>0</v>
      </c>
    </row>
    <row r="5293" spans="1:1" x14ac:dyDescent="0.25">
      <c r="A5293">
        <v>0</v>
      </c>
    </row>
    <row r="5294" spans="1:1" x14ac:dyDescent="0.25">
      <c r="A5294" s="9">
        <v>4212102.91</v>
      </c>
    </row>
    <row r="5295" spans="1:1" x14ac:dyDescent="0.25">
      <c r="A5295" s="9">
        <v>1038138.65</v>
      </c>
    </row>
    <row r="5296" spans="1:1" x14ac:dyDescent="0.25">
      <c r="A5296" s="9">
        <v>182426.99</v>
      </c>
    </row>
    <row r="5297" spans="1:1" x14ac:dyDescent="0.25">
      <c r="A5297" s="9">
        <v>374470.9</v>
      </c>
    </row>
    <row r="5298" spans="1:1" x14ac:dyDescent="0.25">
      <c r="A5298">
        <v>0</v>
      </c>
    </row>
    <row r="5299" spans="1:1" x14ac:dyDescent="0.25">
      <c r="A5299" s="9">
        <v>6183838.2999999998</v>
      </c>
    </row>
    <row r="5300" spans="1:1" x14ac:dyDescent="0.25">
      <c r="A5300">
        <v>0</v>
      </c>
    </row>
    <row r="5301" spans="1:1" x14ac:dyDescent="0.25">
      <c r="A5301">
        <v>0</v>
      </c>
    </row>
    <row r="5302" spans="1:1" x14ac:dyDescent="0.25">
      <c r="A5302">
        <v>0</v>
      </c>
    </row>
    <row r="5303" spans="1:1" x14ac:dyDescent="0.25">
      <c r="A5303" s="9">
        <v>21351510.149999999</v>
      </c>
    </row>
    <row r="5304" spans="1:1" x14ac:dyDescent="0.25">
      <c r="A5304" s="9">
        <v>179642.07</v>
      </c>
    </row>
    <row r="5305" spans="1:1" x14ac:dyDescent="0.25">
      <c r="A5305" s="9">
        <v>2810860.68</v>
      </c>
    </row>
    <row r="5306" spans="1:1" x14ac:dyDescent="0.25">
      <c r="A5306">
        <v>0</v>
      </c>
    </row>
    <row r="5307" spans="1:1" x14ac:dyDescent="0.25">
      <c r="A5307" s="9">
        <v>8038785.8599999901</v>
      </c>
    </row>
    <row r="5308" spans="1:1" x14ac:dyDescent="0.25">
      <c r="A5308">
        <v>0</v>
      </c>
    </row>
    <row r="5309" spans="1:1" x14ac:dyDescent="0.25">
      <c r="A5309" s="9">
        <v>2907768.57</v>
      </c>
    </row>
    <row r="5310" spans="1:1" x14ac:dyDescent="0.25">
      <c r="A5310" s="9">
        <v>464857.59</v>
      </c>
    </row>
    <row r="5311" spans="1:1" x14ac:dyDescent="0.25">
      <c r="A5311">
        <v>0</v>
      </c>
    </row>
    <row r="5312" spans="1:1" x14ac:dyDescent="0.25">
      <c r="A5312" s="9">
        <v>36053.82</v>
      </c>
    </row>
    <row r="5313" spans="1:1" x14ac:dyDescent="0.25">
      <c r="A5313" s="9">
        <v>355925.98</v>
      </c>
    </row>
    <row r="5314" spans="1:1" x14ac:dyDescent="0.25">
      <c r="A5314" s="9">
        <v>19041111.690000001</v>
      </c>
    </row>
    <row r="5315" spans="1:1" x14ac:dyDescent="0.25">
      <c r="A5315" s="9">
        <v>750110.3</v>
      </c>
    </row>
    <row r="5316" spans="1:1" x14ac:dyDescent="0.25">
      <c r="A5316" s="9">
        <v>6745474.71</v>
      </c>
    </row>
    <row r="5317" spans="1:1" x14ac:dyDescent="0.25">
      <c r="A5317" s="9">
        <v>244391.28</v>
      </c>
    </row>
    <row r="5318" spans="1:1" x14ac:dyDescent="0.25">
      <c r="A5318" s="9">
        <v>1216277.56</v>
      </c>
    </row>
    <row r="5319" spans="1:1" x14ac:dyDescent="0.25">
      <c r="A5319" s="9">
        <v>4783190.1899999902</v>
      </c>
    </row>
    <row r="5320" spans="1:1" x14ac:dyDescent="0.25">
      <c r="A5320" s="9">
        <v>148737.42000000001</v>
      </c>
    </row>
    <row r="5321" spans="1:1" x14ac:dyDescent="0.25">
      <c r="A5321" s="9">
        <v>15774646.039999999</v>
      </c>
    </row>
    <row r="5322" spans="1:1" x14ac:dyDescent="0.25">
      <c r="A5322" s="9">
        <v>314832.24</v>
      </c>
    </row>
    <row r="5323" spans="1:1" x14ac:dyDescent="0.25">
      <c r="A5323" s="9">
        <v>783030.81</v>
      </c>
    </row>
    <row r="5324" spans="1:1" x14ac:dyDescent="0.25">
      <c r="A5324">
        <v>0</v>
      </c>
    </row>
    <row r="5325" spans="1:1" x14ac:dyDescent="0.25">
      <c r="A5325" s="9">
        <v>638035.91</v>
      </c>
    </row>
    <row r="5326" spans="1:1" x14ac:dyDescent="0.25">
      <c r="A5326">
        <v>0</v>
      </c>
    </row>
    <row r="5327" spans="1:1" x14ac:dyDescent="0.25">
      <c r="A5327">
        <v>0</v>
      </c>
    </row>
    <row r="5328" spans="1:1" x14ac:dyDescent="0.25">
      <c r="A5328" s="9">
        <v>2107778.08</v>
      </c>
    </row>
    <row r="5329" spans="1:1" x14ac:dyDescent="0.25">
      <c r="A5329" s="9">
        <v>4652937.21</v>
      </c>
    </row>
    <row r="5330" spans="1:1" x14ac:dyDescent="0.25">
      <c r="A5330" s="9">
        <v>2786254.46</v>
      </c>
    </row>
    <row r="5331" spans="1:1" x14ac:dyDescent="0.25">
      <c r="A5331">
        <v>168812</v>
      </c>
    </row>
    <row r="5332" spans="1:1" x14ac:dyDescent="0.25">
      <c r="A5332" s="9">
        <v>1740899.49</v>
      </c>
    </row>
    <row r="5333" spans="1:1" x14ac:dyDescent="0.25">
      <c r="A5333" s="9">
        <v>53896022.079999998</v>
      </c>
    </row>
    <row r="5334" spans="1:1" x14ac:dyDescent="0.25">
      <c r="A5334" s="9">
        <v>3906685.12</v>
      </c>
    </row>
    <row r="5335" spans="1:1" x14ac:dyDescent="0.25">
      <c r="A5335" s="9">
        <v>3290892.88</v>
      </c>
    </row>
    <row r="5336" spans="1:1" x14ac:dyDescent="0.25">
      <c r="A5336" s="9">
        <v>6189059.9699999997</v>
      </c>
    </row>
    <row r="5337" spans="1:1" x14ac:dyDescent="0.25">
      <c r="A5337" s="9">
        <v>151877.25</v>
      </c>
    </row>
    <row r="5338" spans="1:1" x14ac:dyDescent="0.25">
      <c r="A5338" s="9">
        <v>360094.29</v>
      </c>
    </row>
    <row r="5339" spans="1:1" x14ac:dyDescent="0.25">
      <c r="A5339" s="9">
        <v>2914572.28</v>
      </c>
    </row>
    <row r="5340" spans="1:1" x14ac:dyDescent="0.25">
      <c r="A5340">
        <v>0</v>
      </c>
    </row>
    <row r="5341" spans="1:1" x14ac:dyDescent="0.25">
      <c r="A5341" s="9">
        <v>457135.35</v>
      </c>
    </row>
    <row r="5342" spans="1:1" x14ac:dyDescent="0.25">
      <c r="A5342" s="9">
        <v>2007202.58</v>
      </c>
    </row>
    <row r="5343" spans="1:1" x14ac:dyDescent="0.25">
      <c r="A5343" s="9">
        <v>1554313.93</v>
      </c>
    </row>
    <row r="5344" spans="1:1" x14ac:dyDescent="0.25">
      <c r="A5344" s="9">
        <v>65788.36</v>
      </c>
    </row>
    <row r="5345" spans="1:1" x14ac:dyDescent="0.25">
      <c r="A5345" s="9">
        <v>6616767.4400000004</v>
      </c>
    </row>
    <row r="5346" spans="1:1" x14ac:dyDescent="0.25">
      <c r="A5346" s="9">
        <v>9890721.4800000004</v>
      </c>
    </row>
    <row r="5347" spans="1:1" x14ac:dyDescent="0.25">
      <c r="A5347" s="9">
        <v>892690.6</v>
      </c>
    </row>
    <row r="5348" spans="1:1" x14ac:dyDescent="0.25">
      <c r="A5348" s="9">
        <v>129212.64</v>
      </c>
    </row>
    <row r="5349" spans="1:1" x14ac:dyDescent="0.25">
      <c r="A5349">
        <v>0</v>
      </c>
    </row>
    <row r="5350" spans="1:1" x14ac:dyDescent="0.25">
      <c r="A5350" s="9">
        <v>5623951.6099999901</v>
      </c>
    </row>
    <row r="5351" spans="1:1" x14ac:dyDescent="0.25">
      <c r="A5351" s="9">
        <v>3967583.11</v>
      </c>
    </row>
    <row r="5352" spans="1:1" x14ac:dyDescent="0.25">
      <c r="A5352" s="9">
        <v>379337.3</v>
      </c>
    </row>
    <row r="5353" spans="1:1" x14ac:dyDescent="0.25">
      <c r="A5353" s="9">
        <v>5770826.0699999901</v>
      </c>
    </row>
    <row r="5354" spans="1:1" x14ac:dyDescent="0.25">
      <c r="A5354" s="9">
        <v>99163.74</v>
      </c>
    </row>
    <row r="5355" spans="1:1" x14ac:dyDescent="0.25">
      <c r="A5355" s="9">
        <v>4247216.87</v>
      </c>
    </row>
    <row r="5356" spans="1:1" x14ac:dyDescent="0.25">
      <c r="A5356" s="9">
        <v>7516831.3399999999</v>
      </c>
    </row>
    <row r="5357" spans="1:1" x14ac:dyDescent="0.25">
      <c r="A5357" s="9">
        <v>20461732.190000001</v>
      </c>
    </row>
    <row r="5358" spans="1:1" x14ac:dyDescent="0.25">
      <c r="A5358" s="9">
        <v>280225.65999999997</v>
      </c>
    </row>
    <row r="5359" spans="1:1" x14ac:dyDescent="0.25">
      <c r="A5359">
        <v>0</v>
      </c>
    </row>
    <row r="5360" spans="1:1" x14ac:dyDescent="0.25">
      <c r="A5360">
        <v>0</v>
      </c>
    </row>
    <row r="5361" spans="1:1" x14ac:dyDescent="0.25">
      <c r="A5361" s="9">
        <v>2158399.7799999998</v>
      </c>
    </row>
    <row r="5362" spans="1:1" x14ac:dyDescent="0.25">
      <c r="A5362" s="9">
        <v>2552965.7400000002</v>
      </c>
    </row>
    <row r="5363" spans="1:1" x14ac:dyDescent="0.25">
      <c r="A5363" s="9">
        <v>795973.53</v>
      </c>
    </row>
    <row r="5364" spans="1:1" x14ac:dyDescent="0.25">
      <c r="A5364" s="9">
        <v>6353591.8399999999</v>
      </c>
    </row>
    <row r="5365" spans="1:1" x14ac:dyDescent="0.25">
      <c r="A5365" s="9">
        <v>5557057.6399999997</v>
      </c>
    </row>
    <row r="5366" spans="1:1" x14ac:dyDescent="0.25">
      <c r="A5366" s="9">
        <v>3225039.88</v>
      </c>
    </row>
    <row r="5367" spans="1:1" x14ac:dyDescent="0.25">
      <c r="A5367">
        <v>0</v>
      </c>
    </row>
    <row r="5368" spans="1:1" x14ac:dyDescent="0.25">
      <c r="A5368" s="9">
        <v>831384.91</v>
      </c>
    </row>
    <row r="5369" spans="1:1" x14ac:dyDescent="0.25">
      <c r="A5369" s="9">
        <v>2125981.86</v>
      </c>
    </row>
    <row r="5370" spans="1:1" x14ac:dyDescent="0.25">
      <c r="A5370" s="9">
        <v>6602138.6399999997</v>
      </c>
    </row>
    <row r="5371" spans="1:1" x14ac:dyDescent="0.25">
      <c r="A5371" s="9">
        <v>2279570.4900000002</v>
      </c>
    </row>
    <row r="5372" spans="1:1" x14ac:dyDescent="0.25">
      <c r="A5372" s="9">
        <v>5052225.47</v>
      </c>
    </row>
    <row r="5373" spans="1:1" x14ac:dyDescent="0.25">
      <c r="A5373" s="9">
        <v>43713.93</v>
      </c>
    </row>
    <row r="5374" spans="1:1" x14ac:dyDescent="0.25">
      <c r="A5374">
        <v>0</v>
      </c>
    </row>
    <row r="5375" spans="1:1" x14ac:dyDescent="0.25">
      <c r="A5375" s="9">
        <v>1465717.68</v>
      </c>
    </row>
    <row r="5376" spans="1:1" x14ac:dyDescent="0.25">
      <c r="A5376" s="9">
        <v>435139.91</v>
      </c>
    </row>
    <row r="5377" spans="1:1" x14ac:dyDescent="0.25">
      <c r="A5377" s="9">
        <v>325810.74</v>
      </c>
    </row>
    <row r="5378" spans="1:1" x14ac:dyDescent="0.25">
      <c r="A5378">
        <v>0</v>
      </c>
    </row>
    <row r="5379" spans="1:1" x14ac:dyDescent="0.25">
      <c r="A5379" s="9">
        <v>16175188.880000001</v>
      </c>
    </row>
    <row r="5380" spans="1:1" x14ac:dyDescent="0.25">
      <c r="A5380" s="9">
        <v>7452347.5599999996</v>
      </c>
    </row>
    <row r="5381" spans="1:1" x14ac:dyDescent="0.25">
      <c r="A5381" s="9">
        <v>3300981.45</v>
      </c>
    </row>
    <row r="5382" spans="1:1" x14ac:dyDescent="0.25">
      <c r="A5382">
        <v>0</v>
      </c>
    </row>
    <row r="5383" spans="1:1" x14ac:dyDescent="0.25">
      <c r="A5383" s="9">
        <v>2118904.88</v>
      </c>
    </row>
    <row r="5384" spans="1:1" x14ac:dyDescent="0.25">
      <c r="A5384" s="9">
        <v>3231222.4</v>
      </c>
    </row>
    <row r="5385" spans="1:1" x14ac:dyDescent="0.25">
      <c r="A5385" s="9">
        <v>3910084.96</v>
      </c>
    </row>
    <row r="5386" spans="1:1" x14ac:dyDescent="0.25">
      <c r="A5386" s="9">
        <v>5942042.0800000001</v>
      </c>
    </row>
    <row r="5387" spans="1:1" x14ac:dyDescent="0.25">
      <c r="A5387" s="9">
        <v>5447553.5300000003</v>
      </c>
    </row>
    <row r="5388" spans="1:1" x14ac:dyDescent="0.25">
      <c r="A5388" s="9">
        <v>173251.05</v>
      </c>
    </row>
    <row r="5389" spans="1:1" x14ac:dyDescent="0.25">
      <c r="A5389" s="9">
        <v>3523135.72</v>
      </c>
    </row>
    <row r="5390" spans="1:1" x14ac:dyDescent="0.25">
      <c r="A5390" s="9">
        <v>26236011.91</v>
      </c>
    </row>
    <row r="5391" spans="1:1" x14ac:dyDescent="0.25">
      <c r="A5391" s="9">
        <v>600838.07999999996</v>
      </c>
    </row>
    <row r="5392" spans="1:1" x14ac:dyDescent="0.25">
      <c r="A5392">
        <v>4005157</v>
      </c>
    </row>
    <row r="5393" spans="1:1" x14ac:dyDescent="0.25">
      <c r="A5393" s="9">
        <v>6496508.6399999997</v>
      </c>
    </row>
    <row r="5394" spans="1:1" x14ac:dyDescent="0.25">
      <c r="A5394" s="9">
        <v>1248020.28</v>
      </c>
    </row>
    <row r="5395" spans="1:1" x14ac:dyDescent="0.25">
      <c r="A5395" s="9">
        <v>9665764.1400000006</v>
      </c>
    </row>
    <row r="5396" spans="1:1" x14ac:dyDescent="0.25">
      <c r="A5396">
        <v>0</v>
      </c>
    </row>
    <row r="5397" spans="1:1" x14ac:dyDescent="0.25">
      <c r="A5397" s="9">
        <v>16738924.76</v>
      </c>
    </row>
    <row r="5398" spans="1:1" x14ac:dyDescent="0.25">
      <c r="A5398" s="9">
        <v>5770222.21</v>
      </c>
    </row>
    <row r="5399" spans="1:1" x14ac:dyDescent="0.25">
      <c r="A5399" s="9">
        <v>2441747.16</v>
      </c>
    </row>
    <row r="5400" spans="1:1" x14ac:dyDescent="0.25">
      <c r="A5400">
        <v>0</v>
      </c>
    </row>
    <row r="5401" spans="1:1" x14ac:dyDescent="0.25">
      <c r="A5401" s="9">
        <v>33856199.439999998</v>
      </c>
    </row>
    <row r="5402" spans="1:1" x14ac:dyDescent="0.25">
      <c r="A5402" s="9">
        <v>3888219.18</v>
      </c>
    </row>
    <row r="5403" spans="1:1" x14ac:dyDescent="0.25">
      <c r="A5403" s="9">
        <v>797224.89</v>
      </c>
    </row>
    <row r="5404" spans="1:1" x14ac:dyDescent="0.25">
      <c r="A5404">
        <v>0</v>
      </c>
    </row>
    <row r="5405" spans="1:1" x14ac:dyDescent="0.25">
      <c r="A5405" s="9">
        <v>473472.98</v>
      </c>
    </row>
    <row r="5406" spans="1:1" x14ac:dyDescent="0.25">
      <c r="A5406" s="9">
        <v>1709047.09</v>
      </c>
    </row>
    <row r="5407" spans="1:1" x14ac:dyDescent="0.25">
      <c r="A5407" s="9">
        <v>4309144.53</v>
      </c>
    </row>
    <row r="5408" spans="1:1" x14ac:dyDescent="0.25">
      <c r="A5408" s="9">
        <v>16089683.699999999</v>
      </c>
    </row>
    <row r="5409" spans="1:1" x14ac:dyDescent="0.25">
      <c r="A5409" s="9">
        <v>30912567.329999998</v>
      </c>
    </row>
    <row r="5410" spans="1:1" x14ac:dyDescent="0.25">
      <c r="A5410">
        <v>0</v>
      </c>
    </row>
    <row r="5411" spans="1:1" x14ac:dyDescent="0.25">
      <c r="A5411">
        <v>0</v>
      </c>
    </row>
    <row r="5412" spans="1:1" x14ac:dyDescent="0.25">
      <c r="A5412">
        <v>0</v>
      </c>
    </row>
    <row r="5413" spans="1:1" x14ac:dyDescent="0.25">
      <c r="A5413">
        <v>0</v>
      </c>
    </row>
    <row r="5414" spans="1:1" x14ac:dyDescent="0.25">
      <c r="A5414">
        <v>0</v>
      </c>
    </row>
    <row r="5415" spans="1:1" x14ac:dyDescent="0.25">
      <c r="A5415" s="9">
        <v>1697684.16</v>
      </c>
    </row>
    <row r="5416" spans="1:1" x14ac:dyDescent="0.25">
      <c r="A5416" s="9">
        <v>208995.62</v>
      </c>
    </row>
    <row r="5417" spans="1:1" x14ac:dyDescent="0.25">
      <c r="A5417">
        <v>0</v>
      </c>
    </row>
    <row r="5418" spans="1:1" x14ac:dyDescent="0.25">
      <c r="A5418">
        <v>0</v>
      </c>
    </row>
    <row r="5419" spans="1:1" x14ac:dyDescent="0.25">
      <c r="A5419" s="9">
        <v>5279883.1199999899</v>
      </c>
    </row>
    <row r="5420" spans="1:1" x14ac:dyDescent="0.25">
      <c r="A5420" s="9">
        <v>69989.64</v>
      </c>
    </row>
    <row r="5421" spans="1:1" x14ac:dyDescent="0.25">
      <c r="A5421" s="9">
        <v>35344402.43</v>
      </c>
    </row>
    <row r="5422" spans="1:1" x14ac:dyDescent="0.25">
      <c r="A5422" s="9">
        <v>3689806.02</v>
      </c>
    </row>
    <row r="5423" spans="1:1" x14ac:dyDescent="0.25">
      <c r="A5423">
        <v>0</v>
      </c>
    </row>
    <row r="5424" spans="1:1" x14ac:dyDescent="0.25">
      <c r="A5424" s="9">
        <v>11817561.99</v>
      </c>
    </row>
    <row r="5425" spans="1:1" x14ac:dyDescent="0.25">
      <c r="A5425" s="9">
        <v>430316.7</v>
      </c>
    </row>
    <row r="5426" spans="1:1" x14ac:dyDescent="0.25">
      <c r="A5426" s="9">
        <v>513880.93999999901</v>
      </c>
    </row>
    <row r="5427" spans="1:1" x14ac:dyDescent="0.25">
      <c r="A5427" s="9">
        <v>43982978.880000003</v>
      </c>
    </row>
    <row r="5428" spans="1:1" x14ac:dyDescent="0.25">
      <c r="A5428" s="9">
        <v>556197.07999999996</v>
      </c>
    </row>
    <row r="5429" spans="1:1" x14ac:dyDescent="0.25">
      <c r="A5429" s="9">
        <v>23697465.329999998</v>
      </c>
    </row>
    <row r="5430" spans="1:1" x14ac:dyDescent="0.25">
      <c r="A5430" s="9">
        <v>13353443.48</v>
      </c>
    </row>
    <row r="5431" spans="1:1" x14ac:dyDescent="0.25">
      <c r="A5431">
        <v>0</v>
      </c>
    </row>
    <row r="5432" spans="1:1" x14ac:dyDescent="0.25">
      <c r="A5432" s="9">
        <v>2826421.5</v>
      </c>
    </row>
    <row r="5433" spans="1:1" x14ac:dyDescent="0.25">
      <c r="A5433" s="9">
        <v>10031223.41</v>
      </c>
    </row>
    <row r="5434" spans="1:1" x14ac:dyDescent="0.25">
      <c r="A5434" s="9">
        <v>4265660.68</v>
      </c>
    </row>
    <row r="5435" spans="1:1" x14ac:dyDescent="0.25">
      <c r="A5435">
        <v>0</v>
      </c>
    </row>
    <row r="5436" spans="1:1" x14ac:dyDescent="0.25">
      <c r="A5436" s="9">
        <v>10044852.609999999</v>
      </c>
    </row>
    <row r="5437" spans="1:1" x14ac:dyDescent="0.25">
      <c r="A5437" s="9">
        <v>2627455.84</v>
      </c>
    </row>
    <row r="5438" spans="1:1" x14ac:dyDescent="0.25">
      <c r="A5438">
        <v>0</v>
      </c>
    </row>
    <row r="5439" spans="1:1" x14ac:dyDescent="0.25">
      <c r="A5439" s="9">
        <v>385446.99</v>
      </c>
    </row>
    <row r="5440" spans="1:1" x14ac:dyDescent="0.25">
      <c r="A5440">
        <v>0</v>
      </c>
    </row>
    <row r="5441" spans="1:1" x14ac:dyDescent="0.25">
      <c r="A5441" s="9">
        <v>662050.53</v>
      </c>
    </row>
    <row r="5442" spans="1:1" x14ac:dyDescent="0.25">
      <c r="A5442" s="9">
        <v>5539739.6699999999</v>
      </c>
    </row>
    <row r="5443" spans="1:1" x14ac:dyDescent="0.25">
      <c r="A5443" s="9">
        <v>21132873.57</v>
      </c>
    </row>
    <row r="5444" spans="1:1" x14ac:dyDescent="0.25">
      <c r="A5444">
        <v>0</v>
      </c>
    </row>
    <row r="5445" spans="1:1" x14ac:dyDescent="0.25">
      <c r="A5445" s="9">
        <v>173251.05</v>
      </c>
    </row>
    <row r="5446" spans="1:1" x14ac:dyDescent="0.25">
      <c r="A5446" s="9">
        <v>1647737.32</v>
      </c>
    </row>
    <row r="5447" spans="1:1" x14ac:dyDescent="0.25">
      <c r="A5447">
        <v>0</v>
      </c>
    </row>
    <row r="5448" spans="1:1" x14ac:dyDescent="0.25">
      <c r="A5448">
        <v>0</v>
      </c>
    </row>
    <row r="5449" spans="1:1" x14ac:dyDescent="0.25">
      <c r="A5449">
        <v>0</v>
      </c>
    </row>
    <row r="5450" spans="1:1" x14ac:dyDescent="0.25">
      <c r="A5450" s="9">
        <v>31046346.460000001</v>
      </c>
    </row>
    <row r="5451" spans="1:1" x14ac:dyDescent="0.25">
      <c r="A5451" s="9">
        <v>358546.17</v>
      </c>
    </row>
    <row r="5452" spans="1:1" x14ac:dyDescent="0.25">
      <c r="A5452" s="9">
        <v>3259751.65</v>
      </c>
    </row>
    <row r="5453" spans="1:1" x14ac:dyDescent="0.25">
      <c r="A5453" s="9">
        <v>5065750.68</v>
      </c>
    </row>
    <row r="5454" spans="1:1" x14ac:dyDescent="0.25">
      <c r="A5454" s="9">
        <v>5290242.1999999899</v>
      </c>
    </row>
    <row r="5455" spans="1:1" x14ac:dyDescent="0.25">
      <c r="A5455">
        <v>0</v>
      </c>
    </row>
    <row r="5456" spans="1:1" x14ac:dyDescent="0.25">
      <c r="A5456">
        <v>0</v>
      </c>
    </row>
    <row r="5457" spans="1:1" x14ac:dyDescent="0.25">
      <c r="A5457" s="9">
        <v>17641102.079999998</v>
      </c>
    </row>
    <row r="5458" spans="1:1" x14ac:dyDescent="0.25">
      <c r="A5458" s="9">
        <v>2192086.8199999998</v>
      </c>
    </row>
    <row r="5459" spans="1:1" x14ac:dyDescent="0.25">
      <c r="A5459" s="9">
        <v>4224825.02999999</v>
      </c>
    </row>
    <row r="5460" spans="1:1" x14ac:dyDescent="0.25">
      <c r="A5460" s="9">
        <v>7610628.7300000004</v>
      </c>
    </row>
    <row r="5461" spans="1:1" x14ac:dyDescent="0.25">
      <c r="A5461" s="9">
        <v>3121087.68</v>
      </c>
    </row>
    <row r="5462" spans="1:1" x14ac:dyDescent="0.25">
      <c r="A5462" s="9">
        <v>245304.95999999999</v>
      </c>
    </row>
    <row r="5463" spans="1:1" x14ac:dyDescent="0.25">
      <c r="A5463" s="9">
        <v>2666623.89</v>
      </c>
    </row>
    <row r="5464" spans="1:1" x14ac:dyDescent="0.25">
      <c r="A5464" s="9">
        <v>12139502.039999999</v>
      </c>
    </row>
    <row r="5465" spans="1:1" x14ac:dyDescent="0.25">
      <c r="A5465" s="9">
        <v>22734599.84</v>
      </c>
    </row>
    <row r="5466" spans="1:1" x14ac:dyDescent="0.25">
      <c r="A5466" s="9">
        <v>10791919.74</v>
      </c>
    </row>
    <row r="5467" spans="1:1" x14ac:dyDescent="0.25">
      <c r="A5467" s="9">
        <v>261354.96</v>
      </c>
    </row>
    <row r="5468" spans="1:1" x14ac:dyDescent="0.25">
      <c r="A5468">
        <v>0</v>
      </c>
    </row>
    <row r="5469" spans="1:1" x14ac:dyDescent="0.25">
      <c r="A5469" s="9">
        <v>5307269.0999999996</v>
      </c>
    </row>
    <row r="5470" spans="1:1" x14ac:dyDescent="0.25">
      <c r="A5470" s="9">
        <v>29269.759999999998</v>
      </c>
    </row>
    <row r="5471" spans="1:1" x14ac:dyDescent="0.25">
      <c r="A5471" s="9">
        <v>10611793.210000001</v>
      </c>
    </row>
    <row r="5472" spans="1:1" x14ac:dyDescent="0.25">
      <c r="A5472">
        <v>0</v>
      </c>
    </row>
    <row r="5473" spans="1:1" x14ac:dyDescent="0.25">
      <c r="A5473" s="9">
        <v>377855.37</v>
      </c>
    </row>
    <row r="5474" spans="1:1" x14ac:dyDescent="0.25">
      <c r="A5474" s="9">
        <v>25050313.010000002</v>
      </c>
    </row>
    <row r="5475" spans="1:1" x14ac:dyDescent="0.25">
      <c r="A5475" s="9">
        <v>1859578.63</v>
      </c>
    </row>
    <row r="5476" spans="1:1" x14ac:dyDescent="0.25">
      <c r="A5476">
        <v>0</v>
      </c>
    </row>
    <row r="5477" spans="1:1" x14ac:dyDescent="0.25">
      <c r="A5477" s="9">
        <v>1878777.86</v>
      </c>
    </row>
    <row r="5478" spans="1:1" x14ac:dyDescent="0.25">
      <c r="A5478" s="9">
        <v>1748637.28</v>
      </c>
    </row>
    <row r="5479" spans="1:1" x14ac:dyDescent="0.25">
      <c r="A5479">
        <v>0</v>
      </c>
    </row>
    <row r="5480" spans="1:1" x14ac:dyDescent="0.25">
      <c r="A5480" s="9">
        <v>42804777.039999999</v>
      </c>
    </row>
    <row r="5481" spans="1:1" x14ac:dyDescent="0.25">
      <c r="A5481" s="9">
        <v>225978.12</v>
      </c>
    </row>
    <row r="5482" spans="1:1" x14ac:dyDescent="0.25">
      <c r="A5482" s="9">
        <v>218479.1</v>
      </c>
    </row>
    <row r="5483" spans="1:1" x14ac:dyDescent="0.25">
      <c r="A5483">
        <v>0</v>
      </c>
    </row>
    <row r="5484" spans="1:1" x14ac:dyDescent="0.25">
      <c r="A5484">
        <v>0</v>
      </c>
    </row>
    <row r="5485" spans="1:1" x14ac:dyDescent="0.25">
      <c r="A5485" s="9">
        <v>225978.12</v>
      </c>
    </row>
    <row r="5486" spans="1:1" x14ac:dyDescent="0.25">
      <c r="A5486" s="9">
        <v>16638460.25</v>
      </c>
    </row>
    <row r="5487" spans="1:1" x14ac:dyDescent="0.25">
      <c r="A5487" s="9">
        <v>9155729.1500000004</v>
      </c>
    </row>
    <row r="5488" spans="1:1" x14ac:dyDescent="0.25">
      <c r="A5488" s="9">
        <v>105702.6</v>
      </c>
    </row>
    <row r="5489" spans="1:1" x14ac:dyDescent="0.25">
      <c r="A5489" s="9">
        <v>466889.38</v>
      </c>
    </row>
    <row r="5490" spans="1:1" x14ac:dyDescent="0.25">
      <c r="A5490" s="9">
        <v>2496118.73</v>
      </c>
    </row>
    <row r="5491" spans="1:1" x14ac:dyDescent="0.25">
      <c r="A5491" s="9">
        <v>3149709.12</v>
      </c>
    </row>
    <row r="5492" spans="1:1" x14ac:dyDescent="0.25">
      <c r="A5492">
        <v>0</v>
      </c>
    </row>
    <row r="5493" spans="1:1" x14ac:dyDescent="0.25">
      <c r="A5493" s="9">
        <v>2941117.9</v>
      </c>
    </row>
    <row r="5494" spans="1:1" x14ac:dyDescent="0.25">
      <c r="A5494" s="9">
        <v>1218647.3899999999</v>
      </c>
    </row>
    <row r="5495" spans="1:1" x14ac:dyDescent="0.25">
      <c r="A5495" s="9">
        <v>952598.83</v>
      </c>
    </row>
    <row r="5496" spans="1:1" x14ac:dyDescent="0.25">
      <c r="A5496" s="9">
        <v>19532760.030000001</v>
      </c>
    </row>
    <row r="5497" spans="1:1" x14ac:dyDescent="0.25">
      <c r="A5497">
        <v>3802860</v>
      </c>
    </row>
    <row r="5498" spans="1:1" x14ac:dyDescent="0.25">
      <c r="A5498">
        <v>0</v>
      </c>
    </row>
    <row r="5499" spans="1:1" x14ac:dyDescent="0.25">
      <c r="A5499" s="9">
        <v>2964451.14</v>
      </c>
    </row>
    <row r="5500" spans="1:1" x14ac:dyDescent="0.25">
      <c r="A5500" s="9">
        <v>221295.23</v>
      </c>
    </row>
    <row r="5501" spans="1:1" x14ac:dyDescent="0.25">
      <c r="A5501" s="9">
        <v>4910027.3599999901</v>
      </c>
    </row>
    <row r="5502" spans="1:1" x14ac:dyDescent="0.25">
      <c r="A5502" s="9">
        <v>541514.03</v>
      </c>
    </row>
    <row r="5503" spans="1:1" x14ac:dyDescent="0.25">
      <c r="A5503" s="9">
        <v>47975864.25</v>
      </c>
    </row>
    <row r="5504" spans="1:1" x14ac:dyDescent="0.25">
      <c r="A5504" s="9">
        <v>4523896.08</v>
      </c>
    </row>
    <row r="5505" spans="1:1" x14ac:dyDescent="0.25">
      <c r="A5505" s="9">
        <v>4759108.37</v>
      </c>
    </row>
    <row r="5506" spans="1:1" x14ac:dyDescent="0.25">
      <c r="A5506" s="9">
        <v>8622471.9600000009</v>
      </c>
    </row>
    <row r="5507" spans="1:1" x14ac:dyDescent="0.25">
      <c r="A5507" s="9">
        <v>29269.759999999998</v>
      </c>
    </row>
    <row r="5508" spans="1:1" x14ac:dyDescent="0.25">
      <c r="A5508" s="9">
        <v>13685780.470000001</v>
      </c>
    </row>
    <row r="5509" spans="1:1" x14ac:dyDescent="0.25">
      <c r="A5509" s="9">
        <v>11716807.42</v>
      </c>
    </row>
    <row r="5510" spans="1:1" x14ac:dyDescent="0.25">
      <c r="A5510" s="9">
        <v>491040.88</v>
      </c>
    </row>
    <row r="5511" spans="1:1" x14ac:dyDescent="0.25">
      <c r="A5511" s="9">
        <v>4700171.0999999996</v>
      </c>
    </row>
    <row r="5512" spans="1:1" x14ac:dyDescent="0.25">
      <c r="A5512" s="9">
        <v>55802.559999999998</v>
      </c>
    </row>
    <row r="5513" spans="1:1" x14ac:dyDescent="0.25">
      <c r="A5513" s="9">
        <v>10227412.48</v>
      </c>
    </row>
    <row r="5514" spans="1:1" x14ac:dyDescent="0.25">
      <c r="A5514" s="9">
        <v>800514.76</v>
      </c>
    </row>
    <row r="5515" spans="1:1" x14ac:dyDescent="0.25">
      <c r="A5515" s="9">
        <v>3887850.66</v>
      </c>
    </row>
    <row r="5516" spans="1:1" x14ac:dyDescent="0.25">
      <c r="A5516" s="9">
        <v>3322010.74</v>
      </c>
    </row>
    <row r="5517" spans="1:1" x14ac:dyDescent="0.25">
      <c r="A5517" s="9">
        <v>13743818.68</v>
      </c>
    </row>
    <row r="5518" spans="1:1" x14ac:dyDescent="0.25">
      <c r="A5518" s="9">
        <v>3289004.42</v>
      </c>
    </row>
    <row r="5519" spans="1:1" x14ac:dyDescent="0.25">
      <c r="A5519">
        <v>0</v>
      </c>
    </row>
    <row r="5520" spans="1:1" x14ac:dyDescent="0.25">
      <c r="A5520" s="9">
        <v>2454554.54</v>
      </c>
    </row>
    <row r="5521" spans="1:1" x14ac:dyDescent="0.25">
      <c r="A5521" s="9">
        <v>4373756.87</v>
      </c>
    </row>
    <row r="5522" spans="1:1" x14ac:dyDescent="0.25">
      <c r="A5522" s="9">
        <v>13458585.710000001</v>
      </c>
    </row>
    <row r="5523" spans="1:1" x14ac:dyDescent="0.25">
      <c r="A5523" s="9">
        <v>4135125.14</v>
      </c>
    </row>
    <row r="5524" spans="1:1" x14ac:dyDescent="0.25">
      <c r="A5524">
        <v>0</v>
      </c>
    </row>
    <row r="5525" spans="1:1" x14ac:dyDescent="0.25">
      <c r="A5525" s="9">
        <v>82988.849999999904</v>
      </c>
    </row>
    <row r="5526" spans="1:1" x14ac:dyDescent="0.25">
      <c r="A5526">
        <v>0</v>
      </c>
    </row>
    <row r="5527" spans="1:1" x14ac:dyDescent="0.25">
      <c r="A5527" s="9">
        <v>3191851.05</v>
      </c>
    </row>
    <row r="5528" spans="1:1" x14ac:dyDescent="0.25">
      <c r="A5528">
        <v>0</v>
      </c>
    </row>
    <row r="5529" spans="1:1" x14ac:dyDescent="0.25">
      <c r="A5529" s="9">
        <v>21720505.530000001</v>
      </c>
    </row>
    <row r="5530" spans="1:1" x14ac:dyDescent="0.25">
      <c r="A5530" s="9">
        <v>461152.4</v>
      </c>
    </row>
    <row r="5531" spans="1:1" x14ac:dyDescent="0.25">
      <c r="A5531" s="9">
        <v>261354.96</v>
      </c>
    </row>
    <row r="5532" spans="1:1" x14ac:dyDescent="0.25">
      <c r="A5532" s="9">
        <v>9232640.5700000003</v>
      </c>
    </row>
    <row r="5533" spans="1:1" x14ac:dyDescent="0.25">
      <c r="A5533" s="9">
        <v>1376877.25</v>
      </c>
    </row>
    <row r="5534" spans="1:1" x14ac:dyDescent="0.25">
      <c r="A5534">
        <v>0</v>
      </c>
    </row>
    <row r="5535" spans="1:1" x14ac:dyDescent="0.25">
      <c r="A5535" s="9">
        <v>6682319.7300000004</v>
      </c>
    </row>
    <row r="5536" spans="1:1" x14ac:dyDescent="0.25">
      <c r="A5536" s="9">
        <v>46393067.369999997</v>
      </c>
    </row>
    <row r="5537" spans="1:1" x14ac:dyDescent="0.25">
      <c r="A5537">
        <v>0</v>
      </c>
    </row>
    <row r="5538" spans="1:1" x14ac:dyDescent="0.25">
      <c r="A5538" s="9">
        <v>4222496.58</v>
      </c>
    </row>
    <row r="5539" spans="1:1" x14ac:dyDescent="0.25">
      <c r="A5539" s="9">
        <v>25343872.809999999</v>
      </c>
    </row>
    <row r="5540" spans="1:1" x14ac:dyDescent="0.25">
      <c r="A5540" s="9">
        <v>180559.76</v>
      </c>
    </row>
    <row r="5541" spans="1:1" x14ac:dyDescent="0.25">
      <c r="A5541" s="9">
        <v>94400.639999999999</v>
      </c>
    </row>
    <row r="5542" spans="1:1" x14ac:dyDescent="0.25">
      <c r="A5542" s="9">
        <v>19002476.949999999</v>
      </c>
    </row>
    <row r="5543" spans="1:1" x14ac:dyDescent="0.25">
      <c r="A5543" s="9">
        <v>2375412.66</v>
      </c>
    </row>
    <row r="5544" spans="1:1" x14ac:dyDescent="0.25">
      <c r="A5544" s="9">
        <v>3999358.06</v>
      </c>
    </row>
    <row r="5545" spans="1:1" x14ac:dyDescent="0.25">
      <c r="A5545" s="9">
        <v>25680989.02</v>
      </c>
    </row>
    <row r="5546" spans="1:1" x14ac:dyDescent="0.25">
      <c r="A5546" s="9">
        <v>3898426.9</v>
      </c>
    </row>
    <row r="5547" spans="1:1" x14ac:dyDescent="0.25">
      <c r="A5547">
        <v>0</v>
      </c>
    </row>
    <row r="5548" spans="1:1" x14ac:dyDescent="0.25">
      <c r="A5548" s="9">
        <v>108983.24</v>
      </c>
    </row>
    <row r="5549" spans="1:1" x14ac:dyDescent="0.25">
      <c r="A5549" s="9">
        <v>10162547.42</v>
      </c>
    </row>
    <row r="5550" spans="1:1" x14ac:dyDescent="0.25">
      <c r="A5550" s="9">
        <v>82988.849999999904</v>
      </c>
    </row>
    <row r="5551" spans="1:1" x14ac:dyDescent="0.25">
      <c r="A5551" s="9">
        <v>4936316.01</v>
      </c>
    </row>
    <row r="5552" spans="1:1" x14ac:dyDescent="0.25">
      <c r="A5552" s="9">
        <v>2647567.98</v>
      </c>
    </row>
    <row r="5553" spans="1:1" x14ac:dyDescent="0.25">
      <c r="A5553" s="9">
        <v>8918960.1500000004</v>
      </c>
    </row>
    <row r="5554" spans="1:1" x14ac:dyDescent="0.25">
      <c r="A5554" s="9">
        <v>4400712.3</v>
      </c>
    </row>
    <row r="5555" spans="1:1" x14ac:dyDescent="0.25">
      <c r="A5555" s="9">
        <v>12638611.5</v>
      </c>
    </row>
    <row r="5556" spans="1:1" x14ac:dyDescent="0.25">
      <c r="A5556" s="9">
        <v>2441747.16</v>
      </c>
    </row>
    <row r="5557" spans="1:1" x14ac:dyDescent="0.25">
      <c r="A5557" s="9">
        <v>6699480.0199999996</v>
      </c>
    </row>
    <row r="5558" spans="1:1" x14ac:dyDescent="0.25">
      <c r="A5558" s="9">
        <v>353458.04</v>
      </c>
    </row>
    <row r="5559" spans="1:1" x14ac:dyDescent="0.25">
      <c r="A5559">
        <v>0</v>
      </c>
    </row>
    <row r="5560" spans="1:1" x14ac:dyDescent="0.25">
      <c r="A5560">
        <v>0</v>
      </c>
    </row>
    <row r="5561" spans="1:1" x14ac:dyDescent="0.25">
      <c r="A5561" s="9">
        <v>7961905.25</v>
      </c>
    </row>
    <row r="5562" spans="1:1" x14ac:dyDescent="0.25">
      <c r="A5562" s="9">
        <v>4664760.97</v>
      </c>
    </row>
    <row r="5563" spans="1:1" x14ac:dyDescent="0.25">
      <c r="A5563" s="9">
        <v>37728010.039999902</v>
      </c>
    </row>
    <row r="5564" spans="1:1" x14ac:dyDescent="0.25">
      <c r="A5564">
        <v>0</v>
      </c>
    </row>
    <row r="5565" spans="1:1" x14ac:dyDescent="0.25">
      <c r="A5565" s="9">
        <v>6984794.8399999999</v>
      </c>
    </row>
    <row r="5566" spans="1:1" x14ac:dyDescent="0.25">
      <c r="A5566">
        <v>0</v>
      </c>
    </row>
    <row r="5567" spans="1:1" x14ac:dyDescent="0.25">
      <c r="A5567" s="9">
        <v>4679558.5999999996</v>
      </c>
    </row>
    <row r="5568" spans="1:1" x14ac:dyDescent="0.25">
      <c r="A5568" s="9">
        <v>3521049.96</v>
      </c>
    </row>
    <row r="5569" spans="1:1" x14ac:dyDescent="0.25">
      <c r="A5569" s="9">
        <v>3789590.41</v>
      </c>
    </row>
    <row r="5570" spans="1:1" x14ac:dyDescent="0.25">
      <c r="A5570">
        <v>0</v>
      </c>
    </row>
    <row r="5571" spans="1:1" x14ac:dyDescent="0.25">
      <c r="A5571" s="9">
        <v>19811743.98</v>
      </c>
    </row>
    <row r="5572" spans="1:1" x14ac:dyDescent="0.25">
      <c r="A5572" s="9">
        <v>2007046.11</v>
      </c>
    </row>
    <row r="5573" spans="1:1" x14ac:dyDescent="0.25">
      <c r="A5573">
        <v>0</v>
      </c>
    </row>
    <row r="5574" spans="1:1" x14ac:dyDescent="0.25">
      <c r="A5574" s="9">
        <v>11298548.880000001</v>
      </c>
    </row>
    <row r="5575" spans="1:1" x14ac:dyDescent="0.25">
      <c r="A5575">
        <v>0</v>
      </c>
    </row>
    <row r="5576" spans="1:1" x14ac:dyDescent="0.25">
      <c r="A5576">
        <v>0</v>
      </c>
    </row>
    <row r="5577" spans="1:1" x14ac:dyDescent="0.25">
      <c r="A5577" s="9">
        <v>5328046.6900000004</v>
      </c>
    </row>
    <row r="5578" spans="1:1" x14ac:dyDescent="0.25">
      <c r="A5578" s="9">
        <v>17188194.68</v>
      </c>
    </row>
    <row r="5579" spans="1:1" x14ac:dyDescent="0.25">
      <c r="A5579" s="9">
        <v>3183664.28</v>
      </c>
    </row>
    <row r="5580" spans="1:1" x14ac:dyDescent="0.25">
      <c r="A5580" s="9">
        <v>6832092.21</v>
      </c>
    </row>
    <row r="5581" spans="1:1" x14ac:dyDescent="0.25">
      <c r="A5581" s="9">
        <v>120431.52</v>
      </c>
    </row>
    <row r="5582" spans="1:1" x14ac:dyDescent="0.25">
      <c r="A5582" s="9">
        <v>2753703</v>
      </c>
    </row>
    <row r="5583" spans="1:1" x14ac:dyDescent="0.25">
      <c r="A5583" s="9">
        <v>426245.9</v>
      </c>
    </row>
    <row r="5584" spans="1:1" x14ac:dyDescent="0.25">
      <c r="A5584" s="9">
        <v>29006694.039999999</v>
      </c>
    </row>
    <row r="5585" spans="1:1" x14ac:dyDescent="0.25">
      <c r="A5585" s="9">
        <v>3329721.55</v>
      </c>
    </row>
    <row r="5586" spans="1:1" x14ac:dyDescent="0.25">
      <c r="A5586" s="9">
        <v>45277130.460000001</v>
      </c>
    </row>
    <row r="5587" spans="1:1" x14ac:dyDescent="0.25">
      <c r="A5587">
        <v>0</v>
      </c>
    </row>
    <row r="5588" spans="1:1" x14ac:dyDescent="0.25">
      <c r="A5588" s="9">
        <v>2618789.6</v>
      </c>
    </row>
    <row r="5589" spans="1:1" x14ac:dyDescent="0.25">
      <c r="A5589" s="9">
        <v>11726507.83</v>
      </c>
    </row>
    <row r="5590" spans="1:1" x14ac:dyDescent="0.25">
      <c r="A5590" s="9">
        <v>3430530.99</v>
      </c>
    </row>
    <row r="5591" spans="1:1" x14ac:dyDescent="0.25">
      <c r="A5591" s="9">
        <v>3318874.48</v>
      </c>
    </row>
    <row r="5592" spans="1:1" x14ac:dyDescent="0.25">
      <c r="A5592" s="9">
        <v>1464440.96</v>
      </c>
    </row>
    <row r="5593" spans="1:1" x14ac:dyDescent="0.25">
      <c r="A5593">
        <v>0</v>
      </c>
    </row>
    <row r="5594" spans="1:1" x14ac:dyDescent="0.25">
      <c r="A5594" s="9">
        <v>549551.94999999995</v>
      </c>
    </row>
    <row r="5595" spans="1:1" x14ac:dyDescent="0.25">
      <c r="A5595" s="9">
        <v>3407294.3</v>
      </c>
    </row>
    <row r="5596" spans="1:1" x14ac:dyDescent="0.25">
      <c r="A5596">
        <v>0</v>
      </c>
    </row>
    <row r="5597" spans="1:1" x14ac:dyDescent="0.25">
      <c r="A5597" s="9">
        <v>9209993.1699999999</v>
      </c>
    </row>
    <row r="5598" spans="1:1" x14ac:dyDescent="0.25">
      <c r="A5598" s="9">
        <v>2086384.22</v>
      </c>
    </row>
    <row r="5599" spans="1:1" x14ac:dyDescent="0.25">
      <c r="A5599" s="9">
        <v>2384108.64</v>
      </c>
    </row>
    <row r="5600" spans="1:1" x14ac:dyDescent="0.25">
      <c r="A5600" s="9">
        <v>4958166.7300000004</v>
      </c>
    </row>
    <row r="5601" spans="1:1" x14ac:dyDescent="0.25">
      <c r="A5601" s="9">
        <v>1566540</v>
      </c>
    </row>
    <row r="5602" spans="1:1" x14ac:dyDescent="0.25">
      <c r="A5602">
        <v>0</v>
      </c>
    </row>
    <row r="5603" spans="1:1" x14ac:dyDescent="0.25">
      <c r="A5603" s="9">
        <v>496369.08</v>
      </c>
    </row>
    <row r="5604" spans="1:1" x14ac:dyDescent="0.25">
      <c r="A5604">
        <v>0</v>
      </c>
    </row>
    <row r="5605" spans="1:1" x14ac:dyDescent="0.25">
      <c r="A5605">
        <v>0</v>
      </c>
    </row>
    <row r="5606" spans="1:1" x14ac:dyDescent="0.25">
      <c r="A5606">
        <v>0</v>
      </c>
    </row>
    <row r="5607" spans="1:1" x14ac:dyDescent="0.25">
      <c r="A5607">
        <v>0</v>
      </c>
    </row>
    <row r="5608" spans="1:1" x14ac:dyDescent="0.25">
      <c r="A5608" s="9">
        <v>1755033.46</v>
      </c>
    </row>
    <row r="5609" spans="1:1" x14ac:dyDescent="0.25">
      <c r="A5609">
        <v>0</v>
      </c>
    </row>
    <row r="5610" spans="1:1" x14ac:dyDescent="0.25">
      <c r="A5610" s="9">
        <v>1959445.77</v>
      </c>
    </row>
    <row r="5611" spans="1:1" x14ac:dyDescent="0.25">
      <c r="A5611" s="9">
        <v>151877.25</v>
      </c>
    </row>
    <row r="5612" spans="1:1" x14ac:dyDescent="0.25">
      <c r="A5612">
        <v>0</v>
      </c>
    </row>
    <row r="5613" spans="1:1" x14ac:dyDescent="0.25">
      <c r="A5613">
        <v>0</v>
      </c>
    </row>
    <row r="5614" spans="1:1" x14ac:dyDescent="0.25">
      <c r="A5614" s="9">
        <v>1174774.3999999999</v>
      </c>
    </row>
    <row r="5615" spans="1:1" x14ac:dyDescent="0.25">
      <c r="A5615" s="9">
        <v>7568957.75</v>
      </c>
    </row>
    <row r="5616" spans="1:1" x14ac:dyDescent="0.25">
      <c r="A5616" s="9">
        <v>30611281.93</v>
      </c>
    </row>
    <row r="5617" spans="1:1" x14ac:dyDescent="0.25">
      <c r="A5617" s="9">
        <v>3733071.17</v>
      </c>
    </row>
    <row r="5618" spans="1:1" x14ac:dyDescent="0.25">
      <c r="A5618">
        <v>0</v>
      </c>
    </row>
    <row r="5619" spans="1:1" x14ac:dyDescent="0.25">
      <c r="A5619" s="9">
        <v>4052689.43</v>
      </c>
    </row>
    <row r="5620" spans="1:1" x14ac:dyDescent="0.25">
      <c r="A5620" s="9">
        <v>15376923.439999999</v>
      </c>
    </row>
    <row r="5621" spans="1:1" x14ac:dyDescent="0.25">
      <c r="A5621" s="9">
        <v>13928844.9</v>
      </c>
    </row>
    <row r="5622" spans="1:1" x14ac:dyDescent="0.25">
      <c r="A5622" s="9">
        <v>6925415.9500000002</v>
      </c>
    </row>
    <row r="5623" spans="1:1" x14ac:dyDescent="0.25">
      <c r="A5623" s="9">
        <v>7673986.5699999901</v>
      </c>
    </row>
    <row r="5624" spans="1:1" x14ac:dyDescent="0.25">
      <c r="A5624" s="9">
        <v>4722016.6899999902</v>
      </c>
    </row>
    <row r="5625" spans="1:1" x14ac:dyDescent="0.25">
      <c r="A5625" s="9">
        <v>1389762.57</v>
      </c>
    </row>
    <row r="5626" spans="1:1" x14ac:dyDescent="0.25">
      <c r="A5626" s="9">
        <v>2128398.63</v>
      </c>
    </row>
    <row r="5627" spans="1:1" x14ac:dyDescent="0.25">
      <c r="A5627" s="9">
        <v>16569799.4</v>
      </c>
    </row>
    <row r="5628" spans="1:1" x14ac:dyDescent="0.25">
      <c r="A5628" s="9">
        <v>4606227.5199999996</v>
      </c>
    </row>
    <row r="5629" spans="1:1" x14ac:dyDescent="0.25">
      <c r="A5629" s="9">
        <v>2826421.5</v>
      </c>
    </row>
    <row r="5630" spans="1:1" x14ac:dyDescent="0.25">
      <c r="A5630" s="9">
        <v>2932724.93</v>
      </c>
    </row>
    <row r="5631" spans="1:1" x14ac:dyDescent="0.25">
      <c r="A5631" s="9">
        <v>28039850.129999999</v>
      </c>
    </row>
    <row r="5632" spans="1:1" x14ac:dyDescent="0.25">
      <c r="A5632" s="9">
        <v>357591.33</v>
      </c>
    </row>
    <row r="5633" spans="1:1" x14ac:dyDescent="0.25">
      <c r="A5633">
        <v>0</v>
      </c>
    </row>
    <row r="5634" spans="1:1" x14ac:dyDescent="0.25">
      <c r="A5634" s="9">
        <v>16848466.050000001</v>
      </c>
    </row>
    <row r="5635" spans="1:1" x14ac:dyDescent="0.25">
      <c r="A5635" s="9">
        <v>3121087.68</v>
      </c>
    </row>
    <row r="5636" spans="1:1" x14ac:dyDescent="0.25">
      <c r="A5636" s="9">
        <v>18452576.949999999</v>
      </c>
    </row>
    <row r="5637" spans="1:1" x14ac:dyDescent="0.25">
      <c r="A5637" s="9">
        <v>267126.09000000003</v>
      </c>
    </row>
    <row r="5638" spans="1:1" x14ac:dyDescent="0.25">
      <c r="A5638" s="9">
        <v>1267033.1000000001</v>
      </c>
    </row>
    <row r="5639" spans="1:1" x14ac:dyDescent="0.25">
      <c r="A5639" s="9">
        <v>4703365.2699999996</v>
      </c>
    </row>
    <row r="5640" spans="1:1" x14ac:dyDescent="0.25">
      <c r="A5640" s="9">
        <v>17994807.02</v>
      </c>
    </row>
    <row r="5641" spans="1:1" x14ac:dyDescent="0.25">
      <c r="A5641">
        <v>0</v>
      </c>
    </row>
    <row r="5642" spans="1:1" x14ac:dyDescent="0.25">
      <c r="A5642" s="9">
        <v>1195865.1000000001</v>
      </c>
    </row>
    <row r="5643" spans="1:1" x14ac:dyDescent="0.25">
      <c r="A5643" s="9">
        <v>3230963.66</v>
      </c>
    </row>
    <row r="5644" spans="1:1" x14ac:dyDescent="0.25">
      <c r="A5644">
        <v>0</v>
      </c>
    </row>
    <row r="5645" spans="1:1" x14ac:dyDescent="0.25">
      <c r="A5645">
        <v>0</v>
      </c>
    </row>
    <row r="5646" spans="1:1" x14ac:dyDescent="0.25">
      <c r="A5646" s="9">
        <v>13952994.710000001</v>
      </c>
    </row>
    <row r="5647" spans="1:1" x14ac:dyDescent="0.25">
      <c r="A5647" s="9">
        <v>8785271.0099999998</v>
      </c>
    </row>
    <row r="5648" spans="1:1" x14ac:dyDescent="0.25">
      <c r="A5648">
        <v>0</v>
      </c>
    </row>
    <row r="5649" spans="1:1" x14ac:dyDescent="0.25">
      <c r="A5649">
        <v>0</v>
      </c>
    </row>
    <row r="5650" spans="1:1" x14ac:dyDescent="0.25">
      <c r="A5650" s="9">
        <v>135588.26</v>
      </c>
    </row>
    <row r="5651" spans="1:1" x14ac:dyDescent="0.25">
      <c r="A5651" s="9">
        <v>4345327.03</v>
      </c>
    </row>
    <row r="5652" spans="1:1" x14ac:dyDescent="0.25">
      <c r="A5652" s="9">
        <v>754642.66</v>
      </c>
    </row>
    <row r="5653" spans="1:1" x14ac:dyDescent="0.25">
      <c r="A5653" s="9">
        <v>3103747.01</v>
      </c>
    </row>
    <row r="5654" spans="1:1" x14ac:dyDescent="0.25">
      <c r="A5654" s="9">
        <v>7029683.0800000001</v>
      </c>
    </row>
    <row r="5655" spans="1:1" x14ac:dyDescent="0.25">
      <c r="A5655" s="9">
        <v>2376607.2000000002</v>
      </c>
    </row>
    <row r="5656" spans="1:1" x14ac:dyDescent="0.25">
      <c r="A5656" s="9">
        <v>3248618.1</v>
      </c>
    </row>
    <row r="5657" spans="1:1" x14ac:dyDescent="0.25">
      <c r="A5657" s="9">
        <v>23831866.52</v>
      </c>
    </row>
    <row r="5658" spans="1:1" x14ac:dyDescent="0.25">
      <c r="A5658">
        <v>0</v>
      </c>
    </row>
    <row r="5659" spans="1:1" x14ac:dyDescent="0.25">
      <c r="A5659" s="9">
        <v>8675066.8699999899</v>
      </c>
    </row>
    <row r="5660" spans="1:1" x14ac:dyDescent="0.25">
      <c r="A5660" s="9">
        <v>51399126.359999903</v>
      </c>
    </row>
    <row r="5661" spans="1:1" x14ac:dyDescent="0.25">
      <c r="A5661" s="9">
        <v>540810.36</v>
      </c>
    </row>
    <row r="5662" spans="1:1" x14ac:dyDescent="0.25">
      <c r="A5662" s="9">
        <v>27265825.91</v>
      </c>
    </row>
    <row r="5663" spans="1:1" x14ac:dyDescent="0.25">
      <c r="A5663" s="9">
        <v>708010.39</v>
      </c>
    </row>
    <row r="5664" spans="1:1" x14ac:dyDescent="0.25">
      <c r="A5664" s="9">
        <v>1856138.16</v>
      </c>
    </row>
    <row r="5665" spans="1:1" x14ac:dyDescent="0.25">
      <c r="A5665" s="9">
        <v>8185814.4199999999</v>
      </c>
    </row>
    <row r="5666" spans="1:1" x14ac:dyDescent="0.25">
      <c r="A5666" s="9">
        <v>870173.24</v>
      </c>
    </row>
    <row r="5667" spans="1:1" x14ac:dyDescent="0.25">
      <c r="A5667">
        <v>0</v>
      </c>
    </row>
    <row r="5668" spans="1:1" x14ac:dyDescent="0.25">
      <c r="A5668" s="9">
        <v>9399331.77999999</v>
      </c>
    </row>
    <row r="5669" spans="1:1" x14ac:dyDescent="0.25">
      <c r="A5669" s="9">
        <v>99811.08</v>
      </c>
    </row>
    <row r="5670" spans="1:1" x14ac:dyDescent="0.25">
      <c r="A5670" s="9">
        <v>256707.1</v>
      </c>
    </row>
    <row r="5671" spans="1:1" x14ac:dyDescent="0.25">
      <c r="A5671" s="9">
        <v>225978.12</v>
      </c>
    </row>
    <row r="5672" spans="1:1" x14ac:dyDescent="0.25">
      <c r="A5672" s="9">
        <v>265009.15999999997</v>
      </c>
    </row>
    <row r="5673" spans="1:1" x14ac:dyDescent="0.25">
      <c r="A5673" s="9">
        <v>399101.01</v>
      </c>
    </row>
    <row r="5674" spans="1:1" x14ac:dyDescent="0.25">
      <c r="A5674" s="9">
        <v>251629.42</v>
      </c>
    </row>
    <row r="5675" spans="1:1" x14ac:dyDescent="0.25">
      <c r="A5675" s="9">
        <v>3176389.5</v>
      </c>
    </row>
    <row r="5676" spans="1:1" x14ac:dyDescent="0.25">
      <c r="A5676">
        <v>0</v>
      </c>
    </row>
    <row r="5677" spans="1:1" x14ac:dyDescent="0.25">
      <c r="A5677" s="9">
        <v>636518.66</v>
      </c>
    </row>
    <row r="5678" spans="1:1" x14ac:dyDescent="0.25">
      <c r="A5678" s="9">
        <v>31751848.649999999</v>
      </c>
    </row>
    <row r="5679" spans="1:1" x14ac:dyDescent="0.25">
      <c r="A5679" s="9">
        <v>3103942.76</v>
      </c>
    </row>
    <row r="5680" spans="1:1" x14ac:dyDescent="0.25">
      <c r="A5680" s="9">
        <v>10580350.02</v>
      </c>
    </row>
    <row r="5681" spans="1:1" x14ac:dyDescent="0.25">
      <c r="A5681">
        <v>0</v>
      </c>
    </row>
    <row r="5682" spans="1:1" x14ac:dyDescent="0.25">
      <c r="A5682">
        <v>0</v>
      </c>
    </row>
    <row r="5683" spans="1:1" x14ac:dyDescent="0.25">
      <c r="A5683" s="9">
        <v>184735.48</v>
      </c>
    </row>
    <row r="5684" spans="1:1" x14ac:dyDescent="0.25">
      <c r="A5684" s="9">
        <v>5069639.5699999901</v>
      </c>
    </row>
    <row r="5685" spans="1:1" x14ac:dyDescent="0.25">
      <c r="A5685" s="9">
        <v>37311463.479999997</v>
      </c>
    </row>
    <row r="5686" spans="1:1" x14ac:dyDescent="0.25">
      <c r="A5686" s="9">
        <v>3435640.29</v>
      </c>
    </row>
    <row r="5687" spans="1:1" x14ac:dyDescent="0.25">
      <c r="A5687" s="9">
        <v>1011912.88</v>
      </c>
    </row>
    <row r="5688" spans="1:1" x14ac:dyDescent="0.25">
      <c r="A5688" s="9">
        <v>1633095.14</v>
      </c>
    </row>
    <row r="5689" spans="1:1" x14ac:dyDescent="0.25">
      <c r="A5689">
        <v>0</v>
      </c>
    </row>
    <row r="5690" spans="1:1" x14ac:dyDescent="0.25">
      <c r="A5690">
        <v>0</v>
      </c>
    </row>
    <row r="5691" spans="1:1" x14ac:dyDescent="0.25">
      <c r="A5691" s="9">
        <v>63686.03</v>
      </c>
    </row>
    <row r="5692" spans="1:1" x14ac:dyDescent="0.25">
      <c r="A5692" s="9">
        <v>1741179.23</v>
      </c>
    </row>
    <row r="5693" spans="1:1" x14ac:dyDescent="0.25">
      <c r="A5693">
        <v>0</v>
      </c>
    </row>
    <row r="5694" spans="1:1" x14ac:dyDescent="0.25">
      <c r="A5694">
        <v>0</v>
      </c>
    </row>
    <row r="5695" spans="1:1" x14ac:dyDescent="0.25">
      <c r="A5695" s="9">
        <v>43943962.93</v>
      </c>
    </row>
    <row r="5696" spans="1:1" x14ac:dyDescent="0.25">
      <c r="A5696" s="9">
        <v>224876.73</v>
      </c>
    </row>
    <row r="5697" spans="1:1" x14ac:dyDescent="0.25">
      <c r="A5697">
        <v>0</v>
      </c>
    </row>
    <row r="5698" spans="1:1" x14ac:dyDescent="0.25">
      <c r="A5698" s="9">
        <v>120431.52</v>
      </c>
    </row>
    <row r="5699" spans="1:1" x14ac:dyDescent="0.25">
      <c r="A5699" s="9">
        <v>1581546.7</v>
      </c>
    </row>
    <row r="5700" spans="1:1" x14ac:dyDescent="0.25">
      <c r="A5700" s="9">
        <v>7636113.7000000002</v>
      </c>
    </row>
    <row r="5701" spans="1:1" x14ac:dyDescent="0.25">
      <c r="A5701">
        <v>0</v>
      </c>
    </row>
    <row r="5702" spans="1:1" x14ac:dyDescent="0.25">
      <c r="A5702" s="9">
        <v>24452306.260000002</v>
      </c>
    </row>
    <row r="5703" spans="1:1" x14ac:dyDescent="0.25">
      <c r="A5703">
        <v>0</v>
      </c>
    </row>
    <row r="5704" spans="1:1" x14ac:dyDescent="0.25">
      <c r="A5704" s="9">
        <v>25745313.18</v>
      </c>
    </row>
    <row r="5705" spans="1:1" x14ac:dyDescent="0.25">
      <c r="A5705" s="9">
        <v>3858823.04</v>
      </c>
    </row>
    <row r="5706" spans="1:1" x14ac:dyDescent="0.25">
      <c r="A5706">
        <v>0</v>
      </c>
    </row>
    <row r="5707" spans="1:1" x14ac:dyDescent="0.25">
      <c r="A5707">
        <v>0</v>
      </c>
    </row>
    <row r="5708" spans="1:1" x14ac:dyDescent="0.25">
      <c r="A5708">
        <v>0</v>
      </c>
    </row>
    <row r="5709" spans="1:1" x14ac:dyDescent="0.25">
      <c r="A5709">
        <v>0</v>
      </c>
    </row>
    <row r="5710" spans="1:1" x14ac:dyDescent="0.25">
      <c r="A5710" s="9">
        <v>7387006.8099999996</v>
      </c>
    </row>
    <row r="5711" spans="1:1" x14ac:dyDescent="0.25">
      <c r="A5711" s="9">
        <v>523744.77</v>
      </c>
    </row>
    <row r="5712" spans="1:1" x14ac:dyDescent="0.25">
      <c r="A5712" s="9">
        <v>149771.68</v>
      </c>
    </row>
    <row r="5713" spans="1:1" x14ac:dyDescent="0.25">
      <c r="A5713">
        <v>0</v>
      </c>
    </row>
    <row r="5714" spans="1:1" x14ac:dyDescent="0.25">
      <c r="A5714" s="9">
        <v>6138409.1099999901</v>
      </c>
    </row>
    <row r="5715" spans="1:1" x14ac:dyDescent="0.25">
      <c r="A5715" s="9">
        <v>3089734.44</v>
      </c>
    </row>
    <row r="5716" spans="1:1" x14ac:dyDescent="0.25">
      <c r="A5716" s="9">
        <v>2139182.0800000001</v>
      </c>
    </row>
    <row r="5717" spans="1:1" x14ac:dyDescent="0.25">
      <c r="A5717" s="9">
        <v>18795465.77</v>
      </c>
    </row>
    <row r="5718" spans="1:1" x14ac:dyDescent="0.25">
      <c r="A5718" s="9">
        <v>760471.46</v>
      </c>
    </row>
    <row r="5719" spans="1:1" x14ac:dyDescent="0.25">
      <c r="A5719" s="9">
        <v>9939952.9900000002</v>
      </c>
    </row>
    <row r="5720" spans="1:1" x14ac:dyDescent="0.25">
      <c r="A5720" s="9">
        <v>5191231.75</v>
      </c>
    </row>
    <row r="5721" spans="1:1" x14ac:dyDescent="0.25">
      <c r="A5721" s="9">
        <v>842962.04</v>
      </c>
    </row>
    <row r="5722" spans="1:1" x14ac:dyDescent="0.25">
      <c r="A5722" s="9">
        <v>15249551.460000001</v>
      </c>
    </row>
    <row r="5723" spans="1:1" x14ac:dyDescent="0.25">
      <c r="A5723" s="9">
        <v>170807.67999999999</v>
      </c>
    </row>
    <row r="5724" spans="1:1" x14ac:dyDescent="0.25">
      <c r="A5724">
        <v>0</v>
      </c>
    </row>
    <row r="5725" spans="1:1" x14ac:dyDescent="0.25">
      <c r="A5725" s="9">
        <v>4353055.93</v>
      </c>
    </row>
    <row r="5726" spans="1:1" x14ac:dyDescent="0.25">
      <c r="A5726" s="9">
        <v>16472315.4</v>
      </c>
    </row>
    <row r="5727" spans="1:1" x14ac:dyDescent="0.25">
      <c r="A5727" s="9">
        <v>4629777.0999999996</v>
      </c>
    </row>
    <row r="5728" spans="1:1" x14ac:dyDescent="0.25">
      <c r="A5728">
        <v>0</v>
      </c>
    </row>
    <row r="5729" spans="1:1" x14ac:dyDescent="0.25">
      <c r="A5729" s="9">
        <v>4431991.34</v>
      </c>
    </row>
    <row r="5730" spans="1:1" x14ac:dyDescent="0.25">
      <c r="A5730" s="9">
        <v>55929947.460000001</v>
      </c>
    </row>
    <row r="5731" spans="1:1" x14ac:dyDescent="0.25">
      <c r="A5731" s="9">
        <v>3089734.44</v>
      </c>
    </row>
    <row r="5732" spans="1:1" x14ac:dyDescent="0.25">
      <c r="A5732">
        <v>0</v>
      </c>
    </row>
    <row r="5733" spans="1:1" x14ac:dyDescent="0.25">
      <c r="A5733" s="9">
        <v>3577370.45</v>
      </c>
    </row>
    <row r="5734" spans="1:1" x14ac:dyDescent="0.25">
      <c r="A5734">
        <v>0</v>
      </c>
    </row>
    <row r="5735" spans="1:1" x14ac:dyDescent="0.25">
      <c r="A5735">
        <v>0</v>
      </c>
    </row>
    <row r="5736" spans="1:1" x14ac:dyDescent="0.25">
      <c r="A5736" s="9">
        <v>761411.27999999898</v>
      </c>
    </row>
    <row r="5737" spans="1:1" x14ac:dyDescent="0.25">
      <c r="A5737" s="9">
        <v>8416296.3899999894</v>
      </c>
    </row>
    <row r="5738" spans="1:1" x14ac:dyDescent="0.25">
      <c r="A5738" s="9">
        <v>10437632.470000001</v>
      </c>
    </row>
    <row r="5739" spans="1:1" x14ac:dyDescent="0.25">
      <c r="A5739">
        <v>0</v>
      </c>
    </row>
    <row r="5740" spans="1:1" x14ac:dyDescent="0.25">
      <c r="A5740" s="9">
        <v>3724285.84</v>
      </c>
    </row>
    <row r="5741" spans="1:1" x14ac:dyDescent="0.25">
      <c r="A5741" s="9">
        <v>99163.74</v>
      </c>
    </row>
    <row r="5742" spans="1:1" x14ac:dyDescent="0.25">
      <c r="A5742" s="9">
        <v>614568.28</v>
      </c>
    </row>
    <row r="5743" spans="1:1" x14ac:dyDescent="0.25">
      <c r="A5743" s="9">
        <v>11109356.15</v>
      </c>
    </row>
    <row r="5744" spans="1:1" x14ac:dyDescent="0.25">
      <c r="A5744" s="9">
        <v>7979690.6200000001</v>
      </c>
    </row>
    <row r="5745" spans="1:1" x14ac:dyDescent="0.25">
      <c r="A5745" s="9">
        <v>5246140.5399999898</v>
      </c>
    </row>
    <row r="5746" spans="1:1" x14ac:dyDescent="0.25">
      <c r="A5746" s="9">
        <v>2327548.91</v>
      </c>
    </row>
    <row r="5747" spans="1:1" x14ac:dyDescent="0.25">
      <c r="A5747" s="9">
        <v>6196987.3600000003</v>
      </c>
    </row>
    <row r="5748" spans="1:1" x14ac:dyDescent="0.25">
      <c r="A5748" s="9">
        <v>434441.8</v>
      </c>
    </row>
    <row r="5749" spans="1:1" x14ac:dyDescent="0.25">
      <c r="A5749" s="9">
        <v>163918.42000000001</v>
      </c>
    </row>
    <row r="5750" spans="1:1" x14ac:dyDescent="0.25">
      <c r="A5750">
        <v>0</v>
      </c>
    </row>
    <row r="5751" spans="1:1" x14ac:dyDescent="0.25">
      <c r="A5751" s="9">
        <v>355460.76</v>
      </c>
    </row>
    <row r="5752" spans="1:1" x14ac:dyDescent="0.25">
      <c r="A5752" s="9">
        <v>237404.7</v>
      </c>
    </row>
    <row r="5753" spans="1:1" x14ac:dyDescent="0.25">
      <c r="A5753" s="9">
        <v>343843.94</v>
      </c>
    </row>
    <row r="5754" spans="1:1" x14ac:dyDescent="0.25">
      <c r="A5754" s="9">
        <v>7927210.1100000003</v>
      </c>
    </row>
    <row r="5755" spans="1:1" x14ac:dyDescent="0.25">
      <c r="A5755" s="9">
        <v>39836681.670000002</v>
      </c>
    </row>
    <row r="5756" spans="1:1" x14ac:dyDescent="0.25">
      <c r="A5756" s="9">
        <v>518147.41</v>
      </c>
    </row>
    <row r="5757" spans="1:1" x14ac:dyDescent="0.25">
      <c r="A5757" s="9">
        <v>2353129.42</v>
      </c>
    </row>
    <row r="5758" spans="1:1" x14ac:dyDescent="0.25">
      <c r="A5758" s="9">
        <v>12051779.01</v>
      </c>
    </row>
    <row r="5759" spans="1:1" x14ac:dyDescent="0.25">
      <c r="A5759">
        <v>0</v>
      </c>
    </row>
    <row r="5760" spans="1:1" x14ac:dyDescent="0.25">
      <c r="A5760">
        <v>0</v>
      </c>
    </row>
    <row r="5761" spans="1:1" x14ac:dyDescent="0.25">
      <c r="A5761" s="9">
        <v>2159785.81</v>
      </c>
    </row>
    <row r="5762" spans="1:1" x14ac:dyDescent="0.25">
      <c r="A5762">
        <v>0</v>
      </c>
    </row>
    <row r="5763" spans="1:1" x14ac:dyDescent="0.25">
      <c r="A5763" s="9">
        <v>174522.74</v>
      </c>
    </row>
    <row r="5764" spans="1:1" x14ac:dyDescent="0.25">
      <c r="A5764" s="9">
        <v>1692321.4</v>
      </c>
    </row>
    <row r="5765" spans="1:1" x14ac:dyDescent="0.25">
      <c r="A5765">
        <v>0</v>
      </c>
    </row>
    <row r="5766" spans="1:1" x14ac:dyDescent="0.25">
      <c r="A5766">
        <v>3802860</v>
      </c>
    </row>
    <row r="5767" spans="1:1" x14ac:dyDescent="0.25">
      <c r="A5767" s="9">
        <v>9972363.3100000005</v>
      </c>
    </row>
    <row r="5768" spans="1:1" x14ac:dyDescent="0.25">
      <c r="A5768">
        <v>0</v>
      </c>
    </row>
    <row r="5769" spans="1:1" x14ac:dyDescent="0.25">
      <c r="A5769" s="9">
        <v>34707224.859999999</v>
      </c>
    </row>
    <row r="5770" spans="1:1" x14ac:dyDescent="0.25">
      <c r="A5770" s="9">
        <v>26052261.859999999</v>
      </c>
    </row>
    <row r="5771" spans="1:1" x14ac:dyDescent="0.25">
      <c r="A5771" s="9">
        <v>12688914.369999999</v>
      </c>
    </row>
    <row r="5772" spans="1:1" x14ac:dyDescent="0.25">
      <c r="A5772" s="9">
        <v>8390079.8100000005</v>
      </c>
    </row>
    <row r="5773" spans="1:1" x14ac:dyDescent="0.25">
      <c r="A5773">
        <v>0</v>
      </c>
    </row>
    <row r="5774" spans="1:1" x14ac:dyDescent="0.25">
      <c r="A5774" s="9">
        <v>10931845.73</v>
      </c>
    </row>
    <row r="5775" spans="1:1" x14ac:dyDescent="0.25">
      <c r="A5775" s="9">
        <v>7603917.54</v>
      </c>
    </row>
    <row r="5776" spans="1:1" x14ac:dyDescent="0.25">
      <c r="A5776" s="9">
        <v>2657517.15</v>
      </c>
    </row>
    <row r="5777" spans="1:1" x14ac:dyDescent="0.25">
      <c r="A5777" s="9">
        <v>6768098.9900000002</v>
      </c>
    </row>
    <row r="5778" spans="1:1" x14ac:dyDescent="0.25">
      <c r="A5778" s="9">
        <v>3658941.02</v>
      </c>
    </row>
    <row r="5779" spans="1:1" x14ac:dyDescent="0.25">
      <c r="A5779">
        <v>0</v>
      </c>
    </row>
    <row r="5780" spans="1:1" x14ac:dyDescent="0.25">
      <c r="A5780" s="9">
        <v>2779370.72</v>
      </c>
    </row>
    <row r="5781" spans="1:1" x14ac:dyDescent="0.25">
      <c r="A5781" s="9">
        <v>5822863.8200000003</v>
      </c>
    </row>
    <row r="5782" spans="1:1" x14ac:dyDescent="0.25">
      <c r="A5782">
        <v>0</v>
      </c>
    </row>
    <row r="5783" spans="1:1" x14ac:dyDescent="0.25">
      <c r="A5783">
        <v>0</v>
      </c>
    </row>
    <row r="5784" spans="1:1" x14ac:dyDescent="0.25">
      <c r="A5784" s="9">
        <v>2480847.6</v>
      </c>
    </row>
    <row r="5785" spans="1:1" x14ac:dyDescent="0.25">
      <c r="A5785" s="9">
        <v>6624065.3200000003</v>
      </c>
    </row>
    <row r="5786" spans="1:1" x14ac:dyDescent="0.25">
      <c r="A5786" s="9">
        <v>22917416.079999998</v>
      </c>
    </row>
    <row r="5787" spans="1:1" x14ac:dyDescent="0.25">
      <c r="A5787" s="9">
        <v>7297557.2199999997</v>
      </c>
    </row>
    <row r="5788" spans="1:1" x14ac:dyDescent="0.25">
      <c r="A5788" s="9">
        <v>20681587.379999999</v>
      </c>
    </row>
    <row r="5789" spans="1:1" x14ac:dyDescent="0.25">
      <c r="A5789">
        <v>0</v>
      </c>
    </row>
    <row r="5790" spans="1:1" x14ac:dyDescent="0.25">
      <c r="A5790">
        <v>0</v>
      </c>
    </row>
    <row r="5791" spans="1:1" x14ac:dyDescent="0.25">
      <c r="A5791" s="9">
        <v>2491498.5299999998</v>
      </c>
    </row>
    <row r="5792" spans="1:1" x14ac:dyDescent="0.25">
      <c r="A5792" s="9">
        <v>22408397.739999998</v>
      </c>
    </row>
    <row r="5793" spans="1:1" x14ac:dyDescent="0.25">
      <c r="A5793" s="9">
        <v>280163.73</v>
      </c>
    </row>
    <row r="5794" spans="1:1" x14ac:dyDescent="0.25">
      <c r="A5794" s="9">
        <v>376778.1</v>
      </c>
    </row>
    <row r="5795" spans="1:1" x14ac:dyDescent="0.25">
      <c r="A5795" s="9">
        <v>1003967.44</v>
      </c>
    </row>
    <row r="5796" spans="1:1" x14ac:dyDescent="0.25">
      <c r="A5796" s="9">
        <v>4311072.4399999902</v>
      </c>
    </row>
    <row r="5797" spans="1:1" x14ac:dyDescent="0.25">
      <c r="A5797" s="9">
        <v>11470063.550000001</v>
      </c>
    </row>
    <row r="5798" spans="1:1" x14ac:dyDescent="0.25">
      <c r="A5798" s="9">
        <v>7172621.29</v>
      </c>
    </row>
    <row r="5799" spans="1:1" x14ac:dyDescent="0.25">
      <c r="A5799">
        <v>0</v>
      </c>
    </row>
    <row r="5800" spans="1:1" x14ac:dyDescent="0.25">
      <c r="A5800" s="9">
        <v>232760.53</v>
      </c>
    </row>
    <row r="5801" spans="1:1" x14ac:dyDescent="0.25">
      <c r="A5801" s="9">
        <v>2441747.16</v>
      </c>
    </row>
    <row r="5802" spans="1:1" x14ac:dyDescent="0.25">
      <c r="A5802" s="9">
        <v>63852.12</v>
      </c>
    </row>
    <row r="5803" spans="1:1" x14ac:dyDescent="0.25">
      <c r="A5803" s="9">
        <v>177629.35</v>
      </c>
    </row>
    <row r="5804" spans="1:1" x14ac:dyDescent="0.25">
      <c r="A5804" s="9">
        <v>7575219.4299999997</v>
      </c>
    </row>
    <row r="5805" spans="1:1" x14ac:dyDescent="0.25">
      <c r="A5805" s="9">
        <v>17893351.829999998</v>
      </c>
    </row>
    <row r="5806" spans="1:1" x14ac:dyDescent="0.25">
      <c r="A5806" s="9">
        <v>8291531.27999999</v>
      </c>
    </row>
    <row r="5807" spans="1:1" x14ac:dyDescent="0.25">
      <c r="A5807" s="9">
        <v>2333529.4300000002</v>
      </c>
    </row>
    <row r="5808" spans="1:1" x14ac:dyDescent="0.25">
      <c r="A5808" s="9">
        <v>1086871.04</v>
      </c>
    </row>
    <row r="5809" spans="1:1" x14ac:dyDescent="0.25">
      <c r="A5809" s="9">
        <v>734444.47</v>
      </c>
    </row>
    <row r="5810" spans="1:1" x14ac:dyDescent="0.25">
      <c r="A5810" s="9">
        <v>8219357.29</v>
      </c>
    </row>
    <row r="5811" spans="1:1" x14ac:dyDescent="0.25">
      <c r="A5811" s="9">
        <v>308833.7</v>
      </c>
    </row>
    <row r="5812" spans="1:1" x14ac:dyDescent="0.25">
      <c r="A5812" s="9">
        <v>18879083.600000001</v>
      </c>
    </row>
    <row r="5813" spans="1:1" x14ac:dyDescent="0.25">
      <c r="A5813" s="9">
        <v>61113.499999999898</v>
      </c>
    </row>
    <row r="5814" spans="1:1" x14ac:dyDescent="0.25">
      <c r="A5814" s="9">
        <v>991304.7</v>
      </c>
    </row>
    <row r="5815" spans="1:1" x14ac:dyDescent="0.25">
      <c r="A5815" s="9">
        <v>8103735.8699999899</v>
      </c>
    </row>
    <row r="5816" spans="1:1" x14ac:dyDescent="0.25">
      <c r="A5816" s="9">
        <v>280163.73</v>
      </c>
    </row>
    <row r="5817" spans="1:1" x14ac:dyDescent="0.25">
      <c r="A5817" s="9">
        <v>16024566.359999999</v>
      </c>
    </row>
    <row r="5818" spans="1:1" x14ac:dyDescent="0.25">
      <c r="A5818" s="9">
        <v>22277968.379999999</v>
      </c>
    </row>
    <row r="5819" spans="1:1" x14ac:dyDescent="0.25">
      <c r="A5819" s="9">
        <v>286308.7</v>
      </c>
    </row>
    <row r="5820" spans="1:1" x14ac:dyDescent="0.25">
      <c r="A5820">
        <v>0</v>
      </c>
    </row>
    <row r="5821" spans="1:1" x14ac:dyDescent="0.25">
      <c r="A5821" s="9">
        <v>4290117.1999999899</v>
      </c>
    </row>
    <row r="5822" spans="1:1" x14ac:dyDescent="0.25">
      <c r="A5822">
        <v>0</v>
      </c>
    </row>
    <row r="5823" spans="1:1" x14ac:dyDescent="0.25">
      <c r="A5823" s="9">
        <v>8673526.3800000008</v>
      </c>
    </row>
    <row r="5824" spans="1:1" x14ac:dyDescent="0.25">
      <c r="A5824" s="9">
        <v>3398688.49</v>
      </c>
    </row>
    <row r="5825" spans="1:1" x14ac:dyDescent="0.25">
      <c r="A5825" s="9">
        <v>2166399.08</v>
      </c>
    </row>
    <row r="5826" spans="1:1" x14ac:dyDescent="0.25">
      <c r="A5826" s="9">
        <v>7161854.8199999901</v>
      </c>
    </row>
    <row r="5827" spans="1:1" x14ac:dyDescent="0.25">
      <c r="A5827" s="9">
        <v>7358279.9800000004</v>
      </c>
    </row>
    <row r="5828" spans="1:1" x14ac:dyDescent="0.25">
      <c r="A5828">
        <v>0</v>
      </c>
    </row>
    <row r="5829" spans="1:1" x14ac:dyDescent="0.25">
      <c r="A5829" s="9">
        <v>14346121.619999999</v>
      </c>
    </row>
    <row r="5830" spans="1:1" x14ac:dyDescent="0.25">
      <c r="A5830" s="9">
        <v>1474253.48</v>
      </c>
    </row>
    <row r="5831" spans="1:1" x14ac:dyDescent="0.25">
      <c r="A5831" s="9">
        <v>22938145.66</v>
      </c>
    </row>
    <row r="5832" spans="1:1" x14ac:dyDescent="0.25">
      <c r="A5832">
        <v>0</v>
      </c>
    </row>
    <row r="5833" spans="1:1" x14ac:dyDescent="0.25">
      <c r="A5833" s="9">
        <v>7588379.71</v>
      </c>
    </row>
    <row r="5834" spans="1:1" x14ac:dyDescent="0.25">
      <c r="A5834" s="9">
        <v>180596.36</v>
      </c>
    </row>
    <row r="5835" spans="1:1" x14ac:dyDescent="0.25">
      <c r="A5835" s="9">
        <v>3689761.58</v>
      </c>
    </row>
    <row r="5836" spans="1:1" x14ac:dyDescent="0.25">
      <c r="A5836" s="9">
        <v>1679868.7</v>
      </c>
    </row>
    <row r="5837" spans="1:1" x14ac:dyDescent="0.25">
      <c r="A5837">
        <v>0</v>
      </c>
    </row>
    <row r="5838" spans="1:1" x14ac:dyDescent="0.25">
      <c r="A5838" s="9">
        <v>7097190.6200000001</v>
      </c>
    </row>
    <row r="5839" spans="1:1" x14ac:dyDescent="0.25">
      <c r="A5839" s="9">
        <v>28586265.140000001</v>
      </c>
    </row>
    <row r="5840" spans="1:1" x14ac:dyDescent="0.25">
      <c r="A5840" s="9">
        <v>4863205.25</v>
      </c>
    </row>
    <row r="5841" spans="1:1" x14ac:dyDescent="0.25">
      <c r="A5841" s="9">
        <v>1799955.29</v>
      </c>
    </row>
    <row r="5842" spans="1:1" x14ac:dyDescent="0.25">
      <c r="A5842">
        <v>0</v>
      </c>
    </row>
    <row r="5843" spans="1:1" x14ac:dyDescent="0.25">
      <c r="A5843" s="9">
        <v>3408785.46</v>
      </c>
    </row>
    <row r="5844" spans="1:1" x14ac:dyDescent="0.25">
      <c r="A5844" s="9">
        <v>17462112.800000001</v>
      </c>
    </row>
    <row r="5845" spans="1:1" x14ac:dyDescent="0.25">
      <c r="A5845" s="9">
        <v>2959894.62</v>
      </c>
    </row>
    <row r="5846" spans="1:1" x14ac:dyDescent="0.25">
      <c r="A5846" s="9">
        <v>2516452.69</v>
      </c>
    </row>
    <row r="5847" spans="1:1" x14ac:dyDescent="0.25">
      <c r="A5847" s="9">
        <v>459322.52</v>
      </c>
    </row>
    <row r="5848" spans="1:1" x14ac:dyDescent="0.25">
      <c r="A5848" s="9">
        <v>7205211.5499999896</v>
      </c>
    </row>
    <row r="5849" spans="1:1" x14ac:dyDescent="0.25">
      <c r="A5849" s="9">
        <v>2098426.0499999998</v>
      </c>
    </row>
    <row r="5850" spans="1:1" x14ac:dyDescent="0.25">
      <c r="A5850" s="9">
        <v>102679.63</v>
      </c>
    </row>
    <row r="5851" spans="1:1" x14ac:dyDescent="0.25">
      <c r="A5851" s="9">
        <v>10772143.85</v>
      </c>
    </row>
    <row r="5852" spans="1:1" x14ac:dyDescent="0.25">
      <c r="A5852" s="9">
        <v>7094635.5599999996</v>
      </c>
    </row>
    <row r="5853" spans="1:1" x14ac:dyDescent="0.25">
      <c r="A5853" s="9">
        <v>12147222.98</v>
      </c>
    </row>
    <row r="5854" spans="1:1" x14ac:dyDescent="0.25">
      <c r="A5854" s="9">
        <v>92285.069999999905</v>
      </c>
    </row>
    <row r="5855" spans="1:1" x14ac:dyDescent="0.25">
      <c r="A5855" s="9">
        <v>6310600.1500000004</v>
      </c>
    </row>
    <row r="5856" spans="1:1" x14ac:dyDescent="0.25">
      <c r="A5856" s="9">
        <v>1859578.63</v>
      </c>
    </row>
    <row r="5857" spans="1:1" x14ac:dyDescent="0.25">
      <c r="A5857" s="9">
        <v>817129.31</v>
      </c>
    </row>
    <row r="5858" spans="1:1" x14ac:dyDescent="0.25">
      <c r="A5858" s="9">
        <v>31394729.780000001</v>
      </c>
    </row>
    <row r="5859" spans="1:1" x14ac:dyDescent="0.25">
      <c r="A5859" s="9">
        <v>3479663.01</v>
      </c>
    </row>
    <row r="5860" spans="1:1" x14ac:dyDescent="0.25">
      <c r="A5860" s="9">
        <v>18538817.239999998</v>
      </c>
    </row>
    <row r="5861" spans="1:1" x14ac:dyDescent="0.25">
      <c r="A5861">
        <v>0</v>
      </c>
    </row>
    <row r="5862" spans="1:1" x14ac:dyDescent="0.25">
      <c r="A5862">
        <v>0</v>
      </c>
    </row>
    <row r="5863" spans="1:1" x14ac:dyDescent="0.25">
      <c r="A5863" s="9">
        <v>55802.559999999998</v>
      </c>
    </row>
    <row r="5864" spans="1:1" x14ac:dyDescent="0.25">
      <c r="A5864" s="9">
        <v>1837402.81</v>
      </c>
    </row>
    <row r="5865" spans="1:1" x14ac:dyDescent="0.25">
      <c r="A5865" s="9">
        <v>2693291.59</v>
      </c>
    </row>
    <row r="5866" spans="1:1" x14ac:dyDescent="0.25">
      <c r="A5866" s="9">
        <v>78690.3</v>
      </c>
    </row>
    <row r="5867" spans="1:1" x14ac:dyDescent="0.25">
      <c r="A5867" s="9">
        <v>1200788.02</v>
      </c>
    </row>
    <row r="5868" spans="1:1" x14ac:dyDescent="0.25">
      <c r="A5868" s="9">
        <v>8989988.1199999992</v>
      </c>
    </row>
    <row r="5869" spans="1:1" x14ac:dyDescent="0.25">
      <c r="A5869">
        <v>0</v>
      </c>
    </row>
    <row r="5870" spans="1:1" x14ac:dyDescent="0.25">
      <c r="A5870">
        <v>0</v>
      </c>
    </row>
    <row r="5871" spans="1:1" x14ac:dyDescent="0.25">
      <c r="A5871" s="9">
        <v>384622.02</v>
      </c>
    </row>
    <row r="5872" spans="1:1" x14ac:dyDescent="0.25">
      <c r="A5872" s="9">
        <v>14574213.76</v>
      </c>
    </row>
    <row r="5873" spans="1:1" x14ac:dyDescent="0.25">
      <c r="A5873" s="9">
        <v>259798.08</v>
      </c>
    </row>
    <row r="5874" spans="1:1" x14ac:dyDescent="0.25">
      <c r="A5874">
        <v>0</v>
      </c>
    </row>
    <row r="5875" spans="1:1" x14ac:dyDescent="0.25">
      <c r="A5875">
        <v>0</v>
      </c>
    </row>
    <row r="5876" spans="1:1" x14ac:dyDescent="0.25">
      <c r="A5876" s="9">
        <v>13380632.43</v>
      </c>
    </row>
    <row r="5877" spans="1:1" x14ac:dyDescent="0.25">
      <c r="A5877">
        <v>0</v>
      </c>
    </row>
    <row r="5878" spans="1:1" x14ac:dyDescent="0.25">
      <c r="A5878" s="9">
        <v>280163.73</v>
      </c>
    </row>
    <row r="5879" spans="1:1" x14ac:dyDescent="0.25">
      <c r="A5879">
        <v>3802860</v>
      </c>
    </row>
    <row r="5880" spans="1:1" x14ac:dyDescent="0.25">
      <c r="A5880">
        <v>0</v>
      </c>
    </row>
    <row r="5881" spans="1:1" x14ac:dyDescent="0.25">
      <c r="A5881" s="9">
        <v>893466.46</v>
      </c>
    </row>
    <row r="5882" spans="1:1" x14ac:dyDescent="0.25">
      <c r="A5882" s="9">
        <v>2763981.64</v>
      </c>
    </row>
    <row r="5883" spans="1:1" x14ac:dyDescent="0.25">
      <c r="A5883" s="9">
        <v>5764207.3200000003</v>
      </c>
    </row>
    <row r="5884" spans="1:1" x14ac:dyDescent="0.25">
      <c r="A5884" s="9">
        <v>15526222.109999999</v>
      </c>
    </row>
    <row r="5885" spans="1:1" x14ac:dyDescent="0.25">
      <c r="A5885" s="9">
        <v>34591911.859999999</v>
      </c>
    </row>
    <row r="5886" spans="1:1" x14ac:dyDescent="0.25">
      <c r="A5886" s="9">
        <v>4667946.83</v>
      </c>
    </row>
    <row r="5887" spans="1:1" x14ac:dyDescent="0.25">
      <c r="A5887" s="9">
        <v>179178.45</v>
      </c>
    </row>
    <row r="5888" spans="1:1" x14ac:dyDescent="0.25">
      <c r="A5888">
        <v>0</v>
      </c>
    </row>
    <row r="5889" spans="1:1" x14ac:dyDescent="0.25">
      <c r="A5889" s="9">
        <v>369237.93</v>
      </c>
    </row>
    <row r="5890" spans="1:1" x14ac:dyDescent="0.25">
      <c r="A5890" s="9">
        <v>12116542.76</v>
      </c>
    </row>
    <row r="5891" spans="1:1" x14ac:dyDescent="0.25">
      <c r="A5891" s="9">
        <v>23794648.850000001</v>
      </c>
    </row>
    <row r="5892" spans="1:1" x14ac:dyDescent="0.25">
      <c r="A5892">
        <v>0</v>
      </c>
    </row>
    <row r="5893" spans="1:1" x14ac:dyDescent="0.25">
      <c r="A5893" s="9">
        <v>428608.54</v>
      </c>
    </row>
    <row r="5894" spans="1:1" x14ac:dyDescent="0.25">
      <c r="A5894" s="9">
        <v>1913323.74</v>
      </c>
    </row>
    <row r="5895" spans="1:1" x14ac:dyDescent="0.25">
      <c r="A5895" s="9">
        <v>14084203.48</v>
      </c>
    </row>
    <row r="5896" spans="1:1" x14ac:dyDescent="0.25">
      <c r="A5896">
        <v>0</v>
      </c>
    </row>
    <row r="5897" spans="1:1" x14ac:dyDescent="0.25">
      <c r="A5897" s="9">
        <v>20888716.390000001</v>
      </c>
    </row>
    <row r="5898" spans="1:1" x14ac:dyDescent="0.25">
      <c r="A5898" s="9">
        <v>273810.59999999998</v>
      </c>
    </row>
    <row r="5899" spans="1:1" x14ac:dyDescent="0.25">
      <c r="A5899" s="9">
        <v>2027922.93</v>
      </c>
    </row>
    <row r="5900" spans="1:1" x14ac:dyDescent="0.25">
      <c r="A5900" s="9">
        <v>3304459.66</v>
      </c>
    </row>
    <row r="5901" spans="1:1" x14ac:dyDescent="0.25">
      <c r="A5901">
        <v>0</v>
      </c>
    </row>
    <row r="5902" spans="1:1" x14ac:dyDescent="0.25">
      <c r="A5902" s="9">
        <v>913579.98999999894</v>
      </c>
    </row>
    <row r="5903" spans="1:1" x14ac:dyDescent="0.25">
      <c r="A5903" s="9">
        <v>3226790.28</v>
      </c>
    </row>
    <row r="5904" spans="1:1" x14ac:dyDescent="0.25">
      <c r="A5904" s="9">
        <v>588914.07999999996</v>
      </c>
    </row>
    <row r="5905" spans="1:1" x14ac:dyDescent="0.25">
      <c r="A5905" s="9">
        <v>9527947.2400000002</v>
      </c>
    </row>
    <row r="5906" spans="1:1" x14ac:dyDescent="0.25">
      <c r="A5906">
        <v>0</v>
      </c>
    </row>
    <row r="5907" spans="1:1" x14ac:dyDescent="0.25">
      <c r="A5907" s="9">
        <v>1895597.37</v>
      </c>
    </row>
    <row r="5908" spans="1:1" x14ac:dyDescent="0.25">
      <c r="A5908">
        <v>0</v>
      </c>
    </row>
    <row r="5909" spans="1:1" x14ac:dyDescent="0.25">
      <c r="A5909">
        <v>0</v>
      </c>
    </row>
    <row r="5910" spans="1:1" x14ac:dyDescent="0.25">
      <c r="A5910" s="9">
        <v>19708846.91</v>
      </c>
    </row>
    <row r="5911" spans="1:1" x14ac:dyDescent="0.25">
      <c r="A5911" s="9">
        <v>3632964.06</v>
      </c>
    </row>
    <row r="5912" spans="1:1" x14ac:dyDescent="0.25">
      <c r="A5912" s="9">
        <v>4647472.74</v>
      </c>
    </row>
    <row r="5913" spans="1:1" x14ac:dyDescent="0.25">
      <c r="A5913" s="9">
        <v>13081784.24</v>
      </c>
    </row>
    <row r="5914" spans="1:1" x14ac:dyDescent="0.25">
      <c r="A5914">
        <v>0</v>
      </c>
    </row>
    <row r="5915" spans="1:1" x14ac:dyDescent="0.25">
      <c r="A5915" s="9">
        <v>3869739.45</v>
      </c>
    </row>
    <row r="5916" spans="1:1" x14ac:dyDescent="0.25">
      <c r="A5916" s="9">
        <v>4977187.9800000004</v>
      </c>
    </row>
    <row r="5917" spans="1:1" x14ac:dyDescent="0.25">
      <c r="A5917" s="9">
        <v>16288429.9</v>
      </c>
    </row>
    <row r="5918" spans="1:1" x14ac:dyDescent="0.25">
      <c r="A5918" s="9">
        <v>10267911.76</v>
      </c>
    </row>
    <row r="5919" spans="1:1" x14ac:dyDescent="0.25">
      <c r="A5919">
        <v>0</v>
      </c>
    </row>
    <row r="5920" spans="1:1" x14ac:dyDescent="0.25">
      <c r="A5920">
        <v>0</v>
      </c>
    </row>
    <row r="5921" spans="1:1" x14ac:dyDescent="0.25">
      <c r="A5921">
        <v>0</v>
      </c>
    </row>
    <row r="5922" spans="1:1" x14ac:dyDescent="0.25">
      <c r="A5922" s="9">
        <v>37001179.689999998</v>
      </c>
    </row>
    <row r="5923" spans="1:1" x14ac:dyDescent="0.25">
      <c r="A5923" s="9">
        <v>2467749.67</v>
      </c>
    </row>
    <row r="5924" spans="1:1" x14ac:dyDescent="0.25">
      <c r="A5924" s="9">
        <v>3604500.92</v>
      </c>
    </row>
    <row r="5925" spans="1:1" x14ac:dyDescent="0.25">
      <c r="A5925" s="9">
        <v>2302246.3199999998</v>
      </c>
    </row>
    <row r="5926" spans="1:1" x14ac:dyDescent="0.25">
      <c r="A5926" s="9">
        <v>308129.84000000003</v>
      </c>
    </row>
    <row r="5927" spans="1:1" x14ac:dyDescent="0.25">
      <c r="A5927">
        <v>0</v>
      </c>
    </row>
    <row r="5928" spans="1:1" x14ac:dyDescent="0.25">
      <c r="A5928">
        <v>0</v>
      </c>
    </row>
    <row r="5929" spans="1:1" x14ac:dyDescent="0.25">
      <c r="A5929">
        <v>0</v>
      </c>
    </row>
    <row r="5930" spans="1:1" x14ac:dyDescent="0.25">
      <c r="A5930" s="9">
        <v>365802.11</v>
      </c>
    </row>
    <row r="5931" spans="1:1" x14ac:dyDescent="0.25">
      <c r="A5931" s="9">
        <v>1899261.37</v>
      </c>
    </row>
    <row r="5932" spans="1:1" x14ac:dyDescent="0.25">
      <c r="A5932" s="9">
        <v>1174774.3999999999</v>
      </c>
    </row>
    <row r="5933" spans="1:1" x14ac:dyDescent="0.25">
      <c r="A5933" s="9">
        <v>61079.6</v>
      </c>
    </row>
    <row r="5934" spans="1:1" x14ac:dyDescent="0.25">
      <c r="A5934" s="9">
        <v>20173193.93</v>
      </c>
    </row>
    <row r="5935" spans="1:1" x14ac:dyDescent="0.25">
      <c r="A5935" s="9">
        <v>155459.1</v>
      </c>
    </row>
    <row r="5936" spans="1:1" x14ac:dyDescent="0.25">
      <c r="A5936" s="9">
        <v>605439.49</v>
      </c>
    </row>
    <row r="5937" spans="1:1" x14ac:dyDescent="0.25">
      <c r="A5937" s="9">
        <v>6399935.9000000004</v>
      </c>
    </row>
    <row r="5938" spans="1:1" x14ac:dyDescent="0.25">
      <c r="A5938" s="9">
        <v>33361318.780000001</v>
      </c>
    </row>
    <row r="5939" spans="1:1" x14ac:dyDescent="0.25">
      <c r="A5939">
        <v>0</v>
      </c>
    </row>
    <row r="5940" spans="1:1" x14ac:dyDescent="0.25">
      <c r="A5940">
        <v>548670</v>
      </c>
    </row>
    <row r="5941" spans="1:1" x14ac:dyDescent="0.25">
      <c r="A5941" s="9">
        <v>3864019.88</v>
      </c>
    </row>
    <row r="5942" spans="1:1" x14ac:dyDescent="0.25">
      <c r="A5942" s="9">
        <v>6883221.2699999996</v>
      </c>
    </row>
    <row r="5943" spans="1:1" x14ac:dyDescent="0.25">
      <c r="A5943" s="9">
        <v>379058.49</v>
      </c>
    </row>
    <row r="5944" spans="1:1" x14ac:dyDescent="0.25">
      <c r="A5944" s="9">
        <v>677964.88</v>
      </c>
    </row>
    <row r="5945" spans="1:1" x14ac:dyDescent="0.25">
      <c r="A5945">
        <v>0</v>
      </c>
    </row>
    <row r="5946" spans="1:1" x14ac:dyDescent="0.25">
      <c r="A5946" s="9">
        <v>3900407.17</v>
      </c>
    </row>
    <row r="5947" spans="1:1" x14ac:dyDescent="0.25">
      <c r="A5947" s="9">
        <v>3724549.84</v>
      </c>
    </row>
    <row r="5948" spans="1:1" x14ac:dyDescent="0.25">
      <c r="A5948">
        <v>0</v>
      </c>
    </row>
    <row r="5949" spans="1:1" x14ac:dyDescent="0.25">
      <c r="A5949" s="9">
        <v>19824777.800000001</v>
      </c>
    </row>
    <row r="5950" spans="1:1" x14ac:dyDescent="0.25">
      <c r="A5950" s="9">
        <v>16833877.27</v>
      </c>
    </row>
    <row r="5951" spans="1:1" x14ac:dyDescent="0.25">
      <c r="A5951" s="9">
        <v>1867763.99</v>
      </c>
    </row>
    <row r="5952" spans="1:1" x14ac:dyDescent="0.25">
      <c r="A5952" s="9">
        <v>180596.36</v>
      </c>
    </row>
    <row r="5953" spans="1:1" x14ac:dyDescent="0.25">
      <c r="A5953" s="9">
        <v>3614154.04</v>
      </c>
    </row>
    <row r="5954" spans="1:1" x14ac:dyDescent="0.25">
      <c r="A5954" s="9">
        <v>2713727.53</v>
      </c>
    </row>
    <row r="5955" spans="1:1" x14ac:dyDescent="0.25">
      <c r="A5955">
        <v>0</v>
      </c>
    </row>
    <row r="5956" spans="1:1" x14ac:dyDescent="0.25">
      <c r="A5956" s="9">
        <v>2583455.39</v>
      </c>
    </row>
    <row r="5957" spans="1:1" x14ac:dyDescent="0.25">
      <c r="A5957" s="9">
        <v>256707.1</v>
      </c>
    </row>
    <row r="5958" spans="1:1" x14ac:dyDescent="0.25">
      <c r="A5958" s="9">
        <v>40577596.349999897</v>
      </c>
    </row>
    <row r="5959" spans="1:1" x14ac:dyDescent="0.25">
      <c r="A5959" s="9">
        <v>35714.1</v>
      </c>
    </row>
    <row r="5960" spans="1:1" x14ac:dyDescent="0.25">
      <c r="A5960" s="9">
        <v>1597401.45</v>
      </c>
    </row>
    <row r="5961" spans="1:1" x14ac:dyDescent="0.25">
      <c r="A5961">
        <v>0</v>
      </c>
    </row>
    <row r="5962" spans="1:1" x14ac:dyDescent="0.25">
      <c r="A5962">
        <v>0</v>
      </c>
    </row>
    <row r="5963" spans="1:1" x14ac:dyDescent="0.25">
      <c r="A5963" s="9">
        <v>3081296.88</v>
      </c>
    </row>
    <row r="5964" spans="1:1" x14ac:dyDescent="0.25">
      <c r="A5964" s="9">
        <v>207619.38</v>
      </c>
    </row>
    <row r="5965" spans="1:1" x14ac:dyDescent="0.25">
      <c r="A5965" s="9">
        <v>24575388.149999999</v>
      </c>
    </row>
    <row r="5966" spans="1:1" x14ac:dyDescent="0.25">
      <c r="A5966" s="9">
        <v>4207359.1899999902</v>
      </c>
    </row>
    <row r="5967" spans="1:1" x14ac:dyDescent="0.25">
      <c r="A5967" s="9">
        <v>27401451.170000002</v>
      </c>
    </row>
    <row r="5968" spans="1:1" x14ac:dyDescent="0.25">
      <c r="A5968" s="9">
        <v>14703101.42</v>
      </c>
    </row>
    <row r="5969" spans="1:1" x14ac:dyDescent="0.25">
      <c r="A5969" s="9">
        <v>322638.61</v>
      </c>
    </row>
    <row r="5970" spans="1:1" x14ac:dyDescent="0.25">
      <c r="A5970" s="9">
        <v>1134893.2</v>
      </c>
    </row>
    <row r="5971" spans="1:1" x14ac:dyDescent="0.25">
      <c r="A5971">
        <v>0</v>
      </c>
    </row>
    <row r="5972" spans="1:1" x14ac:dyDescent="0.25">
      <c r="A5972" s="9">
        <v>203820.96</v>
      </c>
    </row>
    <row r="5973" spans="1:1" x14ac:dyDescent="0.25">
      <c r="A5973">
        <v>0</v>
      </c>
    </row>
    <row r="5974" spans="1:1" x14ac:dyDescent="0.25">
      <c r="A5974" s="9">
        <v>3121087.68</v>
      </c>
    </row>
    <row r="5975" spans="1:1" x14ac:dyDescent="0.25">
      <c r="A5975">
        <v>0</v>
      </c>
    </row>
    <row r="5976" spans="1:1" x14ac:dyDescent="0.25">
      <c r="A5976">
        <v>0</v>
      </c>
    </row>
    <row r="5977" spans="1:1" x14ac:dyDescent="0.25">
      <c r="A5977" s="9">
        <v>428783.81</v>
      </c>
    </row>
    <row r="5978" spans="1:1" x14ac:dyDescent="0.25">
      <c r="A5978" s="9">
        <v>6070549.9699999997</v>
      </c>
    </row>
    <row r="5979" spans="1:1" x14ac:dyDescent="0.25">
      <c r="A5979" s="9">
        <v>1801554.23</v>
      </c>
    </row>
    <row r="5980" spans="1:1" x14ac:dyDescent="0.25">
      <c r="A5980">
        <v>0</v>
      </c>
    </row>
    <row r="5981" spans="1:1" x14ac:dyDescent="0.25">
      <c r="A5981" s="9">
        <v>5794645.5999999996</v>
      </c>
    </row>
    <row r="5982" spans="1:1" x14ac:dyDescent="0.25">
      <c r="A5982" s="9">
        <v>3693063.1</v>
      </c>
    </row>
    <row r="5983" spans="1:1" x14ac:dyDescent="0.25">
      <c r="A5983" s="9">
        <v>6071226.6600000001</v>
      </c>
    </row>
    <row r="5984" spans="1:1" x14ac:dyDescent="0.25">
      <c r="A5984" s="9">
        <v>9350936.2699999996</v>
      </c>
    </row>
    <row r="5985" spans="1:1" x14ac:dyDescent="0.25">
      <c r="A5985" s="9">
        <v>510338.04</v>
      </c>
    </row>
    <row r="5986" spans="1:1" x14ac:dyDescent="0.25">
      <c r="A5986" s="9">
        <v>10519043.869999999</v>
      </c>
    </row>
    <row r="5987" spans="1:1" x14ac:dyDescent="0.25">
      <c r="A5987">
        <v>0</v>
      </c>
    </row>
    <row r="5988" spans="1:1" x14ac:dyDescent="0.25">
      <c r="A5988" s="9">
        <v>441728.45</v>
      </c>
    </row>
    <row r="5989" spans="1:1" x14ac:dyDescent="0.25">
      <c r="A5989" s="9">
        <v>63852.12</v>
      </c>
    </row>
    <row r="5990" spans="1:1" x14ac:dyDescent="0.25">
      <c r="A5990" s="9">
        <v>6291101.7999999998</v>
      </c>
    </row>
    <row r="5991" spans="1:1" x14ac:dyDescent="0.25">
      <c r="A5991" s="9">
        <v>451699.08</v>
      </c>
    </row>
    <row r="5992" spans="1:1" x14ac:dyDescent="0.25">
      <c r="A5992" s="9">
        <v>1891331.8</v>
      </c>
    </row>
    <row r="5993" spans="1:1" x14ac:dyDescent="0.25">
      <c r="A5993" s="9">
        <v>8782827.7599999998</v>
      </c>
    </row>
    <row r="5994" spans="1:1" x14ac:dyDescent="0.25">
      <c r="A5994" s="9">
        <v>151877.25</v>
      </c>
    </row>
    <row r="5995" spans="1:1" x14ac:dyDescent="0.25">
      <c r="A5995">
        <v>0</v>
      </c>
    </row>
    <row r="5996" spans="1:1" x14ac:dyDescent="0.25">
      <c r="A5996">
        <v>0</v>
      </c>
    </row>
    <row r="5997" spans="1:1" x14ac:dyDescent="0.25">
      <c r="A5997">
        <v>0</v>
      </c>
    </row>
    <row r="5998" spans="1:1" x14ac:dyDescent="0.25">
      <c r="A5998" s="9">
        <v>13552705.779999999</v>
      </c>
    </row>
    <row r="5999" spans="1:1" x14ac:dyDescent="0.25">
      <c r="A5999" s="9">
        <v>3273144.23</v>
      </c>
    </row>
    <row r="6000" spans="1:1" x14ac:dyDescent="0.25">
      <c r="A6000" s="9">
        <v>18947600.27</v>
      </c>
    </row>
    <row r="6001" spans="1:1" x14ac:dyDescent="0.25">
      <c r="A6001" s="9">
        <v>99811.08</v>
      </c>
    </row>
    <row r="6002" spans="1:1" x14ac:dyDescent="0.25">
      <c r="A6002" s="9">
        <v>323689.28000000003</v>
      </c>
    </row>
    <row r="6003" spans="1:1" x14ac:dyDescent="0.25">
      <c r="A6003" s="9">
        <v>2622343.52</v>
      </c>
    </row>
    <row r="6004" spans="1:1" x14ac:dyDescent="0.25">
      <c r="A6004" s="9">
        <v>214971.79</v>
      </c>
    </row>
    <row r="6005" spans="1:1" x14ac:dyDescent="0.25">
      <c r="A6005" s="9">
        <v>14925348.42</v>
      </c>
    </row>
    <row r="6006" spans="1:1" x14ac:dyDescent="0.25">
      <c r="A6006" s="9">
        <v>7478609.29</v>
      </c>
    </row>
    <row r="6007" spans="1:1" x14ac:dyDescent="0.25">
      <c r="A6007" s="9">
        <v>3177672.64</v>
      </c>
    </row>
    <row r="6008" spans="1:1" x14ac:dyDescent="0.25">
      <c r="A6008" s="9">
        <v>470647.76</v>
      </c>
    </row>
    <row r="6009" spans="1:1" x14ac:dyDescent="0.25">
      <c r="A6009" s="9">
        <v>4404092.7</v>
      </c>
    </row>
    <row r="6010" spans="1:1" x14ac:dyDescent="0.25">
      <c r="A6010">
        <v>1944663</v>
      </c>
    </row>
    <row r="6011" spans="1:1" x14ac:dyDescent="0.25">
      <c r="A6011" s="9">
        <v>38926409.880000003</v>
      </c>
    </row>
    <row r="6012" spans="1:1" x14ac:dyDescent="0.25">
      <c r="A6012">
        <v>0</v>
      </c>
    </row>
    <row r="6013" spans="1:1" x14ac:dyDescent="0.25">
      <c r="A6013" s="9">
        <v>2858034.14</v>
      </c>
    </row>
    <row r="6014" spans="1:1" x14ac:dyDescent="0.25">
      <c r="A6014" s="9">
        <v>2382778.7000000002</v>
      </c>
    </row>
    <row r="6015" spans="1:1" x14ac:dyDescent="0.25">
      <c r="A6015" s="9">
        <v>7661253.6900000004</v>
      </c>
    </row>
    <row r="6016" spans="1:1" x14ac:dyDescent="0.25">
      <c r="A6016" s="9">
        <v>7835435.1699999999</v>
      </c>
    </row>
    <row r="6017" spans="1:1" x14ac:dyDescent="0.25">
      <c r="A6017">
        <v>1944663</v>
      </c>
    </row>
    <row r="6018" spans="1:1" x14ac:dyDescent="0.25">
      <c r="A6018" s="9">
        <v>5325221.4000000004</v>
      </c>
    </row>
    <row r="6019" spans="1:1" x14ac:dyDescent="0.25">
      <c r="A6019" s="9">
        <v>18089903.859999999</v>
      </c>
    </row>
    <row r="6020" spans="1:1" x14ac:dyDescent="0.25">
      <c r="A6020" s="9">
        <v>48701734.849999897</v>
      </c>
    </row>
    <row r="6021" spans="1:1" x14ac:dyDescent="0.25">
      <c r="A6021">
        <v>0</v>
      </c>
    </row>
    <row r="6022" spans="1:1" x14ac:dyDescent="0.25">
      <c r="A6022" s="9">
        <v>6111326.8099999996</v>
      </c>
    </row>
    <row r="6023" spans="1:1" x14ac:dyDescent="0.25">
      <c r="A6023" s="9">
        <v>2116482.4300000002</v>
      </c>
    </row>
    <row r="6024" spans="1:1" x14ac:dyDescent="0.25">
      <c r="A6024" s="9">
        <v>287964.15999999997</v>
      </c>
    </row>
    <row r="6025" spans="1:1" x14ac:dyDescent="0.25">
      <c r="A6025" s="9">
        <v>368783.48</v>
      </c>
    </row>
    <row r="6026" spans="1:1" x14ac:dyDescent="0.25">
      <c r="A6026">
        <v>1944663</v>
      </c>
    </row>
    <row r="6027" spans="1:1" x14ac:dyDescent="0.25">
      <c r="A6027" s="9">
        <v>151877.25</v>
      </c>
    </row>
    <row r="6028" spans="1:1" x14ac:dyDescent="0.25">
      <c r="A6028" s="9">
        <v>4962493.03</v>
      </c>
    </row>
    <row r="6029" spans="1:1" x14ac:dyDescent="0.25">
      <c r="A6029" s="9">
        <v>1174774.3999999999</v>
      </c>
    </row>
    <row r="6030" spans="1:1" x14ac:dyDescent="0.25">
      <c r="A6030">
        <v>0</v>
      </c>
    </row>
    <row r="6031" spans="1:1" x14ac:dyDescent="0.25">
      <c r="A6031" s="9">
        <v>3213946.33</v>
      </c>
    </row>
    <row r="6032" spans="1:1" x14ac:dyDescent="0.25">
      <c r="A6032">
        <v>1944663</v>
      </c>
    </row>
    <row r="6033" spans="1:1" x14ac:dyDescent="0.25">
      <c r="A6033" s="9">
        <v>335966.29</v>
      </c>
    </row>
    <row r="6034" spans="1:1" x14ac:dyDescent="0.25">
      <c r="A6034" s="9">
        <v>1760163.29</v>
      </c>
    </row>
    <row r="6035" spans="1:1" x14ac:dyDescent="0.25">
      <c r="A6035" s="9">
        <v>1630557.36</v>
      </c>
    </row>
    <row r="6036" spans="1:1" x14ac:dyDescent="0.25">
      <c r="A6036" s="9">
        <v>5234112.68</v>
      </c>
    </row>
    <row r="6037" spans="1:1" x14ac:dyDescent="0.25">
      <c r="A6037" s="9">
        <v>11774579.35</v>
      </c>
    </row>
    <row r="6038" spans="1:1" x14ac:dyDescent="0.25">
      <c r="A6038" s="9">
        <v>206723.34</v>
      </c>
    </row>
    <row r="6039" spans="1:1" x14ac:dyDescent="0.25">
      <c r="A6039" s="9">
        <v>694502.7</v>
      </c>
    </row>
    <row r="6040" spans="1:1" x14ac:dyDescent="0.25">
      <c r="A6040" s="9">
        <v>2274221.9500000002</v>
      </c>
    </row>
    <row r="6041" spans="1:1" x14ac:dyDescent="0.25">
      <c r="A6041" s="9">
        <v>3158927.39</v>
      </c>
    </row>
    <row r="6042" spans="1:1" x14ac:dyDescent="0.25">
      <c r="A6042">
        <v>0</v>
      </c>
    </row>
    <row r="6043" spans="1:1" x14ac:dyDescent="0.25">
      <c r="A6043" s="9">
        <v>13810039.210000001</v>
      </c>
    </row>
    <row r="6044" spans="1:1" x14ac:dyDescent="0.25">
      <c r="A6044" s="9">
        <v>314832.24</v>
      </c>
    </row>
    <row r="6045" spans="1:1" x14ac:dyDescent="0.25">
      <c r="A6045">
        <v>0</v>
      </c>
    </row>
    <row r="6046" spans="1:1" x14ac:dyDescent="0.25">
      <c r="A6046">
        <v>0</v>
      </c>
    </row>
    <row r="6047" spans="1:1" x14ac:dyDescent="0.25">
      <c r="A6047" s="9">
        <v>2393006.5299999998</v>
      </c>
    </row>
    <row r="6048" spans="1:1" x14ac:dyDescent="0.25">
      <c r="A6048" s="9">
        <v>390888.16</v>
      </c>
    </row>
    <row r="6049" spans="1:1" x14ac:dyDescent="0.25">
      <c r="A6049" s="9">
        <v>7422003.5199999996</v>
      </c>
    </row>
    <row r="6050" spans="1:1" x14ac:dyDescent="0.25">
      <c r="A6050" s="9">
        <v>10874522.529999999</v>
      </c>
    </row>
    <row r="6051" spans="1:1" x14ac:dyDescent="0.25">
      <c r="A6051" s="9">
        <v>5586849.96</v>
      </c>
    </row>
    <row r="6052" spans="1:1" x14ac:dyDescent="0.25">
      <c r="A6052">
        <v>0</v>
      </c>
    </row>
    <row r="6053" spans="1:1" x14ac:dyDescent="0.25">
      <c r="A6053" s="9">
        <v>128802.6</v>
      </c>
    </row>
    <row r="6054" spans="1:1" x14ac:dyDescent="0.25">
      <c r="A6054" s="9">
        <v>4810368.72</v>
      </c>
    </row>
    <row r="6055" spans="1:1" x14ac:dyDescent="0.25">
      <c r="A6055">
        <v>0</v>
      </c>
    </row>
    <row r="6056" spans="1:1" x14ac:dyDescent="0.25">
      <c r="A6056">
        <v>0</v>
      </c>
    </row>
    <row r="6057" spans="1:1" x14ac:dyDescent="0.25">
      <c r="A6057" s="9">
        <v>342687.96</v>
      </c>
    </row>
    <row r="6058" spans="1:1" x14ac:dyDescent="0.25">
      <c r="A6058" s="9">
        <v>7491784.9800000004</v>
      </c>
    </row>
    <row r="6059" spans="1:1" x14ac:dyDescent="0.25">
      <c r="A6059" s="9">
        <v>314832.24</v>
      </c>
    </row>
    <row r="6060" spans="1:1" x14ac:dyDescent="0.25">
      <c r="A6060" s="9">
        <v>14122172.390000001</v>
      </c>
    </row>
    <row r="6061" spans="1:1" x14ac:dyDescent="0.25">
      <c r="A6061" s="9">
        <v>206723.34</v>
      </c>
    </row>
    <row r="6062" spans="1:1" x14ac:dyDescent="0.25">
      <c r="A6062" s="9">
        <v>5457342.1099999901</v>
      </c>
    </row>
    <row r="6063" spans="1:1" x14ac:dyDescent="0.25">
      <c r="A6063" s="9">
        <v>220449.58</v>
      </c>
    </row>
    <row r="6064" spans="1:1" x14ac:dyDescent="0.25">
      <c r="A6064" s="9">
        <v>3939022.33</v>
      </c>
    </row>
    <row r="6065" spans="1:1" x14ac:dyDescent="0.25">
      <c r="A6065" s="9">
        <v>63794.92</v>
      </c>
    </row>
    <row r="6066" spans="1:1" x14ac:dyDescent="0.25">
      <c r="A6066">
        <v>0</v>
      </c>
    </row>
    <row r="6067" spans="1:1" x14ac:dyDescent="0.25">
      <c r="A6067">
        <v>0</v>
      </c>
    </row>
    <row r="6068" spans="1:1" x14ac:dyDescent="0.25">
      <c r="A6068" s="9">
        <v>817886.799999999</v>
      </c>
    </row>
    <row r="6069" spans="1:1" x14ac:dyDescent="0.25">
      <c r="A6069" s="9">
        <v>14809080.23</v>
      </c>
    </row>
    <row r="6070" spans="1:1" x14ac:dyDescent="0.25">
      <c r="A6070" s="9">
        <v>5832728.6899999902</v>
      </c>
    </row>
    <row r="6071" spans="1:1" x14ac:dyDescent="0.25">
      <c r="A6071" s="9">
        <v>13730262.449999999</v>
      </c>
    </row>
    <row r="6072" spans="1:1" x14ac:dyDescent="0.25">
      <c r="A6072">
        <v>0</v>
      </c>
    </row>
    <row r="6073" spans="1:1" x14ac:dyDescent="0.25">
      <c r="A6073" s="9">
        <v>1859578.63</v>
      </c>
    </row>
    <row r="6074" spans="1:1" x14ac:dyDescent="0.25">
      <c r="A6074">
        <v>0</v>
      </c>
    </row>
    <row r="6075" spans="1:1" x14ac:dyDescent="0.25">
      <c r="A6075" s="9">
        <v>628774.04</v>
      </c>
    </row>
    <row r="6076" spans="1:1" x14ac:dyDescent="0.25">
      <c r="A6076" s="9">
        <v>193295.96</v>
      </c>
    </row>
    <row r="6077" spans="1:1" x14ac:dyDescent="0.25">
      <c r="A6077">
        <v>0</v>
      </c>
    </row>
    <row r="6078" spans="1:1" x14ac:dyDescent="0.25">
      <c r="A6078">
        <v>0</v>
      </c>
    </row>
    <row r="6079" spans="1:1" x14ac:dyDescent="0.25">
      <c r="A6079" s="9">
        <v>3727477.4</v>
      </c>
    </row>
    <row r="6080" spans="1:1" x14ac:dyDescent="0.25">
      <c r="A6080" s="9">
        <v>82988.849999999904</v>
      </c>
    </row>
    <row r="6081" spans="1:1" x14ac:dyDescent="0.25">
      <c r="A6081">
        <v>0</v>
      </c>
    </row>
    <row r="6082" spans="1:1" x14ac:dyDescent="0.25">
      <c r="A6082" s="9">
        <v>3029114.71</v>
      </c>
    </row>
    <row r="6083" spans="1:1" x14ac:dyDescent="0.25">
      <c r="A6083" s="9">
        <v>953602.87</v>
      </c>
    </row>
    <row r="6084" spans="1:1" x14ac:dyDescent="0.25">
      <c r="A6084" s="9">
        <v>16106313.859999999</v>
      </c>
    </row>
    <row r="6085" spans="1:1" x14ac:dyDescent="0.25">
      <c r="A6085">
        <v>0</v>
      </c>
    </row>
    <row r="6086" spans="1:1" x14ac:dyDescent="0.25">
      <c r="A6086" s="9">
        <v>3944762.99</v>
      </c>
    </row>
    <row r="6087" spans="1:1" x14ac:dyDescent="0.25">
      <c r="A6087" s="9">
        <v>4762113.0199999996</v>
      </c>
    </row>
    <row r="6088" spans="1:1" x14ac:dyDescent="0.25">
      <c r="A6088" s="9">
        <v>232169.76</v>
      </c>
    </row>
    <row r="6089" spans="1:1" x14ac:dyDescent="0.25">
      <c r="A6089">
        <v>0</v>
      </c>
    </row>
    <row r="6090" spans="1:1" x14ac:dyDescent="0.25">
      <c r="A6090" s="9">
        <v>38288.080000000002</v>
      </c>
    </row>
    <row r="6091" spans="1:1" x14ac:dyDescent="0.25">
      <c r="A6091" s="9">
        <v>1515768.55</v>
      </c>
    </row>
    <row r="6092" spans="1:1" x14ac:dyDescent="0.25">
      <c r="A6092" s="9">
        <v>1439077.28</v>
      </c>
    </row>
    <row r="6093" spans="1:1" x14ac:dyDescent="0.25">
      <c r="A6093">
        <v>0</v>
      </c>
    </row>
    <row r="6094" spans="1:1" x14ac:dyDescent="0.25">
      <c r="A6094">
        <v>0</v>
      </c>
    </row>
    <row r="6095" spans="1:1" x14ac:dyDescent="0.25">
      <c r="A6095" s="9">
        <v>256707.1</v>
      </c>
    </row>
    <row r="6096" spans="1:1" x14ac:dyDescent="0.25">
      <c r="A6096" s="9">
        <v>227391.9</v>
      </c>
    </row>
    <row r="6097" spans="1:1" x14ac:dyDescent="0.25">
      <c r="A6097" s="9">
        <v>3760461.4399999902</v>
      </c>
    </row>
    <row r="6098" spans="1:1" x14ac:dyDescent="0.25">
      <c r="A6098" s="9">
        <v>10880075.02</v>
      </c>
    </row>
    <row r="6099" spans="1:1" x14ac:dyDescent="0.25">
      <c r="A6099" s="9">
        <v>33647961.029999897</v>
      </c>
    </row>
    <row r="6100" spans="1:1" x14ac:dyDescent="0.25">
      <c r="A6100">
        <v>0</v>
      </c>
    </row>
    <row r="6101" spans="1:1" x14ac:dyDescent="0.25">
      <c r="A6101" s="9">
        <v>454717.86</v>
      </c>
    </row>
    <row r="6102" spans="1:1" x14ac:dyDescent="0.25">
      <c r="A6102">
        <v>0</v>
      </c>
    </row>
    <row r="6103" spans="1:1" x14ac:dyDescent="0.25">
      <c r="A6103" s="9">
        <v>12345207.48</v>
      </c>
    </row>
    <row r="6104" spans="1:1" x14ac:dyDescent="0.25">
      <c r="A6104" s="9">
        <v>65788.36</v>
      </c>
    </row>
    <row r="6105" spans="1:1" x14ac:dyDescent="0.25">
      <c r="A6105" s="9">
        <v>89675.3</v>
      </c>
    </row>
    <row r="6106" spans="1:1" x14ac:dyDescent="0.25">
      <c r="A6106" s="9">
        <v>28432.95</v>
      </c>
    </row>
    <row r="6107" spans="1:1" x14ac:dyDescent="0.25">
      <c r="A6107" s="9">
        <v>38643414.82</v>
      </c>
    </row>
    <row r="6108" spans="1:1" x14ac:dyDescent="0.25">
      <c r="A6108">
        <v>0</v>
      </c>
    </row>
    <row r="6109" spans="1:1" x14ac:dyDescent="0.25">
      <c r="A6109" s="9">
        <v>1006107.31</v>
      </c>
    </row>
    <row r="6110" spans="1:1" x14ac:dyDescent="0.25">
      <c r="A6110">
        <v>0</v>
      </c>
    </row>
    <row r="6111" spans="1:1" x14ac:dyDescent="0.25">
      <c r="A6111" s="9">
        <v>1086871.04</v>
      </c>
    </row>
    <row r="6112" spans="1:1" x14ac:dyDescent="0.25">
      <c r="A6112" s="9">
        <v>6365736.54</v>
      </c>
    </row>
    <row r="6113" spans="1:1" x14ac:dyDescent="0.25">
      <c r="A6113" s="9">
        <v>63686.03</v>
      </c>
    </row>
    <row r="6114" spans="1:1" x14ac:dyDescent="0.25">
      <c r="A6114">
        <v>0</v>
      </c>
    </row>
    <row r="6115" spans="1:1" x14ac:dyDescent="0.25">
      <c r="A6115" s="9">
        <v>280163.73</v>
      </c>
    </row>
    <row r="6116" spans="1:1" x14ac:dyDescent="0.25">
      <c r="A6116" s="9">
        <v>375334.56</v>
      </c>
    </row>
    <row r="6117" spans="1:1" x14ac:dyDescent="0.25">
      <c r="A6117" s="9">
        <v>5762397.8799999999</v>
      </c>
    </row>
    <row r="6118" spans="1:1" x14ac:dyDescent="0.25">
      <c r="A6118" s="9">
        <v>6813217.9000000004</v>
      </c>
    </row>
    <row r="6119" spans="1:1" x14ac:dyDescent="0.25">
      <c r="A6119" s="9">
        <v>3283736.3</v>
      </c>
    </row>
    <row r="6120" spans="1:1" x14ac:dyDescent="0.25">
      <c r="A6120" s="9">
        <v>3803372.82</v>
      </c>
    </row>
    <row r="6121" spans="1:1" x14ac:dyDescent="0.25">
      <c r="A6121" s="9">
        <v>4226708.8899999997</v>
      </c>
    </row>
    <row r="6122" spans="1:1" x14ac:dyDescent="0.25">
      <c r="A6122" s="9">
        <v>410083.93</v>
      </c>
    </row>
    <row r="6123" spans="1:1" x14ac:dyDescent="0.25">
      <c r="A6123" s="9">
        <v>3301733.51</v>
      </c>
    </row>
    <row r="6124" spans="1:1" x14ac:dyDescent="0.25">
      <c r="A6124">
        <v>0</v>
      </c>
    </row>
    <row r="6125" spans="1:1" x14ac:dyDescent="0.25">
      <c r="A6125" s="9">
        <v>24047367.379999999</v>
      </c>
    </row>
    <row r="6126" spans="1:1" x14ac:dyDescent="0.25">
      <c r="A6126" s="9">
        <v>23918907.050000001</v>
      </c>
    </row>
    <row r="6127" spans="1:1" x14ac:dyDescent="0.25">
      <c r="A6127" s="9">
        <v>2205881.58</v>
      </c>
    </row>
    <row r="6128" spans="1:1" x14ac:dyDescent="0.25">
      <c r="A6128" s="9">
        <v>5484989.75</v>
      </c>
    </row>
    <row r="6129" spans="1:1" x14ac:dyDescent="0.25">
      <c r="A6129" s="9">
        <v>3260938.95</v>
      </c>
    </row>
    <row r="6130" spans="1:1" x14ac:dyDescent="0.25">
      <c r="A6130" s="9">
        <v>3643863.27</v>
      </c>
    </row>
    <row r="6131" spans="1:1" x14ac:dyDescent="0.25">
      <c r="A6131" s="9">
        <v>6958100.8099999996</v>
      </c>
    </row>
    <row r="6132" spans="1:1" x14ac:dyDescent="0.25">
      <c r="A6132" s="9">
        <v>2314972.79</v>
      </c>
    </row>
    <row r="6133" spans="1:1" x14ac:dyDescent="0.25">
      <c r="A6133" s="9">
        <v>3419520.03</v>
      </c>
    </row>
    <row r="6134" spans="1:1" x14ac:dyDescent="0.25">
      <c r="A6134" s="9">
        <v>2574198.77</v>
      </c>
    </row>
    <row r="6135" spans="1:1" x14ac:dyDescent="0.25">
      <c r="A6135" s="9">
        <v>142031.26</v>
      </c>
    </row>
    <row r="6136" spans="1:1" x14ac:dyDescent="0.25">
      <c r="A6136" s="9">
        <v>4611911.55</v>
      </c>
    </row>
    <row r="6137" spans="1:1" x14ac:dyDescent="0.25">
      <c r="A6137" s="9">
        <v>3561818.6899999902</v>
      </c>
    </row>
    <row r="6138" spans="1:1" x14ac:dyDescent="0.25">
      <c r="A6138" s="9">
        <v>2082156.4</v>
      </c>
    </row>
    <row r="6139" spans="1:1" x14ac:dyDescent="0.25">
      <c r="A6139" s="9">
        <v>2123106.16</v>
      </c>
    </row>
    <row r="6140" spans="1:1" x14ac:dyDescent="0.25">
      <c r="A6140" s="9">
        <v>167863.77</v>
      </c>
    </row>
    <row r="6141" spans="1:1" x14ac:dyDescent="0.25">
      <c r="A6141">
        <v>0</v>
      </c>
    </row>
    <row r="6142" spans="1:1" x14ac:dyDescent="0.25">
      <c r="A6142">
        <v>0</v>
      </c>
    </row>
    <row r="6143" spans="1:1" x14ac:dyDescent="0.25">
      <c r="A6143">
        <v>0</v>
      </c>
    </row>
    <row r="6144" spans="1:1" x14ac:dyDescent="0.25">
      <c r="A6144" s="9">
        <v>111386.5</v>
      </c>
    </row>
    <row r="6145" spans="1:1" x14ac:dyDescent="0.25">
      <c r="A6145" s="9">
        <v>6945794.0199999996</v>
      </c>
    </row>
    <row r="6146" spans="1:1" x14ac:dyDescent="0.25">
      <c r="A6146" s="9">
        <v>63686.03</v>
      </c>
    </row>
    <row r="6147" spans="1:1" x14ac:dyDescent="0.25">
      <c r="A6147" s="9">
        <v>8002359.6599999899</v>
      </c>
    </row>
    <row r="6148" spans="1:1" x14ac:dyDescent="0.25">
      <c r="A6148" s="9">
        <v>7714474.9199999999</v>
      </c>
    </row>
    <row r="6149" spans="1:1" x14ac:dyDescent="0.25">
      <c r="A6149" s="9">
        <v>749200.96</v>
      </c>
    </row>
    <row r="6150" spans="1:1" x14ac:dyDescent="0.25">
      <c r="A6150" s="9">
        <v>9167337.3100000005</v>
      </c>
    </row>
    <row r="6151" spans="1:1" x14ac:dyDescent="0.25">
      <c r="A6151">
        <v>1944663</v>
      </c>
    </row>
    <row r="6152" spans="1:1" x14ac:dyDescent="0.25">
      <c r="A6152" s="9">
        <v>20344472.98</v>
      </c>
    </row>
    <row r="6153" spans="1:1" x14ac:dyDescent="0.25">
      <c r="A6153" s="9">
        <v>140021.70000000001</v>
      </c>
    </row>
    <row r="6154" spans="1:1" x14ac:dyDescent="0.25">
      <c r="A6154" s="9">
        <v>2148483.96</v>
      </c>
    </row>
    <row r="6155" spans="1:1" x14ac:dyDescent="0.25">
      <c r="A6155" s="9">
        <v>11549534.029999999</v>
      </c>
    </row>
    <row r="6156" spans="1:1" x14ac:dyDescent="0.25">
      <c r="A6156" s="9">
        <v>2931213.9</v>
      </c>
    </row>
    <row r="6157" spans="1:1" x14ac:dyDescent="0.25">
      <c r="A6157">
        <v>0</v>
      </c>
    </row>
    <row r="6158" spans="1:1" x14ac:dyDescent="0.25">
      <c r="A6158" s="9">
        <v>826679.05</v>
      </c>
    </row>
    <row r="6159" spans="1:1" x14ac:dyDescent="0.25">
      <c r="A6159" s="9">
        <v>148737.42000000001</v>
      </c>
    </row>
    <row r="6160" spans="1:1" x14ac:dyDescent="0.25">
      <c r="A6160" s="9">
        <v>31152074.350000001</v>
      </c>
    </row>
    <row r="6161" spans="1:1" x14ac:dyDescent="0.25">
      <c r="A6161" s="9">
        <v>2839486.87</v>
      </c>
    </row>
    <row r="6162" spans="1:1" x14ac:dyDescent="0.25">
      <c r="A6162">
        <v>0</v>
      </c>
    </row>
    <row r="6163" spans="1:1" x14ac:dyDescent="0.25">
      <c r="A6163" s="9">
        <v>379974.81</v>
      </c>
    </row>
    <row r="6164" spans="1:1" x14ac:dyDescent="0.25">
      <c r="A6164">
        <v>0</v>
      </c>
    </row>
    <row r="6165" spans="1:1" x14ac:dyDescent="0.25">
      <c r="A6165" s="9">
        <v>1227447.53</v>
      </c>
    </row>
    <row r="6166" spans="1:1" x14ac:dyDescent="0.25">
      <c r="A6166">
        <v>0</v>
      </c>
    </row>
    <row r="6167" spans="1:1" x14ac:dyDescent="0.25">
      <c r="A6167" s="9">
        <v>1164081.1200000001</v>
      </c>
    </row>
    <row r="6168" spans="1:1" x14ac:dyDescent="0.25">
      <c r="A6168" s="9">
        <v>14049069.779999999</v>
      </c>
    </row>
    <row r="6169" spans="1:1" x14ac:dyDescent="0.25">
      <c r="A6169" s="9">
        <v>6339762.6299999999</v>
      </c>
    </row>
    <row r="6170" spans="1:1" x14ac:dyDescent="0.25">
      <c r="A6170" s="9">
        <v>16289128.880000001</v>
      </c>
    </row>
    <row r="6171" spans="1:1" x14ac:dyDescent="0.25">
      <c r="A6171" s="9">
        <v>148737.42000000001</v>
      </c>
    </row>
    <row r="6172" spans="1:1" x14ac:dyDescent="0.25">
      <c r="A6172" s="9">
        <v>2001992.21</v>
      </c>
    </row>
    <row r="6173" spans="1:1" x14ac:dyDescent="0.25">
      <c r="A6173" s="9">
        <v>4045669.04999999</v>
      </c>
    </row>
    <row r="6174" spans="1:1" x14ac:dyDescent="0.25">
      <c r="A6174" s="9">
        <v>11113604.9</v>
      </c>
    </row>
    <row r="6175" spans="1:1" x14ac:dyDescent="0.25">
      <c r="A6175" s="9">
        <v>19008658.609999999</v>
      </c>
    </row>
    <row r="6176" spans="1:1" x14ac:dyDescent="0.25">
      <c r="A6176" s="9">
        <v>1716312.92</v>
      </c>
    </row>
    <row r="6177" spans="1:1" x14ac:dyDescent="0.25">
      <c r="A6177" s="9">
        <v>219011.8</v>
      </c>
    </row>
    <row r="6178" spans="1:1" x14ac:dyDescent="0.25">
      <c r="A6178" s="9">
        <v>18835186.539999999</v>
      </c>
    </row>
    <row r="6179" spans="1:1" x14ac:dyDescent="0.25">
      <c r="A6179" s="9">
        <v>101183.32</v>
      </c>
    </row>
    <row r="6180" spans="1:1" x14ac:dyDescent="0.25">
      <c r="A6180" s="9">
        <v>4572418.6899999902</v>
      </c>
    </row>
    <row r="6181" spans="1:1" x14ac:dyDescent="0.25">
      <c r="A6181" s="9">
        <v>13408512.689999999</v>
      </c>
    </row>
    <row r="6182" spans="1:1" x14ac:dyDescent="0.25">
      <c r="A6182">
        <v>0</v>
      </c>
    </row>
    <row r="6183" spans="1:1" x14ac:dyDescent="0.25">
      <c r="A6183" s="9">
        <v>17458249.989999998</v>
      </c>
    </row>
    <row r="6184" spans="1:1" x14ac:dyDescent="0.25">
      <c r="A6184">
        <v>0</v>
      </c>
    </row>
    <row r="6185" spans="1:1" x14ac:dyDescent="0.25">
      <c r="A6185" s="9">
        <v>166835.26</v>
      </c>
    </row>
    <row r="6186" spans="1:1" x14ac:dyDescent="0.25">
      <c r="A6186" s="9">
        <v>305368.7</v>
      </c>
    </row>
    <row r="6187" spans="1:1" x14ac:dyDescent="0.25">
      <c r="A6187" s="9">
        <v>185859.48</v>
      </c>
    </row>
    <row r="6188" spans="1:1" x14ac:dyDescent="0.25">
      <c r="A6188" s="9">
        <v>45546301.020000003</v>
      </c>
    </row>
    <row r="6189" spans="1:1" x14ac:dyDescent="0.25">
      <c r="A6189" s="9">
        <v>789288.25</v>
      </c>
    </row>
    <row r="6190" spans="1:1" x14ac:dyDescent="0.25">
      <c r="A6190" s="9">
        <v>1791299.6</v>
      </c>
    </row>
    <row r="6191" spans="1:1" x14ac:dyDescent="0.25">
      <c r="A6191">
        <v>0</v>
      </c>
    </row>
    <row r="6192" spans="1:1" x14ac:dyDescent="0.25">
      <c r="A6192" s="9">
        <v>3363541.25</v>
      </c>
    </row>
    <row r="6193" spans="1:1" x14ac:dyDescent="0.25">
      <c r="A6193">
        <v>0</v>
      </c>
    </row>
    <row r="6194" spans="1:1" x14ac:dyDescent="0.25">
      <c r="A6194" s="9">
        <v>225978.12</v>
      </c>
    </row>
    <row r="6195" spans="1:1" x14ac:dyDescent="0.25">
      <c r="A6195" s="9">
        <v>8718807.1699999999</v>
      </c>
    </row>
    <row r="6196" spans="1:1" x14ac:dyDescent="0.25">
      <c r="A6196" s="9">
        <v>3957327.2</v>
      </c>
    </row>
    <row r="6197" spans="1:1" x14ac:dyDescent="0.25">
      <c r="A6197" s="9">
        <v>3106389.04</v>
      </c>
    </row>
    <row r="6198" spans="1:1" x14ac:dyDescent="0.25">
      <c r="A6198" s="9">
        <v>1487374.29</v>
      </c>
    </row>
    <row r="6199" spans="1:1" x14ac:dyDescent="0.25">
      <c r="A6199" s="9">
        <v>43713.93</v>
      </c>
    </row>
    <row r="6200" spans="1:1" x14ac:dyDescent="0.25">
      <c r="A6200">
        <v>0</v>
      </c>
    </row>
    <row r="6201" spans="1:1" x14ac:dyDescent="0.25">
      <c r="A6201">
        <v>0</v>
      </c>
    </row>
    <row r="6202" spans="1:1" x14ac:dyDescent="0.25">
      <c r="A6202" s="9">
        <v>6095480.9900000002</v>
      </c>
    </row>
    <row r="6203" spans="1:1" x14ac:dyDescent="0.25">
      <c r="A6203" s="9">
        <v>105702.6</v>
      </c>
    </row>
    <row r="6204" spans="1:1" x14ac:dyDescent="0.25">
      <c r="A6204" s="9">
        <v>2541832.92</v>
      </c>
    </row>
    <row r="6205" spans="1:1" x14ac:dyDescent="0.25">
      <c r="A6205" s="9">
        <v>16902092.600000001</v>
      </c>
    </row>
    <row r="6206" spans="1:1" x14ac:dyDescent="0.25">
      <c r="A6206" s="9">
        <v>20587458.109999999</v>
      </c>
    </row>
    <row r="6207" spans="1:1" x14ac:dyDescent="0.25">
      <c r="A6207" s="9">
        <v>4438741.6399999997</v>
      </c>
    </row>
    <row r="6208" spans="1:1" x14ac:dyDescent="0.25">
      <c r="A6208" s="9">
        <v>7673306.6799999997</v>
      </c>
    </row>
    <row r="6209" spans="1:1" x14ac:dyDescent="0.25">
      <c r="A6209" s="9">
        <v>11301116.77</v>
      </c>
    </row>
    <row r="6210" spans="1:1" x14ac:dyDescent="0.25">
      <c r="A6210" s="9">
        <v>151877.25</v>
      </c>
    </row>
    <row r="6211" spans="1:1" x14ac:dyDescent="0.25">
      <c r="A6211" s="9">
        <v>634422.5</v>
      </c>
    </row>
    <row r="6212" spans="1:1" x14ac:dyDescent="0.25">
      <c r="A6212" s="9">
        <v>5000956.5</v>
      </c>
    </row>
    <row r="6213" spans="1:1" x14ac:dyDescent="0.25">
      <c r="A6213" s="9">
        <v>5547869.8499999996</v>
      </c>
    </row>
    <row r="6214" spans="1:1" x14ac:dyDescent="0.25">
      <c r="A6214" s="9">
        <v>5332034.41</v>
      </c>
    </row>
    <row r="6215" spans="1:1" x14ac:dyDescent="0.25">
      <c r="A6215" s="9">
        <v>8221092.1500000004</v>
      </c>
    </row>
    <row r="6216" spans="1:1" x14ac:dyDescent="0.25">
      <c r="A6216" s="9">
        <v>28432.95</v>
      </c>
    </row>
    <row r="6217" spans="1:1" x14ac:dyDescent="0.25">
      <c r="A6217" s="9">
        <v>1419433.99</v>
      </c>
    </row>
    <row r="6218" spans="1:1" x14ac:dyDescent="0.25">
      <c r="A6218" s="9">
        <v>680297.38</v>
      </c>
    </row>
    <row r="6219" spans="1:1" x14ac:dyDescent="0.25">
      <c r="A6219" s="9">
        <v>25925818.510000002</v>
      </c>
    </row>
    <row r="6220" spans="1:1" x14ac:dyDescent="0.25">
      <c r="A6220" s="9">
        <v>2723516.77</v>
      </c>
    </row>
    <row r="6221" spans="1:1" x14ac:dyDescent="0.25">
      <c r="A6221" s="9">
        <v>16063135.57</v>
      </c>
    </row>
    <row r="6222" spans="1:1" x14ac:dyDescent="0.25">
      <c r="A6222" s="9">
        <v>585253.27</v>
      </c>
    </row>
    <row r="6223" spans="1:1" x14ac:dyDescent="0.25">
      <c r="A6223" s="9">
        <v>7447822.0700000003</v>
      </c>
    </row>
    <row r="6224" spans="1:1" x14ac:dyDescent="0.25">
      <c r="A6224">
        <v>168812</v>
      </c>
    </row>
    <row r="6225" spans="1:1" x14ac:dyDescent="0.25">
      <c r="A6225" s="9">
        <v>3964921.38</v>
      </c>
    </row>
    <row r="6226" spans="1:1" x14ac:dyDescent="0.25">
      <c r="A6226" s="9">
        <v>7431759.0700000003</v>
      </c>
    </row>
    <row r="6227" spans="1:1" x14ac:dyDescent="0.25">
      <c r="A6227">
        <v>0</v>
      </c>
    </row>
    <row r="6228" spans="1:1" x14ac:dyDescent="0.25">
      <c r="A6228" s="9">
        <v>10809866.710000001</v>
      </c>
    </row>
    <row r="6229" spans="1:1" x14ac:dyDescent="0.25">
      <c r="A6229" s="9">
        <v>164696.22</v>
      </c>
    </row>
    <row r="6230" spans="1:1" x14ac:dyDescent="0.25">
      <c r="A6230" s="9">
        <v>105702.6</v>
      </c>
    </row>
    <row r="6231" spans="1:1" x14ac:dyDescent="0.25">
      <c r="A6231" s="9">
        <v>406297.56999999902</v>
      </c>
    </row>
    <row r="6232" spans="1:1" x14ac:dyDescent="0.25">
      <c r="A6232" s="9">
        <v>221295.23</v>
      </c>
    </row>
    <row r="6233" spans="1:1" x14ac:dyDescent="0.25">
      <c r="A6233" s="9">
        <v>455172.73</v>
      </c>
    </row>
    <row r="6234" spans="1:1" x14ac:dyDescent="0.25">
      <c r="A6234" s="9">
        <v>660095.94999999995</v>
      </c>
    </row>
    <row r="6235" spans="1:1" x14ac:dyDescent="0.25">
      <c r="A6235" s="9">
        <v>61113.499999999898</v>
      </c>
    </row>
    <row r="6236" spans="1:1" x14ac:dyDescent="0.25">
      <c r="A6236">
        <v>0</v>
      </c>
    </row>
    <row r="6237" spans="1:1" x14ac:dyDescent="0.25">
      <c r="A6237" s="9">
        <v>11699448.880000001</v>
      </c>
    </row>
    <row r="6238" spans="1:1" x14ac:dyDescent="0.25">
      <c r="A6238" s="9">
        <v>3045446.94</v>
      </c>
    </row>
    <row r="6239" spans="1:1" x14ac:dyDescent="0.25">
      <c r="A6239" s="9">
        <v>6473905.5599999996</v>
      </c>
    </row>
    <row r="6240" spans="1:1" x14ac:dyDescent="0.25">
      <c r="A6240" s="9">
        <v>24290945.82</v>
      </c>
    </row>
    <row r="6241" spans="1:1" x14ac:dyDescent="0.25">
      <c r="A6241">
        <v>0</v>
      </c>
    </row>
    <row r="6242" spans="1:1" x14ac:dyDescent="0.25">
      <c r="A6242" s="9">
        <v>433227.96</v>
      </c>
    </row>
    <row r="6243" spans="1:1" x14ac:dyDescent="0.25">
      <c r="A6243" s="9">
        <v>2597142.56</v>
      </c>
    </row>
    <row r="6244" spans="1:1" x14ac:dyDescent="0.25">
      <c r="A6244" s="9">
        <v>197756.64</v>
      </c>
    </row>
    <row r="6245" spans="1:1" x14ac:dyDescent="0.25">
      <c r="A6245">
        <v>0</v>
      </c>
    </row>
    <row r="6246" spans="1:1" x14ac:dyDescent="0.25">
      <c r="A6246" s="9">
        <v>308129.84000000003</v>
      </c>
    </row>
    <row r="6247" spans="1:1" x14ac:dyDescent="0.25">
      <c r="A6247" s="9">
        <v>3121087.68</v>
      </c>
    </row>
    <row r="6248" spans="1:1" x14ac:dyDescent="0.25">
      <c r="A6248" s="9">
        <v>7697936.4100000001</v>
      </c>
    </row>
    <row r="6249" spans="1:1" x14ac:dyDescent="0.25">
      <c r="A6249" s="9">
        <v>106620.16</v>
      </c>
    </row>
    <row r="6250" spans="1:1" x14ac:dyDescent="0.25">
      <c r="A6250" s="9">
        <v>2914572.28</v>
      </c>
    </row>
    <row r="6251" spans="1:1" x14ac:dyDescent="0.25">
      <c r="A6251" s="9">
        <v>4364763.3299999898</v>
      </c>
    </row>
    <row r="6252" spans="1:1" x14ac:dyDescent="0.25">
      <c r="A6252" s="9">
        <v>3291789.57</v>
      </c>
    </row>
    <row r="6253" spans="1:1" x14ac:dyDescent="0.25">
      <c r="A6253" s="9">
        <v>8473682.5700000003</v>
      </c>
    </row>
    <row r="6254" spans="1:1" x14ac:dyDescent="0.25">
      <c r="A6254">
        <v>0</v>
      </c>
    </row>
    <row r="6255" spans="1:1" x14ac:dyDescent="0.25">
      <c r="A6255">
        <v>0</v>
      </c>
    </row>
    <row r="6256" spans="1:1" x14ac:dyDescent="0.25">
      <c r="A6256" s="9">
        <v>3312095.08</v>
      </c>
    </row>
    <row r="6257" spans="1:1" x14ac:dyDescent="0.25">
      <c r="A6257" s="9">
        <v>78151927.090000004</v>
      </c>
    </row>
    <row r="6258" spans="1:1" x14ac:dyDescent="0.25">
      <c r="A6258" s="9">
        <v>13610343.890000001</v>
      </c>
    </row>
    <row r="6259" spans="1:1" x14ac:dyDescent="0.25">
      <c r="A6259" s="9">
        <v>156727.75</v>
      </c>
    </row>
    <row r="6260" spans="1:1" x14ac:dyDescent="0.25">
      <c r="A6260" s="9">
        <v>7133851.6699999999</v>
      </c>
    </row>
    <row r="6261" spans="1:1" x14ac:dyDescent="0.25">
      <c r="A6261">
        <v>0</v>
      </c>
    </row>
    <row r="6262" spans="1:1" x14ac:dyDescent="0.25">
      <c r="A6262" s="9">
        <v>3470279.94</v>
      </c>
    </row>
    <row r="6263" spans="1:1" x14ac:dyDescent="0.25">
      <c r="A6263" s="9">
        <v>6830161.7999999896</v>
      </c>
    </row>
    <row r="6264" spans="1:1" x14ac:dyDescent="0.25">
      <c r="A6264" s="9">
        <v>1422149.79</v>
      </c>
    </row>
    <row r="6265" spans="1:1" x14ac:dyDescent="0.25">
      <c r="A6265" s="9">
        <v>3320099.57</v>
      </c>
    </row>
    <row r="6266" spans="1:1" x14ac:dyDescent="0.25">
      <c r="A6266" s="9">
        <v>13189161.050000001</v>
      </c>
    </row>
    <row r="6267" spans="1:1" x14ac:dyDescent="0.25">
      <c r="A6267" s="9">
        <v>32081683.82</v>
      </c>
    </row>
    <row r="6268" spans="1:1" x14ac:dyDescent="0.25">
      <c r="A6268" s="9">
        <v>348911.31</v>
      </c>
    </row>
    <row r="6269" spans="1:1" x14ac:dyDescent="0.25">
      <c r="A6269" s="9">
        <v>486139.48</v>
      </c>
    </row>
    <row r="6270" spans="1:1" x14ac:dyDescent="0.25">
      <c r="A6270">
        <v>62646</v>
      </c>
    </row>
    <row r="6271" spans="1:1" x14ac:dyDescent="0.25">
      <c r="A6271" s="9">
        <v>6099293.8999999901</v>
      </c>
    </row>
    <row r="6272" spans="1:1" x14ac:dyDescent="0.25">
      <c r="A6272">
        <v>0</v>
      </c>
    </row>
    <row r="6273" spans="1:1" x14ac:dyDescent="0.25">
      <c r="A6273">
        <v>0</v>
      </c>
    </row>
    <row r="6274" spans="1:1" x14ac:dyDescent="0.25">
      <c r="A6274" s="9">
        <v>4062658.08</v>
      </c>
    </row>
    <row r="6275" spans="1:1" x14ac:dyDescent="0.25">
      <c r="A6275" s="9">
        <v>225978.12</v>
      </c>
    </row>
    <row r="6276" spans="1:1" x14ac:dyDescent="0.25">
      <c r="A6276" s="9">
        <v>7210628.5399999898</v>
      </c>
    </row>
    <row r="6277" spans="1:1" x14ac:dyDescent="0.25">
      <c r="A6277" s="9">
        <v>1382158.23</v>
      </c>
    </row>
    <row r="6278" spans="1:1" x14ac:dyDescent="0.25">
      <c r="A6278" s="9">
        <v>11041398.470000001</v>
      </c>
    </row>
    <row r="6279" spans="1:1" x14ac:dyDescent="0.25">
      <c r="A6279">
        <v>0</v>
      </c>
    </row>
    <row r="6280" spans="1:1" x14ac:dyDescent="0.25">
      <c r="A6280" s="9">
        <v>4276280.04</v>
      </c>
    </row>
    <row r="6281" spans="1:1" x14ac:dyDescent="0.25">
      <c r="A6281" s="9">
        <v>294102.69</v>
      </c>
    </row>
    <row r="6282" spans="1:1" x14ac:dyDescent="0.25">
      <c r="A6282" s="9">
        <v>275890.62</v>
      </c>
    </row>
    <row r="6283" spans="1:1" x14ac:dyDescent="0.25">
      <c r="A6283" s="9">
        <v>4077160.58</v>
      </c>
    </row>
    <row r="6284" spans="1:1" x14ac:dyDescent="0.25">
      <c r="A6284">
        <v>0</v>
      </c>
    </row>
    <row r="6285" spans="1:1" x14ac:dyDescent="0.25">
      <c r="A6285" s="9">
        <v>22552064.940000001</v>
      </c>
    </row>
    <row r="6286" spans="1:1" x14ac:dyDescent="0.25">
      <c r="A6286" s="9">
        <v>1931358.89</v>
      </c>
    </row>
    <row r="6287" spans="1:1" x14ac:dyDescent="0.25">
      <c r="A6287" s="9">
        <v>3191085.27999999</v>
      </c>
    </row>
    <row r="6288" spans="1:1" x14ac:dyDescent="0.25">
      <c r="A6288" s="9">
        <v>3236755.88</v>
      </c>
    </row>
    <row r="6289" spans="1:1" x14ac:dyDescent="0.25">
      <c r="A6289" s="9">
        <v>38288.080000000002</v>
      </c>
    </row>
    <row r="6290" spans="1:1" x14ac:dyDescent="0.25">
      <c r="A6290" s="9">
        <v>9196634.3399999999</v>
      </c>
    </row>
    <row r="6291" spans="1:1" x14ac:dyDescent="0.25">
      <c r="A6291" s="9">
        <v>3792641.22</v>
      </c>
    </row>
    <row r="6292" spans="1:1" x14ac:dyDescent="0.25">
      <c r="A6292">
        <v>0</v>
      </c>
    </row>
    <row r="6293" spans="1:1" x14ac:dyDescent="0.25">
      <c r="A6293" s="9">
        <v>8588125.2699999996</v>
      </c>
    </row>
    <row r="6294" spans="1:1" x14ac:dyDescent="0.25">
      <c r="A6294" s="9">
        <v>3811194.66</v>
      </c>
    </row>
    <row r="6295" spans="1:1" x14ac:dyDescent="0.25">
      <c r="A6295" s="9">
        <v>2864559.01</v>
      </c>
    </row>
    <row r="6296" spans="1:1" x14ac:dyDescent="0.25">
      <c r="A6296" s="9">
        <v>16691409.710000001</v>
      </c>
    </row>
    <row r="6297" spans="1:1" x14ac:dyDescent="0.25">
      <c r="A6297">
        <v>0</v>
      </c>
    </row>
    <row r="6298" spans="1:1" x14ac:dyDescent="0.25">
      <c r="A6298">
        <v>0</v>
      </c>
    </row>
    <row r="6299" spans="1:1" x14ac:dyDescent="0.25">
      <c r="A6299" s="9">
        <v>252332.1</v>
      </c>
    </row>
    <row r="6300" spans="1:1" x14ac:dyDescent="0.25">
      <c r="A6300" s="9">
        <v>3254452.33</v>
      </c>
    </row>
    <row r="6301" spans="1:1" x14ac:dyDescent="0.25">
      <c r="A6301" s="9">
        <v>63686.03</v>
      </c>
    </row>
    <row r="6302" spans="1:1" x14ac:dyDescent="0.25">
      <c r="A6302" s="9">
        <v>8563702.5600000005</v>
      </c>
    </row>
    <row r="6303" spans="1:1" x14ac:dyDescent="0.25">
      <c r="A6303" s="9">
        <v>15195674.84</v>
      </c>
    </row>
    <row r="6304" spans="1:1" x14ac:dyDescent="0.25">
      <c r="A6304" s="9">
        <v>2685241.35</v>
      </c>
    </row>
    <row r="6305" spans="1:1" x14ac:dyDescent="0.25">
      <c r="A6305" s="9">
        <v>2990493.13</v>
      </c>
    </row>
    <row r="6306" spans="1:1" x14ac:dyDescent="0.25">
      <c r="A6306">
        <v>0</v>
      </c>
    </row>
    <row r="6307" spans="1:1" x14ac:dyDescent="0.25">
      <c r="A6307" s="9">
        <v>381450.31</v>
      </c>
    </row>
    <row r="6308" spans="1:1" x14ac:dyDescent="0.25">
      <c r="A6308" s="9">
        <v>6936285.2199999997</v>
      </c>
    </row>
    <row r="6309" spans="1:1" x14ac:dyDescent="0.25">
      <c r="A6309" s="9">
        <v>3585876.08</v>
      </c>
    </row>
    <row r="6310" spans="1:1" x14ac:dyDescent="0.25">
      <c r="A6310" s="9">
        <v>155459.1</v>
      </c>
    </row>
    <row r="6311" spans="1:1" x14ac:dyDescent="0.25">
      <c r="A6311">
        <v>0</v>
      </c>
    </row>
    <row r="6312" spans="1:1" x14ac:dyDescent="0.25">
      <c r="A6312" s="9">
        <v>196685.24</v>
      </c>
    </row>
    <row r="6313" spans="1:1" x14ac:dyDescent="0.25">
      <c r="A6313">
        <v>0</v>
      </c>
    </row>
    <row r="6314" spans="1:1" x14ac:dyDescent="0.25">
      <c r="A6314" s="9">
        <v>361171.86</v>
      </c>
    </row>
    <row r="6315" spans="1:1" x14ac:dyDescent="0.25">
      <c r="A6315">
        <v>0</v>
      </c>
    </row>
    <row r="6316" spans="1:1" x14ac:dyDescent="0.25">
      <c r="A6316" s="9">
        <v>916310.27</v>
      </c>
    </row>
    <row r="6317" spans="1:1" x14ac:dyDescent="0.25">
      <c r="A6317" s="9">
        <v>36034791.799999997</v>
      </c>
    </row>
    <row r="6318" spans="1:1" x14ac:dyDescent="0.25">
      <c r="A6318" s="9">
        <v>1414275.2</v>
      </c>
    </row>
    <row r="6319" spans="1:1" x14ac:dyDescent="0.25">
      <c r="A6319" s="9">
        <v>3801871.9</v>
      </c>
    </row>
    <row r="6320" spans="1:1" x14ac:dyDescent="0.25">
      <c r="A6320">
        <v>0</v>
      </c>
    </row>
    <row r="6321" spans="1:1" x14ac:dyDescent="0.25">
      <c r="A6321" s="9">
        <v>180596.36</v>
      </c>
    </row>
    <row r="6322" spans="1:1" x14ac:dyDescent="0.25">
      <c r="A6322" s="9">
        <v>65714.75</v>
      </c>
    </row>
    <row r="6323" spans="1:1" x14ac:dyDescent="0.25">
      <c r="A6323" s="9">
        <v>119342.88</v>
      </c>
    </row>
    <row r="6324" spans="1:1" x14ac:dyDescent="0.25">
      <c r="A6324" s="9">
        <v>181207.33</v>
      </c>
    </row>
    <row r="6325" spans="1:1" x14ac:dyDescent="0.25">
      <c r="A6325" s="9">
        <v>303669.7</v>
      </c>
    </row>
    <row r="6326" spans="1:1" x14ac:dyDescent="0.25">
      <c r="A6326" s="9">
        <v>50583565.529999897</v>
      </c>
    </row>
    <row r="6327" spans="1:1" x14ac:dyDescent="0.25">
      <c r="A6327" s="9">
        <v>2415370.2000000002</v>
      </c>
    </row>
    <row r="6328" spans="1:1" x14ac:dyDescent="0.25">
      <c r="A6328">
        <v>0</v>
      </c>
    </row>
    <row r="6329" spans="1:1" x14ac:dyDescent="0.25">
      <c r="A6329" s="9">
        <v>5560497.5</v>
      </c>
    </row>
    <row r="6330" spans="1:1" x14ac:dyDescent="0.25">
      <c r="A6330">
        <v>0</v>
      </c>
    </row>
    <row r="6331" spans="1:1" x14ac:dyDescent="0.25">
      <c r="A6331" s="9">
        <v>961752.56</v>
      </c>
    </row>
    <row r="6332" spans="1:1" x14ac:dyDescent="0.25">
      <c r="A6332" s="9">
        <v>14424025.130000001</v>
      </c>
    </row>
    <row r="6333" spans="1:1" x14ac:dyDescent="0.25">
      <c r="A6333">
        <v>0</v>
      </c>
    </row>
    <row r="6334" spans="1:1" x14ac:dyDescent="0.25">
      <c r="A6334" s="9">
        <v>4520526.84</v>
      </c>
    </row>
    <row r="6335" spans="1:1" x14ac:dyDescent="0.25">
      <c r="A6335" s="9">
        <v>2812262.62</v>
      </c>
    </row>
    <row r="6336" spans="1:1" x14ac:dyDescent="0.25">
      <c r="A6336" s="9">
        <v>389538.07</v>
      </c>
    </row>
    <row r="6337" spans="1:1" x14ac:dyDescent="0.25">
      <c r="A6337" s="9">
        <v>4360336.78</v>
      </c>
    </row>
    <row r="6338" spans="1:1" x14ac:dyDescent="0.25">
      <c r="A6338" s="9">
        <v>141330.04999999999</v>
      </c>
    </row>
    <row r="6339" spans="1:1" x14ac:dyDescent="0.25">
      <c r="A6339" s="9">
        <v>5672631.3600000003</v>
      </c>
    </row>
    <row r="6340" spans="1:1" x14ac:dyDescent="0.25">
      <c r="A6340" s="9">
        <v>6988279.0700000003</v>
      </c>
    </row>
    <row r="6341" spans="1:1" x14ac:dyDescent="0.25">
      <c r="A6341" s="9">
        <v>4380847.04</v>
      </c>
    </row>
    <row r="6342" spans="1:1" x14ac:dyDescent="0.25">
      <c r="A6342" s="9">
        <v>29269.759999999998</v>
      </c>
    </row>
    <row r="6343" spans="1:1" x14ac:dyDescent="0.25">
      <c r="A6343" s="9">
        <v>6165413.6299999896</v>
      </c>
    </row>
    <row r="6344" spans="1:1" x14ac:dyDescent="0.25">
      <c r="A6344" s="9">
        <v>17545748.09</v>
      </c>
    </row>
    <row r="6345" spans="1:1" x14ac:dyDescent="0.25">
      <c r="A6345" s="9">
        <v>1163145.9099999999</v>
      </c>
    </row>
    <row r="6346" spans="1:1" x14ac:dyDescent="0.25">
      <c r="A6346">
        <v>0</v>
      </c>
    </row>
    <row r="6347" spans="1:1" x14ac:dyDescent="0.25">
      <c r="A6347" s="9">
        <v>17021153.02</v>
      </c>
    </row>
    <row r="6348" spans="1:1" x14ac:dyDescent="0.25">
      <c r="A6348" s="9">
        <v>22803573.039999999</v>
      </c>
    </row>
    <row r="6349" spans="1:1" x14ac:dyDescent="0.25">
      <c r="A6349" s="9">
        <v>10143547.75</v>
      </c>
    </row>
    <row r="6350" spans="1:1" x14ac:dyDescent="0.25">
      <c r="A6350" s="9">
        <v>4547760.1900000004</v>
      </c>
    </row>
    <row r="6351" spans="1:1" x14ac:dyDescent="0.25">
      <c r="A6351" s="9">
        <v>5458551.7000000002</v>
      </c>
    </row>
    <row r="6352" spans="1:1" x14ac:dyDescent="0.25">
      <c r="A6352">
        <v>0</v>
      </c>
    </row>
    <row r="6353" spans="1:1" x14ac:dyDescent="0.25">
      <c r="A6353" s="9">
        <v>16872386.27</v>
      </c>
    </row>
    <row r="6354" spans="1:1" x14ac:dyDescent="0.25">
      <c r="A6354">
        <v>0</v>
      </c>
    </row>
    <row r="6355" spans="1:1" x14ac:dyDescent="0.25">
      <c r="A6355" s="9">
        <v>1205919.6000000001</v>
      </c>
    </row>
    <row r="6356" spans="1:1" x14ac:dyDescent="0.25">
      <c r="A6356" s="9">
        <v>10999734.699999999</v>
      </c>
    </row>
    <row r="6357" spans="1:1" x14ac:dyDescent="0.25">
      <c r="A6357" s="9">
        <v>2543400.54</v>
      </c>
    </row>
    <row r="6358" spans="1:1" x14ac:dyDescent="0.25">
      <c r="A6358" s="9">
        <v>2959067.4399999902</v>
      </c>
    </row>
    <row r="6359" spans="1:1" x14ac:dyDescent="0.25">
      <c r="A6359" s="9">
        <v>22806528.66</v>
      </c>
    </row>
    <row r="6360" spans="1:1" x14ac:dyDescent="0.25">
      <c r="A6360" s="9">
        <v>10065693.09</v>
      </c>
    </row>
    <row r="6361" spans="1:1" x14ac:dyDescent="0.25">
      <c r="A6361" s="9">
        <v>11544792.699999999</v>
      </c>
    </row>
    <row r="6362" spans="1:1" x14ac:dyDescent="0.25">
      <c r="A6362" s="9">
        <v>155459.1</v>
      </c>
    </row>
    <row r="6363" spans="1:1" x14ac:dyDescent="0.25">
      <c r="A6363" s="9">
        <v>3891954.98</v>
      </c>
    </row>
    <row r="6364" spans="1:1" x14ac:dyDescent="0.25">
      <c r="A6364" s="9">
        <v>2205427.81</v>
      </c>
    </row>
    <row r="6365" spans="1:1" x14ac:dyDescent="0.25">
      <c r="A6365" s="9">
        <v>20382412.870000001</v>
      </c>
    </row>
    <row r="6366" spans="1:1" x14ac:dyDescent="0.25">
      <c r="A6366">
        <v>0</v>
      </c>
    </row>
    <row r="6367" spans="1:1" x14ac:dyDescent="0.25">
      <c r="A6367" s="9">
        <v>2366292.2799999998</v>
      </c>
    </row>
    <row r="6368" spans="1:1" x14ac:dyDescent="0.25">
      <c r="A6368" s="9">
        <v>352893.12</v>
      </c>
    </row>
    <row r="6369" spans="1:1" x14ac:dyDescent="0.25">
      <c r="A6369">
        <v>0</v>
      </c>
    </row>
    <row r="6370" spans="1:1" x14ac:dyDescent="0.25">
      <c r="A6370" s="9">
        <v>6309050.8599999901</v>
      </c>
    </row>
    <row r="6371" spans="1:1" x14ac:dyDescent="0.25">
      <c r="A6371" s="9">
        <v>659393.21</v>
      </c>
    </row>
    <row r="6372" spans="1:1" x14ac:dyDescent="0.25">
      <c r="A6372" s="9">
        <v>8041917.9900000002</v>
      </c>
    </row>
    <row r="6373" spans="1:1" x14ac:dyDescent="0.25">
      <c r="A6373" s="9">
        <v>7250674.4100000001</v>
      </c>
    </row>
    <row r="6374" spans="1:1" x14ac:dyDescent="0.25">
      <c r="A6374" s="9">
        <v>307421.07</v>
      </c>
    </row>
    <row r="6375" spans="1:1" x14ac:dyDescent="0.25">
      <c r="A6375" s="9">
        <v>65832.599999999904</v>
      </c>
    </row>
    <row r="6376" spans="1:1" x14ac:dyDescent="0.25">
      <c r="A6376" s="9">
        <v>1557455.93</v>
      </c>
    </row>
    <row r="6377" spans="1:1" x14ac:dyDescent="0.25">
      <c r="A6377" s="9">
        <v>6251383.25</v>
      </c>
    </row>
    <row r="6378" spans="1:1" x14ac:dyDescent="0.25">
      <c r="A6378" s="9">
        <v>689903.06999999902</v>
      </c>
    </row>
    <row r="6379" spans="1:1" x14ac:dyDescent="0.25">
      <c r="A6379" s="9">
        <v>6196170.5499999998</v>
      </c>
    </row>
    <row r="6380" spans="1:1" x14ac:dyDescent="0.25">
      <c r="A6380" s="9">
        <v>4406614.0599999996</v>
      </c>
    </row>
    <row r="6381" spans="1:1" x14ac:dyDescent="0.25">
      <c r="A6381" s="9">
        <v>186499.5</v>
      </c>
    </row>
    <row r="6382" spans="1:1" x14ac:dyDescent="0.25">
      <c r="A6382" s="9">
        <v>3024760.46</v>
      </c>
    </row>
    <row r="6383" spans="1:1" x14ac:dyDescent="0.25">
      <c r="A6383" s="9">
        <v>4363042.1099999901</v>
      </c>
    </row>
    <row r="6384" spans="1:1" x14ac:dyDescent="0.25">
      <c r="A6384" s="9">
        <v>99771.54</v>
      </c>
    </row>
    <row r="6385" spans="1:1" x14ac:dyDescent="0.25">
      <c r="A6385" s="9">
        <v>201243.05</v>
      </c>
    </row>
    <row r="6386" spans="1:1" x14ac:dyDescent="0.25">
      <c r="A6386">
        <v>0</v>
      </c>
    </row>
    <row r="6387" spans="1:1" x14ac:dyDescent="0.25">
      <c r="A6387" s="9">
        <v>151877.25</v>
      </c>
    </row>
    <row r="6388" spans="1:1" x14ac:dyDescent="0.25">
      <c r="A6388" s="9">
        <v>3800049.52</v>
      </c>
    </row>
    <row r="6389" spans="1:1" x14ac:dyDescent="0.25">
      <c r="A6389" s="9">
        <v>261608.76</v>
      </c>
    </row>
    <row r="6390" spans="1:1" x14ac:dyDescent="0.25">
      <c r="A6390" s="9">
        <v>6350008.9800000004</v>
      </c>
    </row>
    <row r="6391" spans="1:1" x14ac:dyDescent="0.25">
      <c r="A6391" s="9">
        <v>7320527.3099999996</v>
      </c>
    </row>
    <row r="6392" spans="1:1" x14ac:dyDescent="0.25">
      <c r="A6392" s="9">
        <v>6994580.8499999996</v>
      </c>
    </row>
    <row r="6393" spans="1:1" x14ac:dyDescent="0.25">
      <c r="A6393">
        <v>0</v>
      </c>
    </row>
    <row r="6394" spans="1:1" x14ac:dyDescent="0.25">
      <c r="A6394" s="9">
        <v>206723.34</v>
      </c>
    </row>
    <row r="6395" spans="1:1" x14ac:dyDescent="0.25">
      <c r="A6395" s="9">
        <v>2995189.59</v>
      </c>
    </row>
    <row r="6396" spans="1:1" x14ac:dyDescent="0.25">
      <c r="A6396">
        <v>0</v>
      </c>
    </row>
    <row r="6397" spans="1:1" x14ac:dyDescent="0.25">
      <c r="A6397" s="9">
        <v>16000083.51</v>
      </c>
    </row>
    <row r="6398" spans="1:1" x14ac:dyDescent="0.25">
      <c r="A6398" s="9">
        <v>1246586.57</v>
      </c>
    </row>
    <row r="6399" spans="1:1" x14ac:dyDescent="0.25">
      <c r="A6399">
        <v>0</v>
      </c>
    </row>
    <row r="6400" spans="1:1" x14ac:dyDescent="0.25">
      <c r="A6400">
        <v>0</v>
      </c>
    </row>
    <row r="6401" spans="1:1" x14ac:dyDescent="0.25">
      <c r="A6401" s="9">
        <v>5049815.9399999902</v>
      </c>
    </row>
    <row r="6402" spans="1:1" x14ac:dyDescent="0.25">
      <c r="A6402" s="9">
        <v>15717115.800000001</v>
      </c>
    </row>
    <row r="6403" spans="1:1" x14ac:dyDescent="0.25">
      <c r="A6403" s="9">
        <v>6168726.9100000001</v>
      </c>
    </row>
    <row r="6404" spans="1:1" x14ac:dyDescent="0.25">
      <c r="A6404">
        <v>0</v>
      </c>
    </row>
    <row r="6405" spans="1:1" x14ac:dyDescent="0.25">
      <c r="A6405" s="9">
        <v>3121087.68</v>
      </c>
    </row>
    <row r="6406" spans="1:1" x14ac:dyDescent="0.25">
      <c r="A6406">
        <v>0</v>
      </c>
    </row>
    <row r="6407" spans="1:1" x14ac:dyDescent="0.25">
      <c r="A6407" s="9">
        <v>3657794.66</v>
      </c>
    </row>
    <row r="6408" spans="1:1" x14ac:dyDescent="0.25">
      <c r="A6408" s="9">
        <v>118937.28</v>
      </c>
    </row>
    <row r="6409" spans="1:1" x14ac:dyDescent="0.25">
      <c r="A6409" s="9">
        <v>4147684.13</v>
      </c>
    </row>
    <row r="6410" spans="1:1" x14ac:dyDescent="0.25">
      <c r="A6410" s="9">
        <v>2214535.31</v>
      </c>
    </row>
    <row r="6411" spans="1:1" x14ac:dyDescent="0.25">
      <c r="A6411" s="9">
        <v>1472404.88</v>
      </c>
    </row>
    <row r="6412" spans="1:1" x14ac:dyDescent="0.25">
      <c r="A6412" s="9">
        <v>3686794.9399999902</v>
      </c>
    </row>
    <row r="6413" spans="1:1" x14ac:dyDescent="0.25">
      <c r="A6413" s="9">
        <v>19071393.850000001</v>
      </c>
    </row>
    <row r="6414" spans="1:1" x14ac:dyDescent="0.25">
      <c r="A6414" s="9">
        <v>1414275.2</v>
      </c>
    </row>
    <row r="6415" spans="1:1" x14ac:dyDescent="0.25">
      <c r="A6415" s="9">
        <v>162411.81</v>
      </c>
    </row>
    <row r="6416" spans="1:1" x14ac:dyDescent="0.25">
      <c r="A6416" s="9">
        <v>16306919.42</v>
      </c>
    </row>
    <row r="6417" spans="1:1" x14ac:dyDescent="0.25">
      <c r="A6417" s="9">
        <v>2541404.85</v>
      </c>
    </row>
    <row r="6418" spans="1:1" x14ac:dyDescent="0.25">
      <c r="A6418" s="9">
        <v>6995868.9800000004</v>
      </c>
    </row>
    <row r="6419" spans="1:1" x14ac:dyDescent="0.25">
      <c r="A6419" s="9">
        <v>11967022.09</v>
      </c>
    </row>
    <row r="6420" spans="1:1" x14ac:dyDescent="0.25">
      <c r="A6420">
        <v>0</v>
      </c>
    </row>
    <row r="6421" spans="1:1" x14ac:dyDescent="0.25">
      <c r="A6421" s="9">
        <v>1193912.3</v>
      </c>
    </row>
    <row r="6422" spans="1:1" x14ac:dyDescent="0.25">
      <c r="A6422" s="9">
        <v>2544489.21</v>
      </c>
    </row>
    <row r="6423" spans="1:1" x14ac:dyDescent="0.25">
      <c r="A6423" s="9">
        <v>452313.39</v>
      </c>
    </row>
    <row r="6424" spans="1:1" x14ac:dyDescent="0.25">
      <c r="A6424" s="9">
        <v>7721042.5099999998</v>
      </c>
    </row>
    <row r="6425" spans="1:1" x14ac:dyDescent="0.25">
      <c r="A6425">
        <v>0</v>
      </c>
    </row>
    <row r="6426" spans="1:1" x14ac:dyDescent="0.25">
      <c r="A6426" s="9">
        <v>4906328.45</v>
      </c>
    </row>
    <row r="6427" spans="1:1" x14ac:dyDescent="0.25">
      <c r="A6427" s="9">
        <v>1465717.68</v>
      </c>
    </row>
    <row r="6428" spans="1:1" x14ac:dyDescent="0.25">
      <c r="A6428" s="9">
        <v>124401.86</v>
      </c>
    </row>
    <row r="6429" spans="1:1" x14ac:dyDescent="0.25">
      <c r="A6429" s="9">
        <v>5034945.25</v>
      </c>
    </row>
    <row r="6430" spans="1:1" x14ac:dyDescent="0.25">
      <c r="A6430" s="9">
        <v>19557474.309999999</v>
      </c>
    </row>
    <row r="6431" spans="1:1" x14ac:dyDescent="0.25">
      <c r="A6431">
        <v>0</v>
      </c>
    </row>
    <row r="6432" spans="1:1" x14ac:dyDescent="0.25">
      <c r="A6432" s="9">
        <v>3837831.3799999901</v>
      </c>
    </row>
    <row r="6433" spans="1:1" x14ac:dyDescent="0.25">
      <c r="A6433" s="9">
        <v>3527547.83</v>
      </c>
    </row>
    <row r="6434" spans="1:1" x14ac:dyDescent="0.25">
      <c r="A6434" s="9">
        <v>149771.68</v>
      </c>
    </row>
    <row r="6435" spans="1:1" x14ac:dyDescent="0.25">
      <c r="A6435">
        <v>0</v>
      </c>
    </row>
    <row r="6436" spans="1:1" x14ac:dyDescent="0.25">
      <c r="A6436" s="9">
        <v>184735.48</v>
      </c>
    </row>
    <row r="6437" spans="1:1" x14ac:dyDescent="0.25">
      <c r="A6437" s="9">
        <v>288218.7</v>
      </c>
    </row>
    <row r="6438" spans="1:1" x14ac:dyDescent="0.25">
      <c r="A6438" s="9">
        <v>4183842.23</v>
      </c>
    </row>
    <row r="6439" spans="1:1" x14ac:dyDescent="0.25">
      <c r="A6439">
        <v>0</v>
      </c>
    </row>
    <row r="6440" spans="1:1" x14ac:dyDescent="0.25">
      <c r="A6440" s="9">
        <v>180596.36</v>
      </c>
    </row>
    <row r="6441" spans="1:1" x14ac:dyDescent="0.25">
      <c r="A6441" s="9">
        <v>6872432.9500000002</v>
      </c>
    </row>
    <row r="6442" spans="1:1" x14ac:dyDescent="0.25">
      <c r="A6442" s="9">
        <v>857627.64</v>
      </c>
    </row>
    <row r="6443" spans="1:1" x14ac:dyDescent="0.25">
      <c r="A6443" s="9">
        <v>4013234.8999999901</v>
      </c>
    </row>
    <row r="6444" spans="1:1" x14ac:dyDescent="0.25">
      <c r="A6444" s="9">
        <v>2327166.7599999998</v>
      </c>
    </row>
    <row r="6445" spans="1:1" x14ac:dyDescent="0.25">
      <c r="A6445" s="9">
        <v>35635667.990000002</v>
      </c>
    </row>
    <row r="6446" spans="1:1" x14ac:dyDescent="0.25">
      <c r="A6446" s="9">
        <v>145009.26</v>
      </c>
    </row>
    <row r="6447" spans="1:1" x14ac:dyDescent="0.25">
      <c r="A6447" s="9">
        <v>217290.78</v>
      </c>
    </row>
    <row r="6448" spans="1:1" x14ac:dyDescent="0.25">
      <c r="A6448" s="9">
        <v>23374545.780000001</v>
      </c>
    </row>
    <row r="6449" spans="1:1" x14ac:dyDescent="0.25">
      <c r="A6449" s="9">
        <v>58386.46</v>
      </c>
    </row>
    <row r="6450" spans="1:1" x14ac:dyDescent="0.25">
      <c r="A6450">
        <v>1944663</v>
      </c>
    </row>
    <row r="6451" spans="1:1" x14ac:dyDescent="0.25">
      <c r="A6451" s="9">
        <v>35714.1</v>
      </c>
    </row>
    <row r="6452" spans="1:1" x14ac:dyDescent="0.25">
      <c r="A6452" s="9">
        <v>1221612.27</v>
      </c>
    </row>
    <row r="6453" spans="1:1" x14ac:dyDescent="0.25">
      <c r="A6453">
        <v>0</v>
      </c>
    </row>
    <row r="6454" spans="1:1" x14ac:dyDescent="0.25">
      <c r="A6454" s="9">
        <v>5121074.43</v>
      </c>
    </row>
    <row r="6455" spans="1:1" x14ac:dyDescent="0.25">
      <c r="A6455" s="9">
        <v>3253787.53</v>
      </c>
    </row>
    <row r="6456" spans="1:1" x14ac:dyDescent="0.25">
      <c r="A6456" s="9">
        <v>61079.6</v>
      </c>
    </row>
    <row r="6457" spans="1:1" x14ac:dyDescent="0.25">
      <c r="A6457" s="9">
        <v>409255.63</v>
      </c>
    </row>
    <row r="6458" spans="1:1" x14ac:dyDescent="0.25">
      <c r="A6458" s="9">
        <v>55802.559999999998</v>
      </c>
    </row>
    <row r="6459" spans="1:1" x14ac:dyDescent="0.25">
      <c r="A6459" s="9">
        <v>24765091.469999999</v>
      </c>
    </row>
    <row r="6460" spans="1:1" x14ac:dyDescent="0.25">
      <c r="A6460" s="9">
        <v>256707.1</v>
      </c>
    </row>
    <row r="6461" spans="1:1" x14ac:dyDescent="0.25">
      <c r="A6461" s="9">
        <v>876414.96</v>
      </c>
    </row>
    <row r="6462" spans="1:1" x14ac:dyDescent="0.25">
      <c r="A6462" s="9">
        <v>1878777.86</v>
      </c>
    </row>
    <row r="6463" spans="1:1" x14ac:dyDescent="0.25">
      <c r="A6463" s="9">
        <v>55235.28</v>
      </c>
    </row>
    <row r="6464" spans="1:1" x14ac:dyDescent="0.25">
      <c r="A6464" s="9">
        <v>9986977.9699999895</v>
      </c>
    </row>
    <row r="6465" spans="1:1" x14ac:dyDescent="0.25">
      <c r="A6465" s="9">
        <v>15857898.25</v>
      </c>
    </row>
    <row r="6466" spans="1:1" x14ac:dyDescent="0.25">
      <c r="A6466" s="9">
        <v>4017761.6</v>
      </c>
    </row>
    <row r="6467" spans="1:1" x14ac:dyDescent="0.25">
      <c r="A6467" s="9">
        <v>322408.96999999997</v>
      </c>
    </row>
    <row r="6468" spans="1:1" x14ac:dyDescent="0.25">
      <c r="A6468">
        <v>0</v>
      </c>
    </row>
    <row r="6469" spans="1:1" x14ac:dyDescent="0.25">
      <c r="A6469" s="9">
        <v>2225784.06</v>
      </c>
    </row>
    <row r="6470" spans="1:1" x14ac:dyDescent="0.25">
      <c r="A6470">
        <v>0</v>
      </c>
    </row>
    <row r="6471" spans="1:1" x14ac:dyDescent="0.25">
      <c r="A6471" s="9">
        <v>24015745.989999998</v>
      </c>
    </row>
    <row r="6472" spans="1:1" x14ac:dyDescent="0.25">
      <c r="A6472" s="9">
        <v>4633323.1099999901</v>
      </c>
    </row>
    <row r="6473" spans="1:1" x14ac:dyDescent="0.25">
      <c r="A6473" s="9">
        <v>53008500.819999903</v>
      </c>
    </row>
    <row r="6474" spans="1:1" x14ac:dyDescent="0.25">
      <c r="A6474" s="9">
        <v>9265249.2300000004</v>
      </c>
    </row>
    <row r="6475" spans="1:1" x14ac:dyDescent="0.25">
      <c r="A6475">
        <v>0</v>
      </c>
    </row>
    <row r="6476" spans="1:1" x14ac:dyDescent="0.25">
      <c r="A6476" s="9">
        <v>6624125.6699999999</v>
      </c>
    </row>
    <row r="6477" spans="1:1" x14ac:dyDescent="0.25">
      <c r="A6477">
        <v>0</v>
      </c>
    </row>
    <row r="6478" spans="1:1" x14ac:dyDescent="0.25">
      <c r="A6478">
        <v>0</v>
      </c>
    </row>
    <row r="6479" spans="1:1" x14ac:dyDescent="0.25">
      <c r="A6479">
        <v>0</v>
      </c>
    </row>
    <row r="6480" spans="1:1" x14ac:dyDescent="0.25">
      <c r="A6480" s="9">
        <v>2964451.14</v>
      </c>
    </row>
    <row r="6481" spans="1:1" x14ac:dyDescent="0.25">
      <c r="A6481">
        <v>0</v>
      </c>
    </row>
    <row r="6482" spans="1:1" x14ac:dyDescent="0.25">
      <c r="A6482" s="9">
        <v>28254793.809999999</v>
      </c>
    </row>
    <row r="6483" spans="1:1" x14ac:dyDescent="0.25">
      <c r="A6483" s="9">
        <v>16569554.83</v>
      </c>
    </row>
    <row r="6484" spans="1:1" x14ac:dyDescent="0.25">
      <c r="A6484" s="9">
        <v>11117741.82</v>
      </c>
    </row>
    <row r="6485" spans="1:1" x14ac:dyDescent="0.25">
      <c r="A6485" s="9">
        <v>719221.93999999901</v>
      </c>
    </row>
    <row r="6486" spans="1:1" x14ac:dyDescent="0.25">
      <c r="A6486" s="9">
        <v>54520802.079999998</v>
      </c>
    </row>
    <row r="6487" spans="1:1" x14ac:dyDescent="0.25">
      <c r="A6487" s="9">
        <v>237404.7</v>
      </c>
    </row>
    <row r="6488" spans="1:1" x14ac:dyDescent="0.25">
      <c r="A6488" s="9">
        <v>33104709.199999999</v>
      </c>
    </row>
    <row r="6489" spans="1:1" x14ac:dyDescent="0.25">
      <c r="A6489" s="9">
        <v>24455225.239999998</v>
      </c>
    </row>
    <row r="6490" spans="1:1" x14ac:dyDescent="0.25">
      <c r="A6490" s="9">
        <v>8544121.8100000005</v>
      </c>
    </row>
    <row r="6491" spans="1:1" x14ac:dyDescent="0.25">
      <c r="A6491">
        <v>0</v>
      </c>
    </row>
    <row r="6492" spans="1:1" x14ac:dyDescent="0.25">
      <c r="A6492">
        <v>0</v>
      </c>
    </row>
    <row r="6493" spans="1:1" x14ac:dyDescent="0.25">
      <c r="A6493" s="9">
        <v>13165670.369999999</v>
      </c>
    </row>
    <row r="6494" spans="1:1" x14ac:dyDescent="0.25">
      <c r="A6494" s="9">
        <v>35714.1</v>
      </c>
    </row>
    <row r="6495" spans="1:1" x14ac:dyDescent="0.25">
      <c r="A6495">
        <v>0</v>
      </c>
    </row>
    <row r="6496" spans="1:1" x14ac:dyDescent="0.25">
      <c r="A6496" s="9">
        <v>11366994.890000001</v>
      </c>
    </row>
    <row r="6497" spans="1:1" x14ac:dyDescent="0.25">
      <c r="A6497" s="9">
        <v>363932.4</v>
      </c>
    </row>
    <row r="6498" spans="1:1" x14ac:dyDescent="0.25">
      <c r="A6498" s="9">
        <v>7531561.2199999997</v>
      </c>
    </row>
    <row r="6499" spans="1:1" x14ac:dyDescent="0.25">
      <c r="A6499" s="9">
        <v>6593879.8799999999</v>
      </c>
    </row>
    <row r="6500" spans="1:1" x14ac:dyDescent="0.25">
      <c r="A6500" s="9">
        <v>2421569.67</v>
      </c>
    </row>
    <row r="6501" spans="1:1" x14ac:dyDescent="0.25">
      <c r="A6501">
        <v>0</v>
      </c>
    </row>
    <row r="6502" spans="1:1" x14ac:dyDescent="0.25">
      <c r="A6502">
        <v>0</v>
      </c>
    </row>
    <row r="6503" spans="1:1" x14ac:dyDescent="0.25">
      <c r="A6503">
        <v>0</v>
      </c>
    </row>
    <row r="6504" spans="1:1" x14ac:dyDescent="0.25">
      <c r="A6504" s="9">
        <v>7043204.3399999999</v>
      </c>
    </row>
    <row r="6505" spans="1:1" x14ac:dyDescent="0.25">
      <c r="A6505" s="9">
        <v>2836694.31</v>
      </c>
    </row>
    <row r="6506" spans="1:1" x14ac:dyDescent="0.25">
      <c r="A6506">
        <v>0</v>
      </c>
    </row>
    <row r="6507" spans="1:1" x14ac:dyDescent="0.25">
      <c r="A6507" s="9">
        <v>151877.25</v>
      </c>
    </row>
    <row r="6508" spans="1:1" x14ac:dyDescent="0.25">
      <c r="A6508" s="9">
        <v>8913431.1600000001</v>
      </c>
    </row>
    <row r="6509" spans="1:1" x14ac:dyDescent="0.25">
      <c r="A6509">
        <v>0</v>
      </c>
    </row>
    <row r="6510" spans="1:1" x14ac:dyDescent="0.25">
      <c r="A6510" s="9">
        <v>10150777.550000001</v>
      </c>
    </row>
    <row r="6511" spans="1:1" x14ac:dyDescent="0.25">
      <c r="A6511" s="9">
        <v>11419357.74</v>
      </c>
    </row>
    <row r="6512" spans="1:1" x14ac:dyDescent="0.25">
      <c r="A6512">
        <v>0</v>
      </c>
    </row>
    <row r="6513" spans="1:1" x14ac:dyDescent="0.25">
      <c r="A6513" s="9">
        <v>2263454.12</v>
      </c>
    </row>
    <row r="6514" spans="1:1" x14ac:dyDescent="0.25">
      <c r="A6514" s="9">
        <v>3333562.7</v>
      </c>
    </row>
    <row r="6515" spans="1:1" x14ac:dyDescent="0.25">
      <c r="A6515" s="9">
        <v>1353725.28</v>
      </c>
    </row>
    <row r="6516" spans="1:1" x14ac:dyDescent="0.25">
      <c r="A6516" s="9">
        <v>1878777.86</v>
      </c>
    </row>
    <row r="6517" spans="1:1" x14ac:dyDescent="0.25">
      <c r="A6517" s="9">
        <v>6372227.9299999997</v>
      </c>
    </row>
    <row r="6518" spans="1:1" x14ac:dyDescent="0.25">
      <c r="A6518" s="9">
        <v>2855488.83</v>
      </c>
    </row>
    <row r="6519" spans="1:1" x14ac:dyDescent="0.25">
      <c r="A6519">
        <v>0</v>
      </c>
    </row>
    <row r="6520" spans="1:1" x14ac:dyDescent="0.25">
      <c r="A6520" s="9">
        <v>2664110.31</v>
      </c>
    </row>
    <row r="6521" spans="1:1" x14ac:dyDescent="0.25">
      <c r="A6521" s="9">
        <v>2247552.67</v>
      </c>
    </row>
    <row r="6522" spans="1:1" x14ac:dyDescent="0.25">
      <c r="A6522" s="9">
        <v>3801515.73</v>
      </c>
    </row>
    <row r="6523" spans="1:1" x14ac:dyDescent="0.25">
      <c r="A6523" s="9">
        <v>30391167.149999999</v>
      </c>
    </row>
    <row r="6524" spans="1:1" x14ac:dyDescent="0.25">
      <c r="A6524" s="9">
        <v>9095989.0199999996</v>
      </c>
    </row>
    <row r="6525" spans="1:1" x14ac:dyDescent="0.25">
      <c r="A6525" s="9">
        <v>14855705.07</v>
      </c>
    </row>
    <row r="6526" spans="1:1" x14ac:dyDescent="0.25">
      <c r="A6526" s="9">
        <v>471928.61</v>
      </c>
    </row>
    <row r="6527" spans="1:1" x14ac:dyDescent="0.25">
      <c r="A6527" s="9">
        <v>1555231.64</v>
      </c>
    </row>
    <row r="6528" spans="1:1" x14ac:dyDescent="0.25">
      <c r="A6528">
        <v>0</v>
      </c>
    </row>
    <row r="6529" spans="1:1" x14ac:dyDescent="0.25">
      <c r="A6529" s="9">
        <v>16500503.470000001</v>
      </c>
    </row>
    <row r="6530" spans="1:1" x14ac:dyDescent="0.25">
      <c r="A6530" s="9">
        <v>4295862.08</v>
      </c>
    </row>
    <row r="6531" spans="1:1" x14ac:dyDescent="0.25">
      <c r="A6531" s="9">
        <v>5327865.45</v>
      </c>
    </row>
    <row r="6532" spans="1:1" x14ac:dyDescent="0.25">
      <c r="A6532" s="9">
        <v>9911561.7699999996</v>
      </c>
    </row>
    <row r="6533" spans="1:1" x14ac:dyDescent="0.25">
      <c r="A6533">
        <v>0</v>
      </c>
    </row>
    <row r="6534" spans="1:1" x14ac:dyDescent="0.25">
      <c r="A6534" s="9">
        <v>1745095.3</v>
      </c>
    </row>
    <row r="6535" spans="1:1" x14ac:dyDescent="0.25">
      <c r="A6535" s="9">
        <v>341726.75</v>
      </c>
    </row>
    <row r="6536" spans="1:1" x14ac:dyDescent="0.25">
      <c r="A6536" s="9">
        <v>10343294.83</v>
      </c>
    </row>
    <row r="6537" spans="1:1" x14ac:dyDescent="0.25">
      <c r="A6537" s="9">
        <v>5785706.5</v>
      </c>
    </row>
    <row r="6538" spans="1:1" x14ac:dyDescent="0.25">
      <c r="A6538" s="9">
        <v>1637793.39</v>
      </c>
    </row>
    <row r="6539" spans="1:1" x14ac:dyDescent="0.25">
      <c r="A6539" s="9">
        <v>11921575.810000001</v>
      </c>
    </row>
    <row r="6540" spans="1:1" x14ac:dyDescent="0.25">
      <c r="A6540" s="9">
        <v>256707.1</v>
      </c>
    </row>
    <row r="6541" spans="1:1" x14ac:dyDescent="0.25">
      <c r="A6541" s="9">
        <v>30647785.91</v>
      </c>
    </row>
    <row r="6542" spans="1:1" x14ac:dyDescent="0.25">
      <c r="A6542" s="9">
        <v>13054482.83</v>
      </c>
    </row>
    <row r="6543" spans="1:1" x14ac:dyDescent="0.25">
      <c r="A6543" s="9">
        <v>16264712.779999999</v>
      </c>
    </row>
    <row r="6544" spans="1:1" x14ac:dyDescent="0.25">
      <c r="A6544" s="9">
        <v>1230265.1599999999</v>
      </c>
    </row>
    <row r="6545" spans="1:1" x14ac:dyDescent="0.25">
      <c r="A6545" s="9">
        <v>2790981.94</v>
      </c>
    </row>
    <row r="6546" spans="1:1" x14ac:dyDescent="0.25">
      <c r="A6546">
        <v>0</v>
      </c>
    </row>
    <row r="6547" spans="1:1" x14ac:dyDescent="0.25">
      <c r="A6547" s="9">
        <v>6791357.9100000001</v>
      </c>
    </row>
    <row r="6548" spans="1:1" x14ac:dyDescent="0.25">
      <c r="A6548" s="9">
        <v>4125947.16</v>
      </c>
    </row>
    <row r="6549" spans="1:1" x14ac:dyDescent="0.25">
      <c r="A6549" s="9">
        <v>14659198.310000001</v>
      </c>
    </row>
    <row r="6550" spans="1:1" x14ac:dyDescent="0.25">
      <c r="A6550" s="9">
        <v>7374325.4500000002</v>
      </c>
    </row>
    <row r="6551" spans="1:1" x14ac:dyDescent="0.25">
      <c r="A6551" s="9">
        <v>179642.07</v>
      </c>
    </row>
    <row r="6552" spans="1:1" x14ac:dyDescent="0.25">
      <c r="A6552" s="9">
        <v>6297361.8099999996</v>
      </c>
    </row>
    <row r="6553" spans="1:1" x14ac:dyDescent="0.25">
      <c r="A6553" s="9">
        <v>308129.84000000003</v>
      </c>
    </row>
    <row r="6554" spans="1:1" x14ac:dyDescent="0.25">
      <c r="A6554" s="9">
        <v>9250929.7999999896</v>
      </c>
    </row>
    <row r="6555" spans="1:1" x14ac:dyDescent="0.25">
      <c r="A6555" s="9">
        <v>2344207.2599999998</v>
      </c>
    </row>
    <row r="6556" spans="1:1" x14ac:dyDescent="0.25">
      <c r="A6556">
        <v>0</v>
      </c>
    </row>
    <row r="6557" spans="1:1" x14ac:dyDescent="0.25">
      <c r="A6557">
        <v>0</v>
      </c>
    </row>
    <row r="6558" spans="1:1" x14ac:dyDescent="0.25">
      <c r="A6558">
        <v>0</v>
      </c>
    </row>
    <row r="6559" spans="1:1" x14ac:dyDescent="0.25">
      <c r="A6559" s="9">
        <v>46910951.75</v>
      </c>
    </row>
    <row r="6560" spans="1:1" x14ac:dyDescent="0.25">
      <c r="A6560" s="9">
        <v>32603124.84</v>
      </c>
    </row>
    <row r="6561" spans="1:1" x14ac:dyDescent="0.25">
      <c r="A6561" s="9">
        <v>3094386.9599999902</v>
      </c>
    </row>
    <row r="6562" spans="1:1" x14ac:dyDescent="0.25">
      <c r="A6562" s="9">
        <v>335888.77</v>
      </c>
    </row>
    <row r="6563" spans="1:1" x14ac:dyDescent="0.25">
      <c r="A6563" s="9">
        <v>4843721.68</v>
      </c>
    </row>
    <row r="6564" spans="1:1" x14ac:dyDescent="0.25">
      <c r="A6564">
        <v>0</v>
      </c>
    </row>
    <row r="6565" spans="1:1" x14ac:dyDescent="0.25">
      <c r="A6565" s="9">
        <v>6631236.0199999996</v>
      </c>
    </row>
    <row r="6566" spans="1:1" x14ac:dyDescent="0.25">
      <c r="A6566" s="9">
        <v>2327465.12</v>
      </c>
    </row>
    <row r="6567" spans="1:1" x14ac:dyDescent="0.25">
      <c r="A6567" s="9">
        <v>34655566.920000002</v>
      </c>
    </row>
    <row r="6568" spans="1:1" x14ac:dyDescent="0.25">
      <c r="A6568">
        <v>0</v>
      </c>
    </row>
    <row r="6569" spans="1:1" x14ac:dyDescent="0.25">
      <c r="A6569" s="9">
        <v>446897.32</v>
      </c>
    </row>
    <row r="6570" spans="1:1" x14ac:dyDescent="0.25">
      <c r="A6570" s="9">
        <v>179642.07</v>
      </c>
    </row>
    <row r="6571" spans="1:1" x14ac:dyDescent="0.25">
      <c r="A6571" s="9">
        <v>277046.03000000003</v>
      </c>
    </row>
    <row r="6572" spans="1:1" x14ac:dyDescent="0.25">
      <c r="A6572" s="9">
        <v>1693441.61</v>
      </c>
    </row>
    <row r="6573" spans="1:1" x14ac:dyDescent="0.25">
      <c r="A6573" s="9">
        <v>2601888.12</v>
      </c>
    </row>
    <row r="6574" spans="1:1" x14ac:dyDescent="0.25">
      <c r="A6574" s="9">
        <v>73872.959999999905</v>
      </c>
    </row>
    <row r="6575" spans="1:1" x14ac:dyDescent="0.25">
      <c r="A6575" s="9">
        <v>428726.54</v>
      </c>
    </row>
    <row r="6576" spans="1:1" x14ac:dyDescent="0.25">
      <c r="A6576">
        <v>384145</v>
      </c>
    </row>
    <row r="6577" spans="1:1" x14ac:dyDescent="0.25">
      <c r="A6577" s="9">
        <v>10824961.949999999</v>
      </c>
    </row>
    <row r="6578" spans="1:1" x14ac:dyDescent="0.25">
      <c r="A6578" s="9">
        <v>23355601.059999999</v>
      </c>
    </row>
    <row r="6579" spans="1:1" x14ac:dyDescent="0.25">
      <c r="A6579" s="9">
        <v>3243971.97</v>
      </c>
    </row>
    <row r="6580" spans="1:1" x14ac:dyDescent="0.25">
      <c r="A6580" s="9">
        <v>3586960.81</v>
      </c>
    </row>
    <row r="6581" spans="1:1" x14ac:dyDescent="0.25">
      <c r="A6581" s="9">
        <v>219011.8</v>
      </c>
    </row>
    <row r="6582" spans="1:1" x14ac:dyDescent="0.25">
      <c r="A6582" s="9">
        <v>16100253.4</v>
      </c>
    </row>
    <row r="6583" spans="1:1" x14ac:dyDescent="0.25">
      <c r="A6583" s="9">
        <v>4880235.3899999997</v>
      </c>
    </row>
    <row r="6584" spans="1:1" x14ac:dyDescent="0.25">
      <c r="A6584" s="9">
        <v>91069758.739999995</v>
      </c>
    </row>
    <row r="6585" spans="1:1" x14ac:dyDescent="0.25">
      <c r="A6585">
        <v>0</v>
      </c>
    </row>
    <row r="6586" spans="1:1" x14ac:dyDescent="0.25">
      <c r="A6586" s="9">
        <v>456115.97</v>
      </c>
    </row>
    <row r="6587" spans="1:1" x14ac:dyDescent="0.25">
      <c r="A6587" s="9">
        <v>2156651.48</v>
      </c>
    </row>
    <row r="6588" spans="1:1" x14ac:dyDescent="0.25">
      <c r="A6588" s="9">
        <v>227391.9</v>
      </c>
    </row>
    <row r="6589" spans="1:1" x14ac:dyDescent="0.25">
      <c r="A6589" s="9">
        <v>4625658.16</v>
      </c>
    </row>
    <row r="6590" spans="1:1" x14ac:dyDescent="0.25">
      <c r="A6590" s="9">
        <v>84818.94</v>
      </c>
    </row>
    <row r="6591" spans="1:1" x14ac:dyDescent="0.25">
      <c r="A6591" s="9">
        <v>8555036.8699999992</v>
      </c>
    </row>
    <row r="6592" spans="1:1" x14ac:dyDescent="0.25">
      <c r="A6592" s="9">
        <v>295715.90000000002</v>
      </c>
    </row>
    <row r="6593" spans="1:1" x14ac:dyDescent="0.25">
      <c r="A6593" s="9">
        <v>13417300.550000001</v>
      </c>
    </row>
    <row r="6594" spans="1:1" x14ac:dyDescent="0.25">
      <c r="A6594">
        <v>0</v>
      </c>
    </row>
    <row r="6595" spans="1:1" x14ac:dyDescent="0.25">
      <c r="A6595" s="9">
        <v>8448190.8699999992</v>
      </c>
    </row>
    <row r="6596" spans="1:1" x14ac:dyDescent="0.25">
      <c r="A6596">
        <v>0</v>
      </c>
    </row>
    <row r="6597" spans="1:1" x14ac:dyDescent="0.25">
      <c r="A6597">
        <v>0</v>
      </c>
    </row>
    <row r="6598" spans="1:1" x14ac:dyDescent="0.25">
      <c r="A6598" s="9">
        <v>1004023.11</v>
      </c>
    </row>
    <row r="6599" spans="1:1" x14ac:dyDescent="0.25">
      <c r="A6599" s="9">
        <v>4733210.25</v>
      </c>
    </row>
    <row r="6600" spans="1:1" x14ac:dyDescent="0.25">
      <c r="A6600" s="9">
        <v>5075366.99</v>
      </c>
    </row>
    <row r="6601" spans="1:1" x14ac:dyDescent="0.25">
      <c r="A6601" s="9">
        <v>225978.12</v>
      </c>
    </row>
    <row r="6602" spans="1:1" x14ac:dyDescent="0.25">
      <c r="A6602" s="9">
        <v>1653433.4</v>
      </c>
    </row>
    <row r="6603" spans="1:1" x14ac:dyDescent="0.25">
      <c r="A6603" s="9">
        <v>272706.53000000003</v>
      </c>
    </row>
    <row r="6604" spans="1:1" x14ac:dyDescent="0.25">
      <c r="A6604" s="9">
        <v>645957.43999999901</v>
      </c>
    </row>
    <row r="6605" spans="1:1" x14ac:dyDescent="0.25">
      <c r="A6605" s="9">
        <v>7626119.4599999897</v>
      </c>
    </row>
    <row r="6606" spans="1:1" x14ac:dyDescent="0.25">
      <c r="A6606">
        <v>0</v>
      </c>
    </row>
    <row r="6607" spans="1:1" x14ac:dyDescent="0.25">
      <c r="A6607" s="9">
        <v>6614897.9400000004</v>
      </c>
    </row>
    <row r="6608" spans="1:1" x14ac:dyDescent="0.25">
      <c r="A6608" s="9">
        <v>5997920.7000000002</v>
      </c>
    </row>
    <row r="6609" spans="1:1" x14ac:dyDescent="0.25">
      <c r="A6609" s="9">
        <v>3579809.33</v>
      </c>
    </row>
    <row r="6610" spans="1:1" x14ac:dyDescent="0.25">
      <c r="A6610" s="9">
        <v>13345909.99</v>
      </c>
    </row>
    <row r="6611" spans="1:1" x14ac:dyDescent="0.25">
      <c r="A6611" s="9">
        <v>2161008.5</v>
      </c>
    </row>
    <row r="6612" spans="1:1" x14ac:dyDescent="0.25">
      <c r="A6612" s="9">
        <v>4938104.4800000004</v>
      </c>
    </row>
    <row r="6613" spans="1:1" x14ac:dyDescent="0.25">
      <c r="A6613">
        <v>0</v>
      </c>
    </row>
    <row r="6614" spans="1:1" x14ac:dyDescent="0.25">
      <c r="A6614">
        <v>0</v>
      </c>
    </row>
    <row r="6615" spans="1:1" x14ac:dyDescent="0.25">
      <c r="A6615">
        <v>0</v>
      </c>
    </row>
    <row r="6616" spans="1:1" x14ac:dyDescent="0.25">
      <c r="A6616" s="9">
        <v>151877.25</v>
      </c>
    </row>
    <row r="6617" spans="1:1" x14ac:dyDescent="0.25">
      <c r="A6617" s="9">
        <v>65788.36</v>
      </c>
    </row>
    <row r="6618" spans="1:1" x14ac:dyDescent="0.25">
      <c r="A6618" s="9">
        <v>678486.41</v>
      </c>
    </row>
    <row r="6619" spans="1:1" x14ac:dyDescent="0.25">
      <c r="A6619">
        <v>0</v>
      </c>
    </row>
    <row r="6620" spans="1:1" x14ac:dyDescent="0.25">
      <c r="A6620" s="9">
        <v>12926497.59</v>
      </c>
    </row>
    <row r="6621" spans="1:1" x14ac:dyDescent="0.25">
      <c r="A6621" s="9">
        <v>4247813.24</v>
      </c>
    </row>
    <row r="6622" spans="1:1" x14ac:dyDescent="0.25">
      <c r="A6622" s="9">
        <v>491239.31999999902</v>
      </c>
    </row>
    <row r="6623" spans="1:1" x14ac:dyDescent="0.25">
      <c r="A6623" s="9">
        <v>3474767.01</v>
      </c>
    </row>
    <row r="6624" spans="1:1" x14ac:dyDescent="0.25">
      <c r="A6624" s="9">
        <v>1485118.91</v>
      </c>
    </row>
    <row r="6625" spans="1:1" x14ac:dyDescent="0.25">
      <c r="A6625" s="9">
        <v>10941824.85</v>
      </c>
    </row>
    <row r="6626" spans="1:1" x14ac:dyDescent="0.25">
      <c r="A6626" s="9">
        <v>119320.32000000001</v>
      </c>
    </row>
    <row r="6627" spans="1:1" x14ac:dyDescent="0.25">
      <c r="A6627" s="9">
        <v>2336725.56</v>
      </c>
    </row>
    <row r="6628" spans="1:1" x14ac:dyDescent="0.25">
      <c r="A6628" s="9">
        <v>13141417.51</v>
      </c>
    </row>
    <row r="6629" spans="1:1" x14ac:dyDescent="0.25">
      <c r="A6629" s="9">
        <v>35714.1</v>
      </c>
    </row>
    <row r="6630" spans="1:1" x14ac:dyDescent="0.25">
      <c r="A6630" s="9">
        <v>3532961.72</v>
      </c>
    </row>
    <row r="6631" spans="1:1" x14ac:dyDescent="0.25">
      <c r="A6631" s="9">
        <v>179485.5</v>
      </c>
    </row>
    <row r="6632" spans="1:1" x14ac:dyDescent="0.25">
      <c r="A6632" s="9">
        <v>1803460.59</v>
      </c>
    </row>
    <row r="6633" spans="1:1" x14ac:dyDescent="0.25">
      <c r="A6633">
        <v>0</v>
      </c>
    </row>
    <row r="6634" spans="1:1" x14ac:dyDescent="0.25">
      <c r="A6634" s="9">
        <v>15119938.630000001</v>
      </c>
    </row>
    <row r="6635" spans="1:1" x14ac:dyDescent="0.25">
      <c r="A6635" s="9">
        <v>388823.3</v>
      </c>
    </row>
    <row r="6636" spans="1:1" x14ac:dyDescent="0.25">
      <c r="A6636" s="9">
        <v>8771866.0399999898</v>
      </c>
    </row>
    <row r="6637" spans="1:1" x14ac:dyDescent="0.25">
      <c r="A6637">
        <v>0</v>
      </c>
    </row>
    <row r="6638" spans="1:1" x14ac:dyDescent="0.25">
      <c r="A6638" s="9">
        <v>1715369.07</v>
      </c>
    </row>
    <row r="6639" spans="1:1" x14ac:dyDescent="0.25">
      <c r="A6639">
        <v>0</v>
      </c>
    </row>
    <row r="6640" spans="1:1" x14ac:dyDescent="0.25">
      <c r="A6640" s="9">
        <v>1745843.7</v>
      </c>
    </row>
    <row r="6641" spans="1:1" x14ac:dyDescent="0.25">
      <c r="A6641" s="9">
        <v>288326.56</v>
      </c>
    </row>
    <row r="6642" spans="1:1" x14ac:dyDescent="0.25">
      <c r="A6642" s="9">
        <v>9335244.1799999997</v>
      </c>
    </row>
    <row r="6643" spans="1:1" x14ac:dyDescent="0.25">
      <c r="A6643" s="9">
        <v>9198057.3199999891</v>
      </c>
    </row>
    <row r="6644" spans="1:1" x14ac:dyDescent="0.25">
      <c r="A6644" s="9">
        <v>37128285.659999996</v>
      </c>
    </row>
    <row r="6645" spans="1:1" x14ac:dyDescent="0.25">
      <c r="A6645" s="9">
        <v>1988421.66</v>
      </c>
    </row>
    <row r="6646" spans="1:1" x14ac:dyDescent="0.25">
      <c r="A6646" s="9">
        <v>5441496.8300000001</v>
      </c>
    </row>
    <row r="6647" spans="1:1" x14ac:dyDescent="0.25">
      <c r="A6647" s="9">
        <v>3962314.27</v>
      </c>
    </row>
    <row r="6648" spans="1:1" x14ac:dyDescent="0.25">
      <c r="A6648" s="9">
        <v>5727555.4099999899</v>
      </c>
    </row>
    <row r="6649" spans="1:1" x14ac:dyDescent="0.25">
      <c r="A6649">
        <v>0</v>
      </c>
    </row>
    <row r="6650" spans="1:1" x14ac:dyDescent="0.25">
      <c r="A6650" s="9">
        <v>1808806.13</v>
      </c>
    </row>
    <row r="6651" spans="1:1" x14ac:dyDescent="0.25">
      <c r="A6651" s="9">
        <v>274362.46000000002</v>
      </c>
    </row>
    <row r="6652" spans="1:1" x14ac:dyDescent="0.25">
      <c r="A6652" s="9">
        <v>9024286.1400000006</v>
      </c>
    </row>
    <row r="6653" spans="1:1" x14ac:dyDescent="0.25">
      <c r="A6653" s="9">
        <v>3121087.68</v>
      </c>
    </row>
    <row r="6654" spans="1:1" x14ac:dyDescent="0.25">
      <c r="A6654" s="9">
        <v>28213883.620000001</v>
      </c>
    </row>
    <row r="6655" spans="1:1" x14ac:dyDescent="0.25">
      <c r="A6655" s="9">
        <v>11695113.82</v>
      </c>
    </row>
    <row r="6656" spans="1:1" x14ac:dyDescent="0.25">
      <c r="A6656">
        <v>0</v>
      </c>
    </row>
    <row r="6657" spans="1:1" x14ac:dyDescent="0.25">
      <c r="A6657" s="9">
        <v>20905967.030000001</v>
      </c>
    </row>
    <row r="6658" spans="1:1" x14ac:dyDescent="0.25">
      <c r="A6658">
        <v>0</v>
      </c>
    </row>
    <row r="6659" spans="1:1" x14ac:dyDescent="0.25">
      <c r="A6659" s="9">
        <v>4750141.08</v>
      </c>
    </row>
    <row r="6660" spans="1:1" x14ac:dyDescent="0.25">
      <c r="A6660" s="9">
        <v>11769511.720000001</v>
      </c>
    </row>
    <row r="6661" spans="1:1" x14ac:dyDescent="0.25">
      <c r="A6661" s="9">
        <v>6519382.1899999902</v>
      </c>
    </row>
    <row r="6662" spans="1:1" x14ac:dyDescent="0.25">
      <c r="A6662" s="9">
        <v>124401.86</v>
      </c>
    </row>
    <row r="6663" spans="1:1" x14ac:dyDescent="0.25">
      <c r="A6663">
        <v>0</v>
      </c>
    </row>
    <row r="6664" spans="1:1" x14ac:dyDescent="0.25">
      <c r="A6664" s="9">
        <v>1196247.29</v>
      </c>
    </row>
    <row r="6665" spans="1:1" x14ac:dyDescent="0.25">
      <c r="A6665" s="9">
        <v>3622021.85</v>
      </c>
    </row>
    <row r="6666" spans="1:1" x14ac:dyDescent="0.25">
      <c r="A6666" s="9">
        <v>2037633.46</v>
      </c>
    </row>
    <row r="6667" spans="1:1" x14ac:dyDescent="0.25">
      <c r="A6667">
        <v>0</v>
      </c>
    </row>
    <row r="6668" spans="1:1" x14ac:dyDescent="0.25">
      <c r="A6668" s="9">
        <v>8887045.5099999998</v>
      </c>
    </row>
    <row r="6669" spans="1:1" x14ac:dyDescent="0.25">
      <c r="A6669" s="9">
        <v>55235.28</v>
      </c>
    </row>
    <row r="6670" spans="1:1" x14ac:dyDescent="0.25">
      <c r="A6670" s="9">
        <v>19771980.48</v>
      </c>
    </row>
    <row r="6671" spans="1:1" x14ac:dyDescent="0.25">
      <c r="A6671">
        <v>0</v>
      </c>
    </row>
    <row r="6672" spans="1:1" x14ac:dyDescent="0.25">
      <c r="A6672">
        <v>0</v>
      </c>
    </row>
    <row r="6673" spans="1:1" x14ac:dyDescent="0.25">
      <c r="A6673" s="9">
        <v>8479422.1299999896</v>
      </c>
    </row>
    <row r="6674" spans="1:1" x14ac:dyDescent="0.25">
      <c r="A6674" s="9">
        <v>4980135.4399999902</v>
      </c>
    </row>
    <row r="6675" spans="1:1" x14ac:dyDescent="0.25">
      <c r="A6675" s="9">
        <v>7669598.2199999997</v>
      </c>
    </row>
    <row r="6676" spans="1:1" x14ac:dyDescent="0.25">
      <c r="A6676" s="9">
        <v>6989554.3099999996</v>
      </c>
    </row>
    <row r="6677" spans="1:1" x14ac:dyDescent="0.25">
      <c r="A6677" s="9">
        <v>509530.68</v>
      </c>
    </row>
    <row r="6678" spans="1:1" x14ac:dyDescent="0.25">
      <c r="A6678" s="9">
        <v>2755428.56</v>
      </c>
    </row>
    <row r="6679" spans="1:1" x14ac:dyDescent="0.25">
      <c r="A6679">
        <v>0</v>
      </c>
    </row>
    <row r="6680" spans="1:1" x14ac:dyDescent="0.25">
      <c r="A6680" s="9">
        <v>21091110.600000001</v>
      </c>
    </row>
    <row r="6681" spans="1:1" x14ac:dyDescent="0.25">
      <c r="A6681" s="9">
        <v>173251.05</v>
      </c>
    </row>
    <row r="6682" spans="1:1" x14ac:dyDescent="0.25">
      <c r="A6682" s="9">
        <v>1414275.2</v>
      </c>
    </row>
    <row r="6683" spans="1:1" x14ac:dyDescent="0.25">
      <c r="A6683" s="9">
        <v>382492.12</v>
      </c>
    </row>
    <row r="6684" spans="1:1" x14ac:dyDescent="0.25">
      <c r="A6684" s="9">
        <v>1625682.36</v>
      </c>
    </row>
    <row r="6685" spans="1:1" x14ac:dyDescent="0.25">
      <c r="A6685" s="9">
        <v>8032959.5</v>
      </c>
    </row>
    <row r="6686" spans="1:1" x14ac:dyDescent="0.25">
      <c r="A6686" s="9">
        <v>540466.19999999995</v>
      </c>
    </row>
    <row r="6687" spans="1:1" x14ac:dyDescent="0.25">
      <c r="A6687" s="9">
        <v>1051753.32</v>
      </c>
    </row>
    <row r="6688" spans="1:1" x14ac:dyDescent="0.25">
      <c r="A6688" s="9">
        <v>5576399.6600000001</v>
      </c>
    </row>
    <row r="6689" spans="1:1" x14ac:dyDescent="0.25">
      <c r="A6689" s="9">
        <v>3921797.28</v>
      </c>
    </row>
    <row r="6690" spans="1:1" x14ac:dyDescent="0.25">
      <c r="A6690">
        <v>0</v>
      </c>
    </row>
    <row r="6691" spans="1:1" x14ac:dyDescent="0.25">
      <c r="A6691" s="9">
        <v>999893.01</v>
      </c>
    </row>
    <row r="6692" spans="1:1" x14ac:dyDescent="0.25">
      <c r="A6692" s="9">
        <v>2135318.41</v>
      </c>
    </row>
    <row r="6693" spans="1:1" x14ac:dyDescent="0.25">
      <c r="A6693" s="9">
        <v>2023015.59</v>
      </c>
    </row>
    <row r="6694" spans="1:1" x14ac:dyDescent="0.25">
      <c r="A6694">
        <v>0</v>
      </c>
    </row>
    <row r="6695" spans="1:1" x14ac:dyDescent="0.25">
      <c r="A6695" s="9">
        <v>2031704.91</v>
      </c>
    </row>
    <row r="6696" spans="1:1" x14ac:dyDescent="0.25">
      <c r="A6696" s="9">
        <v>16258281.42</v>
      </c>
    </row>
    <row r="6697" spans="1:1" x14ac:dyDescent="0.25">
      <c r="A6697">
        <v>0</v>
      </c>
    </row>
    <row r="6698" spans="1:1" x14ac:dyDescent="0.25">
      <c r="A6698" s="9">
        <v>4169837.9</v>
      </c>
    </row>
    <row r="6699" spans="1:1" x14ac:dyDescent="0.25">
      <c r="A6699" s="9">
        <v>27192925.16</v>
      </c>
    </row>
    <row r="6700" spans="1:1" x14ac:dyDescent="0.25">
      <c r="A6700" s="9">
        <v>9996389.7599999998</v>
      </c>
    </row>
    <row r="6701" spans="1:1" x14ac:dyDescent="0.25">
      <c r="A6701" s="9">
        <v>1267467.3999999999</v>
      </c>
    </row>
    <row r="6702" spans="1:1" x14ac:dyDescent="0.25">
      <c r="A6702">
        <v>0</v>
      </c>
    </row>
    <row r="6703" spans="1:1" x14ac:dyDescent="0.25">
      <c r="A6703">
        <v>0</v>
      </c>
    </row>
    <row r="6704" spans="1:1" x14ac:dyDescent="0.25">
      <c r="A6704" s="9">
        <v>24997400.739999998</v>
      </c>
    </row>
    <row r="6705" spans="1:1" x14ac:dyDescent="0.25">
      <c r="A6705" s="9">
        <v>6699677.4100000001</v>
      </c>
    </row>
    <row r="6706" spans="1:1" x14ac:dyDescent="0.25">
      <c r="A6706" s="9">
        <v>391050.42</v>
      </c>
    </row>
    <row r="6707" spans="1:1" x14ac:dyDescent="0.25">
      <c r="A6707" s="9">
        <v>257579.85</v>
      </c>
    </row>
    <row r="6708" spans="1:1" x14ac:dyDescent="0.25">
      <c r="A6708" s="9">
        <v>22938407.59</v>
      </c>
    </row>
    <row r="6709" spans="1:1" x14ac:dyDescent="0.25">
      <c r="A6709" s="9">
        <v>1882420.39</v>
      </c>
    </row>
    <row r="6710" spans="1:1" x14ac:dyDescent="0.25">
      <c r="A6710" s="9">
        <v>4832470.5999999996</v>
      </c>
    </row>
    <row r="6711" spans="1:1" x14ac:dyDescent="0.25">
      <c r="A6711">
        <v>0</v>
      </c>
    </row>
    <row r="6712" spans="1:1" x14ac:dyDescent="0.25">
      <c r="A6712" s="9">
        <v>1414275.2</v>
      </c>
    </row>
    <row r="6713" spans="1:1" x14ac:dyDescent="0.25">
      <c r="A6713">
        <v>0</v>
      </c>
    </row>
    <row r="6714" spans="1:1" x14ac:dyDescent="0.25">
      <c r="A6714" s="9">
        <v>21213930.149999999</v>
      </c>
    </row>
    <row r="6715" spans="1:1" x14ac:dyDescent="0.25">
      <c r="A6715">
        <v>0</v>
      </c>
    </row>
    <row r="6716" spans="1:1" x14ac:dyDescent="0.25">
      <c r="A6716" s="9">
        <v>9873741.3100000005</v>
      </c>
    </row>
    <row r="6717" spans="1:1" x14ac:dyDescent="0.25">
      <c r="A6717" s="9">
        <v>60215.1</v>
      </c>
    </row>
    <row r="6718" spans="1:1" x14ac:dyDescent="0.25">
      <c r="A6718">
        <v>0</v>
      </c>
    </row>
    <row r="6719" spans="1:1" x14ac:dyDescent="0.25">
      <c r="A6719" s="9">
        <v>4130578.25</v>
      </c>
    </row>
    <row r="6720" spans="1:1" x14ac:dyDescent="0.25">
      <c r="A6720" s="9">
        <v>314832.24</v>
      </c>
    </row>
    <row r="6721" spans="1:1" x14ac:dyDescent="0.25">
      <c r="A6721" s="9">
        <v>477920.37</v>
      </c>
    </row>
    <row r="6722" spans="1:1" x14ac:dyDescent="0.25">
      <c r="A6722" s="9">
        <v>8893559.2400000002</v>
      </c>
    </row>
    <row r="6723" spans="1:1" x14ac:dyDescent="0.25">
      <c r="A6723">
        <v>0</v>
      </c>
    </row>
    <row r="6724" spans="1:1" x14ac:dyDescent="0.25">
      <c r="A6724" s="9">
        <v>6606071.3200000003</v>
      </c>
    </row>
    <row r="6725" spans="1:1" x14ac:dyDescent="0.25">
      <c r="A6725" s="9">
        <v>11241370.16</v>
      </c>
    </row>
    <row r="6726" spans="1:1" x14ac:dyDescent="0.25">
      <c r="A6726" s="9">
        <v>2861756.38</v>
      </c>
    </row>
    <row r="6727" spans="1:1" x14ac:dyDescent="0.25">
      <c r="A6727" s="9">
        <v>836486.99</v>
      </c>
    </row>
    <row r="6728" spans="1:1" x14ac:dyDescent="0.25">
      <c r="A6728" s="9">
        <v>12896109.869999999</v>
      </c>
    </row>
    <row r="6729" spans="1:1" x14ac:dyDescent="0.25">
      <c r="A6729" s="9">
        <v>1675630.16</v>
      </c>
    </row>
    <row r="6730" spans="1:1" x14ac:dyDescent="0.25">
      <c r="A6730" s="9">
        <v>3078834.65</v>
      </c>
    </row>
    <row r="6731" spans="1:1" x14ac:dyDescent="0.25">
      <c r="A6731" s="9">
        <v>2480847.6</v>
      </c>
    </row>
    <row r="6732" spans="1:1" x14ac:dyDescent="0.25">
      <c r="A6732" s="9">
        <v>3949867.43</v>
      </c>
    </row>
    <row r="6733" spans="1:1" x14ac:dyDescent="0.25">
      <c r="A6733" s="9">
        <v>7030255.1999999899</v>
      </c>
    </row>
    <row r="6734" spans="1:1" x14ac:dyDescent="0.25">
      <c r="A6734" s="9">
        <v>427066.18</v>
      </c>
    </row>
    <row r="6735" spans="1:1" x14ac:dyDescent="0.25">
      <c r="A6735" s="9">
        <v>308129.84000000003</v>
      </c>
    </row>
    <row r="6736" spans="1:1" x14ac:dyDescent="0.25">
      <c r="A6736" s="9">
        <v>4771329.09</v>
      </c>
    </row>
    <row r="6737" spans="1:1" x14ac:dyDescent="0.25">
      <c r="A6737" s="9">
        <v>9226866.3699999992</v>
      </c>
    </row>
    <row r="6738" spans="1:1" x14ac:dyDescent="0.25">
      <c r="A6738" s="9">
        <v>145009.26</v>
      </c>
    </row>
    <row r="6739" spans="1:1" x14ac:dyDescent="0.25">
      <c r="A6739" s="9">
        <v>7398340.5099999998</v>
      </c>
    </row>
    <row r="6740" spans="1:1" x14ac:dyDescent="0.25">
      <c r="A6740" s="9">
        <v>12128745.050000001</v>
      </c>
    </row>
    <row r="6741" spans="1:1" x14ac:dyDescent="0.25">
      <c r="A6741" s="9">
        <v>14880805.800000001</v>
      </c>
    </row>
    <row r="6742" spans="1:1" x14ac:dyDescent="0.25">
      <c r="A6742" s="9">
        <v>10954605.42</v>
      </c>
    </row>
    <row r="6743" spans="1:1" x14ac:dyDescent="0.25">
      <c r="A6743">
        <v>0</v>
      </c>
    </row>
    <row r="6744" spans="1:1" x14ac:dyDescent="0.25">
      <c r="A6744" s="9">
        <v>5635923.4000000004</v>
      </c>
    </row>
    <row r="6745" spans="1:1" x14ac:dyDescent="0.25">
      <c r="A6745">
        <v>23148656</v>
      </c>
    </row>
    <row r="6746" spans="1:1" x14ac:dyDescent="0.25">
      <c r="A6746" s="9">
        <v>173870.92</v>
      </c>
    </row>
    <row r="6747" spans="1:1" x14ac:dyDescent="0.25">
      <c r="A6747" s="9">
        <v>512667.31</v>
      </c>
    </row>
    <row r="6748" spans="1:1" x14ac:dyDescent="0.25">
      <c r="A6748">
        <v>0</v>
      </c>
    </row>
    <row r="6749" spans="1:1" x14ac:dyDescent="0.25">
      <c r="A6749">
        <v>0</v>
      </c>
    </row>
    <row r="6750" spans="1:1" x14ac:dyDescent="0.25">
      <c r="A6750">
        <v>0</v>
      </c>
    </row>
    <row r="6751" spans="1:1" x14ac:dyDescent="0.25">
      <c r="A6751" s="9">
        <v>4462411.95</v>
      </c>
    </row>
    <row r="6752" spans="1:1" x14ac:dyDescent="0.25">
      <c r="A6752">
        <v>0</v>
      </c>
    </row>
    <row r="6753" spans="1:1" x14ac:dyDescent="0.25">
      <c r="A6753" s="9">
        <v>504055.4</v>
      </c>
    </row>
    <row r="6754" spans="1:1" x14ac:dyDescent="0.25">
      <c r="A6754" s="9">
        <v>1086871.04</v>
      </c>
    </row>
    <row r="6755" spans="1:1" x14ac:dyDescent="0.25">
      <c r="A6755" s="9">
        <v>12141240.890000001</v>
      </c>
    </row>
    <row r="6756" spans="1:1" x14ac:dyDescent="0.25">
      <c r="A6756">
        <v>0</v>
      </c>
    </row>
    <row r="6757" spans="1:1" x14ac:dyDescent="0.25">
      <c r="A6757" s="9">
        <v>6137793.2199999997</v>
      </c>
    </row>
    <row r="6758" spans="1:1" x14ac:dyDescent="0.25">
      <c r="A6758" s="9">
        <v>8924841.0299999993</v>
      </c>
    </row>
    <row r="6759" spans="1:1" x14ac:dyDescent="0.25">
      <c r="A6759" s="9">
        <v>329580.79999999999</v>
      </c>
    </row>
    <row r="6760" spans="1:1" x14ac:dyDescent="0.25">
      <c r="A6760" s="9">
        <v>334287.93</v>
      </c>
    </row>
    <row r="6761" spans="1:1" x14ac:dyDescent="0.25">
      <c r="A6761" s="9">
        <v>14155531.84</v>
      </c>
    </row>
    <row r="6762" spans="1:1" x14ac:dyDescent="0.25">
      <c r="A6762" s="9">
        <v>1038641.32</v>
      </c>
    </row>
    <row r="6763" spans="1:1" x14ac:dyDescent="0.25">
      <c r="A6763">
        <v>0</v>
      </c>
    </row>
    <row r="6764" spans="1:1" x14ac:dyDescent="0.25">
      <c r="A6764" s="9">
        <v>4540557.8499999996</v>
      </c>
    </row>
    <row r="6765" spans="1:1" x14ac:dyDescent="0.25">
      <c r="A6765" s="9">
        <v>17071038.620000001</v>
      </c>
    </row>
    <row r="6766" spans="1:1" x14ac:dyDescent="0.25">
      <c r="A6766" s="9">
        <v>504433.32</v>
      </c>
    </row>
    <row r="6767" spans="1:1" x14ac:dyDescent="0.25">
      <c r="A6767" s="9">
        <v>21933972.02</v>
      </c>
    </row>
    <row r="6768" spans="1:1" x14ac:dyDescent="0.25">
      <c r="A6768">
        <v>3802860</v>
      </c>
    </row>
    <row r="6769" spans="1:1" x14ac:dyDescent="0.25">
      <c r="A6769">
        <v>0</v>
      </c>
    </row>
    <row r="6770" spans="1:1" x14ac:dyDescent="0.25">
      <c r="A6770" s="9">
        <v>155459.1</v>
      </c>
    </row>
    <row r="6771" spans="1:1" x14ac:dyDescent="0.25">
      <c r="A6771" s="9">
        <v>22264084.82</v>
      </c>
    </row>
    <row r="6772" spans="1:1" x14ac:dyDescent="0.25">
      <c r="A6772" s="9">
        <v>756438.6</v>
      </c>
    </row>
    <row r="6773" spans="1:1" x14ac:dyDescent="0.25">
      <c r="A6773" s="9">
        <v>3058528.85</v>
      </c>
    </row>
    <row r="6774" spans="1:1" x14ac:dyDescent="0.25">
      <c r="A6774" s="9">
        <v>1463272.36</v>
      </c>
    </row>
    <row r="6775" spans="1:1" x14ac:dyDescent="0.25">
      <c r="A6775" s="9">
        <v>3087455.35</v>
      </c>
    </row>
    <row r="6776" spans="1:1" x14ac:dyDescent="0.25">
      <c r="A6776" s="9">
        <v>1878955.75</v>
      </c>
    </row>
    <row r="6777" spans="1:1" x14ac:dyDescent="0.25">
      <c r="A6777" s="9">
        <v>38675376.049999997</v>
      </c>
    </row>
    <row r="6778" spans="1:1" x14ac:dyDescent="0.25">
      <c r="A6778" s="9">
        <v>8054120.77999999</v>
      </c>
    </row>
    <row r="6779" spans="1:1" x14ac:dyDescent="0.25">
      <c r="A6779" s="9">
        <v>3065200.41</v>
      </c>
    </row>
    <row r="6780" spans="1:1" x14ac:dyDescent="0.25">
      <c r="A6780">
        <v>0</v>
      </c>
    </row>
    <row r="6781" spans="1:1" x14ac:dyDescent="0.25">
      <c r="A6781" s="9">
        <v>206723.34</v>
      </c>
    </row>
    <row r="6782" spans="1:1" x14ac:dyDescent="0.25">
      <c r="A6782" s="9">
        <v>9348948.6499999892</v>
      </c>
    </row>
    <row r="6783" spans="1:1" x14ac:dyDescent="0.25">
      <c r="A6783" s="9">
        <v>63852.12</v>
      </c>
    </row>
    <row r="6784" spans="1:1" x14ac:dyDescent="0.25">
      <c r="A6784" s="9">
        <v>7726942.29</v>
      </c>
    </row>
    <row r="6785" spans="1:1" x14ac:dyDescent="0.25">
      <c r="A6785" s="9">
        <v>4364114.79</v>
      </c>
    </row>
    <row r="6786" spans="1:1" x14ac:dyDescent="0.25">
      <c r="A6786">
        <v>0</v>
      </c>
    </row>
    <row r="6787" spans="1:1" x14ac:dyDescent="0.25">
      <c r="A6787">
        <v>0</v>
      </c>
    </row>
    <row r="6788" spans="1:1" x14ac:dyDescent="0.25">
      <c r="A6788" s="9">
        <v>4395022.04</v>
      </c>
    </row>
    <row r="6789" spans="1:1" x14ac:dyDescent="0.25">
      <c r="A6789" s="9">
        <v>6836590.5</v>
      </c>
    </row>
    <row r="6790" spans="1:1" x14ac:dyDescent="0.25">
      <c r="A6790">
        <v>0</v>
      </c>
    </row>
    <row r="6791" spans="1:1" x14ac:dyDescent="0.25">
      <c r="A6791" s="9">
        <v>5356076.05</v>
      </c>
    </row>
    <row r="6792" spans="1:1" x14ac:dyDescent="0.25">
      <c r="A6792" s="9">
        <v>559233.44999999995</v>
      </c>
    </row>
    <row r="6793" spans="1:1" x14ac:dyDescent="0.25">
      <c r="A6793">
        <v>0</v>
      </c>
    </row>
    <row r="6794" spans="1:1" x14ac:dyDescent="0.25">
      <c r="A6794">
        <v>5599269</v>
      </c>
    </row>
    <row r="6795" spans="1:1" x14ac:dyDescent="0.25">
      <c r="A6795" s="9">
        <v>3114917.52</v>
      </c>
    </row>
    <row r="6796" spans="1:1" x14ac:dyDescent="0.25">
      <c r="A6796" s="9">
        <v>19925790.260000002</v>
      </c>
    </row>
    <row r="6797" spans="1:1" x14ac:dyDescent="0.25">
      <c r="A6797" s="9">
        <v>3278267.64</v>
      </c>
    </row>
    <row r="6798" spans="1:1" x14ac:dyDescent="0.25">
      <c r="A6798" s="9">
        <v>5236601.67</v>
      </c>
    </row>
    <row r="6799" spans="1:1" x14ac:dyDescent="0.25">
      <c r="A6799" s="9">
        <v>443639.52</v>
      </c>
    </row>
    <row r="6800" spans="1:1" x14ac:dyDescent="0.25">
      <c r="A6800">
        <v>0</v>
      </c>
    </row>
    <row r="6801" spans="1:1" x14ac:dyDescent="0.25">
      <c r="A6801" s="9">
        <v>878743.2</v>
      </c>
    </row>
    <row r="6802" spans="1:1" x14ac:dyDescent="0.25">
      <c r="A6802" s="9">
        <v>1378879.81</v>
      </c>
    </row>
    <row r="6803" spans="1:1" x14ac:dyDescent="0.25">
      <c r="A6803" s="9">
        <v>3347383.62</v>
      </c>
    </row>
    <row r="6804" spans="1:1" x14ac:dyDescent="0.25">
      <c r="A6804" s="9">
        <v>14946899.76</v>
      </c>
    </row>
    <row r="6805" spans="1:1" x14ac:dyDescent="0.25">
      <c r="A6805" s="9">
        <v>528749.74</v>
      </c>
    </row>
    <row r="6806" spans="1:1" x14ac:dyDescent="0.25">
      <c r="A6806">
        <v>0</v>
      </c>
    </row>
    <row r="6807" spans="1:1" x14ac:dyDescent="0.25">
      <c r="A6807" s="9">
        <v>1559366.88</v>
      </c>
    </row>
    <row r="6808" spans="1:1" x14ac:dyDescent="0.25">
      <c r="A6808" s="9">
        <v>3588573.54</v>
      </c>
    </row>
    <row r="6809" spans="1:1" x14ac:dyDescent="0.25">
      <c r="A6809" s="9">
        <v>5246498.22</v>
      </c>
    </row>
    <row r="6810" spans="1:1" x14ac:dyDescent="0.25">
      <c r="A6810" s="9">
        <v>55802.559999999998</v>
      </c>
    </row>
    <row r="6811" spans="1:1" x14ac:dyDescent="0.25">
      <c r="A6811" s="9">
        <v>1470292.21</v>
      </c>
    </row>
    <row r="6812" spans="1:1" x14ac:dyDescent="0.25">
      <c r="A6812" s="9">
        <v>256707.1</v>
      </c>
    </row>
    <row r="6813" spans="1:1" x14ac:dyDescent="0.25">
      <c r="A6813" s="9">
        <v>5959919.6599999899</v>
      </c>
    </row>
    <row r="6814" spans="1:1" x14ac:dyDescent="0.25">
      <c r="A6814" s="9">
        <v>10467570.59</v>
      </c>
    </row>
    <row r="6815" spans="1:1" x14ac:dyDescent="0.25">
      <c r="A6815" s="9">
        <v>3121087.68</v>
      </c>
    </row>
    <row r="6816" spans="1:1" x14ac:dyDescent="0.25">
      <c r="A6816">
        <v>0</v>
      </c>
    </row>
    <row r="6817" spans="1:1" x14ac:dyDescent="0.25">
      <c r="A6817" s="9">
        <v>3858361.52</v>
      </c>
    </row>
    <row r="6818" spans="1:1" x14ac:dyDescent="0.25">
      <c r="A6818" s="9">
        <v>5221625.6100000003</v>
      </c>
    </row>
    <row r="6819" spans="1:1" x14ac:dyDescent="0.25">
      <c r="A6819">
        <v>0</v>
      </c>
    </row>
    <row r="6820" spans="1:1" x14ac:dyDescent="0.25">
      <c r="A6820" s="9">
        <v>480533.94</v>
      </c>
    </row>
    <row r="6821" spans="1:1" x14ac:dyDescent="0.25">
      <c r="A6821" s="9">
        <v>82988.849999999904</v>
      </c>
    </row>
    <row r="6822" spans="1:1" x14ac:dyDescent="0.25">
      <c r="A6822" s="9">
        <v>207618.4</v>
      </c>
    </row>
    <row r="6823" spans="1:1" x14ac:dyDescent="0.25">
      <c r="A6823" s="9">
        <v>2044580.97</v>
      </c>
    </row>
    <row r="6824" spans="1:1" x14ac:dyDescent="0.25">
      <c r="A6824" s="9">
        <v>8866124.1899999902</v>
      </c>
    </row>
    <row r="6825" spans="1:1" x14ac:dyDescent="0.25">
      <c r="A6825" s="9">
        <v>13840223.02</v>
      </c>
    </row>
    <row r="6826" spans="1:1" x14ac:dyDescent="0.25">
      <c r="A6826">
        <v>0</v>
      </c>
    </row>
    <row r="6827" spans="1:1" x14ac:dyDescent="0.25">
      <c r="A6827" s="9">
        <v>69989.64</v>
      </c>
    </row>
    <row r="6828" spans="1:1" x14ac:dyDescent="0.25">
      <c r="A6828" s="9">
        <v>41577115.880000003</v>
      </c>
    </row>
    <row r="6829" spans="1:1" x14ac:dyDescent="0.25">
      <c r="A6829" s="9">
        <v>450420.5</v>
      </c>
    </row>
    <row r="6830" spans="1:1" x14ac:dyDescent="0.25">
      <c r="A6830" s="9">
        <v>99811.08</v>
      </c>
    </row>
    <row r="6831" spans="1:1" x14ac:dyDescent="0.25">
      <c r="A6831" s="9">
        <v>220488.58</v>
      </c>
    </row>
    <row r="6832" spans="1:1" x14ac:dyDescent="0.25">
      <c r="A6832">
        <v>0</v>
      </c>
    </row>
    <row r="6833" spans="1:1" x14ac:dyDescent="0.25">
      <c r="A6833" s="9">
        <v>2363399.8199999998</v>
      </c>
    </row>
    <row r="6834" spans="1:1" x14ac:dyDescent="0.25">
      <c r="A6834" s="9">
        <v>23672273.510000002</v>
      </c>
    </row>
    <row r="6835" spans="1:1" x14ac:dyDescent="0.25">
      <c r="A6835" s="9">
        <v>41439334.719999999</v>
      </c>
    </row>
    <row r="6836" spans="1:1" x14ac:dyDescent="0.25">
      <c r="A6836">
        <v>0</v>
      </c>
    </row>
    <row r="6837" spans="1:1" x14ac:dyDescent="0.25">
      <c r="A6837" s="9">
        <v>3133263.14</v>
      </c>
    </row>
    <row r="6838" spans="1:1" x14ac:dyDescent="0.25">
      <c r="A6838" s="9">
        <v>3089734.44</v>
      </c>
    </row>
    <row r="6839" spans="1:1" x14ac:dyDescent="0.25">
      <c r="A6839">
        <v>3172326</v>
      </c>
    </row>
    <row r="6840" spans="1:1" x14ac:dyDescent="0.25">
      <c r="A6840">
        <v>0</v>
      </c>
    </row>
    <row r="6841" spans="1:1" x14ac:dyDescent="0.25">
      <c r="A6841" s="9">
        <v>13563840.300000001</v>
      </c>
    </row>
    <row r="6842" spans="1:1" x14ac:dyDescent="0.25">
      <c r="A6842">
        <v>0</v>
      </c>
    </row>
    <row r="6843" spans="1:1" x14ac:dyDescent="0.25">
      <c r="A6843" s="9">
        <v>120533.04</v>
      </c>
    </row>
    <row r="6844" spans="1:1" x14ac:dyDescent="0.25">
      <c r="A6844" s="9">
        <v>1448267.74</v>
      </c>
    </row>
    <row r="6845" spans="1:1" x14ac:dyDescent="0.25">
      <c r="A6845" s="9">
        <v>12232575.859999999</v>
      </c>
    </row>
    <row r="6846" spans="1:1" x14ac:dyDescent="0.25">
      <c r="A6846" s="9">
        <v>35934452.090000004</v>
      </c>
    </row>
    <row r="6847" spans="1:1" x14ac:dyDescent="0.25">
      <c r="A6847" s="9">
        <v>1957916.57</v>
      </c>
    </row>
    <row r="6848" spans="1:1" x14ac:dyDescent="0.25">
      <c r="A6848" s="9">
        <v>5520332.7199999997</v>
      </c>
    </row>
    <row r="6849" spans="1:1" x14ac:dyDescent="0.25">
      <c r="A6849" s="9">
        <v>4685429.05</v>
      </c>
    </row>
    <row r="6850" spans="1:1" x14ac:dyDescent="0.25">
      <c r="A6850" s="9">
        <v>74916796.769999996</v>
      </c>
    </row>
    <row r="6851" spans="1:1" x14ac:dyDescent="0.25">
      <c r="A6851">
        <v>0</v>
      </c>
    </row>
    <row r="6852" spans="1:1" x14ac:dyDescent="0.25">
      <c r="A6852" s="9">
        <v>2929830.61</v>
      </c>
    </row>
    <row r="6853" spans="1:1" x14ac:dyDescent="0.25">
      <c r="A6853">
        <v>0</v>
      </c>
    </row>
    <row r="6854" spans="1:1" x14ac:dyDescent="0.25">
      <c r="A6854" s="9">
        <v>264971.71999999997</v>
      </c>
    </row>
    <row r="6855" spans="1:1" x14ac:dyDescent="0.25">
      <c r="A6855" s="9">
        <v>206723.34</v>
      </c>
    </row>
    <row r="6856" spans="1:1" x14ac:dyDescent="0.25">
      <c r="A6856">
        <v>0</v>
      </c>
    </row>
    <row r="6857" spans="1:1" x14ac:dyDescent="0.25">
      <c r="A6857" s="9">
        <v>5341492.1900000004</v>
      </c>
    </row>
    <row r="6858" spans="1:1" x14ac:dyDescent="0.25">
      <c r="A6858">
        <v>0</v>
      </c>
    </row>
    <row r="6859" spans="1:1" x14ac:dyDescent="0.25">
      <c r="A6859" s="9">
        <v>1414275.2</v>
      </c>
    </row>
    <row r="6860" spans="1:1" x14ac:dyDescent="0.25">
      <c r="A6860" s="9">
        <v>3682837.74</v>
      </c>
    </row>
    <row r="6861" spans="1:1" x14ac:dyDescent="0.25">
      <c r="A6861">
        <v>0</v>
      </c>
    </row>
    <row r="6862" spans="1:1" x14ac:dyDescent="0.25">
      <c r="A6862" s="9">
        <v>65788.36</v>
      </c>
    </row>
    <row r="6863" spans="1:1" x14ac:dyDescent="0.25">
      <c r="A6863" s="9">
        <v>35803943.789999999</v>
      </c>
    </row>
    <row r="6864" spans="1:1" x14ac:dyDescent="0.25">
      <c r="A6864" s="9">
        <v>2937401.93</v>
      </c>
    </row>
    <row r="6865" spans="1:1" x14ac:dyDescent="0.25">
      <c r="A6865" s="9">
        <v>354392.8</v>
      </c>
    </row>
    <row r="6866" spans="1:1" x14ac:dyDescent="0.25">
      <c r="A6866" s="9">
        <v>6272395.0700000003</v>
      </c>
    </row>
    <row r="6867" spans="1:1" x14ac:dyDescent="0.25">
      <c r="A6867" s="9">
        <v>2079713.65</v>
      </c>
    </row>
    <row r="6868" spans="1:1" x14ac:dyDescent="0.25">
      <c r="A6868" s="9">
        <v>3520244.96</v>
      </c>
    </row>
    <row r="6869" spans="1:1" x14ac:dyDescent="0.25">
      <c r="A6869" s="9">
        <v>4683657.16</v>
      </c>
    </row>
    <row r="6870" spans="1:1" x14ac:dyDescent="0.25">
      <c r="A6870" s="9">
        <v>38637473.560000002</v>
      </c>
    </row>
    <row r="6871" spans="1:1" x14ac:dyDescent="0.25">
      <c r="A6871" s="9">
        <v>24254575.82</v>
      </c>
    </row>
    <row r="6872" spans="1:1" x14ac:dyDescent="0.25">
      <c r="A6872">
        <v>0</v>
      </c>
    </row>
    <row r="6873" spans="1:1" x14ac:dyDescent="0.25">
      <c r="A6873">
        <v>308605</v>
      </c>
    </row>
    <row r="6874" spans="1:1" x14ac:dyDescent="0.25">
      <c r="A6874" s="9">
        <v>46562181.130000003</v>
      </c>
    </row>
    <row r="6875" spans="1:1" x14ac:dyDescent="0.25">
      <c r="A6875" s="9">
        <v>2626914.0499999998</v>
      </c>
    </row>
    <row r="6876" spans="1:1" x14ac:dyDescent="0.25">
      <c r="A6876" s="9">
        <v>158918.22</v>
      </c>
    </row>
    <row r="6877" spans="1:1" x14ac:dyDescent="0.25">
      <c r="A6877">
        <v>0</v>
      </c>
    </row>
    <row r="6878" spans="1:1" x14ac:dyDescent="0.25">
      <c r="A6878" s="9">
        <v>3840287.49</v>
      </c>
    </row>
    <row r="6879" spans="1:1" x14ac:dyDescent="0.25">
      <c r="A6879" s="9">
        <v>9411977.9299999997</v>
      </c>
    </row>
    <row r="6880" spans="1:1" x14ac:dyDescent="0.25">
      <c r="A6880" s="9">
        <v>460251.64</v>
      </c>
    </row>
    <row r="6881" spans="1:1" x14ac:dyDescent="0.25">
      <c r="A6881" s="9">
        <v>5173234.83</v>
      </c>
    </row>
    <row r="6882" spans="1:1" x14ac:dyDescent="0.25">
      <c r="A6882" s="9">
        <v>3109244.75</v>
      </c>
    </row>
    <row r="6883" spans="1:1" x14ac:dyDescent="0.25">
      <c r="A6883" s="9">
        <v>2666068.34</v>
      </c>
    </row>
    <row r="6884" spans="1:1" x14ac:dyDescent="0.25">
      <c r="A6884" s="9">
        <v>2875242.58</v>
      </c>
    </row>
    <row r="6885" spans="1:1" x14ac:dyDescent="0.25">
      <c r="A6885">
        <v>2409099</v>
      </c>
    </row>
    <row r="6886" spans="1:1" x14ac:dyDescent="0.25">
      <c r="A6886" s="9">
        <v>576864.179999999</v>
      </c>
    </row>
    <row r="6887" spans="1:1" x14ac:dyDescent="0.25">
      <c r="A6887" s="9">
        <v>261354.96</v>
      </c>
    </row>
    <row r="6888" spans="1:1" x14ac:dyDescent="0.25">
      <c r="A6888">
        <v>0</v>
      </c>
    </row>
    <row r="6889" spans="1:1" x14ac:dyDescent="0.25">
      <c r="A6889" s="9">
        <v>26681654.170000002</v>
      </c>
    </row>
    <row r="6890" spans="1:1" x14ac:dyDescent="0.25">
      <c r="A6890">
        <v>0</v>
      </c>
    </row>
    <row r="6891" spans="1:1" x14ac:dyDescent="0.25">
      <c r="A6891" s="9">
        <v>2034055.68</v>
      </c>
    </row>
    <row r="6892" spans="1:1" x14ac:dyDescent="0.25">
      <c r="A6892" s="9">
        <v>3186876.04</v>
      </c>
    </row>
    <row r="6893" spans="1:1" x14ac:dyDescent="0.25">
      <c r="A6893" s="9">
        <v>13555702.66</v>
      </c>
    </row>
    <row r="6894" spans="1:1" x14ac:dyDescent="0.25">
      <c r="A6894" s="9">
        <v>4194943.71</v>
      </c>
    </row>
    <row r="6895" spans="1:1" x14ac:dyDescent="0.25">
      <c r="A6895" s="9">
        <v>734347.34</v>
      </c>
    </row>
    <row r="6896" spans="1:1" x14ac:dyDescent="0.25">
      <c r="A6896" s="9">
        <v>225978.12</v>
      </c>
    </row>
    <row r="6897" spans="1:1" x14ac:dyDescent="0.25">
      <c r="A6897" s="9">
        <v>386142.12</v>
      </c>
    </row>
    <row r="6898" spans="1:1" x14ac:dyDescent="0.25">
      <c r="A6898" s="9">
        <v>358820.52</v>
      </c>
    </row>
    <row r="6899" spans="1:1" x14ac:dyDescent="0.25">
      <c r="A6899" s="9">
        <v>36890097.600000001</v>
      </c>
    </row>
    <row r="6900" spans="1:1" x14ac:dyDescent="0.25">
      <c r="A6900" s="9">
        <v>149088.26</v>
      </c>
    </row>
    <row r="6901" spans="1:1" x14ac:dyDescent="0.25">
      <c r="A6901" s="9">
        <v>4230016.24</v>
      </c>
    </row>
    <row r="6902" spans="1:1" x14ac:dyDescent="0.25">
      <c r="A6902" s="9">
        <v>4110636.41</v>
      </c>
    </row>
    <row r="6903" spans="1:1" x14ac:dyDescent="0.25">
      <c r="A6903">
        <v>0</v>
      </c>
    </row>
    <row r="6904" spans="1:1" x14ac:dyDescent="0.25">
      <c r="A6904" s="9">
        <v>1353725.28</v>
      </c>
    </row>
    <row r="6905" spans="1:1" x14ac:dyDescent="0.25">
      <c r="A6905" s="9">
        <v>3359911.29</v>
      </c>
    </row>
    <row r="6906" spans="1:1" x14ac:dyDescent="0.25">
      <c r="A6906" s="9">
        <v>3576640.3599999901</v>
      </c>
    </row>
    <row r="6907" spans="1:1" x14ac:dyDescent="0.25">
      <c r="A6907">
        <v>0</v>
      </c>
    </row>
    <row r="6908" spans="1:1" x14ac:dyDescent="0.25">
      <c r="A6908" s="9">
        <v>1392718.88</v>
      </c>
    </row>
    <row r="6909" spans="1:1" x14ac:dyDescent="0.25">
      <c r="A6909" s="9">
        <v>6130265.73999999</v>
      </c>
    </row>
    <row r="6910" spans="1:1" x14ac:dyDescent="0.25">
      <c r="A6910" s="9">
        <v>3089734.44</v>
      </c>
    </row>
    <row r="6911" spans="1:1" x14ac:dyDescent="0.25">
      <c r="A6911" s="9">
        <v>9279950.4499999899</v>
      </c>
    </row>
    <row r="6912" spans="1:1" x14ac:dyDescent="0.25">
      <c r="A6912" s="9">
        <v>576727.42000000004</v>
      </c>
    </row>
    <row r="6913" spans="1:1" x14ac:dyDescent="0.25">
      <c r="A6913" s="9">
        <v>4514781.78</v>
      </c>
    </row>
    <row r="6914" spans="1:1" x14ac:dyDescent="0.25">
      <c r="A6914" s="9">
        <v>382758.98</v>
      </c>
    </row>
    <row r="6915" spans="1:1" x14ac:dyDescent="0.25">
      <c r="A6915" s="9">
        <v>12203270.6</v>
      </c>
    </row>
    <row r="6916" spans="1:1" x14ac:dyDescent="0.25">
      <c r="A6916">
        <v>0</v>
      </c>
    </row>
    <row r="6917" spans="1:1" x14ac:dyDescent="0.25">
      <c r="A6917">
        <v>0</v>
      </c>
    </row>
    <row r="6918" spans="1:1" x14ac:dyDescent="0.25">
      <c r="A6918" s="9">
        <v>16093215.289999999</v>
      </c>
    </row>
    <row r="6919" spans="1:1" x14ac:dyDescent="0.25">
      <c r="A6919">
        <v>0</v>
      </c>
    </row>
    <row r="6920" spans="1:1" x14ac:dyDescent="0.25">
      <c r="A6920" s="9">
        <v>19186812.120000001</v>
      </c>
    </row>
    <row r="6921" spans="1:1" x14ac:dyDescent="0.25">
      <c r="A6921" s="9">
        <v>7975941.96</v>
      </c>
    </row>
    <row r="6922" spans="1:1" x14ac:dyDescent="0.25">
      <c r="A6922" s="9">
        <v>4341019.18</v>
      </c>
    </row>
    <row r="6923" spans="1:1" x14ac:dyDescent="0.25">
      <c r="A6923">
        <v>0</v>
      </c>
    </row>
    <row r="6924" spans="1:1" x14ac:dyDescent="0.25">
      <c r="A6924" s="9">
        <v>186499.5</v>
      </c>
    </row>
    <row r="6925" spans="1:1" x14ac:dyDescent="0.25">
      <c r="A6925" s="9">
        <v>19508913.77</v>
      </c>
    </row>
    <row r="6926" spans="1:1" x14ac:dyDescent="0.25">
      <c r="A6926" s="9">
        <v>1073153.33</v>
      </c>
    </row>
    <row r="6927" spans="1:1" x14ac:dyDescent="0.25">
      <c r="A6927" s="9">
        <v>5899850.1200000001</v>
      </c>
    </row>
    <row r="6928" spans="1:1" x14ac:dyDescent="0.25">
      <c r="A6928" s="9">
        <v>3159479.69</v>
      </c>
    </row>
    <row r="6929" spans="1:1" x14ac:dyDescent="0.25">
      <c r="A6929" s="9">
        <v>145166.06</v>
      </c>
    </row>
    <row r="6930" spans="1:1" x14ac:dyDescent="0.25">
      <c r="A6930">
        <v>0</v>
      </c>
    </row>
    <row r="6931" spans="1:1" x14ac:dyDescent="0.25">
      <c r="A6931" s="9">
        <v>85359.179999999906</v>
      </c>
    </row>
    <row r="6932" spans="1:1" x14ac:dyDescent="0.25">
      <c r="A6932">
        <v>0</v>
      </c>
    </row>
    <row r="6933" spans="1:1" x14ac:dyDescent="0.25">
      <c r="A6933" s="9">
        <v>2770210.16</v>
      </c>
    </row>
    <row r="6934" spans="1:1" x14ac:dyDescent="0.25">
      <c r="A6934" s="9">
        <v>2960077.05</v>
      </c>
    </row>
    <row r="6935" spans="1:1" x14ac:dyDescent="0.25">
      <c r="A6935" s="9">
        <v>5028501.99</v>
      </c>
    </row>
    <row r="6936" spans="1:1" x14ac:dyDescent="0.25">
      <c r="A6936" s="9">
        <v>9845900.4900000002</v>
      </c>
    </row>
    <row r="6937" spans="1:1" x14ac:dyDescent="0.25">
      <c r="A6937" s="9">
        <v>3153420.47</v>
      </c>
    </row>
    <row r="6938" spans="1:1" x14ac:dyDescent="0.25">
      <c r="A6938">
        <v>0</v>
      </c>
    </row>
    <row r="6939" spans="1:1" x14ac:dyDescent="0.25">
      <c r="A6939" s="9">
        <v>55235.28</v>
      </c>
    </row>
    <row r="6940" spans="1:1" x14ac:dyDescent="0.25">
      <c r="A6940" s="9">
        <v>7801820.4900000002</v>
      </c>
    </row>
    <row r="6941" spans="1:1" x14ac:dyDescent="0.25">
      <c r="A6941" s="9">
        <v>2727134.98</v>
      </c>
    </row>
    <row r="6942" spans="1:1" x14ac:dyDescent="0.25">
      <c r="A6942" s="9">
        <v>14397032.67</v>
      </c>
    </row>
    <row r="6943" spans="1:1" x14ac:dyDescent="0.25">
      <c r="A6943" s="9">
        <v>2205314.79</v>
      </c>
    </row>
    <row r="6944" spans="1:1" x14ac:dyDescent="0.25">
      <c r="A6944" s="9">
        <v>137493.4</v>
      </c>
    </row>
    <row r="6945" spans="1:1" x14ac:dyDescent="0.25">
      <c r="A6945" s="9">
        <v>831384.91</v>
      </c>
    </row>
    <row r="6946" spans="1:1" x14ac:dyDescent="0.25">
      <c r="A6946" s="9">
        <v>329333.78000000003</v>
      </c>
    </row>
    <row r="6947" spans="1:1" x14ac:dyDescent="0.25">
      <c r="A6947" s="9">
        <v>8320108.1100000003</v>
      </c>
    </row>
    <row r="6948" spans="1:1" x14ac:dyDescent="0.25">
      <c r="A6948" s="9">
        <v>123823.33</v>
      </c>
    </row>
    <row r="6949" spans="1:1" x14ac:dyDescent="0.25">
      <c r="A6949" s="9">
        <v>16785605.52</v>
      </c>
    </row>
    <row r="6950" spans="1:1" x14ac:dyDescent="0.25">
      <c r="A6950">
        <v>0</v>
      </c>
    </row>
    <row r="6951" spans="1:1" x14ac:dyDescent="0.25">
      <c r="A6951" s="9">
        <v>10368650.33</v>
      </c>
    </row>
    <row r="6952" spans="1:1" x14ac:dyDescent="0.25">
      <c r="A6952" s="9">
        <v>17288835.649999999</v>
      </c>
    </row>
    <row r="6953" spans="1:1" x14ac:dyDescent="0.25">
      <c r="A6953" s="9">
        <v>3281547.85</v>
      </c>
    </row>
    <row r="6954" spans="1:1" x14ac:dyDescent="0.25">
      <c r="A6954" s="9">
        <v>5200203.34</v>
      </c>
    </row>
    <row r="6955" spans="1:1" x14ac:dyDescent="0.25">
      <c r="A6955" s="9">
        <v>20880687.18</v>
      </c>
    </row>
    <row r="6956" spans="1:1" x14ac:dyDescent="0.25">
      <c r="A6956">
        <v>0</v>
      </c>
    </row>
    <row r="6957" spans="1:1" x14ac:dyDescent="0.25">
      <c r="A6957" s="9">
        <v>3421539.78</v>
      </c>
    </row>
    <row r="6958" spans="1:1" x14ac:dyDescent="0.25">
      <c r="A6958" s="9">
        <v>39370342.770000003</v>
      </c>
    </row>
    <row r="6959" spans="1:1" x14ac:dyDescent="0.25">
      <c r="A6959" s="9">
        <v>12300332.960000001</v>
      </c>
    </row>
    <row r="6960" spans="1:1" x14ac:dyDescent="0.25">
      <c r="A6960" s="9">
        <v>9310498.0399999898</v>
      </c>
    </row>
    <row r="6961" spans="1:1" x14ac:dyDescent="0.25">
      <c r="A6961" s="9">
        <v>2525413.13</v>
      </c>
    </row>
    <row r="6962" spans="1:1" x14ac:dyDescent="0.25">
      <c r="A6962" s="9">
        <v>7665393.54</v>
      </c>
    </row>
    <row r="6963" spans="1:1" x14ac:dyDescent="0.25">
      <c r="A6963" s="9">
        <v>14604499.58</v>
      </c>
    </row>
    <row r="6964" spans="1:1" x14ac:dyDescent="0.25">
      <c r="A6964" s="9">
        <v>366215.85</v>
      </c>
    </row>
    <row r="6965" spans="1:1" x14ac:dyDescent="0.25">
      <c r="A6965">
        <v>0</v>
      </c>
    </row>
    <row r="6966" spans="1:1" x14ac:dyDescent="0.25">
      <c r="A6966" s="9">
        <v>3117440.11</v>
      </c>
    </row>
    <row r="6967" spans="1:1" x14ac:dyDescent="0.25">
      <c r="A6967" s="9">
        <v>8665297.6999999993</v>
      </c>
    </row>
    <row r="6968" spans="1:1" x14ac:dyDescent="0.25">
      <c r="A6968" s="9">
        <v>900866.19</v>
      </c>
    </row>
    <row r="6969" spans="1:1" x14ac:dyDescent="0.25">
      <c r="A6969" s="9">
        <v>12960982.220000001</v>
      </c>
    </row>
    <row r="6970" spans="1:1" x14ac:dyDescent="0.25">
      <c r="A6970">
        <v>0</v>
      </c>
    </row>
    <row r="6971" spans="1:1" x14ac:dyDescent="0.25">
      <c r="A6971" s="9">
        <v>6147370.6100000003</v>
      </c>
    </row>
    <row r="6972" spans="1:1" x14ac:dyDescent="0.25">
      <c r="A6972" s="9">
        <v>3220589.19</v>
      </c>
    </row>
    <row r="6973" spans="1:1" x14ac:dyDescent="0.25">
      <c r="A6973" s="9">
        <v>6120797.4400000004</v>
      </c>
    </row>
    <row r="6974" spans="1:1" x14ac:dyDescent="0.25">
      <c r="A6974" s="9">
        <v>400142.9</v>
      </c>
    </row>
    <row r="6975" spans="1:1" x14ac:dyDescent="0.25">
      <c r="A6975">
        <v>0</v>
      </c>
    </row>
    <row r="6976" spans="1:1" x14ac:dyDescent="0.25">
      <c r="A6976" s="9">
        <v>10042298.98</v>
      </c>
    </row>
    <row r="6977" spans="1:1" x14ac:dyDescent="0.25">
      <c r="A6977" s="9">
        <v>2626482.64</v>
      </c>
    </row>
    <row r="6978" spans="1:1" x14ac:dyDescent="0.25">
      <c r="A6978">
        <v>0</v>
      </c>
    </row>
    <row r="6979" spans="1:1" x14ac:dyDescent="0.25">
      <c r="A6979" s="9">
        <v>4196321.43</v>
      </c>
    </row>
    <row r="6980" spans="1:1" x14ac:dyDescent="0.25">
      <c r="A6980">
        <v>0</v>
      </c>
    </row>
    <row r="6981" spans="1:1" x14ac:dyDescent="0.25">
      <c r="A6981" s="9">
        <v>12938201.18</v>
      </c>
    </row>
    <row r="6982" spans="1:1" x14ac:dyDescent="0.25">
      <c r="A6982" s="9">
        <v>1754809.47</v>
      </c>
    </row>
    <row r="6983" spans="1:1" x14ac:dyDescent="0.25">
      <c r="A6983" s="9">
        <v>433660.38</v>
      </c>
    </row>
    <row r="6984" spans="1:1" x14ac:dyDescent="0.25">
      <c r="A6984" s="9">
        <v>4854849.49</v>
      </c>
    </row>
    <row r="6985" spans="1:1" x14ac:dyDescent="0.25">
      <c r="A6985" s="9">
        <v>5849652.9199999999</v>
      </c>
    </row>
    <row r="6986" spans="1:1" x14ac:dyDescent="0.25">
      <c r="A6986" s="9">
        <v>66721.03</v>
      </c>
    </row>
    <row r="6987" spans="1:1" x14ac:dyDescent="0.25">
      <c r="A6987" s="9">
        <v>6853539.3899999904</v>
      </c>
    </row>
    <row r="6988" spans="1:1" x14ac:dyDescent="0.25">
      <c r="A6988" s="9">
        <v>4970309.5999999996</v>
      </c>
    </row>
    <row r="6989" spans="1:1" x14ac:dyDescent="0.25">
      <c r="A6989" s="9">
        <v>7266890.7400000002</v>
      </c>
    </row>
    <row r="6990" spans="1:1" x14ac:dyDescent="0.25">
      <c r="A6990" s="9">
        <v>5277722.2699999996</v>
      </c>
    </row>
    <row r="6991" spans="1:1" x14ac:dyDescent="0.25">
      <c r="A6991">
        <v>0</v>
      </c>
    </row>
    <row r="6992" spans="1:1" x14ac:dyDescent="0.25">
      <c r="A6992" s="9">
        <v>66721.03</v>
      </c>
    </row>
    <row r="6993" spans="1:1" x14ac:dyDescent="0.25">
      <c r="A6993" s="9">
        <v>184735.48</v>
      </c>
    </row>
    <row r="6994" spans="1:1" x14ac:dyDescent="0.25">
      <c r="A6994" s="9">
        <v>13822971.949999999</v>
      </c>
    </row>
    <row r="6995" spans="1:1" x14ac:dyDescent="0.25">
      <c r="A6995" s="9">
        <v>2056079.66</v>
      </c>
    </row>
    <row r="6996" spans="1:1" x14ac:dyDescent="0.25">
      <c r="A6996" s="9">
        <v>15407462.75</v>
      </c>
    </row>
    <row r="6997" spans="1:1" x14ac:dyDescent="0.25">
      <c r="A6997" s="9">
        <v>10398386.15</v>
      </c>
    </row>
    <row r="6998" spans="1:1" x14ac:dyDescent="0.25">
      <c r="A6998" s="9">
        <v>6887531.5199999996</v>
      </c>
    </row>
    <row r="6999" spans="1:1" x14ac:dyDescent="0.25">
      <c r="A6999" s="9">
        <v>2127825.2599999998</v>
      </c>
    </row>
    <row r="7000" spans="1:1" x14ac:dyDescent="0.25">
      <c r="A7000" s="9">
        <v>8859483.5800000001</v>
      </c>
    </row>
    <row r="7001" spans="1:1" x14ac:dyDescent="0.25">
      <c r="A7001" s="9">
        <v>13941280.67</v>
      </c>
    </row>
    <row r="7002" spans="1:1" x14ac:dyDescent="0.25">
      <c r="A7002" s="9">
        <v>1067991.6100000001</v>
      </c>
    </row>
    <row r="7003" spans="1:1" x14ac:dyDescent="0.25">
      <c r="A7003">
        <v>0</v>
      </c>
    </row>
    <row r="7004" spans="1:1" x14ac:dyDescent="0.25">
      <c r="A7004" s="9">
        <v>2008809.59</v>
      </c>
    </row>
    <row r="7005" spans="1:1" x14ac:dyDescent="0.25">
      <c r="A7005" s="9">
        <v>34033713.420000002</v>
      </c>
    </row>
    <row r="7006" spans="1:1" x14ac:dyDescent="0.25">
      <c r="A7006">
        <v>0</v>
      </c>
    </row>
    <row r="7007" spans="1:1" x14ac:dyDescent="0.25">
      <c r="A7007" s="9">
        <v>15727818.720000001</v>
      </c>
    </row>
    <row r="7008" spans="1:1" x14ac:dyDescent="0.25">
      <c r="A7008" s="9">
        <v>4559624.75</v>
      </c>
    </row>
    <row r="7009" spans="1:1" x14ac:dyDescent="0.25">
      <c r="A7009">
        <v>0</v>
      </c>
    </row>
    <row r="7010" spans="1:1" x14ac:dyDescent="0.25">
      <c r="A7010" s="9">
        <v>8708806.5700000003</v>
      </c>
    </row>
    <row r="7011" spans="1:1" x14ac:dyDescent="0.25">
      <c r="A7011" s="9">
        <v>1377256.24</v>
      </c>
    </row>
    <row r="7012" spans="1:1" x14ac:dyDescent="0.25">
      <c r="A7012">
        <v>0</v>
      </c>
    </row>
    <row r="7013" spans="1:1" x14ac:dyDescent="0.25">
      <c r="A7013" s="9">
        <v>9341251.0800000001</v>
      </c>
    </row>
    <row r="7014" spans="1:1" x14ac:dyDescent="0.25">
      <c r="A7014">
        <v>0</v>
      </c>
    </row>
    <row r="7015" spans="1:1" x14ac:dyDescent="0.25">
      <c r="A7015" s="9">
        <v>3368049.68</v>
      </c>
    </row>
    <row r="7016" spans="1:1" x14ac:dyDescent="0.25">
      <c r="A7016">
        <v>0</v>
      </c>
    </row>
    <row r="7017" spans="1:1" x14ac:dyDescent="0.25">
      <c r="A7017" s="9">
        <v>16112177.880000001</v>
      </c>
    </row>
    <row r="7018" spans="1:1" x14ac:dyDescent="0.25">
      <c r="A7018" s="9">
        <v>6868332.2300000004</v>
      </c>
    </row>
    <row r="7019" spans="1:1" x14ac:dyDescent="0.25">
      <c r="A7019" s="9">
        <v>1815868.49</v>
      </c>
    </row>
    <row r="7020" spans="1:1" x14ac:dyDescent="0.25">
      <c r="A7020" s="9">
        <v>4302118.3899999997</v>
      </c>
    </row>
    <row r="7021" spans="1:1" x14ac:dyDescent="0.25">
      <c r="A7021">
        <v>0</v>
      </c>
    </row>
    <row r="7022" spans="1:1" x14ac:dyDescent="0.25">
      <c r="A7022" s="9">
        <v>19727478.829999998</v>
      </c>
    </row>
    <row r="7023" spans="1:1" x14ac:dyDescent="0.25">
      <c r="A7023" s="9">
        <v>19657860.34</v>
      </c>
    </row>
    <row r="7024" spans="1:1" x14ac:dyDescent="0.25">
      <c r="A7024" s="9">
        <v>8285211.4100000001</v>
      </c>
    </row>
    <row r="7025" spans="1:1" x14ac:dyDescent="0.25">
      <c r="A7025" s="9">
        <v>316961.48</v>
      </c>
    </row>
    <row r="7026" spans="1:1" x14ac:dyDescent="0.25">
      <c r="A7026" s="9">
        <v>28757926.129999999</v>
      </c>
    </row>
    <row r="7027" spans="1:1" x14ac:dyDescent="0.25">
      <c r="A7027" s="9">
        <v>6084293.4000000004</v>
      </c>
    </row>
    <row r="7028" spans="1:1" x14ac:dyDescent="0.25">
      <c r="A7028" s="9">
        <v>1588681.28</v>
      </c>
    </row>
    <row r="7029" spans="1:1" x14ac:dyDescent="0.25">
      <c r="A7029" s="9">
        <v>2104718.96</v>
      </c>
    </row>
    <row r="7030" spans="1:1" x14ac:dyDescent="0.25">
      <c r="A7030">
        <v>0</v>
      </c>
    </row>
    <row r="7031" spans="1:1" x14ac:dyDescent="0.25">
      <c r="A7031" s="9">
        <v>4933088.96</v>
      </c>
    </row>
    <row r="7032" spans="1:1" x14ac:dyDescent="0.25">
      <c r="A7032" s="9">
        <v>4315051.7699999996</v>
      </c>
    </row>
    <row r="7033" spans="1:1" x14ac:dyDescent="0.25">
      <c r="A7033" s="9">
        <v>3727555.2</v>
      </c>
    </row>
    <row r="7034" spans="1:1" x14ac:dyDescent="0.25">
      <c r="A7034" s="9">
        <v>3969193.54</v>
      </c>
    </row>
    <row r="7035" spans="1:1" x14ac:dyDescent="0.25">
      <c r="A7035" s="9">
        <v>5038740.4800000004</v>
      </c>
    </row>
    <row r="7036" spans="1:1" x14ac:dyDescent="0.25">
      <c r="A7036" s="9">
        <v>2914572.28</v>
      </c>
    </row>
    <row r="7037" spans="1:1" x14ac:dyDescent="0.25">
      <c r="A7037" s="9">
        <v>29269.759999999998</v>
      </c>
    </row>
    <row r="7038" spans="1:1" x14ac:dyDescent="0.25">
      <c r="A7038" s="9">
        <v>14434675.48</v>
      </c>
    </row>
    <row r="7039" spans="1:1" x14ac:dyDescent="0.25">
      <c r="A7039" s="9">
        <v>16031096.039999999</v>
      </c>
    </row>
    <row r="7040" spans="1:1" x14ac:dyDescent="0.25">
      <c r="A7040" s="9">
        <v>9064758.1199999992</v>
      </c>
    </row>
    <row r="7041" spans="1:1" x14ac:dyDescent="0.25">
      <c r="A7041" s="9">
        <v>3272964.93</v>
      </c>
    </row>
    <row r="7042" spans="1:1" x14ac:dyDescent="0.25">
      <c r="A7042" s="9">
        <v>1095703.3500000001</v>
      </c>
    </row>
    <row r="7043" spans="1:1" x14ac:dyDescent="0.25">
      <c r="A7043" s="9">
        <v>10112718.210000001</v>
      </c>
    </row>
    <row r="7044" spans="1:1" x14ac:dyDescent="0.25">
      <c r="A7044" s="9">
        <v>16667684.68</v>
      </c>
    </row>
    <row r="7045" spans="1:1" x14ac:dyDescent="0.25">
      <c r="A7045" s="9">
        <v>7613776.4500000002</v>
      </c>
    </row>
    <row r="7046" spans="1:1" x14ac:dyDescent="0.25">
      <c r="A7046" s="9">
        <v>2468169.85</v>
      </c>
    </row>
    <row r="7047" spans="1:1" x14ac:dyDescent="0.25">
      <c r="A7047" s="9">
        <v>2044091.39</v>
      </c>
    </row>
    <row r="7048" spans="1:1" x14ac:dyDescent="0.25">
      <c r="A7048" s="9">
        <v>11880729.289999999</v>
      </c>
    </row>
    <row r="7049" spans="1:1" x14ac:dyDescent="0.25">
      <c r="A7049">
        <v>0</v>
      </c>
    </row>
    <row r="7050" spans="1:1" x14ac:dyDescent="0.25">
      <c r="A7050">
        <v>3911820</v>
      </c>
    </row>
    <row r="7051" spans="1:1" x14ac:dyDescent="0.25">
      <c r="A7051">
        <v>0</v>
      </c>
    </row>
    <row r="7052" spans="1:1" x14ac:dyDescent="0.25">
      <c r="A7052" s="9">
        <v>3623652.57</v>
      </c>
    </row>
    <row r="7053" spans="1:1" x14ac:dyDescent="0.25">
      <c r="A7053" s="9">
        <v>21502647.059999999</v>
      </c>
    </row>
    <row r="7054" spans="1:1" x14ac:dyDescent="0.25">
      <c r="A7054">
        <v>0</v>
      </c>
    </row>
    <row r="7055" spans="1:1" x14ac:dyDescent="0.25">
      <c r="A7055" s="9">
        <v>4740966.38</v>
      </c>
    </row>
    <row r="7056" spans="1:1" x14ac:dyDescent="0.25">
      <c r="A7056" s="9">
        <v>8906215.4699999895</v>
      </c>
    </row>
    <row r="7057" spans="1:1" x14ac:dyDescent="0.25">
      <c r="A7057" s="9">
        <v>69989.64</v>
      </c>
    </row>
    <row r="7058" spans="1:1" x14ac:dyDescent="0.25">
      <c r="A7058" s="9">
        <v>2441747.16</v>
      </c>
    </row>
    <row r="7059" spans="1:1" x14ac:dyDescent="0.25">
      <c r="A7059" s="9">
        <v>3513499.45</v>
      </c>
    </row>
    <row r="7060" spans="1:1" x14ac:dyDescent="0.25">
      <c r="A7060">
        <v>0</v>
      </c>
    </row>
    <row r="7061" spans="1:1" x14ac:dyDescent="0.25">
      <c r="A7061" s="9">
        <v>9606809.0600000005</v>
      </c>
    </row>
    <row r="7062" spans="1:1" x14ac:dyDescent="0.25">
      <c r="A7062">
        <v>6799873</v>
      </c>
    </row>
    <row r="7063" spans="1:1" x14ac:dyDescent="0.25">
      <c r="A7063" s="9">
        <v>232498.03</v>
      </c>
    </row>
    <row r="7064" spans="1:1" x14ac:dyDescent="0.25">
      <c r="A7064" s="9">
        <v>1249133.96</v>
      </c>
    </row>
    <row r="7065" spans="1:1" x14ac:dyDescent="0.25">
      <c r="A7065" s="9">
        <v>329323.83</v>
      </c>
    </row>
    <row r="7066" spans="1:1" x14ac:dyDescent="0.25">
      <c r="A7066" s="9">
        <v>23820304.16</v>
      </c>
    </row>
    <row r="7067" spans="1:1" x14ac:dyDescent="0.25">
      <c r="A7067" s="9">
        <v>8585107.5500000007</v>
      </c>
    </row>
    <row r="7068" spans="1:1" x14ac:dyDescent="0.25">
      <c r="A7068">
        <v>0</v>
      </c>
    </row>
    <row r="7069" spans="1:1" x14ac:dyDescent="0.25">
      <c r="A7069">
        <v>0</v>
      </c>
    </row>
    <row r="7070" spans="1:1" x14ac:dyDescent="0.25">
      <c r="A7070" s="9">
        <v>8117624.5099999998</v>
      </c>
    </row>
    <row r="7071" spans="1:1" x14ac:dyDescent="0.25">
      <c r="A7071" s="9">
        <v>110670.62</v>
      </c>
    </row>
    <row r="7072" spans="1:1" x14ac:dyDescent="0.25">
      <c r="A7072" s="9">
        <v>2760148.61</v>
      </c>
    </row>
    <row r="7073" spans="1:1" x14ac:dyDescent="0.25">
      <c r="A7073" s="9">
        <v>340716.76</v>
      </c>
    </row>
    <row r="7074" spans="1:1" x14ac:dyDescent="0.25">
      <c r="A7074" s="9">
        <v>55235.28</v>
      </c>
    </row>
    <row r="7075" spans="1:1" x14ac:dyDescent="0.25">
      <c r="A7075" s="9">
        <v>185997.51</v>
      </c>
    </row>
    <row r="7076" spans="1:1" x14ac:dyDescent="0.25">
      <c r="A7076" s="9">
        <v>5978859.3300000001</v>
      </c>
    </row>
    <row r="7077" spans="1:1" x14ac:dyDescent="0.25">
      <c r="A7077">
        <v>0</v>
      </c>
    </row>
    <row r="7078" spans="1:1" x14ac:dyDescent="0.25">
      <c r="A7078" s="9">
        <v>10032973.439999999</v>
      </c>
    </row>
    <row r="7079" spans="1:1" x14ac:dyDescent="0.25">
      <c r="A7079" s="9">
        <v>685461.84</v>
      </c>
    </row>
    <row r="7080" spans="1:1" x14ac:dyDescent="0.25">
      <c r="A7080">
        <v>0</v>
      </c>
    </row>
    <row r="7081" spans="1:1" x14ac:dyDescent="0.25">
      <c r="A7081" s="9">
        <v>2295628.81</v>
      </c>
    </row>
    <row r="7082" spans="1:1" x14ac:dyDescent="0.25">
      <c r="A7082" s="9">
        <v>2184336.33</v>
      </c>
    </row>
    <row r="7083" spans="1:1" x14ac:dyDescent="0.25">
      <c r="A7083" s="9">
        <v>6954119.1499999901</v>
      </c>
    </row>
    <row r="7084" spans="1:1" x14ac:dyDescent="0.25">
      <c r="A7084" s="9">
        <v>45430325.469999902</v>
      </c>
    </row>
    <row r="7085" spans="1:1" x14ac:dyDescent="0.25">
      <c r="A7085">
        <v>0</v>
      </c>
    </row>
    <row r="7086" spans="1:1" x14ac:dyDescent="0.25">
      <c r="A7086" s="9">
        <v>14035950.109999999</v>
      </c>
    </row>
    <row r="7087" spans="1:1" x14ac:dyDescent="0.25">
      <c r="A7087" s="9">
        <v>6738268.54</v>
      </c>
    </row>
    <row r="7088" spans="1:1" x14ac:dyDescent="0.25">
      <c r="A7088">
        <v>0</v>
      </c>
    </row>
    <row r="7089" spans="1:1" x14ac:dyDescent="0.25">
      <c r="A7089" s="9">
        <v>197896.15</v>
      </c>
    </row>
    <row r="7090" spans="1:1" x14ac:dyDescent="0.25">
      <c r="A7090" s="9">
        <v>8613774.27999999</v>
      </c>
    </row>
    <row r="7091" spans="1:1" x14ac:dyDescent="0.25">
      <c r="A7091" s="9">
        <v>3647944.04</v>
      </c>
    </row>
    <row r="7092" spans="1:1" x14ac:dyDescent="0.25">
      <c r="A7092" s="9">
        <v>13452907.58</v>
      </c>
    </row>
    <row r="7093" spans="1:1" x14ac:dyDescent="0.25">
      <c r="A7093" s="9">
        <v>102149.02</v>
      </c>
    </row>
    <row r="7094" spans="1:1" x14ac:dyDescent="0.25">
      <c r="A7094" s="9">
        <v>3021840.15</v>
      </c>
    </row>
    <row r="7095" spans="1:1" x14ac:dyDescent="0.25">
      <c r="A7095" s="9">
        <v>14310045.029999999</v>
      </c>
    </row>
    <row r="7096" spans="1:1" x14ac:dyDescent="0.25">
      <c r="A7096" s="9">
        <v>11727562.76</v>
      </c>
    </row>
    <row r="7097" spans="1:1" x14ac:dyDescent="0.25">
      <c r="A7097" s="9">
        <v>137493.4</v>
      </c>
    </row>
    <row r="7098" spans="1:1" x14ac:dyDescent="0.25">
      <c r="A7098" s="9">
        <v>25962559.18</v>
      </c>
    </row>
    <row r="7099" spans="1:1" x14ac:dyDescent="0.25">
      <c r="A7099" s="9">
        <v>227051.68</v>
      </c>
    </row>
    <row r="7100" spans="1:1" x14ac:dyDescent="0.25">
      <c r="A7100" s="9">
        <v>3175927.24</v>
      </c>
    </row>
    <row r="7101" spans="1:1" x14ac:dyDescent="0.25">
      <c r="A7101" s="9">
        <v>39004276.539999999</v>
      </c>
    </row>
    <row r="7102" spans="1:1" x14ac:dyDescent="0.25">
      <c r="A7102" s="9">
        <v>4169092.91</v>
      </c>
    </row>
    <row r="7103" spans="1:1" x14ac:dyDescent="0.25">
      <c r="A7103" s="9">
        <v>259408.04</v>
      </c>
    </row>
    <row r="7104" spans="1:1" x14ac:dyDescent="0.25">
      <c r="A7104" s="9">
        <v>33613831.979999997</v>
      </c>
    </row>
    <row r="7105" spans="1:1" x14ac:dyDescent="0.25">
      <c r="A7105" s="9">
        <v>2546960.4500000002</v>
      </c>
    </row>
    <row r="7106" spans="1:1" x14ac:dyDescent="0.25">
      <c r="A7106" s="9">
        <v>13449597.91</v>
      </c>
    </row>
    <row r="7107" spans="1:1" x14ac:dyDescent="0.25">
      <c r="A7107">
        <v>0</v>
      </c>
    </row>
    <row r="7108" spans="1:1" x14ac:dyDescent="0.25">
      <c r="A7108" s="9">
        <v>14889431.98</v>
      </c>
    </row>
    <row r="7109" spans="1:1" x14ac:dyDescent="0.25">
      <c r="A7109">
        <v>0</v>
      </c>
    </row>
    <row r="7110" spans="1:1" x14ac:dyDescent="0.25">
      <c r="A7110" s="9">
        <v>12033734.07</v>
      </c>
    </row>
    <row r="7111" spans="1:1" x14ac:dyDescent="0.25">
      <c r="A7111" s="9">
        <v>2889067.5</v>
      </c>
    </row>
    <row r="7112" spans="1:1" x14ac:dyDescent="0.25">
      <c r="A7112">
        <v>0</v>
      </c>
    </row>
    <row r="7113" spans="1:1" x14ac:dyDescent="0.25">
      <c r="A7113">
        <v>0</v>
      </c>
    </row>
    <row r="7114" spans="1:1" x14ac:dyDescent="0.25">
      <c r="A7114" s="9">
        <v>351507.25</v>
      </c>
    </row>
    <row r="7115" spans="1:1" x14ac:dyDescent="0.25">
      <c r="A7115" s="9">
        <v>2441747.16</v>
      </c>
    </row>
    <row r="7116" spans="1:1" x14ac:dyDescent="0.25">
      <c r="A7116" s="9">
        <v>364982.67</v>
      </c>
    </row>
    <row r="7117" spans="1:1" x14ac:dyDescent="0.25">
      <c r="A7117" s="9">
        <v>9620370.9700000007</v>
      </c>
    </row>
    <row r="7118" spans="1:1" x14ac:dyDescent="0.25">
      <c r="A7118" s="9">
        <v>184735.48</v>
      </c>
    </row>
    <row r="7119" spans="1:1" x14ac:dyDescent="0.25">
      <c r="A7119" s="9">
        <v>10570620.890000001</v>
      </c>
    </row>
    <row r="7120" spans="1:1" x14ac:dyDescent="0.25">
      <c r="A7120" s="9">
        <v>217897.66</v>
      </c>
    </row>
    <row r="7121" spans="1:1" x14ac:dyDescent="0.25">
      <c r="A7121" s="9">
        <v>4459172.5</v>
      </c>
    </row>
    <row r="7122" spans="1:1" x14ac:dyDescent="0.25">
      <c r="A7122" s="9">
        <v>3725915.25</v>
      </c>
    </row>
    <row r="7123" spans="1:1" x14ac:dyDescent="0.25">
      <c r="A7123" s="9">
        <v>2422208.46</v>
      </c>
    </row>
    <row r="7124" spans="1:1" x14ac:dyDescent="0.25">
      <c r="A7124" s="9">
        <v>71145271.450000003</v>
      </c>
    </row>
    <row r="7125" spans="1:1" x14ac:dyDescent="0.25">
      <c r="A7125" s="9">
        <v>359495.65</v>
      </c>
    </row>
    <row r="7126" spans="1:1" x14ac:dyDescent="0.25">
      <c r="A7126">
        <v>0</v>
      </c>
    </row>
    <row r="7127" spans="1:1" x14ac:dyDescent="0.25">
      <c r="A7127" s="9">
        <v>843450.86</v>
      </c>
    </row>
    <row r="7128" spans="1:1" x14ac:dyDescent="0.25">
      <c r="A7128" s="9">
        <v>1241641.22</v>
      </c>
    </row>
    <row r="7129" spans="1:1" x14ac:dyDescent="0.25">
      <c r="A7129" s="9">
        <v>2885496.66</v>
      </c>
    </row>
    <row r="7130" spans="1:1" x14ac:dyDescent="0.25">
      <c r="A7130" s="9">
        <v>6080723.0800000001</v>
      </c>
    </row>
    <row r="7131" spans="1:1" x14ac:dyDescent="0.25">
      <c r="A7131" s="9">
        <v>1905447.59</v>
      </c>
    </row>
    <row r="7132" spans="1:1" x14ac:dyDescent="0.25">
      <c r="A7132" s="9">
        <v>118937.28</v>
      </c>
    </row>
    <row r="7133" spans="1:1" x14ac:dyDescent="0.25">
      <c r="A7133" s="9">
        <v>11746699.640000001</v>
      </c>
    </row>
    <row r="7134" spans="1:1" x14ac:dyDescent="0.25">
      <c r="A7134" s="9">
        <v>1888011.58</v>
      </c>
    </row>
    <row r="7135" spans="1:1" x14ac:dyDescent="0.25">
      <c r="A7135" s="9">
        <v>3661408.21</v>
      </c>
    </row>
    <row r="7136" spans="1:1" x14ac:dyDescent="0.25">
      <c r="A7136" s="9">
        <v>206723.34</v>
      </c>
    </row>
    <row r="7137" spans="1:1" x14ac:dyDescent="0.25">
      <c r="A7137" s="9">
        <v>56444184.679999903</v>
      </c>
    </row>
    <row r="7138" spans="1:1" x14ac:dyDescent="0.25">
      <c r="A7138">
        <v>0</v>
      </c>
    </row>
    <row r="7139" spans="1:1" x14ac:dyDescent="0.25">
      <c r="A7139" s="9">
        <v>6337959.0300000003</v>
      </c>
    </row>
    <row r="7140" spans="1:1" x14ac:dyDescent="0.25">
      <c r="A7140" s="9">
        <v>2606444.21</v>
      </c>
    </row>
    <row r="7141" spans="1:1" x14ac:dyDescent="0.25">
      <c r="A7141" s="9">
        <v>1431667.8</v>
      </c>
    </row>
    <row r="7142" spans="1:1" x14ac:dyDescent="0.25">
      <c r="A7142">
        <v>0</v>
      </c>
    </row>
    <row r="7143" spans="1:1" x14ac:dyDescent="0.25">
      <c r="A7143">
        <v>0</v>
      </c>
    </row>
    <row r="7144" spans="1:1" x14ac:dyDescent="0.25">
      <c r="A7144">
        <v>0</v>
      </c>
    </row>
    <row r="7145" spans="1:1" x14ac:dyDescent="0.25">
      <c r="A7145" s="9">
        <v>61079.6</v>
      </c>
    </row>
    <row r="7146" spans="1:1" x14ac:dyDescent="0.25">
      <c r="A7146" s="9">
        <v>8816149.5500000007</v>
      </c>
    </row>
    <row r="7147" spans="1:1" x14ac:dyDescent="0.25">
      <c r="A7147" s="9">
        <v>229216.23</v>
      </c>
    </row>
    <row r="7148" spans="1:1" x14ac:dyDescent="0.25">
      <c r="A7148" s="9">
        <v>3442796.21</v>
      </c>
    </row>
    <row r="7149" spans="1:1" x14ac:dyDescent="0.25">
      <c r="A7149" s="9">
        <v>1086871.04</v>
      </c>
    </row>
    <row r="7150" spans="1:1" x14ac:dyDescent="0.25">
      <c r="A7150">
        <v>0</v>
      </c>
    </row>
    <row r="7151" spans="1:1" x14ac:dyDescent="0.25">
      <c r="A7151">
        <v>0</v>
      </c>
    </row>
    <row r="7152" spans="1:1" x14ac:dyDescent="0.25">
      <c r="A7152" s="9">
        <v>2613668.54</v>
      </c>
    </row>
    <row r="7153" spans="1:1" x14ac:dyDescent="0.25">
      <c r="A7153" s="9">
        <v>4298050.84</v>
      </c>
    </row>
    <row r="7154" spans="1:1" x14ac:dyDescent="0.25">
      <c r="A7154" s="9">
        <v>3158282.46</v>
      </c>
    </row>
    <row r="7155" spans="1:1" x14ac:dyDescent="0.25">
      <c r="A7155">
        <v>0</v>
      </c>
    </row>
    <row r="7156" spans="1:1" x14ac:dyDescent="0.25">
      <c r="A7156" s="9">
        <v>1238550.92</v>
      </c>
    </row>
    <row r="7157" spans="1:1" x14ac:dyDescent="0.25">
      <c r="A7157" s="9">
        <v>99163.74</v>
      </c>
    </row>
    <row r="7158" spans="1:1" x14ac:dyDescent="0.25">
      <c r="A7158">
        <v>0</v>
      </c>
    </row>
    <row r="7159" spans="1:1" x14ac:dyDescent="0.25">
      <c r="A7159" s="9">
        <v>4161105.52</v>
      </c>
    </row>
    <row r="7160" spans="1:1" x14ac:dyDescent="0.25">
      <c r="A7160" s="9">
        <v>5921711.2400000002</v>
      </c>
    </row>
    <row r="7161" spans="1:1" x14ac:dyDescent="0.25">
      <c r="A7161" s="9">
        <v>238502.99</v>
      </c>
    </row>
    <row r="7162" spans="1:1" x14ac:dyDescent="0.25">
      <c r="A7162" s="9">
        <v>2425778.46</v>
      </c>
    </row>
    <row r="7163" spans="1:1" x14ac:dyDescent="0.25">
      <c r="A7163" s="9">
        <v>8117048.9100000001</v>
      </c>
    </row>
    <row r="7164" spans="1:1" x14ac:dyDescent="0.25">
      <c r="A7164" s="9">
        <v>15323012.720000001</v>
      </c>
    </row>
    <row r="7165" spans="1:1" x14ac:dyDescent="0.25">
      <c r="A7165" s="9">
        <v>1847198.6</v>
      </c>
    </row>
    <row r="7166" spans="1:1" x14ac:dyDescent="0.25">
      <c r="A7166" s="9">
        <v>26932194.370000001</v>
      </c>
    </row>
    <row r="7167" spans="1:1" x14ac:dyDescent="0.25">
      <c r="A7167" s="9">
        <v>10348147.84</v>
      </c>
    </row>
    <row r="7168" spans="1:1" x14ac:dyDescent="0.25">
      <c r="A7168" s="9">
        <v>459111.6</v>
      </c>
    </row>
    <row r="7169" spans="1:1" x14ac:dyDescent="0.25">
      <c r="A7169" s="9">
        <v>4050789.34</v>
      </c>
    </row>
    <row r="7170" spans="1:1" x14ac:dyDescent="0.25">
      <c r="A7170" s="9">
        <v>937256.5</v>
      </c>
    </row>
    <row r="7171" spans="1:1" x14ac:dyDescent="0.25">
      <c r="A7171" s="9">
        <v>505270.51</v>
      </c>
    </row>
    <row r="7172" spans="1:1" x14ac:dyDescent="0.25">
      <c r="A7172">
        <v>0</v>
      </c>
    </row>
    <row r="7173" spans="1:1" x14ac:dyDescent="0.25">
      <c r="A7173">
        <v>0</v>
      </c>
    </row>
    <row r="7174" spans="1:1" x14ac:dyDescent="0.25">
      <c r="A7174" s="9">
        <v>6753405.1699999999</v>
      </c>
    </row>
    <row r="7175" spans="1:1" x14ac:dyDescent="0.25">
      <c r="A7175" s="9">
        <v>13099719.32</v>
      </c>
    </row>
    <row r="7176" spans="1:1" x14ac:dyDescent="0.25">
      <c r="A7176" s="9">
        <v>4918597.24</v>
      </c>
    </row>
    <row r="7177" spans="1:1" x14ac:dyDescent="0.25">
      <c r="A7177" s="9">
        <v>61113.499999999898</v>
      </c>
    </row>
    <row r="7178" spans="1:1" x14ac:dyDescent="0.25">
      <c r="A7178" s="9">
        <v>301081.53000000003</v>
      </c>
    </row>
    <row r="7179" spans="1:1" x14ac:dyDescent="0.25">
      <c r="A7179" s="9">
        <v>432040.98</v>
      </c>
    </row>
    <row r="7180" spans="1:1" x14ac:dyDescent="0.25">
      <c r="A7180">
        <v>0</v>
      </c>
    </row>
    <row r="7181" spans="1:1" x14ac:dyDescent="0.25">
      <c r="A7181" s="9">
        <v>30567958.030000001</v>
      </c>
    </row>
    <row r="7182" spans="1:1" x14ac:dyDescent="0.25">
      <c r="A7182" s="9">
        <v>888985.85</v>
      </c>
    </row>
    <row r="7183" spans="1:1" x14ac:dyDescent="0.25">
      <c r="A7183" s="9">
        <v>6888982.04</v>
      </c>
    </row>
    <row r="7184" spans="1:1" x14ac:dyDescent="0.25">
      <c r="A7184" s="9">
        <v>4609697.92</v>
      </c>
    </row>
    <row r="7185" spans="1:1" x14ac:dyDescent="0.25">
      <c r="A7185" s="9">
        <v>4036978.79</v>
      </c>
    </row>
    <row r="7186" spans="1:1" x14ac:dyDescent="0.25">
      <c r="A7186" s="9">
        <v>261354.96</v>
      </c>
    </row>
    <row r="7187" spans="1:1" x14ac:dyDescent="0.25">
      <c r="A7187" s="9">
        <v>7746962.1199999899</v>
      </c>
    </row>
    <row r="7188" spans="1:1" x14ac:dyDescent="0.25">
      <c r="A7188" s="9">
        <v>1641966.52</v>
      </c>
    </row>
    <row r="7189" spans="1:1" x14ac:dyDescent="0.25">
      <c r="A7189" s="9">
        <v>2153548.58</v>
      </c>
    </row>
    <row r="7190" spans="1:1" x14ac:dyDescent="0.25">
      <c r="A7190" s="9">
        <v>30055627.18</v>
      </c>
    </row>
    <row r="7191" spans="1:1" x14ac:dyDescent="0.25">
      <c r="A7191" s="9">
        <v>946844.3</v>
      </c>
    </row>
    <row r="7192" spans="1:1" x14ac:dyDescent="0.25">
      <c r="A7192" s="9">
        <v>1899854.37</v>
      </c>
    </row>
    <row r="7193" spans="1:1" x14ac:dyDescent="0.25">
      <c r="A7193">
        <v>0</v>
      </c>
    </row>
    <row r="7194" spans="1:1" x14ac:dyDescent="0.25">
      <c r="A7194" s="9">
        <v>3732547.24</v>
      </c>
    </row>
    <row r="7195" spans="1:1" x14ac:dyDescent="0.25">
      <c r="A7195">
        <v>0</v>
      </c>
    </row>
    <row r="7196" spans="1:1" x14ac:dyDescent="0.25">
      <c r="A7196" s="9">
        <v>1511966.04</v>
      </c>
    </row>
    <row r="7197" spans="1:1" x14ac:dyDescent="0.25">
      <c r="A7197">
        <v>0</v>
      </c>
    </row>
    <row r="7198" spans="1:1" x14ac:dyDescent="0.25">
      <c r="A7198" s="9">
        <v>5767929.1900000004</v>
      </c>
    </row>
    <row r="7199" spans="1:1" x14ac:dyDescent="0.25">
      <c r="A7199">
        <v>0</v>
      </c>
    </row>
    <row r="7200" spans="1:1" x14ac:dyDescent="0.25">
      <c r="A7200" s="9">
        <v>1134893.2</v>
      </c>
    </row>
    <row r="7201" spans="1:1" x14ac:dyDescent="0.25">
      <c r="A7201" s="9">
        <v>33362218.109999999</v>
      </c>
    </row>
    <row r="7202" spans="1:1" x14ac:dyDescent="0.25">
      <c r="A7202" s="9">
        <v>149771.68</v>
      </c>
    </row>
    <row r="7203" spans="1:1" x14ac:dyDescent="0.25">
      <c r="A7203" s="9">
        <v>5113442.46</v>
      </c>
    </row>
    <row r="7204" spans="1:1" x14ac:dyDescent="0.25">
      <c r="A7204" s="9">
        <v>13117431.49</v>
      </c>
    </row>
    <row r="7205" spans="1:1" x14ac:dyDescent="0.25">
      <c r="A7205" s="9">
        <v>11644533.539999999</v>
      </c>
    </row>
    <row r="7206" spans="1:1" x14ac:dyDescent="0.25">
      <c r="A7206" s="9">
        <v>1206711.3600000001</v>
      </c>
    </row>
    <row r="7207" spans="1:1" x14ac:dyDescent="0.25">
      <c r="A7207" s="9">
        <v>577528.13</v>
      </c>
    </row>
    <row r="7208" spans="1:1" x14ac:dyDescent="0.25">
      <c r="A7208">
        <v>0</v>
      </c>
    </row>
    <row r="7209" spans="1:1" x14ac:dyDescent="0.25">
      <c r="A7209" s="9">
        <v>2178350.96</v>
      </c>
    </row>
    <row r="7210" spans="1:1" x14ac:dyDescent="0.25">
      <c r="A7210" s="9">
        <v>3486425.02</v>
      </c>
    </row>
    <row r="7211" spans="1:1" x14ac:dyDescent="0.25">
      <c r="A7211" s="9">
        <v>6691473.5</v>
      </c>
    </row>
    <row r="7212" spans="1:1" x14ac:dyDescent="0.25">
      <c r="A7212">
        <v>0</v>
      </c>
    </row>
    <row r="7213" spans="1:1" x14ac:dyDescent="0.25">
      <c r="A7213" s="9">
        <v>10925010.02</v>
      </c>
    </row>
    <row r="7214" spans="1:1" x14ac:dyDescent="0.25">
      <c r="A7214" s="9">
        <v>8274063.0899999999</v>
      </c>
    </row>
    <row r="7215" spans="1:1" x14ac:dyDescent="0.25">
      <c r="A7215">
        <v>0</v>
      </c>
    </row>
    <row r="7216" spans="1:1" x14ac:dyDescent="0.25">
      <c r="A7216">
        <v>0</v>
      </c>
    </row>
    <row r="7217" spans="1:1" x14ac:dyDescent="0.25">
      <c r="A7217" s="9">
        <v>3263312.98</v>
      </c>
    </row>
    <row r="7218" spans="1:1" x14ac:dyDescent="0.25">
      <c r="A7218">
        <v>0</v>
      </c>
    </row>
    <row r="7219" spans="1:1" x14ac:dyDescent="0.25">
      <c r="A7219" s="9">
        <v>5710091.3300000001</v>
      </c>
    </row>
    <row r="7220" spans="1:1" x14ac:dyDescent="0.25">
      <c r="A7220" s="9">
        <v>14869241.310000001</v>
      </c>
    </row>
    <row r="7221" spans="1:1" x14ac:dyDescent="0.25">
      <c r="A7221" s="9">
        <v>3333310.28</v>
      </c>
    </row>
    <row r="7222" spans="1:1" x14ac:dyDescent="0.25">
      <c r="A7222" s="9">
        <v>2799995.47</v>
      </c>
    </row>
    <row r="7223" spans="1:1" x14ac:dyDescent="0.25">
      <c r="A7223">
        <v>0</v>
      </c>
    </row>
    <row r="7224" spans="1:1" x14ac:dyDescent="0.25">
      <c r="A7224" s="9">
        <v>10146180.34</v>
      </c>
    </row>
    <row r="7225" spans="1:1" x14ac:dyDescent="0.25">
      <c r="A7225">
        <v>0</v>
      </c>
    </row>
    <row r="7226" spans="1:1" x14ac:dyDescent="0.25">
      <c r="A7226" s="9">
        <v>1842773.83</v>
      </c>
    </row>
    <row r="7227" spans="1:1" x14ac:dyDescent="0.25">
      <c r="A7227" s="9">
        <v>458994.9</v>
      </c>
    </row>
    <row r="7228" spans="1:1" x14ac:dyDescent="0.25">
      <c r="A7228" s="9">
        <v>13816633.32</v>
      </c>
    </row>
    <row r="7229" spans="1:1" x14ac:dyDescent="0.25">
      <c r="A7229" s="9">
        <v>13150311.9</v>
      </c>
    </row>
    <row r="7230" spans="1:1" x14ac:dyDescent="0.25">
      <c r="A7230">
        <v>0</v>
      </c>
    </row>
    <row r="7231" spans="1:1" x14ac:dyDescent="0.25">
      <c r="A7231">
        <v>0</v>
      </c>
    </row>
    <row r="7232" spans="1:1" x14ac:dyDescent="0.25">
      <c r="A7232" s="9">
        <v>14574194.699999999</v>
      </c>
    </row>
    <row r="7233" spans="1:1" x14ac:dyDescent="0.25">
      <c r="A7233" s="9">
        <v>3089734.44</v>
      </c>
    </row>
    <row r="7234" spans="1:1" x14ac:dyDescent="0.25">
      <c r="A7234">
        <v>0</v>
      </c>
    </row>
    <row r="7235" spans="1:1" x14ac:dyDescent="0.25">
      <c r="A7235">
        <v>0</v>
      </c>
    </row>
    <row r="7236" spans="1:1" x14ac:dyDescent="0.25">
      <c r="A7236" s="9">
        <v>197756.64</v>
      </c>
    </row>
    <row r="7237" spans="1:1" x14ac:dyDescent="0.25">
      <c r="A7237" s="9">
        <v>11327652.15</v>
      </c>
    </row>
    <row r="7238" spans="1:1" x14ac:dyDescent="0.25">
      <c r="A7238" s="9">
        <v>2371465.2999999998</v>
      </c>
    </row>
    <row r="7239" spans="1:1" x14ac:dyDescent="0.25">
      <c r="A7239">
        <v>0</v>
      </c>
    </row>
    <row r="7240" spans="1:1" x14ac:dyDescent="0.25">
      <c r="A7240" s="9">
        <v>3116003.6</v>
      </c>
    </row>
    <row r="7241" spans="1:1" x14ac:dyDescent="0.25">
      <c r="A7241" s="9">
        <v>688141.08</v>
      </c>
    </row>
    <row r="7242" spans="1:1" x14ac:dyDescent="0.25">
      <c r="A7242">
        <v>0</v>
      </c>
    </row>
    <row r="7243" spans="1:1" x14ac:dyDescent="0.25">
      <c r="A7243" s="9">
        <v>3542622.31</v>
      </c>
    </row>
    <row r="7244" spans="1:1" x14ac:dyDescent="0.25">
      <c r="A7244" s="9">
        <v>9251071.8200000003</v>
      </c>
    </row>
    <row r="7245" spans="1:1" x14ac:dyDescent="0.25">
      <c r="A7245">
        <v>0</v>
      </c>
    </row>
    <row r="7246" spans="1:1" x14ac:dyDescent="0.25">
      <c r="A7246">
        <v>0</v>
      </c>
    </row>
    <row r="7247" spans="1:1" x14ac:dyDescent="0.25">
      <c r="A7247" s="9">
        <v>35714.1</v>
      </c>
    </row>
    <row r="7248" spans="1:1" x14ac:dyDescent="0.25">
      <c r="A7248" s="9">
        <v>5761554.0800000001</v>
      </c>
    </row>
    <row r="7249" spans="1:1" x14ac:dyDescent="0.25">
      <c r="A7249" s="9">
        <v>1967250</v>
      </c>
    </row>
    <row r="7250" spans="1:1" x14ac:dyDescent="0.25">
      <c r="A7250" s="9">
        <v>53095452.579999998</v>
      </c>
    </row>
    <row r="7251" spans="1:1" x14ac:dyDescent="0.25">
      <c r="A7251" s="9">
        <v>1786524.13</v>
      </c>
    </row>
    <row r="7252" spans="1:1" x14ac:dyDescent="0.25">
      <c r="A7252" s="9">
        <v>4319078.04</v>
      </c>
    </row>
    <row r="7253" spans="1:1" x14ac:dyDescent="0.25">
      <c r="A7253">
        <v>0</v>
      </c>
    </row>
    <row r="7254" spans="1:1" x14ac:dyDescent="0.25">
      <c r="A7254" s="9">
        <v>7733098.3200000003</v>
      </c>
    </row>
    <row r="7255" spans="1:1" x14ac:dyDescent="0.25">
      <c r="A7255">
        <v>0</v>
      </c>
    </row>
    <row r="7256" spans="1:1" x14ac:dyDescent="0.25">
      <c r="A7256" s="9">
        <v>7313835.8199999901</v>
      </c>
    </row>
    <row r="7257" spans="1:1" x14ac:dyDescent="0.25">
      <c r="A7257" s="9">
        <v>259798.08</v>
      </c>
    </row>
    <row r="7258" spans="1:1" x14ac:dyDescent="0.25">
      <c r="A7258" s="9">
        <v>367262.16</v>
      </c>
    </row>
    <row r="7259" spans="1:1" x14ac:dyDescent="0.25">
      <c r="A7259" s="9">
        <v>21681351.710000001</v>
      </c>
    </row>
    <row r="7260" spans="1:1" x14ac:dyDescent="0.25">
      <c r="A7260" s="9">
        <v>237404.7</v>
      </c>
    </row>
    <row r="7261" spans="1:1" x14ac:dyDescent="0.25">
      <c r="A7261" s="9">
        <v>2999204.35</v>
      </c>
    </row>
    <row r="7262" spans="1:1" x14ac:dyDescent="0.25">
      <c r="A7262" s="9">
        <v>1486083.33</v>
      </c>
    </row>
    <row r="7263" spans="1:1" x14ac:dyDescent="0.25">
      <c r="A7263">
        <v>0</v>
      </c>
    </row>
    <row r="7264" spans="1:1" x14ac:dyDescent="0.25">
      <c r="A7264">
        <v>0</v>
      </c>
    </row>
    <row r="7265" spans="1:1" x14ac:dyDescent="0.25">
      <c r="A7265" s="9">
        <v>180596.36</v>
      </c>
    </row>
    <row r="7266" spans="1:1" x14ac:dyDescent="0.25">
      <c r="A7266" s="9">
        <v>2963918.3</v>
      </c>
    </row>
    <row r="7267" spans="1:1" x14ac:dyDescent="0.25">
      <c r="A7267" s="9">
        <v>2441747.16</v>
      </c>
    </row>
    <row r="7268" spans="1:1" x14ac:dyDescent="0.25">
      <c r="A7268" s="9">
        <v>15015595.26</v>
      </c>
    </row>
    <row r="7269" spans="1:1" x14ac:dyDescent="0.25">
      <c r="A7269" s="9">
        <v>477938.03</v>
      </c>
    </row>
    <row r="7270" spans="1:1" x14ac:dyDescent="0.25">
      <c r="A7270" s="9">
        <v>10424097.17</v>
      </c>
    </row>
    <row r="7271" spans="1:1" x14ac:dyDescent="0.25">
      <c r="A7271" s="9">
        <v>14821477.33</v>
      </c>
    </row>
    <row r="7272" spans="1:1" x14ac:dyDescent="0.25">
      <c r="A7272">
        <v>0</v>
      </c>
    </row>
    <row r="7273" spans="1:1" x14ac:dyDescent="0.25">
      <c r="A7273" s="9">
        <v>25762877.210000001</v>
      </c>
    </row>
    <row r="7274" spans="1:1" x14ac:dyDescent="0.25">
      <c r="A7274">
        <v>0</v>
      </c>
    </row>
    <row r="7275" spans="1:1" x14ac:dyDescent="0.25">
      <c r="A7275" s="9">
        <v>679682.8</v>
      </c>
    </row>
    <row r="7276" spans="1:1" x14ac:dyDescent="0.25">
      <c r="A7276" s="9">
        <v>129212.64</v>
      </c>
    </row>
    <row r="7277" spans="1:1" x14ac:dyDescent="0.25">
      <c r="A7277" s="9">
        <v>9810318.5299999993</v>
      </c>
    </row>
    <row r="7278" spans="1:1" x14ac:dyDescent="0.25">
      <c r="A7278" s="9">
        <v>13790935.289999999</v>
      </c>
    </row>
    <row r="7279" spans="1:1" x14ac:dyDescent="0.25">
      <c r="A7279">
        <v>0</v>
      </c>
    </row>
    <row r="7280" spans="1:1" x14ac:dyDescent="0.25">
      <c r="A7280">
        <v>0</v>
      </c>
    </row>
    <row r="7281" spans="1:1" x14ac:dyDescent="0.25">
      <c r="A7281" s="9">
        <v>3245579.33</v>
      </c>
    </row>
    <row r="7282" spans="1:1" x14ac:dyDescent="0.25">
      <c r="A7282">
        <v>0</v>
      </c>
    </row>
    <row r="7283" spans="1:1" x14ac:dyDescent="0.25">
      <c r="A7283">
        <v>0</v>
      </c>
    </row>
    <row r="7284" spans="1:1" x14ac:dyDescent="0.25">
      <c r="A7284" s="9">
        <v>4071674.69</v>
      </c>
    </row>
    <row r="7285" spans="1:1" x14ac:dyDescent="0.25">
      <c r="A7285" s="9">
        <v>1848898.84</v>
      </c>
    </row>
    <row r="7286" spans="1:1" x14ac:dyDescent="0.25">
      <c r="A7286" s="9">
        <v>2536650.16</v>
      </c>
    </row>
    <row r="7287" spans="1:1" x14ac:dyDescent="0.25">
      <c r="A7287" s="9">
        <v>8168446.2300000004</v>
      </c>
    </row>
    <row r="7288" spans="1:1" x14ac:dyDescent="0.25">
      <c r="A7288" s="9">
        <v>1336629.8400000001</v>
      </c>
    </row>
    <row r="7289" spans="1:1" x14ac:dyDescent="0.25">
      <c r="A7289" s="9">
        <v>3641160.77</v>
      </c>
    </row>
    <row r="7290" spans="1:1" x14ac:dyDescent="0.25">
      <c r="A7290" s="9">
        <v>7478715.9699999997</v>
      </c>
    </row>
    <row r="7291" spans="1:1" x14ac:dyDescent="0.25">
      <c r="A7291" s="9">
        <v>3957838</v>
      </c>
    </row>
    <row r="7292" spans="1:1" x14ac:dyDescent="0.25">
      <c r="A7292" s="9">
        <v>26025205.030000001</v>
      </c>
    </row>
    <row r="7293" spans="1:1" x14ac:dyDescent="0.25">
      <c r="A7293" s="9">
        <v>1893639.66</v>
      </c>
    </row>
    <row r="7294" spans="1:1" x14ac:dyDescent="0.25">
      <c r="A7294" s="9">
        <v>206812.18</v>
      </c>
    </row>
    <row r="7295" spans="1:1" x14ac:dyDescent="0.25">
      <c r="A7295" s="9">
        <v>3674532.44</v>
      </c>
    </row>
    <row r="7296" spans="1:1" x14ac:dyDescent="0.25">
      <c r="A7296" s="9">
        <v>190714.5</v>
      </c>
    </row>
    <row r="7297" spans="1:1" x14ac:dyDescent="0.25">
      <c r="A7297" s="9">
        <v>470291.34</v>
      </c>
    </row>
    <row r="7298" spans="1:1" x14ac:dyDescent="0.25">
      <c r="A7298" s="9">
        <v>118937.28</v>
      </c>
    </row>
    <row r="7299" spans="1:1" x14ac:dyDescent="0.25">
      <c r="A7299" s="9">
        <v>2182094.2799999998</v>
      </c>
    </row>
    <row r="7300" spans="1:1" x14ac:dyDescent="0.25">
      <c r="A7300" s="9">
        <v>410803.29</v>
      </c>
    </row>
    <row r="7301" spans="1:1" x14ac:dyDescent="0.25">
      <c r="A7301" s="9">
        <v>3499772.66</v>
      </c>
    </row>
    <row r="7302" spans="1:1" x14ac:dyDescent="0.25">
      <c r="A7302" s="9">
        <v>12064419.65</v>
      </c>
    </row>
    <row r="7303" spans="1:1" x14ac:dyDescent="0.25">
      <c r="A7303">
        <v>0</v>
      </c>
    </row>
    <row r="7304" spans="1:1" x14ac:dyDescent="0.25">
      <c r="A7304">
        <v>0</v>
      </c>
    </row>
    <row r="7305" spans="1:1" x14ac:dyDescent="0.25">
      <c r="A7305" s="9">
        <v>110670.62</v>
      </c>
    </row>
    <row r="7306" spans="1:1" x14ac:dyDescent="0.25">
      <c r="A7306">
        <v>0</v>
      </c>
    </row>
    <row r="7307" spans="1:1" x14ac:dyDescent="0.25">
      <c r="A7307" s="9">
        <v>3898844.05</v>
      </c>
    </row>
    <row r="7308" spans="1:1" x14ac:dyDescent="0.25">
      <c r="A7308" s="9">
        <v>2514537.2999999998</v>
      </c>
    </row>
    <row r="7309" spans="1:1" x14ac:dyDescent="0.25">
      <c r="A7309" s="9">
        <v>6399206.29</v>
      </c>
    </row>
    <row r="7310" spans="1:1" x14ac:dyDescent="0.25">
      <c r="A7310">
        <v>0</v>
      </c>
    </row>
    <row r="7311" spans="1:1" x14ac:dyDescent="0.25">
      <c r="A7311" s="9">
        <v>397443.15</v>
      </c>
    </row>
    <row r="7312" spans="1:1" x14ac:dyDescent="0.25">
      <c r="A7312" s="9">
        <v>15476746.99</v>
      </c>
    </row>
    <row r="7313" spans="1:1" x14ac:dyDescent="0.25">
      <c r="A7313" s="9">
        <v>373474.7</v>
      </c>
    </row>
    <row r="7314" spans="1:1" x14ac:dyDescent="0.25">
      <c r="A7314" s="9">
        <v>24013791.59</v>
      </c>
    </row>
    <row r="7315" spans="1:1" x14ac:dyDescent="0.25">
      <c r="A7315" s="9">
        <v>16711947.050000001</v>
      </c>
    </row>
    <row r="7316" spans="1:1" x14ac:dyDescent="0.25">
      <c r="A7316" s="9">
        <v>205054.8</v>
      </c>
    </row>
    <row r="7317" spans="1:1" x14ac:dyDescent="0.25">
      <c r="A7317" s="9">
        <v>229216.23</v>
      </c>
    </row>
    <row r="7318" spans="1:1" x14ac:dyDescent="0.25">
      <c r="A7318" s="9">
        <v>6408271.9500000002</v>
      </c>
    </row>
    <row r="7319" spans="1:1" x14ac:dyDescent="0.25">
      <c r="A7319" s="9">
        <v>106620.16</v>
      </c>
    </row>
    <row r="7320" spans="1:1" x14ac:dyDescent="0.25">
      <c r="A7320">
        <v>0</v>
      </c>
    </row>
    <row r="7321" spans="1:1" x14ac:dyDescent="0.25">
      <c r="A7321" s="9">
        <v>35714.1</v>
      </c>
    </row>
    <row r="7322" spans="1:1" x14ac:dyDescent="0.25">
      <c r="A7322">
        <v>0</v>
      </c>
    </row>
    <row r="7323" spans="1:1" x14ac:dyDescent="0.25">
      <c r="A7323" s="9">
        <v>925022.27</v>
      </c>
    </row>
    <row r="7324" spans="1:1" x14ac:dyDescent="0.25">
      <c r="A7324" s="9">
        <v>412555.75</v>
      </c>
    </row>
    <row r="7325" spans="1:1" x14ac:dyDescent="0.25">
      <c r="A7325">
        <v>0</v>
      </c>
    </row>
    <row r="7326" spans="1:1" x14ac:dyDescent="0.25">
      <c r="A7326" s="9">
        <v>702161.56</v>
      </c>
    </row>
    <row r="7327" spans="1:1" x14ac:dyDescent="0.25">
      <c r="A7327" s="9">
        <v>94400.639999999999</v>
      </c>
    </row>
    <row r="7328" spans="1:1" x14ac:dyDescent="0.25">
      <c r="A7328" s="9">
        <v>583267.07999999996</v>
      </c>
    </row>
    <row r="7329" spans="1:1" x14ac:dyDescent="0.25">
      <c r="A7329" s="9">
        <v>16442132.67</v>
      </c>
    </row>
    <row r="7330" spans="1:1" x14ac:dyDescent="0.25">
      <c r="A7330" s="9">
        <v>839427.45</v>
      </c>
    </row>
    <row r="7331" spans="1:1" x14ac:dyDescent="0.25">
      <c r="A7331" s="9">
        <v>21699209.140000001</v>
      </c>
    </row>
    <row r="7332" spans="1:1" x14ac:dyDescent="0.25">
      <c r="A7332" s="9">
        <v>519677.63</v>
      </c>
    </row>
    <row r="7333" spans="1:1" x14ac:dyDescent="0.25">
      <c r="A7333" s="9">
        <v>572453.92000000004</v>
      </c>
    </row>
    <row r="7334" spans="1:1" x14ac:dyDescent="0.25">
      <c r="A7334" s="9">
        <v>2022061.57</v>
      </c>
    </row>
    <row r="7335" spans="1:1" x14ac:dyDescent="0.25">
      <c r="A7335" s="9">
        <v>217665.61</v>
      </c>
    </row>
    <row r="7336" spans="1:1" x14ac:dyDescent="0.25">
      <c r="A7336" s="9">
        <v>12435819.050000001</v>
      </c>
    </row>
    <row r="7337" spans="1:1" x14ac:dyDescent="0.25">
      <c r="A7337" s="9">
        <v>2369349.0499999998</v>
      </c>
    </row>
    <row r="7338" spans="1:1" x14ac:dyDescent="0.25">
      <c r="A7338" s="9">
        <v>36053.82</v>
      </c>
    </row>
    <row r="7339" spans="1:1" x14ac:dyDescent="0.25">
      <c r="A7339" s="9">
        <v>2191635.54</v>
      </c>
    </row>
    <row r="7340" spans="1:1" x14ac:dyDescent="0.25">
      <c r="A7340">
        <v>0</v>
      </c>
    </row>
    <row r="7341" spans="1:1" x14ac:dyDescent="0.25">
      <c r="A7341" s="9">
        <v>5966736.3300000001</v>
      </c>
    </row>
    <row r="7342" spans="1:1" x14ac:dyDescent="0.25">
      <c r="A7342" s="9">
        <v>10553897.75</v>
      </c>
    </row>
    <row r="7343" spans="1:1" x14ac:dyDescent="0.25">
      <c r="A7343">
        <v>0</v>
      </c>
    </row>
    <row r="7344" spans="1:1" x14ac:dyDescent="0.25">
      <c r="A7344" s="9">
        <v>68263.360000000001</v>
      </c>
    </row>
    <row r="7345" spans="1:1" x14ac:dyDescent="0.25">
      <c r="A7345" s="9">
        <v>562235.48</v>
      </c>
    </row>
    <row r="7346" spans="1:1" x14ac:dyDescent="0.25">
      <c r="A7346" s="9">
        <v>2139182.0800000001</v>
      </c>
    </row>
    <row r="7347" spans="1:1" x14ac:dyDescent="0.25">
      <c r="A7347" s="9">
        <v>16412394.689999999</v>
      </c>
    </row>
    <row r="7348" spans="1:1" x14ac:dyDescent="0.25">
      <c r="A7348" s="9">
        <v>2828294.97</v>
      </c>
    </row>
    <row r="7349" spans="1:1" x14ac:dyDescent="0.25">
      <c r="A7349">
        <v>0</v>
      </c>
    </row>
    <row r="7350" spans="1:1" x14ac:dyDescent="0.25">
      <c r="A7350" s="9">
        <v>1185785.76</v>
      </c>
    </row>
    <row r="7351" spans="1:1" x14ac:dyDescent="0.25">
      <c r="A7351" s="9">
        <v>4363426.3099999996</v>
      </c>
    </row>
    <row r="7352" spans="1:1" x14ac:dyDescent="0.25">
      <c r="A7352" s="9">
        <v>443964.37</v>
      </c>
    </row>
    <row r="7353" spans="1:1" x14ac:dyDescent="0.25">
      <c r="A7353" s="9">
        <v>2007048.78</v>
      </c>
    </row>
    <row r="7354" spans="1:1" x14ac:dyDescent="0.25">
      <c r="A7354" s="9">
        <v>5515830.6099999901</v>
      </c>
    </row>
    <row r="7355" spans="1:1" x14ac:dyDescent="0.25">
      <c r="A7355" s="9">
        <v>380660.36</v>
      </c>
    </row>
    <row r="7356" spans="1:1" x14ac:dyDescent="0.25">
      <c r="A7356" s="9">
        <v>2678604.2400000002</v>
      </c>
    </row>
    <row r="7357" spans="1:1" x14ac:dyDescent="0.25">
      <c r="A7357" s="9">
        <v>8205428.8899999997</v>
      </c>
    </row>
    <row r="7358" spans="1:1" x14ac:dyDescent="0.25">
      <c r="A7358" s="9">
        <v>20469359.09</v>
      </c>
    </row>
    <row r="7359" spans="1:1" x14ac:dyDescent="0.25">
      <c r="A7359" s="9">
        <v>250351.62</v>
      </c>
    </row>
    <row r="7360" spans="1:1" x14ac:dyDescent="0.25">
      <c r="A7360">
        <v>0</v>
      </c>
    </row>
    <row r="7361" spans="1:1" x14ac:dyDescent="0.25">
      <c r="A7361" s="9">
        <v>9001361.3499999996</v>
      </c>
    </row>
    <row r="7362" spans="1:1" x14ac:dyDescent="0.25">
      <c r="A7362" s="9">
        <v>296635.46999999997</v>
      </c>
    </row>
    <row r="7363" spans="1:1" x14ac:dyDescent="0.25">
      <c r="A7363" s="9">
        <v>12669939.699999999</v>
      </c>
    </row>
    <row r="7364" spans="1:1" x14ac:dyDescent="0.25">
      <c r="A7364" s="9">
        <v>682724.34</v>
      </c>
    </row>
    <row r="7365" spans="1:1" x14ac:dyDescent="0.25">
      <c r="A7365" s="9">
        <v>2801123.51</v>
      </c>
    </row>
    <row r="7366" spans="1:1" x14ac:dyDescent="0.25">
      <c r="A7366" s="9">
        <v>797224.89</v>
      </c>
    </row>
    <row r="7367" spans="1:1" x14ac:dyDescent="0.25">
      <c r="A7367" s="9">
        <v>360957.18</v>
      </c>
    </row>
    <row r="7368" spans="1:1" x14ac:dyDescent="0.25">
      <c r="A7368" s="9">
        <v>12616724.189999999</v>
      </c>
    </row>
    <row r="7369" spans="1:1" x14ac:dyDescent="0.25">
      <c r="A7369" s="9">
        <v>593574.77</v>
      </c>
    </row>
    <row r="7370" spans="1:1" x14ac:dyDescent="0.25">
      <c r="A7370" s="9">
        <v>11725346.300000001</v>
      </c>
    </row>
    <row r="7371" spans="1:1" x14ac:dyDescent="0.25">
      <c r="A7371" s="9">
        <v>63794.92</v>
      </c>
    </row>
    <row r="7372" spans="1:1" x14ac:dyDescent="0.25">
      <c r="A7372">
        <v>0</v>
      </c>
    </row>
    <row r="7373" spans="1:1" x14ac:dyDescent="0.25">
      <c r="A7373" s="9">
        <v>259798.08</v>
      </c>
    </row>
    <row r="7374" spans="1:1" x14ac:dyDescent="0.25">
      <c r="A7374">
        <v>0</v>
      </c>
    </row>
    <row r="7375" spans="1:1" x14ac:dyDescent="0.25">
      <c r="A7375" s="9">
        <v>63852.12</v>
      </c>
    </row>
    <row r="7376" spans="1:1" x14ac:dyDescent="0.25">
      <c r="A7376" s="9">
        <v>36777841.189999998</v>
      </c>
    </row>
    <row r="7377" spans="1:1" x14ac:dyDescent="0.25">
      <c r="A7377" s="9">
        <v>2972831.52</v>
      </c>
    </row>
    <row r="7378" spans="1:1" x14ac:dyDescent="0.25">
      <c r="A7378" s="9">
        <v>25923490.489999998</v>
      </c>
    </row>
    <row r="7379" spans="1:1" x14ac:dyDescent="0.25">
      <c r="A7379">
        <v>0</v>
      </c>
    </row>
    <row r="7380" spans="1:1" x14ac:dyDescent="0.25">
      <c r="A7380" s="9">
        <v>6380293.1299999999</v>
      </c>
    </row>
    <row r="7381" spans="1:1" x14ac:dyDescent="0.25">
      <c r="A7381" s="9">
        <v>124401.86</v>
      </c>
    </row>
    <row r="7382" spans="1:1" x14ac:dyDescent="0.25">
      <c r="A7382" s="9">
        <v>399608.16</v>
      </c>
    </row>
    <row r="7383" spans="1:1" x14ac:dyDescent="0.25">
      <c r="A7383" s="9">
        <v>1848370.04</v>
      </c>
    </row>
    <row r="7384" spans="1:1" x14ac:dyDescent="0.25">
      <c r="A7384" s="9">
        <v>345996.33</v>
      </c>
    </row>
    <row r="7385" spans="1:1" x14ac:dyDescent="0.25">
      <c r="A7385" s="9">
        <v>2205156.75</v>
      </c>
    </row>
    <row r="7386" spans="1:1" x14ac:dyDescent="0.25">
      <c r="A7386" s="9">
        <v>7361158.3399999999</v>
      </c>
    </row>
    <row r="7387" spans="1:1" x14ac:dyDescent="0.25">
      <c r="A7387" s="9">
        <v>9479304.0600000005</v>
      </c>
    </row>
    <row r="7388" spans="1:1" x14ac:dyDescent="0.25">
      <c r="A7388" s="9">
        <v>3452253.48</v>
      </c>
    </row>
    <row r="7389" spans="1:1" x14ac:dyDescent="0.25">
      <c r="A7389">
        <v>0</v>
      </c>
    </row>
    <row r="7390" spans="1:1" x14ac:dyDescent="0.25">
      <c r="A7390">
        <v>0</v>
      </c>
    </row>
    <row r="7391" spans="1:1" x14ac:dyDescent="0.25">
      <c r="A7391" s="9">
        <v>427699.16</v>
      </c>
    </row>
    <row r="7392" spans="1:1" x14ac:dyDescent="0.25">
      <c r="A7392" s="9">
        <v>13571140.84</v>
      </c>
    </row>
    <row r="7393" spans="1:1" x14ac:dyDescent="0.25">
      <c r="A7393" s="9">
        <v>880112.85</v>
      </c>
    </row>
    <row r="7394" spans="1:1" x14ac:dyDescent="0.25">
      <c r="A7394" s="9">
        <v>3139484.86</v>
      </c>
    </row>
    <row r="7395" spans="1:1" x14ac:dyDescent="0.25">
      <c r="A7395" s="9">
        <v>95860.429999999906</v>
      </c>
    </row>
    <row r="7396" spans="1:1" x14ac:dyDescent="0.25">
      <c r="A7396" s="9">
        <v>20495486.57</v>
      </c>
    </row>
    <row r="7397" spans="1:1" x14ac:dyDescent="0.25">
      <c r="A7397" s="9">
        <v>78240275.329999998</v>
      </c>
    </row>
    <row r="7398" spans="1:1" x14ac:dyDescent="0.25">
      <c r="A7398" s="9">
        <v>4902189.71</v>
      </c>
    </row>
    <row r="7399" spans="1:1" x14ac:dyDescent="0.25">
      <c r="A7399">
        <v>0</v>
      </c>
    </row>
    <row r="7400" spans="1:1" x14ac:dyDescent="0.25">
      <c r="A7400">
        <v>0</v>
      </c>
    </row>
    <row r="7401" spans="1:1" x14ac:dyDescent="0.25">
      <c r="A7401">
        <v>0</v>
      </c>
    </row>
    <row r="7402" spans="1:1" x14ac:dyDescent="0.25">
      <c r="A7402">
        <v>0</v>
      </c>
    </row>
    <row r="7403" spans="1:1" x14ac:dyDescent="0.25">
      <c r="A7403" s="9">
        <v>10620161.1</v>
      </c>
    </row>
    <row r="7404" spans="1:1" x14ac:dyDescent="0.25">
      <c r="A7404">
        <v>0</v>
      </c>
    </row>
    <row r="7405" spans="1:1" x14ac:dyDescent="0.25">
      <c r="A7405">
        <v>0</v>
      </c>
    </row>
    <row r="7406" spans="1:1" x14ac:dyDescent="0.25">
      <c r="A7406">
        <v>0</v>
      </c>
    </row>
    <row r="7407" spans="1:1" x14ac:dyDescent="0.25">
      <c r="A7407" s="9">
        <v>3089734.44</v>
      </c>
    </row>
    <row r="7408" spans="1:1" x14ac:dyDescent="0.25">
      <c r="A7408">
        <v>0</v>
      </c>
    </row>
    <row r="7409" spans="1:1" x14ac:dyDescent="0.25">
      <c r="A7409" s="9">
        <v>2392025.87</v>
      </c>
    </row>
    <row r="7410" spans="1:1" x14ac:dyDescent="0.25">
      <c r="A7410" s="9">
        <v>7252050.71</v>
      </c>
    </row>
    <row r="7411" spans="1:1" x14ac:dyDescent="0.25">
      <c r="A7411" s="9">
        <v>832305.49</v>
      </c>
    </row>
    <row r="7412" spans="1:1" x14ac:dyDescent="0.25">
      <c r="A7412" s="9">
        <v>2454098.67</v>
      </c>
    </row>
    <row r="7413" spans="1:1" x14ac:dyDescent="0.25">
      <c r="A7413">
        <v>0</v>
      </c>
    </row>
    <row r="7414" spans="1:1" x14ac:dyDescent="0.25">
      <c r="A7414" s="9">
        <v>19354096.850000001</v>
      </c>
    </row>
    <row r="7415" spans="1:1" x14ac:dyDescent="0.25">
      <c r="A7415" s="9">
        <v>184735.48</v>
      </c>
    </row>
    <row r="7416" spans="1:1" x14ac:dyDescent="0.25">
      <c r="A7416">
        <v>0</v>
      </c>
    </row>
    <row r="7417" spans="1:1" x14ac:dyDescent="0.25">
      <c r="A7417" s="9">
        <v>424210.86</v>
      </c>
    </row>
    <row r="7418" spans="1:1" x14ac:dyDescent="0.25">
      <c r="A7418" s="9">
        <v>11554504.890000001</v>
      </c>
    </row>
    <row r="7419" spans="1:1" x14ac:dyDescent="0.25">
      <c r="A7419" s="9">
        <v>3121087.68</v>
      </c>
    </row>
    <row r="7420" spans="1:1" x14ac:dyDescent="0.25">
      <c r="A7420" s="9">
        <v>16618071.18</v>
      </c>
    </row>
    <row r="7421" spans="1:1" x14ac:dyDescent="0.25">
      <c r="A7421" s="9">
        <v>2032496.11</v>
      </c>
    </row>
    <row r="7422" spans="1:1" x14ac:dyDescent="0.25">
      <c r="A7422" s="9">
        <v>31168180.890000001</v>
      </c>
    </row>
    <row r="7423" spans="1:1" x14ac:dyDescent="0.25">
      <c r="A7423" s="9">
        <v>317549.26</v>
      </c>
    </row>
    <row r="7424" spans="1:1" x14ac:dyDescent="0.25">
      <c r="A7424" s="9">
        <v>27770777.260000002</v>
      </c>
    </row>
    <row r="7425" spans="1:1" x14ac:dyDescent="0.25">
      <c r="A7425" s="9">
        <v>578385.32999999996</v>
      </c>
    </row>
    <row r="7426" spans="1:1" x14ac:dyDescent="0.25">
      <c r="A7426" s="9">
        <v>27692773.460000001</v>
      </c>
    </row>
    <row r="7427" spans="1:1" x14ac:dyDescent="0.25">
      <c r="A7427" s="9">
        <v>670291.35</v>
      </c>
    </row>
    <row r="7428" spans="1:1" x14ac:dyDescent="0.25">
      <c r="A7428" s="9">
        <v>21487956.59</v>
      </c>
    </row>
    <row r="7429" spans="1:1" x14ac:dyDescent="0.25">
      <c r="A7429" s="9">
        <v>5234139.9800000004</v>
      </c>
    </row>
    <row r="7430" spans="1:1" x14ac:dyDescent="0.25">
      <c r="A7430">
        <v>0</v>
      </c>
    </row>
    <row r="7431" spans="1:1" x14ac:dyDescent="0.25">
      <c r="A7431" s="9">
        <v>2409985.2400000002</v>
      </c>
    </row>
    <row r="7432" spans="1:1" x14ac:dyDescent="0.25">
      <c r="A7432" s="9">
        <v>21804951.23</v>
      </c>
    </row>
    <row r="7433" spans="1:1" x14ac:dyDescent="0.25">
      <c r="A7433" s="9">
        <v>43713.93</v>
      </c>
    </row>
    <row r="7434" spans="1:1" x14ac:dyDescent="0.25">
      <c r="A7434" s="9">
        <v>17441393.23</v>
      </c>
    </row>
    <row r="7435" spans="1:1" x14ac:dyDescent="0.25">
      <c r="A7435">
        <v>0</v>
      </c>
    </row>
    <row r="7436" spans="1:1" x14ac:dyDescent="0.25">
      <c r="A7436" s="9">
        <v>3326727.31</v>
      </c>
    </row>
    <row r="7437" spans="1:1" x14ac:dyDescent="0.25">
      <c r="A7437" s="9">
        <v>2460756.8799999901</v>
      </c>
    </row>
    <row r="7438" spans="1:1" x14ac:dyDescent="0.25">
      <c r="A7438" s="9">
        <v>412553.52</v>
      </c>
    </row>
    <row r="7439" spans="1:1" x14ac:dyDescent="0.25">
      <c r="A7439" s="9">
        <v>314832.24</v>
      </c>
    </row>
    <row r="7440" spans="1:1" x14ac:dyDescent="0.25">
      <c r="A7440" s="9">
        <v>5511411.5899999999</v>
      </c>
    </row>
    <row r="7441" spans="1:1" x14ac:dyDescent="0.25">
      <c r="A7441" s="9">
        <v>9476976.2300000004</v>
      </c>
    </row>
    <row r="7442" spans="1:1" x14ac:dyDescent="0.25">
      <c r="A7442" s="9">
        <v>7785075.21</v>
      </c>
    </row>
    <row r="7443" spans="1:1" x14ac:dyDescent="0.25">
      <c r="A7443" s="9">
        <v>1566321.01</v>
      </c>
    </row>
    <row r="7444" spans="1:1" x14ac:dyDescent="0.25">
      <c r="A7444" s="9">
        <v>9507991.2100000009</v>
      </c>
    </row>
    <row r="7445" spans="1:1" x14ac:dyDescent="0.25">
      <c r="A7445">
        <v>0</v>
      </c>
    </row>
    <row r="7446" spans="1:1" x14ac:dyDescent="0.25">
      <c r="A7446" s="9">
        <v>47170777.590000004</v>
      </c>
    </row>
    <row r="7447" spans="1:1" x14ac:dyDescent="0.25">
      <c r="A7447" s="9">
        <v>2864979.02</v>
      </c>
    </row>
    <row r="7448" spans="1:1" x14ac:dyDescent="0.25">
      <c r="A7448" s="9">
        <v>4335491.12</v>
      </c>
    </row>
    <row r="7449" spans="1:1" x14ac:dyDescent="0.25">
      <c r="A7449" s="9">
        <v>5030462.7300000004</v>
      </c>
    </row>
    <row r="7450" spans="1:1" x14ac:dyDescent="0.25">
      <c r="A7450" s="9">
        <v>2776712.37</v>
      </c>
    </row>
    <row r="7451" spans="1:1" x14ac:dyDescent="0.25">
      <c r="A7451" s="9">
        <v>36333072.280000001</v>
      </c>
    </row>
    <row r="7452" spans="1:1" x14ac:dyDescent="0.25">
      <c r="A7452">
        <v>0</v>
      </c>
    </row>
    <row r="7453" spans="1:1" x14ac:dyDescent="0.25">
      <c r="A7453">
        <v>0</v>
      </c>
    </row>
    <row r="7454" spans="1:1" x14ac:dyDescent="0.25">
      <c r="A7454" s="9">
        <v>11136763.43</v>
      </c>
    </row>
    <row r="7455" spans="1:1" x14ac:dyDescent="0.25">
      <c r="A7455" s="9">
        <v>26904391.719999999</v>
      </c>
    </row>
    <row r="7456" spans="1:1" x14ac:dyDescent="0.25">
      <c r="A7456">
        <v>0</v>
      </c>
    </row>
    <row r="7457" spans="1:1" x14ac:dyDescent="0.25">
      <c r="A7457" s="9">
        <v>6002713.0700000003</v>
      </c>
    </row>
    <row r="7458" spans="1:1" x14ac:dyDescent="0.25">
      <c r="A7458" s="9">
        <v>40247834.590000004</v>
      </c>
    </row>
    <row r="7459" spans="1:1" x14ac:dyDescent="0.25">
      <c r="A7459" s="9">
        <v>6709353.5999999996</v>
      </c>
    </row>
    <row r="7460" spans="1:1" x14ac:dyDescent="0.25">
      <c r="A7460" s="9">
        <v>3208817.78</v>
      </c>
    </row>
    <row r="7461" spans="1:1" x14ac:dyDescent="0.25">
      <c r="A7461" s="9">
        <v>3428436.6</v>
      </c>
    </row>
    <row r="7462" spans="1:1" x14ac:dyDescent="0.25">
      <c r="A7462" s="9">
        <v>4047405.43</v>
      </c>
    </row>
    <row r="7463" spans="1:1" x14ac:dyDescent="0.25">
      <c r="A7463" s="9">
        <v>149771.68</v>
      </c>
    </row>
    <row r="7464" spans="1:1" x14ac:dyDescent="0.25">
      <c r="A7464" s="9">
        <v>39691975.140000001</v>
      </c>
    </row>
    <row r="7465" spans="1:1" x14ac:dyDescent="0.25">
      <c r="A7465">
        <v>0</v>
      </c>
    </row>
    <row r="7466" spans="1:1" x14ac:dyDescent="0.25">
      <c r="A7466" s="9">
        <v>2233536.64</v>
      </c>
    </row>
    <row r="7467" spans="1:1" x14ac:dyDescent="0.25">
      <c r="A7467">
        <v>0</v>
      </c>
    </row>
    <row r="7468" spans="1:1" x14ac:dyDescent="0.25">
      <c r="A7468" s="9">
        <v>4800553.9399999902</v>
      </c>
    </row>
    <row r="7469" spans="1:1" x14ac:dyDescent="0.25">
      <c r="A7469" s="9">
        <v>2861269.73</v>
      </c>
    </row>
    <row r="7470" spans="1:1" x14ac:dyDescent="0.25">
      <c r="A7470" s="9">
        <v>63852.12</v>
      </c>
    </row>
    <row r="7471" spans="1:1" x14ac:dyDescent="0.25">
      <c r="A7471" s="9">
        <v>203820.96</v>
      </c>
    </row>
    <row r="7472" spans="1:1" x14ac:dyDescent="0.25">
      <c r="A7472" s="9">
        <v>1349530.65</v>
      </c>
    </row>
    <row r="7473" spans="1:1" x14ac:dyDescent="0.25">
      <c r="A7473" s="9">
        <v>20407440.920000002</v>
      </c>
    </row>
    <row r="7474" spans="1:1" x14ac:dyDescent="0.25">
      <c r="A7474" s="9">
        <v>555570.62</v>
      </c>
    </row>
    <row r="7475" spans="1:1" x14ac:dyDescent="0.25">
      <c r="A7475" s="9">
        <v>2041866.84</v>
      </c>
    </row>
    <row r="7476" spans="1:1" x14ac:dyDescent="0.25">
      <c r="A7476" s="9">
        <v>15179069.35</v>
      </c>
    </row>
    <row r="7477" spans="1:1" x14ac:dyDescent="0.25">
      <c r="A7477" s="9">
        <v>2191436.1</v>
      </c>
    </row>
    <row r="7478" spans="1:1" x14ac:dyDescent="0.25">
      <c r="A7478" s="9">
        <v>159861.75</v>
      </c>
    </row>
    <row r="7479" spans="1:1" x14ac:dyDescent="0.25">
      <c r="A7479" s="9">
        <v>3103809.68</v>
      </c>
    </row>
    <row r="7480" spans="1:1" x14ac:dyDescent="0.25">
      <c r="A7480" s="9">
        <v>7422385.6900000004</v>
      </c>
    </row>
    <row r="7481" spans="1:1" x14ac:dyDescent="0.25">
      <c r="A7481">
        <v>0</v>
      </c>
    </row>
    <row r="7482" spans="1:1" x14ac:dyDescent="0.25">
      <c r="A7482" s="9">
        <v>5111324.01</v>
      </c>
    </row>
    <row r="7483" spans="1:1" x14ac:dyDescent="0.25">
      <c r="A7483">
        <v>0</v>
      </c>
    </row>
    <row r="7484" spans="1:1" x14ac:dyDescent="0.25">
      <c r="A7484" s="9">
        <v>3469293.81</v>
      </c>
    </row>
    <row r="7485" spans="1:1" x14ac:dyDescent="0.25">
      <c r="A7485">
        <v>0</v>
      </c>
    </row>
    <row r="7486" spans="1:1" x14ac:dyDescent="0.25">
      <c r="A7486" s="9">
        <v>1529172.72</v>
      </c>
    </row>
    <row r="7487" spans="1:1" x14ac:dyDescent="0.25">
      <c r="A7487" s="9">
        <v>7669465.2099999897</v>
      </c>
    </row>
    <row r="7488" spans="1:1" x14ac:dyDescent="0.25">
      <c r="A7488" s="9">
        <v>640040.74</v>
      </c>
    </row>
    <row r="7489" spans="1:1" x14ac:dyDescent="0.25">
      <c r="A7489" s="9">
        <v>280163.73</v>
      </c>
    </row>
    <row r="7490" spans="1:1" x14ac:dyDescent="0.25">
      <c r="A7490" s="9">
        <v>13519114.460000001</v>
      </c>
    </row>
    <row r="7491" spans="1:1" x14ac:dyDescent="0.25">
      <c r="A7491">
        <v>0</v>
      </c>
    </row>
    <row r="7492" spans="1:1" x14ac:dyDescent="0.25">
      <c r="A7492" s="9">
        <v>3334386.55</v>
      </c>
    </row>
    <row r="7493" spans="1:1" x14ac:dyDescent="0.25">
      <c r="A7493" s="9">
        <v>551916.68000000005</v>
      </c>
    </row>
    <row r="7494" spans="1:1" x14ac:dyDescent="0.25">
      <c r="A7494" s="9">
        <v>105702.6</v>
      </c>
    </row>
    <row r="7495" spans="1:1" x14ac:dyDescent="0.25">
      <c r="A7495">
        <v>0</v>
      </c>
    </row>
    <row r="7496" spans="1:1" x14ac:dyDescent="0.25">
      <c r="A7496">
        <v>0</v>
      </c>
    </row>
    <row r="7497" spans="1:1" x14ac:dyDescent="0.25">
      <c r="A7497" s="9">
        <v>35714.1</v>
      </c>
    </row>
    <row r="7498" spans="1:1" x14ac:dyDescent="0.25">
      <c r="A7498" s="9">
        <v>6001466.0899999999</v>
      </c>
    </row>
    <row r="7499" spans="1:1" x14ac:dyDescent="0.25">
      <c r="A7499" s="9">
        <v>14681534.720000001</v>
      </c>
    </row>
    <row r="7500" spans="1:1" x14ac:dyDescent="0.25">
      <c r="A7500" s="9">
        <v>17383916.469999999</v>
      </c>
    </row>
    <row r="7501" spans="1:1" x14ac:dyDescent="0.25">
      <c r="A7501" s="9">
        <v>2617995.4500000002</v>
      </c>
    </row>
    <row r="7502" spans="1:1" x14ac:dyDescent="0.25">
      <c r="A7502">
        <v>0</v>
      </c>
    </row>
    <row r="7503" spans="1:1" x14ac:dyDescent="0.25">
      <c r="A7503" s="9">
        <v>4112786.3</v>
      </c>
    </row>
    <row r="7504" spans="1:1" x14ac:dyDescent="0.25">
      <c r="A7504" s="9">
        <v>180596.36</v>
      </c>
    </row>
    <row r="7505" spans="1:1" x14ac:dyDescent="0.25">
      <c r="A7505" s="9">
        <v>97820.91</v>
      </c>
    </row>
    <row r="7506" spans="1:1" x14ac:dyDescent="0.25">
      <c r="A7506" s="9">
        <v>261354.96</v>
      </c>
    </row>
    <row r="7507" spans="1:1" x14ac:dyDescent="0.25">
      <c r="A7507" s="9">
        <v>261354.96</v>
      </c>
    </row>
    <row r="7508" spans="1:1" x14ac:dyDescent="0.25">
      <c r="A7508" s="9">
        <v>2480847.6</v>
      </c>
    </row>
    <row r="7509" spans="1:1" x14ac:dyDescent="0.25">
      <c r="A7509" s="9">
        <v>94400.639999999999</v>
      </c>
    </row>
    <row r="7510" spans="1:1" x14ac:dyDescent="0.25">
      <c r="A7510" s="9">
        <v>17769062.440000001</v>
      </c>
    </row>
    <row r="7511" spans="1:1" x14ac:dyDescent="0.25">
      <c r="A7511" s="9">
        <v>6756978.0300000003</v>
      </c>
    </row>
    <row r="7512" spans="1:1" x14ac:dyDescent="0.25">
      <c r="A7512">
        <v>0</v>
      </c>
    </row>
    <row r="7513" spans="1:1" x14ac:dyDescent="0.25">
      <c r="A7513" s="9">
        <v>6573597.1399999997</v>
      </c>
    </row>
    <row r="7514" spans="1:1" x14ac:dyDescent="0.25">
      <c r="A7514" s="9">
        <v>257590.84</v>
      </c>
    </row>
    <row r="7515" spans="1:1" x14ac:dyDescent="0.25">
      <c r="A7515" s="9">
        <v>315372.46000000002</v>
      </c>
    </row>
    <row r="7516" spans="1:1" x14ac:dyDescent="0.25">
      <c r="A7516" s="9">
        <v>89675.3</v>
      </c>
    </row>
    <row r="7517" spans="1:1" x14ac:dyDescent="0.25">
      <c r="A7517" s="9">
        <v>8766656.25</v>
      </c>
    </row>
    <row r="7518" spans="1:1" x14ac:dyDescent="0.25">
      <c r="A7518" s="9">
        <v>1392718.88</v>
      </c>
    </row>
    <row r="7519" spans="1:1" x14ac:dyDescent="0.25">
      <c r="A7519" s="9">
        <v>5672218.2000000002</v>
      </c>
    </row>
    <row r="7520" spans="1:1" x14ac:dyDescent="0.25">
      <c r="A7520" s="9">
        <v>11460721.77</v>
      </c>
    </row>
    <row r="7521" spans="1:1" x14ac:dyDescent="0.25">
      <c r="A7521" s="9">
        <v>1880690.46</v>
      </c>
    </row>
    <row r="7522" spans="1:1" x14ac:dyDescent="0.25">
      <c r="A7522" s="9">
        <v>2122919.5699999998</v>
      </c>
    </row>
    <row r="7523" spans="1:1" x14ac:dyDescent="0.25">
      <c r="A7523" s="9">
        <v>2053116.52</v>
      </c>
    </row>
    <row r="7524" spans="1:1" x14ac:dyDescent="0.25">
      <c r="A7524" s="9">
        <v>371981.96</v>
      </c>
    </row>
    <row r="7525" spans="1:1" x14ac:dyDescent="0.25">
      <c r="A7525">
        <v>0</v>
      </c>
    </row>
    <row r="7526" spans="1:1" x14ac:dyDescent="0.25">
      <c r="A7526">
        <v>0</v>
      </c>
    </row>
    <row r="7527" spans="1:1" x14ac:dyDescent="0.25">
      <c r="A7527" s="9">
        <v>37061552.529999897</v>
      </c>
    </row>
    <row r="7528" spans="1:1" x14ac:dyDescent="0.25">
      <c r="A7528" s="9">
        <v>14902811.4</v>
      </c>
    </row>
    <row r="7529" spans="1:1" x14ac:dyDescent="0.25">
      <c r="A7529">
        <v>0</v>
      </c>
    </row>
    <row r="7530" spans="1:1" x14ac:dyDescent="0.25">
      <c r="A7530" s="9">
        <v>9101058.1400000006</v>
      </c>
    </row>
    <row r="7531" spans="1:1" x14ac:dyDescent="0.25">
      <c r="A7531" s="9">
        <v>23296462.350000001</v>
      </c>
    </row>
    <row r="7532" spans="1:1" x14ac:dyDescent="0.25">
      <c r="A7532" s="9">
        <v>280163.73</v>
      </c>
    </row>
    <row r="7533" spans="1:1" x14ac:dyDescent="0.25">
      <c r="A7533">
        <v>0</v>
      </c>
    </row>
    <row r="7534" spans="1:1" x14ac:dyDescent="0.25">
      <c r="A7534" s="9">
        <v>9521114.7799999993</v>
      </c>
    </row>
    <row r="7535" spans="1:1" x14ac:dyDescent="0.25">
      <c r="A7535">
        <v>0</v>
      </c>
    </row>
    <row r="7536" spans="1:1" x14ac:dyDescent="0.25">
      <c r="A7536" s="9">
        <v>3862918.95</v>
      </c>
    </row>
    <row r="7537" spans="1:1" x14ac:dyDescent="0.25">
      <c r="A7537" s="9">
        <v>7844049.4100000001</v>
      </c>
    </row>
    <row r="7538" spans="1:1" x14ac:dyDescent="0.25">
      <c r="A7538" s="9">
        <v>1369748.44</v>
      </c>
    </row>
    <row r="7539" spans="1:1" x14ac:dyDescent="0.25">
      <c r="A7539" s="9">
        <v>5571549.7899999898</v>
      </c>
    </row>
    <row r="7540" spans="1:1" x14ac:dyDescent="0.25">
      <c r="A7540">
        <v>0</v>
      </c>
    </row>
    <row r="7541" spans="1:1" x14ac:dyDescent="0.25">
      <c r="A7541" s="9">
        <v>3318782.12</v>
      </c>
    </row>
    <row r="7542" spans="1:1" x14ac:dyDescent="0.25">
      <c r="A7542" s="9">
        <v>110670.62</v>
      </c>
    </row>
    <row r="7543" spans="1:1" x14ac:dyDescent="0.25">
      <c r="A7543">
        <v>0</v>
      </c>
    </row>
    <row r="7544" spans="1:1" x14ac:dyDescent="0.25">
      <c r="A7544" s="9">
        <v>7188769.46</v>
      </c>
    </row>
    <row r="7545" spans="1:1" x14ac:dyDescent="0.25">
      <c r="A7545">
        <v>0</v>
      </c>
    </row>
    <row r="7546" spans="1:1" x14ac:dyDescent="0.25">
      <c r="A7546" s="9">
        <v>1988381.23</v>
      </c>
    </row>
    <row r="7547" spans="1:1" x14ac:dyDescent="0.25">
      <c r="A7547">
        <v>0</v>
      </c>
    </row>
    <row r="7548" spans="1:1" x14ac:dyDescent="0.25">
      <c r="A7548">
        <v>0</v>
      </c>
    </row>
    <row r="7549" spans="1:1" x14ac:dyDescent="0.25">
      <c r="A7549">
        <v>0</v>
      </c>
    </row>
    <row r="7550" spans="1:1" x14ac:dyDescent="0.25">
      <c r="A7550" s="9">
        <v>3624619.13</v>
      </c>
    </row>
    <row r="7551" spans="1:1" x14ac:dyDescent="0.25">
      <c r="A7551" s="9">
        <v>7869300.3299999898</v>
      </c>
    </row>
    <row r="7552" spans="1:1" x14ac:dyDescent="0.25">
      <c r="A7552" s="9">
        <v>10600792.07</v>
      </c>
    </row>
    <row r="7553" spans="1:1" x14ac:dyDescent="0.25">
      <c r="A7553" s="9">
        <v>4256915.54</v>
      </c>
    </row>
    <row r="7554" spans="1:1" x14ac:dyDescent="0.25">
      <c r="A7554" s="9">
        <v>111386.5</v>
      </c>
    </row>
    <row r="7555" spans="1:1" x14ac:dyDescent="0.25">
      <c r="A7555">
        <v>0</v>
      </c>
    </row>
    <row r="7556" spans="1:1" x14ac:dyDescent="0.25">
      <c r="A7556" s="9">
        <v>4536181.84</v>
      </c>
    </row>
    <row r="7557" spans="1:1" x14ac:dyDescent="0.25">
      <c r="A7557">
        <v>0</v>
      </c>
    </row>
    <row r="7558" spans="1:1" x14ac:dyDescent="0.25">
      <c r="A7558">
        <v>0</v>
      </c>
    </row>
    <row r="7559" spans="1:1" x14ac:dyDescent="0.25">
      <c r="A7559" s="9">
        <v>29343830.850000001</v>
      </c>
    </row>
    <row r="7560" spans="1:1" x14ac:dyDescent="0.25">
      <c r="A7560" s="9">
        <v>7671070.9000000004</v>
      </c>
    </row>
    <row r="7561" spans="1:1" x14ac:dyDescent="0.25">
      <c r="A7561" s="9">
        <v>8489860.4700000007</v>
      </c>
    </row>
    <row r="7562" spans="1:1" x14ac:dyDescent="0.25">
      <c r="A7562" s="9">
        <v>1476214.89</v>
      </c>
    </row>
    <row r="7563" spans="1:1" x14ac:dyDescent="0.25">
      <c r="A7563" s="9">
        <v>10165386.130000001</v>
      </c>
    </row>
    <row r="7564" spans="1:1" x14ac:dyDescent="0.25">
      <c r="A7564" s="9">
        <v>35714.1</v>
      </c>
    </row>
    <row r="7565" spans="1:1" x14ac:dyDescent="0.25">
      <c r="A7565" s="9">
        <v>8674864.9399999995</v>
      </c>
    </row>
    <row r="7566" spans="1:1" x14ac:dyDescent="0.25">
      <c r="A7566" s="9">
        <v>284345.58</v>
      </c>
    </row>
    <row r="7567" spans="1:1" x14ac:dyDescent="0.25">
      <c r="A7567" s="9">
        <v>8302317.5199999996</v>
      </c>
    </row>
    <row r="7568" spans="1:1" x14ac:dyDescent="0.25">
      <c r="A7568" s="9">
        <v>4502073.1900000004</v>
      </c>
    </row>
    <row r="7569" spans="1:1" x14ac:dyDescent="0.25">
      <c r="A7569" s="9">
        <v>21352918.050000001</v>
      </c>
    </row>
    <row r="7570" spans="1:1" x14ac:dyDescent="0.25">
      <c r="A7570" s="9">
        <v>129212.64</v>
      </c>
    </row>
    <row r="7571" spans="1:1" x14ac:dyDescent="0.25">
      <c r="A7571" s="9">
        <v>9236969.5999999996</v>
      </c>
    </row>
    <row r="7572" spans="1:1" x14ac:dyDescent="0.25">
      <c r="A7572" s="9">
        <v>4283996.93</v>
      </c>
    </row>
    <row r="7573" spans="1:1" x14ac:dyDescent="0.25">
      <c r="A7573" s="9">
        <v>2792347.12</v>
      </c>
    </row>
    <row r="7574" spans="1:1" x14ac:dyDescent="0.25">
      <c r="A7574" s="9">
        <v>821978.11</v>
      </c>
    </row>
    <row r="7575" spans="1:1" x14ac:dyDescent="0.25">
      <c r="A7575" s="9">
        <v>669559.97</v>
      </c>
    </row>
    <row r="7576" spans="1:1" x14ac:dyDescent="0.25">
      <c r="A7576">
        <v>0</v>
      </c>
    </row>
    <row r="7577" spans="1:1" x14ac:dyDescent="0.25">
      <c r="A7577" s="9">
        <v>1081210.1200000001</v>
      </c>
    </row>
    <row r="7578" spans="1:1" x14ac:dyDescent="0.25">
      <c r="A7578" s="9">
        <v>4555784.13</v>
      </c>
    </row>
    <row r="7579" spans="1:1" x14ac:dyDescent="0.25">
      <c r="A7579" s="9">
        <v>3114222.82</v>
      </c>
    </row>
    <row r="7580" spans="1:1" x14ac:dyDescent="0.25">
      <c r="A7580" s="9">
        <v>1878777.86</v>
      </c>
    </row>
    <row r="7581" spans="1:1" x14ac:dyDescent="0.25">
      <c r="A7581" s="9">
        <v>6467856.9299999997</v>
      </c>
    </row>
    <row r="7582" spans="1:1" x14ac:dyDescent="0.25">
      <c r="A7582">
        <v>0</v>
      </c>
    </row>
    <row r="7583" spans="1:1" x14ac:dyDescent="0.25">
      <c r="A7583" s="9">
        <v>26846476.32</v>
      </c>
    </row>
    <row r="7584" spans="1:1" x14ac:dyDescent="0.25">
      <c r="A7584" s="9">
        <v>149771.68</v>
      </c>
    </row>
    <row r="7585" spans="1:1" x14ac:dyDescent="0.25">
      <c r="A7585" s="9">
        <v>11029877.439999999</v>
      </c>
    </row>
    <row r="7586" spans="1:1" x14ac:dyDescent="0.25">
      <c r="A7586" s="9">
        <v>18795064.760000002</v>
      </c>
    </row>
    <row r="7587" spans="1:1" x14ac:dyDescent="0.25">
      <c r="A7587" s="9">
        <v>3280625.11</v>
      </c>
    </row>
    <row r="7588" spans="1:1" x14ac:dyDescent="0.25">
      <c r="A7588" s="9">
        <v>7095857.4800000004</v>
      </c>
    </row>
    <row r="7589" spans="1:1" x14ac:dyDescent="0.25">
      <c r="A7589" s="9">
        <v>5502718.4400000004</v>
      </c>
    </row>
    <row r="7590" spans="1:1" x14ac:dyDescent="0.25">
      <c r="A7590" s="9">
        <v>2955723.82</v>
      </c>
    </row>
    <row r="7591" spans="1:1" x14ac:dyDescent="0.25">
      <c r="A7591" s="9">
        <v>2516795.36</v>
      </c>
    </row>
    <row r="7592" spans="1:1" x14ac:dyDescent="0.25">
      <c r="A7592">
        <v>0</v>
      </c>
    </row>
    <row r="7593" spans="1:1" x14ac:dyDescent="0.25">
      <c r="A7593" s="9">
        <v>4177105.2</v>
      </c>
    </row>
    <row r="7594" spans="1:1" x14ac:dyDescent="0.25">
      <c r="A7594" s="9">
        <v>20912892.219999999</v>
      </c>
    </row>
    <row r="7595" spans="1:1" x14ac:dyDescent="0.25">
      <c r="A7595" s="9">
        <v>8956844.8100000005</v>
      </c>
    </row>
    <row r="7596" spans="1:1" x14ac:dyDescent="0.25">
      <c r="A7596" s="9">
        <v>9679420.8800000008</v>
      </c>
    </row>
    <row r="7597" spans="1:1" x14ac:dyDescent="0.25">
      <c r="A7597" s="9">
        <v>1174774.3999999999</v>
      </c>
    </row>
    <row r="7598" spans="1:1" x14ac:dyDescent="0.25">
      <c r="A7598">
        <v>0</v>
      </c>
    </row>
    <row r="7599" spans="1:1" x14ac:dyDescent="0.25">
      <c r="A7599">
        <v>0</v>
      </c>
    </row>
    <row r="7600" spans="1:1" x14ac:dyDescent="0.25">
      <c r="A7600" s="9">
        <v>23939662.98</v>
      </c>
    </row>
    <row r="7601" spans="1:1" x14ac:dyDescent="0.25">
      <c r="A7601">
        <v>0</v>
      </c>
    </row>
    <row r="7602" spans="1:1" x14ac:dyDescent="0.25">
      <c r="A7602">
        <v>0</v>
      </c>
    </row>
    <row r="7603" spans="1:1" x14ac:dyDescent="0.25">
      <c r="A7603">
        <v>0</v>
      </c>
    </row>
    <row r="7604" spans="1:1" x14ac:dyDescent="0.25">
      <c r="A7604">
        <v>0</v>
      </c>
    </row>
    <row r="7605" spans="1:1" x14ac:dyDescent="0.25">
      <c r="A7605">
        <v>0</v>
      </c>
    </row>
    <row r="7606" spans="1:1" x14ac:dyDescent="0.25">
      <c r="A7606" s="9">
        <v>105283.26</v>
      </c>
    </row>
    <row r="7607" spans="1:1" x14ac:dyDescent="0.25">
      <c r="A7607" s="9">
        <v>8015215.9199999999</v>
      </c>
    </row>
    <row r="7608" spans="1:1" x14ac:dyDescent="0.25">
      <c r="A7608" s="9">
        <v>4670613.0599999996</v>
      </c>
    </row>
    <row r="7609" spans="1:1" x14ac:dyDescent="0.25">
      <c r="A7609" s="9">
        <v>8585876.1099999994</v>
      </c>
    </row>
    <row r="7610" spans="1:1" x14ac:dyDescent="0.25">
      <c r="A7610" s="9">
        <v>3596771.87</v>
      </c>
    </row>
    <row r="7611" spans="1:1" x14ac:dyDescent="0.25">
      <c r="A7611" s="9">
        <v>7221141.3300000001</v>
      </c>
    </row>
    <row r="7612" spans="1:1" x14ac:dyDescent="0.25">
      <c r="A7612" s="9">
        <v>1174774.3999999999</v>
      </c>
    </row>
    <row r="7613" spans="1:1" x14ac:dyDescent="0.25">
      <c r="A7613" s="9">
        <v>2803667.55</v>
      </c>
    </row>
    <row r="7614" spans="1:1" x14ac:dyDescent="0.25">
      <c r="A7614" s="9">
        <v>3308183.61</v>
      </c>
    </row>
    <row r="7615" spans="1:1" x14ac:dyDescent="0.25">
      <c r="A7615" s="9">
        <v>4370276.5</v>
      </c>
    </row>
    <row r="7616" spans="1:1" x14ac:dyDescent="0.25">
      <c r="A7616" s="9">
        <v>4002311.87</v>
      </c>
    </row>
    <row r="7617" spans="1:1" x14ac:dyDescent="0.25">
      <c r="A7617" s="9">
        <v>3467391.72</v>
      </c>
    </row>
    <row r="7618" spans="1:1" x14ac:dyDescent="0.25">
      <c r="A7618" s="9">
        <v>2594674.5099999998</v>
      </c>
    </row>
    <row r="7619" spans="1:1" x14ac:dyDescent="0.25">
      <c r="A7619" s="9">
        <v>9550630.1500000004</v>
      </c>
    </row>
    <row r="7620" spans="1:1" x14ac:dyDescent="0.25">
      <c r="A7620" s="9">
        <v>2645049.29</v>
      </c>
    </row>
    <row r="7621" spans="1:1" x14ac:dyDescent="0.25">
      <c r="A7621" s="9">
        <v>17687561.379999999</v>
      </c>
    </row>
    <row r="7622" spans="1:1" x14ac:dyDescent="0.25">
      <c r="A7622" s="9">
        <v>43415459.57</v>
      </c>
    </row>
    <row r="7623" spans="1:1" x14ac:dyDescent="0.25">
      <c r="A7623">
        <v>0</v>
      </c>
    </row>
    <row r="7624" spans="1:1" x14ac:dyDescent="0.25">
      <c r="A7624" s="9">
        <v>2523816.3199999998</v>
      </c>
    </row>
    <row r="7625" spans="1:1" x14ac:dyDescent="0.25">
      <c r="A7625" s="9">
        <v>3393872.83</v>
      </c>
    </row>
    <row r="7626" spans="1:1" x14ac:dyDescent="0.25">
      <c r="A7626" s="9">
        <v>99811.08</v>
      </c>
    </row>
    <row r="7627" spans="1:1" x14ac:dyDescent="0.25">
      <c r="A7627" s="9">
        <v>498008.21</v>
      </c>
    </row>
    <row r="7628" spans="1:1" x14ac:dyDescent="0.25">
      <c r="A7628" s="9">
        <v>7216637.9800000004</v>
      </c>
    </row>
    <row r="7629" spans="1:1" x14ac:dyDescent="0.25">
      <c r="A7629" s="9">
        <v>402278.78</v>
      </c>
    </row>
    <row r="7630" spans="1:1" x14ac:dyDescent="0.25">
      <c r="A7630" s="9">
        <v>490533.62</v>
      </c>
    </row>
    <row r="7631" spans="1:1" x14ac:dyDescent="0.25">
      <c r="A7631" s="9">
        <v>5577693.79</v>
      </c>
    </row>
    <row r="7632" spans="1:1" x14ac:dyDescent="0.25">
      <c r="A7632" s="9">
        <v>2516998.2000000002</v>
      </c>
    </row>
    <row r="7633" spans="1:1" x14ac:dyDescent="0.25">
      <c r="A7633" s="9">
        <v>180596.36</v>
      </c>
    </row>
    <row r="7634" spans="1:1" x14ac:dyDescent="0.25">
      <c r="A7634" s="9">
        <v>5301255.8899999904</v>
      </c>
    </row>
    <row r="7635" spans="1:1" x14ac:dyDescent="0.25">
      <c r="A7635" s="9">
        <v>6859283.8099999996</v>
      </c>
    </row>
    <row r="7636" spans="1:1" x14ac:dyDescent="0.25">
      <c r="A7636" s="9">
        <v>280163.73</v>
      </c>
    </row>
    <row r="7637" spans="1:1" x14ac:dyDescent="0.25">
      <c r="A7637" s="9">
        <v>1250589.51</v>
      </c>
    </row>
    <row r="7638" spans="1:1" x14ac:dyDescent="0.25">
      <c r="A7638" s="9">
        <v>3188157.03</v>
      </c>
    </row>
    <row r="7639" spans="1:1" x14ac:dyDescent="0.25">
      <c r="A7639">
        <v>3069274</v>
      </c>
    </row>
    <row r="7640" spans="1:1" x14ac:dyDescent="0.25">
      <c r="A7640" s="9">
        <v>4483119.26</v>
      </c>
    </row>
    <row r="7641" spans="1:1" x14ac:dyDescent="0.25">
      <c r="A7641" s="9">
        <v>287126.3</v>
      </c>
    </row>
    <row r="7642" spans="1:1" x14ac:dyDescent="0.25">
      <c r="A7642" s="9">
        <v>1180253.56</v>
      </c>
    </row>
    <row r="7643" spans="1:1" x14ac:dyDescent="0.25">
      <c r="A7643" s="9">
        <v>2914572.28</v>
      </c>
    </row>
    <row r="7644" spans="1:1" x14ac:dyDescent="0.25">
      <c r="A7644">
        <v>0</v>
      </c>
    </row>
    <row r="7645" spans="1:1" x14ac:dyDescent="0.25">
      <c r="A7645" s="9">
        <v>3945962.85</v>
      </c>
    </row>
    <row r="7646" spans="1:1" x14ac:dyDescent="0.25">
      <c r="A7646" s="9">
        <v>11144183.890000001</v>
      </c>
    </row>
    <row r="7647" spans="1:1" x14ac:dyDescent="0.25">
      <c r="A7647" s="9">
        <v>12362651.539999999</v>
      </c>
    </row>
    <row r="7648" spans="1:1" x14ac:dyDescent="0.25">
      <c r="A7648" s="9">
        <v>16006451.15</v>
      </c>
    </row>
    <row r="7649" spans="1:1" x14ac:dyDescent="0.25">
      <c r="A7649" s="9">
        <v>492027.78</v>
      </c>
    </row>
    <row r="7650" spans="1:1" x14ac:dyDescent="0.25">
      <c r="A7650" s="9">
        <v>8447228.0899999999</v>
      </c>
    </row>
    <row r="7651" spans="1:1" x14ac:dyDescent="0.25">
      <c r="A7651" s="9">
        <v>67391269.390000001</v>
      </c>
    </row>
    <row r="7652" spans="1:1" x14ac:dyDescent="0.25">
      <c r="A7652" s="9">
        <v>405360.6</v>
      </c>
    </row>
    <row r="7653" spans="1:1" x14ac:dyDescent="0.25">
      <c r="A7653">
        <v>0</v>
      </c>
    </row>
    <row r="7654" spans="1:1" x14ac:dyDescent="0.25">
      <c r="A7654" s="9">
        <v>43064184.560000002</v>
      </c>
    </row>
    <row r="7655" spans="1:1" x14ac:dyDescent="0.25">
      <c r="A7655" s="9">
        <v>3186876.04</v>
      </c>
    </row>
    <row r="7656" spans="1:1" x14ac:dyDescent="0.25">
      <c r="A7656" s="9">
        <v>10654171.640000001</v>
      </c>
    </row>
    <row r="7657" spans="1:1" x14ac:dyDescent="0.25">
      <c r="A7657" s="9">
        <v>2471789.35</v>
      </c>
    </row>
    <row r="7658" spans="1:1" x14ac:dyDescent="0.25">
      <c r="A7658" s="9">
        <v>197756.64</v>
      </c>
    </row>
    <row r="7659" spans="1:1" x14ac:dyDescent="0.25">
      <c r="A7659" s="9">
        <v>8554495.4800000004</v>
      </c>
    </row>
    <row r="7660" spans="1:1" x14ac:dyDescent="0.25">
      <c r="A7660" s="9">
        <v>2900743.59</v>
      </c>
    </row>
    <row r="7661" spans="1:1" x14ac:dyDescent="0.25">
      <c r="A7661" s="9">
        <v>394073.39</v>
      </c>
    </row>
    <row r="7662" spans="1:1" x14ac:dyDescent="0.25">
      <c r="A7662" s="9">
        <v>764932.41999999899</v>
      </c>
    </row>
    <row r="7663" spans="1:1" x14ac:dyDescent="0.25">
      <c r="A7663" s="9">
        <v>110670.62</v>
      </c>
    </row>
    <row r="7664" spans="1:1" x14ac:dyDescent="0.25">
      <c r="A7664" s="9">
        <v>746451.52</v>
      </c>
    </row>
    <row r="7665" spans="1:1" x14ac:dyDescent="0.25">
      <c r="A7665" s="9">
        <v>3973448.46</v>
      </c>
    </row>
    <row r="7666" spans="1:1" x14ac:dyDescent="0.25">
      <c r="A7666" s="9">
        <v>1563401.65</v>
      </c>
    </row>
    <row r="7667" spans="1:1" x14ac:dyDescent="0.25">
      <c r="A7667" s="9">
        <v>2827470.01</v>
      </c>
    </row>
    <row r="7668" spans="1:1" x14ac:dyDescent="0.25">
      <c r="A7668" s="9">
        <v>6817776.7000000002</v>
      </c>
    </row>
    <row r="7669" spans="1:1" x14ac:dyDescent="0.25">
      <c r="A7669" s="9">
        <v>5372896.5499999998</v>
      </c>
    </row>
    <row r="7670" spans="1:1" x14ac:dyDescent="0.25">
      <c r="A7670" s="9">
        <v>9573571.9900000002</v>
      </c>
    </row>
    <row r="7671" spans="1:1" x14ac:dyDescent="0.25">
      <c r="A7671" s="9">
        <v>701959.91</v>
      </c>
    </row>
    <row r="7672" spans="1:1" x14ac:dyDescent="0.25">
      <c r="A7672" s="9">
        <v>5288219.12</v>
      </c>
    </row>
    <row r="7673" spans="1:1" x14ac:dyDescent="0.25">
      <c r="A7673" s="9">
        <v>5274926.47</v>
      </c>
    </row>
    <row r="7674" spans="1:1" x14ac:dyDescent="0.25">
      <c r="A7674" s="9">
        <v>555226.21</v>
      </c>
    </row>
    <row r="7675" spans="1:1" x14ac:dyDescent="0.25">
      <c r="A7675" s="9">
        <v>11244295.449999999</v>
      </c>
    </row>
    <row r="7676" spans="1:1" x14ac:dyDescent="0.25">
      <c r="A7676" s="9">
        <v>3985206.2</v>
      </c>
    </row>
    <row r="7677" spans="1:1" x14ac:dyDescent="0.25">
      <c r="A7677" s="9">
        <v>422394.17</v>
      </c>
    </row>
    <row r="7678" spans="1:1" x14ac:dyDescent="0.25">
      <c r="A7678">
        <v>0</v>
      </c>
    </row>
    <row r="7679" spans="1:1" x14ac:dyDescent="0.25">
      <c r="A7679" s="9">
        <v>3540655.48</v>
      </c>
    </row>
    <row r="7680" spans="1:1" x14ac:dyDescent="0.25">
      <c r="A7680">
        <v>0</v>
      </c>
    </row>
    <row r="7681" spans="1:1" x14ac:dyDescent="0.25">
      <c r="A7681">
        <v>0</v>
      </c>
    </row>
    <row r="7682" spans="1:1" x14ac:dyDescent="0.25">
      <c r="A7682" s="9">
        <v>24535339.18</v>
      </c>
    </row>
    <row r="7683" spans="1:1" x14ac:dyDescent="0.25">
      <c r="A7683" s="9">
        <v>111950.73</v>
      </c>
    </row>
    <row r="7684" spans="1:1" x14ac:dyDescent="0.25">
      <c r="A7684">
        <v>0</v>
      </c>
    </row>
    <row r="7685" spans="1:1" x14ac:dyDescent="0.25">
      <c r="A7685" s="9">
        <v>151877.25</v>
      </c>
    </row>
    <row r="7686" spans="1:1" x14ac:dyDescent="0.25">
      <c r="A7686" s="9">
        <v>7503965.21</v>
      </c>
    </row>
    <row r="7687" spans="1:1" x14ac:dyDescent="0.25">
      <c r="A7687" s="9">
        <v>5909780.4000000004</v>
      </c>
    </row>
    <row r="7688" spans="1:1" x14ac:dyDescent="0.25">
      <c r="A7688" s="9">
        <v>277097.78999999998</v>
      </c>
    </row>
    <row r="7689" spans="1:1" x14ac:dyDescent="0.25">
      <c r="A7689">
        <v>0</v>
      </c>
    </row>
    <row r="7690" spans="1:1" x14ac:dyDescent="0.25">
      <c r="A7690">
        <v>0</v>
      </c>
    </row>
    <row r="7691" spans="1:1" x14ac:dyDescent="0.25">
      <c r="A7691" s="9">
        <v>4314956.9000000004</v>
      </c>
    </row>
    <row r="7692" spans="1:1" x14ac:dyDescent="0.25">
      <c r="A7692" s="9">
        <v>4707719.34</v>
      </c>
    </row>
    <row r="7693" spans="1:1" x14ac:dyDescent="0.25">
      <c r="A7693" s="9">
        <v>4322971.95</v>
      </c>
    </row>
    <row r="7694" spans="1:1" x14ac:dyDescent="0.25">
      <c r="A7694" s="9">
        <v>63686.03</v>
      </c>
    </row>
    <row r="7695" spans="1:1" x14ac:dyDescent="0.25">
      <c r="A7695" s="9">
        <v>19558683.449999999</v>
      </c>
    </row>
    <row r="7696" spans="1:1" x14ac:dyDescent="0.25">
      <c r="A7696" s="9">
        <v>7081678.8700000001</v>
      </c>
    </row>
    <row r="7697" spans="1:1" x14ac:dyDescent="0.25">
      <c r="A7697" s="9">
        <v>7715052.1200000001</v>
      </c>
    </row>
    <row r="7698" spans="1:1" x14ac:dyDescent="0.25">
      <c r="A7698" s="9">
        <v>4722172.2999999896</v>
      </c>
    </row>
    <row r="7699" spans="1:1" x14ac:dyDescent="0.25">
      <c r="A7699" s="9">
        <v>155459.1</v>
      </c>
    </row>
    <row r="7700" spans="1:1" x14ac:dyDescent="0.25">
      <c r="A7700" s="9">
        <v>24601433.120000001</v>
      </c>
    </row>
    <row r="7701" spans="1:1" x14ac:dyDescent="0.25">
      <c r="A7701" s="9">
        <v>19772451.649999999</v>
      </c>
    </row>
    <row r="7702" spans="1:1" x14ac:dyDescent="0.25">
      <c r="A7702" s="9">
        <v>18193048.98</v>
      </c>
    </row>
    <row r="7703" spans="1:1" x14ac:dyDescent="0.25">
      <c r="A7703" s="9">
        <v>20621359.210000001</v>
      </c>
    </row>
    <row r="7704" spans="1:1" x14ac:dyDescent="0.25">
      <c r="A7704" s="9">
        <v>15709122.01</v>
      </c>
    </row>
    <row r="7705" spans="1:1" x14ac:dyDescent="0.25">
      <c r="A7705" s="9">
        <v>128802.6</v>
      </c>
    </row>
    <row r="7706" spans="1:1" x14ac:dyDescent="0.25">
      <c r="A7706" s="9">
        <v>409002.91</v>
      </c>
    </row>
    <row r="7707" spans="1:1" x14ac:dyDescent="0.25">
      <c r="A7707" s="9">
        <v>2263454.12</v>
      </c>
    </row>
    <row r="7708" spans="1:1" x14ac:dyDescent="0.25">
      <c r="A7708" s="9">
        <v>94400.639999999999</v>
      </c>
    </row>
    <row r="7709" spans="1:1" x14ac:dyDescent="0.25">
      <c r="A7709">
        <v>0</v>
      </c>
    </row>
    <row r="7710" spans="1:1" x14ac:dyDescent="0.25">
      <c r="A7710" s="9">
        <v>179485.5</v>
      </c>
    </row>
    <row r="7711" spans="1:1" x14ac:dyDescent="0.25">
      <c r="A7711" s="9">
        <v>2055988.44</v>
      </c>
    </row>
    <row r="7712" spans="1:1" x14ac:dyDescent="0.25">
      <c r="A7712">
        <v>0</v>
      </c>
    </row>
    <row r="7713" spans="1:1" x14ac:dyDescent="0.25">
      <c r="A7713" s="9">
        <v>5628631.1699999999</v>
      </c>
    </row>
    <row r="7714" spans="1:1" x14ac:dyDescent="0.25">
      <c r="A7714">
        <v>0</v>
      </c>
    </row>
    <row r="7715" spans="1:1" x14ac:dyDescent="0.25">
      <c r="A7715" s="9">
        <v>19185448.359999999</v>
      </c>
    </row>
    <row r="7716" spans="1:1" x14ac:dyDescent="0.25">
      <c r="A7716" s="9">
        <v>6057250.5999999996</v>
      </c>
    </row>
    <row r="7717" spans="1:1" x14ac:dyDescent="0.25">
      <c r="A7717">
        <v>0</v>
      </c>
    </row>
    <row r="7718" spans="1:1" x14ac:dyDescent="0.25">
      <c r="A7718" s="9">
        <v>1280341.99</v>
      </c>
    </row>
    <row r="7719" spans="1:1" x14ac:dyDescent="0.25">
      <c r="A7719" s="9">
        <v>15476712.33</v>
      </c>
    </row>
    <row r="7720" spans="1:1" x14ac:dyDescent="0.25">
      <c r="A7720">
        <v>0</v>
      </c>
    </row>
    <row r="7721" spans="1:1" x14ac:dyDescent="0.25">
      <c r="A7721" s="9">
        <v>377537.28000000003</v>
      </c>
    </row>
    <row r="7722" spans="1:1" x14ac:dyDescent="0.25">
      <c r="A7722" s="9">
        <v>61113.499999999898</v>
      </c>
    </row>
    <row r="7723" spans="1:1" x14ac:dyDescent="0.25">
      <c r="A7723" s="9">
        <v>993756.05</v>
      </c>
    </row>
    <row r="7724" spans="1:1" x14ac:dyDescent="0.25">
      <c r="A7724">
        <v>0</v>
      </c>
    </row>
    <row r="7725" spans="1:1" x14ac:dyDescent="0.25">
      <c r="A7725">
        <v>0</v>
      </c>
    </row>
    <row r="7726" spans="1:1" x14ac:dyDescent="0.25">
      <c r="A7726" s="9">
        <v>206742.55</v>
      </c>
    </row>
    <row r="7727" spans="1:1" x14ac:dyDescent="0.25">
      <c r="A7727" s="9">
        <v>6388239.4900000002</v>
      </c>
    </row>
    <row r="7728" spans="1:1" x14ac:dyDescent="0.25">
      <c r="A7728" s="9">
        <v>10394920.91</v>
      </c>
    </row>
    <row r="7729" spans="1:1" x14ac:dyDescent="0.25">
      <c r="A7729" s="9">
        <v>1210488.5</v>
      </c>
    </row>
    <row r="7730" spans="1:1" x14ac:dyDescent="0.25">
      <c r="A7730" s="9">
        <v>65714.75</v>
      </c>
    </row>
    <row r="7731" spans="1:1" x14ac:dyDescent="0.25">
      <c r="A7731" s="9">
        <v>347631.66</v>
      </c>
    </row>
    <row r="7732" spans="1:1" x14ac:dyDescent="0.25">
      <c r="A7732" s="9">
        <v>12118086.41</v>
      </c>
    </row>
    <row r="7733" spans="1:1" x14ac:dyDescent="0.25">
      <c r="A7733" s="9">
        <v>343856.59</v>
      </c>
    </row>
    <row r="7734" spans="1:1" x14ac:dyDescent="0.25">
      <c r="A7734" s="9">
        <v>20727479.489999998</v>
      </c>
    </row>
    <row r="7735" spans="1:1" x14ac:dyDescent="0.25">
      <c r="A7735" s="9">
        <v>3892535.3</v>
      </c>
    </row>
    <row r="7736" spans="1:1" x14ac:dyDescent="0.25">
      <c r="A7736">
        <v>62646</v>
      </c>
    </row>
    <row r="7737" spans="1:1" x14ac:dyDescent="0.25">
      <c r="A7737" s="9">
        <v>253575.42</v>
      </c>
    </row>
    <row r="7738" spans="1:1" x14ac:dyDescent="0.25">
      <c r="A7738" s="9">
        <v>7024166.4299999997</v>
      </c>
    </row>
    <row r="7739" spans="1:1" x14ac:dyDescent="0.25">
      <c r="A7739" s="9">
        <v>1516650.35</v>
      </c>
    </row>
    <row r="7740" spans="1:1" x14ac:dyDescent="0.25">
      <c r="A7740">
        <v>0</v>
      </c>
    </row>
    <row r="7741" spans="1:1" x14ac:dyDescent="0.25">
      <c r="A7741" s="9">
        <v>3121087.68</v>
      </c>
    </row>
    <row r="7742" spans="1:1" x14ac:dyDescent="0.25">
      <c r="A7742" s="9">
        <v>6220703.0899999999</v>
      </c>
    </row>
    <row r="7743" spans="1:1" x14ac:dyDescent="0.25">
      <c r="A7743">
        <v>62646</v>
      </c>
    </row>
    <row r="7744" spans="1:1" x14ac:dyDescent="0.25">
      <c r="A7744" s="9">
        <v>386365.41</v>
      </c>
    </row>
    <row r="7745" spans="1:1" x14ac:dyDescent="0.25">
      <c r="A7745" s="9">
        <v>224876.73</v>
      </c>
    </row>
    <row r="7746" spans="1:1" x14ac:dyDescent="0.25">
      <c r="A7746">
        <v>0</v>
      </c>
    </row>
    <row r="7747" spans="1:1" x14ac:dyDescent="0.25">
      <c r="A7747" s="9">
        <v>3089734.44</v>
      </c>
    </row>
    <row r="7748" spans="1:1" x14ac:dyDescent="0.25">
      <c r="A7748" s="9">
        <v>12424052.140000001</v>
      </c>
    </row>
    <row r="7749" spans="1:1" x14ac:dyDescent="0.25">
      <c r="A7749" s="9">
        <v>314832.24</v>
      </c>
    </row>
    <row r="7750" spans="1:1" x14ac:dyDescent="0.25">
      <c r="A7750" s="9">
        <v>272414.78999999998</v>
      </c>
    </row>
    <row r="7751" spans="1:1" x14ac:dyDescent="0.25">
      <c r="A7751">
        <v>0</v>
      </c>
    </row>
    <row r="7752" spans="1:1" x14ac:dyDescent="0.25">
      <c r="A7752">
        <v>0</v>
      </c>
    </row>
    <row r="7753" spans="1:1" x14ac:dyDescent="0.25">
      <c r="A7753">
        <v>0</v>
      </c>
    </row>
    <row r="7754" spans="1:1" x14ac:dyDescent="0.25">
      <c r="A7754">
        <v>0</v>
      </c>
    </row>
    <row r="7755" spans="1:1" x14ac:dyDescent="0.25">
      <c r="A7755" s="9">
        <v>922670.37</v>
      </c>
    </row>
    <row r="7756" spans="1:1" x14ac:dyDescent="0.25">
      <c r="A7756" s="9">
        <v>14105667.51</v>
      </c>
    </row>
    <row r="7757" spans="1:1" x14ac:dyDescent="0.25">
      <c r="A7757" s="9">
        <v>10041017.27</v>
      </c>
    </row>
    <row r="7758" spans="1:1" x14ac:dyDescent="0.25">
      <c r="A7758" s="9">
        <v>3477394.95</v>
      </c>
    </row>
    <row r="7759" spans="1:1" x14ac:dyDescent="0.25">
      <c r="A7759" s="9">
        <v>55235.28</v>
      </c>
    </row>
    <row r="7760" spans="1:1" x14ac:dyDescent="0.25">
      <c r="A7760" s="9">
        <v>4415401.99</v>
      </c>
    </row>
    <row r="7761" spans="1:1" x14ac:dyDescent="0.25">
      <c r="A7761">
        <v>0</v>
      </c>
    </row>
    <row r="7762" spans="1:1" x14ac:dyDescent="0.25">
      <c r="A7762" s="9">
        <v>92118.98</v>
      </c>
    </row>
    <row r="7763" spans="1:1" x14ac:dyDescent="0.25">
      <c r="A7763" s="9">
        <v>5665232.2300000004</v>
      </c>
    </row>
    <row r="7764" spans="1:1" x14ac:dyDescent="0.25">
      <c r="A7764" s="9">
        <v>3288673.48</v>
      </c>
    </row>
    <row r="7765" spans="1:1" x14ac:dyDescent="0.25">
      <c r="A7765" s="9">
        <v>2914572.28</v>
      </c>
    </row>
    <row r="7766" spans="1:1" x14ac:dyDescent="0.25">
      <c r="A7766" s="9">
        <v>5068712.88</v>
      </c>
    </row>
    <row r="7767" spans="1:1" x14ac:dyDescent="0.25">
      <c r="A7767" s="9">
        <v>308129.84000000003</v>
      </c>
    </row>
    <row r="7768" spans="1:1" x14ac:dyDescent="0.25">
      <c r="A7768" s="9">
        <v>1161987.04</v>
      </c>
    </row>
    <row r="7769" spans="1:1" x14ac:dyDescent="0.25">
      <c r="A7769" s="9">
        <v>3089734.44</v>
      </c>
    </row>
    <row r="7770" spans="1:1" x14ac:dyDescent="0.25">
      <c r="A7770" s="9">
        <v>3089734.44</v>
      </c>
    </row>
    <row r="7771" spans="1:1" x14ac:dyDescent="0.25">
      <c r="A7771" s="9">
        <v>9075279.2300000004</v>
      </c>
    </row>
    <row r="7772" spans="1:1" x14ac:dyDescent="0.25">
      <c r="A7772" s="9">
        <v>24187794.609999999</v>
      </c>
    </row>
    <row r="7773" spans="1:1" x14ac:dyDescent="0.25">
      <c r="A7773" s="9">
        <v>375951.29</v>
      </c>
    </row>
    <row r="7774" spans="1:1" x14ac:dyDescent="0.25">
      <c r="A7774" s="9">
        <v>465175.92</v>
      </c>
    </row>
    <row r="7775" spans="1:1" x14ac:dyDescent="0.25">
      <c r="A7775" s="9">
        <v>3754272.26</v>
      </c>
    </row>
    <row r="7776" spans="1:1" x14ac:dyDescent="0.25">
      <c r="A7776" s="9">
        <v>14996797.18</v>
      </c>
    </row>
    <row r="7777" spans="1:1" x14ac:dyDescent="0.25">
      <c r="A7777" s="9">
        <v>36085857.849999897</v>
      </c>
    </row>
    <row r="7778" spans="1:1" x14ac:dyDescent="0.25">
      <c r="A7778" s="9">
        <v>40829070.829999901</v>
      </c>
    </row>
    <row r="7779" spans="1:1" x14ac:dyDescent="0.25">
      <c r="A7779">
        <v>0</v>
      </c>
    </row>
    <row r="7780" spans="1:1" x14ac:dyDescent="0.25">
      <c r="A7780" s="9">
        <v>13815184.310000001</v>
      </c>
    </row>
    <row r="7781" spans="1:1" x14ac:dyDescent="0.25">
      <c r="A7781" s="9">
        <v>546037.55000000005</v>
      </c>
    </row>
    <row r="7782" spans="1:1" x14ac:dyDescent="0.25">
      <c r="A7782" s="9">
        <v>28432.95</v>
      </c>
    </row>
    <row r="7783" spans="1:1" x14ac:dyDescent="0.25">
      <c r="A7783">
        <v>0</v>
      </c>
    </row>
    <row r="7784" spans="1:1" x14ac:dyDescent="0.25">
      <c r="A7784" s="9">
        <v>229216.23</v>
      </c>
    </row>
    <row r="7785" spans="1:1" x14ac:dyDescent="0.25">
      <c r="A7785" s="9">
        <v>2020701.58</v>
      </c>
    </row>
    <row r="7786" spans="1:1" x14ac:dyDescent="0.25">
      <c r="A7786" s="9">
        <v>2196784.17</v>
      </c>
    </row>
    <row r="7787" spans="1:1" x14ac:dyDescent="0.25">
      <c r="A7787" s="9">
        <v>8631105.8300000001</v>
      </c>
    </row>
    <row r="7788" spans="1:1" x14ac:dyDescent="0.25">
      <c r="A7788" s="9">
        <v>41422630.130000003</v>
      </c>
    </row>
    <row r="7789" spans="1:1" x14ac:dyDescent="0.25">
      <c r="A7789" s="9">
        <v>3887967.68</v>
      </c>
    </row>
    <row r="7790" spans="1:1" x14ac:dyDescent="0.25">
      <c r="A7790" s="9">
        <v>16808133.25</v>
      </c>
    </row>
    <row r="7791" spans="1:1" x14ac:dyDescent="0.25">
      <c r="A7791" s="9">
        <v>179642.07</v>
      </c>
    </row>
    <row r="7792" spans="1:1" x14ac:dyDescent="0.25">
      <c r="A7792" s="9">
        <v>6687185.9599999897</v>
      </c>
    </row>
    <row r="7793" spans="1:1" x14ac:dyDescent="0.25">
      <c r="A7793">
        <v>0</v>
      </c>
    </row>
    <row r="7794" spans="1:1" x14ac:dyDescent="0.25">
      <c r="A7794" s="9">
        <v>1205919.6000000001</v>
      </c>
    </row>
    <row r="7795" spans="1:1" x14ac:dyDescent="0.25">
      <c r="A7795" s="9">
        <v>148777.21</v>
      </c>
    </row>
    <row r="7796" spans="1:1" x14ac:dyDescent="0.25">
      <c r="A7796" s="9">
        <v>12161748.109999999</v>
      </c>
    </row>
    <row r="7797" spans="1:1" x14ac:dyDescent="0.25">
      <c r="A7797" s="9">
        <v>1235895.3500000001</v>
      </c>
    </row>
    <row r="7798" spans="1:1" x14ac:dyDescent="0.25">
      <c r="A7798" s="9">
        <v>7227995.0599999996</v>
      </c>
    </row>
    <row r="7799" spans="1:1" x14ac:dyDescent="0.25">
      <c r="A7799" s="9">
        <v>203820.96</v>
      </c>
    </row>
    <row r="7800" spans="1:1" x14ac:dyDescent="0.25">
      <c r="A7800" s="9">
        <v>3499359.42</v>
      </c>
    </row>
    <row r="7801" spans="1:1" x14ac:dyDescent="0.25">
      <c r="A7801" s="9">
        <v>9729449.5899999999</v>
      </c>
    </row>
    <row r="7802" spans="1:1" x14ac:dyDescent="0.25">
      <c r="A7802" s="9">
        <v>256707.1</v>
      </c>
    </row>
    <row r="7803" spans="1:1" x14ac:dyDescent="0.25">
      <c r="A7803" s="9">
        <v>3002466.37</v>
      </c>
    </row>
    <row r="7804" spans="1:1" x14ac:dyDescent="0.25">
      <c r="A7804" s="9">
        <v>551878.21</v>
      </c>
    </row>
    <row r="7805" spans="1:1" x14ac:dyDescent="0.25">
      <c r="A7805" s="9">
        <v>223878.2</v>
      </c>
    </row>
    <row r="7806" spans="1:1" x14ac:dyDescent="0.25">
      <c r="A7806">
        <v>0</v>
      </c>
    </row>
    <row r="7807" spans="1:1" x14ac:dyDescent="0.25">
      <c r="A7807" s="9">
        <v>20959461.670000002</v>
      </c>
    </row>
    <row r="7808" spans="1:1" x14ac:dyDescent="0.25">
      <c r="A7808" s="9">
        <v>8195495.0999999996</v>
      </c>
    </row>
    <row r="7809" spans="1:1" x14ac:dyDescent="0.25">
      <c r="A7809" s="9">
        <v>11247972.539999999</v>
      </c>
    </row>
    <row r="7810" spans="1:1" x14ac:dyDescent="0.25">
      <c r="A7810" s="9">
        <v>4777132.25</v>
      </c>
    </row>
    <row r="7811" spans="1:1" x14ac:dyDescent="0.25">
      <c r="A7811" s="9">
        <v>9959411.9499999899</v>
      </c>
    </row>
    <row r="7812" spans="1:1" x14ac:dyDescent="0.25">
      <c r="A7812" s="9">
        <v>4603329.59</v>
      </c>
    </row>
    <row r="7813" spans="1:1" x14ac:dyDescent="0.25">
      <c r="A7813" s="9">
        <v>1929349.5</v>
      </c>
    </row>
    <row r="7814" spans="1:1" x14ac:dyDescent="0.25">
      <c r="A7814">
        <v>0</v>
      </c>
    </row>
    <row r="7815" spans="1:1" x14ac:dyDescent="0.25">
      <c r="A7815" s="9">
        <v>229216.23</v>
      </c>
    </row>
    <row r="7816" spans="1:1" x14ac:dyDescent="0.25">
      <c r="A7816" s="9">
        <v>280163.73</v>
      </c>
    </row>
    <row r="7817" spans="1:1" x14ac:dyDescent="0.25">
      <c r="A7817" s="9">
        <v>3169917.03</v>
      </c>
    </row>
    <row r="7818" spans="1:1" x14ac:dyDescent="0.25">
      <c r="A7818">
        <v>0</v>
      </c>
    </row>
    <row r="7819" spans="1:1" x14ac:dyDescent="0.25">
      <c r="A7819" s="9">
        <v>155459.1</v>
      </c>
    </row>
    <row r="7820" spans="1:1" x14ac:dyDescent="0.25">
      <c r="A7820" s="9">
        <v>461434.58</v>
      </c>
    </row>
    <row r="7821" spans="1:1" x14ac:dyDescent="0.25">
      <c r="A7821" s="9">
        <v>2826421.5</v>
      </c>
    </row>
    <row r="7822" spans="1:1" x14ac:dyDescent="0.25">
      <c r="A7822" s="9">
        <v>464043.54</v>
      </c>
    </row>
    <row r="7823" spans="1:1" x14ac:dyDescent="0.25">
      <c r="A7823" s="9">
        <v>78690.3</v>
      </c>
    </row>
    <row r="7824" spans="1:1" x14ac:dyDescent="0.25">
      <c r="A7824" s="9">
        <v>320455.52</v>
      </c>
    </row>
    <row r="7825" spans="1:1" x14ac:dyDescent="0.25">
      <c r="A7825" s="9">
        <v>661889.77</v>
      </c>
    </row>
    <row r="7826" spans="1:1" x14ac:dyDescent="0.25">
      <c r="A7826" s="9">
        <v>1859578.63</v>
      </c>
    </row>
    <row r="7827" spans="1:1" x14ac:dyDescent="0.25">
      <c r="A7827">
        <v>0</v>
      </c>
    </row>
    <row r="7828" spans="1:1" x14ac:dyDescent="0.25">
      <c r="A7828" s="9">
        <v>3215299.38</v>
      </c>
    </row>
    <row r="7829" spans="1:1" x14ac:dyDescent="0.25">
      <c r="A7829" s="9">
        <v>17842959.600000001</v>
      </c>
    </row>
    <row r="7830" spans="1:1" x14ac:dyDescent="0.25">
      <c r="A7830" s="9">
        <v>18714629.879999999</v>
      </c>
    </row>
    <row r="7831" spans="1:1" x14ac:dyDescent="0.25">
      <c r="A7831" s="9">
        <v>2914572.28</v>
      </c>
    </row>
    <row r="7832" spans="1:1" x14ac:dyDescent="0.25">
      <c r="A7832" s="9">
        <v>22106738.760000002</v>
      </c>
    </row>
    <row r="7833" spans="1:1" x14ac:dyDescent="0.25">
      <c r="A7833" s="9">
        <v>2691208.08</v>
      </c>
    </row>
    <row r="7834" spans="1:1" x14ac:dyDescent="0.25">
      <c r="A7834" s="9">
        <v>137493.4</v>
      </c>
    </row>
    <row r="7835" spans="1:1" x14ac:dyDescent="0.25">
      <c r="A7835" s="9">
        <v>3121087.68</v>
      </c>
    </row>
    <row r="7836" spans="1:1" x14ac:dyDescent="0.25">
      <c r="A7836" s="9">
        <v>1584883.84</v>
      </c>
    </row>
    <row r="7837" spans="1:1" x14ac:dyDescent="0.25">
      <c r="A7837" s="9">
        <v>23972502.879999999</v>
      </c>
    </row>
    <row r="7838" spans="1:1" x14ac:dyDescent="0.25">
      <c r="A7838" s="9">
        <v>4812912.5599999996</v>
      </c>
    </row>
    <row r="7839" spans="1:1" x14ac:dyDescent="0.25">
      <c r="A7839">
        <v>0</v>
      </c>
    </row>
    <row r="7840" spans="1:1" x14ac:dyDescent="0.25">
      <c r="A7840" s="9">
        <v>7135589.5699999901</v>
      </c>
    </row>
    <row r="7841" spans="1:1" x14ac:dyDescent="0.25">
      <c r="A7841" s="9">
        <v>124401.86</v>
      </c>
    </row>
    <row r="7842" spans="1:1" x14ac:dyDescent="0.25">
      <c r="A7842" s="9">
        <v>1538886.03</v>
      </c>
    </row>
    <row r="7843" spans="1:1" x14ac:dyDescent="0.25">
      <c r="A7843">
        <v>0</v>
      </c>
    </row>
    <row r="7844" spans="1:1" x14ac:dyDescent="0.25">
      <c r="A7844" s="9">
        <v>7963740.2599999998</v>
      </c>
    </row>
    <row r="7845" spans="1:1" x14ac:dyDescent="0.25">
      <c r="A7845" s="9">
        <v>3275625.12</v>
      </c>
    </row>
    <row r="7846" spans="1:1" x14ac:dyDescent="0.25">
      <c r="A7846" s="9">
        <v>124401.86</v>
      </c>
    </row>
    <row r="7847" spans="1:1" x14ac:dyDescent="0.25">
      <c r="A7847" s="9">
        <v>2930677.79</v>
      </c>
    </row>
    <row r="7848" spans="1:1" x14ac:dyDescent="0.25">
      <c r="A7848">
        <v>0</v>
      </c>
    </row>
    <row r="7849" spans="1:1" x14ac:dyDescent="0.25">
      <c r="A7849" s="9">
        <v>9498754.0800000001</v>
      </c>
    </row>
    <row r="7850" spans="1:1" x14ac:dyDescent="0.25">
      <c r="A7850" s="9">
        <v>20360294.370000001</v>
      </c>
    </row>
    <row r="7851" spans="1:1" x14ac:dyDescent="0.25">
      <c r="A7851" s="9">
        <v>310467.59999999998</v>
      </c>
    </row>
    <row r="7852" spans="1:1" x14ac:dyDescent="0.25">
      <c r="A7852" s="9">
        <v>2635297.56</v>
      </c>
    </row>
    <row r="7853" spans="1:1" x14ac:dyDescent="0.25">
      <c r="A7853">
        <v>0</v>
      </c>
    </row>
    <row r="7854" spans="1:1" x14ac:dyDescent="0.25">
      <c r="A7854" s="9">
        <v>213566.6</v>
      </c>
    </row>
    <row r="7855" spans="1:1" x14ac:dyDescent="0.25">
      <c r="A7855" s="9">
        <v>5243796.4400000004</v>
      </c>
    </row>
    <row r="7856" spans="1:1" x14ac:dyDescent="0.25">
      <c r="A7856" s="9">
        <v>1341478.8500000001</v>
      </c>
    </row>
    <row r="7857" spans="1:1" x14ac:dyDescent="0.25">
      <c r="A7857" s="9">
        <v>63852.12</v>
      </c>
    </row>
    <row r="7858" spans="1:1" x14ac:dyDescent="0.25">
      <c r="A7858">
        <v>0</v>
      </c>
    </row>
    <row r="7859" spans="1:1" x14ac:dyDescent="0.25">
      <c r="A7859" s="9">
        <v>2393769.09</v>
      </c>
    </row>
    <row r="7860" spans="1:1" x14ac:dyDescent="0.25">
      <c r="A7860" s="9">
        <v>233466.78</v>
      </c>
    </row>
    <row r="7861" spans="1:1" x14ac:dyDescent="0.25">
      <c r="A7861" s="9">
        <v>1348777.47</v>
      </c>
    </row>
    <row r="7862" spans="1:1" x14ac:dyDescent="0.25">
      <c r="A7862" s="9">
        <v>501656.39</v>
      </c>
    </row>
    <row r="7863" spans="1:1" x14ac:dyDescent="0.25">
      <c r="A7863" s="9">
        <v>612530.1</v>
      </c>
    </row>
    <row r="7864" spans="1:1" x14ac:dyDescent="0.25">
      <c r="A7864" s="9">
        <v>1719441.84</v>
      </c>
    </row>
    <row r="7865" spans="1:1" x14ac:dyDescent="0.25">
      <c r="A7865" s="9">
        <v>261520.34</v>
      </c>
    </row>
    <row r="7866" spans="1:1" x14ac:dyDescent="0.25">
      <c r="A7866" s="9">
        <v>5028342.2499999898</v>
      </c>
    </row>
    <row r="7867" spans="1:1" x14ac:dyDescent="0.25">
      <c r="A7867">
        <v>0</v>
      </c>
    </row>
    <row r="7868" spans="1:1" x14ac:dyDescent="0.25">
      <c r="A7868" s="9">
        <v>2493334.7200000002</v>
      </c>
    </row>
    <row r="7869" spans="1:1" x14ac:dyDescent="0.25">
      <c r="A7869" s="9">
        <v>750197.59</v>
      </c>
    </row>
    <row r="7870" spans="1:1" x14ac:dyDescent="0.25">
      <c r="A7870">
        <v>0</v>
      </c>
    </row>
    <row r="7871" spans="1:1" x14ac:dyDescent="0.25">
      <c r="A7871" s="9">
        <v>53789181.819999903</v>
      </c>
    </row>
    <row r="7872" spans="1:1" x14ac:dyDescent="0.25">
      <c r="A7872" s="9">
        <v>267713.63</v>
      </c>
    </row>
    <row r="7873" spans="1:1" x14ac:dyDescent="0.25">
      <c r="A7873">
        <v>0</v>
      </c>
    </row>
    <row r="7874" spans="1:1" x14ac:dyDescent="0.25">
      <c r="A7874">
        <v>0</v>
      </c>
    </row>
    <row r="7875" spans="1:1" x14ac:dyDescent="0.25">
      <c r="A7875" s="9">
        <v>172038.62</v>
      </c>
    </row>
    <row r="7876" spans="1:1" x14ac:dyDescent="0.25">
      <c r="A7876" s="9">
        <v>12133759.939999999</v>
      </c>
    </row>
    <row r="7877" spans="1:1" x14ac:dyDescent="0.25">
      <c r="A7877" s="9">
        <v>10953782.6</v>
      </c>
    </row>
    <row r="7878" spans="1:1" x14ac:dyDescent="0.25">
      <c r="A7878" s="9">
        <v>1409740.56</v>
      </c>
    </row>
    <row r="7879" spans="1:1" x14ac:dyDescent="0.25">
      <c r="A7879" s="9">
        <v>63794.92</v>
      </c>
    </row>
    <row r="7880" spans="1:1" x14ac:dyDescent="0.25">
      <c r="A7880">
        <v>0</v>
      </c>
    </row>
    <row r="7881" spans="1:1" x14ac:dyDescent="0.25">
      <c r="A7881" s="9">
        <v>11568814.449999999</v>
      </c>
    </row>
    <row r="7882" spans="1:1" x14ac:dyDescent="0.25">
      <c r="A7882" s="9">
        <v>280163.73</v>
      </c>
    </row>
    <row r="7883" spans="1:1" x14ac:dyDescent="0.25">
      <c r="A7883" s="9">
        <v>18242424.800000001</v>
      </c>
    </row>
    <row r="7884" spans="1:1" x14ac:dyDescent="0.25">
      <c r="A7884">
        <v>0</v>
      </c>
    </row>
    <row r="7885" spans="1:1" x14ac:dyDescent="0.25">
      <c r="A7885" s="9">
        <v>17266118.699999999</v>
      </c>
    </row>
    <row r="7886" spans="1:1" x14ac:dyDescent="0.25">
      <c r="A7886" s="9">
        <v>137493.4</v>
      </c>
    </row>
    <row r="7887" spans="1:1" x14ac:dyDescent="0.25">
      <c r="A7887" s="9">
        <v>221295.23</v>
      </c>
    </row>
    <row r="7888" spans="1:1" x14ac:dyDescent="0.25">
      <c r="A7888" s="9">
        <v>652243.929999999</v>
      </c>
    </row>
    <row r="7889" spans="1:1" x14ac:dyDescent="0.25">
      <c r="A7889" s="9">
        <v>5196785.9000000004</v>
      </c>
    </row>
    <row r="7890" spans="1:1" x14ac:dyDescent="0.25">
      <c r="A7890" s="9">
        <v>1197541.6599999999</v>
      </c>
    </row>
    <row r="7891" spans="1:1" x14ac:dyDescent="0.25">
      <c r="A7891" s="9">
        <v>4504023.01</v>
      </c>
    </row>
    <row r="7892" spans="1:1" x14ac:dyDescent="0.25">
      <c r="A7892" s="9">
        <v>3568903.95</v>
      </c>
    </row>
    <row r="7893" spans="1:1" x14ac:dyDescent="0.25">
      <c r="A7893" s="9">
        <v>2456778.85</v>
      </c>
    </row>
    <row r="7894" spans="1:1" x14ac:dyDescent="0.25">
      <c r="A7894" s="9">
        <v>6540297.9199999999</v>
      </c>
    </row>
    <row r="7895" spans="1:1" x14ac:dyDescent="0.25">
      <c r="A7895">
        <v>0</v>
      </c>
    </row>
    <row r="7896" spans="1:1" x14ac:dyDescent="0.25">
      <c r="A7896" s="9">
        <v>4065490.92</v>
      </c>
    </row>
    <row r="7897" spans="1:1" x14ac:dyDescent="0.25">
      <c r="A7897" s="9">
        <v>3425171.89</v>
      </c>
    </row>
    <row r="7898" spans="1:1" x14ac:dyDescent="0.25">
      <c r="A7898" s="9">
        <v>8654705.3799999896</v>
      </c>
    </row>
    <row r="7899" spans="1:1" x14ac:dyDescent="0.25">
      <c r="A7899" s="9">
        <v>24293979.859999999</v>
      </c>
    </row>
    <row r="7900" spans="1:1" x14ac:dyDescent="0.25">
      <c r="A7900" s="9">
        <v>25234835.949999999</v>
      </c>
    </row>
    <row r="7901" spans="1:1" x14ac:dyDescent="0.25">
      <c r="A7901" s="9">
        <v>9372298.9699999895</v>
      </c>
    </row>
    <row r="7902" spans="1:1" x14ac:dyDescent="0.25">
      <c r="A7902">
        <v>0</v>
      </c>
    </row>
    <row r="7903" spans="1:1" x14ac:dyDescent="0.25">
      <c r="A7903" s="9">
        <v>196617.91</v>
      </c>
    </row>
    <row r="7904" spans="1:1" x14ac:dyDescent="0.25">
      <c r="A7904" s="9">
        <v>1543283.25</v>
      </c>
    </row>
    <row r="7905" spans="1:1" x14ac:dyDescent="0.25">
      <c r="A7905">
        <v>0</v>
      </c>
    </row>
    <row r="7906" spans="1:1" x14ac:dyDescent="0.25">
      <c r="A7906" s="9">
        <v>16513768.41</v>
      </c>
    </row>
    <row r="7907" spans="1:1" x14ac:dyDescent="0.25">
      <c r="A7907" s="9">
        <v>219011.8</v>
      </c>
    </row>
    <row r="7908" spans="1:1" x14ac:dyDescent="0.25">
      <c r="A7908" s="9">
        <v>3122634.83</v>
      </c>
    </row>
    <row r="7909" spans="1:1" x14ac:dyDescent="0.25">
      <c r="A7909" s="9">
        <v>16535335.52</v>
      </c>
    </row>
    <row r="7910" spans="1:1" x14ac:dyDescent="0.25">
      <c r="A7910">
        <v>0</v>
      </c>
    </row>
    <row r="7911" spans="1:1" x14ac:dyDescent="0.25">
      <c r="A7911" s="9">
        <v>137802.41</v>
      </c>
    </row>
    <row r="7912" spans="1:1" x14ac:dyDescent="0.25">
      <c r="A7912" s="9">
        <v>252287.86</v>
      </c>
    </row>
    <row r="7913" spans="1:1" x14ac:dyDescent="0.25">
      <c r="A7913" s="9">
        <v>435010.3</v>
      </c>
    </row>
    <row r="7914" spans="1:1" x14ac:dyDescent="0.25">
      <c r="A7914" s="9">
        <v>1134187.82</v>
      </c>
    </row>
    <row r="7915" spans="1:1" x14ac:dyDescent="0.25">
      <c r="A7915">
        <v>0</v>
      </c>
    </row>
    <row r="7916" spans="1:1" x14ac:dyDescent="0.25">
      <c r="A7916" s="9">
        <v>2875242.58</v>
      </c>
    </row>
    <row r="7917" spans="1:1" x14ac:dyDescent="0.25">
      <c r="A7917">
        <v>0</v>
      </c>
    </row>
    <row r="7918" spans="1:1" x14ac:dyDescent="0.25">
      <c r="A7918" s="9">
        <v>567370.87</v>
      </c>
    </row>
    <row r="7919" spans="1:1" x14ac:dyDescent="0.25">
      <c r="A7919" s="9">
        <v>199707.05</v>
      </c>
    </row>
    <row r="7920" spans="1:1" x14ac:dyDescent="0.25">
      <c r="A7920">
        <v>0</v>
      </c>
    </row>
    <row r="7921" spans="1:1" x14ac:dyDescent="0.25">
      <c r="A7921" s="9">
        <v>47829.8</v>
      </c>
    </row>
    <row r="7922" spans="1:1" x14ac:dyDescent="0.25">
      <c r="A7922" s="9">
        <v>1851090.77</v>
      </c>
    </row>
    <row r="7923" spans="1:1" x14ac:dyDescent="0.25">
      <c r="A7923" s="9">
        <v>35714.1</v>
      </c>
    </row>
    <row r="7924" spans="1:1" x14ac:dyDescent="0.25">
      <c r="A7924" s="9">
        <v>224876.73</v>
      </c>
    </row>
    <row r="7925" spans="1:1" x14ac:dyDescent="0.25">
      <c r="A7925" s="9">
        <v>3992845.05</v>
      </c>
    </row>
    <row r="7926" spans="1:1" x14ac:dyDescent="0.25">
      <c r="A7926">
        <v>168812</v>
      </c>
    </row>
    <row r="7927" spans="1:1" x14ac:dyDescent="0.25">
      <c r="A7927" s="9">
        <v>65916.86</v>
      </c>
    </row>
    <row r="7928" spans="1:1" x14ac:dyDescent="0.25">
      <c r="A7928" s="9">
        <v>11190384.060000001</v>
      </c>
    </row>
    <row r="7929" spans="1:1" x14ac:dyDescent="0.25">
      <c r="A7929" s="9">
        <v>3258674.28</v>
      </c>
    </row>
    <row r="7930" spans="1:1" x14ac:dyDescent="0.25">
      <c r="A7930" s="9">
        <v>396996.73</v>
      </c>
    </row>
    <row r="7931" spans="1:1" x14ac:dyDescent="0.25">
      <c r="A7931" s="9">
        <v>785682.29</v>
      </c>
    </row>
    <row r="7932" spans="1:1" x14ac:dyDescent="0.25">
      <c r="A7932" s="9">
        <v>3540751.43</v>
      </c>
    </row>
    <row r="7933" spans="1:1" x14ac:dyDescent="0.25">
      <c r="A7933" s="9">
        <v>139315.94</v>
      </c>
    </row>
    <row r="7934" spans="1:1" x14ac:dyDescent="0.25">
      <c r="A7934" s="9">
        <v>190910.02</v>
      </c>
    </row>
    <row r="7935" spans="1:1" x14ac:dyDescent="0.25">
      <c r="A7935" s="9">
        <v>5732290.8200000003</v>
      </c>
    </row>
    <row r="7936" spans="1:1" x14ac:dyDescent="0.25">
      <c r="A7936" s="9">
        <v>1565956.34</v>
      </c>
    </row>
    <row r="7937" spans="1:1" x14ac:dyDescent="0.25">
      <c r="A7937" s="9">
        <v>3361334.95</v>
      </c>
    </row>
    <row r="7938" spans="1:1" x14ac:dyDescent="0.25">
      <c r="A7938">
        <v>0</v>
      </c>
    </row>
    <row r="7939" spans="1:1" x14ac:dyDescent="0.25">
      <c r="A7939" s="9">
        <v>4986070.26</v>
      </c>
    </row>
    <row r="7940" spans="1:1" x14ac:dyDescent="0.25">
      <c r="A7940" s="9">
        <v>24504450.16</v>
      </c>
    </row>
    <row r="7941" spans="1:1" x14ac:dyDescent="0.25">
      <c r="A7941" s="9">
        <v>2480222.29</v>
      </c>
    </row>
    <row r="7942" spans="1:1" x14ac:dyDescent="0.25">
      <c r="A7942" s="9">
        <v>66563081.210000001</v>
      </c>
    </row>
    <row r="7943" spans="1:1" x14ac:dyDescent="0.25">
      <c r="A7943" s="9">
        <v>5914152.1299999999</v>
      </c>
    </row>
    <row r="7944" spans="1:1" x14ac:dyDescent="0.25">
      <c r="A7944" s="9">
        <v>7504188.6899999902</v>
      </c>
    </row>
    <row r="7945" spans="1:1" x14ac:dyDescent="0.25">
      <c r="A7945">
        <v>0</v>
      </c>
    </row>
    <row r="7946" spans="1:1" x14ac:dyDescent="0.25">
      <c r="A7946">
        <v>0</v>
      </c>
    </row>
    <row r="7947" spans="1:1" x14ac:dyDescent="0.25">
      <c r="A7947" s="9">
        <v>63852.12</v>
      </c>
    </row>
    <row r="7948" spans="1:1" x14ac:dyDescent="0.25">
      <c r="A7948" s="9">
        <v>3121087.68</v>
      </c>
    </row>
    <row r="7949" spans="1:1" x14ac:dyDescent="0.25">
      <c r="A7949" s="9">
        <v>259798.08</v>
      </c>
    </row>
    <row r="7950" spans="1:1" x14ac:dyDescent="0.25">
      <c r="A7950" s="9">
        <v>13885872.800000001</v>
      </c>
    </row>
    <row r="7951" spans="1:1" x14ac:dyDescent="0.25">
      <c r="A7951" s="9">
        <v>5593455.2999999998</v>
      </c>
    </row>
    <row r="7952" spans="1:1" x14ac:dyDescent="0.25">
      <c r="A7952" s="9">
        <v>4967866.8299999898</v>
      </c>
    </row>
    <row r="7953" spans="1:1" x14ac:dyDescent="0.25">
      <c r="A7953" s="9">
        <v>5502895.7800000003</v>
      </c>
    </row>
    <row r="7954" spans="1:1" x14ac:dyDescent="0.25">
      <c r="A7954" s="9">
        <v>280163.73</v>
      </c>
    </row>
    <row r="7955" spans="1:1" x14ac:dyDescent="0.25">
      <c r="A7955" s="9">
        <v>1134893.2</v>
      </c>
    </row>
    <row r="7956" spans="1:1" x14ac:dyDescent="0.25">
      <c r="A7956">
        <v>0</v>
      </c>
    </row>
    <row r="7957" spans="1:1" x14ac:dyDescent="0.25">
      <c r="A7957" s="9">
        <v>6317760.9800000004</v>
      </c>
    </row>
    <row r="7958" spans="1:1" x14ac:dyDescent="0.25">
      <c r="A7958" s="9">
        <v>3337584.57</v>
      </c>
    </row>
    <row r="7959" spans="1:1" x14ac:dyDescent="0.25">
      <c r="A7959" s="9">
        <v>5200605.71</v>
      </c>
    </row>
    <row r="7960" spans="1:1" x14ac:dyDescent="0.25">
      <c r="A7960" s="9">
        <v>5524404.1100000003</v>
      </c>
    </row>
    <row r="7961" spans="1:1" x14ac:dyDescent="0.25">
      <c r="A7961">
        <v>3229361</v>
      </c>
    </row>
    <row r="7962" spans="1:1" x14ac:dyDescent="0.25">
      <c r="A7962">
        <v>0</v>
      </c>
    </row>
    <row r="7963" spans="1:1" x14ac:dyDescent="0.25">
      <c r="A7963">
        <v>0</v>
      </c>
    </row>
    <row r="7964" spans="1:1" x14ac:dyDescent="0.25">
      <c r="A7964">
        <v>0</v>
      </c>
    </row>
    <row r="7965" spans="1:1" x14ac:dyDescent="0.25">
      <c r="A7965" s="9">
        <v>897173.27</v>
      </c>
    </row>
    <row r="7966" spans="1:1" x14ac:dyDescent="0.25">
      <c r="A7966" s="9">
        <v>2746318.3</v>
      </c>
    </row>
    <row r="7967" spans="1:1" x14ac:dyDescent="0.25">
      <c r="A7967" s="9">
        <v>454762.01</v>
      </c>
    </row>
    <row r="7968" spans="1:1" x14ac:dyDescent="0.25">
      <c r="A7968" s="9">
        <v>1414275.2</v>
      </c>
    </row>
    <row r="7969" spans="1:1" x14ac:dyDescent="0.25">
      <c r="A7969" s="9">
        <v>11983195.58</v>
      </c>
    </row>
    <row r="7970" spans="1:1" x14ac:dyDescent="0.25">
      <c r="A7970" s="9">
        <v>1203063.02</v>
      </c>
    </row>
    <row r="7971" spans="1:1" x14ac:dyDescent="0.25">
      <c r="A7971" s="9">
        <v>3784658.4</v>
      </c>
    </row>
    <row r="7972" spans="1:1" x14ac:dyDescent="0.25">
      <c r="A7972" s="9">
        <v>206723.34</v>
      </c>
    </row>
    <row r="7973" spans="1:1" x14ac:dyDescent="0.25">
      <c r="A7973" s="9">
        <v>3582087.96</v>
      </c>
    </row>
    <row r="7974" spans="1:1" x14ac:dyDescent="0.25">
      <c r="A7974">
        <v>0</v>
      </c>
    </row>
    <row r="7975" spans="1:1" x14ac:dyDescent="0.25">
      <c r="A7975" s="9">
        <v>8368167.5700000003</v>
      </c>
    </row>
    <row r="7976" spans="1:1" x14ac:dyDescent="0.25">
      <c r="A7976" s="9">
        <v>9031012.5399999991</v>
      </c>
    </row>
    <row r="7977" spans="1:1" x14ac:dyDescent="0.25">
      <c r="A7977" s="9">
        <v>11017540.939999999</v>
      </c>
    </row>
    <row r="7978" spans="1:1" x14ac:dyDescent="0.25">
      <c r="A7978" s="9">
        <v>215672.17</v>
      </c>
    </row>
    <row r="7979" spans="1:1" x14ac:dyDescent="0.25">
      <c r="A7979" s="9">
        <v>148737.42000000001</v>
      </c>
    </row>
    <row r="7980" spans="1:1" x14ac:dyDescent="0.25">
      <c r="A7980" s="9">
        <v>3727555.2</v>
      </c>
    </row>
    <row r="7981" spans="1:1" x14ac:dyDescent="0.25">
      <c r="A7981" s="9">
        <v>5817512.6399999997</v>
      </c>
    </row>
    <row r="7982" spans="1:1" x14ac:dyDescent="0.25">
      <c r="A7982" s="9">
        <v>3389169.97</v>
      </c>
    </row>
    <row r="7983" spans="1:1" x14ac:dyDescent="0.25">
      <c r="A7983" s="9">
        <v>11958598.59</v>
      </c>
    </row>
    <row r="7984" spans="1:1" x14ac:dyDescent="0.25">
      <c r="A7984" s="9">
        <v>23360593.73</v>
      </c>
    </row>
    <row r="7985" spans="1:1" x14ac:dyDescent="0.25">
      <c r="A7985" s="9">
        <v>215769.26</v>
      </c>
    </row>
    <row r="7986" spans="1:1" x14ac:dyDescent="0.25">
      <c r="A7986">
        <v>0</v>
      </c>
    </row>
    <row r="7987" spans="1:1" x14ac:dyDescent="0.25">
      <c r="A7987" s="9">
        <v>9768794.3899999894</v>
      </c>
    </row>
    <row r="7988" spans="1:1" x14ac:dyDescent="0.25">
      <c r="A7988" s="9">
        <v>1112892.3</v>
      </c>
    </row>
    <row r="7989" spans="1:1" x14ac:dyDescent="0.25">
      <c r="A7989" s="9">
        <v>8677784.4100000001</v>
      </c>
    </row>
    <row r="7990" spans="1:1" x14ac:dyDescent="0.25">
      <c r="A7990">
        <v>0</v>
      </c>
    </row>
    <row r="7991" spans="1:1" x14ac:dyDescent="0.25">
      <c r="A7991" s="9">
        <v>2035505.61</v>
      </c>
    </row>
    <row r="7992" spans="1:1" x14ac:dyDescent="0.25">
      <c r="A7992" s="9">
        <v>221295.23</v>
      </c>
    </row>
    <row r="7993" spans="1:1" x14ac:dyDescent="0.25">
      <c r="A7993" s="9">
        <v>7553396.6900000004</v>
      </c>
    </row>
    <row r="7994" spans="1:1" x14ac:dyDescent="0.25">
      <c r="A7994" s="9">
        <v>237404.7</v>
      </c>
    </row>
    <row r="7995" spans="1:1" x14ac:dyDescent="0.25">
      <c r="A7995" s="9">
        <v>24093190.219999999</v>
      </c>
    </row>
    <row r="7996" spans="1:1" x14ac:dyDescent="0.25">
      <c r="A7996" s="9">
        <v>336879.59</v>
      </c>
    </row>
    <row r="7997" spans="1:1" x14ac:dyDescent="0.25">
      <c r="A7997" s="9">
        <v>4063029.8</v>
      </c>
    </row>
    <row r="7998" spans="1:1" x14ac:dyDescent="0.25">
      <c r="A7998" s="9">
        <v>1766897.38</v>
      </c>
    </row>
    <row r="7999" spans="1:1" x14ac:dyDescent="0.25">
      <c r="A7999" s="9">
        <v>304284.08</v>
      </c>
    </row>
    <row r="8000" spans="1:1" x14ac:dyDescent="0.25">
      <c r="A8000">
        <v>0</v>
      </c>
    </row>
    <row r="8001" spans="1:1" x14ac:dyDescent="0.25">
      <c r="A8001" s="9">
        <v>9744579.8699999992</v>
      </c>
    </row>
    <row r="8002" spans="1:1" x14ac:dyDescent="0.25">
      <c r="A8002" s="9">
        <v>4889270.43</v>
      </c>
    </row>
    <row r="8003" spans="1:1" x14ac:dyDescent="0.25">
      <c r="A8003" s="9">
        <v>5335671.0999999996</v>
      </c>
    </row>
    <row r="8004" spans="1:1" x14ac:dyDescent="0.25">
      <c r="A8004" s="9">
        <v>6384176.5099999905</v>
      </c>
    </row>
    <row r="8005" spans="1:1" x14ac:dyDescent="0.25">
      <c r="A8005" s="9">
        <v>111413.66</v>
      </c>
    </row>
    <row r="8006" spans="1:1" x14ac:dyDescent="0.25">
      <c r="A8006">
        <v>0</v>
      </c>
    </row>
    <row r="8007" spans="1:1" x14ac:dyDescent="0.25">
      <c r="A8007">
        <v>0</v>
      </c>
    </row>
    <row r="8008" spans="1:1" x14ac:dyDescent="0.25">
      <c r="A8008">
        <v>0</v>
      </c>
    </row>
    <row r="8009" spans="1:1" x14ac:dyDescent="0.25">
      <c r="A8009" s="9">
        <v>5122560.82</v>
      </c>
    </row>
    <row r="8010" spans="1:1" x14ac:dyDescent="0.25">
      <c r="A8010" s="9">
        <v>352893.12</v>
      </c>
    </row>
    <row r="8011" spans="1:1" x14ac:dyDescent="0.25">
      <c r="A8011" s="9">
        <v>20561048.059999999</v>
      </c>
    </row>
    <row r="8012" spans="1:1" x14ac:dyDescent="0.25">
      <c r="A8012" s="9">
        <v>173251.05</v>
      </c>
    </row>
    <row r="8013" spans="1:1" x14ac:dyDescent="0.25">
      <c r="A8013" s="9">
        <v>3740316.62</v>
      </c>
    </row>
    <row r="8014" spans="1:1" x14ac:dyDescent="0.25">
      <c r="A8014" s="9">
        <v>41818186.990000002</v>
      </c>
    </row>
    <row r="8015" spans="1:1" x14ac:dyDescent="0.25">
      <c r="A8015" s="9">
        <v>434309.74</v>
      </c>
    </row>
    <row r="8016" spans="1:1" x14ac:dyDescent="0.25">
      <c r="A8016" s="9">
        <v>124401.86</v>
      </c>
    </row>
    <row r="8017" spans="1:1" x14ac:dyDescent="0.25">
      <c r="A8017" s="9">
        <v>10531018.26</v>
      </c>
    </row>
    <row r="8018" spans="1:1" x14ac:dyDescent="0.25">
      <c r="A8018" s="9">
        <v>3198015.48</v>
      </c>
    </row>
    <row r="8019" spans="1:1" x14ac:dyDescent="0.25">
      <c r="A8019" s="9">
        <v>10308627.73</v>
      </c>
    </row>
    <row r="8020" spans="1:1" x14ac:dyDescent="0.25">
      <c r="A8020" s="9">
        <v>32214174.379999999</v>
      </c>
    </row>
    <row r="8021" spans="1:1" x14ac:dyDescent="0.25">
      <c r="A8021" s="9">
        <v>25220633.07</v>
      </c>
    </row>
    <row r="8022" spans="1:1" x14ac:dyDescent="0.25">
      <c r="A8022" s="9">
        <v>8373410.6799999997</v>
      </c>
    </row>
    <row r="8023" spans="1:1" x14ac:dyDescent="0.25">
      <c r="A8023" s="9">
        <v>2964451.14</v>
      </c>
    </row>
    <row r="8024" spans="1:1" x14ac:dyDescent="0.25">
      <c r="A8024" s="9">
        <v>611780.81000000006</v>
      </c>
    </row>
    <row r="8025" spans="1:1" x14ac:dyDescent="0.25">
      <c r="A8025" s="9">
        <v>27091616.559999999</v>
      </c>
    </row>
    <row r="8026" spans="1:1" x14ac:dyDescent="0.25">
      <c r="A8026" s="9">
        <v>18766598.600000001</v>
      </c>
    </row>
    <row r="8027" spans="1:1" x14ac:dyDescent="0.25">
      <c r="A8027" s="9">
        <v>997233.48</v>
      </c>
    </row>
    <row r="8028" spans="1:1" x14ac:dyDescent="0.25">
      <c r="A8028" s="9">
        <v>3093556.48</v>
      </c>
    </row>
    <row r="8029" spans="1:1" x14ac:dyDescent="0.25">
      <c r="A8029" s="9">
        <v>4199352.21</v>
      </c>
    </row>
    <row r="8030" spans="1:1" x14ac:dyDescent="0.25">
      <c r="A8030" s="9">
        <v>42993313.009999998</v>
      </c>
    </row>
    <row r="8031" spans="1:1" x14ac:dyDescent="0.25">
      <c r="A8031" s="9">
        <v>5767178.7899999898</v>
      </c>
    </row>
    <row r="8032" spans="1:1" x14ac:dyDescent="0.25">
      <c r="A8032" s="9">
        <v>7930376.1199999899</v>
      </c>
    </row>
    <row r="8033" spans="1:1" x14ac:dyDescent="0.25">
      <c r="A8033" s="9">
        <v>37533887.989999898</v>
      </c>
    </row>
    <row r="8034" spans="1:1" x14ac:dyDescent="0.25">
      <c r="A8034" s="9">
        <v>9042447.6500000004</v>
      </c>
    </row>
    <row r="8035" spans="1:1" x14ac:dyDescent="0.25">
      <c r="A8035" s="9">
        <v>5211865.95</v>
      </c>
    </row>
    <row r="8036" spans="1:1" x14ac:dyDescent="0.25">
      <c r="A8036" s="9">
        <v>2480847.6</v>
      </c>
    </row>
    <row r="8037" spans="1:1" x14ac:dyDescent="0.25">
      <c r="A8037" s="9">
        <v>541277.46</v>
      </c>
    </row>
    <row r="8038" spans="1:1" x14ac:dyDescent="0.25">
      <c r="A8038" s="9">
        <v>53695457.289999999</v>
      </c>
    </row>
    <row r="8039" spans="1:1" x14ac:dyDescent="0.25">
      <c r="A8039" s="9">
        <v>4003412.94</v>
      </c>
    </row>
    <row r="8040" spans="1:1" x14ac:dyDescent="0.25">
      <c r="A8040" s="9">
        <v>19048582.260000002</v>
      </c>
    </row>
    <row r="8041" spans="1:1" x14ac:dyDescent="0.25">
      <c r="A8041" s="9">
        <v>17659644.32</v>
      </c>
    </row>
    <row r="8042" spans="1:1" x14ac:dyDescent="0.25">
      <c r="A8042">
        <v>0</v>
      </c>
    </row>
    <row r="8043" spans="1:1" x14ac:dyDescent="0.25">
      <c r="A8043" s="9">
        <v>4988421.09</v>
      </c>
    </row>
    <row r="8044" spans="1:1" x14ac:dyDescent="0.25">
      <c r="A8044" s="9">
        <v>1086871.04</v>
      </c>
    </row>
    <row r="8045" spans="1:1" x14ac:dyDescent="0.25">
      <c r="A8045" s="9">
        <v>28564635.370000001</v>
      </c>
    </row>
    <row r="8046" spans="1:1" x14ac:dyDescent="0.25">
      <c r="A8046">
        <v>797124</v>
      </c>
    </row>
    <row r="8047" spans="1:1" x14ac:dyDescent="0.25">
      <c r="A8047" s="9">
        <v>65788.36</v>
      </c>
    </row>
    <row r="8048" spans="1:1" x14ac:dyDescent="0.25">
      <c r="A8048" s="9">
        <v>5043706.6099999901</v>
      </c>
    </row>
    <row r="8049" spans="1:1" x14ac:dyDescent="0.25">
      <c r="A8049" s="9">
        <v>8283298.6799999997</v>
      </c>
    </row>
    <row r="8050" spans="1:1" x14ac:dyDescent="0.25">
      <c r="A8050" s="9">
        <v>62057347.450000003</v>
      </c>
    </row>
    <row r="8051" spans="1:1" x14ac:dyDescent="0.25">
      <c r="A8051" s="9">
        <v>21266666.879999999</v>
      </c>
    </row>
    <row r="8052" spans="1:1" x14ac:dyDescent="0.25">
      <c r="A8052">
        <v>0</v>
      </c>
    </row>
    <row r="8053" spans="1:1" x14ac:dyDescent="0.25">
      <c r="A8053">
        <v>0</v>
      </c>
    </row>
    <row r="8054" spans="1:1" x14ac:dyDescent="0.25">
      <c r="A8054">
        <v>0</v>
      </c>
    </row>
    <row r="8055" spans="1:1" x14ac:dyDescent="0.25">
      <c r="A8055" s="9">
        <v>58386.46</v>
      </c>
    </row>
    <row r="8056" spans="1:1" x14ac:dyDescent="0.25">
      <c r="A8056" s="9">
        <v>2978258.31</v>
      </c>
    </row>
    <row r="8057" spans="1:1" x14ac:dyDescent="0.25">
      <c r="A8057" s="9">
        <v>418203.83</v>
      </c>
    </row>
    <row r="8058" spans="1:1" x14ac:dyDescent="0.25">
      <c r="A8058" s="9">
        <v>270911.93</v>
      </c>
    </row>
    <row r="8059" spans="1:1" x14ac:dyDescent="0.25">
      <c r="A8059" s="9">
        <v>8116431.8799999999</v>
      </c>
    </row>
    <row r="8060" spans="1:1" x14ac:dyDescent="0.25">
      <c r="A8060" s="9">
        <v>1055160.24</v>
      </c>
    </row>
    <row r="8061" spans="1:1" x14ac:dyDescent="0.25">
      <c r="A8061">
        <v>0</v>
      </c>
    </row>
    <row r="8062" spans="1:1" x14ac:dyDescent="0.25">
      <c r="A8062" s="9">
        <v>2212190.7000000002</v>
      </c>
    </row>
    <row r="8063" spans="1:1" x14ac:dyDescent="0.25">
      <c r="A8063" s="9">
        <v>6009200.2999999998</v>
      </c>
    </row>
    <row r="8064" spans="1:1" x14ac:dyDescent="0.25">
      <c r="A8064">
        <v>0</v>
      </c>
    </row>
    <row r="8065" spans="1:1" x14ac:dyDescent="0.25">
      <c r="A8065" s="9">
        <v>3090351.66</v>
      </c>
    </row>
    <row r="8066" spans="1:1" x14ac:dyDescent="0.25">
      <c r="A8066" s="9">
        <v>9284211.5500000007</v>
      </c>
    </row>
    <row r="8067" spans="1:1" x14ac:dyDescent="0.25">
      <c r="A8067" s="9">
        <v>179642.07</v>
      </c>
    </row>
    <row r="8068" spans="1:1" x14ac:dyDescent="0.25">
      <c r="A8068" s="9">
        <v>984924.929999999</v>
      </c>
    </row>
    <row r="8069" spans="1:1" x14ac:dyDescent="0.25">
      <c r="A8069" s="9">
        <v>2441747.16</v>
      </c>
    </row>
    <row r="8070" spans="1:1" x14ac:dyDescent="0.25">
      <c r="A8070" s="9">
        <v>37760567.539999999</v>
      </c>
    </row>
    <row r="8071" spans="1:1" x14ac:dyDescent="0.25">
      <c r="A8071" s="9">
        <v>2036941.35</v>
      </c>
    </row>
    <row r="8072" spans="1:1" x14ac:dyDescent="0.25">
      <c r="A8072">
        <v>0</v>
      </c>
    </row>
    <row r="8073" spans="1:1" x14ac:dyDescent="0.25">
      <c r="A8073" s="9">
        <v>5044198.24</v>
      </c>
    </row>
    <row r="8074" spans="1:1" x14ac:dyDescent="0.25">
      <c r="A8074" s="9">
        <v>206723.34</v>
      </c>
    </row>
    <row r="8075" spans="1:1" x14ac:dyDescent="0.25">
      <c r="A8075" s="9">
        <v>21011277.420000002</v>
      </c>
    </row>
    <row r="8076" spans="1:1" x14ac:dyDescent="0.25">
      <c r="A8076">
        <v>0</v>
      </c>
    </row>
    <row r="8077" spans="1:1" x14ac:dyDescent="0.25">
      <c r="A8077" s="9">
        <v>3121087.68</v>
      </c>
    </row>
    <row r="8078" spans="1:1" x14ac:dyDescent="0.25">
      <c r="A8078" s="9">
        <v>2233536.64</v>
      </c>
    </row>
    <row r="8079" spans="1:1" x14ac:dyDescent="0.25">
      <c r="A8079" s="9">
        <v>2544013.4900000002</v>
      </c>
    </row>
    <row r="8080" spans="1:1" x14ac:dyDescent="0.25">
      <c r="A8080" s="9">
        <v>29770092.539999999</v>
      </c>
    </row>
    <row r="8081" spans="1:1" x14ac:dyDescent="0.25">
      <c r="A8081" s="9">
        <v>692505.13</v>
      </c>
    </row>
    <row r="8082" spans="1:1" x14ac:dyDescent="0.25">
      <c r="A8082" s="9">
        <v>357438.18999999901</v>
      </c>
    </row>
    <row r="8083" spans="1:1" x14ac:dyDescent="0.25">
      <c r="A8083" s="9">
        <v>4513892.4800000004</v>
      </c>
    </row>
    <row r="8084" spans="1:1" x14ac:dyDescent="0.25">
      <c r="A8084" s="9">
        <v>1758866.89</v>
      </c>
    </row>
    <row r="8085" spans="1:1" x14ac:dyDescent="0.25">
      <c r="A8085" s="9">
        <v>1475954.03</v>
      </c>
    </row>
    <row r="8086" spans="1:1" x14ac:dyDescent="0.25">
      <c r="A8086">
        <v>0</v>
      </c>
    </row>
    <row r="8087" spans="1:1" x14ac:dyDescent="0.25">
      <c r="A8087">
        <v>0</v>
      </c>
    </row>
    <row r="8088" spans="1:1" x14ac:dyDescent="0.25">
      <c r="A8088" s="9">
        <v>2950924.99</v>
      </c>
    </row>
    <row r="8089" spans="1:1" x14ac:dyDescent="0.25">
      <c r="A8089" s="9">
        <v>36609.14</v>
      </c>
    </row>
    <row r="8090" spans="1:1" x14ac:dyDescent="0.25">
      <c r="A8090">
        <v>0</v>
      </c>
    </row>
    <row r="8091" spans="1:1" x14ac:dyDescent="0.25">
      <c r="A8091" s="9">
        <v>12108913.85</v>
      </c>
    </row>
    <row r="8092" spans="1:1" x14ac:dyDescent="0.25">
      <c r="A8092" s="9">
        <v>446514.83</v>
      </c>
    </row>
    <row r="8093" spans="1:1" x14ac:dyDescent="0.25">
      <c r="A8093" s="9">
        <v>54044275.490000002</v>
      </c>
    </row>
    <row r="8094" spans="1:1" x14ac:dyDescent="0.25">
      <c r="A8094" s="9">
        <v>451846.57</v>
      </c>
    </row>
    <row r="8095" spans="1:1" x14ac:dyDescent="0.25">
      <c r="A8095" s="9">
        <v>484184.46</v>
      </c>
    </row>
    <row r="8096" spans="1:1" x14ac:dyDescent="0.25">
      <c r="A8096" s="9">
        <v>6318820.3199999901</v>
      </c>
    </row>
    <row r="8097" spans="1:1" x14ac:dyDescent="0.25">
      <c r="A8097" s="9">
        <v>14959396.630000001</v>
      </c>
    </row>
    <row r="8098" spans="1:1" x14ac:dyDescent="0.25">
      <c r="A8098" s="9">
        <v>5201139.6499999901</v>
      </c>
    </row>
    <row r="8099" spans="1:1" x14ac:dyDescent="0.25">
      <c r="A8099" s="9">
        <v>3315920.74</v>
      </c>
    </row>
    <row r="8100" spans="1:1" x14ac:dyDescent="0.25">
      <c r="A8100" s="9">
        <v>24308047.670000002</v>
      </c>
    </row>
    <row r="8101" spans="1:1" x14ac:dyDescent="0.25">
      <c r="A8101" s="9">
        <v>4415614.3899999997</v>
      </c>
    </row>
    <row r="8102" spans="1:1" x14ac:dyDescent="0.25">
      <c r="A8102">
        <v>0</v>
      </c>
    </row>
    <row r="8103" spans="1:1" x14ac:dyDescent="0.25">
      <c r="A8103">
        <v>2811397</v>
      </c>
    </row>
    <row r="8104" spans="1:1" x14ac:dyDescent="0.25">
      <c r="A8104" s="9">
        <v>1877720.26</v>
      </c>
    </row>
    <row r="8105" spans="1:1" x14ac:dyDescent="0.25">
      <c r="A8105" s="9">
        <v>19981400.25</v>
      </c>
    </row>
    <row r="8106" spans="1:1" x14ac:dyDescent="0.25">
      <c r="A8106">
        <v>0</v>
      </c>
    </row>
    <row r="8107" spans="1:1" x14ac:dyDescent="0.25">
      <c r="A8107" s="9">
        <v>4911063.0999999996</v>
      </c>
    </row>
    <row r="8108" spans="1:1" x14ac:dyDescent="0.25">
      <c r="A8108" s="9">
        <v>1516758.1</v>
      </c>
    </row>
    <row r="8109" spans="1:1" x14ac:dyDescent="0.25">
      <c r="A8109">
        <v>0</v>
      </c>
    </row>
    <row r="8110" spans="1:1" x14ac:dyDescent="0.25">
      <c r="A8110" s="9">
        <v>5193019.4399999902</v>
      </c>
    </row>
    <row r="8111" spans="1:1" x14ac:dyDescent="0.25">
      <c r="A8111" s="9">
        <v>2199188.54</v>
      </c>
    </row>
    <row r="8112" spans="1:1" x14ac:dyDescent="0.25">
      <c r="A8112">
        <v>0</v>
      </c>
    </row>
    <row r="8113" spans="1:1" x14ac:dyDescent="0.25">
      <c r="A8113" s="9">
        <v>8551303.8699999899</v>
      </c>
    </row>
    <row r="8114" spans="1:1" x14ac:dyDescent="0.25">
      <c r="A8114" s="9">
        <v>16694417.939999999</v>
      </c>
    </row>
    <row r="8115" spans="1:1" x14ac:dyDescent="0.25">
      <c r="A8115" s="9">
        <v>16507164.42</v>
      </c>
    </row>
    <row r="8116" spans="1:1" x14ac:dyDescent="0.25">
      <c r="A8116" s="9">
        <v>7875015.8099999996</v>
      </c>
    </row>
    <row r="8117" spans="1:1" x14ac:dyDescent="0.25">
      <c r="A8117" s="9">
        <v>256707.1</v>
      </c>
    </row>
    <row r="8118" spans="1:1" x14ac:dyDescent="0.25">
      <c r="A8118">
        <v>0</v>
      </c>
    </row>
    <row r="8119" spans="1:1" x14ac:dyDescent="0.25">
      <c r="A8119" s="9">
        <v>8260375.02999999</v>
      </c>
    </row>
    <row r="8120" spans="1:1" x14ac:dyDescent="0.25">
      <c r="A8120">
        <v>0</v>
      </c>
    </row>
    <row r="8121" spans="1:1" x14ac:dyDescent="0.25">
      <c r="A8121" s="9">
        <v>1768886.85</v>
      </c>
    </row>
    <row r="8122" spans="1:1" x14ac:dyDescent="0.25">
      <c r="A8122" s="9">
        <v>3399285.6</v>
      </c>
    </row>
    <row r="8123" spans="1:1" x14ac:dyDescent="0.25">
      <c r="A8123" s="9">
        <v>7191478.0199999996</v>
      </c>
    </row>
    <row r="8124" spans="1:1" x14ac:dyDescent="0.25">
      <c r="A8124" s="9">
        <v>3314611.17</v>
      </c>
    </row>
    <row r="8125" spans="1:1" x14ac:dyDescent="0.25">
      <c r="A8125">
        <v>2922527</v>
      </c>
    </row>
    <row r="8126" spans="1:1" x14ac:dyDescent="0.25">
      <c r="A8126" s="9">
        <v>495053.88</v>
      </c>
    </row>
    <row r="8127" spans="1:1" x14ac:dyDescent="0.25">
      <c r="A8127">
        <v>0</v>
      </c>
    </row>
    <row r="8128" spans="1:1" x14ac:dyDescent="0.25">
      <c r="A8128" s="9">
        <v>10527047.08</v>
      </c>
    </row>
    <row r="8129" spans="1:1" x14ac:dyDescent="0.25">
      <c r="A8129" s="9">
        <v>483053.79</v>
      </c>
    </row>
    <row r="8130" spans="1:1" x14ac:dyDescent="0.25">
      <c r="A8130">
        <v>0</v>
      </c>
    </row>
    <row r="8131" spans="1:1" x14ac:dyDescent="0.25">
      <c r="A8131" s="9">
        <v>9987956.2299999893</v>
      </c>
    </row>
    <row r="8132" spans="1:1" x14ac:dyDescent="0.25">
      <c r="A8132" s="9">
        <v>253151.9</v>
      </c>
    </row>
    <row r="8133" spans="1:1" x14ac:dyDescent="0.25">
      <c r="A8133" s="9">
        <v>10218160.609999999</v>
      </c>
    </row>
    <row r="8134" spans="1:1" x14ac:dyDescent="0.25">
      <c r="A8134">
        <v>0</v>
      </c>
    </row>
    <row r="8135" spans="1:1" x14ac:dyDescent="0.25">
      <c r="A8135" s="9">
        <v>2434159.33</v>
      </c>
    </row>
    <row r="8136" spans="1:1" x14ac:dyDescent="0.25">
      <c r="A8136" s="9">
        <v>27080765.399999999</v>
      </c>
    </row>
    <row r="8137" spans="1:1" x14ac:dyDescent="0.25">
      <c r="A8137" s="9">
        <v>735887.07</v>
      </c>
    </row>
    <row r="8138" spans="1:1" x14ac:dyDescent="0.25">
      <c r="A8138">
        <v>0</v>
      </c>
    </row>
    <row r="8139" spans="1:1" x14ac:dyDescent="0.25">
      <c r="A8139" s="9">
        <v>693112.91999999899</v>
      </c>
    </row>
    <row r="8140" spans="1:1" x14ac:dyDescent="0.25">
      <c r="A8140">
        <v>0</v>
      </c>
    </row>
    <row r="8141" spans="1:1" x14ac:dyDescent="0.25">
      <c r="A8141">
        <v>0</v>
      </c>
    </row>
    <row r="8142" spans="1:1" x14ac:dyDescent="0.25">
      <c r="A8142">
        <v>0</v>
      </c>
    </row>
    <row r="8143" spans="1:1" x14ac:dyDescent="0.25">
      <c r="A8143" s="9">
        <v>10819784.619999999</v>
      </c>
    </row>
    <row r="8144" spans="1:1" x14ac:dyDescent="0.25">
      <c r="A8144" s="9">
        <v>5407515.0999999996</v>
      </c>
    </row>
    <row r="8145" spans="1:1" x14ac:dyDescent="0.25">
      <c r="A8145">
        <v>0</v>
      </c>
    </row>
    <row r="8146" spans="1:1" x14ac:dyDescent="0.25">
      <c r="A8146" s="9">
        <v>2235541.19</v>
      </c>
    </row>
    <row r="8147" spans="1:1" x14ac:dyDescent="0.25">
      <c r="A8147" s="9">
        <v>6807404.8799999999</v>
      </c>
    </row>
    <row r="8148" spans="1:1" x14ac:dyDescent="0.25">
      <c r="A8148" s="9">
        <v>759671.08</v>
      </c>
    </row>
    <row r="8149" spans="1:1" x14ac:dyDescent="0.25">
      <c r="A8149" s="9">
        <v>11129867.890000001</v>
      </c>
    </row>
    <row r="8150" spans="1:1" x14ac:dyDescent="0.25">
      <c r="A8150" s="9">
        <v>12725334.67</v>
      </c>
    </row>
    <row r="8151" spans="1:1" x14ac:dyDescent="0.25">
      <c r="A8151" s="9">
        <v>3296476.99</v>
      </c>
    </row>
    <row r="8152" spans="1:1" x14ac:dyDescent="0.25">
      <c r="A8152" s="9">
        <v>73872.959999999905</v>
      </c>
    </row>
    <row r="8153" spans="1:1" x14ac:dyDescent="0.25">
      <c r="A8153" s="9">
        <v>510277.31</v>
      </c>
    </row>
    <row r="8154" spans="1:1" x14ac:dyDescent="0.25">
      <c r="A8154" s="9">
        <v>28385481.399999999</v>
      </c>
    </row>
    <row r="8155" spans="1:1" x14ac:dyDescent="0.25">
      <c r="A8155" s="9">
        <v>3089734.44</v>
      </c>
    </row>
    <row r="8156" spans="1:1" x14ac:dyDescent="0.25">
      <c r="A8156" s="9">
        <v>20262904.739999998</v>
      </c>
    </row>
    <row r="8157" spans="1:1" x14ac:dyDescent="0.25">
      <c r="A8157" s="9">
        <v>4475451.72</v>
      </c>
    </row>
    <row r="8158" spans="1:1" x14ac:dyDescent="0.25">
      <c r="A8158" s="9">
        <v>155658.72</v>
      </c>
    </row>
    <row r="8159" spans="1:1" x14ac:dyDescent="0.25">
      <c r="A8159" s="9">
        <v>1657964.81</v>
      </c>
    </row>
    <row r="8160" spans="1:1" x14ac:dyDescent="0.25">
      <c r="A8160">
        <v>498255</v>
      </c>
    </row>
    <row r="8161" spans="1:1" x14ac:dyDescent="0.25">
      <c r="A8161" s="9">
        <v>331637.07</v>
      </c>
    </row>
    <row r="8162" spans="1:1" x14ac:dyDescent="0.25">
      <c r="A8162" s="9">
        <v>3036541.66</v>
      </c>
    </row>
    <row r="8163" spans="1:1" x14ac:dyDescent="0.25">
      <c r="A8163" s="9">
        <v>6050648.7800000003</v>
      </c>
    </row>
    <row r="8164" spans="1:1" x14ac:dyDescent="0.25">
      <c r="A8164" s="9">
        <v>435958.78</v>
      </c>
    </row>
    <row r="8165" spans="1:1" x14ac:dyDescent="0.25">
      <c r="A8165" s="9">
        <v>99400.13</v>
      </c>
    </row>
    <row r="8166" spans="1:1" x14ac:dyDescent="0.25">
      <c r="A8166" s="9">
        <v>460760.09</v>
      </c>
    </row>
    <row r="8167" spans="1:1" x14ac:dyDescent="0.25">
      <c r="A8167" s="9">
        <v>571539.34</v>
      </c>
    </row>
    <row r="8168" spans="1:1" x14ac:dyDescent="0.25">
      <c r="A8168" s="9">
        <v>33249070.27</v>
      </c>
    </row>
    <row r="8169" spans="1:1" x14ac:dyDescent="0.25">
      <c r="A8169" s="9">
        <v>6496503.0499999998</v>
      </c>
    </row>
    <row r="8170" spans="1:1" x14ac:dyDescent="0.25">
      <c r="A8170" s="9">
        <v>3619887.52</v>
      </c>
    </row>
    <row r="8171" spans="1:1" x14ac:dyDescent="0.25">
      <c r="A8171" s="9">
        <v>28961006.84</v>
      </c>
    </row>
    <row r="8172" spans="1:1" x14ac:dyDescent="0.25">
      <c r="A8172" s="9">
        <v>11030118.039999999</v>
      </c>
    </row>
    <row r="8173" spans="1:1" x14ac:dyDescent="0.25">
      <c r="A8173" s="9">
        <v>1523249.47</v>
      </c>
    </row>
    <row r="8174" spans="1:1" x14ac:dyDescent="0.25">
      <c r="A8174">
        <v>0</v>
      </c>
    </row>
    <row r="8175" spans="1:1" x14ac:dyDescent="0.25">
      <c r="A8175" s="9">
        <v>2091656.54</v>
      </c>
    </row>
    <row r="8176" spans="1:1" x14ac:dyDescent="0.25">
      <c r="A8176">
        <v>0</v>
      </c>
    </row>
    <row r="8177" spans="1:1" x14ac:dyDescent="0.25">
      <c r="A8177" s="9">
        <v>359401.03</v>
      </c>
    </row>
    <row r="8178" spans="1:1" x14ac:dyDescent="0.25">
      <c r="A8178" s="9">
        <v>15801530.33</v>
      </c>
    </row>
    <row r="8179" spans="1:1" x14ac:dyDescent="0.25">
      <c r="A8179" s="9">
        <v>2313323.5099999998</v>
      </c>
    </row>
    <row r="8180" spans="1:1" x14ac:dyDescent="0.25">
      <c r="A8180" s="9">
        <v>3390148.66</v>
      </c>
    </row>
    <row r="8181" spans="1:1" x14ac:dyDescent="0.25">
      <c r="A8181" s="9">
        <v>1197103.76</v>
      </c>
    </row>
    <row r="8182" spans="1:1" x14ac:dyDescent="0.25">
      <c r="A8182">
        <v>0</v>
      </c>
    </row>
    <row r="8183" spans="1:1" x14ac:dyDescent="0.25">
      <c r="A8183" s="9">
        <v>124799.53</v>
      </c>
    </row>
    <row r="8184" spans="1:1" x14ac:dyDescent="0.25">
      <c r="A8184">
        <v>10840326</v>
      </c>
    </row>
    <row r="8185" spans="1:1" x14ac:dyDescent="0.25">
      <c r="A8185" s="9">
        <v>620616.06999999995</v>
      </c>
    </row>
    <row r="8186" spans="1:1" x14ac:dyDescent="0.25">
      <c r="A8186" s="9">
        <v>1132641.73</v>
      </c>
    </row>
    <row r="8187" spans="1:1" x14ac:dyDescent="0.25">
      <c r="A8187" s="9">
        <v>414592.7</v>
      </c>
    </row>
    <row r="8188" spans="1:1" x14ac:dyDescent="0.25">
      <c r="A8188" s="9">
        <v>8312054.3999999901</v>
      </c>
    </row>
    <row r="8189" spans="1:1" x14ac:dyDescent="0.25">
      <c r="A8189">
        <v>0</v>
      </c>
    </row>
    <row r="8190" spans="1:1" x14ac:dyDescent="0.25">
      <c r="A8190" s="9">
        <v>2942176.06</v>
      </c>
    </row>
    <row r="8191" spans="1:1" x14ac:dyDescent="0.25">
      <c r="A8191" s="9">
        <v>323915.87</v>
      </c>
    </row>
    <row r="8192" spans="1:1" x14ac:dyDescent="0.25">
      <c r="A8192" s="9">
        <v>4247757.53</v>
      </c>
    </row>
    <row r="8193" spans="1:1" x14ac:dyDescent="0.25">
      <c r="A8193" s="9">
        <v>2543293.86</v>
      </c>
    </row>
    <row r="8194" spans="1:1" x14ac:dyDescent="0.25">
      <c r="A8194">
        <v>0</v>
      </c>
    </row>
    <row r="8195" spans="1:1" x14ac:dyDescent="0.25">
      <c r="A8195" s="9">
        <v>348559.11</v>
      </c>
    </row>
    <row r="8196" spans="1:1" x14ac:dyDescent="0.25">
      <c r="A8196" s="9">
        <v>4272416.53</v>
      </c>
    </row>
    <row r="8197" spans="1:1" x14ac:dyDescent="0.25">
      <c r="A8197" s="9">
        <v>3245393.16</v>
      </c>
    </row>
    <row r="8198" spans="1:1" x14ac:dyDescent="0.25">
      <c r="A8198" s="9">
        <v>20145218.25</v>
      </c>
    </row>
    <row r="8199" spans="1:1" x14ac:dyDescent="0.25">
      <c r="A8199" s="9">
        <v>12380122.49</v>
      </c>
    </row>
    <row r="8200" spans="1:1" x14ac:dyDescent="0.25">
      <c r="A8200" s="9">
        <v>1014615.94</v>
      </c>
    </row>
    <row r="8201" spans="1:1" x14ac:dyDescent="0.25">
      <c r="A8201" s="9">
        <v>73872.959999999905</v>
      </c>
    </row>
    <row r="8202" spans="1:1" x14ac:dyDescent="0.25">
      <c r="A8202" s="9">
        <v>2139182.0800000001</v>
      </c>
    </row>
    <row r="8203" spans="1:1" x14ac:dyDescent="0.25">
      <c r="A8203" s="9">
        <v>1729945.64</v>
      </c>
    </row>
    <row r="8204" spans="1:1" x14ac:dyDescent="0.25">
      <c r="A8204" s="9">
        <v>2524736.0099999998</v>
      </c>
    </row>
    <row r="8205" spans="1:1" x14ac:dyDescent="0.25">
      <c r="A8205" s="9">
        <v>6221133.3099999996</v>
      </c>
    </row>
    <row r="8206" spans="1:1" x14ac:dyDescent="0.25">
      <c r="A8206" s="9">
        <v>4852682.45</v>
      </c>
    </row>
    <row r="8207" spans="1:1" x14ac:dyDescent="0.25">
      <c r="A8207">
        <v>0</v>
      </c>
    </row>
    <row r="8208" spans="1:1" x14ac:dyDescent="0.25">
      <c r="A8208" s="9">
        <v>1664384.96</v>
      </c>
    </row>
    <row r="8209" spans="1:1" x14ac:dyDescent="0.25">
      <c r="A8209" s="9">
        <v>110670.62</v>
      </c>
    </row>
    <row r="8210" spans="1:1" x14ac:dyDescent="0.25">
      <c r="A8210" s="9">
        <v>3121087.68</v>
      </c>
    </row>
    <row r="8211" spans="1:1" x14ac:dyDescent="0.25">
      <c r="A8211" s="9">
        <v>6076364.4499999899</v>
      </c>
    </row>
    <row r="8212" spans="1:1" x14ac:dyDescent="0.25">
      <c r="A8212" s="9">
        <v>4745127.9000000004</v>
      </c>
    </row>
    <row r="8213" spans="1:1" x14ac:dyDescent="0.25">
      <c r="A8213" s="9">
        <v>34151120.880000003</v>
      </c>
    </row>
    <row r="8214" spans="1:1" x14ac:dyDescent="0.25">
      <c r="A8214" s="9">
        <v>7296076.0499999998</v>
      </c>
    </row>
    <row r="8215" spans="1:1" x14ac:dyDescent="0.25">
      <c r="A8215" s="9">
        <v>3359576.47</v>
      </c>
    </row>
    <row r="8216" spans="1:1" x14ac:dyDescent="0.25">
      <c r="A8216" s="9">
        <v>5622468.9000000004</v>
      </c>
    </row>
    <row r="8217" spans="1:1" x14ac:dyDescent="0.25">
      <c r="A8217" s="9">
        <v>6768114.02999999</v>
      </c>
    </row>
    <row r="8218" spans="1:1" x14ac:dyDescent="0.25">
      <c r="A8218" s="9">
        <v>5352699.9399999902</v>
      </c>
    </row>
    <row r="8219" spans="1:1" x14ac:dyDescent="0.25">
      <c r="A8219" s="9">
        <v>4370337.48999999</v>
      </c>
    </row>
    <row r="8220" spans="1:1" x14ac:dyDescent="0.25">
      <c r="A8220" s="9">
        <v>63852.12</v>
      </c>
    </row>
    <row r="8221" spans="1:1" x14ac:dyDescent="0.25">
      <c r="A8221" s="9">
        <v>969889.04</v>
      </c>
    </row>
    <row r="8222" spans="1:1" x14ac:dyDescent="0.25">
      <c r="A8222" s="9">
        <v>5832322.4100000001</v>
      </c>
    </row>
    <row r="8223" spans="1:1" x14ac:dyDescent="0.25">
      <c r="A8223" s="9">
        <v>43713.93</v>
      </c>
    </row>
    <row r="8224" spans="1:1" x14ac:dyDescent="0.25">
      <c r="A8224" s="9">
        <v>548299.02</v>
      </c>
    </row>
    <row r="8225" spans="1:1" x14ac:dyDescent="0.25">
      <c r="A8225">
        <v>0</v>
      </c>
    </row>
    <row r="8226" spans="1:1" x14ac:dyDescent="0.25">
      <c r="A8226" s="9">
        <v>4924847.55</v>
      </c>
    </row>
    <row r="8227" spans="1:1" x14ac:dyDescent="0.25">
      <c r="A8227" s="9">
        <v>2480847.6</v>
      </c>
    </row>
    <row r="8228" spans="1:1" x14ac:dyDescent="0.25">
      <c r="A8228" s="9">
        <v>11205611.84</v>
      </c>
    </row>
    <row r="8229" spans="1:1" x14ac:dyDescent="0.25">
      <c r="A8229" s="9">
        <v>82988.849999999904</v>
      </c>
    </row>
    <row r="8230" spans="1:1" x14ac:dyDescent="0.25">
      <c r="A8230" s="9">
        <v>10204838.41</v>
      </c>
    </row>
    <row r="8231" spans="1:1" x14ac:dyDescent="0.25">
      <c r="A8231" s="9">
        <v>4790920.79</v>
      </c>
    </row>
    <row r="8232" spans="1:1" x14ac:dyDescent="0.25">
      <c r="A8232" s="9">
        <v>275912.42</v>
      </c>
    </row>
    <row r="8233" spans="1:1" x14ac:dyDescent="0.25">
      <c r="A8233" s="9">
        <v>2807325.6</v>
      </c>
    </row>
    <row r="8234" spans="1:1" x14ac:dyDescent="0.25">
      <c r="A8234" s="9">
        <v>1132330.24</v>
      </c>
    </row>
    <row r="8235" spans="1:1" x14ac:dyDescent="0.25">
      <c r="A8235" s="9">
        <v>167119.70000000001</v>
      </c>
    </row>
    <row r="8236" spans="1:1" x14ac:dyDescent="0.25">
      <c r="A8236">
        <v>0</v>
      </c>
    </row>
    <row r="8237" spans="1:1" x14ac:dyDescent="0.25">
      <c r="A8237" s="9">
        <v>2834831.78</v>
      </c>
    </row>
    <row r="8238" spans="1:1" x14ac:dyDescent="0.25">
      <c r="A8238" s="9">
        <v>324880.15000000002</v>
      </c>
    </row>
    <row r="8239" spans="1:1" x14ac:dyDescent="0.25">
      <c r="A8239">
        <v>0</v>
      </c>
    </row>
    <row r="8240" spans="1:1" x14ac:dyDescent="0.25">
      <c r="A8240" s="9">
        <v>170807.67999999999</v>
      </c>
    </row>
    <row r="8241" spans="1:1" x14ac:dyDescent="0.25">
      <c r="A8241">
        <v>0</v>
      </c>
    </row>
    <row r="8242" spans="1:1" x14ac:dyDescent="0.25">
      <c r="A8242" s="9">
        <v>11319677.6</v>
      </c>
    </row>
    <row r="8243" spans="1:1" x14ac:dyDescent="0.25">
      <c r="A8243" s="9">
        <v>47829.8</v>
      </c>
    </row>
    <row r="8244" spans="1:1" x14ac:dyDescent="0.25">
      <c r="A8244" s="9">
        <v>5532237.3300000001</v>
      </c>
    </row>
    <row r="8245" spans="1:1" x14ac:dyDescent="0.25">
      <c r="A8245" s="9">
        <v>21255258.719999999</v>
      </c>
    </row>
    <row r="8246" spans="1:1" x14ac:dyDescent="0.25">
      <c r="A8246" s="9">
        <v>25783892.219999999</v>
      </c>
    </row>
    <row r="8247" spans="1:1" x14ac:dyDescent="0.25">
      <c r="A8247" s="9">
        <v>6641593.9800000004</v>
      </c>
    </row>
    <row r="8248" spans="1:1" x14ac:dyDescent="0.25">
      <c r="A8248" s="9">
        <v>3033892.6</v>
      </c>
    </row>
    <row r="8249" spans="1:1" x14ac:dyDescent="0.25">
      <c r="A8249" s="9">
        <v>30113394.98</v>
      </c>
    </row>
    <row r="8250" spans="1:1" x14ac:dyDescent="0.25">
      <c r="A8250" s="9">
        <v>8426759.4100000001</v>
      </c>
    </row>
    <row r="8251" spans="1:1" x14ac:dyDescent="0.25">
      <c r="A8251" s="9">
        <v>237304.48</v>
      </c>
    </row>
    <row r="8252" spans="1:1" x14ac:dyDescent="0.25">
      <c r="A8252">
        <v>0</v>
      </c>
    </row>
    <row r="8253" spans="1:1" x14ac:dyDescent="0.25">
      <c r="A8253" s="9">
        <v>8773903.7400000002</v>
      </c>
    </row>
    <row r="8254" spans="1:1" x14ac:dyDescent="0.25">
      <c r="A8254" s="9">
        <v>18720122.18</v>
      </c>
    </row>
    <row r="8255" spans="1:1" x14ac:dyDescent="0.25">
      <c r="A8255" s="9">
        <v>21121910.73</v>
      </c>
    </row>
    <row r="8256" spans="1:1" x14ac:dyDescent="0.25">
      <c r="A8256" s="9">
        <v>56193.02</v>
      </c>
    </row>
    <row r="8257" spans="1:1" x14ac:dyDescent="0.25">
      <c r="A8257">
        <v>0</v>
      </c>
    </row>
    <row r="8258" spans="1:1" x14ac:dyDescent="0.25">
      <c r="A8258" s="9">
        <v>20953616.77</v>
      </c>
    </row>
    <row r="8259" spans="1:1" x14ac:dyDescent="0.25">
      <c r="A8259" s="9">
        <v>18626274.75</v>
      </c>
    </row>
    <row r="8260" spans="1:1" x14ac:dyDescent="0.25">
      <c r="A8260" s="9">
        <v>2577542.02</v>
      </c>
    </row>
    <row r="8261" spans="1:1" x14ac:dyDescent="0.25">
      <c r="A8261">
        <v>0</v>
      </c>
    </row>
    <row r="8262" spans="1:1" x14ac:dyDescent="0.25">
      <c r="A8262" s="9">
        <v>56662741.890000001</v>
      </c>
    </row>
    <row r="8263" spans="1:1" x14ac:dyDescent="0.25">
      <c r="A8263" s="9">
        <v>4652271.42</v>
      </c>
    </row>
    <row r="8264" spans="1:1" x14ac:dyDescent="0.25">
      <c r="A8264">
        <v>0</v>
      </c>
    </row>
    <row r="8265" spans="1:1" x14ac:dyDescent="0.25">
      <c r="A8265" s="9">
        <v>6717432.2800000003</v>
      </c>
    </row>
    <row r="8266" spans="1:1" x14ac:dyDescent="0.25">
      <c r="A8266" s="9">
        <v>20736831.07</v>
      </c>
    </row>
    <row r="8267" spans="1:1" x14ac:dyDescent="0.25">
      <c r="A8267" s="9">
        <v>32156765.48</v>
      </c>
    </row>
    <row r="8268" spans="1:1" x14ac:dyDescent="0.25">
      <c r="A8268">
        <v>797124</v>
      </c>
    </row>
    <row r="8269" spans="1:1" x14ac:dyDescent="0.25">
      <c r="A8269" s="9">
        <v>15988745.869999999</v>
      </c>
    </row>
    <row r="8270" spans="1:1" x14ac:dyDescent="0.25">
      <c r="A8270" s="9">
        <v>784328.41</v>
      </c>
    </row>
    <row r="8271" spans="1:1" x14ac:dyDescent="0.25">
      <c r="A8271" s="9">
        <v>9502464.2100000009</v>
      </c>
    </row>
    <row r="8272" spans="1:1" x14ac:dyDescent="0.25">
      <c r="A8272" s="9">
        <v>124401.86</v>
      </c>
    </row>
    <row r="8273" spans="1:1" x14ac:dyDescent="0.25">
      <c r="A8273" s="9">
        <v>21146456.510000002</v>
      </c>
    </row>
    <row r="8274" spans="1:1" x14ac:dyDescent="0.25">
      <c r="A8274" s="9">
        <v>2928156.67</v>
      </c>
    </row>
    <row r="8275" spans="1:1" x14ac:dyDescent="0.25">
      <c r="A8275" s="9">
        <v>19239392.91</v>
      </c>
    </row>
    <row r="8276" spans="1:1" x14ac:dyDescent="0.25">
      <c r="A8276" s="9">
        <v>942742.179999999</v>
      </c>
    </row>
    <row r="8277" spans="1:1" x14ac:dyDescent="0.25">
      <c r="A8277">
        <v>0</v>
      </c>
    </row>
    <row r="8278" spans="1:1" x14ac:dyDescent="0.25">
      <c r="A8278">
        <v>0</v>
      </c>
    </row>
    <row r="8279" spans="1:1" x14ac:dyDescent="0.25">
      <c r="A8279" s="9">
        <v>177629.35</v>
      </c>
    </row>
    <row r="8280" spans="1:1" x14ac:dyDescent="0.25">
      <c r="A8280" s="9">
        <v>10541661.77</v>
      </c>
    </row>
    <row r="8281" spans="1:1" x14ac:dyDescent="0.25">
      <c r="A8281" s="9">
        <v>1074912.7</v>
      </c>
    </row>
    <row r="8282" spans="1:1" x14ac:dyDescent="0.25">
      <c r="A8282" s="9">
        <v>2522896.66</v>
      </c>
    </row>
    <row r="8283" spans="1:1" x14ac:dyDescent="0.25">
      <c r="A8283" s="9">
        <v>14393051.66</v>
      </c>
    </row>
    <row r="8284" spans="1:1" x14ac:dyDescent="0.25">
      <c r="A8284" s="9">
        <v>10678011.140000001</v>
      </c>
    </row>
    <row r="8285" spans="1:1" x14ac:dyDescent="0.25">
      <c r="A8285">
        <v>0</v>
      </c>
    </row>
    <row r="8286" spans="1:1" x14ac:dyDescent="0.25">
      <c r="A8286" s="9">
        <v>302155.78000000003</v>
      </c>
    </row>
    <row r="8287" spans="1:1" x14ac:dyDescent="0.25">
      <c r="A8287" s="9">
        <v>4354463.66</v>
      </c>
    </row>
    <row r="8288" spans="1:1" x14ac:dyDescent="0.25">
      <c r="A8288" s="9">
        <v>1620998.54</v>
      </c>
    </row>
    <row r="8289" spans="1:1" x14ac:dyDescent="0.25">
      <c r="A8289" s="9">
        <v>27773197.530000001</v>
      </c>
    </row>
    <row r="8290" spans="1:1" x14ac:dyDescent="0.25">
      <c r="A8290" s="9">
        <v>6821892.29</v>
      </c>
    </row>
    <row r="8291" spans="1:1" x14ac:dyDescent="0.25">
      <c r="A8291" s="9">
        <v>287038.08000000002</v>
      </c>
    </row>
    <row r="8292" spans="1:1" x14ac:dyDescent="0.25">
      <c r="A8292" s="9">
        <v>8053069.6200000001</v>
      </c>
    </row>
    <row r="8293" spans="1:1" x14ac:dyDescent="0.25">
      <c r="A8293" s="9">
        <v>2869213.33</v>
      </c>
    </row>
    <row r="8294" spans="1:1" x14ac:dyDescent="0.25">
      <c r="A8294" s="9">
        <v>65788.36</v>
      </c>
    </row>
    <row r="8295" spans="1:1" x14ac:dyDescent="0.25">
      <c r="A8295">
        <v>0</v>
      </c>
    </row>
    <row r="8296" spans="1:1" x14ac:dyDescent="0.25">
      <c r="A8296" s="9">
        <v>184735.48</v>
      </c>
    </row>
    <row r="8297" spans="1:1" x14ac:dyDescent="0.25">
      <c r="A8297" s="9">
        <v>4385924.3899999997</v>
      </c>
    </row>
    <row r="8298" spans="1:1" x14ac:dyDescent="0.25">
      <c r="A8298">
        <v>0</v>
      </c>
    </row>
    <row r="8299" spans="1:1" x14ac:dyDescent="0.25">
      <c r="A8299">
        <v>0</v>
      </c>
    </row>
    <row r="8300" spans="1:1" x14ac:dyDescent="0.25">
      <c r="A8300">
        <v>0</v>
      </c>
    </row>
    <row r="8301" spans="1:1" x14ac:dyDescent="0.25">
      <c r="A8301" s="9">
        <v>6881212.2899999898</v>
      </c>
    </row>
    <row r="8302" spans="1:1" x14ac:dyDescent="0.25">
      <c r="A8302">
        <v>0</v>
      </c>
    </row>
    <row r="8303" spans="1:1" x14ac:dyDescent="0.25">
      <c r="A8303" s="9">
        <v>2641775.7999999998</v>
      </c>
    </row>
    <row r="8304" spans="1:1" x14ac:dyDescent="0.25">
      <c r="A8304">
        <v>0</v>
      </c>
    </row>
    <row r="8305" spans="1:1" x14ac:dyDescent="0.25">
      <c r="A8305" s="9">
        <v>5393934.5099999998</v>
      </c>
    </row>
    <row r="8306" spans="1:1" x14ac:dyDescent="0.25">
      <c r="A8306" s="9">
        <v>4857953.88</v>
      </c>
    </row>
    <row r="8307" spans="1:1" x14ac:dyDescent="0.25">
      <c r="A8307" s="9">
        <v>14627388.6</v>
      </c>
    </row>
    <row r="8308" spans="1:1" x14ac:dyDescent="0.25">
      <c r="A8308" s="9">
        <v>28366309.52</v>
      </c>
    </row>
    <row r="8309" spans="1:1" x14ac:dyDescent="0.25">
      <c r="A8309" s="9">
        <v>3216796.83</v>
      </c>
    </row>
    <row r="8310" spans="1:1" x14ac:dyDescent="0.25">
      <c r="A8310" s="9">
        <v>4889731.04</v>
      </c>
    </row>
    <row r="8311" spans="1:1" x14ac:dyDescent="0.25">
      <c r="A8311">
        <v>0</v>
      </c>
    </row>
    <row r="8312" spans="1:1" x14ac:dyDescent="0.25">
      <c r="A8312" s="9">
        <v>21265125.579999998</v>
      </c>
    </row>
    <row r="8313" spans="1:1" x14ac:dyDescent="0.25">
      <c r="A8313" s="9">
        <v>1424870.8</v>
      </c>
    </row>
    <row r="8314" spans="1:1" x14ac:dyDescent="0.25">
      <c r="A8314" s="9">
        <v>30592861.710000001</v>
      </c>
    </row>
    <row r="8315" spans="1:1" x14ac:dyDescent="0.25">
      <c r="A8315" s="9">
        <v>289782.42</v>
      </c>
    </row>
    <row r="8316" spans="1:1" x14ac:dyDescent="0.25">
      <c r="A8316" s="9">
        <v>1068321.57</v>
      </c>
    </row>
    <row r="8317" spans="1:1" x14ac:dyDescent="0.25">
      <c r="A8317">
        <v>0</v>
      </c>
    </row>
    <row r="8318" spans="1:1" x14ac:dyDescent="0.25">
      <c r="A8318">
        <v>0</v>
      </c>
    </row>
    <row r="8319" spans="1:1" x14ac:dyDescent="0.25">
      <c r="A8319" s="9">
        <v>6513378.6599999899</v>
      </c>
    </row>
    <row r="8320" spans="1:1" x14ac:dyDescent="0.25">
      <c r="A8320">
        <v>0</v>
      </c>
    </row>
    <row r="8321" spans="1:1" x14ac:dyDescent="0.25">
      <c r="A8321" s="9">
        <v>1250164.52</v>
      </c>
    </row>
    <row r="8322" spans="1:1" x14ac:dyDescent="0.25">
      <c r="A8322" s="9">
        <v>2739364.74</v>
      </c>
    </row>
    <row r="8323" spans="1:1" x14ac:dyDescent="0.25">
      <c r="A8323" s="9">
        <v>10309635.210000001</v>
      </c>
    </row>
    <row r="8324" spans="1:1" x14ac:dyDescent="0.25">
      <c r="A8324" s="9">
        <v>2826421.5</v>
      </c>
    </row>
    <row r="8325" spans="1:1" x14ac:dyDescent="0.25">
      <c r="A8325" s="9">
        <v>8331247.46</v>
      </c>
    </row>
    <row r="8326" spans="1:1" x14ac:dyDescent="0.25">
      <c r="A8326" s="9">
        <v>197756.64</v>
      </c>
    </row>
    <row r="8327" spans="1:1" x14ac:dyDescent="0.25">
      <c r="A8327" s="9">
        <v>12909364.16</v>
      </c>
    </row>
    <row r="8328" spans="1:1" x14ac:dyDescent="0.25">
      <c r="A8328">
        <v>0</v>
      </c>
    </row>
    <row r="8329" spans="1:1" x14ac:dyDescent="0.25">
      <c r="A8329" s="9">
        <v>2338784.9500000002</v>
      </c>
    </row>
    <row r="8330" spans="1:1" x14ac:dyDescent="0.25">
      <c r="A8330" s="9">
        <v>7807925.1699999999</v>
      </c>
    </row>
    <row r="8331" spans="1:1" x14ac:dyDescent="0.25">
      <c r="A8331" s="9">
        <v>237404.7</v>
      </c>
    </row>
    <row r="8332" spans="1:1" x14ac:dyDescent="0.25">
      <c r="A8332" s="9">
        <v>179642.07</v>
      </c>
    </row>
    <row r="8333" spans="1:1" x14ac:dyDescent="0.25">
      <c r="A8333" s="9">
        <v>180596.36</v>
      </c>
    </row>
    <row r="8334" spans="1:1" x14ac:dyDescent="0.25">
      <c r="A8334" s="9">
        <v>1524739.23</v>
      </c>
    </row>
    <row r="8335" spans="1:1" x14ac:dyDescent="0.25">
      <c r="A8335" s="9">
        <v>5210201.09</v>
      </c>
    </row>
    <row r="8336" spans="1:1" x14ac:dyDescent="0.25">
      <c r="A8336" s="9">
        <v>20643483.760000002</v>
      </c>
    </row>
    <row r="8337" spans="1:1" x14ac:dyDescent="0.25">
      <c r="A8337" s="9">
        <v>573083.18000000005</v>
      </c>
    </row>
    <row r="8338" spans="1:1" x14ac:dyDescent="0.25">
      <c r="A8338" s="9">
        <v>19444169.579999998</v>
      </c>
    </row>
    <row r="8339" spans="1:1" x14ac:dyDescent="0.25">
      <c r="A8339" s="9">
        <v>7062974.7599999998</v>
      </c>
    </row>
    <row r="8340" spans="1:1" x14ac:dyDescent="0.25">
      <c r="A8340" s="9">
        <v>2233536.64</v>
      </c>
    </row>
    <row r="8341" spans="1:1" x14ac:dyDescent="0.25">
      <c r="A8341">
        <v>0</v>
      </c>
    </row>
    <row r="8342" spans="1:1" x14ac:dyDescent="0.25">
      <c r="A8342" s="9">
        <v>1363345.85</v>
      </c>
    </row>
    <row r="8343" spans="1:1" x14ac:dyDescent="0.25">
      <c r="A8343" s="9">
        <v>2961056.44</v>
      </c>
    </row>
    <row r="8344" spans="1:1" x14ac:dyDescent="0.25">
      <c r="A8344">
        <v>0</v>
      </c>
    </row>
    <row r="8345" spans="1:1" x14ac:dyDescent="0.25">
      <c r="A8345" s="9">
        <v>151877.25</v>
      </c>
    </row>
    <row r="8346" spans="1:1" x14ac:dyDescent="0.25">
      <c r="A8346" s="9">
        <v>16190256.17</v>
      </c>
    </row>
    <row r="8347" spans="1:1" x14ac:dyDescent="0.25">
      <c r="A8347" s="9">
        <v>26067302.379999999</v>
      </c>
    </row>
    <row r="8348" spans="1:1" x14ac:dyDescent="0.25">
      <c r="A8348">
        <v>0</v>
      </c>
    </row>
    <row r="8349" spans="1:1" x14ac:dyDescent="0.25">
      <c r="A8349" s="9">
        <v>2589163.69</v>
      </c>
    </row>
    <row r="8350" spans="1:1" x14ac:dyDescent="0.25">
      <c r="A8350" s="9">
        <v>1275909.24</v>
      </c>
    </row>
    <row r="8351" spans="1:1" x14ac:dyDescent="0.25">
      <c r="A8351" s="9">
        <v>3002195.33</v>
      </c>
    </row>
    <row r="8352" spans="1:1" x14ac:dyDescent="0.25">
      <c r="A8352" s="9">
        <v>1785753.55</v>
      </c>
    </row>
    <row r="8353" spans="1:1" x14ac:dyDescent="0.25">
      <c r="A8353" s="9">
        <v>13230897.24</v>
      </c>
    </row>
    <row r="8354" spans="1:1" x14ac:dyDescent="0.25">
      <c r="A8354" s="9">
        <v>293152.12</v>
      </c>
    </row>
    <row r="8355" spans="1:1" x14ac:dyDescent="0.25">
      <c r="A8355" s="9">
        <v>21982654.670000002</v>
      </c>
    </row>
    <row r="8356" spans="1:1" x14ac:dyDescent="0.25">
      <c r="A8356">
        <v>0</v>
      </c>
    </row>
    <row r="8357" spans="1:1" x14ac:dyDescent="0.25">
      <c r="A8357">
        <v>0</v>
      </c>
    </row>
    <row r="8358" spans="1:1" x14ac:dyDescent="0.25">
      <c r="A8358" s="9">
        <v>3433030.06</v>
      </c>
    </row>
    <row r="8359" spans="1:1" x14ac:dyDescent="0.25">
      <c r="A8359" s="9">
        <v>1174774.3999999999</v>
      </c>
    </row>
    <row r="8360" spans="1:1" x14ac:dyDescent="0.25">
      <c r="A8360" s="9">
        <v>182732.2</v>
      </c>
    </row>
    <row r="8361" spans="1:1" x14ac:dyDescent="0.25">
      <c r="A8361">
        <v>0</v>
      </c>
    </row>
    <row r="8362" spans="1:1" x14ac:dyDescent="0.25">
      <c r="A8362">
        <v>0</v>
      </c>
    </row>
    <row r="8363" spans="1:1" x14ac:dyDescent="0.25">
      <c r="A8363" s="9">
        <v>289421.53999999998</v>
      </c>
    </row>
    <row r="8364" spans="1:1" x14ac:dyDescent="0.25">
      <c r="A8364" s="9">
        <v>375156.64</v>
      </c>
    </row>
    <row r="8365" spans="1:1" x14ac:dyDescent="0.25">
      <c r="A8365" s="9">
        <v>4301986.32</v>
      </c>
    </row>
    <row r="8366" spans="1:1" x14ac:dyDescent="0.25">
      <c r="A8366" s="9">
        <v>149771.68</v>
      </c>
    </row>
    <row r="8367" spans="1:1" x14ac:dyDescent="0.25">
      <c r="A8367" s="9">
        <v>1340327.02</v>
      </c>
    </row>
    <row r="8368" spans="1:1" x14ac:dyDescent="0.25">
      <c r="A8368" s="9">
        <v>2685144.06</v>
      </c>
    </row>
    <row r="8369" spans="1:1" x14ac:dyDescent="0.25">
      <c r="A8369">
        <v>0</v>
      </c>
    </row>
    <row r="8370" spans="1:1" x14ac:dyDescent="0.25">
      <c r="A8370" s="9">
        <v>27131.79</v>
      </c>
    </row>
    <row r="8371" spans="1:1" x14ac:dyDescent="0.25">
      <c r="A8371" s="9">
        <v>9291935.3799999896</v>
      </c>
    </row>
    <row r="8372" spans="1:1" x14ac:dyDescent="0.25">
      <c r="A8372" s="9">
        <v>7171605.9699999997</v>
      </c>
    </row>
    <row r="8373" spans="1:1" x14ac:dyDescent="0.25">
      <c r="A8373" s="9">
        <v>4260709.38</v>
      </c>
    </row>
    <row r="8374" spans="1:1" x14ac:dyDescent="0.25">
      <c r="A8374" s="9">
        <v>6599474.4199999999</v>
      </c>
    </row>
    <row r="8375" spans="1:1" x14ac:dyDescent="0.25">
      <c r="A8375" s="9">
        <v>14145027.279999999</v>
      </c>
    </row>
    <row r="8376" spans="1:1" x14ac:dyDescent="0.25">
      <c r="A8376" s="9">
        <v>1983481.96</v>
      </c>
    </row>
    <row r="8377" spans="1:1" x14ac:dyDescent="0.25">
      <c r="A8377">
        <v>4794207</v>
      </c>
    </row>
    <row r="8378" spans="1:1" x14ac:dyDescent="0.25">
      <c r="A8378" s="9">
        <v>8908838.8300000001</v>
      </c>
    </row>
    <row r="8379" spans="1:1" x14ac:dyDescent="0.25">
      <c r="A8379" s="9">
        <v>18527996.859999999</v>
      </c>
    </row>
    <row r="8380" spans="1:1" x14ac:dyDescent="0.25">
      <c r="A8380">
        <v>0</v>
      </c>
    </row>
    <row r="8381" spans="1:1" x14ac:dyDescent="0.25">
      <c r="A8381">
        <v>0</v>
      </c>
    </row>
    <row r="8382" spans="1:1" x14ac:dyDescent="0.25">
      <c r="A8382">
        <v>0</v>
      </c>
    </row>
    <row r="8383" spans="1:1" x14ac:dyDescent="0.25">
      <c r="A8383" s="9">
        <v>4572123.71</v>
      </c>
    </row>
    <row r="8384" spans="1:1" x14ac:dyDescent="0.25">
      <c r="A8384" s="9">
        <v>2686734.52</v>
      </c>
    </row>
    <row r="8385" spans="1:1" x14ac:dyDescent="0.25">
      <c r="A8385">
        <v>378491</v>
      </c>
    </row>
    <row r="8386" spans="1:1" x14ac:dyDescent="0.25">
      <c r="A8386" s="9">
        <v>518955.81999999902</v>
      </c>
    </row>
    <row r="8387" spans="1:1" x14ac:dyDescent="0.25">
      <c r="A8387" s="9">
        <v>726636.73</v>
      </c>
    </row>
    <row r="8388" spans="1:1" x14ac:dyDescent="0.25">
      <c r="A8388" s="9">
        <v>9340181.25</v>
      </c>
    </row>
    <row r="8389" spans="1:1" x14ac:dyDescent="0.25">
      <c r="A8389" s="9">
        <v>2284189.7000000002</v>
      </c>
    </row>
    <row r="8390" spans="1:1" x14ac:dyDescent="0.25">
      <c r="A8390">
        <v>0</v>
      </c>
    </row>
    <row r="8391" spans="1:1" x14ac:dyDescent="0.25">
      <c r="A8391" s="9">
        <v>1205919.6000000001</v>
      </c>
    </row>
    <row r="8392" spans="1:1" x14ac:dyDescent="0.25">
      <c r="A8392" s="9">
        <v>11703326.16</v>
      </c>
    </row>
    <row r="8393" spans="1:1" x14ac:dyDescent="0.25">
      <c r="A8393" s="9">
        <v>17027112.890000001</v>
      </c>
    </row>
    <row r="8394" spans="1:1" x14ac:dyDescent="0.25">
      <c r="A8394" s="9">
        <v>4740565.8099999996</v>
      </c>
    </row>
    <row r="8395" spans="1:1" x14ac:dyDescent="0.25">
      <c r="A8395" s="9">
        <v>2811762.01</v>
      </c>
    </row>
    <row r="8396" spans="1:1" x14ac:dyDescent="0.25">
      <c r="A8396" s="9">
        <v>10350649.699999999</v>
      </c>
    </row>
    <row r="8397" spans="1:1" x14ac:dyDescent="0.25">
      <c r="A8397" s="9">
        <v>99811.08</v>
      </c>
    </row>
    <row r="8398" spans="1:1" x14ac:dyDescent="0.25">
      <c r="A8398" s="9">
        <v>2382619.0699999998</v>
      </c>
    </row>
    <row r="8399" spans="1:1" x14ac:dyDescent="0.25">
      <c r="A8399">
        <v>0</v>
      </c>
    </row>
    <row r="8400" spans="1:1" x14ac:dyDescent="0.25">
      <c r="A8400" s="9">
        <v>4615678.34</v>
      </c>
    </row>
    <row r="8401" spans="1:1" x14ac:dyDescent="0.25">
      <c r="A8401" s="9">
        <v>5068934.79</v>
      </c>
    </row>
    <row r="8402" spans="1:1" x14ac:dyDescent="0.25">
      <c r="A8402" s="9">
        <v>3625955.74</v>
      </c>
    </row>
    <row r="8403" spans="1:1" x14ac:dyDescent="0.25">
      <c r="A8403" s="9">
        <v>239742.36</v>
      </c>
    </row>
    <row r="8404" spans="1:1" x14ac:dyDescent="0.25">
      <c r="A8404" s="9">
        <v>1426160.18</v>
      </c>
    </row>
    <row r="8405" spans="1:1" x14ac:dyDescent="0.25">
      <c r="A8405">
        <v>0</v>
      </c>
    </row>
    <row r="8406" spans="1:1" x14ac:dyDescent="0.25">
      <c r="A8406" s="9">
        <v>3786602.53</v>
      </c>
    </row>
    <row r="8407" spans="1:1" x14ac:dyDescent="0.25">
      <c r="A8407" s="9">
        <v>488097.52</v>
      </c>
    </row>
    <row r="8408" spans="1:1" x14ac:dyDescent="0.25">
      <c r="A8408" s="9">
        <v>535621.54</v>
      </c>
    </row>
    <row r="8409" spans="1:1" x14ac:dyDescent="0.25">
      <c r="A8409" s="9">
        <v>9604933.8399999999</v>
      </c>
    </row>
    <row r="8410" spans="1:1" x14ac:dyDescent="0.25">
      <c r="A8410" s="9">
        <v>27032524.420000002</v>
      </c>
    </row>
    <row r="8411" spans="1:1" x14ac:dyDescent="0.25">
      <c r="A8411" s="9">
        <v>25402186.219999999</v>
      </c>
    </row>
    <row r="8412" spans="1:1" x14ac:dyDescent="0.25">
      <c r="A8412">
        <v>0</v>
      </c>
    </row>
    <row r="8413" spans="1:1" x14ac:dyDescent="0.25">
      <c r="A8413">
        <v>0</v>
      </c>
    </row>
    <row r="8414" spans="1:1" x14ac:dyDescent="0.25">
      <c r="A8414" s="9">
        <v>5034397.4399999902</v>
      </c>
    </row>
    <row r="8415" spans="1:1" x14ac:dyDescent="0.25">
      <c r="A8415" s="9">
        <v>10963098.050000001</v>
      </c>
    </row>
    <row r="8416" spans="1:1" x14ac:dyDescent="0.25">
      <c r="A8416" s="9">
        <v>4362042.68</v>
      </c>
    </row>
    <row r="8417" spans="1:1" x14ac:dyDescent="0.25">
      <c r="A8417" s="9">
        <v>39864643.850000001</v>
      </c>
    </row>
    <row r="8418" spans="1:1" x14ac:dyDescent="0.25">
      <c r="A8418">
        <v>0</v>
      </c>
    </row>
    <row r="8419" spans="1:1" x14ac:dyDescent="0.25">
      <c r="A8419" s="9">
        <v>7984900.7800000003</v>
      </c>
    </row>
    <row r="8420" spans="1:1" x14ac:dyDescent="0.25">
      <c r="A8420" s="9">
        <v>15154308.42</v>
      </c>
    </row>
    <row r="8421" spans="1:1" x14ac:dyDescent="0.25">
      <c r="A8421" s="9">
        <v>84818.94</v>
      </c>
    </row>
    <row r="8422" spans="1:1" x14ac:dyDescent="0.25">
      <c r="A8422" s="9">
        <v>391725.68</v>
      </c>
    </row>
    <row r="8423" spans="1:1" x14ac:dyDescent="0.25">
      <c r="A8423" s="9">
        <v>3373194.75</v>
      </c>
    </row>
    <row r="8424" spans="1:1" x14ac:dyDescent="0.25">
      <c r="A8424">
        <v>0</v>
      </c>
    </row>
    <row r="8425" spans="1:1" x14ac:dyDescent="0.25">
      <c r="A8425">
        <v>0</v>
      </c>
    </row>
    <row r="8426" spans="1:1" x14ac:dyDescent="0.25">
      <c r="A8426" s="9">
        <v>187618.25</v>
      </c>
    </row>
    <row r="8427" spans="1:1" x14ac:dyDescent="0.25">
      <c r="A8427" s="9">
        <v>26019460.839999899</v>
      </c>
    </row>
    <row r="8428" spans="1:1" x14ac:dyDescent="0.25">
      <c r="A8428" s="9">
        <v>145009.26</v>
      </c>
    </row>
    <row r="8429" spans="1:1" x14ac:dyDescent="0.25">
      <c r="A8429">
        <v>0</v>
      </c>
    </row>
    <row r="8430" spans="1:1" x14ac:dyDescent="0.25">
      <c r="A8430" s="9">
        <v>2347126.58</v>
      </c>
    </row>
    <row r="8431" spans="1:1" x14ac:dyDescent="0.25">
      <c r="A8431" s="9">
        <v>5519859.9399999902</v>
      </c>
    </row>
    <row r="8432" spans="1:1" x14ac:dyDescent="0.25">
      <c r="A8432" s="9">
        <v>3350743.72</v>
      </c>
    </row>
    <row r="8433" spans="1:1" x14ac:dyDescent="0.25">
      <c r="A8433" s="9">
        <v>2044691.11</v>
      </c>
    </row>
    <row r="8434" spans="1:1" x14ac:dyDescent="0.25">
      <c r="A8434" s="9">
        <v>6802050.25</v>
      </c>
    </row>
    <row r="8435" spans="1:1" x14ac:dyDescent="0.25">
      <c r="A8435" s="9">
        <v>18849650.07</v>
      </c>
    </row>
    <row r="8436" spans="1:1" x14ac:dyDescent="0.25">
      <c r="A8436" s="9">
        <v>23993394.43</v>
      </c>
    </row>
    <row r="8437" spans="1:1" x14ac:dyDescent="0.25">
      <c r="A8437">
        <v>0</v>
      </c>
    </row>
    <row r="8438" spans="1:1" x14ac:dyDescent="0.25">
      <c r="A8438" s="9">
        <v>552247.9</v>
      </c>
    </row>
    <row r="8439" spans="1:1" x14ac:dyDescent="0.25">
      <c r="A8439" s="9">
        <v>553129.03999999899</v>
      </c>
    </row>
    <row r="8440" spans="1:1" x14ac:dyDescent="0.25">
      <c r="A8440" s="9">
        <v>55235.28</v>
      </c>
    </row>
    <row r="8441" spans="1:1" x14ac:dyDescent="0.25">
      <c r="A8441">
        <v>0</v>
      </c>
    </row>
    <row r="8442" spans="1:1" x14ac:dyDescent="0.25">
      <c r="A8442" s="9">
        <v>1784156.54</v>
      </c>
    </row>
    <row r="8443" spans="1:1" x14ac:dyDescent="0.25">
      <c r="A8443" s="9">
        <v>1891159.5</v>
      </c>
    </row>
    <row r="8444" spans="1:1" x14ac:dyDescent="0.25">
      <c r="A8444" s="9">
        <v>3108854.49</v>
      </c>
    </row>
    <row r="8445" spans="1:1" x14ac:dyDescent="0.25">
      <c r="A8445" s="9">
        <v>6668541.79</v>
      </c>
    </row>
    <row r="8446" spans="1:1" x14ac:dyDescent="0.25">
      <c r="A8446">
        <v>0</v>
      </c>
    </row>
    <row r="8447" spans="1:1" x14ac:dyDescent="0.25">
      <c r="A8447">
        <v>0</v>
      </c>
    </row>
    <row r="8448" spans="1:1" x14ac:dyDescent="0.25">
      <c r="A8448" s="9">
        <v>47829.8</v>
      </c>
    </row>
    <row r="8449" spans="1:1" x14ac:dyDescent="0.25">
      <c r="A8449" s="9">
        <v>6034253.4800000004</v>
      </c>
    </row>
    <row r="8450" spans="1:1" x14ac:dyDescent="0.25">
      <c r="A8450" s="9">
        <v>311942.38</v>
      </c>
    </row>
    <row r="8451" spans="1:1" x14ac:dyDescent="0.25">
      <c r="A8451" s="9">
        <v>6146320.3399999999</v>
      </c>
    </row>
    <row r="8452" spans="1:1" x14ac:dyDescent="0.25">
      <c r="A8452" s="9">
        <v>70441335.170000002</v>
      </c>
    </row>
    <row r="8453" spans="1:1" x14ac:dyDescent="0.25">
      <c r="A8453" s="9">
        <v>35978501.399999999</v>
      </c>
    </row>
    <row r="8454" spans="1:1" x14ac:dyDescent="0.25">
      <c r="A8454" s="9">
        <v>3121087.68</v>
      </c>
    </row>
    <row r="8455" spans="1:1" x14ac:dyDescent="0.25">
      <c r="A8455" s="9">
        <v>7570735.0800000001</v>
      </c>
    </row>
    <row r="8456" spans="1:1" x14ac:dyDescent="0.25">
      <c r="A8456" s="9">
        <v>15168403.52</v>
      </c>
    </row>
    <row r="8457" spans="1:1" x14ac:dyDescent="0.25">
      <c r="A8457">
        <v>0</v>
      </c>
    </row>
    <row r="8458" spans="1:1" x14ac:dyDescent="0.25">
      <c r="A8458" s="9">
        <v>8093738.21</v>
      </c>
    </row>
    <row r="8459" spans="1:1" x14ac:dyDescent="0.25">
      <c r="A8459">
        <v>0</v>
      </c>
    </row>
    <row r="8460" spans="1:1" x14ac:dyDescent="0.25">
      <c r="A8460" s="9">
        <v>148737.42000000001</v>
      </c>
    </row>
    <row r="8461" spans="1:1" x14ac:dyDescent="0.25">
      <c r="A8461" s="9">
        <v>55235.28</v>
      </c>
    </row>
    <row r="8462" spans="1:1" x14ac:dyDescent="0.25">
      <c r="A8462" s="9">
        <v>6394650.5899999999</v>
      </c>
    </row>
    <row r="8463" spans="1:1" x14ac:dyDescent="0.25">
      <c r="A8463" s="9">
        <v>2914572.28</v>
      </c>
    </row>
    <row r="8464" spans="1:1" x14ac:dyDescent="0.25">
      <c r="A8464" s="9">
        <v>69989.64</v>
      </c>
    </row>
    <row r="8465" spans="1:1" x14ac:dyDescent="0.25">
      <c r="A8465" s="9">
        <v>20362932.989999998</v>
      </c>
    </row>
    <row r="8466" spans="1:1" x14ac:dyDescent="0.25">
      <c r="A8466">
        <v>0</v>
      </c>
    </row>
    <row r="8467" spans="1:1" x14ac:dyDescent="0.25">
      <c r="A8467">
        <v>644175</v>
      </c>
    </row>
    <row r="8468" spans="1:1" x14ac:dyDescent="0.25">
      <c r="A8468" s="9">
        <v>17233412.52</v>
      </c>
    </row>
    <row r="8469" spans="1:1" x14ac:dyDescent="0.25">
      <c r="A8469" s="9">
        <v>4529894.6500000004</v>
      </c>
    </row>
    <row r="8470" spans="1:1" x14ac:dyDescent="0.25">
      <c r="A8470" s="9">
        <v>73872.959999999905</v>
      </c>
    </row>
    <row r="8471" spans="1:1" x14ac:dyDescent="0.25">
      <c r="A8471" s="9">
        <v>71846.95</v>
      </c>
    </row>
    <row r="8472" spans="1:1" x14ac:dyDescent="0.25">
      <c r="A8472" s="9">
        <v>430166.96</v>
      </c>
    </row>
    <row r="8473" spans="1:1" x14ac:dyDescent="0.25">
      <c r="A8473" s="9">
        <v>1660468.46</v>
      </c>
    </row>
    <row r="8474" spans="1:1" x14ac:dyDescent="0.25">
      <c r="A8474" s="9">
        <v>4078284.23</v>
      </c>
    </row>
    <row r="8475" spans="1:1" x14ac:dyDescent="0.25">
      <c r="A8475" s="9">
        <v>2859425.12</v>
      </c>
    </row>
    <row r="8476" spans="1:1" x14ac:dyDescent="0.25">
      <c r="A8476" s="9">
        <v>4972388.8199999901</v>
      </c>
    </row>
    <row r="8477" spans="1:1" x14ac:dyDescent="0.25">
      <c r="A8477" s="9">
        <v>1174774.3999999999</v>
      </c>
    </row>
    <row r="8478" spans="1:1" x14ac:dyDescent="0.25">
      <c r="A8478" s="9">
        <v>21951561.890000001</v>
      </c>
    </row>
    <row r="8479" spans="1:1" x14ac:dyDescent="0.25">
      <c r="A8479" s="9">
        <v>12399887.43</v>
      </c>
    </row>
    <row r="8480" spans="1:1" x14ac:dyDescent="0.25">
      <c r="A8480" s="9">
        <v>221295.23</v>
      </c>
    </row>
    <row r="8481" spans="1:1" x14ac:dyDescent="0.25">
      <c r="A8481">
        <v>0</v>
      </c>
    </row>
    <row r="8482" spans="1:1" x14ac:dyDescent="0.25">
      <c r="A8482">
        <v>0</v>
      </c>
    </row>
    <row r="8483" spans="1:1" x14ac:dyDescent="0.25">
      <c r="A8483" s="9">
        <v>2805694.22</v>
      </c>
    </row>
    <row r="8484" spans="1:1" x14ac:dyDescent="0.25">
      <c r="A8484">
        <v>0</v>
      </c>
    </row>
    <row r="8485" spans="1:1" x14ac:dyDescent="0.25">
      <c r="A8485">
        <v>0</v>
      </c>
    </row>
    <row r="8486" spans="1:1" x14ac:dyDescent="0.25">
      <c r="A8486" s="9">
        <v>13646381.380000001</v>
      </c>
    </row>
    <row r="8487" spans="1:1" x14ac:dyDescent="0.25">
      <c r="A8487" s="9">
        <v>2101988.35</v>
      </c>
    </row>
    <row r="8488" spans="1:1" x14ac:dyDescent="0.25">
      <c r="A8488" s="9">
        <v>699431.05</v>
      </c>
    </row>
    <row r="8489" spans="1:1" x14ac:dyDescent="0.25">
      <c r="A8489">
        <v>0</v>
      </c>
    </row>
    <row r="8490" spans="1:1" x14ac:dyDescent="0.25">
      <c r="A8490" s="9">
        <v>173251.05</v>
      </c>
    </row>
    <row r="8491" spans="1:1" x14ac:dyDescent="0.25">
      <c r="A8491" s="9">
        <v>14476378.25</v>
      </c>
    </row>
    <row r="8492" spans="1:1" x14ac:dyDescent="0.25">
      <c r="A8492" s="9">
        <v>256707.1</v>
      </c>
    </row>
    <row r="8493" spans="1:1" x14ac:dyDescent="0.25">
      <c r="A8493" s="9">
        <v>7069441.0899999999</v>
      </c>
    </row>
    <row r="8494" spans="1:1" x14ac:dyDescent="0.25">
      <c r="A8494" s="9">
        <v>3592212.33</v>
      </c>
    </row>
    <row r="8495" spans="1:1" x14ac:dyDescent="0.25">
      <c r="A8495">
        <v>0</v>
      </c>
    </row>
    <row r="8496" spans="1:1" x14ac:dyDescent="0.25">
      <c r="A8496" s="9">
        <v>4268297.5599999996</v>
      </c>
    </row>
    <row r="8497" spans="1:1" x14ac:dyDescent="0.25">
      <c r="A8497" s="9">
        <v>2182896.0099999998</v>
      </c>
    </row>
    <row r="8498" spans="1:1" x14ac:dyDescent="0.25">
      <c r="A8498" s="9">
        <v>314832.24</v>
      </c>
    </row>
    <row r="8499" spans="1:1" x14ac:dyDescent="0.25">
      <c r="A8499">
        <v>1146284</v>
      </c>
    </row>
    <row r="8500" spans="1:1" x14ac:dyDescent="0.25">
      <c r="A8500" s="9">
        <v>7120948.0999999996</v>
      </c>
    </row>
    <row r="8501" spans="1:1" x14ac:dyDescent="0.25">
      <c r="A8501" s="9">
        <v>7196728.7400000002</v>
      </c>
    </row>
    <row r="8502" spans="1:1" x14ac:dyDescent="0.25">
      <c r="A8502" s="9">
        <v>229216.23</v>
      </c>
    </row>
    <row r="8503" spans="1:1" x14ac:dyDescent="0.25">
      <c r="A8503" s="9">
        <v>223878.2</v>
      </c>
    </row>
    <row r="8504" spans="1:1" x14ac:dyDescent="0.25">
      <c r="A8504" s="9">
        <v>120431.52</v>
      </c>
    </row>
    <row r="8505" spans="1:1" x14ac:dyDescent="0.25">
      <c r="A8505" s="9">
        <v>280163.73</v>
      </c>
    </row>
    <row r="8506" spans="1:1" x14ac:dyDescent="0.25">
      <c r="A8506">
        <v>0</v>
      </c>
    </row>
    <row r="8507" spans="1:1" x14ac:dyDescent="0.25">
      <c r="A8507" s="9">
        <v>69741011.959999904</v>
      </c>
    </row>
    <row r="8508" spans="1:1" x14ac:dyDescent="0.25">
      <c r="A8508">
        <v>0</v>
      </c>
    </row>
    <row r="8509" spans="1:1" x14ac:dyDescent="0.25">
      <c r="A8509" s="9">
        <v>2673093.35</v>
      </c>
    </row>
    <row r="8510" spans="1:1" x14ac:dyDescent="0.25">
      <c r="A8510" s="9">
        <v>19137814.93</v>
      </c>
    </row>
    <row r="8511" spans="1:1" x14ac:dyDescent="0.25">
      <c r="A8511" s="9">
        <v>26825896.690000001</v>
      </c>
    </row>
    <row r="8512" spans="1:1" x14ac:dyDescent="0.25">
      <c r="A8512" s="9">
        <v>11253498.210000001</v>
      </c>
    </row>
    <row r="8513" spans="1:1" x14ac:dyDescent="0.25">
      <c r="A8513" s="9">
        <v>4675283.8</v>
      </c>
    </row>
    <row r="8514" spans="1:1" x14ac:dyDescent="0.25">
      <c r="A8514">
        <v>0</v>
      </c>
    </row>
    <row r="8515" spans="1:1" x14ac:dyDescent="0.25">
      <c r="A8515" s="9">
        <v>3478516.56</v>
      </c>
    </row>
    <row r="8516" spans="1:1" x14ac:dyDescent="0.25">
      <c r="A8516" s="9">
        <v>18549347.239999998</v>
      </c>
    </row>
    <row r="8517" spans="1:1" x14ac:dyDescent="0.25">
      <c r="A8517" s="9">
        <v>3064262.22</v>
      </c>
    </row>
    <row r="8518" spans="1:1" x14ac:dyDescent="0.25">
      <c r="A8518">
        <v>0</v>
      </c>
    </row>
    <row r="8519" spans="1:1" x14ac:dyDescent="0.25">
      <c r="A8519" s="9">
        <v>375945.74</v>
      </c>
    </row>
    <row r="8520" spans="1:1" x14ac:dyDescent="0.25">
      <c r="A8520" s="9">
        <v>4351039.51</v>
      </c>
    </row>
    <row r="8521" spans="1:1" x14ac:dyDescent="0.25">
      <c r="A8521" s="9">
        <v>327993.53000000003</v>
      </c>
    </row>
    <row r="8522" spans="1:1" x14ac:dyDescent="0.25">
      <c r="A8522" s="9">
        <v>2064064.48</v>
      </c>
    </row>
    <row r="8523" spans="1:1" x14ac:dyDescent="0.25">
      <c r="A8523" s="9">
        <v>21251799.5</v>
      </c>
    </row>
    <row r="8524" spans="1:1" x14ac:dyDescent="0.25">
      <c r="A8524" s="9">
        <v>4278869.92</v>
      </c>
    </row>
    <row r="8525" spans="1:1" x14ac:dyDescent="0.25">
      <c r="A8525" s="9">
        <v>3306629.4599999902</v>
      </c>
    </row>
    <row r="8526" spans="1:1" x14ac:dyDescent="0.25">
      <c r="A8526">
        <v>0</v>
      </c>
    </row>
    <row r="8527" spans="1:1" x14ac:dyDescent="0.25">
      <c r="A8527" s="9">
        <v>1381062.88</v>
      </c>
    </row>
    <row r="8528" spans="1:1" x14ac:dyDescent="0.25">
      <c r="A8528" s="9">
        <v>4978735.96</v>
      </c>
    </row>
    <row r="8529" spans="1:1" x14ac:dyDescent="0.25">
      <c r="A8529">
        <v>0</v>
      </c>
    </row>
    <row r="8530" spans="1:1" x14ac:dyDescent="0.25">
      <c r="A8530" s="9">
        <v>2966142.04</v>
      </c>
    </row>
    <row r="8531" spans="1:1" x14ac:dyDescent="0.25">
      <c r="A8531" s="9">
        <v>261354.96</v>
      </c>
    </row>
    <row r="8532" spans="1:1" x14ac:dyDescent="0.25">
      <c r="A8532" s="9">
        <v>18102087.859999999</v>
      </c>
    </row>
    <row r="8533" spans="1:1" x14ac:dyDescent="0.25">
      <c r="A8533" s="9">
        <v>32293241.48</v>
      </c>
    </row>
    <row r="8534" spans="1:1" x14ac:dyDescent="0.25">
      <c r="A8534" s="9">
        <v>13327052.810000001</v>
      </c>
    </row>
    <row r="8535" spans="1:1" x14ac:dyDescent="0.25">
      <c r="A8535">
        <v>0</v>
      </c>
    </row>
    <row r="8536" spans="1:1" x14ac:dyDescent="0.25">
      <c r="A8536" s="9">
        <v>15389474.98</v>
      </c>
    </row>
    <row r="8537" spans="1:1" x14ac:dyDescent="0.25">
      <c r="A8537" s="9">
        <v>24759324.690000001</v>
      </c>
    </row>
    <row r="8538" spans="1:1" x14ac:dyDescent="0.25">
      <c r="A8538" s="9">
        <v>3089734.44</v>
      </c>
    </row>
    <row r="8539" spans="1:1" x14ac:dyDescent="0.25">
      <c r="A8539" s="9">
        <v>11278492.01</v>
      </c>
    </row>
    <row r="8540" spans="1:1" x14ac:dyDescent="0.25">
      <c r="A8540" s="9">
        <v>6985357.5499999896</v>
      </c>
    </row>
    <row r="8541" spans="1:1" x14ac:dyDescent="0.25">
      <c r="A8541" s="9">
        <v>205975.61</v>
      </c>
    </row>
    <row r="8542" spans="1:1" x14ac:dyDescent="0.25">
      <c r="A8542" s="9">
        <v>820124.63</v>
      </c>
    </row>
    <row r="8543" spans="1:1" x14ac:dyDescent="0.25">
      <c r="A8543" s="9">
        <v>179642.07</v>
      </c>
    </row>
    <row r="8544" spans="1:1" x14ac:dyDescent="0.25">
      <c r="A8544" s="9">
        <v>200892.79999999999</v>
      </c>
    </row>
    <row r="8545" spans="1:1" x14ac:dyDescent="0.25">
      <c r="A8545" s="9">
        <v>27035918.629999999</v>
      </c>
    </row>
    <row r="8546" spans="1:1" x14ac:dyDescent="0.25">
      <c r="A8546">
        <v>0</v>
      </c>
    </row>
    <row r="8547" spans="1:1" x14ac:dyDescent="0.25">
      <c r="A8547" s="9">
        <v>206723.34</v>
      </c>
    </row>
    <row r="8548" spans="1:1" x14ac:dyDescent="0.25">
      <c r="A8548" s="9">
        <v>1205919.6000000001</v>
      </c>
    </row>
    <row r="8549" spans="1:1" x14ac:dyDescent="0.25">
      <c r="A8549" s="9">
        <v>6942128.0700000003</v>
      </c>
    </row>
    <row r="8550" spans="1:1" x14ac:dyDescent="0.25">
      <c r="A8550" s="9">
        <v>9730615.1099999901</v>
      </c>
    </row>
    <row r="8551" spans="1:1" x14ac:dyDescent="0.25">
      <c r="A8551" s="9">
        <v>106620.16</v>
      </c>
    </row>
    <row r="8552" spans="1:1" x14ac:dyDescent="0.25">
      <c r="A8552">
        <v>0</v>
      </c>
    </row>
    <row r="8553" spans="1:1" x14ac:dyDescent="0.25">
      <c r="A8553" s="9">
        <v>3247766.79</v>
      </c>
    </row>
    <row r="8554" spans="1:1" x14ac:dyDescent="0.25">
      <c r="A8554">
        <v>0</v>
      </c>
    </row>
    <row r="8555" spans="1:1" x14ac:dyDescent="0.25">
      <c r="A8555" s="9">
        <v>3603057.11</v>
      </c>
    </row>
    <row r="8556" spans="1:1" x14ac:dyDescent="0.25">
      <c r="A8556">
        <v>603395</v>
      </c>
    </row>
    <row r="8557" spans="1:1" x14ac:dyDescent="0.25">
      <c r="A8557" s="9">
        <v>452315.72</v>
      </c>
    </row>
    <row r="8558" spans="1:1" x14ac:dyDescent="0.25">
      <c r="A8558" s="9">
        <v>15727636.789999999</v>
      </c>
    </row>
    <row r="8559" spans="1:1" x14ac:dyDescent="0.25">
      <c r="A8559" s="9">
        <v>326578.49</v>
      </c>
    </row>
    <row r="8560" spans="1:1" x14ac:dyDescent="0.25">
      <c r="A8560">
        <v>0</v>
      </c>
    </row>
    <row r="8561" spans="1:1" x14ac:dyDescent="0.25">
      <c r="A8561" s="9">
        <v>2377210.83</v>
      </c>
    </row>
    <row r="8562" spans="1:1" x14ac:dyDescent="0.25">
      <c r="A8562" s="9">
        <v>11021087.939999999</v>
      </c>
    </row>
    <row r="8563" spans="1:1" x14ac:dyDescent="0.25">
      <c r="A8563" s="9">
        <v>3866712.12</v>
      </c>
    </row>
    <row r="8564" spans="1:1" x14ac:dyDescent="0.25">
      <c r="A8564" s="9">
        <v>280163.73</v>
      </c>
    </row>
    <row r="8565" spans="1:1" x14ac:dyDescent="0.25">
      <c r="A8565" s="9">
        <v>80227.92</v>
      </c>
    </row>
    <row r="8566" spans="1:1" x14ac:dyDescent="0.25">
      <c r="A8566" s="9">
        <v>146840.97</v>
      </c>
    </row>
    <row r="8567" spans="1:1" x14ac:dyDescent="0.25">
      <c r="A8567" s="9">
        <v>229216.23</v>
      </c>
    </row>
    <row r="8568" spans="1:1" x14ac:dyDescent="0.25">
      <c r="A8568">
        <v>0</v>
      </c>
    </row>
    <row r="8569" spans="1:1" x14ac:dyDescent="0.25">
      <c r="A8569" s="9">
        <v>467885.04</v>
      </c>
    </row>
    <row r="8570" spans="1:1" x14ac:dyDescent="0.25">
      <c r="A8570" s="9">
        <v>5131241.9199999897</v>
      </c>
    </row>
    <row r="8571" spans="1:1" x14ac:dyDescent="0.25">
      <c r="A8571" s="9">
        <v>4369225.8099999996</v>
      </c>
    </row>
    <row r="8572" spans="1:1" x14ac:dyDescent="0.25">
      <c r="A8572" s="9">
        <v>110670.62</v>
      </c>
    </row>
    <row r="8573" spans="1:1" x14ac:dyDescent="0.25">
      <c r="A8573" s="9">
        <v>10981277.869999999</v>
      </c>
    </row>
    <row r="8574" spans="1:1" x14ac:dyDescent="0.25">
      <c r="A8574" s="9">
        <v>7686475.25</v>
      </c>
    </row>
    <row r="8575" spans="1:1" x14ac:dyDescent="0.25">
      <c r="A8575" s="9">
        <v>6599735.9699999997</v>
      </c>
    </row>
    <row r="8576" spans="1:1" x14ac:dyDescent="0.25">
      <c r="A8576" s="9">
        <v>3107207.32</v>
      </c>
    </row>
    <row r="8577" spans="1:1" x14ac:dyDescent="0.25">
      <c r="A8577" s="9">
        <v>183162.26</v>
      </c>
    </row>
    <row r="8578" spans="1:1" x14ac:dyDescent="0.25">
      <c r="A8578" s="9">
        <v>245936.1</v>
      </c>
    </row>
    <row r="8579" spans="1:1" x14ac:dyDescent="0.25">
      <c r="A8579" s="9">
        <v>1381062.88</v>
      </c>
    </row>
    <row r="8580" spans="1:1" x14ac:dyDescent="0.25">
      <c r="A8580" s="9">
        <v>310467.59999999998</v>
      </c>
    </row>
    <row r="8581" spans="1:1" x14ac:dyDescent="0.25">
      <c r="A8581" s="9">
        <v>13067515.49</v>
      </c>
    </row>
    <row r="8582" spans="1:1" x14ac:dyDescent="0.25">
      <c r="A8582" s="9">
        <v>14250904.26</v>
      </c>
    </row>
    <row r="8583" spans="1:1" x14ac:dyDescent="0.25">
      <c r="A8583" s="9">
        <v>928539.85999999905</v>
      </c>
    </row>
    <row r="8584" spans="1:1" x14ac:dyDescent="0.25">
      <c r="A8584" s="9">
        <v>85359.179999999906</v>
      </c>
    </row>
    <row r="8585" spans="1:1" x14ac:dyDescent="0.25">
      <c r="A8585" s="9">
        <v>19513471.690000001</v>
      </c>
    </row>
    <row r="8586" spans="1:1" x14ac:dyDescent="0.25">
      <c r="A8586" s="9">
        <v>11165478.74</v>
      </c>
    </row>
    <row r="8587" spans="1:1" x14ac:dyDescent="0.25">
      <c r="A8587" s="9">
        <v>2964451.14</v>
      </c>
    </row>
    <row r="8588" spans="1:1" x14ac:dyDescent="0.25">
      <c r="A8588">
        <v>0</v>
      </c>
    </row>
    <row r="8589" spans="1:1" x14ac:dyDescent="0.25">
      <c r="A8589">
        <v>0</v>
      </c>
    </row>
    <row r="8590" spans="1:1" x14ac:dyDescent="0.25">
      <c r="A8590" s="9">
        <v>17131318.710000001</v>
      </c>
    </row>
    <row r="8591" spans="1:1" x14ac:dyDescent="0.25">
      <c r="A8591" s="9">
        <v>2579240.56</v>
      </c>
    </row>
    <row r="8592" spans="1:1" x14ac:dyDescent="0.25">
      <c r="A8592" s="9">
        <v>5694020.6099999901</v>
      </c>
    </row>
    <row r="8593" spans="1:1" x14ac:dyDescent="0.25">
      <c r="A8593">
        <v>0</v>
      </c>
    </row>
    <row r="8594" spans="1:1" x14ac:dyDescent="0.25">
      <c r="A8594">
        <v>0</v>
      </c>
    </row>
    <row r="8595" spans="1:1" x14ac:dyDescent="0.25">
      <c r="A8595" s="9">
        <v>12767074.6</v>
      </c>
    </row>
    <row r="8596" spans="1:1" x14ac:dyDescent="0.25">
      <c r="A8596">
        <v>0</v>
      </c>
    </row>
    <row r="8597" spans="1:1" x14ac:dyDescent="0.25">
      <c r="A8597" s="9">
        <v>17964412.149999999</v>
      </c>
    </row>
    <row r="8598" spans="1:1" x14ac:dyDescent="0.25">
      <c r="A8598">
        <v>0</v>
      </c>
    </row>
    <row r="8599" spans="1:1" x14ac:dyDescent="0.25">
      <c r="A8599" s="9">
        <v>2380341.41</v>
      </c>
    </row>
    <row r="8600" spans="1:1" x14ac:dyDescent="0.25">
      <c r="A8600" s="9">
        <v>280163.73</v>
      </c>
    </row>
    <row r="8601" spans="1:1" x14ac:dyDescent="0.25">
      <c r="A8601" s="9">
        <v>3381373.69</v>
      </c>
    </row>
    <row r="8602" spans="1:1" x14ac:dyDescent="0.25">
      <c r="A8602" s="9">
        <v>120431.52</v>
      </c>
    </row>
    <row r="8603" spans="1:1" x14ac:dyDescent="0.25">
      <c r="A8603" s="9">
        <v>6790571.9100000001</v>
      </c>
    </row>
    <row r="8604" spans="1:1" x14ac:dyDescent="0.25">
      <c r="A8604" s="9">
        <v>1848370.04</v>
      </c>
    </row>
    <row r="8605" spans="1:1" x14ac:dyDescent="0.25">
      <c r="A8605" s="9">
        <v>13103668.380000001</v>
      </c>
    </row>
    <row r="8606" spans="1:1" x14ac:dyDescent="0.25">
      <c r="A8606" s="9">
        <v>302403.20000000001</v>
      </c>
    </row>
    <row r="8607" spans="1:1" x14ac:dyDescent="0.25">
      <c r="A8607" s="9">
        <v>145009.26</v>
      </c>
    </row>
    <row r="8608" spans="1:1" x14ac:dyDescent="0.25">
      <c r="A8608">
        <v>0</v>
      </c>
    </row>
    <row r="8609" spans="1:1" x14ac:dyDescent="0.25">
      <c r="A8609" s="9">
        <v>4740887.27999999</v>
      </c>
    </row>
    <row r="8610" spans="1:1" x14ac:dyDescent="0.25">
      <c r="A8610" s="9">
        <v>10822742.01</v>
      </c>
    </row>
    <row r="8611" spans="1:1" x14ac:dyDescent="0.25">
      <c r="A8611" s="9">
        <v>11199546.289999999</v>
      </c>
    </row>
    <row r="8612" spans="1:1" x14ac:dyDescent="0.25">
      <c r="A8612" s="9">
        <v>6121252.9199999999</v>
      </c>
    </row>
    <row r="8613" spans="1:1" x14ac:dyDescent="0.25">
      <c r="A8613" s="9">
        <v>1429457.73</v>
      </c>
    </row>
    <row r="8614" spans="1:1" x14ac:dyDescent="0.25">
      <c r="A8614" s="9">
        <v>2291389.5099999998</v>
      </c>
    </row>
    <row r="8615" spans="1:1" x14ac:dyDescent="0.25">
      <c r="A8615">
        <v>0</v>
      </c>
    </row>
    <row r="8616" spans="1:1" x14ac:dyDescent="0.25">
      <c r="A8616" s="9">
        <v>1035532.94</v>
      </c>
    </row>
    <row r="8617" spans="1:1" x14ac:dyDescent="0.25">
      <c r="A8617" s="9">
        <v>19328754.120000001</v>
      </c>
    </row>
    <row r="8618" spans="1:1" x14ac:dyDescent="0.25">
      <c r="A8618" s="9">
        <v>8247978.6500000004</v>
      </c>
    </row>
    <row r="8619" spans="1:1" x14ac:dyDescent="0.25">
      <c r="A8619" s="9">
        <v>6504287.6500000004</v>
      </c>
    </row>
    <row r="8620" spans="1:1" x14ac:dyDescent="0.25">
      <c r="A8620" s="9">
        <v>2546960.4500000002</v>
      </c>
    </row>
    <row r="8621" spans="1:1" x14ac:dyDescent="0.25">
      <c r="A8621" s="9">
        <v>22493049.5</v>
      </c>
    </row>
    <row r="8622" spans="1:1" x14ac:dyDescent="0.25">
      <c r="A8622" s="9">
        <v>29202495.239999998</v>
      </c>
    </row>
    <row r="8623" spans="1:1" x14ac:dyDescent="0.25">
      <c r="A8623" s="9">
        <v>423766.77</v>
      </c>
    </row>
    <row r="8624" spans="1:1" x14ac:dyDescent="0.25">
      <c r="A8624" s="9">
        <v>15228553.140000001</v>
      </c>
    </row>
    <row r="8625" spans="1:1" x14ac:dyDescent="0.25">
      <c r="A8625" s="9">
        <v>82988.849999999904</v>
      </c>
    </row>
    <row r="8626" spans="1:1" x14ac:dyDescent="0.25">
      <c r="A8626" s="9">
        <v>36297383.409999996</v>
      </c>
    </row>
    <row r="8627" spans="1:1" x14ac:dyDescent="0.25">
      <c r="A8627" s="9">
        <v>30652919.940000001</v>
      </c>
    </row>
    <row r="8628" spans="1:1" x14ac:dyDescent="0.25">
      <c r="A8628" s="9">
        <v>314832.24</v>
      </c>
    </row>
    <row r="8629" spans="1:1" x14ac:dyDescent="0.25">
      <c r="A8629" s="9">
        <v>1174774.3999999999</v>
      </c>
    </row>
    <row r="8630" spans="1:1" x14ac:dyDescent="0.25">
      <c r="A8630">
        <v>0</v>
      </c>
    </row>
    <row r="8631" spans="1:1" x14ac:dyDescent="0.25">
      <c r="A8631" s="9">
        <v>1615361.81</v>
      </c>
    </row>
    <row r="8632" spans="1:1" x14ac:dyDescent="0.25">
      <c r="A8632" s="9">
        <v>2695595.06</v>
      </c>
    </row>
    <row r="8633" spans="1:1" x14ac:dyDescent="0.25">
      <c r="A8633">
        <v>0</v>
      </c>
    </row>
    <row r="8634" spans="1:1" x14ac:dyDescent="0.25">
      <c r="A8634" s="9">
        <v>6116803.4399999902</v>
      </c>
    </row>
    <row r="8635" spans="1:1" x14ac:dyDescent="0.25">
      <c r="A8635" s="9">
        <v>2625561.7400000002</v>
      </c>
    </row>
    <row r="8636" spans="1:1" x14ac:dyDescent="0.25">
      <c r="A8636" s="9">
        <v>14718522.029999999</v>
      </c>
    </row>
    <row r="8637" spans="1:1" x14ac:dyDescent="0.25">
      <c r="A8637" s="9">
        <v>200483.82</v>
      </c>
    </row>
    <row r="8638" spans="1:1" x14ac:dyDescent="0.25">
      <c r="A8638" s="9">
        <v>2992855.17</v>
      </c>
    </row>
    <row r="8639" spans="1:1" x14ac:dyDescent="0.25">
      <c r="A8639" s="9">
        <v>3720889.74</v>
      </c>
    </row>
    <row r="8640" spans="1:1" x14ac:dyDescent="0.25">
      <c r="A8640" s="9">
        <v>69989.64</v>
      </c>
    </row>
    <row r="8641" spans="1:1" x14ac:dyDescent="0.25">
      <c r="A8641" s="9">
        <v>11095465.73</v>
      </c>
    </row>
    <row r="8642" spans="1:1" x14ac:dyDescent="0.25">
      <c r="A8642" s="9">
        <v>259798.08</v>
      </c>
    </row>
    <row r="8643" spans="1:1" x14ac:dyDescent="0.25">
      <c r="A8643" s="9">
        <v>10892651.539999999</v>
      </c>
    </row>
    <row r="8644" spans="1:1" x14ac:dyDescent="0.25">
      <c r="A8644" s="9">
        <v>7152147.2699999996</v>
      </c>
    </row>
    <row r="8645" spans="1:1" x14ac:dyDescent="0.25">
      <c r="A8645">
        <v>0</v>
      </c>
    </row>
    <row r="8646" spans="1:1" x14ac:dyDescent="0.25">
      <c r="A8646" s="9">
        <v>2922028.74</v>
      </c>
    </row>
    <row r="8647" spans="1:1" x14ac:dyDescent="0.25">
      <c r="A8647" s="9">
        <v>1086871.04</v>
      </c>
    </row>
    <row r="8648" spans="1:1" x14ac:dyDescent="0.25">
      <c r="A8648" s="9">
        <v>10485993.439999999</v>
      </c>
    </row>
    <row r="8649" spans="1:1" x14ac:dyDescent="0.25">
      <c r="A8649" s="9">
        <v>24690357.100000001</v>
      </c>
    </row>
    <row r="8650" spans="1:1" x14ac:dyDescent="0.25">
      <c r="A8650" s="9">
        <v>9213265.9499999899</v>
      </c>
    </row>
    <row r="8651" spans="1:1" x14ac:dyDescent="0.25">
      <c r="A8651" s="9">
        <v>6441143.6199999899</v>
      </c>
    </row>
    <row r="8652" spans="1:1" x14ac:dyDescent="0.25">
      <c r="A8652" s="9">
        <v>7254529.0999999996</v>
      </c>
    </row>
    <row r="8653" spans="1:1" x14ac:dyDescent="0.25">
      <c r="A8653">
        <v>0</v>
      </c>
    </row>
    <row r="8654" spans="1:1" x14ac:dyDescent="0.25">
      <c r="A8654" s="9">
        <v>124010.02</v>
      </c>
    </row>
    <row r="8655" spans="1:1" x14ac:dyDescent="0.25">
      <c r="A8655" s="9">
        <v>150788.79999999999</v>
      </c>
    </row>
    <row r="8656" spans="1:1" x14ac:dyDescent="0.25">
      <c r="A8656" s="9">
        <v>686508.66</v>
      </c>
    </row>
    <row r="8657" spans="1:1" x14ac:dyDescent="0.25">
      <c r="A8657" s="9">
        <v>69989.64</v>
      </c>
    </row>
    <row r="8658" spans="1:1" x14ac:dyDescent="0.25">
      <c r="A8658">
        <v>0</v>
      </c>
    </row>
    <row r="8659" spans="1:1" x14ac:dyDescent="0.25">
      <c r="A8659" s="9">
        <v>3029459.11</v>
      </c>
    </row>
    <row r="8660" spans="1:1" x14ac:dyDescent="0.25">
      <c r="A8660">
        <v>1944663</v>
      </c>
    </row>
    <row r="8661" spans="1:1" x14ac:dyDescent="0.25">
      <c r="A8661" s="9">
        <v>12657943.869999999</v>
      </c>
    </row>
    <row r="8662" spans="1:1" x14ac:dyDescent="0.25">
      <c r="A8662" s="9">
        <v>12120805.640000001</v>
      </c>
    </row>
    <row r="8663" spans="1:1" x14ac:dyDescent="0.25">
      <c r="A8663">
        <v>1944663</v>
      </c>
    </row>
    <row r="8664" spans="1:1" x14ac:dyDescent="0.25">
      <c r="A8664" s="9">
        <v>3199603.51</v>
      </c>
    </row>
    <row r="8665" spans="1:1" x14ac:dyDescent="0.25">
      <c r="A8665" s="9">
        <v>1951939.48</v>
      </c>
    </row>
    <row r="8666" spans="1:1" x14ac:dyDescent="0.25">
      <c r="A8666" s="9">
        <v>180596.36</v>
      </c>
    </row>
    <row r="8667" spans="1:1" x14ac:dyDescent="0.25">
      <c r="A8667" s="9">
        <v>118937.28</v>
      </c>
    </row>
    <row r="8668" spans="1:1" x14ac:dyDescent="0.25">
      <c r="A8668" s="9">
        <v>63686.03</v>
      </c>
    </row>
    <row r="8669" spans="1:1" x14ac:dyDescent="0.25">
      <c r="A8669">
        <v>23573720</v>
      </c>
    </row>
    <row r="8670" spans="1:1" x14ac:dyDescent="0.25">
      <c r="A8670" s="9">
        <v>22995172.539999999</v>
      </c>
    </row>
    <row r="8671" spans="1:1" x14ac:dyDescent="0.25">
      <c r="A8671" s="9">
        <v>5590943.1699999999</v>
      </c>
    </row>
    <row r="8672" spans="1:1" x14ac:dyDescent="0.25">
      <c r="A8672" s="9">
        <v>5829099.1799999997</v>
      </c>
    </row>
    <row r="8673" spans="1:1" x14ac:dyDescent="0.25">
      <c r="A8673" s="9">
        <v>315372.46000000002</v>
      </c>
    </row>
    <row r="8674" spans="1:1" x14ac:dyDescent="0.25">
      <c r="A8674">
        <v>0</v>
      </c>
    </row>
    <row r="8675" spans="1:1" x14ac:dyDescent="0.25">
      <c r="A8675" s="9">
        <v>10920405.710000001</v>
      </c>
    </row>
    <row r="8676" spans="1:1" x14ac:dyDescent="0.25">
      <c r="A8676" s="9">
        <v>115484.46</v>
      </c>
    </row>
    <row r="8677" spans="1:1" x14ac:dyDescent="0.25">
      <c r="A8677" s="9">
        <v>1348067.49</v>
      </c>
    </row>
    <row r="8678" spans="1:1" x14ac:dyDescent="0.25">
      <c r="A8678" s="9">
        <v>3121087.68</v>
      </c>
    </row>
    <row r="8679" spans="1:1" x14ac:dyDescent="0.25">
      <c r="A8679" s="9">
        <v>3444708.02999999</v>
      </c>
    </row>
    <row r="8680" spans="1:1" x14ac:dyDescent="0.25">
      <c r="A8680" s="9">
        <v>8319075.1799999997</v>
      </c>
    </row>
    <row r="8681" spans="1:1" x14ac:dyDescent="0.25">
      <c r="A8681" s="9">
        <v>6334081.98999999</v>
      </c>
    </row>
    <row r="8682" spans="1:1" x14ac:dyDescent="0.25">
      <c r="A8682" s="9">
        <v>26464957.370000001</v>
      </c>
    </row>
    <row r="8683" spans="1:1" x14ac:dyDescent="0.25">
      <c r="A8683" s="9">
        <v>7675726.0199999996</v>
      </c>
    </row>
    <row r="8684" spans="1:1" x14ac:dyDescent="0.25">
      <c r="A8684" s="9">
        <v>3021882.76</v>
      </c>
    </row>
    <row r="8685" spans="1:1" x14ac:dyDescent="0.25">
      <c r="A8685">
        <v>0</v>
      </c>
    </row>
    <row r="8686" spans="1:1" x14ac:dyDescent="0.25">
      <c r="A8686" s="9">
        <v>502098.66</v>
      </c>
    </row>
    <row r="8687" spans="1:1" x14ac:dyDescent="0.25">
      <c r="A8687" s="9">
        <v>10398168.9</v>
      </c>
    </row>
    <row r="8688" spans="1:1" x14ac:dyDescent="0.25">
      <c r="A8688">
        <v>0</v>
      </c>
    </row>
    <row r="8689" spans="1:1" x14ac:dyDescent="0.25">
      <c r="A8689">
        <v>0</v>
      </c>
    </row>
    <row r="8690" spans="1:1" x14ac:dyDescent="0.25">
      <c r="A8690" s="9">
        <v>2489561.39</v>
      </c>
    </row>
    <row r="8691" spans="1:1" x14ac:dyDescent="0.25">
      <c r="A8691" s="9">
        <v>14263590.68</v>
      </c>
    </row>
    <row r="8692" spans="1:1" x14ac:dyDescent="0.25">
      <c r="A8692" s="9">
        <v>5013743.76</v>
      </c>
    </row>
    <row r="8693" spans="1:1" x14ac:dyDescent="0.25">
      <c r="A8693" s="9">
        <v>2264579.94</v>
      </c>
    </row>
    <row r="8694" spans="1:1" x14ac:dyDescent="0.25">
      <c r="A8694" s="9">
        <v>10856536.76</v>
      </c>
    </row>
    <row r="8695" spans="1:1" x14ac:dyDescent="0.25">
      <c r="A8695" s="9">
        <v>65788.36</v>
      </c>
    </row>
    <row r="8696" spans="1:1" x14ac:dyDescent="0.25">
      <c r="A8696" s="9">
        <v>789702.19</v>
      </c>
    </row>
    <row r="8697" spans="1:1" x14ac:dyDescent="0.25">
      <c r="A8697" s="9">
        <v>3010527.99</v>
      </c>
    </row>
    <row r="8698" spans="1:1" x14ac:dyDescent="0.25">
      <c r="A8698">
        <v>0</v>
      </c>
    </row>
    <row r="8699" spans="1:1" x14ac:dyDescent="0.25">
      <c r="A8699" s="9">
        <v>1205919.6000000001</v>
      </c>
    </row>
    <row r="8700" spans="1:1" x14ac:dyDescent="0.25">
      <c r="A8700" s="9">
        <v>10596709.470000001</v>
      </c>
    </row>
    <row r="8701" spans="1:1" x14ac:dyDescent="0.25">
      <c r="A8701" s="9">
        <v>7426487.9800000004</v>
      </c>
    </row>
    <row r="8702" spans="1:1" x14ac:dyDescent="0.25">
      <c r="A8702" s="9">
        <v>206723.34</v>
      </c>
    </row>
    <row r="8703" spans="1:1" x14ac:dyDescent="0.25">
      <c r="A8703" s="9">
        <v>1824050.06</v>
      </c>
    </row>
    <row r="8704" spans="1:1" x14ac:dyDescent="0.25">
      <c r="A8704" s="9">
        <v>1372960.42</v>
      </c>
    </row>
    <row r="8705" spans="1:1" x14ac:dyDescent="0.25">
      <c r="A8705" s="9">
        <v>3055814.76</v>
      </c>
    </row>
    <row r="8706" spans="1:1" x14ac:dyDescent="0.25">
      <c r="A8706">
        <v>0</v>
      </c>
    </row>
    <row r="8707" spans="1:1" x14ac:dyDescent="0.25">
      <c r="A8707" s="9">
        <v>6696912.9699999997</v>
      </c>
    </row>
    <row r="8708" spans="1:1" x14ac:dyDescent="0.25">
      <c r="A8708" s="9">
        <v>49033683.899999999</v>
      </c>
    </row>
    <row r="8709" spans="1:1" x14ac:dyDescent="0.25">
      <c r="A8709" s="9">
        <v>6787446.3099999996</v>
      </c>
    </row>
    <row r="8710" spans="1:1" x14ac:dyDescent="0.25">
      <c r="A8710" s="9">
        <v>15740241.369999999</v>
      </c>
    </row>
    <row r="8711" spans="1:1" x14ac:dyDescent="0.25">
      <c r="A8711" s="9">
        <v>2139182.0800000001</v>
      </c>
    </row>
    <row r="8712" spans="1:1" x14ac:dyDescent="0.25">
      <c r="A8712" s="9">
        <v>2975880.32</v>
      </c>
    </row>
    <row r="8713" spans="1:1" x14ac:dyDescent="0.25">
      <c r="A8713" s="9">
        <v>852926.56</v>
      </c>
    </row>
    <row r="8714" spans="1:1" x14ac:dyDescent="0.25">
      <c r="A8714" s="9">
        <v>5318662.1900000004</v>
      </c>
    </row>
    <row r="8715" spans="1:1" x14ac:dyDescent="0.25">
      <c r="A8715" s="9">
        <v>4756329.91</v>
      </c>
    </row>
    <row r="8716" spans="1:1" x14ac:dyDescent="0.25">
      <c r="A8716" s="9">
        <v>76927.399999999907</v>
      </c>
    </row>
    <row r="8717" spans="1:1" x14ac:dyDescent="0.25">
      <c r="A8717" s="9">
        <v>12606192.880000001</v>
      </c>
    </row>
    <row r="8718" spans="1:1" x14ac:dyDescent="0.25">
      <c r="A8718" s="9">
        <v>224876.73</v>
      </c>
    </row>
    <row r="8719" spans="1:1" x14ac:dyDescent="0.25">
      <c r="A8719" s="9">
        <v>26540375.280000001</v>
      </c>
    </row>
    <row r="8720" spans="1:1" x14ac:dyDescent="0.25">
      <c r="A8720" s="9">
        <v>318822.88</v>
      </c>
    </row>
    <row r="8721" spans="1:1" x14ac:dyDescent="0.25">
      <c r="A8721" s="9">
        <v>1088092.01</v>
      </c>
    </row>
    <row r="8722" spans="1:1" x14ac:dyDescent="0.25">
      <c r="A8722" s="9">
        <v>4978713.83</v>
      </c>
    </row>
    <row r="8723" spans="1:1" x14ac:dyDescent="0.25">
      <c r="A8723" s="9">
        <v>12180794.68</v>
      </c>
    </row>
    <row r="8724" spans="1:1" x14ac:dyDescent="0.25">
      <c r="A8724">
        <v>0</v>
      </c>
    </row>
    <row r="8725" spans="1:1" x14ac:dyDescent="0.25">
      <c r="A8725" s="9">
        <v>4865349.83</v>
      </c>
    </row>
    <row r="8726" spans="1:1" x14ac:dyDescent="0.25">
      <c r="A8726" s="9">
        <v>9721330.5199999996</v>
      </c>
    </row>
    <row r="8727" spans="1:1" x14ac:dyDescent="0.25">
      <c r="A8727" s="9">
        <v>298509.09999999998</v>
      </c>
    </row>
    <row r="8728" spans="1:1" x14ac:dyDescent="0.25">
      <c r="A8728" s="9">
        <v>3121087.68</v>
      </c>
    </row>
    <row r="8729" spans="1:1" x14ac:dyDescent="0.25">
      <c r="A8729" s="9">
        <v>12010401.689999999</v>
      </c>
    </row>
    <row r="8730" spans="1:1" x14ac:dyDescent="0.25">
      <c r="A8730" s="9">
        <v>4163356.5</v>
      </c>
    </row>
    <row r="8731" spans="1:1" x14ac:dyDescent="0.25">
      <c r="A8731">
        <v>0</v>
      </c>
    </row>
    <row r="8732" spans="1:1" x14ac:dyDescent="0.25">
      <c r="A8732" s="9">
        <v>22335878.920000002</v>
      </c>
    </row>
    <row r="8733" spans="1:1" x14ac:dyDescent="0.25">
      <c r="A8733">
        <v>0</v>
      </c>
    </row>
    <row r="8734" spans="1:1" x14ac:dyDescent="0.25">
      <c r="A8734" s="9">
        <v>2441747.16</v>
      </c>
    </row>
    <row r="8735" spans="1:1" x14ac:dyDescent="0.25">
      <c r="A8735" s="9">
        <v>6976165.0099999998</v>
      </c>
    </row>
    <row r="8736" spans="1:1" x14ac:dyDescent="0.25">
      <c r="A8736" s="9">
        <v>380530.43</v>
      </c>
    </row>
    <row r="8737" spans="1:1" x14ac:dyDescent="0.25">
      <c r="A8737" s="9">
        <v>9344213.0899999999</v>
      </c>
    </row>
    <row r="8738" spans="1:1" x14ac:dyDescent="0.25">
      <c r="A8738" s="9">
        <v>596095.429999999</v>
      </c>
    </row>
    <row r="8739" spans="1:1" x14ac:dyDescent="0.25">
      <c r="A8739">
        <v>0</v>
      </c>
    </row>
    <row r="8740" spans="1:1" x14ac:dyDescent="0.25">
      <c r="A8740" s="9">
        <v>2594307.2400000002</v>
      </c>
    </row>
    <row r="8741" spans="1:1" x14ac:dyDescent="0.25">
      <c r="A8741">
        <v>0</v>
      </c>
    </row>
    <row r="8742" spans="1:1" x14ac:dyDescent="0.25">
      <c r="A8742" s="9">
        <v>1611566.42</v>
      </c>
    </row>
    <row r="8743" spans="1:1" x14ac:dyDescent="0.25">
      <c r="A8743" s="9">
        <v>116916.06</v>
      </c>
    </row>
    <row r="8744" spans="1:1" x14ac:dyDescent="0.25">
      <c r="A8744" s="9">
        <v>27345553.309999999</v>
      </c>
    </row>
    <row r="8745" spans="1:1" x14ac:dyDescent="0.25">
      <c r="A8745" s="9">
        <v>180596.36</v>
      </c>
    </row>
    <row r="8746" spans="1:1" x14ac:dyDescent="0.25">
      <c r="A8746" s="9">
        <v>23028967.16</v>
      </c>
    </row>
    <row r="8747" spans="1:1" x14ac:dyDescent="0.25">
      <c r="A8747" s="9">
        <v>33548691.899999999</v>
      </c>
    </row>
    <row r="8748" spans="1:1" x14ac:dyDescent="0.25">
      <c r="A8748" s="9">
        <v>523778.23</v>
      </c>
    </row>
    <row r="8749" spans="1:1" x14ac:dyDescent="0.25">
      <c r="A8749" s="9">
        <v>27943212.059999999</v>
      </c>
    </row>
    <row r="8750" spans="1:1" x14ac:dyDescent="0.25">
      <c r="A8750" s="9">
        <v>2044474.08</v>
      </c>
    </row>
    <row r="8751" spans="1:1" x14ac:dyDescent="0.25">
      <c r="A8751" s="9">
        <v>1205919.6000000001</v>
      </c>
    </row>
    <row r="8752" spans="1:1" x14ac:dyDescent="0.25">
      <c r="A8752">
        <v>0</v>
      </c>
    </row>
    <row r="8753" spans="1:1" x14ac:dyDescent="0.25">
      <c r="A8753" s="9">
        <v>2114456.11</v>
      </c>
    </row>
    <row r="8754" spans="1:1" x14ac:dyDescent="0.25">
      <c r="A8754" s="9">
        <v>31433785.350000001</v>
      </c>
    </row>
    <row r="8755" spans="1:1" x14ac:dyDescent="0.25">
      <c r="A8755">
        <v>0</v>
      </c>
    </row>
    <row r="8756" spans="1:1" x14ac:dyDescent="0.25">
      <c r="A8756" s="9">
        <v>8400824.3699999992</v>
      </c>
    </row>
    <row r="8757" spans="1:1" x14ac:dyDescent="0.25">
      <c r="A8757" s="9">
        <v>1436865.44</v>
      </c>
    </row>
    <row r="8758" spans="1:1" x14ac:dyDescent="0.25">
      <c r="A8758" s="9">
        <v>6290856.6299999999</v>
      </c>
    </row>
    <row r="8759" spans="1:1" x14ac:dyDescent="0.25">
      <c r="A8759" s="9">
        <v>492865.32</v>
      </c>
    </row>
    <row r="8760" spans="1:1" x14ac:dyDescent="0.25">
      <c r="A8760" s="9">
        <v>1300877.92</v>
      </c>
    </row>
    <row r="8761" spans="1:1" x14ac:dyDescent="0.25">
      <c r="A8761">
        <v>0</v>
      </c>
    </row>
    <row r="8762" spans="1:1" x14ac:dyDescent="0.25">
      <c r="A8762" s="9">
        <v>7744069.2800000003</v>
      </c>
    </row>
    <row r="8763" spans="1:1" x14ac:dyDescent="0.25">
      <c r="A8763" s="9">
        <v>76454782.309999898</v>
      </c>
    </row>
    <row r="8764" spans="1:1" x14ac:dyDescent="0.25">
      <c r="A8764" s="9">
        <v>12029014.5</v>
      </c>
    </row>
    <row r="8765" spans="1:1" x14ac:dyDescent="0.25">
      <c r="A8765" s="9">
        <v>4181367.29</v>
      </c>
    </row>
    <row r="8766" spans="1:1" x14ac:dyDescent="0.25">
      <c r="A8766" s="9">
        <v>76927.399999999907</v>
      </c>
    </row>
    <row r="8767" spans="1:1" x14ac:dyDescent="0.25">
      <c r="A8767" s="9">
        <v>4743703.5399999898</v>
      </c>
    </row>
    <row r="8768" spans="1:1" x14ac:dyDescent="0.25">
      <c r="A8768" s="9">
        <v>3416597.67</v>
      </c>
    </row>
    <row r="8769" spans="1:1" x14ac:dyDescent="0.25">
      <c r="A8769" s="9">
        <v>391318.89</v>
      </c>
    </row>
    <row r="8770" spans="1:1" x14ac:dyDescent="0.25">
      <c r="A8770" s="9">
        <v>2945572.89</v>
      </c>
    </row>
    <row r="8771" spans="1:1" x14ac:dyDescent="0.25">
      <c r="A8771" s="9">
        <v>5556689.7000000002</v>
      </c>
    </row>
    <row r="8772" spans="1:1" x14ac:dyDescent="0.25">
      <c r="A8772" s="9">
        <v>249582.76</v>
      </c>
    </row>
    <row r="8773" spans="1:1" x14ac:dyDescent="0.25">
      <c r="A8773">
        <v>0</v>
      </c>
    </row>
    <row r="8774" spans="1:1" x14ac:dyDescent="0.25">
      <c r="A8774" s="9">
        <v>1516133.35</v>
      </c>
    </row>
    <row r="8775" spans="1:1" x14ac:dyDescent="0.25">
      <c r="A8775" s="9">
        <v>22895114.98</v>
      </c>
    </row>
    <row r="8776" spans="1:1" x14ac:dyDescent="0.25">
      <c r="A8776" s="9">
        <v>289243.52000000002</v>
      </c>
    </row>
    <row r="8777" spans="1:1" x14ac:dyDescent="0.25">
      <c r="A8777">
        <v>381389</v>
      </c>
    </row>
    <row r="8778" spans="1:1" x14ac:dyDescent="0.25">
      <c r="A8778" s="9">
        <v>1205919.6000000001</v>
      </c>
    </row>
    <row r="8779" spans="1:1" x14ac:dyDescent="0.25">
      <c r="A8779" s="9">
        <v>99163.74</v>
      </c>
    </row>
    <row r="8780" spans="1:1" x14ac:dyDescent="0.25">
      <c r="A8780" s="9">
        <v>110670.62</v>
      </c>
    </row>
    <row r="8781" spans="1:1" x14ac:dyDescent="0.25">
      <c r="A8781">
        <v>0</v>
      </c>
    </row>
    <row r="8782" spans="1:1" x14ac:dyDescent="0.25">
      <c r="A8782" s="9">
        <v>3756104.17</v>
      </c>
    </row>
    <row r="8783" spans="1:1" x14ac:dyDescent="0.25">
      <c r="A8783" s="9">
        <v>5866235.3499999996</v>
      </c>
    </row>
    <row r="8784" spans="1:1" x14ac:dyDescent="0.25">
      <c r="A8784" s="9">
        <v>2789774.93</v>
      </c>
    </row>
    <row r="8785" spans="1:1" x14ac:dyDescent="0.25">
      <c r="A8785">
        <v>0</v>
      </c>
    </row>
    <row r="8786" spans="1:1" x14ac:dyDescent="0.25">
      <c r="A8786" s="9">
        <v>6976695.5199999996</v>
      </c>
    </row>
    <row r="8787" spans="1:1" x14ac:dyDescent="0.25">
      <c r="A8787" s="9">
        <v>9143437.6500000004</v>
      </c>
    </row>
    <row r="8788" spans="1:1" x14ac:dyDescent="0.25">
      <c r="A8788" s="9">
        <v>2821417.87</v>
      </c>
    </row>
    <row r="8789" spans="1:1" x14ac:dyDescent="0.25">
      <c r="A8789" s="9">
        <v>2048926.79</v>
      </c>
    </row>
    <row r="8790" spans="1:1" x14ac:dyDescent="0.25">
      <c r="A8790" s="9">
        <v>12406190.34</v>
      </c>
    </row>
    <row r="8791" spans="1:1" x14ac:dyDescent="0.25">
      <c r="A8791" s="9">
        <v>1696287.86</v>
      </c>
    </row>
    <row r="8792" spans="1:1" x14ac:dyDescent="0.25">
      <c r="A8792">
        <v>0</v>
      </c>
    </row>
    <row r="8793" spans="1:1" x14ac:dyDescent="0.25">
      <c r="A8793" s="9">
        <v>128802.6</v>
      </c>
    </row>
    <row r="8794" spans="1:1" x14ac:dyDescent="0.25">
      <c r="A8794" s="9">
        <v>837408.29</v>
      </c>
    </row>
    <row r="8795" spans="1:1" x14ac:dyDescent="0.25">
      <c r="A8795" s="9">
        <v>52480178.789999999</v>
      </c>
    </row>
    <row r="8796" spans="1:1" x14ac:dyDescent="0.25">
      <c r="A8796" s="9">
        <v>9666465.8300000001</v>
      </c>
    </row>
    <row r="8797" spans="1:1" x14ac:dyDescent="0.25">
      <c r="A8797" s="9">
        <v>686054.26</v>
      </c>
    </row>
    <row r="8798" spans="1:1" x14ac:dyDescent="0.25">
      <c r="A8798" s="9">
        <v>543017.41</v>
      </c>
    </row>
    <row r="8799" spans="1:1" x14ac:dyDescent="0.25">
      <c r="A8799" s="9">
        <v>35672710.309999898</v>
      </c>
    </row>
    <row r="8800" spans="1:1" x14ac:dyDescent="0.25">
      <c r="A8800">
        <v>0</v>
      </c>
    </row>
    <row r="8801" spans="1:1" x14ac:dyDescent="0.25">
      <c r="A8801" s="9">
        <v>240020.61</v>
      </c>
    </row>
    <row r="8802" spans="1:1" x14ac:dyDescent="0.25">
      <c r="A8802" s="9">
        <v>63794.92</v>
      </c>
    </row>
    <row r="8803" spans="1:1" x14ac:dyDescent="0.25">
      <c r="A8803">
        <v>0</v>
      </c>
    </row>
    <row r="8804" spans="1:1" x14ac:dyDescent="0.25">
      <c r="A8804" s="9">
        <v>1900233.83</v>
      </c>
    </row>
    <row r="8805" spans="1:1" x14ac:dyDescent="0.25">
      <c r="A8805">
        <v>3802860</v>
      </c>
    </row>
    <row r="8806" spans="1:1" x14ac:dyDescent="0.25">
      <c r="A8806" s="9">
        <v>7616120.9500000002</v>
      </c>
    </row>
    <row r="8807" spans="1:1" x14ac:dyDescent="0.25">
      <c r="A8807">
        <v>0</v>
      </c>
    </row>
    <row r="8808" spans="1:1" x14ac:dyDescent="0.25">
      <c r="A8808" s="9">
        <v>11477906.85</v>
      </c>
    </row>
    <row r="8809" spans="1:1" x14ac:dyDescent="0.25">
      <c r="A8809" s="9">
        <v>32589914.350000001</v>
      </c>
    </row>
    <row r="8810" spans="1:1" x14ac:dyDescent="0.25">
      <c r="A8810">
        <v>0</v>
      </c>
    </row>
    <row r="8811" spans="1:1" x14ac:dyDescent="0.25">
      <c r="A8811" s="9">
        <v>2689011.8</v>
      </c>
    </row>
    <row r="8812" spans="1:1" x14ac:dyDescent="0.25">
      <c r="A8812" s="9">
        <v>544588.68999999994</v>
      </c>
    </row>
    <row r="8813" spans="1:1" x14ac:dyDescent="0.25">
      <c r="A8813">
        <v>0</v>
      </c>
    </row>
    <row r="8814" spans="1:1" x14ac:dyDescent="0.25">
      <c r="A8814" s="9">
        <v>3959460.55</v>
      </c>
    </row>
    <row r="8815" spans="1:1" x14ac:dyDescent="0.25">
      <c r="A8815">
        <v>0</v>
      </c>
    </row>
    <row r="8816" spans="1:1" x14ac:dyDescent="0.25">
      <c r="A8816" s="9">
        <v>291692.87</v>
      </c>
    </row>
    <row r="8817" spans="1:1" x14ac:dyDescent="0.25">
      <c r="A8817" s="9">
        <v>4173168.37</v>
      </c>
    </row>
    <row r="8818" spans="1:1" x14ac:dyDescent="0.25">
      <c r="A8818" s="9">
        <v>2747478.4</v>
      </c>
    </row>
    <row r="8819" spans="1:1" x14ac:dyDescent="0.25">
      <c r="A8819" s="9">
        <v>1174774.3999999999</v>
      </c>
    </row>
    <row r="8820" spans="1:1" x14ac:dyDescent="0.25">
      <c r="A8820" s="9">
        <v>3348061.59</v>
      </c>
    </row>
    <row r="8821" spans="1:1" x14ac:dyDescent="0.25">
      <c r="A8821" s="9">
        <v>65832.599999999904</v>
      </c>
    </row>
    <row r="8822" spans="1:1" x14ac:dyDescent="0.25">
      <c r="A8822">
        <v>0</v>
      </c>
    </row>
    <row r="8823" spans="1:1" x14ac:dyDescent="0.25">
      <c r="A8823" s="9">
        <v>3807500.32</v>
      </c>
    </row>
    <row r="8824" spans="1:1" x14ac:dyDescent="0.25">
      <c r="A8824" s="9">
        <v>35714.1</v>
      </c>
    </row>
    <row r="8825" spans="1:1" x14ac:dyDescent="0.25">
      <c r="A8825">
        <v>0</v>
      </c>
    </row>
    <row r="8826" spans="1:1" x14ac:dyDescent="0.25">
      <c r="A8826" s="9">
        <v>3121087.68</v>
      </c>
    </row>
    <row r="8827" spans="1:1" x14ac:dyDescent="0.25">
      <c r="A8827" s="9">
        <v>10000346.970000001</v>
      </c>
    </row>
    <row r="8828" spans="1:1" x14ac:dyDescent="0.25">
      <c r="A8828" s="9">
        <v>12709797.91</v>
      </c>
    </row>
    <row r="8829" spans="1:1" x14ac:dyDescent="0.25">
      <c r="A8829" s="9">
        <v>3315712.56</v>
      </c>
    </row>
    <row r="8830" spans="1:1" x14ac:dyDescent="0.25">
      <c r="A8830" s="9">
        <v>3724801.72</v>
      </c>
    </row>
    <row r="8831" spans="1:1" x14ac:dyDescent="0.25">
      <c r="A8831" s="9">
        <v>25442076.960000001</v>
      </c>
    </row>
    <row r="8832" spans="1:1" x14ac:dyDescent="0.25">
      <c r="A8832" s="9">
        <v>259798.08</v>
      </c>
    </row>
    <row r="8833" spans="1:1" x14ac:dyDescent="0.25">
      <c r="A8833" s="9">
        <v>3412269.06</v>
      </c>
    </row>
    <row r="8834" spans="1:1" x14ac:dyDescent="0.25">
      <c r="A8834" s="9">
        <v>350417.91999999998</v>
      </c>
    </row>
    <row r="8835" spans="1:1" x14ac:dyDescent="0.25">
      <c r="A8835">
        <v>0</v>
      </c>
    </row>
    <row r="8836" spans="1:1" x14ac:dyDescent="0.25">
      <c r="A8836" s="9">
        <v>320629.06</v>
      </c>
    </row>
    <row r="8837" spans="1:1" x14ac:dyDescent="0.25">
      <c r="A8837">
        <v>0</v>
      </c>
    </row>
    <row r="8838" spans="1:1" x14ac:dyDescent="0.25">
      <c r="A8838" s="9">
        <v>18385155.300000001</v>
      </c>
    </row>
    <row r="8839" spans="1:1" x14ac:dyDescent="0.25">
      <c r="A8839">
        <v>0</v>
      </c>
    </row>
    <row r="8840" spans="1:1" x14ac:dyDescent="0.25">
      <c r="A8840" s="9">
        <v>8085105.3799999999</v>
      </c>
    </row>
    <row r="8841" spans="1:1" x14ac:dyDescent="0.25">
      <c r="A8841" s="9">
        <v>889771.37</v>
      </c>
    </row>
    <row r="8842" spans="1:1" x14ac:dyDescent="0.25">
      <c r="A8842" s="9">
        <v>30663190.02</v>
      </c>
    </row>
    <row r="8843" spans="1:1" x14ac:dyDescent="0.25">
      <c r="A8843" s="9">
        <v>24790195.460000001</v>
      </c>
    </row>
    <row r="8844" spans="1:1" x14ac:dyDescent="0.25">
      <c r="A8844" s="9">
        <v>177629.35</v>
      </c>
    </row>
    <row r="8845" spans="1:1" x14ac:dyDescent="0.25">
      <c r="A8845" s="9">
        <v>348833.38</v>
      </c>
    </row>
    <row r="8846" spans="1:1" x14ac:dyDescent="0.25">
      <c r="A8846" s="9">
        <v>162411.81</v>
      </c>
    </row>
    <row r="8847" spans="1:1" x14ac:dyDescent="0.25">
      <c r="A8847">
        <v>0</v>
      </c>
    </row>
    <row r="8848" spans="1:1" x14ac:dyDescent="0.25">
      <c r="A8848" s="9">
        <v>19961233.379999999</v>
      </c>
    </row>
    <row r="8849" spans="1:1" x14ac:dyDescent="0.25">
      <c r="A8849" s="9">
        <v>404274.46</v>
      </c>
    </row>
    <row r="8850" spans="1:1" x14ac:dyDescent="0.25">
      <c r="A8850">
        <v>797124</v>
      </c>
    </row>
    <row r="8851" spans="1:1" x14ac:dyDescent="0.25">
      <c r="A8851" s="9">
        <v>9275468.1600000001</v>
      </c>
    </row>
    <row r="8852" spans="1:1" x14ac:dyDescent="0.25">
      <c r="A8852" s="9">
        <v>5681101.5300000003</v>
      </c>
    </row>
    <row r="8853" spans="1:1" x14ac:dyDescent="0.25">
      <c r="A8853" s="9">
        <v>65832.599999999904</v>
      </c>
    </row>
    <row r="8854" spans="1:1" x14ac:dyDescent="0.25">
      <c r="A8854" s="9">
        <v>156513.65</v>
      </c>
    </row>
    <row r="8855" spans="1:1" x14ac:dyDescent="0.25">
      <c r="A8855" s="9">
        <v>3850607.15</v>
      </c>
    </row>
    <row r="8856" spans="1:1" x14ac:dyDescent="0.25">
      <c r="A8856" s="9">
        <v>7871173.8300000001</v>
      </c>
    </row>
    <row r="8857" spans="1:1" x14ac:dyDescent="0.25">
      <c r="A8857" s="9">
        <v>5402418.52999999</v>
      </c>
    </row>
    <row r="8858" spans="1:1" x14ac:dyDescent="0.25">
      <c r="A8858" s="9">
        <v>1015229.1</v>
      </c>
    </row>
    <row r="8859" spans="1:1" x14ac:dyDescent="0.25">
      <c r="A8859" s="9">
        <v>4423295.62</v>
      </c>
    </row>
    <row r="8860" spans="1:1" x14ac:dyDescent="0.25">
      <c r="A8860" s="9">
        <v>13794602.359999999</v>
      </c>
    </row>
    <row r="8861" spans="1:1" x14ac:dyDescent="0.25">
      <c r="A8861" s="9">
        <v>3249849.83</v>
      </c>
    </row>
    <row r="8862" spans="1:1" x14ac:dyDescent="0.25">
      <c r="A8862" s="9">
        <v>238591.41</v>
      </c>
    </row>
    <row r="8863" spans="1:1" x14ac:dyDescent="0.25">
      <c r="A8863" s="9">
        <v>1111211.93</v>
      </c>
    </row>
    <row r="8864" spans="1:1" x14ac:dyDescent="0.25">
      <c r="A8864" s="9">
        <v>8416246.7799999993</v>
      </c>
    </row>
    <row r="8865" spans="1:1" x14ac:dyDescent="0.25">
      <c r="A8865" s="9">
        <v>31402020.649999999</v>
      </c>
    </row>
    <row r="8866" spans="1:1" x14ac:dyDescent="0.25">
      <c r="A8866" s="9">
        <v>14296951.939999999</v>
      </c>
    </row>
    <row r="8867" spans="1:1" x14ac:dyDescent="0.25">
      <c r="A8867" s="9">
        <v>13867517.640000001</v>
      </c>
    </row>
    <row r="8868" spans="1:1" x14ac:dyDescent="0.25">
      <c r="A8868" s="9">
        <v>4208536.59</v>
      </c>
    </row>
    <row r="8869" spans="1:1" x14ac:dyDescent="0.25">
      <c r="A8869" s="9">
        <v>4248251.04</v>
      </c>
    </row>
    <row r="8870" spans="1:1" x14ac:dyDescent="0.25">
      <c r="A8870" s="9">
        <v>78690.3</v>
      </c>
    </row>
    <row r="8871" spans="1:1" x14ac:dyDescent="0.25">
      <c r="A8871" s="9">
        <v>3258581.08</v>
      </c>
    </row>
    <row r="8872" spans="1:1" x14ac:dyDescent="0.25">
      <c r="A8872" s="9">
        <v>249956.46</v>
      </c>
    </row>
    <row r="8873" spans="1:1" x14ac:dyDescent="0.25">
      <c r="A8873">
        <v>168812</v>
      </c>
    </row>
    <row r="8874" spans="1:1" x14ac:dyDescent="0.25">
      <c r="A8874" s="9">
        <v>6623011</v>
      </c>
    </row>
    <row r="8875" spans="1:1" x14ac:dyDescent="0.25">
      <c r="A8875" s="9">
        <v>2172267.12</v>
      </c>
    </row>
    <row r="8876" spans="1:1" x14ac:dyDescent="0.25">
      <c r="A8876">
        <v>0</v>
      </c>
    </row>
    <row r="8877" spans="1:1" x14ac:dyDescent="0.25">
      <c r="A8877" s="9">
        <v>4628237.67</v>
      </c>
    </row>
    <row r="8878" spans="1:1" x14ac:dyDescent="0.25">
      <c r="A8878" s="9">
        <v>6440566.8099999996</v>
      </c>
    </row>
    <row r="8879" spans="1:1" x14ac:dyDescent="0.25">
      <c r="A8879" s="9">
        <v>32298816.609999999</v>
      </c>
    </row>
    <row r="8880" spans="1:1" x14ac:dyDescent="0.25">
      <c r="A8880" s="9">
        <v>21324256.969999999</v>
      </c>
    </row>
    <row r="8881" spans="1:1" x14ac:dyDescent="0.25">
      <c r="A8881" s="9">
        <v>143203.95000000001</v>
      </c>
    </row>
    <row r="8882" spans="1:1" x14ac:dyDescent="0.25">
      <c r="A8882">
        <v>0</v>
      </c>
    </row>
    <row r="8883" spans="1:1" x14ac:dyDescent="0.25">
      <c r="A8883">
        <v>0</v>
      </c>
    </row>
    <row r="8884" spans="1:1" x14ac:dyDescent="0.25">
      <c r="A8884" s="9">
        <v>656113.23</v>
      </c>
    </row>
    <row r="8885" spans="1:1" x14ac:dyDescent="0.25">
      <c r="A8885">
        <v>0</v>
      </c>
    </row>
    <row r="8886" spans="1:1" x14ac:dyDescent="0.25">
      <c r="A8886" s="9">
        <v>179485.5</v>
      </c>
    </row>
    <row r="8887" spans="1:1" x14ac:dyDescent="0.25">
      <c r="A8887" s="9">
        <v>260420.45</v>
      </c>
    </row>
    <row r="8888" spans="1:1" x14ac:dyDescent="0.25">
      <c r="A8888">
        <v>0</v>
      </c>
    </row>
    <row r="8889" spans="1:1" x14ac:dyDescent="0.25">
      <c r="A8889" s="9">
        <v>17407440.829999998</v>
      </c>
    </row>
    <row r="8890" spans="1:1" x14ac:dyDescent="0.25">
      <c r="A8890" s="9">
        <v>145009.26</v>
      </c>
    </row>
    <row r="8891" spans="1:1" x14ac:dyDescent="0.25">
      <c r="A8891" s="9">
        <v>868763.33</v>
      </c>
    </row>
    <row r="8892" spans="1:1" x14ac:dyDescent="0.25">
      <c r="A8892" s="9">
        <v>2233536.64</v>
      </c>
    </row>
    <row r="8893" spans="1:1" x14ac:dyDescent="0.25">
      <c r="A8893" s="9">
        <v>8842782.9900000002</v>
      </c>
    </row>
    <row r="8894" spans="1:1" x14ac:dyDescent="0.25">
      <c r="A8894">
        <v>0</v>
      </c>
    </row>
    <row r="8895" spans="1:1" x14ac:dyDescent="0.25">
      <c r="A8895" s="9">
        <v>18270569.98</v>
      </c>
    </row>
    <row r="8896" spans="1:1" x14ac:dyDescent="0.25">
      <c r="A8896" s="9">
        <v>59753178.520000003</v>
      </c>
    </row>
    <row r="8897" spans="1:1" x14ac:dyDescent="0.25">
      <c r="A8897">
        <v>0</v>
      </c>
    </row>
    <row r="8898" spans="1:1" x14ac:dyDescent="0.25">
      <c r="A8898" s="9">
        <v>370058.68</v>
      </c>
    </row>
    <row r="8899" spans="1:1" x14ac:dyDescent="0.25">
      <c r="A8899">
        <v>0</v>
      </c>
    </row>
    <row r="8900" spans="1:1" x14ac:dyDescent="0.25">
      <c r="A8900">
        <v>0</v>
      </c>
    </row>
    <row r="8901" spans="1:1" x14ac:dyDescent="0.25">
      <c r="A8901" s="9">
        <v>14597183.449999999</v>
      </c>
    </row>
    <row r="8902" spans="1:1" x14ac:dyDescent="0.25">
      <c r="A8902" s="9">
        <v>485737.97</v>
      </c>
    </row>
    <row r="8903" spans="1:1" x14ac:dyDescent="0.25">
      <c r="A8903" s="9">
        <v>4648071.92</v>
      </c>
    </row>
    <row r="8904" spans="1:1" x14ac:dyDescent="0.25">
      <c r="A8904" s="9">
        <v>2567828.02</v>
      </c>
    </row>
    <row r="8905" spans="1:1" x14ac:dyDescent="0.25">
      <c r="A8905" s="9">
        <v>223878.2</v>
      </c>
    </row>
    <row r="8906" spans="1:1" x14ac:dyDescent="0.25">
      <c r="A8906" s="9">
        <v>195824.26</v>
      </c>
    </row>
    <row r="8907" spans="1:1" x14ac:dyDescent="0.25">
      <c r="A8907" s="9">
        <v>20836885.530000001</v>
      </c>
    </row>
    <row r="8908" spans="1:1" x14ac:dyDescent="0.25">
      <c r="A8908" s="9">
        <v>4676570.3099999996</v>
      </c>
    </row>
    <row r="8909" spans="1:1" x14ac:dyDescent="0.25">
      <c r="A8909" s="9">
        <v>5105897.07</v>
      </c>
    </row>
    <row r="8910" spans="1:1" x14ac:dyDescent="0.25">
      <c r="A8910">
        <v>0</v>
      </c>
    </row>
    <row r="8911" spans="1:1" x14ac:dyDescent="0.25">
      <c r="A8911" s="9">
        <v>9781457.5600000005</v>
      </c>
    </row>
    <row r="8912" spans="1:1" x14ac:dyDescent="0.25">
      <c r="A8912">
        <v>0</v>
      </c>
    </row>
    <row r="8913" spans="1:1" x14ac:dyDescent="0.25">
      <c r="A8913" s="9">
        <v>308129.84000000003</v>
      </c>
    </row>
    <row r="8914" spans="1:1" x14ac:dyDescent="0.25">
      <c r="A8914" s="9">
        <v>1989000.71</v>
      </c>
    </row>
    <row r="8915" spans="1:1" x14ac:dyDescent="0.25">
      <c r="A8915" s="9">
        <v>118108.25</v>
      </c>
    </row>
    <row r="8916" spans="1:1" x14ac:dyDescent="0.25">
      <c r="A8916" s="9">
        <v>15292210.51</v>
      </c>
    </row>
    <row r="8917" spans="1:1" x14ac:dyDescent="0.25">
      <c r="A8917" s="9">
        <v>38533303.479999997</v>
      </c>
    </row>
    <row r="8918" spans="1:1" x14ac:dyDescent="0.25">
      <c r="A8918" s="9">
        <v>626839.43999999901</v>
      </c>
    </row>
    <row r="8919" spans="1:1" x14ac:dyDescent="0.25">
      <c r="A8919" s="9">
        <v>5674157.0800000001</v>
      </c>
    </row>
    <row r="8920" spans="1:1" x14ac:dyDescent="0.25">
      <c r="A8920" s="9">
        <v>8587106.7400000002</v>
      </c>
    </row>
    <row r="8921" spans="1:1" x14ac:dyDescent="0.25">
      <c r="A8921" s="9">
        <v>3889718.7</v>
      </c>
    </row>
    <row r="8922" spans="1:1" x14ac:dyDescent="0.25">
      <c r="A8922" s="9">
        <v>342857.04</v>
      </c>
    </row>
    <row r="8923" spans="1:1" x14ac:dyDescent="0.25">
      <c r="A8923" s="9">
        <v>16960890.73</v>
      </c>
    </row>
    <row r="8924" spans="1:1" x14ac:dyDescent="0.25">
      <c r="A8924" s="9">
        <v>2847368.79</v>
      </c>
    </row>
    <row r="8925" spans="1:1" x14ac:dyDescent="0.25">
      <c r="A8925" s="9">
        <v>4002391.26</v>
      </c>
    </row>
    <row r="8926" spans="1:1" x14ac:dyDescent="0.25">
      <c r="A8926" s="9">
        <v>151877.25</v>
      </c>
    </row>
    <row r="8927" spans="1:1" x14ac:dyDescent="0.25">
      <c r="A8927" s="9">
        <v>10289408.68</v>
      </c>
    </row>
    <row r="8928" spans="1:1" x14ac:dyDescent="0.25">
      <c r="A8928" s="9">
        <v>5338380.8499999996</v>
      </c>
    </row>
    <row r="8929" spans="1:1" x14ac:dyDescent="0.25">
      <c r="A8929" s="9">
        <v>6876817.3399999999</v>
      </c>
    </row>
    <row r="8930" spans="1:1" x14ac:dyDescent="0.25">
      <c r="A8930" s="9">
        <v>486887.07</v>
      </c>
    </row>
    <row r="8931" spans="1:1" x14ac:dyDescent="0.25">
      <c r="A8931" s="9">
        <v>931201.38</v>
      </c>
    </row>
    <row r="8932" spans="1:1" x14ac:dyDescent="0.25">
      <c r="A8932" s="9">
        <v>29269.759999999998</v>
      </c>
    </row>
    <row r="8933" spans="1:1" x14ac:dyDescent="0.25">
      <c r="A8933" s="9">
        <v>1250789.46</v>
      </c>
    </row>
    <row r="8934" spans="1:1" x14ac:dyDescent="0.25">
      <c r="A8934" s="9">
        <v>139483.17000000001</v>
      </c>
    </row>
    <row r="8935" spans="1:1" x14ac:dyDescent="0.25">
      <c r="A8935" s="9">
        <v>485722.65</v>
      </c>
    </row>
    <row r="8936" spans="1:1" x14ac:dyDescent="0.25">
      <c r="A8936" s="9">
        <v>5555914.6299999999</v>
      </c>
    </row>
    <row r="8937" spans="1:1" x14ac:dyDescent="0.25">
      <c r="A8937" s="9">
        <v>203281.76</v>
      </c>
    </row>
    <row r="8938" spans="1:1" x14ac:dyDescent="0.25">
      <c r="A8938">
        <v>0</v>
      </c>
    </row>
    <row r="8939" spans="1:1" x14ac:dyDescent="0.25">
      <c r="A8939" s="9">
        <v>7113663.8799999999</v>
      </c>
    </row>
    <row r="8940" spans="1:1" x14ac:dyDescent="0.25">
      <c r="A8940" s="9">
        <v>63852.12</v>
      </c>
    </row>
    <row r="8941" spans="1:1" x14ac:dyDescent="0.25">
      <c r="A8941">
        <v>168812</v>
      </c>
    </row>
    <row r="8942" spans="1:1" x14ac:dyDescent="0.25">
      <c r="A8942" s="9">
        <v>5900658.9000000004</v>
      </c>
    </row>
    <row r="8943" spans="1:1" x14ac:dyDescent="0.25">
      <c r="A8943">
        <v>0</v>
      </c>
    </row>
    <row r="8944" spans="1:1" x14ac:dyDescent="0.25">
      <c r="A8944" s="9">
        <v>276793.09000000003</v>
      </c>
    </row>
    <row r="8945" spans="1:1" x14ac:dyDescent="0.25">
      <c r="A8945" s="9">
        <v>272963.20000000001</v>
      </c>
    </row>
    <row r="8946" spans="1:1" x14ac:dyDescent="0.25">
      <c r="A8946" s="9">
        <v>16340235.41</v>
      </c>
    </row>
    <row r="8947" spans="1:1" x14ac:dyDescent="0.25">
      <c r="A8947" s="9">
        <v>6114068.0099999998</v>
      </c>
    </row>
    <row r="8948" spans="1:1" x14ac:dyDescent="0.25">
      <c r="A8948" s="9">
        <v>2979768.43</v>
      </c>
    </row>
    <row r="8949" spans="1:1" x14ac:dyDescent="0.25">
      <c r="A8949" s="9">
        <v>179485.5</v>
      </c>
    </row>
    <row r="8950" spans="1:1" x14ac:dyDescent="0.25">
      <c r="A8950" s="9">
        <v>2128533.77</v>
      </c>
    </row>
    <row r="8951" spans="1:1" x14ac:dyDescent="0.25">
      <c r="A8951" s="9">
        <v>79775193.959999904</v>
      </c>
    </row>
    <row r="8952" spans="1:1" x14ac:dyDescent="0.25">
      <c r="A8952" s="9">
        <v>36437538.939999998</v>
      </c>
    </row>
    <row r="8953" spans="1:1" x14ac:dyDescent="0.25">
      <c r="A8953" s="9">
        <v>19471772.829999998</v>
      </c>
    </row>
    <row r="8954" spans="1:1" x14ac:dyDescent="0.25">
      <c r="A8954" s="9">
        <v>2536625.83</v>
      </c>
    </row>
    <row r="8955" spans="1:1" x14ac:dyDescent="0.25">
      <c r="A8955" s="9">
        <v>5286377.41</v>
      </c>
    </row>
    <row r="8956" spans="1:1" x14ac:dyDescent="0.25">
      <c r="A8956" s="9">
        <v>2591518.84</v>
      </c>
    </row>
    <row r="8957" spans="1:1" x14ac:dyDescent="0.25">
      <c r="A8957" s="9">
        <v>3785473.55</v>
      </c>
    </row>
    <row r="8958" spans="1:1" x14ac:dyDescent="0.25">
      <c r="A8958">
        <v>0</v>
      </c>
    </row>
    <row r="8959" spans="1:1" x14ac:dyDescent="0.25">
      <c r="A8959" s="9">
        <v>2567597.29</v>
      </c>
    </row>
    <row r="8960" spans="1:1" x14ac:dyDescent="0.25">
      <c r="A8960" s="9">
        <v>2530151.6800000002</v>
      </c>
    </row>
    <row r="8961" spans="1:1" x14ac:dyDescent="0.25">
      <c r="A8961" s="9">
        <v>1491100.22</v>
      </c>
    </row>
    <row r="8962" spans="1:1" x14ac:dyDescent="0.25">
      <c r="A8962" s="9">
        <v>20667567.129999999</v>
      </c>
    </row>
    <row r="8963" spans="1:1" x14ac:dyDescent="0.25">
      <c r="A8963" s="9">
        <v>4136897.22</v>
      </c>
    </row>
    <row r="8964" spans="1:1" x14ac:dyDescent="0.25">
      <c r="A8964">
        <v>0</v>
      </c>
    </row>
    <row r="8965" spans="1:1" x14ac:dyDescent="0.25">
      <c r="A8965" s="9">
        <v>4504239.17</v>
      </c>
    </row>
    <row r="8966" spans="1:1" x14ac:dyDescent="0.25">
      <c r="A8966" s="9">
        <v>30054764.530000001</v>
      </c>
    </row>
    <row r="8967" spans="1:1" x14ac:dyDescent="0.25">
      <c r="A8967" s="9">
        <v>35714.1</v>
      </c>
    </row>
    <row r="8968" spans="1:1" x14ac:dyDescent="0.25">
      <c r="A8968" s="9">
        <v>6121851.4399999902</v>
      </c>
    </row>
    <row r="8969" spans="1:1" x14ac:dyDescent="0.25">
      <c r="A8969" s="9">
        <v>3560852.12</v>
      </c>
    </row>
    <row r="8970" spans="1:1" x14ac:dyDescent="0.25">
      <c r="A8970" s="9">
        <v>6482862.5300000003</v>
      </c>
    </row>
    <row r="8971" spans="1:1" x14ac:dyDescent="0.25">
      <c r="A8971">
        <v>0</v>
      </c>
    </row>
    <row r="8972" spans="1:1" x14ac:dyDescent="0.25">
      <c r="A8972" s="9">
        <v>1831866.61</v>
      </c>
    </row>
    <row r="8973" spans="1:1" x14ac:dyDescent="0.25">
      <c r="A8973">
        <v>0</v>
      </c>
    </row>
    <row r="8974" spans="1:1" x14ac:dyDescent="0.25">
      <c r="A8974" s="9">
        <v>145009.26</v>
      </c>
    </row>
    <row r="8975" spans="1:1" x14ac:dyDescent="0.25">
      <c r="A8975">
        <v>0</v>
      </c>
    </row>
    <row r="8976" spans="1:1" x14ac:dyDescent="0.25">
      <c r="A8976" s="9">
        <v>7763420.2999999998</v>
      </c>
    </row>
    <row r="8977" spans="1:1" x14ac:dyDescent="0.25">
      <c r="A8977" s="9">
        <v>16717986.869999999</v>
      </c>
    </row>
    <row r="8978" spans="1:1" x14ac:dyDescent="0.25">
      <c r="A8978" s="9">
        <v>4901253.3099999996</v>
      </c>
    </row>
    <row r="8979" spans="1:1" x14ac:dyDescent="0.25">
      <c r="A8979" s="9">
        <v>7697543.3700000001</v>
      </c>
    </row>
    <row r="8980" spans="1:1" x14ac:dyDescent="0.25">
      <c r="A8980" s="9">
        <v>9658211.3699999899</v>
      </c>
    </row>
    <row r="8981" spans="1:1" x14ac:dyDescent="0.25">
      <c r="A8981">
        <v>0</v>
      </c>
    </row>
    <row r="8982" spans="1:1" x14ac:dyDescent="0.25">
      <c r="A8982" s="9">
        <v>46895371.469999999</v>
      </c>
    </row>
    <row r="8983" spans="1:1" x14ac:dyDescent="0.25">
      <c r="A8983" s="9">
        <v>18972264.539999999</v>
      </c>
    </row>
    <row r="8984" spans="1:1" x14ac:dyDescent="0.25">
      <c r="A8984" s="9">
        <v>32938218.829999998</v>
      </c>
    </row>
    <row r="8985" spans="1:1" x14ac:dyDescent="0.25">
      <c r="A8985" s="9">
        <v>155459.1</v>
      </c>
    </row>
    <row r="8986" spans="1:1" x14ac:dyDescent="0.25">
      <c r="A8986" s="9">
        <v>47829.8</v>
      </c>
    </row>
    <row r="8987" spans="1:1" x14ac:dyDescent="0.25">
      <c r="A8987" s="9">
        <v>20644335.719999999</v>
      </c>
    </row>
    <row r="8988" spans="1:1" x14ac:dyDescent="0.25">
      <c r="A8988" s="9">
        <v>256258.5</v>
      </c>
    </row>
    <row r="8989" spans="1:1" x14ac:dyDescent="0.25">
      <c r="A8989" s="9">
        <v>1236642.72</v>
      </c>
    </row>
    <row r="8990" spans="1:1" x14ac:dyDescent="0.25">
      <c r="A8990" s="9">
        <v>105702.6</v>
      </c>
    </row>
    <row r="8991" spans="1:1" x14ac:dyDescent="0.25">
      <c r="A8991" s="9">
        <v>6468642.3600000003</v>
      </c>
    </row>
    <row r="8992" spans="1:1" x14ac:dyDescent="0.25">
      <c r="A8992" s="9">
        <v>369237.93</v>
      </c>
    </row>
    <row r="8993" spans="1:1" x14ac:dyDescent="0.25">
      <c r="A8993" s="9">
        <v>3647666.76</v>
      </c>
    </row>
    <row r="8994" spans="1:1" x14ac:dyDescent="0.25">
      <c r="A8994" s="9">
        <v>19263924.030000001</v>
      </c>
    </row>
    <row r="8995" spans="1:1" x14ac:dyDescent="0.25">
      <c r="A8995" s="9">
        <v>148737.42000000001</v>
      </c>
    </row>
    <row r="8996" spans="1:1" x14ac:dyDescent="0.25">
      <c r="A8996" s="9">
        <v>1464815.97</v>
      </c>
    </row>
    <row r="8997" spans="1:1" x14ac:dyDescent="0.25">
      <c r="A8997" s="9">
        <v>28487166.43</v>
      </c>
    </row>
    <row r="8998" spans="1:1" x14ac:dyDescent="0.25">
      <c r="A8998" s="9">
        <v>22278281.059999999</v>
      </c>
    </row>
    <row r="8999" spans="1:1" x14ac:dyDescent="0.25">
      <c r="A8999" s="9">
        <v>4559925.08</v>
      </c>
    </row>
    <row r="9000" spans="1:1" x14ac:dyDescent="0.25">
      <c r="A9000" s="9">
        <v>13776637.68</v>
      </c>
    </row>
    <row r="9001" spans="1:1" x14ac:dyDescent="0.25">
      <c r="A9001" s="9">
        <v>3528733.23</v>
      </c>
    </row>
    <row r="9002" spans="1:1" x14ac:dyDescent="0.25">
      <c r="A9002" s="9">
        <v>20619878.609999999</v>
      </c>
    </row>
    <row r="9003" spans="1:1" x14ac:dyDescent="0.25">
      <c r="A9003" s="9">
        <v>65832.599999999904</v>
      </c>
    </row>
    <row r="9004" spans="1:1" x14ac:dyDescent="0.25">
      <c r="A9004">
        <v>0</v>
      </c>
    </row>
    <row r="9005" spans="1:1" x14ac:dyDescent="0.25">
      <c r="A9005" s="9">
        <v>15035237.289999999</v>
      </c>
    </row>
    <row r="9006" spans="1:1" x14ac:dyDescent="0.25">
      <c r="A9006" s="9">
        <v>15232692.41</v>
      </c>
    </row>
    <row r="9007" spans="1:1" x14ac:dyDescent="0.25">
      <c r="A9007">
        <v>797124</v>
      </c>
    </row>
    <row r="9008" spans="1:1" x14ac:dyDescent="0.25">
      <c r="A9008" s="9">
        <v>2973456.52</v>
      </c>
    </row>
    <row r="9009" spans="1:1" x14ac:dyDescent="0.25">
      <c r="A9009" s="9">
        <v>4315027.4000000004</v>
      </c>
    </row>
    <row r="9010" spans="1:1" x14ac:dyDescent="0.25">
      <c r="A9010" s="9">
        <v>2139182.0800000001</v>
      </c>
    </row>
    <row r="9011" spans="1:1" x14ac:dyDescent="0.25">
      <c r="A9011" s="9">
        <v>39588270.590000004</v>
      </c>
    </row>
    <row r="9012" spans="1:1" x14ac:dyDescent="0.25">
      <c r="A9012" s="9">
        <v>418800.46</v>
      </c>
    </row>
    <row r="9013" spans="1:1" x14ac:dyDescent="0.25">
      <c r="A9013" s="9">
        <v>13704953.32</v>
      </c>
    </row>
    <row r="9014" spans="1:1" x14ac:dyDescent="0.25">
      <c r="A9014" s="9">
        <v>292508.63</v>
      </c>
    </row>
    <row r="9015" spans="1:1" x14ac:dyDescent="0.25">
      <c r="A9015" s="9">
        <v>10981252.130000001</v>
      </c>
    </row>
    <row r="9016" spans="1:1" x14ac:dyDescent="0.25">
      <c r="A9016" s="9">
        <v>9909076.2199999895</v>
      </c>
    </row>
    <row r="9017" spans="1:1" x14ac:dyDescent="0.25">
      <c r="A9017" s="9">
        <v>3121087.68</v>
      </c>
    </row>
    <row r="9018" spans="1:1" x14ac:dyDescent="0.25">
      <c r="A9018">
        <v>0</v>
      </c>
    </row>
    <row r="9019" spans="1:1" x14ac:dyDescent="0.25">
      <c r="A9019">
        <v>0</v>
      </c>
    </row>
    <row r="9020" spans="1:1" x14ac:dyDescent="0.25">
      <c r="A9020">
        <v>0</v>
      </c>
    </row>
    <row r="9021" spans="1:1" x14ac:dyDescent="0.25">
      <c r="A9021" s="9">
        <v>6781467.4299999997</v>
      </c>
    </row>
    <row r="9022" spans="1:1" x14ac:dyDescent="0.25">
      <c r="A9022" s="9">
        <v>150470.76</v>
      </c>
    </row>
    <row r="9023" spans="1:1" x14ac:dyDescent="0.25">
      <c r="A9023" s="9">
        <v>1434349.59</v>
      </c>
    </row>
    <row r="9024" spans="1:1" x14ac:dyDescent="0.25">
      <c r="A9024" s="9">
        <v>1721652.31</v>
      </c>
    </row>
    <row r="9025" spans="1:1" x14ac:dyDescent="0.25">
      <c r="A9025" s="9">
        <v>63686.03</v>
      </c>
    </row>
    <row r="9026" spans="1:1" x14ac:dyDescent="0.25">
      <c r="A9026" s="9">
        <v>3048468.96</v>
      </c>
    </row>
    <row r="9027" spans="1:1" x14ac:dyDescent="0.25">
      <c r="A9027" s="9">
        <v>366464.11</v>
      </c>
    </row>
    <row r="9028" spans="1:1" x14ac:dyDescent="0.25">
      <c r="A9028" s="9">
        <v>8052766.9100000001</v>
      </c>
    </row>
    <row r="9029" spans="1:1" x14ac:dyDescent="0.25">
      <c r="A9029" s="9">
        <v>1690808.06</v>
      </c>
    </row>
    <row r="9030" spans="1:1" x14ac:dyDescent="0.25">
      <c r="A9030">
        <v>0</v>
      </c>
    </row>
    <row r="9031" spans="1:1" x14ac:dyDescent="0.25">
      <c r="A9031" s="9">
        <v>1828579.99</v>
      </c>
    </row>
    <row r="9032" spans="1:1" x14ac:dyDescent="0.25">
      <c r="A9032" s="9">
        <v>10056205.16</v>
      </c>
    </row>
    <row r="9033" spans="1:1" x14ac:dyDescent="0.25">
      <c r="A9033">
        <v>0</v>
      </c>
    </row>
    <row r="9034" spans="1:1" x14ac:dyDescent="0.25">
      <c r="A9034">
        <v>0</v>
      </c>
    </row>
    <row r="9035" spans="1:1" x14ac:dyDescent="0.25">
      <c r="A9035" s="9">
        <v>8443823.6199999992</v>
      </c>
    </row>
    <row r="9036" spans="1:1" x14ac:dyDescent="0.25">
      <c r="A9036" s="9">
        <v>5668520.04</v>
      </c>
    </row>
    <row r="9037" spans="1:1" x14ac:dyDescent="0.25">
      <c r="A9037">
        <v>0</v>
      </c>
    </row>
    <row r="9038" spans="1:1" x14ac:dyDescent="0.25">
      <c r="A9038" s="9">
        <v>3026564.3</v>
      </c>
    </row>
    <row r="9039" spans="1:1" x14ac:dyDescent="0.25">
      <c r="A9039" s="9">
        <v>12251196.07</v>
      </c>
    </row>
    <row r="9040" spans="1:1" x14ac:dyDescent="0.25">
      <c r="A9040" s="9">
        <v>2183757.75</v>
      </c>
    </row>
    <row r="9041" spans="1:1" x14ac:dyDescent="0.25">
      <c r="A9041" s="9">
        <v>2911980.29</v>
      </c>
    </row>
    <row r="9042" spans="1:1" x14ac:dyDescent="0.25">
      <c r="A9042" s="9">
        <v>3081296.88</v>
      </c>
    </row>
    <row r="9043" spans="1:1" x14ac:dyDescent="0.25">
      <c r="A9043" s="9">
        <v>291214.40999999997</v>
      </c>
    </row>
    <row r="9044" spans="1:1" x14ac:dyDescent="0.25">
      <c r="A9044" s="9">
        <v>3263822.57</v>
      </c>
    </row>
    <row r="9045" spans="1:1" x14ac:dyDescent="0.25">
      <c r="A9045" s="9">
        <v>8659276.9100000001</v>
      </c>
    </row>
    <row r="9046" spans="1:1" x14ac:dyDescent="0.25">
      <c r="A9046" s="9">
        <v>7642145.02999999</v>
      </c>
    </row>
    <row r="9047" spans="1:1" x14ac:dyDescent="0.25">
      <c r="A9047" s="9">
        <v>317834.5</v>
      </c>
    </row>
    <row r="9048" spans="1:1" x14ac:dyDescent="0.25">
      <c r="A9048" s="9">
        <v>1627348.06</v>
      </c>
    </row>
    <row r="9049" spans="1:1" x14ac:dyDescent="0.25">
      <c r="A9049" s="9">
        <v>2458187.33</v>
      </c>
    </row>
    <row r="9050" spans="1:1" x14ac:dyDescent="0.25">
      <c r="A9050">
        <v>0</v>
      </c>
    </row>
    <row r="9051" spans="1:1" x14ac:dyDescent="0.25">
      <c r="A9051" s="9">
        <v>3772058.35</v>
      </c>
    </row>
    <row r="9052" spans="1:1" x14ac:dyDescent="0.25">
      <c r="A9052" s="9">
        <v>573857.43999999901</v>
      </c>
    </row>
    <row r="9053" spans="1:1" x14ac:dyDescent="0.25">
      <c r="A9053" s="9">
        <v>89675.3</v>
      </c>
    </row>
    <row r="9054" spans="1:1" x14ac:dyDescent="0.25">
      <c r="A9054" s="9">
        <v>853515.17</v>
      </c>
    </row>
    <row r="9055" spans="1:1" x14ac:dyDescent="0.25">
      <c r="A9055" s="9">
        <v>2382274.06</v>
      </c>
    </row>
    <row r="9056" spans="1:1" x14ac:dyDescent="0.25">
      <c r="A9056" s="9">
        <v>324523.24</v>
      </c>
    </row>
    <row r="9057" spans="1:1" x14ac:dyDescent="0.25">
      <c r="A9057" s="9">
        <v>6459837.4299999997</v>
      </c>
    </row>
    <row r="9058" spans="1:1" x14ac:dyDescent="0.25">
      <c r="A9058" s="9">
        <v>20241470.210000001</v>
      </c>
    </row>
    <row r="9059" spans="1:1" x14ac:dyDescent="0.25">
      <c r="A9059" s="9">
        <v>1353725.28</v>
      </c>
    </row>
    <row r="9060" spans="1:1" x14ac:dyDescent="0.25">
      <c r="A9060">
        <v>0</v>
      </c>
    </row>
    <row r="9061" spans="1:1" x14ac:dyDescent="0.25">
      <c r="A9061">
        <v>0</v>
      </c>
    </row>
    <row r="9062" spans="1:1" x14ac:dyDescent="0.25">
      <c r="A9062" s="9">
        <v>407523.46</v>
      </c>
    </row>
    <row r="9063" spans="1:1" x14ac:dyDescent="0.25">
      <c r="A9063" s="9">
        <v>9733283.6899999995</v>
      </c>
    </row>
    <row r="9064" spans="1:1" x14ac:dyDescent="0.25">
      <c r="A9064" s="9">
        <v>4660611.2699999996</v>
      </c>
    </row>
    <row r="9065" spans="1:1" x14ac:dyDescent="0.25">
      <c r="A9065" s="9">
        <v>855510.46</v>
      </c>
    </row>
    <row r="9066" spans="1:1" x14ac:dyDescent="0.25">
      <c r="A9066">
        <v>1944663</v>
      </c>
    </row>
    <row r="9067" spans="1:1" x14ac:dyDescent="0.25">
      <c r="A9067" s="9">
        <v>10594136.91</v>
      </c>
    </row>
    <row r="9068" spans="1:1" x14ac:dyDescent="0.25">
      <c r="A9068" s="9">
        <v>78690.3</v>
      </c>
    </row>
    <row r="9069" spans="1:1" x14ac:dyDescent="0.25">
      <c r="A9069" s="9">
        <v>2069665.27</v>
      </c>
    </row>
    <row r="9070" spans="1:1" x14ac:dyDescent="0.25">
      <c r="A9070">
        <v>0</v>
      </c>
    </row>
    <row r="9071" spans="1:1" x14ac:dyDescent="0.25">
      <c r="A9071" s="9">
        <v>2682773.73</v>
      </c>
    </row>
    <row r="9072" spans="1:1" x14ac:dyDescent="0.25">
      <c r="A9072" s="9">
        <v>997201.43999999901</v>
      </c>
    </row>
    <row r="9073" spans="1:1" x14ac:dyDescent="0.25">
      <c r="A9073">
        <v>0</v>
      </c>
    </row>
    <row r="9074" spans="1:1" x14ac:dyDescent="0.25">
      <c r="A9074" s="9">
        <v>4147875.95</v>
      </c>
    </row>
    <row r="9075" spans="1:1" x14ac:dyDescent="0.25">
      <c r="A9075" s="9">
        <v>588379.22</v>
      </c>
    </row>
    <row r="9076" spans="1:1" x14ac:dyDescent="0.25">
      <c r="A9076" s="9">
        <v>148737.42000000001</v>
      </c>
    </row>
    <row r="9077" spans="1:1" x14ac:dyDescent="0.25">
      <c r="A9077" s="9">
        <v>106620.16</v>
      </c>
    </row>
    <row r="9078" spans="1:1" x14ac:dyDescent="0.25">
      <c r="A9078" s="9">
        <v>7760462.0800000001</v>
      </c>
    </row>
    <row r="9079" spans="1:1" x14ac:dyDescent="0.25">
      <c r="A9079" s="9">
        <v>11889256.74</v>
      </c>
    </row>
    <row r="9080" spans="1:1" x14ac:dyDescent="0.25">
      <c r="A9080" s="9">
        <v>10101894.24</v>
      </c>
    </row>
    <row r="9081" spans="1:1" x14ac:dyDescent="0.25">
      <c r="A9081" s="9">
        <v>2254483.5699999998</v>
      </c>
    </row>
    <row r="9082" spans="1:1" x14ac:dyDescent="0.25">
      <c r="A9082" s="9">
        <v>4420923.7</v>
      </c>
    </row>
    <row r="9083" spans="1:1" x14ac:dyDescent="0.25">
      <c r="A9083" s="9">
        <v>6715649.5999999996</v>
      </c>
    </row>
    <row r="9084" spans="1:1" x14ac:dyDescent="0.25">
      <c r="A9084" s="9">
        <v>177629.35</v>
      </c>
    </row>
    <row r="9085" spans="1:1" x14ac:dyDescent="0.25">
      <c r="A9085" s="9">
        <v>13996642.33</v>
      </c>
    </row>
    <row r="9086" spans="1:1" x14ac:dyDescent="0.25">
      <c r="A9086" s="9">
        <v>6314305.0800000001</v>
      </c>
    </row>
    <row r="9087" spans="1:1" x14ac:dyDescent="0.25">
      <c r="A9087" s="9">
        <v>1026340.23</v>
      </c>
    </row>
    <row r="9088" spans="1:1" x14ac:dyDescent="0.25">
      <c r="A9088" s="9">
        <v>17108770.899999999</v>
      </c>
    </row>
    <row r="9089" spans="1:1" x14ac:dyDescent="0.25">
      <c r="A9089" s="9">
        <v>32319991.859999999</v>
      </c>
    </row>
    <row r="9090" spans="1:1" x14ac:dyDescent="0.25">
      <c r="A9090">
        <v>0</v>
      </c>
    </row>
    <row r="9091" spans="1:1" x14ac:dyDescent="0.25">
      <c r="A9091" s="9">
        <v>3384790.79</v>
      </c>
    </row>
    <row r="9092" spans="1:1" x14ac:dyDescent="0.25">
      <c r="A9092">
        <v>0</v>
      </c>
    </row>
    <row r="9093" spans="1:1" x14ac:dyDescent="0.25">
      <c r="A9093" s="9">
        <v>1658378.6</v>
      </c>
    </row>
    <row r="9094" spans="1:1" x14ac:dyDescent="0.25">
      <c r="A9094" s="9">
        <v>29261848.59</v>
      </c>
    </row>
    <row r="9095" spans="1:1" x14ac:dyDescent="0.25">
      <c r="A9095" s="9">
        <v>55490.76</v>
      </c>
    </row>
    <row r="9096" spans="1:1" x14ac:dyDescent="0.25">
      <c r="A9096" s="9">
        <v>1414167.95</v>
      </c>
    </row>
    <row r="9097" spans="1:1" x14ac:dyDescent="0.25">
      <c r="A9097">
        <v>0</v>
      </c>
    </row>
    <row r="9098" spans="1:1" x14ac:dyDescent="0.25">
      <c r="A9098" s="9">
        <v>3674808.17</v>
      </c>
    </row>
    <row r="9099" spans="1:1" x14ac:dyDescent="0.25">
      <c r="A9099" s="9">
        <v>149771.68</v>
      </c>
    </row>
    <row r="9100" spans="1:1" x14ac:dyDescent="0.25">
      <c r="A9100">
        <v>1160744</v>
      </c>
    </row>
    <row r="9101" spans="1:1" x14ac:dyDescent="0.25">
      <c r="A9101" s="9">
        <v>411904.18</v>
      </c>
    </row>
    <row r="9102" spans="1:1" x14ac:dyDescent="0.25">
      <c r="A9102" s="9">
        <v>61113.499999999898</v>
      </c>
    </row>
    <row r="9103" spans="1:1" x14ac:dyDescent="0.25">
      <c r="A9103" s="9">
        <v>5340456.2</v>
      </c>
    </row>
    <row r="9104" spans="1:1" x14ac:dyDescent="0.25">
      <c r="A9104" s="9">
        <v>2360815.4700000002</v>
      </c>
    </row>
    <row r="9105" spans="1:1" x14ac:dyDescent="0.25">
      <c r="A9105" s="9">
        <v>1023102.12</v>
      </c>
    </row>
    <row r="9106" spans="1:1" x14ac:dyDescent="0.25">
      <c r="A9106">
        <v>0</v>
      </c>
    </row>
    <row r="9107" spans="1:1" x14ac:dyDescent="0.25">
      <c r="A9107" s="9">
        <v>5374243.0300000003</v>
      </c>
    </row>
    <row r="9108" spans="1:1" x14ac:dyDescent="0.25">
      <c r="A9108" s="9">
        <v>14633382.93</v>
      </c>
    </row>
    <row r="9109" spans="1:1" x14ac:dyDescent="0.25">
      <c r="A9109" s="9">
        <v>8724677.2699999996</v>
      </c>
    </row>
    <row r="9110" spans="1:1" x14ac:dyDescent="0.25">
      <c r="A9110" s="9">
        <v>314832.24</v>
      </c>
    </row>
    <row r="9111" spans="1:1" x14ac:dyDescent="0.25">
      <c r="A9111" s="9">
        <v>10867890.4</v>
      </c>
    </row>
    <row r="9112" spans="1:1" x14ac:dyDescent="0.25">
      <c r="A9112" s="9">
        <v>3012050.50999999</v>
      </c>
    </row>
    <row r="9113" spans="1:1" x14ac:dyDescent="0.25">
      <c r="A9113" s="9">
        <v>4313981.79</v>
      </c>
    </row>
    <row r="9114" spans="1:1" x14ac:dyDescent="0.25">
      <c r="A9114">
        <v>0</v>
      </c>
    </row>
    <row r="9115" spans="1:1" x14ac:dyDescent="0.25">
      <c r="A9115">
        <v>0</v>
      </c>
    </row>
    <row r="9116" spans="1:1" x14ac:dyDescent="0.25">
      <c r="A9116" s="9">
        <v>2505433.1899999902</v>
      </c>
    </row>
    <row r="9117" spans="1:1" x14ac:dyDescent="0.25">
      <c r="A9117" s="9">
        <v>494942.04</v>
      </c>
    </row>
    <row r="9118" spans="1:1" x14ac:dyDescent="0.25">
      <c r="A9118" s="9">
        <v>20039487.59</v>
      </c>
    </row>
    <row r="9119" spans="1:1" x14ac:dyDescent="0.25">
      <c r="A9119">
        <v>0</v>
      </c>
    </row>
    <row r="9120" spans="1:1" x14ac:dyDescent="0.25">
      <c r="A9120" s="9">
        <v>2111499.25</v>
      </c>
    </row>
    <row r="9121" spans="1:1" x14ac:dyDescent="0.25">
      <c r="A9121">
        <v>0</v>
      </c>
    </row>
    <row r="9122" spans="1:1" x14ac:dyDescent="0.25">
      <c r="A9122" s="9">
        <v>4627301.72</v>
      </c>
    </row>
    <row r="9123" spans="1:1" x14ac:dyDescent="0.25">
      <c r="A9123" s="9">
        <v>212291.28</v>
      </c>
    </row>
    <row r="9124" spans="1:1" x14ac:dyDescent="0.25">
      <c r="A9124" s="9">
        <v>2313307.77</v>
      </c>
    </row>
    <row r="9125" spans="1:1" x14ac:dyDescent="0.25">
      <c r="A9125">
        <v>0</v>
      </c>
    </row>
    <row r="9126" spans="1:1" x14ac:dyDescent="0.25">
      <c r="A9126" s="9">
        <v>145327.49</v>
      </c>
    </row>
    <row r="9127" spans="1:1" x14ac:dyDescent="0.25">
      <c r="A9127" s="9">
        <v>2317982.59</v>
      </c>
    </row>
    <row r="9128" spans="1:1" x14ac:dyDescent="0.25">
      <c r="A9128" s="9">
        <v>9201080.4000000004</v>
      </c>
    </row>
    <row r="9129" spans="1:1" x14ac:dyDescent="0.25">
      <c r="A9129" s="9">
        <v>17609925.489999998</v>
      </c>
    </row>
    <row r="9130" spans="1:1" x14ac:dyDescent="0.25">
      <c r="A9130" s="9">
        <v>409773.1</v>
      </c>
    </row>
    <row r="9131" spans="1:1" x14ac:dyDescent="0.25">
      <c r="A9131" s="9">
        <v>4044583.5</v>
      </c>
    </row>
    <row r="9132" spans="1:1" x14ac:dyDescent="0.25">
      <c r="A9132" s="9">
        <v>2145151.7000000002</v>
      </c>
    </row>
    <row r="9133" spans="1:1" x14ac:dyDescent="0.25">
      <c r="A9133" s="9">
        <v>515843.94</v>
      </c>
    </row>
    <row r="9134" spans="1:1" x14ac:dyDescent="0.25">
      <c r="A9134" s="9">
        <v>4904552.97</v>
      </c>
    </row>
    <row r="9135" spans="1:1" x14ac:dyDescent="0.25">
      <c r="A9135" s="9">
        <v>6561951.4999999898</v>
      </c>
    </row>
    <row r="9136" spans="1:1" x14ac:dyDescent="0.25">
      <c r="A9136" s="9">
        <v>7580886.1500000004</v>
      </c>
    </row>
    <row r="9137" spans="1:1" x14ac:dyDescent="0.25">
      <c r="A9137" s="9">
        <v>65788.36</v>
      </c>
    </row>
    <row r="9138" spans="1:1" x14ac:dyDescent="0.25">
      <c r="A9138" s="9">
        <v>256707.1</v>
      </c>
    </row>
    <row r="9139" spans="1:1" x14ac:dyDescent="0.25">
      <c r="A9139" s="9">
        <v>4920270.09</v>
      </c>
    </row>
    <row r="9140" spans="1:1" x14ac:dyDescent="0.25">
      <c r="A9140" s="9">
        <v>13309196.9</v>
      </c>
    </row>
    <row r="9141" spans="1:1" x14ac:dyDescent="0.25">
      <c r="A9141" s="9">
        <v>24861173.239999998</v>
      </c>
    </row>
    <row r="9142" spans="1:1" x14ac:dyDescent="0.25">
      <c r="A9142" s="9">
        <v>119320.32000000001</v>
      </c>
    </row>
    <row r="9143" spans="1:1" x14ac:dyDescent="0.25">
      <c r="A9143" s="9">
        <v>146993.54</v>
      </c>
    </row>
    <row r="9144" spans="1:1" x14ac:dyDescent="0.25">
      <c r="A9144" s="9">
        <v>329779.78999999998</v>
      </c>
    </row>
    <row r="9145" spans="1:1" x14ac:dyDescent="0.25">
      <c r="A9145">
        <v>0</v>
      </c>
    </row>
    <row r="9146" spans="1:1" x14ac:dyDescent="0.25">
      <c r="A9146" s="9">
        <v>483558.76</v>
      </c>
    </row>
    <row r="9147" spans="1:1" x14ac:dyDescent="0.25">
      <c r="A9147" s="9">
        <v>21321820.699999999</v>
      </c>
    </row>
    <row r="9148" spans="1:1" x14ac:dyDescent="0.25">
      <c r="A9148" s="9">
        <v>2768129.14</v>
      </c>
    </row>
    <row r="9149" spans="1:1" x14ac:dyDescent="0.25">
      <c r="A9149" s="9">
        <v>501331.74</v>
      </c>
    </row>
    <row r="9150" spans="1:1" x14ac:dyDescent="0.25">
      <c r="A9150" s="9">
        <v>2448962.85</v>
      </c>
    </row>
    <row r="9151" spans="1:1" x14ac:dyDescent="0.25">
      <c r="A9151" s="9">
        <v>197756.64</v>
      </c>
    </row>
    <row r="9152" spans="1:1" x14ac:dyDescent="0.25">
      <c r="A9152" s="9">
        <v>2788684.7</v>
      </c>
    </row>
    <row r="9153" spans="1:1" x14ac:dyDescent="0.25">
      <c r="A9153">
        <v>7574919</v>
      </c>
    </row>
    <row r="9154" spans="1:1" x14ac:dyDescent="0.25">
      <c r="A9154">
        <v>0</v>
      </c>
    </row>
    <row r="9155" spans="1:1" x14ac:dyDescent="0.25">
      <c r="A9155" s="9">
        <v>177629.35</v>
      </c>
    </row>
    <row r="9156" spans="1:1" x14ac:dyDescent="0.25">
      <c r="A9156">
        <v>0</v>
      </c>
    </row>
    <row r="9157" spans="1:1" x14ac:dyDescent="0.25">
      <c r="A9157" s="9">
        <v>2826421.5</v>
      </c>
    </row>
    <row r="9158" spans="1:1" x14ac:dyDescent="0.25">
      <c r="A9158" s="9">
        <v>15087749.800000001</v>
      </c>
    </row>
    <row r="9159" spans="1:1" x14ac:dyDescent="0.25">
      <c r="A9159" s="9">
        <v>123823.33</v>
      </c>
    </row>
    <row r="9160" spans="1:1" x14ac:dyDescent="0.25">
      <c r="A9160" s="9">
        <v>34040393.549999997</v>
      </c>
    </row>
    <row r="9161" spans="1:1" x14ac:dyDescent="0.25">
      <c r="A9161" s="9">
        <v>3885445.57</v>
      </c>
    </row>
    <row r="9162" spans="1:1" x14ac:dyDescent="0.25">
      <c r="A9162" s="9">
        <v>3514590.68</v>
      </c>
    </row>
    <row r="9163" spans="1:1" x14ac:dyDescent="0.25">
      <c r="A9163" s="9">
        <v>6517584.4199999999</v>
      </c>
    </row>
    <row r="9164" spans="1:1" x14ac:dyDescent="0.25">
      <c r="A9164" s="9">
        <v>206742.55</v>
      </c>
    </row>
    <row r="9165" spans="1:1" x14ac:dyDescent="0.25">
      <c r="A9165" s="9">
        <v>124401.86</v>
      </c>
    </row>
    <row r="9166" spans="1:1" x14ac:dyDescent="0.25">
      <c r="A9166" s="9">
        <v>5158398.91</v>
      </c>
    </row>
    <row r="9167" spans="1:1" x14ac:dyDescent="0.25">
      <c r="A9167" s="9">
        <v>65832.599999999904</v>
      </c>
    </row>
    <row r="9168" spans="1:1" x14ac:dyDescent="0.25">
      <c r="A9168" s="9">
        <v>2625650.75</v>
      </c>
    </row>
    <row r="9169" spans="1:1" x14ac:dyDescent="0.25">
      <c r="A9169" s="9">
        <v>3131218.22</v>
      </c>
    </row>
    <row r="9170" spans="1:1" x14ac:dyDescent="0.25">
      <c r="A9170" s="9">
        <v>11620293.41</v>
      </c>
    </row>
    <row r="9171" spans="1:1" x14ac:dyDescent="0.25">
      <c r="A9171" s="9">
        <v>8164583.1600000001</v>
      </c>
    </row>
    <row r="9172" spans="1:1" x14ac:dyDescent="0.25">
      <c r="A9172" s="9">
        <v>315372.46000000002</v>
      </c>
    </row>
    <row r="9173" spans="1:1" x14ac:dyDescent="0.25">
      <c r="A9173" s="9">
        <v>135588.26</v>
      </c>
    </row>
    <row r="9174" spans="1:1" x14ac:dyDescent="0.25">
      <c r="A9174" s="9">
        <v>63686.03</v>
      </c>
    </row>
    <row r="9175" spans="1:1" x14ac:dyDescent="0.25">
      <c r="A9175" s="9">
        <v>2323865.7599999998</v>
      </c>
    </row>
    <row r="9176" spans="1:1" x14ac:dyDescent="0.25">
      <c r="A9176" s="9">
        <v>2820005.17</v>
      </c>
    </row>
    <row r="9177" spans="1:1" x14ac:dyDescent="0.25">
      <c r="A9177" s="9">
        <v>3475775.98</v>
      </c>
    </row>
    <row r="9178" spans="1:1" x14ac:dyDescent="0.25">
      <c r="A9178" s="9">
        <v>15504039.09</v>
      </c>
    </row>
    <row r="9179" spans="1:1" x14ac:dyDescent="0.25">
      <c r="A9179" s="9">
        <v>47829.8</v>
      </c>
    </row>
    <row r="9180" spans="1:1" x14ac:dyDescent="0.25">
      <c r="A9180">
        <v>0</v>
      </c>
    </row>
    <row r="9181" spans="1:1" x14ac:dyDescent="0.25">
      <c r="A9181" s="9">
        <v>693326.85</v>
      </c>
    </row>
    <row r="9182" spans="1:1" x14ac:dyDescent="0.25">
      <c r="A9182" s="9">
        <v>517005.7</v>
      </c>
    </row>
    <row r="9183" spans="1:1" x14ac:dyDescent="0.25">
      <c r="A9183" s="9">
        <v>7892741.46</v>
      </c>
    </row>
    <row r="9184" spans="1:1" x14ac:dyDescent="0.25">
      <c r="A9184" s="9">
        <v>18486152.350000001</v>
      </c>
    </row>
    <row r="9185" spans="1:1" x14ac:dyDescent="0.25">
      <c r="A9185" s="9">
        <v>13870528.130000001</v>
      </c>
    </row>
    <row r="9186" spans="1:1" x14ac:dyDescent="0.25">
      <c r="A9186" s="9">
        <v>105283.26</v>
      </c>
    </row>
    <row r="9187" spans="1:1" x14ac:dyDescent="0.25">
      <c r="A9187" s="9">
        <v>4345514.0199999996</v>
      </c>
    </row>
    <row r="9188" spans="1:1" x14ac:dyDescent="0.25">
      <c r="A9188" s="9">
        <v>3193235.63</v>
      </c>
    </row>
    <row r="9189" spans="1:1" x14ac:dyDescent="0.25">
      <c r="A9189" s="9">
        <v>387097.18</v>
      </c>
    </row>
    <row r="9190" spans="1:1" x14ac:dyDescent="0.25">
      <c r="A9190" s="9">
        <v>4513267.96</v>
      </c>
    </row>
    <row r="9191" spans="1:1" x14ac:dyDescent="0.25">
      <c r="A9191" s="9">
        <v>20848251.600000001</v>
      </c>
    </row>
    <row r="9192" spans="1:1" x14ac:dyDescent="0.25">
      <c r="A9192" s="9">
        <v>1530757.06</v>
      </c>
    </row>
    <row r="9193" spans="1:1" x14ac:dyDescent="0.25">
      <c r="A9193" s="9">
        <v>3540943.82</v>
      </c>
    </row>
    <row r="9194" spans="1:1" x14ac:dyDescent="0.25">
      <c r="A9194" s="9">
        <v>8268086.8399999999</v>
      </c>
    </row>
    <row r="9195" spans="1:1" x14ac:dyDescent="0.25">
      <c r="A9195" s="9">
        <v>5789279.3600000003</v>
      </c>
    </row>
    <row r="9196" spans="1:1" x14ac:dyDescent="0.25">
      <c r="A9196">
        <v>0</v>
      </c>
    </row>
    <row r="9197" spans="1:1" x14ac:dyDescent="0.25">
      <c r="A9197" s="9">
        <v>4870078.07</v>
      </c>
    </row>
    <row r="9198" spans="1:1" x14ac:dyDescent="0.25">
      <c r="A9198" s="9">
        <v>1746071.11</v>
      </c>
    </row>
    <row r="9199" spans="1:1" x14ac:dyDescent="0.25">
      <c r="A9199" s="9">
        <v>38993.599999999999</v>
      </c>
    </row>
    <row r="9200" spans="1:1" x14ac:dyDescent="0.25">
      <c r="A9200">
        <v>0</v>
      </c>
    </row>
    <row r="9201" spans="1:1" x14ac:dyDescent="0.25">
      <c r="A9201" s="9">
        <v>264314.59999999998</v>
      </c>
    </row>
    <row r="9202" spans="1:1" x14ac:dyDescent="0.25">
      <c r="A9202" s="9">
        <v>129402.6</v>
      </c>
    </row>
    <row r="9203" spans="1:1" x14ac:dyDescent="0.25">
      <c r="A9203" s="9">
        <v>1841443.54</v>
      </c>
    </row>
    <row r="9204" spans="1:1" x14ac:dyDescent="0.25">
      <c r="A9204">
        <v>0</v>
      </c>
    </row>
    <row r="9205" spans="1:1" x14ac:dyDescent="0.25">
      <c r="A9205" s="9">
        <v>9413857.52999999</v>
      </c>
    </row>
    <row r="9206" spans="1:1" x14ac:dyDescent="0.25">
      <c r="A9206" s="9">
        <v>1848370.04</v>
      </c>
    </row>
    <row r="9207" spans="1:1" x14ac:dyDescent="0.25">
      <c r="A9207" s="9">
        <v>17863917.350000001</v>
      </c>
    </row>
    <row r="9208" spans="1:1" x14ac:dyDescent="0.25">
      <c r="A9208">
        <v>0</v>
      </c>
    </row>
    <row r="9209" spans="1:1" x14ac:dyDescent="0.25">
      <c r="A9209" s="9">
        <v>2014711.03</v>
      </c>
    </row>
    <row r="9210" spans="1:1" x14ac:dyDescent="0.25">
      <c r="A9210" s="9">
        <v>130903.16</v>
      </c>
    </row>
    <row r="9211" spans="1:1" x14ac:dyDescent="0.25">
      <c r="A9211" s="9">
        <v>5070069.67</v>
      </c>
    </row>
    <row r="9212" spans="1:1" x14ac:dyDescent="0.25">
      <c r="A9212" s="9">
        <v>591889.35</v>
      </c>
    </row>
    <row r="9213" spans="1:1" x14ac:dyDescent="0.25">
      <c r="A9213" s="9">
        <v>4968674.1999999899</v>
      </c>
    </row>
    <row r="9214" spans="1:1" x14ac:dyDescent="0.25">
      <c r="A9214" s="9">
        <v>55235.28</v>
      </c>
    </row>
    <row r="9215" spans="1:1" x14ac:dyDescent="0.25">
      <c r="A9215" s="9">
        <v>5710472.1600000001</v>
      </c>
    </row>
    <row r="9216" spans="1:1" x14ac:dyDescent="0.25">
      <c r="A9216" s="9">
        <v>248907.06</v>
      </c>
    </row>
    <row r="9217" spans="1:1" x14ac:dyDescent="0.25">
      <c r="A9217" s="9">
        <v>1373315.04</v>
      </c>
    </row>
    <row r="9218" spans="1:1" x14ac:dyDescent="0.25">
      <c r="A9218" s="9">
        <v>8664093.5700000003</v>
      </c>
    </row>
    <row r="9219" spans="1:1" x14ac:dyDescent="0.25">
      <c r="A9219">
        <v>0</v>
      </c>
    </row>
    <row r="9220" spans="1:1" x14ac:dyDescent="0.25">
      <c r="A9220">
        <v>0</v>
      </c>
    </row>
    <row r="9221" spans="1:1" x14ac:dyDescent="0.25">
      <c r="A9221" s="9">
        <v>3191077.32</v>
      </c>
    </row>
    <row r="9222" spans="1:1" x14ac:dyDescent="0.25">
      <c r="A9222" s="9">
        <v>61113.499999999898</v>
      </c>
    </row>
    <row r="9223" spans="1:1" x14ac:dyDescent="0.25">
      <c r="A9223" s="9">
        <v>3902254.58</v>
      </c>
    </row>
    <row r="9224" spans="1:1" x14ac:dyDescent="0.25">
      <c r="A9224" s="9">
        <v>5980154.0199999996</v>
      </c>
    </row>
    <row r="9225" spans="1:1" x14ac:dyDescent="0.25">
      <c r="A9225" s="9">
        <v>929194.74</v>
      </c>
    </row>
    <row r="9226" spans="1:1" x14ac:dyDescent="0.25">
      <c r="A9226" s="9">
        <v>38993.599999999999</v>
      </c>
    </row>
    <row r="9227" spans="1:1" x14ac:dyDescent="0.25">
      <c r="A9227">
        <v>0</v>
      </c>
    </row>
    <row r="9228" spans="1:1" x14ac:dyDescent="0.25">
      <c r="A9228" s="9">
        <v>55235.28</v>
      </c>
    </row>
    <row r="9229" spans="1:1" x14ac:dyDescent="0.25">
      <c r="A9229">
        <v>0</v>
      </c>
    </row>
    <row r="9230" spans="1:1" x14ac:dyDescent="0.25">
      <c r="A9230" s="9">
        <v>20169800.140000001</v>
      </c>
    </row>
    <row r="9231" spans="1:1" x14ac:dyDescent="0.25">
      <c r="A9231" s="9">
        <v>4326010.4299999904</v>
      </c>
    </row>
    <row r="9232" spans="1:1" x14ac:dyDescent="0.25">
      <c r="A9232" s="9">
        <v>21860438.18</v>
      </c>
    </row>
    <row r="9233" spans="1:1" x14ac:dyDescent="0.25">
      <c r="A9233" s="9">
        <v>7832158.9399999902</v>
      </c>
    </row>
    <row r="9234" spans="1:1" x14ac:dyDescent="0.25">
      <c r="A9234" s="9">
        <v>4325174.8</v>
      </c>
    </row>
    <row r="9235" spans="1:1" x14ac:dyDescent="0.25">
      <c r="A9235" s="9">
        <v>7180255.8899999997</v>
      </c>
    </row>
    <row r="9236" spans="1:1" x14ac:dyDescent="0.25">
      <c r="A9236" s="9">
        <v>8879224.4100000001</v>
      </c>
    </row>
    <row r="9237" spans="1:1" x14ac:dyDescent="0.25">
      <c r="A9237" s="9">
        <v>5946874.2000000002</v>
      </c>
    </row>
    <row r="9238" spans="1:1" x14ac:dyDescent="0.25">
      <c r="A9238" s="9">
        <v>17551363.91</v>
      </c>
    </row>
    <row r="9239" spans="1:1" x14ac:dyDescent="0.25">
      <c r="A9239" s="9">
        <v>7764788.5799999898</v>
      </c>
    </row>
    <row r="9240" spans="1:1" x14ac:dyDescent="0.25">
      <c r="A9240" s="9">
        <v>19294874.280000001</v>
      </c>
    </row>
    <row r="9241" spans="1:1" x14ac:dyDescent="0.25">
      <c r="A9241" s="9">
        <v>148737.42000000001</v>
      </c>
    </row>
    <row r="9242" spans="1:1" x14ac:dyDescent="0.25">
      <c r="A9242" s="9">
        <v>7715550.8499999996</v>
      </c>
    </row>
    <row r="9243" spans="1:1" x14ac:dyDescent="0.25">
      <c r="A9243" s="9">
        <v>1782120.98</v>
      </c>
    </row>
    <row r="9244" spans="1:1" x14ac:dyDescent="0.25">
      <c r="A9244" s="9">
        <v>11781408.48</v>
      </c>
    </row>
    <row r="9245" spans="1:1" x14ac:dyDescent="0.25">
      <c r="A9245" s="9">
        <v>280163.73</v>
      </c>
    </row>
    <row r="9246" spans="1:1" x14ac:dyDescent="0.25">
      <c r="A9246" s="9">
        <v>2297331.56</v>
      </c>
    </row>
    <row r="9247" spans="1:1" x14ac:dyDescent="0.25">
      <c r="A9247">
        <v>0</v>
      </c>
    </row>
    <row r="9248" spans="1:1" x14ac:dyDescent="0.25">
      <c r="A9248" s="9">
        <v>2627455.84</v>
      </c>
    </row>
    <row r="9249" spans="1:1" x14ac:dyDescent="0.25">
      <c r="A9249" s="9">
        <v>3784909.4</v>
      </c>
    </row>
    <row r="9250" spans="1:1" x14ac:dyDescent="0.25">
      <c r="A9250" s="9">
        <v>30444565.469999999</v>
      </c>
    </row>
    <row r="9251" spans="1:1" x14ac:dyDescent="0.25">
      <c r="A9251" s="9">
        <v>307627.88</v>
      </c>
    </row>
    <row r="9252" spans="1:1" x14ac:dyDescent="0.25">
      <c r="A9252" s="9">
        <v>1761473.06</v>
      </c>
    </row>
    <row r="9253" spans="1:1" x14ac:dyDescent="0.25">
      <c r="A9253" s="9">
        <v>3404393.71</v>
      </c>
    </row>
    <row r="9254" spans="1:1" x14ac:dyDescent="0.25">
      <c r="A9254" s="9">
        <v>9830807.2200000007</v>
      </c>
    </row>
    <row r="9255" spans="1:1" x14ac:dyDescent="0.25">
      <c r="A9255" s="9">
        <v>8462757.9100000001</v>
      </c>
    </row>
    <row r="9256" spans="1:1" x14ac:dyDescent="0.25">
      <c r="A9256" s="9">
        <v>3313098.27</v>
      </c>
    </row>
    <row r="9257" spans="1:1" x14ac:dyDescent="0.25">
      <c r="A9257" s="9">
        <v>731350.67</v>
      </c>
    </row>
    <row r="9258" spans="1:1" x14ac:dyDescent="0.25">
      <c r="A9258" s="9">
        <v>3788891.75</v>
      </c>
    </row>
    <row r="9259" spans="1:1" x14ac:dyDescent="0.25">
      <c r="A9259">
        <v>0</v>
      </c>
    </row>
    <row r="9260" spans="1:1" x14ac:dyDescent="0.25">
      <c r="A9260" s="9">
        <v>4581484.5199999996</v>
      </c>
    </row>
    <row r="9261" spans="1:1" x14ac:dyDescent="0.25">
      <c r="A9261">
        <v>0</v>
      </c>
    </row>
    <row r="9262" spans="1:1" x14ac:dyDescent="0.25">
      <c r="A9262" s="9">
        <v>3598646.23</v>
      </c>
    </row>
    <row r="9263" spans="1:1" x14ac:dyDescent="0.25">
      <c r="A9263" s="9">
        <v>2981348.79</v>
      </c>
    </row>
    <row r="9264" spans="1:1" x14ac:dyDescent="0.25">
      <c r="A9264" s="9">
        <v>15618709.289999999</v>
      </c>
    </row>
    <row r="9265" spans="1:1" x14ac:dyDescent="0.25">
      <c r="A9265" s="9">
        <v>1974520.82</v>
      </c>
    </row>
    <row r="9266" spans="1:1" x14ac:dyDescent="0.25">
      <c r="A9266" s="9">
        <v>2205156.75</v>
      </c>
    </row>
    <row r="9267" spans="1:1" x14ac:dyDescent="0.25">
      <c r="A9267" s="9">
        <v>162411.81</v>
      </c>
    </row>
    <row r="9268" spans="1:1" x14ac:dyDescent="0.25">
      <c r="A9268" s="9">
        <v>47440506.149999902</v>
      </c>
    </row>
    <row r="9269" spans="1:1" x14ac:dyDescent="0.25">
      <c r="A9269" s="9">
        <v>767994.67</v>
      </c>
    </row>
    <row r="9270" spans="1:1" x14ac:dyDescent="0.25">
      <c r="A9270" s="9">
        <v>15885860.23</v>
      </c>
    </row>
    <row r="9271" spans="1:1" x14ac:dyDescent="0.25">
      <c r="A9271" s="9">
        <v>2003829.14</v>
      </c>
    </row>
    <row r="9272" spans="1:1" x14ac:dyDescent="0.25">
      <c r="A9272" s="9">
        <v>4291769.57</v>
      </c>
    </row>
    <row r="9273" spans="1:1" x14ac:dyDescent="0.25">
      <c r="A9273" s="9">
        <v>8276465.6799999997</v>
      </c>
    </row>
    <row r="9274" spans="1:1" x14ac:dyDescent="0.25">
      <c r="A9274">
        <v>0</v>
      </c>
    </row>
    <row r="9275" spans="1:1" x14ac:dyDescent="0.25">
      <c r="A9275" s="9">
        <v>210417.48</v>
      </c>
    </row>
    <row r="9276" spans="1:1" x14ac:dyDescent="0.25">
      <c r="A9276" s="9">
        <v>7700431.8199999901</v>
      </c>
    </row>
    <row r="9277" spans="1:1" x14ac:dyDescent="0.25">
      <c r="A9277">
        <v>0</v>
      </c>
    </row>
    <row r="9278" spans="1:1" x14ac:dyDescent="0.25">
      <c r="A9278" s="9">
        <v>2245802.2400000002</v>
      </c>
    </row>
    <row r="9279" spans="1:1" x14ac:dyDescent="0.25">
      <c r="A9279" s="9">
        <v>1780511.88</v>
      </c>
    </row>
    <row r="9280" spans="1:1" x14ac:dyDescent="0.25">
      <c r="A9280" s="9">
        <v>334135.18</v>
      </c>
    </row>
    <row r="9281" spans="1:1" x14ac:dyDescent="0.25">
      <c r="A9281">
        <v>0</v>
      </c>
    </row>
    <row r="9282" spans="1:1" x14ac:dyDescent="0.25">
      <c r="A9282" s="9">
        <v>6816776.1500000004</v>
      </c>
    </row>
    <row r="9283" spans="1:1" x14ac:dyDescent="0.25">
      <c r="A9283" s="9">
        <v>519742.94</v>
      </c>
    </row>
    <row r="9284" spans="1:1" x14ac:dyDescent="0.25">
      <c r="A9284" s="9">
        <v>1790945.87</v>
      </c>
    </row>
    <row r="9285" spans="1:1" x14ac:dyDescent="0.25">
      <c r="A9285" s="9">
        <v>9009814.0399999991</v>
      </c>
    </row>
    <row r="9286" spans="1:1" x14ac:dyDescent="0.25">
      <c r="A9286">
        <v>0</v>
      </c>
    </row>
    <row r="9287" spans="1:1" x14ac:dyDescent="0.25">
      <c r="A9287" s="9">
        <v>2205156.75</v>
      </c>
    </row>
    <row r="9288" spans="1:1" x14ac:dyDescent="0.25">
      <c r="A9288" s="9">
        <v>60402.75</v>
      </c>
    </row>
    <row r="9289" spans="1:1" x14ac:dyDescent="0.25">
      <c r="A9289">
        <v>0</v>
      </c>
    </row>
    <row r="9290" spans="1:1" x14ac:dyDescent="0.25">
      <c r="A9290">
        <v>0</v>
      </c>
    </row>
    <row r="9291" spans="1:1" x14ac:dyDescent="0.25">
      <c r="A9291" s="9">
        <v>339135.95</v>
      </c>
    </row>
    <row r="9292" spans="1:1" x14ac:dyDescent="0.25">
      <c r="A9292" s="9">
        <v>7977228.9399999902</v>
      </c>
    </row>
    <row r="9293" spans="1:1" x14ac:dyDescent="0.25">
      <c r="A9293" s="9">
        <v>2245276.65</v>
      </c>
    </row>
    <row r="9294" spans="1:1" x14ac:dyDescent="0.25">
      <c r="A9294" s="9">
        <v>6507827.9399999902</v>
      </c>
    </row>
    <row r="9295" spans="1:1" x14ac:dyDescent="0.25">
      <c r="A9295">
        <v>0</v>
      </c>
    </row>
    <row r="9296" spans="1:1" x14ac:dyDescent="0.25">
      <c r="A9296" s="9">
        <v>2488116.85</v>
      </c>
    </row>
    <row r="9297" spans="1:1" x14ac:dyDescent="0.25">
      <c r="A9297">
        <v>0</v>
      </c>
    </row>
    <row r="9298" spans="1:1" x14ac:dyDescent="0.25">
      <c r="A9298" s="9">
        <v>2691307.96</v>
      </c>
    </row>
    <row r="9299" spans="1:1" x14ac:dyDescent="0.25">
      <c r="A9299" s="9">
        <v>354036.69</v>
      </c>
    </row>
    <row r="9300" spans="1:1" x14ac:dyDescent="0.25">
      <c r="A9300" s="9">
        <v>20137486.829999998</v>
      </c>
    </row>
    <row r="9301" spans="1:1" x14ac:dyDescent="0.25">
      <c r="A9301" s="9">
        <v>16596790.82</v>
      </c>
    </row>
    <row r="9302" spans="1:1" x14ac:dyDescent="0.25">
      <c r="A9302" s="9">
        <v>284981.26</v>
      </c>
    </row>
    <row r="9303" spans="1:1" x14ac:dyDescent="0.25">
      <c r="A9303" s="9">
        <v>8479969.1400000006</v>
      </c>
    </row>
    <row r="9304" spans="1:1" x14ac:dyDescent="0.25">
      <c r="A9304" s="9">
        <v>303089.19</v>
      </c>
    </row>
    <row r="9305" spans="1:1" x14ac:dyDescent="0.25">
      <c r="A9305" s="9">
        <v>16138051.720000001</v>
      </c>
    </row>
    <row r="9306" spans="1:1" x14ac:dyDescent="0.25">
      <c r="A9306" s="9">
        <v>6406545.8300000001</v>
      </c>
    </row>
    <row r="9307" spans="1:1" x14ac:dyDescent="0.25">
      <c r="A9307" s="9">
        <v>99163.74</v>
      </c>
    </row>
    <row r="9308" spans="1:1" x14ac:dyDescent="0.25">
      <c r="A9308" s="9">
        <v>1381062.88</v>
      </c>
    </row>
    <row r="9309" spans="1:1" x14ac:dyDescent="0.25">
      <c r="A9309" s="9">
        <v>3298276.5</v>
      </c>
    </row>
    <row r="9310" spans="1:1" x14ac:dyDescent="0.25">
      <c r="A9310" s="9">
        <v>2826421.5</v>
      </c>
    </row>
    <row r="9311" spans="1:1" x14ac:dyDescent="0.25">
      <c r="A9311" s="9">
        <v>4661514.96</v>
      </c>
    </row>
    <row r="9312" spans="1:1" x14ac:dyDescent="0.25">
      <c r="A9312" s="9">
        <v>55235.28</v>
      </c>
    </row>
    <row r="9313" spans="1:1" x14ac:dyDescent="0.25">
      <c r="A9313">
        <v>0</v>
      </c>
    </row>
    <row r="9314" spans="1:1" x14ac:dyDescent="0.25">
      <c r="A9314">
        <v>0</v>
      </c>
    </row>
    <row r="9315" spans="1:1" x14ac:dyDescent="0.25">
      <c r="A9315" s="9">
        <v>2700795.1</v>
      </c>
    </row>
    <row r="9316" spans="1:1" x14ac:dyDescent="0.25">
      <c r="A9316" s="9">
        <v>276205.84000000003</v>
      </c>
    </row>
    <row r="9317" spans="1:1" x14ac:dyDescent="0.25">
      <c r="A9317" s="9">
        <v>3089734.44</v>
      </c>
    </row>
    <row r="9318" spans="1:1" x14ac:dyDescent="0.25">
      <c r="A9318" s="9">
        <v>213623.8</v>
      </c>
    </row>
    <row r="9319" spans="1:1" x14ac:dyDescent="0.25">
      <c r="A9319" s="9">
        <v>15142899.130000001</v>
      </c>
    </row>
    <row r="9320" spans="1:1" x14ac:dyDescent="0.25">
      <c r="A9320">
        <v>0</v>
      </c>
    </row>
    <row r="9321" spans="1:1" x14ac:dyDescent="0.25">
      <c r="A9321">
        <v>0</v>
      </c>
    </row>
    <row r="9322" spans="1:1" x14ac:dyDescent="0.25">
      <c r="A9322">
        <v>0</v>
      </c>
    </row>
    <row r="9323" spans="1:1" x14ac:dyDescent="0.25">
      <c r="A9323" s="9">
        <v>1736489.62</v>
      </c>
    </row>
    <row r="9324" spans="1:1" x14ac:dyDescent="0.25">
      <c r="A9324" s="9">
        <v>10097604.02</v>
      </c>
    </row>
    <row r="9325" spans="1:1" x14ac:dyDescent="0.25">
      <c r="A9325" s="9">
        <v>4178199.64</v>
      </c>
    </row>
    <row r="9326" spans="1:1" x14ac:dyDescent="0.25">
      <c r="A9326" s="9">
        <v>35058881.700000003</v>
      </c>
    </row>
    <row r="9327" spans="1:1" x14ac:dyDescent="0.25">
      <c r="A9327" s="9">
        <v>8964779.5800000001</v>
      </c>
    </row>
    <row r="9328" spans="1:1" x14ac:dyDescent="0.25">
      <c r="A9328" s="9">
        <v>2477461.2599999998</v>
      </c>
    </row>
    <row r="9329" spans="1:1" x14ac:dyDescent="0.25">
      <c r="A9329">
        <v>0</v>
      </c>
    </row>
    <row r="9330" spans="1:1" x14ac:dyDescent="0.25">
      <c r="A9330" s="9">
        <v>334455.67999999999</v>
      </c>
    </row>
    <row r="9331" spans="1:1" x14ac:dyDescent="0.25">
      <c r="A9331">
        <v>2300213</v>
      </c>
    </row>
    <row r="9332" spans="1:1" x14ac:dyDescent="0.25">
      <c r="A9332" s="9">
        <v>8682243.3499999996</v>
      </c>
    </row>
    <row r="9333" spans="1:1" x14ac:dyDescent="0.25">
      <c r="A9333">
        <v>0</v>
      </c>
    </row>
    <row r="9334" spans="1:1" x14ac:dyDescent="0.25">
      <c r="A9334" s="9">
        <v>6381745.52999999</v>
      </c>
    </row>
    <row r="9335" spans="1:1" x14ac:dyDescent="0.25">
      <c r="A9335">
        <v>0</v>
      </c>
    </row>
    <row r="9336" spans="1:1" x14ac:dyDescent="0.25">
      <c r="A9336" s="9">
        <v>55439089.640000001</v>
      </c>
    </row>
    <row r="9337" spans="1:1" x14ac:dyDescent="0.25">
      <c r="A9337">
        <v>0</v>
      </c>
    </row>
    <row r="9338" spans="1:1" x14ac:dyDescent="0.25">
      <c r="A9338" s="9">
        <v>520029.8</v>
      </c>
    </row>
    <row r="9339" spans="1:1" x14ac:dyDescent="0.25">
      <c r="A9339">
        <v>0</v>
      </c>
    </row>
    <row r="9340" spans="1:1" x14ac:dyDescent="0.25">
      <c r="A9340" s="9">
        <v>509182.86</v>
      </c>
    </row>
    <row r="9341" spans="1:1" x14ac:dyDescent="0.25">
      <c r="A9341">
        <v>1944663</v>
      </c>
    </row>
    <row r="9342" spans="1:1" x14ac:dyDescent="0.25">
      <c r="A9342" s="9">
        <v>1625275.6</v>
      </c>
    </row>
    <row r="9343" spans="1:1" x14ac:dyDescent="0.25">
      <c r="A9343" s="9">
        <v>419379.83</v>
      </c>
    </row>
    <row r="9344" spans="1:1" x14ac:dyDescent="0.25">
      <c r="A9344" s="9">
        <v>33721866.32</v>
      </c>
    </row>
    <row r="9345" spans="1:1" x14ac:dyDescent="0.25">
      <c r="A9345" s="9">
        <v>2885477.14</v>
      </c>
    </row>
    <row r="9346" spans="1:1" x14ac:dyDescent="0.25">
      <c r="A9346" s="9">
        <v>2383573.4</v>
      </c>
    </row>
    <row r="9347" spans="1:1" x14ac:dyDescent="0.25">
      <c r="A9347" s="9">
        <v>324271.09999999998</v>
      </c>
    </row>
    <row r="9348" spans="1:1" x14ac:dyDescent="0.25">
      <c r="A9348" s="9">
        <v>1834911.81</v>
      </c>
    </row>
    <row r="9349" spans="1:1" x14ac:dyDescent="0.25">
      <c r="A9349" s="9">
        <v>730477.8</v>
      </c>
    </row>
    <row r="9350" spans="1:1" x14ac:dyDescent="0.25">
      <c r="A9350">
        <v>0</v>
      </c>
    </row>
    <row r="9351" spans="1:1" x14ac:dyDescent="0.25">
      <c r="A9351" s="9">
        <v>2527563.16</v>
      </c>
    </row>
    <row r="9352" spans="1:1" x14ac:dyDescent="0.25">
      <c r="A9352" s="9">
        <v>5166925.5599999996</v>
      </c>
    </row>
    <row r="9353" spans="1:1" x14ac:dyDescent="0.25">
      <c r="A9353" s="9">
        <v>273348.75</v>
      </c>
    </row>
    <row r="9354" spans="1:1" x14ac:dyDescent="0.25">
      <c r="A9354">
        <v>0</v>
      </c>
    </row>
    <row r="9355" spans="1:1" x14ac:dyDescent="0.25">
      <c r="A9355" s="9">
        <v>3298134.33</v>
      </c>
    </row>
    <row r="9356" spans="1:1" x14ac:dyDescent="0.25">
      <c r="A9356">
        <v>0</v>
      </c>
    </row>
    <row r="9357" spans="1:1" x14ac:dyDescent="0.25">
      <c r="A9357" s="9">
        <v>9342870.5999999996</v>
      </c>
    </row>
    <row r="9358" spans="1:1" x14ac:dyDescent="0.25">
      <c r="A9358" s="9">
        <v>5238494.9800000004</v>
      </c>
    </row>
    <row r="9359" spans="1:1" x14ac:dyDescent="0.25">
      <c r="A9359">
        <v>3974439</v>
      </c>
    </row>
    <row r="9360" spans="1:1" x14ac:dyDescent="0.25">
      <c r="A9360" s="9">
        <v>4964839.83</v>
      </c>
    </row>
    <row r="9361" spans="1:1" x14ac:dyDescent="0.25">
      <c r="A9361" s="9">
        <v>5757681.8399999999</v>
      </c>
    </row>
    <row r="9362" spans="1:1" x14ac:dyDescent="0.25">
      <c r="A9362">
        <v>0</v>
      </c>
    </row>
    <row r="9363" spans="1:1" x14ac:dyDescent="0.25">
      <c r="A9363" s="9">
        <v>3649136.58</v>
      </c>
    </row>
    <row r="9364" spans="1:1" x14ac:dyDescent="0.25">
      <c r="A9364">
        <v>0</v>
      </c>
    </row>
    <row r="9365" spans="1:1" x14ac:dyDescent="0.25">
      <c r="A9365" s="9">
        <v>3364678.25</v>
      </c>
    </row>
    <row r="9366" spans="1:1" x14ac:dyDescent="0.25">
      <c r="A9366" s="9">
        <v>7872870.21</v>
      </c>
    </row>
    <row r="9367" spans="1:1" x14ac:dyDescent="0.25">
      <c r="A9367" s="9">
        <v>5967389.2699999996</v>
      </c>
    </row>
    <row r="9368" spans="1:1" x14ac:dyDescent="0.25">
      <c r="A9368" s="9">
        <v>148737.42000000001</v>
      </c>
    </row>
    <row r="9369" spans="1:1" x14ac:dyDescent="0.25">
      <c r="A9369" s="9">
        <v>13773746.710000001</v>
      </c>
    </row>
    <row r="9370" spans="1:1" x14ac:dyDescent="0.25">
      <c r="A9370" s="9">
        <v>8554197.3900000006</v>
      </c>
    </row>
    <row r="9371" spans="1:1" x14ac:dyDescent="0.25">
      <c r="A9371">
        <v>0</v>
      </c>
    </row>
    <row r="9372" spans="1:1" x14ac:dyDescent="0.25">
      <c r="A9372" s="9">
        <v>314832.24</v>
      </c>
    </row>
    <row r="9373" spans="1:1" x14ac:dyDescent="0.25">
      <c r="A9373" s="9">
        <v>17469104.309999999</v>
      </c>
    </row>
    <row r="9374" spans="1:1" x14ac:dyDescent="0.25">
      <c r="A9374" s="9">
        <v>1086871.04</v>
      </c>
    </row>
    <row r="9375" spans="1:1" x14ac:dyDescent="0.25">
      <c r="A9375" s="9">
        <v>188253.98</v>
      </c>
    </row>
    <row r="9376" spans="1:1" x14ac:dyDescent="0.25">
      <c r="A9376" s="9">
        <v>2964451.14</v>
      </c>
    </row>
    <row r="9377" spans="1:1" x14ac:dyDescent="0.25">
      <c r="A9377">
        <v>0</v>
      </c>
    </row>
    <row r="9378" spans="1:1" x14ac:dyDescent="0.25">
      <c r="A9378" s="9">
        <v>7397128.48999999</v>
      </c>
    </row>
    <row r="9379" spans="1:1" x14ac:dyDescent="0.25">
      <c r="A9379" s="9">
        <v>21180489.059999999</v>
      </c>
    </row>
    <row r="9380" spans="1:1" x14ac:dyDescent="0.25">
      <c r="A9380" s="9">
        <v>4876910.4399999902</v>
      </c>
    </row>
    <row r="9381" spans="1:1" x14ac:dyDescent="0.25">
      <c r="A9381" s="9">
        <v>3582025.24</v>
      </c>
    </row>
    <row r="9382" spans="1:1" x14ac:dyDescent="0.25">
      <c r="A9382" s="9">
        <v>1826946.32</v>
      </c>
    </row>
    <row r="9383" spans="1:1" x14ac:dyDescent="0.25">
      <c r="A9383" s="9">
        <v>9189329.3499999996</v>
      </c>
    </row>
    <row r="9384" spans="1:1" x14ac:dyDescent="0.25">
      <c r="A9384" s="9">
        <v>1270033.3</v>
      </c>
    </row>
    <row r="9385" spans="1:1" x14ac:dyDescent="0.25">
      <c r="A9385" s="9">
        <v>11476670.08</v>
      </c>
    </row>
    <row r="9386" spans="1:1" x14ac:dyDescent="0.25">
      <c r="A9386" s="9">
        <v>1227316.83</v>
      </c>
    </row>
    <row r="9387" spans="1:1" x14ac:dyDescent="0.25">
      <c r="A9387" s="9">
        <v>5652772.6699999999</v>
      </c>
    </row>
    <row r="9388" spans="1:1" x14ac:dyDescent="0.25">
      <c r="A9388">
        <v>0</v>
      </c>
    </row>
    <row r="9389" spans="1:1" x14ac:dyDescent="0.25">
      <c r="A9389" s="9">
        <v>5192863.76</v>
      </c>
    </row>
    <row r="9390" spans="1:1" x14ac:dyDescent="0.25">
      <c r="A9390" s="9">
        <v>1141139.8500000001</v>
      </c>
    </row>
    <row r="9391" spans="1:1" x14ac:dyDescent="0.25">
      <c r="A9391" s="9">
        <v>1799848.39</v>
      </c>
    </row>
    <row r="9392" spans="1:1" x14ac:dyDescent="0.25">
      <c r="A9392" s="9">
        <v>151877.25</v>
      </c>
    </row>
    <row r="9393" spans="1:1" x14ac:dyDescent="0.25">
      <c r="A9393">
        <v>168812</v>
      </c>
    </row>
    <row r="9394" spans="1:1" x14ac:dyDescent="0.25">
      <c r="A9394" s="9">
        <v>3122758.94</v>
      </c>
    </row>
    <row r="9395" spans="1:1" x14ac:dyDescent="0.25">
      <c r="A9395" s="9">
        <v>2826421.5</v>
      </c>
    </row>
    <row r="9396" spans="1:1" x14ac:dyDescent="0.25">
      <c r="A9396" s="9">
        <v>8040108.7899999898</v>
      </c>
    </row>
    <row r="9397" spans="1:1" x14ac:dyDescent="0.25">
      <c r="A9397">
        <v>0</v>
      </c>
    </row>
    <row r="9398" spans="1:1" x14ac:dyDescent="0.25">
      <c r="A9398" s="9">
        <v>547075.07999999996</v>
      </c>
    </row>
    <row r="9399" spans="1:1" x14ac:dyDescent="0.25">
      <c r="A9399" s="9">
        <v>99811.08</v>
      </c>
    </row>
    <row r="9400" spans="1:1" x14ac:dyDescent="0.25">
      <c r="A9400" s="9">
        <v>3975360.16</v>
      </c>
    </row>
    <row r="9401" spans="1:1" x14ac:dyDescent="0.25">
      <c r="A9401" s="9">
        <v>5605214.5099999998</v>
      </c>
    </row>
    <row r="9402" spans="1:1" x14ac:dyDescent="0.25">
      <c r="A9402" s="9">
        <v>10018627.17</v>
      </c>
    </row>
    <row r="9403" spans="1:1" x14ac:dyDescent="0.25">
      <c r="A9403" s="9">
        <v>5831253.04</v>
      </c>
    </row>
    <row r="9404" spans="1:1" x14ac:dyDescent="0.25">
      <c r="A9404" s="9">
        <v>2538633.02</v>
      </c>
    </row>
    <row r="9405" spans="1:1" x14ac:dyDescent="0.25">
      <c r="A9405" s="9">
        <v>673820.1</v>
      </c>
    </row>
    <row r="9406" spans="1:1" x14ac:dyDescent="0.25">
      <c r="A9406" s="9">
        <v>110670.62</v>
      </c>
    </row>
    <row r="9407" spans="1:1" x14ac:dyDescent="0.25">
      <c r="A9407">
        <v>0</v>
      </c>
    </row>
    <row r="9408" spans="1:1" x14ac:dyDescent="0.25">
      <c r="A9408" s="9">
        <v>831384.91</v>
      </c>
    </row>
    <row r="9409" spans="1:1" x14ac:dyDescent="0.25">
      <c r="A9409">
        <v>0</v>
      </c>
    </row>
    <row r="9410" spans="1:1" x14ac:dyDescent="0.25">
      <c r="A9410" s="9">
        <v>3732566.24</v>
      </c>
    </row>
    <row r="9411" spans="1:1" x14ac:dyDescent="0.25">
      <c r="A9411" s="9">
        <v>1977941.6</v>
      </c>
    </row>
    <row r="9412" spans="1:1" x14ac:dyDescent="0.25">
      <c r="A9412" s="9">
        <v>443581.6</v>
      </c>
    </row>
    <row r="9413" spans="1:1" x14ac:dyDescent="0.25">
      <c r="A9413" s="9">
        <v>10320722.42</v>
      </c>
    </row>
    <row r="9414" spans="1:1" x14ac:dyDescent="0.25">
      <c r="A9414" s="9">
        <v>9599520.7799999993</v>
      </c>
    </row>
    <row r="9415" spans="1:1" x14ac:dyDescent="0.25">
      <c r="A9415">
        <v>0</v>
      </c>
    </row>
    <row r="9416" spans="1:1" x14ac:dyDescent="0.25">
      <c r="A9416" s="9">
        <v>1413961.78</v>
      </c>
    </row>
    <row r="9417" spans="1:1" x14ac:dyDescent="0.25">
      <c r="A9417">
        <v>0</v>
      </c>
    </row>
    <row r="9418" spans="1:1" x14ac:dyDescent="0.25">
      <c r="A9418" s="9">
        <v>504041.93</v>
      </c>
    </row>
    <row r="9419" spans="1:1" x14ac:dyDescent="0.25">
      <c r="A9419">
        <v>0</v>
      </c>
    </row>
    <row r="9420" spans="1:1" x14ac:dyDescent="0.25">
      <c r="A9420" s="9">
        <v>13077659.76</v>
      </c>
    </row>
    <row r="9421" spans="1:1" x14ac:dyDescent="0.25">
      <c r="A9421">
        <v>0</v>
      </c>
    </row>
    <row r="9422" spans="1:1" x14ac:dyDescent="0.25">
      <c r="A9422" s="9">
        <v>446348.5</v>
      </c>
    </row>
    <row r="9423" spans="1:1" x14ac:dyDescent="0.25">
      <c r="A9423" s="9">
        <v>2834158.27</v>
      </c>
    </row>
    <row r="9424" spans="1:1" x14ac:dyDescent="0.25">
      <c r="A9424">
        <v>0</v>
      </c>
    </row>
    <row r="9425" spans="1:1" x14ac:dyDescent="0.25">
      <c r="A9425" s="9">
        <v>14684312.199999999</v>
      </c>
    </row>
    <row r="9426" spans="1:1" x14ac:dyDescent="0.25">
      <c r="A9426" s="9">
        <v>2901789.64</v>
      </c>
    </row>
    <row r="9427" spans="1:1" x14ac:dyDescent="0.25">
      <c r="A9427" s="9">
        <v>21986385.329999998</v>
      </c>
    </row>
    <row r="9428" spans="1:1" x14ac:dyDescent="0.25">
      <c r="A9428">
        <v>0</v>
      </c>
    </row>
    <row r="9429" spans="1:1" x14ac:dyDescent="0.25">
      <c r="A9429" s="9">
        <v>21381387.829999998</v>
      </c>
    </row>
    <row r="9430" spans="1:1" x14ac:dyDescent="0.25">
      <c r="A9430" s="9">
        <v>3091440.7</v>
      </c>
    </row>
    <row r="9431" spans="1:1" x14ac:dyDescent="0.25">
      <c r="A9431" s="9">
        <v>1354012.56</v>
      </c>
    </row>
    <row r="9432" spans="1:1" x14ac:dyDescent="0.25">
      <c r="A9432" s="9">
        <v>4574126.5899999896</v>
      </c>
    </row>
    <row r="9433" spans="1:1" x14ac:dyDescent="0.25">
      <c r="A9433" s="9">
        <v>201288.32000000001</v>
      </c>
    </row>
    <row r="9434" spans="1:1" x14ac:dyDescent="0.25">
      <c r="A9434" s="9">
        <v>155658.72</v>
      </c>
    </row>
    <row r="9435" spans="1:1" x14ac:dyDescent="0.25">
      <c r="A9435" s="9">
        <v>7628265.2199999997</v>
      </c>
    </row>
    <row r="9436" spans="1:1" x14ac:dyDescent="0.25">
      <c r="A9436" s="9">
        <v>1223029.22</v>
      </c>
    </row>
    <row r="9437" spans="1:1" x14ac:dyDescent="0.25">
      <c r="A9437" s="9">
        <v>16438260.1</v>
      </c>
    </row>
    <row r="9438" spans="1:1" x14ac:dyDescent="0.25">
      <c r="A9438" s="9">
        <v>219011.8</v>
      </c>
    </row>
    <row r="9439" spans="1:1" x14ac:dyDescent="0.25">
      <c r="A9439" s="9">
        <v>339695.95</v>
      </c>
    </row>
    <row r="9440" spans="1:1" x14ac:dyDescent="0.25">
      <c r="A9440" s="9">
        <v>6120899.6399999997</v>
      </c>
    </row>
    <row r="9441" spans="1:1" x14ac:dyDescent="0.25">
      <c r="A9441" s="9">
        <v>3759354.14</v>
      </c>
    </row>
    <row r="9442" spans="1:1" x14ac:dyDescent="0.25">
      <c r="A9442" s="9">
        <v>753613.79</v>
      </c>
    </row>
    <row r="9443" spans="1:1" x14ac:dyDescent="0.25">
      <c r="A9443" s="9">
        <v>3338392.9</v>
      </c>
    </row>
    <row r="9444" spans="1:1" x14ac:dyDescent="0.25">
      <c r="A9444" s="9">
        <v>18942159.489999998</v>
      </c>
    </row>
    <row r="9445" spans="1:1" x14ac:dyDescent="0.25">
      <c r="A9445" s="9">
        <v>5805702.9499999899</v>
      </c>
    </row>
    <row r="9446" spans="1:1" x14ac:dyDescent="0.25">
      <c r="A9446">
        <v>0</v>
      </c>
    </row>
    <row r="9447" spans="1:1" x14ac:dyDescent="0.25">
      <c r="A9447" s="9">
        <v>279402.98</v>
      </c>
    </row>
    <row r="9448" spans="1:1" x14ac:dyDescent="0.25">
      <c r="A9448" s="9">
        <v>2083205.49</v>
      </c>
    </row>
    <row r="9449" spans="1:1" x14ac:dyDescent="0.25">
      <c r="A9449" s="9">
        <v>7569138.5099999998</v>
      </c>
    </row>
    <row r="9450" spans="1:1" x14ac:dyDescent="0.25">
      <c r="A9450" s="9">
        <v>2834627.48999999</v>
      </c>
    </row>
    <row r="9451" spans="1:1" x14ac:dyDescent="0.25">
      <c r="A9451">
        <v>0</v>
      </c>
    </row>
    <row r="9452" spans="1:1" x14ac:dyDescent="0.25">
      <c r="A9452" s="9">
        <v>224876.73</v>
      </c>
    </row>
    <row r="9453" spans="1:1" x14ac:dyDescent="0.25">
      <c r="A9453" s="9">
        <v>7998006.3499999996</v>
      </c>
    </row>
    <row r="9454" spans="1:1" x14ac:dyDescent="0.25">
      <c r="A9454" s="9">
        <v>11336307.470000001</v>
      </c>
    </row>
    <row r="9455" spans="1:1" x14ac:dyDescent="0.25">
      <c r="A9455">
        <v>0</v>
      </c>
    </row>
    <row r="9456" spans="1:1" x14ac:dyDescent="0.25">
      <c r="A9456">
        <v>0</v>
      </c>
    </row>
    <row r="9457" spans="1:1" x14ac:dyDescent="0.25">
      <c r="A9457" s="9">
        <v>450593.85</v>
      </c>
    </row>
    <row r="9458" spans="1:1" x14ac:dyDescent="0.25">
      <c r="A9458" s="9">
        <v>5143685.1200000001</v>
      </c>
    </row>
    <row r="9459" spans="1:1" x14ac:dyDescent="0.25">
      <c r="A9459" s="9">
        <v>2687021.02</v>
      </c>
    </row>
    <row r="9460" spans="1:1" x14ac:dyDescent="0.25">
      <c r="A9460" s="9">
        <v>124401.86</v>
      </c>
    </row>
    <row r="9461" spans="1:1" x14ac:dyDescent="0.25">
      <c r="A9461" s="9">
        <v>2568165.2999999998</v>
      </c>
    </row>
    <row r="9462" spans="1:1" x14ac:dyDescent="0.25">
      <c r="A9462">
        <v>0</v>
      </c>
    </row>
    <row r="9463" spans="1:1" x14ac:dyDescent="0.25">
      <c r="A9463" s="9">
        <v>12761707.310000001</v>
      </c>
    </row>
    <row r="9464" spans="1:1" x14ac:dyDescent="0.25">
      <c r="A9464">
        <v>0</v>
      </c>
    </row>
    <row r="9465" spans="1:1" x14ac:dyDescent="0.25">
      <c r="A9465" s="9">
        <v>479802.12</v>
      </c>
    </row>
    <row r="9466" spans="1:1" x14ac:dyDescent="0.25">
      <c r="A9466" s="9">
        <v>1995430.36</v>
      </c>
    </row>
    <row r="9467" spans="1:1" x14ac:dyDescent="0.25">
      <c r="A9467" s="9">
        <v>233052.18</v>
      </c>
    </row>
    <row r="9468" spans="1:1" x14ac:dyDescent="0.25">
      <c r="A9468" s="9">
        <v>4248541.6100000003</v>
      </c>
    </row>
    <row r="9469" spans="1:1" x14ac:dyDescent="0.25">
      <c r="A9469" s="9">
        <v>2062215.54</v>
      </c>
    </row>
    <row r="9470" spans="1:1" x14ac:dyDescent="0.25">
      <c r="A9470" s="9">
        <v>4397046.4399999902</v>
      </c>
    </row>
    <row r="9471" spans="1:1" x14ac:dyDescent="0.25">
      <c r="A9471" s="9">
        <v>2312687.02</v>
      </c>
    </row>
    <row r="9472" spans="1:1" x14ac:dyDescent="0.25">
      <c r="A9472" s="9">
        <v>78690.3</v>
      </c>
    </row>
    <row r="9473" spans="1:1" x14ac:dyDescent="0.25">
      <c r="A9473" s="9">
        <v>148737.42000000001</v>
      </c>
    </row>
    <row r="9474" spans="1:1" x14ac:dyDescent="0.25">
      <c r="A9474" s="9">
        <v>8124549.5499999998</v>
      </c>
    </row>
    <row r="9475" spans="1:1" x14ac:dyDescent="0.25">
      <c r="A9475" s="9">
        <v>1720736.04</v>
      </c>
    </row>
    <row r="9476" spans="1:1" x14ac:dyDescent="0.25">
      <c r="A9476">
        <v>0</v>
      </c>
    </row>
    <row r="9477" spans="1:1" x14ac:dyDescent="0.25">
      <c r="A9477" s="9">
        <v>2265941.31</v>
      </c>
    </row>
    <row r="9478" spans="1:1" x14ac:dyDescent="0.25">
      <c r="A9478" s="9">
        <v>10533371.539999999</v>
      </c>
    </row>
    <row r="9479" spans="1:1" x14ac:dyDescent="0.25">
      <c r="A9479">
        <v>0</v>
      </c>
    </row>
    <row r="9480" spans="1:1" x14ac:dyDescent="0.25">
      <c r="A9480" s="9">
        <v>4770606.1500000004</v>
      </c>
    </row>
    <row r="9481" spans="1:1" x14ac:dyDescent="0.25">
      <c r="A9481" s="9">
        <v>2504601.9700000002</v>
      </c>
    </row>
    <row r="9482" spans="1:1" x14ac:dyDescent="0.25">
      <c r="A9482" s="9">
        <v>903744.16</v>
      </c>
    </row>
    <row r="9483" spans="1:1" x14ac:dyDescent="0.25">
      <c r="A9483" s="9">
        <v>245291.02</v>
      </c>
    </row>
    <row r="9484" spans="1:1" x14ac:dyDescent="0.25">
      <c r="A9484" s="9">
        <v>350449.75</v>
      </c>
    </row>
    <row r="9485" spans="1:1" x14ac:dyDescent="0.25">
      <c r="A9485" s="9">
        <v>810863.39</v>
      </c>
    </row>
    <row r="9486" spans="1:1" x14ac:dyDescent="0.25">
      <c r="A9486">
        <v>0</v>
      </c>
    </row>
    <row r="9487" spans="1:1" x14ac:dyDescent="0.25">
      <c r="A9487" s="9">
        <v>33949998.539999999</v>
      </c>
    </row>
    <row r="9488" spans="1:1" x14ac:dyDescent="0.25">
      <c r="A9488" s="9">
        <v>1377388.88</v>
      </c>
    </row>
    <row r="9489" spans="1:1" x14ac:dyDescent="0.25">
      <c r="A9489" s="9">
        <v>28191544.949999999</v>
      </c>
    </row>
    <row r="9490" spans="1:1" x14ac:dyDescent="0.25">
      <c r="A9490" s="9">
        <v>9341460.0099999998</v>
      </c>
    </row>
    <row r="9491" spans="1:1" x14ac:dyDescent="0.25">
      <c r="A9491" s="9">
        <v>2316570.41</v>
      </c>
    </row>
    <row r="9492" spans="1:1" x14ac:dyDescent="0.25">
      <c r="A9492" s="9">
        <v>10391650.77</v>
      </c>
    </row>
    <row r="9493" spans="1:1" x14ac:dyDescent="0.25">
      <c r="A9493" s="9">
        <v>106620.16</v>
      </c>
    </row>
    <row r="9494" spans="1:1" x14ac:dyDescent="0.25">
      <c r="A9494" s="9">
        <v>63852.12</v>
      </c>
    </row>
    <row r="9495" spans="1:1" x14ac:dyDescent="0.25">
      <c r="A9495" s="9">
        <v>204552.61</v>
      </c>
    </row>
    <row r="9496" spans="1:1" x14ac:dyDescent="0.25">
      <c r="A9496" s="9">
        <v>69989.64</v>
      </c>
    </row>
    <row r="9497" spans="1:1" x14ac:dyDescent="0.25">
      <c r="A9497" s="9">
        <v>50562128.390000001</v>
      </c>
    </row>
    <row r="9498" spans="1:1" x14ac:dyDescent="0.25">
      <c r="A9498">
        <v>0</v>
      </c>
    </row>
    <row r="9499" spans="1:1" x14ac:dyDescent="0.25">
      <c r="A9499" s="9">
        <v>227391.9</v>
      </c>
    </row>
    <row r="9500" spans="1:1" x14ac:dyDescent="0.25">
      <c r="A9500" s="9">
        <v>2876269.47</v>
      </c>
    </row>
    <row r="9501" spans="1:1" x14ac:dyDescent="0.25">
      <c r="A9501">
        <v>0</v>
      </c>
    </row>
    <row r="9502" spans="1:1" x14ac:dyDescent="0.25">
      <c r="A9502" s="9">
        <v>2974174.61</v>
      </c>
    </row>
    <row r="9503" spans="1:1" x14ac:dyDescent="0.25">
      <c r="A9503" s="9">
        <v>5280925.38</v>
      </c>
    </row>
    <row r="9504" spans="1:1" x14ac:dyDescent="0.25">
      <c r="A9504" s="9">
        <v>179642.07</v>
      </c>
    </row>
    <row r="9505" spans="1:1" x14ac:dyDescent="0.25">
      <c r="A9505" s="9">
        <v>7322912.1299999999</v>
      </c>
    </row>
    <row r="9506" spans="1:1" x14ac:dyDescent="0.25">
      <c r="A9506" s="9">
        <v>482595.38</v>
      </c>
    </row>
    <row r="9507" spans="1:1" x14ac:dyDescent="0.25">
      <c r="A9507" s="9">
        <v>3121087.68</v>
      </c>
    </row>
    <row r="9508" spans="1:1" x14ac:dyDescent="0.25">
      <c r="A9508" s="9">
        <v>8274967.0999999996</v>
      </c>
    </row>
    <row r="9509" spans="1:1" x14ac:dyDescent="0.25">
      <c r="A9509" s="9">
        <v>5704342.3600000003</v>
      </c>
    </row>
    <row r="9510" spans="1:1" x14ac:dyDescent="0.25">
      <c r="A9510" s="9">
        <v>18793038.809999999</v>
      </c>
    </row>
    <row r="9511" spans="1:1" x14ac:dyDescent="0.25">
      <c r="A9511" s="9">
        <v>3473414.1699999901</v>
      </c>
    </row>
    <row r="9512" spans="1:1" x14ac:dyDescent="0.25">
      <c r="A9512" s="9">
        <v>5770851.1099999901</v>
      </c>
    </row>
    <row r="9513" spans="1:1" x14ac:dyDescent="0.25">
      <c r="A9513" s="9">
        <v>5829842.9299999997</v>
      </c>
    </row>
    <row r="9514" spans="1:1" x14ac:dyDescent="0.25">
      <c r="A9514" s="9">
        <v>1466785.72</v>
      </c>
    </row>
    <row r="9515" spans="1:1" x14ac:dyDescent="0.25">
      <c r="A9515" s="9">
        <v>6749468.6499999901</v>
      </c>
    </row>
    <row r="9516" spans="1:1" x14ac:dyDescent="0.25">
      <c r="A9516" s="9">
        <v>5178383.9000000004</v>
      </c>
    </row>
    <row r="9517" spans="1:1" x14ac:dyDescent="0.25">
      <c r="A9517" s="9">
        <v>25045148.469999999</v>
      </c>
    </row>
    <row r="9518" spans="1:1" x14ac:dyDescent="0.25">
      <c r="A9518" s="9">
        <v>6571274.7400000002</v>
      </c>
    </row>
    <row r="9519" spans="1:1" x14ac:dyDescent="0.25">
      <c r="A9519" s="9">
        <v>1090766.83</v>
      </c>
    </row>
    <row r="9520" spans="1:1" x14ac:dyDescent="0.25">
      <c r="A9520" s="9">
        <v>2192479.7400000002</v>
      </c>
    </row>
    <row r="9521" spans="1:1" x14ac:dyDescent="0.25">
      <c r="A9521" s="9">
        <v>2627455.84</v>
      </c>
    </row>
    <row r="9522" spans="1:1" x14ac:dyDescent="0.25">
      <c r="A9522" s="9">
        <v>53091.6</v>
      </c>
    </row>
    <row r="9523" spans="1:1" x14ac:dyDescent="0.25">
      <c r="A9523" s="9">
        <v>152902.68</v>
      </c>
    </row>
    <row r="9524" spans="1:1" x14ac:dyDescent="0.25">
      <c r="A9524" s="9">
        <v>882104.75</v>
      </c>
    </row>
    <row r="9525" spans="1:1" x14ac:dyDescent="0.25">
      <c r="A9525" s="9">
        <v>7284787.9299999997</v>
      </c>
    </row>
    <row r="9526" spans="1:1" x14ac:dyDescent="0.25">
      <c r="A9526" s="9">
        <v>2284140.86</v>
      </c>
    </row>
    <row r="9527" spans="1:1" x14ac:dyDescent="0.25">
      <c r="A9527" s="9">
        <v>1590194.71</v>
      </c>
    </row>
    <row r="9528" spans="1:1" x14ac:dyDescent="0.25">
      <c r="A9528" s="9">
        <v>7819888.1899999902</v>
      </c>
    </row>
    <row r="9529" spans="1:1" x14ac:dyDescent="0.25">
      <c r="A9529" s="9">
        <v>4054854.3</v>
      </c>
    </row>
    <row r="9530" spans="1:1" x14ac:dyDescent="0.25">
      <c r="A9530" s="9">
        <v>12710055.57</v>
      </c>
    </row>
    <row r="9531" spans="1:1" x14ac:dyDescent="0.25">
      <c r="A9531" s="9">
        <v>4697595.3499999996</v>
      </c>
    </row>
    <row r="9532" spans="1:1" x14ac:dyDescent="0.25">
      <c r="A9532" s="9">
        <v>6860470.8799999896</v>
      </c>
    </row>
    <row r="9533" spans="1:1" x14ac:dyDescent="0.25">
      <c r="A9533" s="9">
        <v>14871665.449999999</v>
      </c>
    </row>
    <row r="9534" spans="1:1" x14ac:dyDescent="0.25">
      <c r="A9534" s="9">
        <v>47829.8</v>
      </c>
    </row>
    <row r="9535" spans="1:1" x14ac:dyDescent="0.25">
      <c r="A9535" s="9">
        <v>425437.33</v>
      </c>
    </row>
    <row r="9536" spans="1:1" x14ac:dyDescent="0.25">
      <c r="A9536">
        <v>0</v>
      </c>
    </row>
    <row r="9537" spans="1:1" x14ac:dyDescent="0.25">
      <c r="A9537" s="9">
        <v>61069455.009999998</v>
      </c>
    </row>
    <row r="9538" spans="1:1" x14ac:dyDescent="0.25">
      <c r="A9538" s="9">
        <v>51366616.159999996</v>
      </c>
    </row>
    <row r="9539" spans="1:1" x14ac:dyDescent="0.25">
      <c r="A9539" s="9">
        <v>3089887.31</v>
      </c>
    </row>
    <row r="9540" spans="1:1" x14ac:dyDescent="0.25">
      <c r="A9540" s="9">
        <v>180596.36</v>
      </c>
    </row>
    <row r="9541" spans="1:1" x14ac:dyDescent="0.25">
      <c r="A9541" s="9">
        <v>9157752.2100000009</v>
      </c>
    </row>
    <row r="9542" spans="1:1" x14ac:dyDescent="0.25">
      <c r="A9542" s="9">
        <v>41127424.450000003</v>
      </c>
    </row>
    <row r="9543" spans="1:1" x14ac:dyDescent="0.25">
      <c r="A9543">
        <v>0</v>
      </c>
    </row>
    <row r="9544" spans="1:1" x14ac:dyDescent="0.25">
      <c r="A9544">
        <v>0</v>
      </c>
    </row>
    <row r="9545" spans="1:1" x14ac:dyDescent="0.25">
      <c r="A9545">
        <v>0</v>
      </c>
    </row>
    <row r="9546" spans="1:1" x14ac:dyDescent="0.25">
      <c r="A9546" s="9">
        <v>63794.92</v>
      </c>
    </row>
    <row r="9547" spans="1:1" x14ac:dyDescent="0.25">
      <c r="A9547" s="9">
        <v>2139182.0800000001</v>
      </c>
    </row>
    <row r="9548" spans="1:1" x14ac:dyDescent="0.25">
      <c r="A9548">
        <v>0</v>
      </c>
    </row>
    <row r="9549" spans="1:1" x14ac:dyDescent="0.25">
      <c r="A9549">
        <v>0</v>
      </c>
    </row>
    <row r="9550" spans="1:1" x14ac:dyDescent="0.25">
      <c r="A9550" s="9">
        <v>206723.34</v>
      </c>
    </row>
    <row r="9551" spans="1:1" x14ac:dyDescent="0.25">
      <c r="A9551" s="9">
        <v>24180644.949999999</v>
      </c>
    </row>
    <row r="9552" spans="1:1" x14ac:dyDescent="0.25">
      <c r="A9552" s="9">
        <v>4578829.62</v>
      </c>
    </row>
    <row r="9553" spans="1:1" x14ac:dyDescent="0.25">
      <c r="A9553" s="9">
        <v>4943693.0699999901</v>
      </c>
    </row>
    <row r="9554" spans="1:1" x14ac:dyDescent="0.25">
      <c r="A9554">
        <v>0</v>
      </c>
    </row>
    <row r="9555" spans="1:1" x14ac:dyDescent="0.25">
      <c r="A9555" s="9">
        <v>6037065.2999999998</v>
      </c>
    </row>
    <row r="9556" spans="1:1" x14ac:dyDescent="0.25">
      <c r="A9556" s="9">
        <v>1953441.28</v>
      </c>
    </row>
    <row r="9557" spans="1:1" x14ac:dyDescent="0.25">
      <c r="A9557">
        <v>0</v>
      </c>
    </row>
    <row r="9558" spans="1:1" x14ac:dyDescent="0.25">
      <c r="A9558" s="9">
        <v>384044.27</v>
      </c>
    </row>
    <row r="9559" spans="1:1" x14ac:dyDescent="0.25">
      <c r="A9559" s="9">
        <v>3315712.56</v>
      </c>
    </row>
    <row r="9560" spans="1:1" x14ac:dyDescent="0.25">
      <c r="A9560" s="9">
        <v>28432.95</v>
      </c>
    </row>
    <row r="9561" spans="1:1" x14ac:dyDescent="0.25">
      <c r="A9561" s="9">
        <v>1209927.8700000001</v>
      </c>
    </row>
    <row r="9562" spans="1:1" x14ac:dyDescent="0.25">
      <c r="A9562" s="9">
        <v>10843756.390000001</v>
      </c>
    </row>
    <row r="9563" spans="1:1" x14ac:dyDescent="0.25">
      <c r="A9563" s="9">
        <v>5107427.21</v>
      </c>
    </row>
    <row r="9564" spans="1:1" x14ac:dyDescent="0.25">
      <c r="A9564">
        <v>0</v>
      </c>
    </row>
    <row r="9565" spans="1:1" x14ac:dyDescent="0.25">
      <c r="A9565" s="9">
        <v>163918.42000000001</v>
      </c>
    </row>
    <row r="9566" spans="1:1" x14ac:dyDescent="0.25">
      <c r="A9566" s="9">
        <v>626266.42000000004</v>
      </c>
    </row>
    <row r="9567" spans="1:1" x14ac:dyDescent="0.25">
      <c r="A9567" s="9">
        <v>268983.37</v>
      </c>
    </row>
    <row r="9568" spans="1:1" x14ac:dyDescent="0.25">
      <c r="A9568">
        <v>0</v>
      </c>
    </row>
    <row r="9569" spans="1:1" x14ac:dyDescent="0.25">
      <c r="A9569" s="9">
        <v>6467757.5199999996</v>
      </c>
    </row>
    <row r="9570" spans="1:1" x14ac:dyDescent="0.25">
      <c r="A9570" s="9">
        <v>3953465.06</v>
      </c>
    </row>
    <row r="9571" spans="1:1" x14ac:dyDescent="0.25">
      <c r="A9571" s="9">
        <v>3056986.55</v>
      </c>
    </row>
    <row r="9572" spans="1:1" x14ac:dyDescent="0.25">
      <c r="A9572">
        <v>0</v>
      </c>
    </row>
    <row r="9573" spans="1:1" x14ac:dyDescent="0.25">
      <c r="A9573" s="9">
        <v>1174774.3999999999</v>
      </c>
    </row>
    <row r="9574" spans="1:1" x14ac:dyDescent="0.25">
      <c r="A9574" s="9">
        <v>379939.46</v>
      </c>
    </row>
    <row r="9575" spans="1:1" x14ac:dyDescent="0.25">
      <c r="A9575" s="9">
        <v>18350251.030000001</v>
      </c>
    </row>
    <row r="9576" spans="1:1" x14ac:dyDescent="0.25">
      <c r="A9576" s="9">
        <v>4193407.53</v>
      </c>
    </row>
    <row r="9577" spans="1:1" x14ac:dyDescent="0.25">
      <c r="A9577" s="9">
        <v>1174774.3999999999</v>
      </c>
    </row>
    <row r="9578" spans="1:1" x14ac:dyDescent="0.25">
      <c r="A9578" s="9">
        <v>149771.68</v>
      </c>
    </row>
    <row r="9579" spans="1:1" x14ac:dyDescent="0.25">
      <c r="A9579" s="9">
        <v>2607127.81</v>
      </c>
    </row>
    <row r="9580" spans="1:1" x14ac:dyDescent="0.25">
      <c r="A9580" s="9">
        <v>2347554.9500000002</v>
      </c>
    </row>
    <row r="9581" spans="1:1" x14ac:dyDescent="0.25">
      <c r="A9581" s="9">
        <v>2318240.88</v>
      </c>
    </row>
    <row r="9582" spans="1:1" x14ac:dyDescent="0.25">
      <c r="A9582" s="9">
        <v>404274.46</v>
      </c>
    </row>
    <row r="9583" spans="1:1" x14ac:dyDescent="0.25">
      <c r="A9583" s="9">
        <v>1205808.32</v>
      </c>
    </row>
    <row r="9584" spans="1:1" x14ac:dyDescent="0.25">
      <c r="A9584" s="9">
        <v>13565352.84</v>
      </c>
    </row>
    <row r="9585" spans="1:1" x14ac:dyDescent="0.25">
      <c r="A9585" s="9">
        <v>186499.5</v>
      </c>
    </row>
    <row r="9586" spans="1:1" x14ac:dyDescent="0.25">
      <c r="A9586" s="9">
        <v>30048968.969999999</v>
      </c>
    </row>
    <row r="9587" spans="1:1" x14ac:dyDescent="0.25">
      <c r="A9587" s="9">
        <v>473664.71</v>
      </c>
    </row>
    <row r="9588" spans="1:1" x14ac:dyDescent="0.25">
      <c r="A9588">
        <v>0</v>
      </c>
    </row>
    <row r="9589" spans="1:1" x14ac:dyDescent="0.25">
      <c r="A9589" s="9">
        <v>179178.45</v>
      </c>
    </row>
    <row r="9590" spans="1:1" x14ac:dyDescent="0.25">
      <c r="A9590" s="9">
        <v>54387380.710000001</v>
      </c>
    </row>
    <row r="9591" spans="1:1" x14ac:dyDescent="0.25">
      <c r="A9591" s="9">
        <v>401262.24</v>
      </c>
    </row>
    <row r="9592" spans="1:1" x14ac:dyDescent="0.25">
      <c r="A9592" s="9">
        <v>199632.52</v>
      </c>
    </row>
    <row r="9593" spans="1:1" x14ac:dyDescent="0.25">
      <c r="A9593" s="9">
        <v>84818.94</v>
      </c>
    </row>
    <row r="9594" spans="1:1" x14ac:dyDescent="0.25">
      <c r="A9594">
        <v>0</v>
      </c>
    </row>
    <row r="9595" spans="1:1" x14ac:dyDescent="0.25">
      <c r="A9595">
        <v>0</v>
      </c>
    </row>
    <row r="9596" spans="1:1" x14ac:dyDescent="0.25">
      <c r="A9596" s="9">
        <v>3245664.93</v>
      </c>
    </row>
    <row r="9597" spans="1:1" x14ac:dyDescent="0.25">
      <c r="A9597" s="9">
        <v>29042333.07</v>
      </c>
    </row>
    <row r="9598" spans="1:1" x14ac:dyDescent="0.25">
      <c r="A9598" s="9">
        <v>4609003.8</v>
      </c>
    </row>
    <row r="9599" spans="1:1" x14ac:dyDescent="0.25">
      <c r="A9599" s="9">
        <v>62056481.969999999</v>
      </c>
    </row>
    <row r="9600" spans="1:1" x14ac:dyDescent="0.25">
      <c r="A9600" s="9">
        <v>2482235.92</v>
      </c>
    </row>
    <row r="9601" spans="1:1" x14ac:dyDescent="0.25">
      <c r="A9601" s="9">
        <v>212291.28</v>
      </c>
    </row>
    <row r="9602" spans="1:1" x14ac:dyDescent="0.25">
      <c r="A9602" s="9">
        <v>210302.45</v>
      </c>
    </row>
    <row r="9603" spans="1:1" x14ac:dyDescent="0.25">
      <c r="A9603" s="9">
        <v>11339525.6</v>
      </c>
    </row>
    <row r="9604" spans="1:1" x14ac:dyDescent="0.25">
      <c r="A9604" s="9">
        <v>5599685.2999999998</v>
      </c>
    </row>
    <row r="9605" spans="1:1" x14ac:dyDescent="0.25">
      <c r="A9605" s="9">
        <v>797472.98</v>
      </c>
    </row>
    <row r="9606" spans="1:1" x14ac:dyDescent="0.25">
      <c r="A9606" s="9">
        <v>5064767.71</v>
      </c>
    </row>
    <row r="9607" spans="1:1" x14ac:dyDescent="0.25">
      <c r="A9607">
        <v>0</v>
      </c>
    </row>
    <row r="9608" spans="1:1" x14ac:dyDescent="0.25">
      <c r="A9608" s="9">
        <v>15619075.84</v>
      </c>
    </row>
    <row r="9609" spans="1:1" x14ac:dyDescent="0.25">
      <c r="A9609" s="9">
        <v>206723.34</v>
      </c>
    </row>
    <row r="9610" spans="1:1" x14ac:dyDescent="0.25">
      <c r="A9610">
        <v>0</v>
      </c>
    </row>
    <row r="9611" spans="1:1" x14ac:dyDescent="0.25">
      <c r="A9611" s="9">
        <v>2458622.56</v>
      </c>
    </row>
    <row r="9612" spans="1:1" x14ac:dyDescent="0.25">
      <c r="A9612">
        <v>0</v>
      </c>
    </row>
    <row r="9613" spans="1:1" x14ac:dyDescent="0.25">
      <c r="A9613">
        <v>0</v>
      </c>
    </row>
    <row r="9614" spans="1:1" x14ac:dyDescent="0.25">
      <c r="A9614">
        <v>1142248</v>
      </c>
    </row>
    <row r="9615" spans="1:1" x14ac:dyDescent="0.25">
      <c r="A9615" s="9">
        <v>27360176.449999999</v>
      </c>
    </row>
    <row r="9616" spans="1:1" x14ac:dyDescent="0.25">
      <c r="A9616" s="9">
        <v>1141852.51</v>
      </c>
    </row>
    <row r="9617" spans="1:1" x14ac:dyDescent="0.25">
      <c r="A9617" s="9">
        <v>5250675.6199999899</v>
      </c>
    </row>
    <row r="9618" spans="1:1" x14ac:dyDescent="0.25">
      <c r="A9618" s="9">
        <v>314832.24</v>
      </c>
    </row>
    <row r="9619" spans="1:1" x14ac:dyDescent="0.25">
      <c r="A9619" s="9">
        <v>420366.29</v>
      </c>
    </row>
    <row r="9620" spans="1:1" x14ac:dyDescent="0.25">
      <c r="A9620" s="9">
        <v>1221105.5900000001</v>
      </c>
    </row>
    <row r="9621" spans="1:1" x14ac:dyDescent="0.25">
      <c r="A9621" s="9">
        <v>4541511.5</v>
      </c>
    </row>
    <row r="9622" spans="1:1" x14ac:dyDescent="0.25">
      <c r="A9622" s="9">
        <v>37287092.390000001</v>
      </c>
    </row>
    <row r="9623" spans="1:1" x14ac:dyDescent="0.25">
      <c r="A9623" s="9">
        <v>437809.38</v>
      </c>
    </row>
    <row r="9624" spans="1:1" x14ac:dyDescent="0.25">
      <c r="A9624" s="9">
        <v>124401.86</v>
      </c>
    </row>
    <row r="9625" spans="1:1" x14ac:dyDescent="0.25">
      <c r="A9625" s="9">
        <v>2166996.56</v>
      </c>
    </row>
    <row r="9626" spans="1:1" x14ac:dyDescent="0.25">
      <c r="A9626">
        <v>0</v>
      </c>
    </row>
    <row r="9627" spans="1:1" x14ac:dyDescent="0.25">
      <c r="A9627" s="9">
        <v>630564.31999999995</v>
      </c>
    </row>
    <row r="9628" spans="1:1" x14ac:dyDescent="0.25">
      <c r="A9628" s="9">
        <v>2177518.38</v>
      </c>
    </row>
    <row r="9629" spans="1:1" x14ac:dyDescent="0.25">
      <c r="A9629" s="9">
        <v>12979357.279999999</v>
      </c>
    </row>
    <row r="9630" spans="1:1" x14ac:dyDescent="0.25">
      <c r="A9630" s="9">
        <v>1746687.33</v>
      </c>
    </row>
    <row r="9631" spans="1:1" x14ac:dyDescent="0.25">
      <c r="A9631" s="9">
        <v>6992639.6200000001</v>
      </c>
    </row>
    <row r="9632" spans="1:1" x14ac:dyDescent="0.25">
      <c r="A9632" s="9">
        <v>13576514.51</v>
      </c>
    </row>
    <row r="9633" spans="1:1" x14ac:dyDescent="0.25">
      <c r="A9633" s="9">
        <v>27131.79</v>
      </c>
    </row>
    <row r="9634" spans="1:1" x14ac:dyDescent="0.25">
      <c r="A9634">
        <v>0</v>
      </c>
    </row>
    <row r="9635" spans="1:1" x14ac:dyDescent="0.25">
      <c r="A9635" s="9">
        <v>10333679.390000001</v>
      </c>
    </row>
    <row r="9636" spans="1:1" x14ac:dyDescent="0.25">
      <c r="A9636" s="9">
        <v>2710370.24</v>
      </c>
    </row>
    <row r="9637" spans="1:1" x14ac:dyDescent="0.25">
      <c r="A9637">
        <v>0</v>
      </c>
    </row>
    <row r="9638" spans="1:1" x14ac:dyDescent="0.25">
      <c r="A9638">
        <v>0</v>
      </c>
    </row>
    <row r="9639" spans="1:1" x14ac:dyDescent="0.25">
      <c r="A9639" s="9">
        <v>1455385.01</v>
      </c>
    </row>
    <row r="9640" spans="1:1" x14ac:dyDescent="0.25">
      <c r="A9640">
        <v>0</v>
      </c>
    </row>
    <row r="9641" spans="1:1" x14ac:dyDescent="0.25">
      <c r="A9641" s="9">
        <v>436364.9</v>
      </c>
    </row>
    <row r="9642" spans="1:1" x14ac:dyDescent="0.25">
      <c r="A9642" s="9">
        <v>2226650.37</v>
      </c>
    </row>
    <row r="9643" spans="1:1" x14ac:dyDescent="0.25">
      <c r="A9643" s="9">
        <v>12552528.130000001</v>
      </c>
    </row>
    <row r="9644" spans="1:1" x14ac:dyDescent="0.25">
      <c r="A9644" s="9">
        <v>2038757.08</v>
      </c>
    </row>
    <row r="9645" spans="1:1" x14ac:dyDescent="0.25">
      <c r="A9645" s="9">
        <v>370786.58</v>
      </c>
    </row>
    <row r="9646" spans="1:1" x14ac:dyDescent="0.25">
      <c r="A9646" s="9">
        <v>12032581.41</v>
      </c>
    </row>
    <row r="9647" spans="1:1" x14ac:dyDescent="0.25">
      <c r="A9647" s="9">
        <v>2108919.08</v>
      </c>
    </row>
    <row r="9648" spans="1:1" x14ac:dyDescent="0.25">
      <c r="A9648" s="9">
        <v>142542.42000000001</v>
      </c>
    </row>
    <row r="9649" spans="1:1" x14ac:dyDescent="0.25">
      <c r="A9649" s="9">
        <v>183162.26</v>
      </c>
    </row>
    <row r="9650" spans="1:1" x14ac:dyDescent="0.25">
      <c r="A9650" s="9">
        <v>11918198.99</v>
      </c>
    </row>
    <row r="9651" spans="1:1" x14ac:dyDescent="0.25">
      <c r="A9651" s="9">
        <v>5653120.2000000002</v>
      </c>
    </row>
    <row r="9652" spans="1:1" x14ac:dyDescent="0.25">
      <c r="A9652">
        <v>0</v>
      </c>
    </row>
    <row r="9653" spans="1:1" x14ac:dyDescent="0.25">
      <c r="A9653" s="9">
        <v>8306444.9299999997</v>
      </c>
    </row>
    <row r="9654" spans="1:1" x14ac:dyDescent="0.25">
      <c r="A9654" s="9">
        <v>3326441.32</v>
      </c>
    </row>
    <row r="9655" spans="1:1" x14ac:dyDescent="0.25">
      <c r="A9655" s="9">
        <v>3237318.08</v>
      </c>
    </row>
    <row r="9656" spans="1:1" x14ac:dyDescent="0.25">
      <c r="A9656" s="9">
        <v>140021.70000000001</v>
      </c>
    </row>
    <row r="9657" spans="1:1" x14ac:dyDescent="0.25">
      <c r="A9657">
        <v>1944663</v>
      </c>
    </row>
    <row r="9658" spans="1:1" x14ac:dyDescent="0.25">
      <c r="A9658" s="9">
        <v>5030832.8099999996</v>
      </c>
    </row>
    <row r="9659" spans="1:1" x14ac:dyDescent="0.25">
      <c r="A9659" s="9">
        <v>912987.43</v>
      </c>
    </row>
    <row r="9660" spans="1:1" x14ac:dyDescent="0.25">
      <c r="A9660" s="9">
        <v>4153193.15</v>
      </c>
    </row>
    <row r="9661" spans="1:1" x14ac:dyDescent="0.25">
      <c r="A9661" s="9">
        <v>19101244.469999999</v>
      </c>
    </row>
    <row r="9662" spans="1:1" x14ac:dyDescent="0.25">
      <c r="A9662" s="9">
        <v>94400.639999999999</v>
      </c>
    </row>
    <row r="9663" spans="1:1" x14ac:dyDescent="0.25">
      <c r="A9663" s="9">
        <v>7290081.6799999997</v>
      </c>
    </row>
    <row r="9664" spans="1:1" x14ac:dyDescent="0.25">
      <c r="A9664" s="9">
        <v>4074203.36</v>
      </c>
    </row>
    <row r="9665" spans="1:1" x14ac:dyDescent="0.25">
      <c r="A9665" s="9">
        <v>162816.93</v>
      </c>
    </row>
    <row r="9666" spans="1:1" x14ac:dyDescent="0.25">
      <c r="A9666" s="9">
        <v>5409474.0499999998</v>
      </c>
    </row>
    <row r="9667" spans="1:1" x14ac:dyDescent="0.25">
      <c r="A9667" s="9">
        <v>2411112.83</v>
      </c>
    </row>
    <row r="9668" spans="1:1" x14ac:dyDescent="0.25">
      <c r="A9668" s="9">
        <v>140021.70000000001</v>
      </c>
    </row>
    <row r="9669" spans="1:1" x14ac:dyDescent="0.25">
      <c r="A9669" s="9">
        <v>7819646.8399999999</v>
      </c>
    </row>
    <row r="9670" spans="1:1" x14ac:dyDescent="0.25">
      <c r="A9670">
        <v>0</v>
      </c>
    </row>
    <row r="9671" spans="1:1" x14ac:dyDescent="0.25">
      <c r="A9671" s="9">
        <v>197756.64</v>
      </c>
    </row>
    <row r="9672" spans="1:1" x14ac:dyDescent="0.25">
      <c r="A9672" s="9">
        <v>62113.01</v>
      </c>
    </row>
    <row r="9673" spans="1:1" x14ac:dyDescent="0.25">
      <c r="A9673" s="9">
        <v>406171.74</v>
      </c>
    </row>
    <row r="9674" spans="1:1" x14ac:dyDescent="0.25">
      <c r="A9674" s="9">
        <v>1412592.19</v>
      </c>
    </row>
    <row r="9675" spans="1:1" x14ac:dyDescent="0.25">
      <c r="A9675" s="9">
        <v>7653637.5</v>
      </c>
    </row>
    <row r="9676" spans="1:1" x14ac:dyDescent="0.25">
      <c r="A9676" s="9">
        <v>383238.46</v>
      </c>
    </row>
    <row r="9677" spans="1:1" x14ac:dyDescent="0.25">
      <c r="A9677" s="9">
        <v>498210.51</v>
      </c>
    </row>
    <row r="9678" spans="1:1" x14ac:dyDescent="0.25">
      <c r="A9678">
        <v>0</v>
      </c>
    </row>
    <row r="9679" spans="1:1" x14ac:dyDescent="0.25">
      <c r="A9679" s="9">
        <v>2139182.0800000001</v>
      </c>
    </row>
    <row r="9680" spans="1:1" x14ac:dyDescent="0.25">
      <c r="A9680" s="9">
        <v>188934.7</v>
      </c>
    </row>
    <row r="9681" spans="1:1" x14ac:dyDescent="0.25">
      <c r="A9681" s="9">
        <v>34647742.25</v>
      </c>
    </row>
    <row r="9682" spans="1:1" x14ac:dyDescent="0.25">
      <c r="A9682" s="9">
        <v>723365.65999999898</v>
      </c>
    </row>
    <row r="9683" spans="1:1" x14ac:dyDescent="0.25">
      <c r="A9683">
        <v>0</v>
      </c>
    </row>
    <row r="9684" spans="1:1" x14ac:dyDescent="0.25">
      <c r="A9684" s="9">
        <v>145009.26</v>
      </c>
    </row>
    <row r="9685" spans="1:1" x14ac:dyDescent="0.25">
      <c r="A9685" s="9">
        <v>1541020.77</v>
      </c>
    </row>
    <row r="9686" spans="1:1" x14ac:dyDescent="0.25">
      <c r="A9686" s="9">
        <v>13431306.689999999</v>
      </c>
    </row>
    <row r="9687" spans="1:1" x14ac:dyDescent="0.25">
      <c r="A9687" s="9">
        <v>409879.15</v>
      </c>
    </row>
    <row r="9688" spans="1:1" x14ac:dyDescent="0.25">
      <c r="A9688" s="9">
        <v>120431.52</v>
      </c>
    </row>
    <row r="9689" spans="1:1" x14ac:dyDescent="0.25">
      <c r="A9689" s="9">
        <v>17432539.370000001</v>
      </c>
    </row>
    <row r="9690" spans="1:1" x14ac:dyDescent="0.25">
      <c r="A9690">
        <v>0</v>
      </c>
    </row>
    <row r="9691" spans="1:1" x14ac:dyDescent="0.25">
      <c r="A9691">
        <v>0</v>
      </c>
    </row>
    <row r="9692" spans="1:1" x14ac:dyDescent="0.25">
      <c r="A9692" s="9">
        <v>173547.22</v>
      </c>
    </row>
    <row r="9693" spans="1:1" x14ac:dyDescent="0.25">
      <c r="A9693" s="9">
        <v>1667679.37</v>
      </c>
    </row>
    <row r="9694" spans="1:1" x14ac:dyDescent="0.25">
      <c r="A9694" s="9">
        <v>55802.559999999998</v>
      </c>
    </row>
    <row r="9695" spans="1:1" x14ac:dyDescent="0.25">
      <c r="A9695">
        <v>0</v>
      </c>
    </row>
    <row r="9696" spans="1:1" x14ac:dyDescent="0.25">
      <c r="A9696" s="9">
        <v>1458443.71</v>
      </c>
    </row>
    <row r="9697" spans="1:1" x14ac:dyDescent="0.25">
      <c r="A9697" s="9">
        <v>288218.7</v>
      </c>
    </row>
    <row r="9698" spans="1:1" x14ac:dyDescent="0.25">
      <c r="A9698" s="9">
        <v>138479.60999999999</v>
      </c>
    </row>
    <row r="9699" spans="1:1" x14ac:dyDescent="0.25">
      <c r="A9699" s="9">
        <v>1661095.11</v>
      </c>
    </row>
    <row r="9700" spans="1:1" x14ac:dyDescent="0.25">
      <c r="A9700" s="9">
        <v>3636237.52</v>
      </c>
    </row>
    <row r="9701" spans="1:1" x14ac:dyDescent="0.25">
      <c r="A9701" s="9">
        <v>3601869.01</v>
      </c>
    </row>
    <row r="9702" spans="1:1" x14ac:dyDescent="0.25">
      <c r="A9702" s="9">
        <v>13188825.939999999</v>
      </c>
    </row>
    <row r="9703" spans="1:1" x14ac:dyDescent="0.25">
      <c r="A9703" s="9">
        <v>10393343.98</v>
      </c>
    </row>
    <row r="9704" spans="1:1" x14ac:dyDescent="0.25">
      <c r="A9704">
        <v>0</v>
      </c>
    </row>
    <row r="9705" spans="1:1" x14ac:dyDescent="0.25">
      <c r="A9705" s="9">
        <v>1860660.63</v>
      </c>
    </row>
    <row r="9706" spans="1:1" x14ac:dyDescent="0.25">
      <c r="A9706" s="9">
        <v>13176434.34</v>
      </c>
    </row>
    <row r="9707" spans="1:1" x14ac:dyDescent="0.25">
      <c r="A9707" s="9">
        <v>165926.35</v>
      </c>
    </row>
    <row r="9708" spans="1:1" x14ac:dyDescent="0.25">
      <c r="A9708" s="9">
        <v>2746516.28</v>
      </c>
    </row>
    <row r="9709" spans="1:1" x14ac:dyDescent="0.25">
      <c r="A9709" s="9">
        <v>7995441.0800000001</v>
      </c>
    </row>
    <row r="9710" spans="1:1" x14ac:dyDescent="0.25">
      <c r="A9710" s="9">
        <v>47829.8</v>
      </c>
    </row>
    <row r="9711" spans="1:1" x14ac:dyDescent="0.25">
      <c r="A9711" s="9">
        <v>96415550.420000002</v>
      </c>
    </row>
    <row r="9712" spans="1:1" x14ac:dyDescent="0.25">
      <c r="A9712" s="9">
        <v>2932059.7</v>
      </c>
    </row>
    <row r="9713" spans="1:1" x14ac:dyDescent="0.25">
      <c r="A9713" s="9">
        <v>710332.65</v>
      </c>
    </row>
    <row r="9714" spans="1:1" x14ac:dyDescent="0.25">
      <c r="A9714" s="9">
        <v>27620909.879999999</v>
      </c>
    </row>
    <row r="9715" spans="1:1" x14ac:dyDescent="0.25">
      <c r="A9715" s="9">
        <v>5078831.54</v>
      </c>
    </row>
    <row r="9716" spans="1:1" x14ac:dyDescent="0.25">
      <c r="A9716" s="9">
        <v>619668.96</v>
      </c>
    </row>
    <row r="9717" spans="1:1" x14ac:dyDescent="0.25">
      <c r="A9717">
        <v>0</v>
      </c>
    </row>
    <row r="9718" spans="1:1" x14ac:dyDescent="0.25">
      <c r="A9718" s="9">
        <v>142542.42000000001</v>
      </c>
    </row>
    <row r="9719" spans="1:1" x14ac:dyDescent="0.25">
      <c r="A9719" s="9">
        <v>2615881.2000000002</v>
      </c>
    </row>
    <row r="9720" spans="1:1" x14ac:dyDescent="0.25">
      <c r="A9720" s="9">
        <v>3126288.53</v>
      </c>
    </row>
    <row r="9721" spans="1:1" x14ac:dyDescent="0.25">
      <c r="A9721" s="9">
        <v>4397164.5199999996</v>
      </c>
    </row>
    <row r="9722" spans="1:1" x14ac:dyDescent="0.25">
      <c r="A9722" s="9">
        <v>386821.84</v>
      </c>
    </row>
    <row r="9723" spans="1:1" x14ac:dyDescent="0.25">
      <c r="A9723">
        <v>0</v>
      </c>
    </row>
    <row r="9724" spans="1:1" x14ac:dyDescent="0.25">
      <c r="A9724" s="9">
        <v>28432.95</v>
      </c>
    </row>
    <row r="9725" spans="1:1" x14ac:dyDescent="0.25">
      <c r="A9725" s="9">
        <v>275886.59999999998</v>
      </c>
    </row>
    <row r="9726" spans="1:1" x14ac:dyDescent="0.25">
      <c r="A9726" s="9">
        <v>8208590.6600000001</v>
      </c>
    </row>
    <row r="9727" spans="1:1" x14ac:dyDescent="0.25">
      <c r="A9727" s="9">
        <v>7925852.5199999996</v>
      </c>
    </row>
    <row r="9728" spans="1:1" x14ac:dyDescent="0.25">
      <c r="A9728" s="9">
        <v>4896267.6399999997</v>
      </c>
    </row>
    <row r="9729" spans="1:1" x14ac:dyDescent="0.25">
      <c r="A9729" s="9">
        <v>950571.89999999898</v>
      </c>
    </row>
    <row r="9730" spans="1:1" x14ac:dyDescent="0.25">
      <c r="A9730" s="9">
        <v>5755454.2000000002</v>
      </c>
    </row>
    <row r="9731" spans="1:1" x14ac:dyDescent="0.25">
      <c r="A9731">
        <v>0</v>
      </c>
    </row>
    <row r="9732" spans="1:1" x14ac:dyDescent="0.25">
      <c r="A9732">
        <v>0</v>
      </c>
    </row>
    <row r="9733" spans="1:1" x14ac:dyDescent="0.25">
      <c r="A9733" s="9">
        <v>7499027.8399999999</v>
      </c>
    </row>
    <row r="9734" spans="1:1" x14ac:dyDescent="0.25">
      <c r="A9734" s="9">
        <v>18288162.32</v>
      </c>
    </row>
    <row r="9735" spans="1:1" x14ac:dyDescent="0.25">
      <c r="A9735" s="9">
        <v>4667170.42</v>
      </c>
    </row>
    <row r="9736" spans="1:1" x14ac:dyDescent="0.25">
      <c r="A9736">
        <v>0</v>
      </c>
    </row>
    <row r="9737" spans="1:1" x14ac:dyDescent="0.25">
      <c r="A9737">
        <v>0</v>
      </c>
    </row>
    <row r="9738" spans="1:1" x14ac:dyDescent="0.25">
      <c r="A9738" s="9">
        <v>1878777.86</v>
      </c>
    </row>
    <row r="9739" spans="1:1" x14ac:dyDescent="0.25">
      <c r="A9739" s="9">
        <v>2545933.04</v>
      </c>
    </row>
    <row r="9740" spans="1:1" x14ac:dyDescent="0.25">
      <c r="A9740" s="9">
        <v>1393210.43</v>
      </c>
    </row>
    <row r="9741" spans="1:1" x14ac:dyDescent="0.25">
      <c r="A9741" s="9">
        <v>2155349.41</v>
      </c>
    </row>
    <row r="9742" spans="1:1" x14ac:dyDescent="0.25">
      <c r="A9742" s="9">
        <v>118937.28</v>
      </c>
    </row>
    <row r="9743" spans="1:1" x14ac:dyDescent="0.25">
      <c r="A9743" s="9">
        <v>3260457.17</v>
      </c>
    </row>
    <row r="9744" spans="1:1" x14ac:dyDescent="0.25">
      <c r="A9744" s="9">
        <v>5879858.2699999996</v>
      </c>
    </row>
    <row r="9745" spans="1:1" x14ac:dyDescent="0.25">
      <c r="A9745" s="9">
        <v>3190429.26</v>
      </c>
    </row>
    <row r="9746" spans="1:1" x14ac:dyDescent="0.25">
      <c r="A9746" s="9">
        <v>4184700.98</v>
      </c>
    </row>
    <row r="9747" spans="1:1" x14ac:dyDescent="0.25">
      <c r="A9747" s="9">
        <v>4080251.98</v>
      </c>
    </row>
    <row r="9748" spans="1:1" x14ac:dyDescent="0.25">
      <c r="A9748" s="9">
        <v>2705570.72</v>
      </c>
    </row>
    <row r="9749" spans="1:1" x14ac:dyDescent="0.25">
      <c r="A9749" s="9">
        <v>23299210.789999999</v>
      </c>
    </row>
    <row r="9750" spans="1:1" x14ac:dyDescent="0.25">
      <c r="A9750" s="9">
        <v>8499063.3200000003</v>
      </c>
    </row>
    <row r="9751" spans="1:1" x14ac:dyDescent="0.25">
      <c r="A9751" s="9">
        <v>2139182.0800000001</v>
      </c>
    </row>
    <row r="9752" spans="1:1" x14ac:dyDescent="0.25">
      <c r="A9752" s="9">
        <v>158296.79999999999</v>
      </c>
    </row>
    <row r="9753" spans="1:1" x14ac:dyDescent="0.25">
      <c r="A9753" s="9">
        <v>13373061.4</v>
      </c>
    </row>
    <row r="9754" spans="1:1" x14ac:dyDescent="0.25">
      <c r="A9754" s="9">
        <v>2475827.25</v>
      </c>
    </row>
    <row r="9755" spans="1:1" x14ac:dyDescent="0.25">
      <c r="A9755" s="9">
        <v>53260648.640000001</v>
      </c>
    </row>
    <row r="9756" spans="1:1" x14ac:dyDescent="0.25">
      <c r="A9756" s="9">
        <v>3664322.01</v>
      </c>
    </row>
    <row r="9757" spans="1:1" x14ac:dyDescent="0.25">
      <c r="A9757" s="9">
        <v>20173943.940000001</v>
      </c>
    </row>
    <row r="9758" spans="1:1" x14ac:dyDescent="0.25">
      <c r="A9758">
        <v>0</v>
      </c>
    </row>
    <row r="9759" spans="1:1" x14ac:dyDescent="0.25">
      <c r="A9759" s="9">
        <v>4431892.43</v>
      </c>
    </row>
    <row r="9760" spans="1:1" x14ac:dyDescent="0.25">
      <c r="A9760">
        <v>0</v>
      </c>
    </row>
    <row r="9761" spans="1:1" x14ac:dyDescent="0.25">
      <c r="A9761">
        <v>0</v>
      </c>
    </row>
    <row r="9762" spans="1:1" x14ac:dyDescent="0.25">
      <c r="A9762">
        <v>0</v>
      </c>
    </row>
    <row r="9763" spans="1:1" x14ac:dyDescent="0.25">
      <c r="A9763" s="9">
        <v>4265230.7</v>
      </c>
    </row>
    <row r="9764" spans="1:1" x14ac:dyDescent="0.25">
      <c r="A9764" s="9">
        <v>658875.86</v>
      </c>
    </row>
    <row r="9765" spans="1:1" x14ac:dyDescent="0.25">
      <c r="A9765" s="9">
        <v>3659122.77</v>
      </c>
    </row>
    <row r="9766" spans="1:1" x14ac:dyDescent="0.25">
      <c r="A9766" s="9">
        <v>1291324.01</v>
      </c>
    </row>
    <row r="9767" spans="1:1" x14ac:dyDescent="0.25">
      <c r="A9767" s="9">
        <v>11384511.85</v>
      </c>
    </row>
    <row r="9768" spans="1:1" x14ac:dyDescent="0.25">
      <c r="A9768" s="9">
        <v>10642477.5</v>
      </c>
    </row>
    <row r="9769" spans="1:1" x14ac:dyDescent="0.25">
      <c r="A9769" s="9">
        <v>4470797.32</v>
      </c>
    </row>
    <row r="9770" spans="1:1" x14ac:dyDescent="0.25">
      <c r="A9770">
        <v>0</v>
      </c>
    </row>
    <row r="9771" spans="1:1" x14ac:dyDescent="0.25">
      <c r="A9771" s="9">
        <v>36337271.059999898</v>
      </c>
    </row>
    <row r="9772" spans="1:1" x14ac:dyDescent="0.25">
      <c r="A9772" s="9">
        <v>3233327.0399999898</v>
      </c>
    </row>
    <row r="9773" spans="1:1" x14ac:dyDescent="0.25">
      <c r="A9773" s="9">
        <v>236640.28</v>
      </c>
    </row>
    <row r="9774" spans="1:1" x14ac:dyDescent="0.25">
      <c r="A9774" s="9">
        <v>5759267.8099999996</v>
      </c>
    </row>
    <row r="9775" spans="1:1" x14ac:dyDescent="0.25">
      <c r="A9775" s="9">
        <v>8497530.5800000001</v>
      </c>
    </row>
    <row r="9776" spans="1:1" x14ac:dyDescent="0.25">
      <c r="A9776" s="9">
        <v>7359723.4900000002</v>
      </c>
    </row>
    <row r="9777" spans="1:1" x14ac:dyDescent="0.25">
      <c r="A9777" s="9">
        <v>682669.81</v>
      </c>
    </row>
    <row r="9778" spans="1:1" x14ac:dyDescent="0.25">
      <c r="A9778" s="9">
        <v>65788.36</v>
      </c>
    </row>
    <row r="9779" spans="1:1" x14ac:dyDescent="0.25">
      <c r="A9779" s="9">
        <v>2066301.97</v>
      </c>
    </row>
    <row r="9780" spans="1:1" x14ac:dyDescent="0.25">
      <c r="A9780">
        <v>0</v>
      </c>
    </row>
    <row r="9781" spans="1:1" x14ac:dyDescent="0.25">
      <c r="A9781" s="9">
        <v>2388791.46</v>
      </c>
    </row>
    <row r="9782" spans="1:1" x14ac:dyDescent="0.25">
      <c r="A9782" s="9">
        <v>488083.29</v>
      </c>
    </row>
    <row r="9783" spans="1:1" x14ac:dyDescent="0.25">
      <c r="A9783">
        <v>0</v>
      </c>
    </row>
    <row r="9784" spans="1:1" x14ac:dyDescent="0.25">
      <c r="A9784">
        <v>0</v>
      </c>
    </row>
    <row r="9785" spans="1:1" x14ac:dyDescent="0.25">
      <c r="A9785" s="9">
        <v>274502.56</v>
      </c>
    </row>
    <row r="9786" spans="1:1" x14ac:dyDescent="0.25">
      <c r="A9786" s="9">
        <v>44849581.959999897</v>
      </c>
    </row>
    <row r="9787" spans="1:1" x14ac:dyDescent="0.25">
      <c r="A9787" s="9">
        <v>6058684.3099999996</v>
      </c>
    </row>
    <row r="9788" spans="1:1" x14ac:dyDescent="0.25">
      <c r="A9788" s="9">
        <v>1245218.49</v>
      </c>
    </row>
    <row r="9789" spans="1:1" x14ac:dyDescent="0.25">
      <c r="A9789" s="9">
        <v>27601210.780000001</v>
      </c>
    </row>
    <row r="9790" spans="1:1" x14ac:dyDescent="0.25">
      <c r="A9790" s="9">
        <v>6916087.6500000004</v>
      </c>
    </row>
    <row r="9791" spans="1:1" x14ac:dyDescent="0.25">
      <c r="A9791" s="9">
        <v>1253990.74</v>
      </c>
    </row>
    <row r="9792" spans="1:1" x14ac:dyDescent="0.25">
      <c r="A9792" s="9">
        <v>2071662.49</v>
      </c>
    </row>
    <row r="9793" spans="1:1" x14ac:dyDescent="0.25">
      <c r="A9793" s="9">
        <v>39058825.780000001</v>
      </c>
    </row>
    <row r="9794" spans="1:1" x14ac:dyDescent="0.25">
      <c r="A9794" s="9">
        <v>1222549.42</v>
      </c>
    </row>
    <row r="9795" spans="1:1" x14ac:dyDescent="0.25">
      <c r="A9795">
        <v>0</v>
      </c>
    </row>
    <row r="9796" spans="1:1" x14ac:dyDescent="0.25">
      <c r="A9796" s="9">
        <v>39100410.649999999</v>
      </c>
    </row>
    <row r="9797" spans="1:1" x14ac:dyDescent="0.25">
      <c r="A9797" s="9">
        <v>10618771.109999999</v>
      </c>
    </row>
    <row r="9798" spans="1:1" x14ac:dyDescent="0.25">
      <c r="A9798" s="9">
        <v>10089208.5</v>
      </c>
    </row>
    <row r="9799" spans="1:1" x14ac:dyDescent="0.25">
      <c r="A9799" s="9">
        <v>8118948.2999999998</v>
      </c>
    </row>
    <row r="9800" spans="1:1" x14ac:dyDescent="0.25">
      <c r="A9800" s="9">
        <v>439869.36</v>
      </c>
    </row>
    <row r="9801" spans="1:1" x14ac:dyDescent="0.25">
      <c r="A9801" s="9">
        <v>2662229.41</v>
      </c>
    </row>
    <row r="9802" spans="1:1" x14ac:dyDescent="0.25">
      <c r="A9802">
        <v>0</v>
      </c>
    </row>
    <row r="9803" spans="1:1" x14ac:dyDescent="0.25">
      <c r="A9803" s="9">
        <v>6512721.75</v>
      </c>
    </row>
    <row r="9804" spans="1:1" x14ac:dyDescent="0.25">
      <c r="A9804" s="9">
        <v>15975280.529999999</v>
      </c>
    </row>
    <row r="9805" spans="1:1" x14ac:dyDescent="0.25">
      <c r="A9805" s="9">
        <v>5596301.2599999998</v>
      </c>
    </row>
    <row r="9806" spans="1:1" x14ac:dyDescent="0.25">
      <c r="A9806" s="9">
        <v>16583910.119999999</v>
      </c>
    </row>
    <row r="9807" spans="1:1" x14ac:dyDescent="0.25">
      <c r="A9807" s="9">
        <v>505040.46</v>
      </c>
    </row>
    <row r="9808" spans="1:1" x14ac:dyDescent="0.25">
      <c r="A9808">
        <v>0</v>
      </c>
    </row>
    <row r="9809" spans="1:1" x14ac:dyDescent="0.25">
      <c r="A9809" s="9">
        <v>3593867.8599999901</v>
      </c>
    </row>
    <row r="9810" spans="1:1" x14ac:dyDescent="0.25">
      <c r="A9810" s="9">
        <v>995406.12</v>
      </c>
    </row>
    <row r="9811" spans="1:1" x14ac:dyDescent="0.25">
      <c r="A9811" s="9">
        <v>6672020.5599999996</v>
      </c>
    </row>
    <row r="9812" spans="1:1" x14ac:dyDescent="0.25">
      <c r="A9812" s="9">
        <v>7716683.4299999997</v>
      </c>
    </row>
    <row r="9813" spans="1:1" x14ac:dyDescent="0.25">
      <c r="A9813" s="9">
        <v>524220.27</v>
      </c>
    </row>
    <row r="9814" spans="1:1" x14ac:dyDescent="0.25">
      <c r="A9814" s="9">
        <v>5286746.2</v>
      </c>
    </row>
    <row r="9815" spans="1:1" x14ac:dyDescent="0.25">
      <c r="A9815" s="9">
        <v>16542563.27</v>
      </c>
    </row>
    <row r="9816" spans="1:1" x14ac:dyDescent="0.25">
      <c r="A9816" s="9">
        <v>102022.34</v>
      </c>
    </row>
    <row r="9817" spans="1:1" x14ac:dyDescent="0.25">
      <c r="A9817">
        <v>0</v>
      </c>
    </row>
    <row r="9818" spans="1:1" x14ac:dyDescent="0.25">
      <c r="A9818">
        <v>0</v>
      </c>
    </row>
    <row r="9819" spans="1:1" x14ac:dyDescent="0.25">
      <c r="A9819">
        <v>0</v>
      </c>
    </row>
    <row r="9820" spans="1:1" x14ac:dyDescent="0.25">
      <c r="A9820" s="9">
        <v>179642.07</v>
      </c>
    </row>
    <row r="9821" spans="1:1" x14ac:dyDescent="0.25">
      <c r="A9821" s="9">
        <v>69989.64</v>
      </c>
    </row>
    <row r="9822" spans="1:1" x14ac:dyDescent="0.25">
      <c r="A9822" s="9">
        <v>1848370.04</v>
      </c>
    </row>
    <row r="9823" spans="1:1" x14ac:dyDescent="0.25">
      <c r="A9823" s="9">
        <v>2227983.14</v>
      </c>
    </row>
    <row r="9824" spans="1:1" x14ac:dyDescent="0.25">
      <c r="A9824" s="9">
        <v>151877.25</v>
      </c>
    </row>
    <row r="9825" spans="1:1" x14ac:dyDescent="0.25">
      <c r="A9825" s="9">
        <v>11401804.84</v>
      </c>
    </row>
    <row r="9826" spans="1:1" x14ac:dyDescent="0.25">
      <c r="A9826">
        <v>0</v>
      </c>
    </row>
    <row r="9827" spans="1:1" x14ac:dyDescent="0.25">
      <c r="A9827">
        <v>61486179</v>
      </c>
    </row>
    <row r="9828" spans="1:1" x14ac:dyDescent="0.25">
      <c r="A9828" s="9">
        <v>5778218.4000000004</v>
      </c>
    </row>
    <row r="9829" spans="1:1" x14ac:dyDescent="0.25">
      <c r="A9829" s="9">
        <v>68295943.549999997</v>
      </c>
    </row>
    <row r="9830" spans="1:1" x14ac:dyDescent="0.25">
      <c r="A9830" s="9">
        <v>2101390.75</v>
      </c>
    </row>
    <row r="9831" spans="1:1" x14ac:dyDescent="0.25">
      <c r="A9831" s="9">
        <v>1381062.88</v>
      </c>
    </row>
    <row r="9832" spans="1:1" x14ac:dyDescent="0.25">
      <c r="A9832" s="9">
        <v>12335856.859999999</v>
      </c>
    </row>
    <row r="9833" spans="1:1" x14ac:dyDescent="0.25">
      <c r="A9833" s="9">
        <v>10853407.24</v>
      </c>
    </row>
    <row r="9834" spans="1:1" x14ac:dyDescent="0.25">
      <c r="A9834" s="9">
        <v>11077809.220000001</v>
      </c>
    </row>
    <row r="9835" spans="1:1" x14ac:dyDescent="0.25">
      <c r="A9835" s="9">
        <v>8619693.4100000001</v>
      </c>
    </row>
    <row r="9836" spans="1:1" x14ac:dyDescent="0.25">
      <c r="A9836" s="9">
        <v>9220633.7899999898</v>
      </c>
    </row>
    <row r="9837" spans="1:1" x14ac:dyDescent="0.25">
      <c r="A9837" s="9">
        <v>4322939.83</v>
      </c>
    </row>
    <row r="9838" spans="1:1" x14ac:dyDescent="0.25">
      <c r="A9838" s="9">
        <v>280163.73</v>
      </c>
    </row>
    <row r="9839" spans="1:1" x14ac:dyDescent="0.25">
      <c r="A9839" s="9">
        <v>10328320.68</v>
      </c>
    </row>
    <row r="9840" spans="1:1" x14ac:dyDescent="0.25">
      <c r="A9840" s="9">
        <v>6476193.6699999999</v>
      </c>
    </row>
    <row r="9841" spans="1:1" x14ac:dyDescent="0.25">
      <c r="A9841">
        <v>0</v>
      </c>
    </row>
    <row r="9842" spans="1:1" x14ac:dyDescent="0.25">
      <c r="A9842">
        <v>168812</v>
      </c>
    </row>
    <row r="9843" spans="1:1" x14ac:dyDescent="0.25">
      <c r="A9843">
        <v>0</v>
      </c>
    </row>
    <row r="9844" spans="1:1" x14ac:dyDescent="0.25">
      <c r="A9844">
        <v>0</v>
      </c>
    </row>
    <row r="9845" spans="1:1" x14ac:dyDescent="0.25">
      <c r="A9845" s="9">
        <v>6774675.1699999999</v>
      </c>
    </row>
    <row r="9846" spans="1:1" x14ac:dyDescent="0.25">
      <c r="A9846" s="9">
        <v>2956875.96</v>
      </c>
    </row>
    <row r="9847" spans="1:1" x14ac:dyDescent="0.25">
      <c r="A9847" s="9">
        <v>23701228.920000002</v>
      </c>
    </row>
    <row r="9848" spans="1:1" x14ac:dyDescent="0.25">
      <c r="A9848" s="9">
        <v>63852.12</v>
      </c>
    </row>
    <row r="9849" spans="1:1" x14ac:dyDescent="0.25">
      <c r="A9849" s="9">
        <v>3483115.36</v>
      </c>
    </row>
    <row r="9850" spans="1:1" x14ac:dyDescent="0.25">
      <c r="A9850" s="9">
        <v>4025802.18</v>
      </c>
    </row>
    <row r="9851" spans="1:1" x14ac:dyDescent="0.25">
      <c r="A9851" s="9">
        <v>363152.58</v>
      </c>
    </row>
    <row r="9852" spans="1:1" x14ac:dyDescent="0.25">
      <c r="A9852" s="9">
        <v>3856536.18</v>
      </c>
    </row>
    <row r="9853" spans="1:1" x14ac:dyDescent="0.25">
      <c r="A9853" s="9">
        <v>5326244.43</v>
      </c>
    </row>
    <row r="9854" spans="1:1" x14ac:dyDescent="0.25">
      <c r="A9854" s="9">
        <v>5612342.79</v>
      </c>
    </row>
    <row r="9855" spans="1:1" x14ac:dyDescent="0.25">
      <c r="A9855" s="9">
        <v>155658.72</v>
      </c>
    </row>
    <row r="9856" spans="1:1" x14ac:dyDescent="0.25">
      <c r="A9856" s="9">
        <v>38288.080000000002</v>
      </c>
    </row>
    <row r="9857" spans="1:1" x14ac:dyDescent="0.25">
      <c r="A9857" s="9">
        <v>5520444.4900000002</v>
      </c>
    </row>
    <row r="9858" spans="1:1" x14ac:dyDescent="0.25">
      <c r="A9858" s="9">
        <v>14180847.060000001</v>
      </c>
    </row>
    <row r="9859" spans="1:1" x14ac:dyDescent="0.25">
      <c r="A9859" s="9">
        <v>8443637.1199999992</v>
      </c>
    </row>
    <row r="9860" spans="1:1" x14ac:dyDescent="0.25">
      <c r="A9860" s="9">
        <v>15556102.76</v>
      </c>
    </row>
    <row r="9861" spans="1:1" x14ac:dyDescent="0.25">
      <c r="A9861">
        <v>0</v>
      </c>
    </row>
    <row r="9862" spans="1:1" x14ac:dyDescent="0.25">
      <c r="A9862" s="9">
        <v>15969686.869999999</v>
      </c>
    </row>
    <row r="9863" spans="1:1" x14ac:dyDescent="0.25">
      <c r="A9863" s="9">
        <v>1808635.22</v>
      </c>
    </row>
    <row r="9864" spans="1:1" x14ac:dyDescent="0.25">
      <c r="A9864">
        <v>0</v>
      </c>
    </row>
    <row r="9865" spans="1:1" x14ac:dyDescent="0.25">
      <c r="A9865">
        <v>0</v>
      </c>
    </row>
    <row r="9866" spans="1:1" x14ac:dyDescent="0.25">
      <c r="A9866" s="9">
        <v>2190810.6800000002</v>
      </c>
    </row>
    <row r="9867" spans="1:1" x14ac:dyDescent="0.25">
      <c r="A9867" s="9">
        <v>12812326.85</v>
      </c>
    </row>
    <row r="9868" spans="1:1" x14ac:dyDescent="0.25">
      <c r="A9868" s="9">
        <v>4838361.05</v>
      </c>
    </row>
    <row r="9869" spans="1:1" x14ac:dyDescent="0.25">
      <c r="A9869" s="9">
        <v>6823408.21</v>
      </c>
    </row>
    <row r="9870" spans="1:1" x14ac:dyDescent="0.25">
      <c r="A9870" s="9">
        <v>10049164.720000001</v>
      </c>
    </row>
    <row r="9871" spans="1:1" x14ac:dyDescent="0.25">
      <c r="A9871" s="9">
        <v>7998264.1200000001</v>
      </c>
    </row>
    <row r="9872" spans="1:1" x14ac:dyDescent="0.25">
      <c r="A9872" s="9">
        <v>36053.82</v>
      </c>
    </row>
    <row r="9873" spans="1:1" x14ac:dyDescent="0.25">
      <c r="A9873">
        <v>0</v>
      </c>
    </row>
    <row r="9874" spans="1:1" x14ac:dyDescent="0.25">
      <c r="A9874" s="9">
        <v>3430506.09</v>
      </c>
    </row>
    <row r="9875" spans="1:1" x14ac:dyDescent="0.25">
      <c r="A9875">
        <v>0</v>
      </c>
    </row>
    <row r="9876" spans="1:1" x14ac:dyDescent="0.25">
      <c r="A9876">
        <v>0</v>
      </c>
    </row>
    <row r="9877" spans="1:1" x14ac:dyDescent="0.25">
      <c r="A9877" s="9">
        <v>13977718.33</v>
      </c>
    </row>
    <row r="9878" spans="1:1" x14ac:dyDescent="0.25">
      <c r="A9878" s="9">
        <v>49964496.93</v>
      </c>
    </row>
    <row r="9879" spans="1:1" x14ac:dyDescent="0.25">
      <c r="A9879" s="9">
        <v>219011.8</v>
      </c>
    </row>
    <row r="9880" spans="1:1" x14ac:dyDescent="0.25">
      <c r="A9880" s="9">
        <v>10618343.720000001</v>
      </c>
    </row>
    <row r="9881" spans="1:1" x14ac:dyDescent="0.25">
      <c r="A9881" s="9">
        <v>5141289.27999999</v>
      </c>
    </row>
    <row r="9882" spans="1:1" x14ac:dyDescent="0.25">
      <c r="A9882" s="9">
        <v>2549127.52</v>
      </c>
    </row>
    <row r="9883" spans="1:1" x14ac:dyDescent="0.25">
      <c r="A9883" s="9">
        <v>7855919.4199999999</v>
      </c>
    </row>
    <row r="9884" spans="1:1" x14ac:dyDescent="0.25">
      <c r="A9884" s="9">
        <v>19838734.559999999</v>
      </c>
    </row>
    <row r="9885" spans="1:1" x14ac:dyDescent="0.25">
      <c r="A9885">
        <v>0</v>
      </c>
    </row>
    <row r="9886" spans="1:1" x14ac:dyDescent="0.25">
      <c r="A9886" s="9">
        <v>26877932.120000001</v>
      </c>
    </row>
    <row r="9887" spans="1:1" x14ac:dyDescent="0.25">
      <c r="A9887" s="9">
        <v>1848370.04</v>
      </c>
    </row>
    <row r="9888" spans="1:1" x14ac:dyDescent="0.25">
      <c r="A9888" s="9">
        <v>14069425.029999999</v>
      </c>
    </row>
    <row r="9889" spans="1:1" x14ac:dyDescent="0.25">
      <c r="A9889" s="9">
        <v>38157156.039999902</v>
      </c>
    </row>
    <row r="9890" spans="1:1" x14ac:dyDescent="0.25">
      <c r="A9890" s="9">
        <v>1897923.02</v>
      </c>
    </row>
    <row r="9891" spans="1:1" x14ac:dyDescent="0.25">
      <c r="A9891" s="9">
        <v>8164724.54</v>
      </c>
    </row>
    <row r="9892" spans="1:1" x14ac:dyDescent="0.25">
      <c r="A9892" s="9">
        <v>1859578.63</v>
      </c>
    </row>
    <row r="9893" spans="1:1" x14ac:dyDescent="0.25">
      <c r="A9893">
        <v>0</v>
      </c>
    </row>
    <row r="9894" spans="1:1" x14ac:dyDescent="0.25">
      <c r="A9894">
        <v>0</v>
      </c>
    </row>
    <row r="9895" spans="1:1" x14ac:dyDescent="0.25">
      <c r="A9895">
        <v>0</v>
      </c>
    </row>
    <row r="9896" spans="1:1" x14ac:dyDescent="0.25">
      <c r="A9896" s="9">
        <v>39492550.600000001</v>
      </c>
    </row>
    <row r="9897" spans="1:1" x14ac:dyDescent="0.25">
      <c r="A9897" s="9">
        <v>1984410.57</v>
      </c>
    </row>
    <row r="9898" spans="1:1" x14ac:dyDescent="0.25">
      <c r="A9898" s="9">
        <v>147601.34</v>
      </c>
    </row>
    <row r="9899" spans="1:1" x14ac:dyDescent="0.25">
      <c r="A9899" s="9">
        <v>14409120.57</v>
      </c>
    </row>
    <row r="9900" spans="1:1" x14ac:dyDescent="0.25">
      <c r="A9900">
        <v>0</v>
      </c>
    </row>
    <row r="9901" spans="1:1" x14ac:dyDescent="0.25">
      <c r="A9901" s="9">
        <v>12202250.26</v>
      </c>
    </row>
    <row r="9902" spans="1:1" x14ac:dyDescent="0.25">
      <c r="A9902" s="9">
        <v>2641775.7999999998</v>
      </c>
    </row>
    <row r="9903" spans="1:1" x14ac:dyDescent="0.25">
      <c r="A9903" s="9">
        <v>3212606.5899999901</v>
      </c>
    </row>
    <row r="9904" spans="1:1" x14ac:dyDescent="0.25">
      <c r="A9904" s="9">
        <v>5040440.04</v>
      </c>
    </row>
    <row r="9905" spans="1:1" x14ac:dyDescent="0.25">
      <c r="A9905" s="9">
        <v>2734243.32</v>
      </c>
    </row>
    <row r="9906" spans="1:1" x14ac:dyDescent="0.25">
      <c r="A9906">
        <v>0</v>
      </c>
    </row>
    <row r="9907" spans="1:1" x14ac:dyDescent="0.25">
      <c r="A9907" s="9">
        <v>3661357.41</v>
      </c>
    </row>
    <row r="9908" spans="1:1" x14ac:dyDescent="0.25">
      <c r="A9908" s="9">
        <v>408584.35</v>
      </c>
    </row>
    <row r="9909" spans="1:1" x14ac:dyDescent="0.25">
      <c r="A9909" s="9">
        <v>2370257.25</v>
      </c>
    </row>
    <row r="9910" spans="1:1" x14ac:dyDescent="0.25">
      <c r="A9910" s="9">
        <v>3574157.82</v>
      </c>
    </row>
    <row r="9911" spans="1:1" x14ac:dyDescent="0.25">
      <c r="A9911" s="9">
        <v>2693150.9199999901</v>
      </c>
    </row>
    <row r="9912" spans="1:1" x14ac:dyDescent="0.25">
      <c r="A9912">
        <v>0</v>
      </c>
    </row>
    <row r="9913" spans="1:1" x14ac:dyDescent="0.25">
      <c r="A9913" s="9">
        <v>9206000.6299999896</v>
      </c>
    </row>
    <row r="9914" spans="1:1" x14ac:dyDescent="0.25">
      <c r="A9914" s="9">
        <v>781043.96</v>
      </c>
    </row>
    <row r="9915" spans="1:1" x14ac:dyDescent="0.25">
      <c r="A9915">
        <v>0</v>
      </c>
    </row>
    <row r="9916" spans="1:1" x14ac:dyDescent="0.25">
      <c r="A9916" s="9">
        <v>180204.42</v>
      </c>
    </row>
    <row r="9917" spans="1:1" x14ac:dyDescent="0.25">
      <c r="A9917">
        <v>0</v>
      </c>
    </row>
    <row r="9918" spans="1:1" x14ac:dyDescent="0.25">
      <c r="A9918" s="9">
        <v>6271919.71</v>
      </c>
    </row>
    <row r="9919" spans="1:1" x14ac:dyDescent="0.25">
      <c r="A9919" s="9">
        <v>219011.8</v>
      </c>
    </row>
    <row r="9920" spans="1:1" x14ac:dyDescent="0.25">
      <c r="A9920" s="9">
        <v>2239172.2200000002</v>
      </c>
    </row>
    <row r="9921" spans="1:1" x14ac:dyDescent="0.25">
      <c r="A9921">
        <v>0</v>
      </c>
    </row>
    <row r="9922" spans="1:1" x14ac:dyDescent="0.25">
      <c r="A9922" s="9">
        <v>4545005.7300000004</v>
      </c>
    </row>
    <row r="9923" spans="1:1" x14ac:dyDescent="0.25">
      <c r="A9923" s="9">
        <v>9054817.8799999896</v>
      </c>
    </row>
    <row r="9924" spans="1:1" x14ac:dyDescent="0.25">
      <c r="A9924">
        <v>0</v>
      </c>
    </row>
    <row r="9925" spans="1:1" x14ac:dyDescent="0.25">
      <c r="A9925" s="9">
        <v>553241.16</v>
      </c>
    </row>
    <row r="9926" spans="1:1" x14ac:dyDescent="0.25">
      <c r="A9926" s="9">
        <v>38288.080000000002</v>
      </c>
    </row>
    <row r="9927" spans="1:1" x14ac:dyDescent="0.25">
      <c r="A9927" s="9">
        <v>3883550.91</v>
      </c>
    </row>
    <row r="9928" spans="1:1" x14ac:dyDescent="0.25">
      <c r="A9928">
        <v>0</v>
      </c>
    </row>
    <row r="9929" spans="1:1" x14ac:dyDescent="0.25">
      <c r="A9929">
        <v>0</v>
      </c>
    </row>
    <row r="9930" spans="1:1" x14ac:dyDescent="0.25">
      <c r="A9930" s="9">
        <v>35714.1</v>
      </c>
    </row>
    <row r="9931" spans="1:1" x14ac:dyDescent="0.25">
      <c r="A9931">
        <v>0</v>
      </c>
    </row>
    <row r="9932" spans="1:1" x14ac:dyDescent="0.25">
      <c r="A9932" s="9">
        <v>5228768.1100000003</v>
      </c>
    </row>
    <row r="9933" spans="1:1" x14ac:dyDescent="0.25">
      <c r="A9933" s="9">
        <v>26191328.260000002</v>
      </c>
    </row>
    <row r="9934" spans="1:1" x14ac:dyDescent="0.25">
      <c r="A9934" s="9">
        <v>460128.81</v>
      </c>
    </row>
    <row r="9935" spans="1:1" x14ac:dyDescent="0.25">
      <c r="A9935" s="9">
        <v>5702942.8200000003</v>
      </c>
    </row>
    <row r="9936" spans="1:1" x14ac:dyDescent="0.25">
      <c r="A9936" s="9">
        <v>486479.71</v>
      </c>
    </row>
    <row r="9937" spans="1:1" x14ac:dyDescent="0.25">
      <c r="A9937" s="9">
        <v>2754403.26</v>
      </c>
    </row>
    <row r="9938" spans="1:1" x14ac:dyDescent="0.25">
      <c r="A9938">
        <v>0</v>
      </c>
    </row>
    <row r="9939" spans="1:1" x14ac:dyDescent="0.25">
      <c r="A9939">
        <v>0</v>
      </c>
    </row>
    <row r="9940" spans="1:1" x14ac:dyDescent="0.25">
      <c r="A9940" s="9">
        <v>13826980.85</v>
      </c>
    </row>
    <row r="9941" spans="1:1" x14ac:dyDescent="0.25">
      <c r="A9941" s="9">
        <v>7094097.0700000003</v>
      </c>
    </row>
    <row r="9942" spans="1:1" x14ac:dyDescent="0.25">
      <c r="A9942" s="9">
        <v>6202384.5599999996</v>
      </c>
    </row>
    <row r="9943" spans="1:1" x14ac:dyDescent="0.25">
      <c r="A9943" s="9">
        <v>9781494.8099999893</v>
      </c>
    </row>
    <row r="9944" spans="1:1" x14ac:dyDescent="0.25">
      <c r="A9944" s="9">
        <v>1353725.28</v>
      </c>
    </row>
    <row r="9945" spans="1:1" x14ac:dyDescent="0.25">
      <c r="A9945" s="9">
        <v>860918.92</v>
      </c>
    </row>
    <row r="9946" spans="1:1" x14ac:dyDescent="0.25">
      <c r="A9946">
        <v>0</v>
      </c>
    </row>
    <row r="9947" spans="1:1" x14ac:dyDescent="0.25">
      <c r="A9947" s="9">
        <v>1283856.6599999999</v>
      </c>
    </row>
    <row r="9948" spans="1:1" x14ac:dyDescent="0.25">
      <c r="A9948" s="9">
        <v>9752873.1099999901</v>
      </c>
    </row>
    <row r="9949" spans="1:1" x14ac:dyDescent="0.25">
      <c r="A9949" s="9">
        <v>10337897.210000001</v>
      </c>
    </row>
    <row r="9950" spans="1:1" x14ac:dyDescent="0.25">
      <c r="A9950">
        <v>0</v>
      </c>
    </row>
    <row r="9951" spans="1:1" x14ac:dyDescent="0.25">
      <c r="A9951" s="9">
        <v>3605332.71</v>
      </c>
    </row>
    <row r="9952" spans="1:1" x14ac:dyDescent="0.25">
      <c r="A9952">
        <v>0</v>
      </c>
    </row>
    <row r="9953" spans="1:1" x14ac:dyDescent="0.25">
      <c r="A9953" s="9">
        <v>173251.05</v>
      </c>
    </row>
    <row r="9954" spans="1:1" x14ac:dyDescent="0.25">
      <c r="A9954" s="9">
        <v>4510080.26</v>
      </c>
    </row>
    <row r="9955" spans="1:1" x14ac:dyDescent="0.25">
      <c r="A9955" s="9">
        <v>233466.78</v>
      </c>
    </row>
    <row r="9956" spans="1:1" x14ac:dyDescent="0.25">
      <c r="A9956" s="9">
        <v>4266863.99</v>
      </c>
    </row>
    <row r="9957" spans="1:1" x14ac:dyDescent="0.25">
      <c r="A9957" s="9">
        <v>18074468.899999999</v>
      </c>
    </row>
    <row r="9958" spans="1:1" x14ac:dyDescent="0.25">
      <c r="A9958" s="9">
        <v>408535.5</v>
      </c>
    </row>
    <row r="9959" spans="1:1" x14ac:dyDescent="0.25">
      <c r="A9959" s="9">
        <v>3098545.83</v>
      </c>
    </row>
    <row r="9960" spans="1:1" x14ac:dyDescent="0.25">
      <c r="A9960" s="9">
        <v>10099849.51</v>
      </c>
    </row>
    <row r="9961" spans="1:1" x14ac:dyDescent="0.25">
      <c r="A9961" s="9">
        <v>299643.03999999998</v>
      </c>
    </row>
    <row r="9962" spans="1:1" x14ac:dyDescent="0.25">
      <c r="A9962" s="9">
        <v>1065460.17</v>
      </c>
    </row>
    <row r="9963" spans="1:1" x14ac:dyDescent="0.25">
      <c r="A9963" s="9">
        <v>106620.16</v>
      </c>
    </row>
    <row r="9964" spans="1:1" x14ac:dyDescent="0.25">
      <c r="A9964" s="9">
        <v>4237159.05</v>
      </c>
    </row>
    <row r="9965" spans="1:1" x14ac:dyDescent="0.25">
      <c r="A9965" s="9">
        <v>94400.639999999999</v>
      </c>
    </row>
    <row r="9966" spans="1:1" x14ac:dyDescent="0.25">
      <c r="A9966" s="9">
        <v>6334967.3099999996</v>
      </c>
    </row>
    <row r="9967" spans="1:1" x14ac:dyDescent="0.25">
      <c r="A9967" s="9">
        <v>17569115.27</v>
      </c>
    </row>
    <row r="9968" spans="1:1" x14ac:dyDescent="0.25">
      <c r="A9968" s="9">
        <v>6276950.7999999998</v>
      </c>
    </row>
    <row r="9969" spans="1:1" x14ac:dyDescent="0.25">
      <c r="A9969" s="9">
        <v>310467.59999999998</v>
      </c>
    </row>
    <row r="9970" spans="1:1" x14ac:dyDescent="0.25">
      <c r="A9970" s="9">
        <v>27448957.280000001</v>
      </c>
    </row>
    <row r="9971" spans="1:1" x14ac:dyDescent="0.25">
      <c r="A9971" s="9">
        <v>11172124.439999999</v>
      </c>
    </row>
    <row r="9972" spans="1:1" x14ac:dyDescent="0.25">
      <c r="A9972" s="9">
        <v>54688306.130000003</v>
      </c>
    </row>
    <row r="9973" spans="1:1" x14ac:dyDescent="0.25">
      <c r="A9973" s="9">
        <v>13457233.470000001</v>
      </c>
    </row>
    <row r="9974" spans="1:1" x14ac:dyDescent="0.25">
      <c r="A9974" s="9">
        <v>2173879.23</v>
      </c>
    </row>
    <row r="9975" spans="1:1" x14ac:dyDescent="0.25">
      <c r="A9975" s="9">
        <v>27957716.390000001</v>
      </c>
    </row>
    <row r="9976" spans="1:1" x14ac:dyDescent="0.25">
      <c r="A9976" s="9">
        <v>185002.34</v>
      </c>
    </row>
    <row r="9977" spans="1:1" x14ac:dyDescent="0.25">
      <c r="A9977">
        <v>0</v>
      </c>
    </row>
    <row r="9978" spans="1:1" x14ac:dyDescent="0.25">
      <c r="A9978">
        <v>0</v>
      </c>
    </row>
    <row r="9979" spans="1:1" x14ac:dyDescent="0.25">
      <c r="A9979" s="9">
        <v>28541554.23</v>
      </c>
    </row>
    <row r="9980" spans="1:1" x14ac:dyDescent="0.25">
      <c r="A9980" s="9">
        <v>2601089.1</v>
      </c>
    </row>
    <row r="9981" spans="1:1" x14ac:dyDescent="0.25">
      <c r="A9981" s="9">
        <v>55235.28</v>
      </c>
    </row>
    <row r="9982" spans="1:1" x14ac:dyDescent="0.25">
      <c r="A9982" s="9">
        <v>4493582.16</v>
      </c>
    </row>
    <row r="9983" spans="1:1" x14ac:dyDescent="0.25">
      <c r="A9983" s="9">
        <v>261354.96</v>
      </c>
    </row>
    <row r="9984" spans="1:1" x14ac:dyDescent="0.25">
      <c r="A9984" s="9">
        <v>10804816.82</v>
      </c>
    </row>
    <row r="9985" spans="1:1" x14ac:dyDescent="0.25">
      <c r="A9985" s="9">
        <v>543558.31999999995</v>
      </c>
    </row>
    <row r="9986" spans="1:1" x14ac:dyDescent="0.25">
      <c r="A9986" s="9">
        <v>5223361.4399999902</v>
      </c>
    </row>
    <row r="9987" spans="1:1" x14ac:dyDescent="0.25">
      <c r="A9987">
        <v>797124</v>
      </c>
    </row>
    <row r="9988" spans="1:1" x14ac:dyDescent="0.25">
      <c r="A9988">
        <v>0</v>
      </c>
    </row>
    <row r="9989" spans="1:1" x14ac:dyDescent="0.25">
      <c r="A9989">
        <v>0</v>
      </c>
    </row>
    <row r="9990" spans="1:1" x14ac:dyDescent="0.25">
      <c r="A9990" s="9">
        <v>8715998.9600000009</v>
      </c>
    </row>
    <row r="9991" spans="1:1" x14ac:dyDescent="0.25">
      <c r="A9991" s="9">
        <v>1381062.88</v>
      </c>
    </row>
    <row r="9992" spans="1:1" x14ac:dyDescent="0.25">
      <c r="A9992" s="9">
        <v>1972836.47</v>
      </c>
    </row>
    <row r="9993" spans="1:1" x14ac:dyDescent="0.25">
      <c r="A9993" s="9">
        <v>442801.45</v>
      </c>
    </row>
    <row r="9994" spans="1:1" x14ac:dyDescent="0.25">
      <c r="A9994" s="9">
        <v>2914572.28</v>
      </c>
    </row>
    <row r="9995" spans="1:1" x14ac:dyDescent="0.25">
      <c r="A9995" s="9">
        <v>1719926.58</v>
      </c>
    </row>
    <row r="9996" spans="1:1" x14ac:dyDescent="0.25">
      <c r="A9996" s="9">
        <v>314832.24</v>
      </c>
    </row>
    <row r="9997" spans="1:1" x14ac:dyDescent="0.25">
      <c r="A9997" s="9">
        <v>1684955.66</v>
      </c>
    </row>
    <row r="9998" spans="1:1" x14ac:dyDescent="0.25">
      <c r="A9998" s="9">
        <v>8004583.9299999997</v>
      </c>
    </row>
    <row r="9999" spans="1:1" x14ac:dyDescent="0.25">
      <c r="A9999" s="9">
        <v>3422798.52</v>
      </c>
    </row>
    <row r="10000" spans="1:1" x14ac:dyDescent="0.25">
      <c r="A10000" s="9">
        <v>177629.35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cartera</vt:lpstr>
      <vt:lpstr>preguntas</vt:lpstr>
      <vt:lpstr>clo</vt:lpstr>
      <vt:lpstr>analisis clo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OCEGUERA GOMEZ, ABRAHAM</dc:creator>
  <cp:lastModifiedBy>GOMEZ JIMENEZ, SAMUEL</cp:lastModifiedBy>
  <dcterms:created xsi:type="dcterms:W3CDTF">2026-05-04T21:30:54Z</dcterms:created>
  <dcterms:modified xsi:type="dcterms:W3CDTF">2026-05-11T22:07:21Z</dcterms:modified>
</cp:coreProperties>
</file>