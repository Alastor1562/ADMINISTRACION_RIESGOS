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mue\Downloads\"/>
    </mc:Choice>
  </mc:AlternateContent>
  <xr:revisionPtr revIDLastSave="1301" documentId="13_ncr:1_{7F5D6739-9A23-4869-BA5D-75FA869F8EBA}" xr6:coauthVersionLast="47" xr6:coauthVersionMax="47" xr10:uidLastSave="{23624505-44E0-4853-8208-B4BFF9C99F85}"/>
  <bookViews>
    <workbookView xWindow="-120" yWindow="-120" windowWidth="29040" windowHeight="15720" firstSheet="1" activeTab="10" xr2:uid="{10F43EB3-FFFB-4973-8EA5-511E407D8D44}"/>
  </bookViews>
  <sheets>
    <sheet name="Equipo" sheetId="12" r:id="rId1"/>
    <sheet name="Credito Simple" sheetId="1" r:id="rId2"/>
    <sheet name="Credito Revolvente" sheetId="2" r:id="rId3"/>
    <sheet name="Balance" sheetId="3" r:id="rId4"/>
    <sheet name="LCR" sheetId="8" r:id="rId5"/>
    <sheet name="NSFR" sheetId="5" r:id="rId6"/>
    <sheet name="Gap Liquidez" sheetId="7" r:id="rId7"/>
    <sheet name="Gap Tasas" sheetId="6" r:id="rId8"/>
    <sheet name="VaR Crédito" sheetId="9" r:id="rId9"/>
    <sheet name="VaR HQLA" sheetId="11" r:id="rId10"/>
    <sheet name="Propuestas" sheetId="13" r:id="rId11"/>
  </sheets>
  <definedNames>
    <definedName name="_xlnm._FilterDatabase" localSheetId="9" hidden="1">'VaR HQLA'!$A$1:$B$489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1" i="11" l="1"/>
  <c r="C3" i="11"/>
  <c r="C489" i="11"/>
  <c r="D489"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D3" i="11"/>
  <c r="C17" i="6"/>
  <c r="C4" i="6"/>
  <c r="C10" i="6" s="1"/>
  <c r="C19" i="6" s="1"/>
  <c r="E18" i="5"/>
  <c r="E19" i="5"/>
  <c r="E20" i="5"/>
  <c r="E21" i="5"/>
  <c r="E22" i="5"/>
  <c r="E23" i="5"/>
  <c r="E17" i="5"/>
  <c r="E12" i="5" l="1"/>
  <c r="H10" i="7" l="1"/>
  <c r="H13" i="7" s="1"/>
  <c r="G10" i="7"/>
  <c r="G13" i="7" s="1"/>
  <c r="F10" i="7"/>
  <c r="E10" i="7"/>
  <c r="D10" i="7"/>
  <c r="C10" i="7"/>
  <c r="G9" i="7"/>
  <c r="F9" i="7"/>
  <c r="E9" i="7"/>
  <c r="D9" i="7"/>
  <c r="C9" i="7"/>
  <c r="F8" i="7"/>
  <c r="E8" i="7"/>
  <c r="D8" i="7"/>
  <c r="J8" i="7" s="1"/>
  <c r="C8" i="7"/>
  <c r="I4" i="7"/>
  <c r="I6" i="7" s="1"/>
  <c r="C4" i="7"/>
  <c r="D4" i="7" s="1"/>
  <c r="E4" i="7" s="1"/>
  <c r="E6" i="7" s="1"/>
  <c r="D5" i="7"/>
  <c r="J5" i="7" s="1"/>
  <c r="J9" i="7"/>
  <c r="J11" i="7"/>
  <c r="J12" i="7"/>
  <c r="C5" i="7"/>
  <c r="F13" i="7"/>
  <c r="I13" i="7"/>
  <c r="G7" i="11"/>
  <c r="G3" i="11"/>
  <c r="G8" i="11" s="1"/>
  <c r="D14" i="8"/>
  <c r="D15" i="8"/>
  <c r="E15" i="8" s="1"/>
  <c r="D16" i="8"/>
  <c r="E16" i="8" s="1"/>
  <c r="C20" i="9"/>
  <c r="C19" i="9"/>
  <c r="C5" i="9"/>
  <c r="E14" i="8"/>
  <c r="E6" i="5"/>
  <c r="E7" i="5"/>
  <c r="E8" i="5"/>
  <c r="E11" i="5"/>
  <c r="E9" i="5"/>
  <c r="E10" i="5"/>
  <c r="E5" i="5"/>
  <c r="I14" i="7" l="1"/>
  <c r="E24" i="5"/>
  <c r="C26" i="5" s="1"/>
  <c r="E17" i="8"/>
  <c r="J10" i="7"/>
  <c r="E13" i="7"/>
  <c r="D13" i="7"/>
  <c r="C13" i="7"/>
  <c r="E14" i="7"/>
  <c r="F4" i="7"/>
  <c r="F6" i="7" s="1"/>
  <c r="F14" i="7" s="1"/>
  <c r="C6" i="7"/>
  <c r="C14" i="7" s="1"/>
  <c r="C15" i="7" s="1"/>
  <c r="D6" i="7"/>
  <c r="C21" i="9"/>
  <c r="D454" i="11"/>
  <c r="D390" i="11"/>
  <c r="D326" i="11"/>
  <c r="D262" i="11"/>
  <c r="D198" i="11"/>
  <c r="D134" i="11"/>
  <c r="D70" i="11"/>
  <c r="D6" i="11"/>
  <c r="D312" i="11"/>
  <c r="D436" i="11"/>
  <c r="D428" i="11"/>
  <c r="D372" i="11"/>
  <c r="D364" i="11"/>
  <c r="D308" i="11"/>
  <c r="D300" i="11"/>
  <c r="D474" i="11"/>
  <c r="D466" i="11"/>
  <c r="D410" i="11"/>
  <c r="D402" i="11"/>
  <c r="D346" i="11"/>
  <c r="D338" i="11"/>
  <c r="D282" i="11"/>
  <c r="D274" i="11"/>
  <c r="D218" i="11"/>
  <c r="D210" i="11"/>
  <c r="D154" i="11"/>
  <c r="D146" i="11"/>
  <c r="D280" i="11"/>
  <c r="D268" i="11"/>
  <c r="D228" i="11"/>
  <c r="D212" i="11"/>
  <c r="D204" i="11"/>
  <c r="D164" i="11"/>
  <c r="D148" i="11"/>
  <c r="D140" i="11"/>
  <c r="D108" i="11"/>
  <c r="D100" i="11"/>
  <c r="D92" i="11"/>
  <c r="D84" i="11"/>
  <c r="D76" i="11"/>
  <c r="D44" i="11"/>
  <c r="D36" i="11"/>
  <c r="D28" i="11"/>
  <c r="D90" i="11"/>
  <c r="D483" i="11"/>
  <c r="D451" i="11"/>
  <c r="D443" i="11"/>
  <c r="D435" i="11"/>
  <c r="D427" i="11"/>
  <c r="D419" i="11"/>
  <c r="D387" i="11"/>
  <c r="D379" i="11"/>
  <c r="D371" i="11"/>
  <c r="D363" i="11"/>
  <c r="D355" i="11"/>
  <c r="D323" i="11"/>
  <c r="D315" i="11"/>
  <c r="D307" i="11"/>
  <c r="D299" i="11"/>
  <c r="D291" i="11"/>
  <c r="D259" i="11"/>
  <c r="D251" i="11"/>
  <c r="D243" i="11"/>
  <c r="D235" i="11"/>
  <c r="D227" i="11"/>
  <c r="D195" i="11"/>
  <c r="D187" i="11"/>
  <c r="D179" i="11"/>
  <c r="D171" i="11"/>
  <c r="D163" i="11"/>
  <c r="D131" i="11"/>
  <c r="D123" i="11"/>
  <c r="D115" i="11"/>
  <c r="D107" i="11"/>
  <c r="D99" i="11"/>
  <c r="D67" i="11"/>
  <c r="D59" i="11"/>
  <c r="D51" i="11"/>
  <c r="D43" i="11"/>
  <c r="D35" i="11"/>
  <c r="D448" i="11"/>
  <c r="D384" i="11"/>
  <c r="D320" i="11"/>
  <c r="D256" i="11"/>
  <c r="D465" i="11"/>
  <c r="D457" i="11"/>
  <c r="D449" i="11"/>
  <c r="D441" i="11"/>
  <c r="D433" i="11"/>
  <c r="D401" i="11"/>
  <c r="D393" i="11"/>
  <c r="D385" i="11"/>
  <c r="D377" i="11"/>
  <c r="D369" i="11"/>
  <c r="D337" i="11"/>
  <c r="D329" i="11"/>
  <c r="D321" i="11"/>
  <c r="D313" i="11"/>
  <c r="D305" i="11"/>
  <c r="D273" i="11"/>
  <c r="D265" i="11"/>
  <c r="D257" i="11"/>
  <c r="D249" i="11"/>
  <c r="D241" i="11"/>
  <c r="D209" i="11"/>
  <c r="D201" i="11"/>
  <c r="D193" i="11"/>
  <c r="D185" i="11"/>
  <c r="D177" i="11"/>
  <c r="D145" i="11"/>
  <c r="D137" i="11"/>
  <c r="D129" i="11"/>
  <c r="D121" i="11"/>
  <c r="D113" i="11"/>
  <c r="D81" i="11"/>
  <c r="D73" i="11"/>
  <c r="D65" i="11"/>
  <c r="D57" i="11"/>
  <c r="D49" i="11"/>
  <c r="D17" i="11"/>
  <c r="D9" i="11"/>
  <c r="D432" i="11"/>
  <c r="D368" i="11"/>
  <c r="D304" i="11"/>
  <c r="D360" i="11"/>
  <c r="D296" i="11"/>
  <c r="D48" i="11"/>
  <c r="D487" i="11"/>
  <c r="D479" i="11"/>
  <c r="D447" i="11"/>
  <c r="D439" i="11"/>
  <c r="D431" i="11"/>
  <c r="D423" i="11"/>
  <c r="D415" i="11"/>
  <c r="D383" i="11"/>
  <c r="D375" i="11"/>
  <c r="D367" i="11"/>
  <c r="D359" i="11"/>
  <c r="D351" i="11"/>
  <c r="D319" i="11"/>
  <c r="D311" i="11"/>
  <c r="D303" i="11"/>
  <c r="D295" i="11"/>
  <c r="D287" i="11"/>
  <c r="D255" i="11"/>
  <c r="D247" i="11"/>
  <c r="D239" i="11"/>
  <c r="D231" i="11"/>
  <c r="D223" i="11"/>
  <c r="D191" i="11"/>
  <c r="D183" i="11"/>
  <c r="D175" i="11"/>
  <c r="D167" i="11"/>
  <c r="D159" i="11"/>
  <c r="D127" i="11"/>
  <c r="D119" i="11"/>
  <c r="D111" i="11"/>
  <c r="D103" i="11"/>
  <c r="D95" i="11"/>
  <c r="D63" i="11"/>
  <c r="D55" i="11"/>
  <c r="D47" i="11"/>
  <c r="D39" i="11"/>
  <c r="D31" i="11"/>
  <c r="D480" i="11"/>
  <c r="D416" i="11"/>
  <c r="D352" i="11"/>
  <c r="D288" i="11"/>
  <c r="D40" i="11"/>
  <c r="D10" i="11"/>
  <c r="D18" i="11"/>
  <c r="D26" i="11"/>
  <c r="D34" i="11"/>
  <c r="D42" i="11"/>
  <c r="D74" i="11"/>
  <c r="D82" i="11"/>
  <c r="D8" i="11"/>
  <c r="D56" i="11"/>
  <c r="D72" i="11"/>
  <c r="D104" i="11"/>
  <c r="D112" i="11"/>
  <c r="D120" i="11"/>
  <c r="D128" i="11"/>
  <c r="D136" i="11"/>
  <c r="D168" i="11"/>
  <c r="D176" i="11"/>
  <c r="D184" i="11"/>
  <c r="D192" i="11"/>
  <c r="D200" i="11"/>
  <c r="D232" i="11"/>
  <c r="D240" i="11"/>
  <c r="D32" i="11"/>
  <c r="D485" i="11"/>
  <c r="D477" i="11"/>
  <c r="D445" i="11"/>
  <c r="D437" i="11"/>
  <c r="D429" i="11"/>
  <c r="D421" i="11"/>
  <c r="D413" i="11"/>
  <c r="D381" i="11"/>
  <c r="D373" i="11"/>
  <c r="D365" i="11"/>
  <c r="D357" i="11"/>
  <c r="D349" i="11"/>
  <c r="D317" i="11"/>
  <c r="D309" i="11"/>
  <c r="D301" i="11"/>
  <c r="D293" i="11"/>
  <c r="D285" i="11"/>
  <c r="D253" i="11"/>
  <c r="D245" i="11"/>
  <c r="D237" i="11"/>
  <c r="D229" i="11"/>
  <c r="D221" i="11"/>
  <c r="D189" i="11"/>
  <c r="D181" i="11"/>
  <c r="D173" i="11"/>
  <c r="D165" i="11"/>
  <c r="D157" i="11"/>
  <c r="D125" i="11"/>
  <c r="D117" i="11"/>
  <c r="D109" i="11"/>
  <c r="D101" i="11"/>
  <c r="D93" i="11"/>
  <c r="D85" i="11"/>
  <c r="D61" i="11"/>
  <c r="D53" i="11"/>
  <c r="D45" i="11"/>
  <c r="D37" i="11"/>
  <c r="D29" i="11"/>
  <c r="D21" i="11"/>
  <c r="D464" i="11"/>
  <c r="D400" i="11"/>
  <c r="D336" i="11"/>
  <c r="D272" i="11"/>
  <c r="D24" i="11"/>
  <c r="D20" i="11"/>
  <c r="D456" i="11"/>
  <c r="D392" i="11"/>
  <c r="D328" i="11"/>
  <c r="D264" i="11"/>
  <c r="D16" i="11"/>
  <c r="J13" i="7" l="1"/>
  <c r="G4" i="7"/>
  <c r="G6" i="7" s="1"/>
  <c r="G14" i="7" s="1"/>
  <c r="D14" i="7"/>
  <c r="D62" i="11"/>
  <c r="D126" i="11"/>
  <c r="D190" i="11"/>
  <c r="D254" i="11"/>
  <c r="D318" i="11"/>
  <c r="D382" i="11"/>
  <c r="D446" i="11"/>
  <c r="D156" i="11"/>
  <c r="D220" i="11"/>
  <c r="D98" i="11"/>
  <c r="D162" i="11"/>
  <c r="D226" i="11"/>
  <c r="D290" i="11"/>
  <c r="D354" i="11"/>
  <c r="D418" i="11"/>
  <c r="D482" i="11"/>
  <c r="D316" i="11"/>
  <c r="D380" i="11"/>
  <c r="D444" i="11"/>
  <c r="D14" i="11"/>
  <c r="D78" i="11"/>
  <c r="D142" i="11"/>
  <c r="D206" i="11"/>
  <c r="D270" i="11"/>
  <c r="D334" i="11"/>
  <c r="D398" i="11"/>
  <c r="D462" i="11"/>
  <c r="D106" i="11"/>
  <c r="D170" i="11"/>
  <c r="D234" i="11"/>
  <c r="D298" i="11"/>
  <c r="D362" i="11"/>
  <c r="D426" i="11"/>
  <c r="D248" i="11"/>
  <c r="D324" i="11"/>
  <c r="D388" i="11"/>
  <c r="D452" i="11"/>
  <c r="D22" i="11"/>
  <c r="D86" i="11"/>
  <c r="D150" i="11"/>
  <c r="D214" i="11"/>
  <c r="D278" i="11"/>
  <c r="D342" i="11"/>
  <c r="D406" i="11"/>
  <c r="D470" i="11"/>
  <c r="D172" i="11"/>
  <c r="D236" i="11"/>
  <c r="D114" i="11"/>
  <c r="D178" i="11"/>
  <c r="D242" i="11"/>
  <c r="D306" i="11"/>
  <c r="D370" i="11"/>
  <c r="D434" i="11"/>
  <c r="D376" i="11"/>
  <c r="D332" i="11"/>
  <c r="D396" i="11"/>
  <c r="D460" i="11"/>
  <c r="D30" i="11"/>
  <c r="D94" i="11"/>
  <c r="D158" i="11"/>
  <c r="D222" i="11"/>
  <c r="D286" i="11"/>
  <c r="D350" i="11"/>
  <c r="D414" i="11"/>
  <c r="D478" i="11"/>
  <c r="D4" i="11"/>
  <c r="D5" i="11"/>
  <c r="D69" i="11"/>
  <c r="D133" i="11"/>
  <c r="D197" i="11"/>
  <c r="D261" i="11"/>
  <c r="D325" i="11"/>
  <c r="D389" i="11"/>
  <c r="D453" i="11"/>
  <c r="D224" i="11"/>
  <c r="D160" i="11"/>
  <c r="D96" i="11"/>
  <c r="D66" i="11"/>
  <c r="D344" i="11"/>
  <c r="D7" i="11"/>
  <c r="D71" i="11"/>
  <c r="D135" i="11"/>
  <c r="D199" i="11"/>
  <c r="D263" i="11"/>
  <c r="D327" i="11"/>
  <c r="D391" i="11"/>
  <c r="D455" i="11"/>
  <c r="D424" i="11"/>
  <c r="D25" i="11"/>
  <c r="D89" i="11"/>
  <c r="D153" i="11"/>
  <c r="D217" i="11"/>
  <c r="D281" i="11"/>
  <c r="D345" i="11"/>
  <c r="D409" i="11"/>
  <c r="D473" i="11"/>
  <c r="D11" i="11"/>
  <c r="D75" i="11"/>
  <c r="D139" i="11"/>
  <c r="D203" i="11"/>
  <c r="D267" i="11"/>
  <c r="D331" i="11"/>
  <c r="D395" i="11"/>
  <c r="D459" i="11"/>
  <c r="D52" i="11"/>
  <c r="D116" i="11"/>
  <c r="D180" i="11"/>
  <c r="D244" i="11"/>
  <c r="D122" i="11"/>
  <c r="D186" i="11"/>
  <c r="D250" i="11"/>
  <c r="D314" i="11"/>
  <c r="D378" i="11"/>
  <c r="D442" i="11"/>
  <c r="D276" i="11"/>
  <c r="D340" i="11"/>
  <c r="D404" i="11"/>
  <c r="D468" i="11"/>
  <c r="D38" i="11"/>
  <c r="D102" i="11"/>
  <c r="D166" i="11"/>
  <c r="D230" i="11"/>
  <c r="D294" i="11"/>
  <c r="D358" i="11"/>
  <c r="D422" i="11"/>
  <c r="D486" i="11"/>
  <c r="D12" i="11"/>
  <c r="D13" i="11"/>
  <c r="D77" i="11"/>
  <c r="D141" i="11"/>
  <c r="D205" i="11"/>
  <c r="D269" i="11"/>
  <c r="D333" i="11"/>
  <c r="D397" i="11"/>
  <c r="D461" i="11"/>
  <c r="D216" i="11"/>
  <c r="D152" i="11"/>
  <c r="D88" i="11"/>
  <c r="D58" i="11"/>
  <c r="D408" i="11"/>
  <c r="D15" i="11"/>
  <c r="D79" i="11"/>
  <c r="D143" i="11"/>
  <c r="D207" i="11"/>
  <c r="D271" i="11"/>
  <c r="D335" i="11"/>
  <c r="D399" i="11"/>
  <c r="D463" i="11"/>
  <c r="D488" i="11"/>
  <c r="D33" i="11"/>
  <c r="D97" i="11"/>
  <c r="D161" i="11"/>
  <c r="D225" i="11"/>
  <c r="D289" i="11"/>
  <c r="D353" i="11"/>
  <c r="D417" i="11"/>
  <c r="D481" i="11"/>
  <c r="D19" i="11"/>
  <c r="D83" i="11"/>
  <c r="D147" i="11"/>
  <c r="D211" i="11"/>
  <c r="D275" i="11"/>
  <c r="D339" i="11"/>
  <c r="D403" i="11"/>
  <c r="D467" i="11"/>
  <c r="D60" i="11"/>
  <c r="D124" i="11"/>
  <c r="D188" i="11"/>
  <c r="D252" i="11"/>
  <c r="D130" i="11"/>
  <c r="D194" i="11"/>
  <c r="D258" i="11"/>
  <c r="D322" i="11"/>
  <c r="D386" i="11"/>
  <c r="D450" i="11"/>
  <c r="D284" i="11"/>
  <c r="D348" i="11"/>
  <c r="D412" i="11"/>
  <c r="D476" i="11"/>
  <c r="D46" i="11"/>
  <c r="D110" i="11"/>
  <c r="D174" i="11"/>
  <c r="D238" i="11"/>
  <c r="D302" i="11"/>
  <c r="D366" i="11"/>
  <c r="D430" i="11"/>
  <c r="D440" i="11"/>
  <c r="D149" i="11"/>
  <c r="D213" i="11"/>
  <c r="D277" i="11"/>
  <c r="D341" i="11"/>
  <c r="D405" i="11"/>
  <c r="D469" i="11"/>
  <c r="D208" i="11"/>
  <c r="D144" i="11"/>
  <c r="D80" i="11"/>
  <c r="D50" i="11"/>
  <c r="D472" i="11"/>
  <c r="D23" i="11"/>
  <c r="D87" i="11"/>
  <c r="D151" i="11"/>
  <c r="D215" i="11"/>
  <c r="D279" i="11"/>
  <c r="D343" i="11"/>
  <c r="D407" i="11"/>
  <c r="D471" i="11"/>
  <c r="D64" i="11"/>
  <c r="D41" i="11"/>
  <c r="D105" i="11"/>
  <c r="D169" i="11"/>
  <c r="D233" i="11"/>
  <c r="D297" i="11"/>
  <c r="D361" i="11"/>
  <c r="D425" i="11"/>
  <c r="D27" i="11"/>
  <c r="D91" i="11"/>
  <c r="D155" i="11"/>
  <c r="D219" i="11"/>
  <c r="D283" i="11"/>
  <c r="D347" i="11"/>
  <c r="D411" i="11"/>
  <c r="D475" i="11"/>
  <c r="D68" i="11"/>
  <c r="D132" i="11"/>
  <c r="D196" i="11"/>
  <c r="D260" i="11"/>
  <c r="D138" i="11"/>
  <c r="D202" i="11"/>
  <c r="D266" i="11"/>
  <c r="D330" i="11"/>
  <c r="D394" i="11"/>
  <c r="D458" i="11"/>
  <c r="D292" i="11"/>
  <c r="D356" i="11"/>
  <c r="D420" i="11"/>
  <c r="D484" i="11"/>
  <c r="D54" i="11"/>
  <c r="D118" i="11"/>
  <c r="D182" i="11"/>
  <c r="D246" i="11"/>
  <c r="D310" i="11"/>
  <c r="D374" i="11"/>
  <c r="D438" i="11"/>
  <c r="G10" i="11" l="1"/>
  <c r="H4" i="7"/>
  <c r="H6" i="7" s="1"/>
  <c r="H14" i="7" s="1"/>
  <c r="J14" i="7" s="1"/>
  <c r="D15" i="7"/>
  <c r="E15" i="7" s="1"/>
  <c r="F15" i="7" s="1"/>
  <c r="G15" i="7" s="1"/>
  <c r="E8" i="8"/>
  <c r="E7" i="8"/>
  <c r="E6" i="8"/>
  <c r="E5" i="8"/>
  <c r="H15" i="7" l="1"/>
  <c r="I15" i="7" s="1"/>
  <c r="J6" i="7"/>
  <c r="J4" i="7"/>
  <c r="E9" i="8"/>
  <c r="C19" i="8" l="1"/>
  <c r="C28" i="3"/>
  <c r="C27" i="3"/>
  <c r="C24" i="3"/>
  <c r="C20" i="3"/>
  <c r="C16" i="3"/>
  <c r="C13" i="3"/>
  <c r="C8" i="3"/>
  <c r="C10" i="3"/>
  <c r="C9" i="3"/>
</calcChain>
</file>

<file path=xl/sharedStrings.xml><?xml version="1.0" encoding="utf-8"?>
<sst xmlns="http://schemas.openxmlformats.org/spreadsheetml/2006/main" count="719" uniqueCount="649">
  <si>
    <t xml:space="preserve">Administración de Riesgos </t>
  </si>
  <si>
    <t>Proyecto Final</t>
  </si>
  <si>
    <t>Equipo:</t>
  </si>
  <si>
    <t>Isabela Torres- Septien Uribe</t>
  </si>
  <si>
    <t>Samuel Gomez Jimenez</t>
  </si>
  <si>
    <t xml:space="preserve">Regina Espinoza Preciado </t>
  </si>
  <si>
    <t>Ana Paula Moreno Haro</t>
  </si>
  <si>
    <t>Prof:</t>
  </si>
  <si>
    <t>Abrham Oceguera Gomez</t>
  </si>
  <si>
    <t>Num préstamo</t>
  </si>
  <si>
    <t>Saldo insoluto (en millones de pesos</t>
  </si>
  <si>
    <t>Mensualidades (remaining) para el vencimiento</t>
  </si>
  <si>
    <t>Tasa de interés</t>
  </si>
  <si>
    <t>Prob. Impago</t>
  </si>
  <si>
    <t xml:space="preserve">Severidad </t>
  </si>
  <si>
    <t>b1</t>
  </si>
  <si>
    <t>b2</t>
  </si>
  <si>
    <t>b3</t>
  </si>
  <si>
    <t>TIIEF + 8%</t>
  </si>
  <si>
    <t>TIIEF + 9%</t>
  </si>
  <si>
    <t>TIIEF + 10%</t>
  </si>
  <si>
    <t>TIIEF+6%</t>
  </si>
  <si>
    <t>TIIEF+9%</t>
  </si>
  <si>
    <t>TIIEF+10%</t>
  </si>
  <si>
    <t>TIIEF+8%</t>
  </si>
  <si>
    <t>TIIEF+7%</t>
  </si>
  <si>
    <t>TIIEF+12%</t>
  </si>
  <si>
    <t>Límite de Crédito (millones de pesos)</t>
  </si>
  <si>
    <t>Monto Dispuesto (millones de pesos)</t>
  </si>
  <si>
    <t>sobretasa</t>
  </si>
  <si>
    <t>es lo que en total se le suma a la TIIEF</t>
  </si>
  <si>
    <t>400 basis</t>
  </si>
  <si>
    <t>500 basis</t>
  </si>
  <si>
    <t>cifras en millones de pesos</t>
  </si>
  <si>
    <t>Efectivo y reservas en el banco central</t>
  </si>
  <si>
    <t>-</t>
  </si>
  <si>
    <t>HQLA (Activos líquidos de alta calidad)</t>
  </si>
  <si>
    <t>Reportos 1 día — colateral gubernamental (Nivel 1 para HQLA)</t>
  </si>
  <si>
    <t>Reportos 7 días — colateral bancario (Nivel 2A para HQLA)</t>
  </si>
  <si>
    <t>Bonos M con vencimiento en 2029 (Nivel 1 para HQLA)</t>
  </si>
  <si>
    <t>Cartera de crédito</t>
  </si>
  <si>
    <t>Crédito simple amortizable a PYMEs y PFAEs (64 créditos)</t>
  </si>
  <si>
    <t>Crédito revolvente — monto dispuesto (86 créditos)</t>
  </si>
  <si>
    <t>Activos Fijos</t>
  </si>
  <si>
    <t>Otros activos</t>
  </si>
  <si>
    <t>TOTAL ACTIVO</t>
  </si>
  <si>
    <t>Depósitos a la vista</t>
  </si>
  <si>
    <t>Depósitos a plazo</t>
  </si>
  <si>
    <t>Préstamos bancarios</t>
  </si>
  <si>
    <t>Banco 1 — TIIEF+3.5%, amortizable, vence en 12 meses</t>
  </si>
  <si>
    <t>Banco 2 — TIIEF+4.0%, amortizable, vence en 18 meses</t>
  </si>
  <si>
    <t>Banco 3 — TIIEF+2.75%, amortizable, vence en 36 meses</t>
  </si>
  <si>
    <t>Préstamos de inversionistas institucionales</t>
  </si>
  <si>
    <t>Fondo private credit 1 — 17% fija, bullet 6 meses</t>
  </si>
  <si>
    <t>Fondo private credit 2 — 19% fija, bullet 24 meses</t>
  </si>
  <si>
    <t>Certificados bursátiles (cebures) emitidos</t>
  </si>
  <si>
    <t>TOTAL PASIVO</t>
  </si>
  <si>
    <t>Capital social (aportaciones de accionistas)</t>
  </si>
  <si>
    <t>Utilidades retenidas</t>
  </si>
  <si>
    <t>TOTAL CAPITAL</t>
  </si>
  <si>
    <t>TOTAL PASIVO Y CAPITAL</t>
  </si>
  <si>
    <t>HQLA</t>
  </si>
  <si>
    <t>Descripción</t>
  </si>
  <si>
    <t>Factor</t>
  </si>
  <si>
    <t>Monto</t>
  </si>
  <si>
    <t>Monto Factorizado</t>
  </si>
  <si>
    <t>Nivel 1 para HQLA</t>
  </si>
  <si>
    <t>Nivel 2B para HQLA</t>
  </si>
  <si>
    <t>TOTAL</t>
  </si>
  <si>
    <t>SALIDAS NETAS DE EFECTIVO</t>
  </si>
  <si>
    <t>Banco 1</t>
  </si>
  <si>
    <t>Banco 2</t>
  </si>
  <si>
    <t>Banco 3</t>
  </si>
  <si>
    <t>Resultado LCR</t>
  </si>
  <si>
    <t xml:space="preserve">Por encima del minimo regulatorio </t>
  </si>
  <si>
    <t>ASF</t>
  </si>
  <si>
    <t xml:space="preserve">Capital Social </t>
  </si>
  <si>
    <t xml:space="preserve">Utilidadesd retenidas </t>
  </si>
  <si>
    <t>Fondo institucional 1 — vence en 6m (residual &lt; 1 año, financiero)</t>
  </si>
  <si>
    <t>Préstamos institucionales — residual &gt; 1 año (Fondo 2: 200, plazo 24m)</t>
  </si>
  <si>
    <t>RSF</t>
  </si>
  <si>
    <t>HQLA nivel 1</t>
  </si>
  <si>
    <t xml:space="preserve">Bonos M </t>
  </si>
  <si>
    <t>HQLA nivel 2A</t>
  </si>
  <si>
    <t>Créditos PYME</t>
  </si>
  <si>
    <t>Créditos revolventes</t>
  </si>
  <si>
    <t>Activos fijos/fisicos</t>
  </si>
  <si>
    <t>Resultado NSFR</t>
  </si>
  <si>
    <t>≤1m</t>
  </si>
  <si>
    <t>1-3m</t>
  </si>
  <si>
    <t>3-6m</t>
  </si>
  <si>
    <t>6-12m</t>
  </si>
  <si>
    <t>1-2a</t>
  </si>
  <si>
    <t>2-3a</t>
  </si>
  <si>
    <t>&gt;3a</t>
  </si>
  <si>
    <t>INFLOWS (Cobros)</t>
  </si>
  <si>
    <t>Cartera simple amortizable (64 créditos)</t>
  </si>
  <si>
    <t>TOTAL INFLOWS</t>
  </si>
  <si>
    <t>OUTFLOWS (Pagos de fondeo)</t>
  </si>
  <si>
    <t>Banco 1 — TIIEF+3.5%</t>
  </si>
  <si>
    <t>Banco 2 — TIIEF+4.0%</t>
  </si>
  <si>
    <t>Banco 3 — TIIEF+2.75%</t>
  </si>
  <si>
    <t>Fondo private 1 — 17% fija</t>
  </si>
  <si>
    <t>Fondo private 2 — 19% fija</t>
  </si>
  <si>
    <t>TOTAL OUTFLOWS</t>
  </si>
  <si>
    <t>GAP (Inflows − Outflows)</t>
  </si>
  <si>
    <t>GAP ACUMULADO</t>
  </si>
  <si>
    <t>Interpretación</t>
  </si>
  <si>
    <t>El gap de liquidez de la sofom muestra holgura en el corto plazo (≤1m y 1-3m positivos por $117M y $244M, impulsados por el revolvente) y en el largo plazo (&gt;2 años positivos por la maduración de la cartera amortizable), pero presenta descalces importantes en las bandas intermedias: -$107M en 3-6m por el bullet del fondo private 1 ($100M al 17%), -$13M en 6-12m, y el peor punto en 1-2a con -$216M por el bullet del fondo private 2 ($200M al 19%) más amortizaciones del Banco 2. El GAP acumulado se mantiene positivo en todas las bandas pero toca un mínimo muy delgado de $25M en 1-2a, lo que evidencia que el problema no es de monto sino de calendario: los cobros llegan tarde y los pagos grandes (los dos bullets de private credit) llegan temprano, generando un riesgo de refinanciamiento concentrado que conviene mitigar con la emisión escalonada del cebur o líneas comprometidas de respaldo.</t>
  </si>
  <si>
    <t>Tasa Variable
(TIIEF +)</t>
  </si>
  <si>
    <t>ACTIVOS SENSIBLES A TASA</t>
  </si>
  <si>
    <t>Tiene exposiión a alza o baja de tasas</t>
  </si>
  <si>
    <t>Crédito simple — Tasa variable (TIIEF+)</t>
  </si>
  <si>
    <t>La sofom presenta un gap de tasas positivo de +517 mdp (activos sensibles a TIIEF de 727 mdp contra pasivos sensibles de solo 210 mdp), lo que significa que tiene significativamente más activos que pasivos re-preciables ante movimientos de la tasa de referencia. Esto lo coloca como ASSET SENSITIVE, posición que la expone directamente a una baja de tasas.</t>
  </si>
  <si>
    <t>Crédito simple — Tasa fija</t>
  </si>
  <si>
    <t>Crédito revolvente — Monto dispuesto (todo TIIEF+)</t>
  </si>
  <si>
    <t>Reportos 1 día — col. gubernamental (Nivel 1)</t>
  </si>
  <si>
    <t>Reportos 7 días — col. bancario (Nivel 2A)</t>
  </si>
  <si>
    <t>Bonos M vencimiento 2029 (Nivel 1)</t>
  </si>
  <si>
    <t>Mantenemos la estructura actual?</t>
  </si>
  <si>
    <t>TOTAL ACTIVOS</t>
  </si>
  <si>
    <t>Mantener la estructura actual no es recomendable. Si bien el gap positivo resulta favorable en un entorno de alzas de tasas, el ciclo actual apunta en sentido contrario ante la anticipación del ciclo de recortes de Banxico, y la concentración de activos a tasa variable sin una cobertura equivalente en el pasivo genera una asimetría que podría erosionar el margen financiero.</t>
  </si>
  <si>
    <t>PASIVOS SENSIBLES A TASA</t>
  </si>
  <si>
    <t>Como la modificarias</t>
  </si>
  <si>
    <t>Se recomienda una estrategia de cobertura en dos frentes. Primero, contratar un IRS receive-fixed / pay-floating (SWAP RECEIVER) sobre un nocional equivalente o parcial al GAP de tasas a un plazo de 2–3 años, convirtiendo sintéticamente parte de la cartera variable en flujos fijos sin modificar los contratos con los clientes. Segundo, aprovechar la emisión de cebures planeada (1,000 mdp) para emitir 500 mdp a tasa fija y 500 mdp a tasa variable, lo que incrementa el RSL y cierra parte del gap de forma estructural.</t>
  </si>
  <si>
    <t>TOTAL PASIVOS</t>
  </si>
  <si>
    <t>GAP (Activos − Pasivos)</t>
  </si>
  <si>
    <t>GAP de Tasas</t>
  </si>
  <si>
    <t>Expected Shortfall</t>
  </si>
  <si>
    <t>VaR de crédito</t>
  </si>
  <si>
    <t>Expected Loss</t>
  </si>
  <si>
    <t>UCL</t>
  </si>
  <si>
    <t>Capital real aportado</t>
  </si>
  <si>
    <t>utilidades reinvertidas</t>
  </si>
  <si>
    <t>Capital total</t>
  </si>
  <si>
    <t>Excedente</t>
  </si>
  <si>
    <t>Cumple la regulación</t>
  </si>
  <si>
    <t>Fecha de operación</t>
  </si>
  <si>
    <t>31 May 2029</t>
  </si>
  <si>
    <t>Delta PB</t>
  </si>
  <si>
    <t>P&amp;L</t>
  </si>
  <si>
    <t>31/05/2024</t>
  </si>
  <si>
    <t>Monto Invertido</t>
  </si>
  <si>
    <t>03/06/2024</t>
  </si>
  <si>
    <t>Cantidad de Títulos</t>
  </si>
  <si>
    <t>04/06/2024</t>
  </si>
  <si>
    <t>Posición</t>
  </si>
  <si>
    <t>LONG</t>
  </si>
  <si>
    <t>05/06/2024</t>
  </si>
  <si>
    <t>Precio</t>
  </si>
  <si>
    <t>06/06/2024</t>
  </si>
  <si>
    <t>Precio con delta 1PB</t>
  </si>
  <si>
    <t>07/06/2024</t>
  </si>
  <si>
    <t>PV01 x Bono</t>
  </si>
  <si>
    <t>10/06/2024</t>
  </si>
  <si>
    <t>PV01 x Posición</t>
  </si>
  <si>
    <t>11/06/2024</t>
  </si>
  <si>
    <t>12/06/2024</t>
  </si>
  <si>
    <t>VaR - 99%</t>
  </si>
  <si>
    <t>13/06/2024</t>
  </si>
  <si>
    <t>CVaR - 99%</t>
  </si>
  <si>
    <t>14/06/2024</t>
  </si>
  <si>
    <t>17/06/2024</t>
  </si>
  <si>
    <t>https://www.banxico.org.mx/valores/PresentaDetallePosicionGub.faces?BMXC_instrumento=2&amp;BMXC_lang=es_MX</t>
  </si>
  <si>
    <t>18/06/2024</t>
  </si>
  <si>
    <t>https://www.banxico.org.mx/mercsecd/index.html?tabla=N&amp;locale=es_ES</t>
  </si>
  <si>
    <t>19/06/2024</t>
  </si>
  <si>
    <t>20/06/2024</t>
  </si>
  <si>
    <t>Justificación del tratamiento de los reportos en el cálculo de VaR de mercado</t>
  </si>
  <si>
    <t>21/06/2024</t>
  </si>
  <si>
    <t>Tratamiento de los reportos en el VaR de mercado. De los $140 millones en HQLA, $100 millones están invertidos en reportos con colateral a plazos de 1 día (fondeo gubernamental) y 7 días (fondeo bancario), los cuales se consideran exentos de riesgo de mercado material para efectos de este cálculo. La duración modificada de estas posiciones es prácticamente nula (0.0028 y 0.0194 años, respectivamente) y su PV01 combinado representaría una sensibilidad inmaterial incluso ante movimientos extremos de la curva de fondeo, que además es poco volátil al estar anclada a la tasa objetivo de Banxico. Adicionalmente, las operaciones están respaldadas por colateral con haircut, por lo que el riesgo asociado corresponde a contraparte y no a mercado direccional. En consecuencia, el cálculo del VaR y Expected Shortfall de mercado del portafolio HQLA se concentra exclusivamente en los $40 millones del bono M 2029, donde reside la totalidad del riesgo de tasas materialmente medible.</t>
  </si>
  <si>
    <t>24/06/2024</t>
  </si>
  <si>
    <t>25/06/2024</t>
  </si>
  <si>
    <t>26/06/2024</t>
  </si>
  <si>
    <t>27/06/2024</t>
  </si>
  <si>
    <t>28/06/2024</t>
  </si>
  <si>
    <t>01/07/2024</t>
  </si>
  <si>
    <t>02/07/2024</t>
  </si>
  <si>
    <t>03/07/2024</t>
  </si>
  <si>
    <t>04/07/2024</t>
  </si>
  <si>
    <t>05/07/2024</t>
  </si>
  <si>
    <t>08/07/2024</t>
  </si>
  <si>
    <t>09/07/2024</t>
  </si>
  <si>
    <t>10/07/2024</t>
  </si>
  <si>
    <t>11/07/2024</t>
  </si>
  <si>
    <t>12/07/2024</t>
  </si>
  <si>
    <t>15/07/2024</t>
  </si>
  <si>
    <t>16/07/2024</t>
  </si>
  <si>
    <t>17/07/2024</t>
  </si>
  <si>
    <t>18/07/2024</t>
  </si>
  <si>
    <t>19/07/2024</t>
  </si>
  <si>
    <t>22/07/2024</t>
  </si>
  <si>
    <t>23/07/2024</t>
  </si>
  <si>
    <t>24/07/2024</t>
  </si>
  <si>
    <t>25/07/2024</t>
  </si>
  <si>
    <t>26/07/2024</t>
  </si>
  <si>
    <t>29/07/2024</t>
  </si>
  <si>
    <t>30/07/2024</t>
  </si>
  <si>
    <t>31/07/2024</t>
  </si>
  <si>
    <t>01/08/2024</t>
  </si>
  <si>
    <t>02/08/2024</t>
  </si>
  <si>
    <t>05/08/2024</t>
  </si>
  <si>
    <t>06/08/2024</t>
  </si>
  <si>
    <t>07/08/2024</t>
  </si>
  <si>
    <t>08/08/2024</t>
  </si>
  <si>
    <t>09/08/2024</t>
  </si>
  <si>
    <t>12/08/2024</t>
  </si>
  <si>
    <t>13/08/2024</t>
  </si>
  <si>
    <t>14/08/2024</t>
  </si>
  <si>
    <t>15/08/2024</t>
  </si>
  <si>
    <t>16/08/2024</t>
  </si>
  <si>
    <t>19/08/2024</t>
  </si>
  <si>
    <t>20/08/2024</t>
  </si>
  <si>
    <t>21/08/2024</t>
  </si>
  <si>
    <t>22/08/2024</t>
  </si>
  <si>
    <t>23/08/2024</t>
  </si>
  <si>
    <t>26/08/2024</t>
  </si>
  <si>
    <t>27/08/2024</t>
  </si>
  <si>
    <t>28/08/2024</t>
  </si>
  <si>
    <t>29/08/2024</t>
  </si>
  <si>
    <t>30/08/2024</t>
  </si>
  <si>
    <t>02/09/2024</t>
  </si>
  <si>
    <t>03/09/2024</t>
  </si>
  <si>
    <t>04/09/2024</t>
  </si>
  <si>
    <t>05/09/2024</t>
  </si>
  <si>
    <t>06/09/2024</t>
  </si>
  <si>
    <t>09/09/2024</t>
  </si>
  <si>
    <t>10/09/2024</t>
  </si>
  <si>
    <t>11/09/2024</t>
  </si>
  <si>
    <t>12/09/2024</t>
  </si>
  <si>
    <t>13/09/2024</t>
  </si>
  <si>
    <t>17/09/2024</t>
  </si>
  <si>
    <t>18/09/2024</t>
  </si>
  <si>
    <t>19/09/2024</t>
  </si>
  <si>
    <t>20/09/2024</t>
  </si>
  <si>
    <t>23/09/2024</t>
  </si>
  <si>
    <t>24/09/2024</t>
  </si>
  <si>
    <t>25/09/2024</t>
  </si>
  <si>
    <t>26/09/2024</t>
  </si>
  <si>
    <t>27/09/2024</t>
  </si>
  <si>
    <t>30/09/2024</t>
  </si>
  <si>
    <t>02/10/2024</t>
  </si>
  <si>
    <t>03/10/2024</t>
  </si>
  <si>
    <t>04/10/2024</t>
  </si>
  <si>
    <t>07/10/2024</t>
  </si>
  <si>
    <t>08/10/2024</t>
  </si>
  <si>
    <t>09/10/2024</t>
  </si>
  <si>
    <t>10/10/2024</t>
  </si>
  <si>
    <t>11/10/2024</t>
  </si>
  <si>
    <t>14/10/2024</t>
  </si>
  <si>
    <t>15/10/2024</t>
  </si>
  <si>
    <t>16/10/2024</t>
  </si>
  <si>
    <t>17/10/2024</t>
  </si>
  <si>
    <t>18/10/2024</t>
  </si>
  <si>
    <t>21/10/2024</t>
  </si>
  <si>
    <t>22/10/2024</t>
  </si>
  <si>
    <t>23/10/2024</t>
  </si>
  <si>
    <t>24/10/2024</t>
  </si>
  <si>
    <t>25/10/2024</t>
  </si>
  <si>
    <t>28/10/2024</t>
  </si>
  <si>
    <t>29/10/2024</t>
  </si>
  <si>
    <t>30/10/2024</t>
  </si>
  <si>
    <t>31/10/2024</t>
  </si>
  <si>
    <t>01/11/2024</t>
  </si>
  <si>
    <t>04/11/2024</t>
  </si>
  <si>
    <t>05/11/2024</t>
  </si>
  <si>
    <t>06/11/2024</t>
  </si>
  <si>
    <t>07/11/2024</t>
  </si>
  <si>
    <t>08/11/2024</t>
  </si>
  <si>
    <t>11/11/2024</t>
  </si>
  <si>
    <t>12/11/2024</t>
  </si>
  <si>
    <t>13/11/2024</t>
  </si>
  <si>
    <t>14/11/2024</t>
  </si>
  <si>
    <t>15/11/2024</t>
  </si>
  <si>
    <t>19/11/2024</t>
  </si>
  <si>
    <t>20/11/2024</t>
  </si>
  <si>
    <t>21/11/2024</t>
  </si>
  <si>
    <t>22/11/2024</t>
  </si>
  <si>
    <t>25/11/2024</t>
  </si>
  <si>
    <t>26/11/2024</t>
  </si>
  <si>
    <t>27/11/2024</t>
  </si>
  <si>
    <t>28/11/2024</t>
  </si>
  <si>
    <t>29/11/2024</t>
  </si>
  <si>
    <t>02/12/2024</t>
  </si>
  <si>
    <t>03/12/2024</t>
  </si>
  <si>
    <t>04/12/2024</t>
  </si>
  <si>
    <t>05/12/2024</t>
  </si>
  <si>
    <t>06/12/2024</t>
  </si>
  <si>
    <t>09/12/2024</t>
  </si>
  <si>
    <t>10/12/2024</t>
  </si>
  <si>
    <t>11/12/2024</t>
  </si>
  <si>
    <t>13/12/2024</t>
  </si>
  <si>
    <t>16/12/2024</t>
  </si>
  <si>
    <t>17/12/2024</t>
  </si>
  <si>
    <t>18/12/2024</t>
  </si>
  <si>
    <t>19/12/2024</t>
  </si>
  <si>
    <t>20/12/2024</t>
  </si>
  <si>
    <t>23/12/2024</t>
  </si>
  <si>
    <t>24/12/2024</t>
  </si>
  <si>
    <t>26/12/2024</t>
  </si>
  <si>
    <t>27/12/2024</t>
  </si>
  <si>
    <t>30/12/2024</t>
  </si>
  <si>
    <t>31/12/2024</t>
  </si>
  <si>
    <t>02/01/2025</t>
  </si>
  <si>
    <t>03/01/2025</t>
  </si>
  <si>
    <t>06/01/2025</t>
  </si>
  <si>
    <t>07/01/2025</t>
  </si>
  <si>
    <t>08/01/2025</t>
  </si>
  <si>
    <t>09/01/2025</t>
  </si>
  <si>
    <t>10/01/2025</t>
  </si>
  <si>
    <t>13/01/2025</t>
  </si>
  <si>
    <t>14/01/2025</t>
  </si>
  <si>
    <t>15/01/2025</t>
  </si>
  <si>
    <t>16/01/2025</t>
  </si>
  <si>
    <t>17/01/2025</t>
  </si>
  <si>
    <t>20/01/2025</t>
  </si>
  <si>
    <t>21/01/2025</t>
  </si>
  <si>
    <t>22/01/2025</t>
  </si>
  <si>
    <t>23/01/2025</t>
  </si>
  <si>
    <t>24/01/2025</t>
  </si>
  <si>
    <t>27/01/2025</t>
  </si>
  <si>
    <t>28/01/2025</t>
  </si>
  <si>
    <t>29/01/2025</t>
  </si>
  <si>
    <t>30/01/2025</t>
  </si>
  <si>
    <t>31/01/2025</t>
  </si>
  <si>
    <t>04/02/2025</t>
  </si>
  <si>
    <t>05/02/2025</t>
  </si>
  <si>
    <t>06/02/2025</t>
  </si>
  <si>
    <t>07/02/2025</t>
  </si>
  <si>
    <t>10/02/2025</t>
  </si>
  <si>
    <t>11/02/2025</t>
  </si>
  <si>
    <t>12/02/2025</t>
  </si>
  <si>
    <t>13/02/2025</t>
  </si>
  <si>
    <t>14/02/2025</t>
  </si>
  <si>
    <t>17/02/2025</t>
  </si>
  <si>
    <t>18/02/2025</t>
  </si>
  <si>
    <t>19/02/2025</t>
  </si>
  <si>
    <t>20/02/2025</t>
  </si>
  <si>
    <t>21/02/2025</t>
  </si>
  <si>
    <t>24/02/2025</t>
  </si>
  <si>
    <t>25/02/2025</t>
  </si>
  <si>
    <t>26/02/2025</t>
  </si>
  <si>
    <t>27/02/2025</t>
  </si>
  <si>
    <t>28/02/2025</t>
  </si>
  <si>
    <t>03/03/2025</t>
  </si>
  <si>
    <t>04/03/2025</t>
  </si>
  <si>
    <t>05/03/2025</t>
  </si>
  <si>
    <t>06/03/2025</t>
  </si>
  <si>
    <t>07/03/2025</t>
  </si>
  <si>
    <t>10/03/2025</t>
  </si>
  <si>
    <t>11/03/2025</t>
  </si>
  <si>
    <t>12/03/2025</t>
  </si>
  <si>
    <t>13/03/2025</t>
  </si>
  <si>
    <t>14/03/2025</t>
  </si>
  <si>
    <t>18/03/2025</t>
  </si>
  <si>
    <t>19/03/2025</t>
  </si>
  <si>
    <t>20/03/2025</t>
  </si>
  <si>
    <t>21/03/2025</t>
  </si>
  <si>
    <t>24/03/2025</t>
  </si>
  <si>
    <t>25/03/2025</t>
  </si>
  <si>
    <t>26/03/2025</t>
  </si>
  <si>
    <t>27/03/2025</t>
  </si>
  <si>
    <t>28/03/2025</t>
  </si>
  <si>
    <t>31/03/2025</t>
  </si>
  <si>
    <t>01/04/2025</t>
  </si>
  <si>
    <t>02/04/2025</t>
  </si>
  <si>
    <t>03/04/2025</t>
  </si>
  <si>
    <t>04/04/2025</t>
  </si>
  <si>
    <t>07/04/2025</t>
  </si>
  <si>
    <t>08/04/2025</t>
  </si>
  <si>
    <t>09/04/2025</t>
  </si>
  <si>
    <t>10/04/2025</t>
  </si>
  <si>
    <t>11/04/2025</t>
  </si>
  <si>
    <t>14/04/2025</t>
  </si>
  <si>
    <t>15/04/2025</t>
  </si>
  <si>
    <t>16/04/2025</t>
  </si>
  <si>
    <t>21/04/2025</t>
  </si>
  <si>
    <t>22/04/2025</t>
  </si>
  <si>
    <t>23/04/2025</t>
  </si>
  <si>
    <t>24/04/2025</t>
  </si>
  <si>
    <t>25/04/2025</t>
  </si>
  <si>
    <t>28/04/2025</t>
  </si>
  <si>
    <t>29/04/2025</t>
  </si>
  <si>
    <t>30/04/2025</t>
  </si>
  <si>
    <t>02/05/2025</t>
  </si>
  <si>
    <t>05/05/2025</t>
  </si>
  <si>
    <t>06/05/2025</t>
  </si>
  <si>
    <t>07/05/2025</t>
  </si>
  <si>
    <t>08/05/2025</t>
  </si>
  <si>
    <t>09/05/2025</t>
  </si>
  <si>
    <t>12/05/2025</t>
  </si>
  <si>
    <t>13/05/2025</t>
  </si>
  <si>
    <t>14/05/2025</t>
  </si>
  <si>
    <t>15/05/2025</t>
  </si>
  <si>
    <t>16/05/2025</t>
  </si>
  <si>
    <t>19/05/2025</t>
  </si>
  <si>
    <t>20/05/2025</t>
  </si>
  <si>
    <t>21/05/2025</t>
  </si>
  <si>
    <t>22/05/2025</t>
  </si>
  <si>
    <t>23/05/2025</t>
  </si>
  <si>
    <t>26/05/2025</t>
  </si>
  <si>
    <t>27/05/2025</t>
  </si>
  <si>
    <t>28/05/2025</t>
  </si>
  <si>
    <t>29/05/2025</t>
  </si>
  <si>
    <t>30/05/2025</t>
  </si>
  <si>
    <t>02/06/2025</t>
  </si>
  <si>
    <t>03/06/2025</t>
  </si>
  <si>
    <t>04/06/2025</t>
  </si>
  <si>
    <t>05/06/2025</t>
  </si>
  <si>
    <t>06/06/2025</t>
  </si>
  <si>
    <t>09/06/2025</t>
  </si>
  <si>
    <t>10/06/2025</t>
  </si>
  <si>
    <t>11/06/2025</t>
  </si>
  <si>
    <t>12/06/2025</t>
  </si>
  <si>
    <t>13/06/2025</t>
  </si>
  <si>
    <t>16/06/2025</t>
  </si>
  <si>
    <t>17/06/2025</t>
  </si>
  <si>
    <t>18/06/2025</t>
  </si>
  <si>
    <t>19/06/2025</t>
  </si>
  <si>
    <t>20/06/2025</t>
  </si>
  <si>
    <t>23/06/2025</t>
  </si>
  <si>
    <t>24/06/2025</t>
  </si>
  <si>
    <t>25/06/2025</t>
  </si>
  <si>
    <t>26/06/2025</t>
  </si>
  <si>
    <t>27/06/2025</t>
  </si>
  <si>
    <t>30/06/2025</t>
  </si>
  <si>
    <t>01/07/2025</t>
  </si>
  <si>
    <t>02/07/2025</t>
  </si>
  <si>
    <t>03/07/2025</t>
  </si>
  <si>
    <t>04/07/2025</t>
  </si>
  <si>
    <t>07/07/2025</t>
  </si>
  <si>
    <t>08/07/2025</t>
  </si>
  <si>
    <t>09/07/2025</t>
  </si>
  <si>
    <t>10/07/2025</t>
  </si>
  <si>
    <t>11/07/2025</t>
  </si>
  <si>
    <t>14/07/2025</t>
  </si>
  <si>
    <t>15/07/2025</t>
  </si>
  <si>
    <t>16/07/2025</t>
  </si>
  <si>
    <t>17/07/2025</t>
  </si>
  <si>
    <t>18/07/2025</t>
  </si>
  <si>
    <t>21/07/2025</t>
  </si>
  <si>
    <t>22/07/2025</t>
  </si>
  <si>
    <t>23/07/2025</t>
  </si>
  <si>
    <t>24/07/2025</t>
  </si>
  <si>
    <t>25/07/2025</t>
  </si>
  <si>
    <t>28/07/2025</t>
  </si>
  <si>
    <t>29/07/2025</t>
  </si>
  <si>
    <t>30/07/2025</t>
  </si>
  <si>
    <t>31/07/2025</t>
  </si>
  <si>
    <t>01/08/2025</t>
  </si>
  <si>
    <t>04/08/2025</t>
  </si>
  <si>
    <t>05/08/2025</t>
  </si>
  <si>
    <t>06/08/2025</t>
  </si>
  <si>
    <t>07/08/2025</t>
  </si>
  <si>
    <t>08/08/2025</t>
  </si>
  <si>
    <t>11/08/2025</t>
  </si>
  <si>
    <t>12/08/2025</t>
  </si>
  <si>
    <t>13/08/2025</t>
  </si>
  <si>
    <t>14/08/2025</t>
  </si>
  <si>
    <t>15/08/2025</t>
  </si>
  <si>
    <t>18/08/2025</t>
  </si>
  <si>
    <t>19/08/2025</t>
  </si>
  <si>
    <t>20/08/2025</t>
  </si>
  <si>
    <t>21/08/2025</t>
  </si>
  <si>
    <t>22/08/2025</t>
  </si>
  <si>
    <t>25/08/2025</t>
  </si>
  <si>
    <t>26/08/2025</t>
  </si>
  <si>
    <t>27/08/2025</t>
  </si>
  <si>
    <t>28/08/2025</t>
  </si>
  <si>
    <t>29/08/2025</t>
  </si>
  <si>
    <t>01/09/2025</t>
  </si>
  <si>
    <t>02/09/2025</t>
  </si>
  <si>
    <t>03/09/2025</t>
  </si>
  <si>
    <t>04/09/2025</t>
  </si>
  <si>
    <t>05/09/2025</t>
  </si>
  <si>
    <t>08/09/2025</t>
  </si>
  <si>
    <t>09/09/2025</t>
  </si>
  <si>
    <t>10/09/2025</t>
  </si>
  <si>
    <t>11/09/2025</t>
  </si>
  <si>
    <t>12/09/2025</t>
  </si>
  <si>
    <t>15/09/2025</t>
  </si>
  <si>
    <t>17/09/2025</t>
  </si>
  <si>
    <t>18/09/2025</t>
  </si>
  <si>
    <t>19/09/2025</t>
  </si>
  <si>
    <t>22/09/2025</t>
  </si>
  <si>
    <t>23/09/2025</t>
  </si>
  <si>
    <t>24/09/2025</t>
  </si>
  <si>
    <t>25/09/2025</t>
  </si>
  <si>
    <t>26/09/2025</t>
  </si>
  <si>
    <t>29/09/2025</t>
  </si>
  <si>
    <t>30/09/2025</t>
  </si>
  <si>
    <t>01/10/2025</t>
  </si>
  <si>
    <t>02/10/2025</t>
  </si>
  <si>
    <t>03/10/2025</t>
  </si>
  <si>
    <t>06/10/2025</t>
  </si>
  <si>
    <t>07/10/2025</t>
  </si>
  <si>
    <t>08/10/2025</t>
  </si>
  <si>
    <t>09/10/2025</t>
  </si>
  <si>
    <t>10/10/2025</t>
  </si>
  <si>
    <t>13/10/2025</t>
  </si>
  <si>
    <t>14/10/2025</t>
  </si>
  <si>
    <t>15/10/2025</t>
  </si>
  <si>
    <t>16/10/2025</t>
  </si>
  <si>
    <t>17/10/2025</t>
  </si>
  <si>
    <t>20/10/2025</t>
  </si>
  <si>
    <t>21/10/2025</t>
  </si>
  <si>
    <t>22/10/2025</t>
  </si>
  <si>
    <t>23/10/2025</t>
  </si>
  <si>
    <t>24/10/2025</t>
  </si>
  <si>
    <t>27/10/2025</t>
  </si>
  <si>
    <t>28/10/2025</t>
  </si>
  <si>
    <t>29/10/2025</t>
  </si>
  <si>
    <t>30/10/2025</t>
  </si>
  <si>
    <t>31/10/2025</t>
  </si>
  <si>
    <t>03/11/2025</t>
  </si>
  <si>
    <t>04/11/2025</t>
  </si>
  <si>
    <t>05/11/2025</t>
  </si>
  <si>
    <t>06/11/2025</t>
  </si>
  <si>
    <t>07/11/2025</t>
  </si>
  <si>
    <t>10/11/2025</t>
  </si>
  <si>
    <t>11/11/2025</t>
  </si>
  <si>
    <t>12/11/2025</t>
  </si>
  <si>
    <t>13/11/2025</t>
  </si>
  <si>
    <t>14/11/2025</t>
  </si>
  <si>
    <t>18/11/2025</t>
  </si>
  <si>
    <t>19/11/2025</t>
  </si>
  <si>
    <t>20/11/2025</t>
  </si>
  <si>
    <t>21/11/2025</t>
  </si>
  <si>
    <t>24/11/2025</t>
  </si>
  <si>
    <t>25/11/2025</t>
  </si>
  <si>
    <t>26/11/2025</t>
  </si>
  <si>
    <t>27/11/2025</t>
  </si>
  <si>
    <t>28/11/2025</t>
  </si>
  <si>
    <t>01/12/2025</t>
  </si>
  <si>
    <t>02/12/2025</t>
  </si>
  <si>
    <t>03/12/2025</t>
  </si>
  <si>
    <t>04/12/2025</t>
  </si>
  <si>
    <t>05/12/2025</t>
  </si>
  <si>
    <t>08/12/2025</t>
  </si>
  <si>
    <t>09/12/2025</t>
  </si>
  <si>
    <t>10/12/2025</t>
  </si>
  <si>
    <t>11/12/2025</t>
  </si>
  <si>
    <t>15/12/2025</t>
  </si>
  <si>
    <t>16/12/2025</t>
  </si>
  <si>
    <t>17/12/2025</t>
  </si>
  <si>
    <t>18/12/2025</t>
  </si>
  <si>
    <t>19/12/2025</t>
  </si>
  <si>
    <t>22/12/2025</t>
  </si>
  <si>
    <t>23/12/2025</t>
  </si>
  <si>
    <t>24/12/2025</t>
  </si>
  <si>
    <t>26/12/2025</t>
  </si>
  <si>
    <t>29/12/2025</t>
  </si>
  <si>
    <t>30/12/2025</t>
  </si>
  <si>
    <t>31/12/2025</t>
  </si>
  <si>
    <t>02/01/2026</t>
  </si>
  <si>
    <t>05/01/2026</t>
  </si>
  <si>
    <t>06/01/2026</t>
  </si>
  <si>
    <t>07/01/2026</t>
  </si>
  <si>
    <t>08/01/2026</t>
  </si>
  <si>
    <t>09/01/2026</t>
  </si>
  <si>
    <t>12/01/2026</t>
  </si>
  <si>
    <t>13/01/2026</t>
  </si>
  <si>
    <t>14/01/2026</t>
  </si>
  <si>
    <t>15/01/2026</t>
  </si>
  <si>
    <t>16/01/2026</t>
  </si>
  <si>
    <t>19/01/2026</t>
  </si>
  <si>
    <t>20/01/2026</t>
  </si>
  <si>
    <t>21/01/2026</t>
  </si>
  <si>
    <t>22/01/2026</t>
  </si>
  <si>
    <t>23/01/2026</t>
  </si>
  <si>
    <t>26/01/2026</t>
  </si>
  <si>
    <t>27/01/2026</t>
  </si>
  <si>
    <t>28/01/2026</t>
  </si>
  <si>
    <t>29/01/2026</t>
  </si>
  <si>
    <t>30/01/2026</t>
  </si>
  <si>
    <t>03/02/2026</t>
  </si>
  <si>
    <t>04/02/2026</t>
  </si>
  <si>
    <t>05/02/2026</t>
  </si>
  <si>
    <t>06/02/2026</t>
  </si>
  <si>
    <t>09/02/2026</t>
  </si>
  <si>
    <t>10/02/2026</t>
  </si>
  <si>
    <t>11/02/2026</t>
  </si>
  <si>
    <t>12/02/2026</t>
  </si>
  <si>
    <t>13/02/2026</t>
  </si>
  <si>
    <t>16/02/2026</t>
  </si>
  <si>
    <t>17/02/2026</t>
  </si>
  <si>
    <t>18/02/2026</t>
  </si>
  <si>
    <t>19/02/2026</t>
  </si>
  <si>
    <t>20/02/2026</t>
  </si>
  <si>
    <t>23/02/2026</t>
  </si>
  <si>
    <t>24/02/2026</t>
  </si>
  <si>
    <t>25/02/2026</t>
  </si>
  <si>
    <t>26/02/2026</t>
  </si>
  <si>
    <t>27/02/2026</t>
  </si>
  <si>
    <t>02/03/2026</t>
  </si>
  <si>
    <t>03/03/2026</t>
  </si>
  <si>
    <t>04/03/2026</t>
  </si>
  <si>
    <t>05/03/2026</t>
  </si>
  <si>
    <t>06/03/2026</t>
  </si>
  <si>
    <t>09/03/2026</t>
  </si>
  <si>
    <t>10/03/2026</t>
  </si>
  <si>
    <t>11/03/2026</t>
  </si>
  <si>
    <t>12/03/2026</t>
  </si>
  <si>
    <t>13/03/2026</t>
  </si>
  <si>
    <t>17/03/2026</t>
  </si>
  <si>
    <t>18/03/2026</t>
  </si>
  <si>
    <t>19/03/2026</t>
  </si>
  <si>
    <t>20/03/2026</t>
  </si>
  <si>
    <t>23/03/2026</t>
  </si>
  <si>
    <t>24/03/2026</t>
  </si>
  <si>
    <t>25/03/2026</t>
  </si>
  <si>
    <t>26/03/2026</t>
  </si>
  <si>
    <t>27/03/2026</t>
  </si>
  <si>
    <t>30/03/2026</t>
  </si>
  <si>
    <t>31/03/2026</t>
  </si>
  <si>
    <t>01/04/2026</t>
  </si>
  <si>
    <t>06/04/2026</t>
  </si>
  <si>
    <t>07/04/2026</t>
  </si>
  <si>
    <t>08/04/2026</t>
  </si>
  <si>
    <t>09/04/2026</t>
  </si>
  <si>
    <t>10/04/2026</t>
  </si>
  <si>
    <t>13/04/2026</t>
  </si>
  <si>
    <t>14/04/2026</t>
  </si>
  <si>
    <t>15/04/2026</t>
  </si>
  <si>
    <t>16/04/2026</t>
  </si>
  <si>
    <t>17/04/2026</t>
  </si>
  <si>
    <t>20/04/2026</t>
  </si>
  <si>
    <t>21/04/2026</t>
  </si>
  <si>
    <t>22/04/2026</t>
  </si>
  <si>
    <t>23/04/2026</t>
  </si>
  <si>
    <t>24/04/2026</t>
  </si>
  <si>
    <t>27/04/2026</t>
  </si>
  <si>
    <t>28/04/2026</t>
  </si>
  <si>
    <t>29/04/2026</t>
  </si>
  <si>
    <t>30/04/2026</t>
  </si>
  <si>
    <t>04/05/2026</t>
  </si>
  <si>
    <t>05/05/2026</t>
  </si>
  <si>
    <t>06/05/2026</t>
  </si>
  <si>
    <t>07/05/2026</t>
  </si>
  <si>
    <t>08/05/2026</t>
  </si>
  <si>
    <t>11/05/2026</t>
  </si>
  <si>
    <t>12/05/2026</t>
  </si>
  <si>
    <t>13/05/2026</t>
  </si>
  <si>
    <t xml:space="preserve">Propuesta 1:  Cubrir el riesgo de tasas con un swap y emitir el cebur mixto </t>
  </si>
  <si>
    <t>El gap de tasas da +$517 mdp (activos sensibles por $727 mdp contra pasivos sensibles por solo $210 mdp), o sea que la sofom es claramente asset sensitive y le pega una baja de tasas. Como Banxico ya está empezando con el ciclo de recortes, mantener la estructura tal cual va a ir comiéndose el margen poco a poco.
Lo que se propone es atacarlo por dos lados. Primero, contratar un IRS donde la sofom reciba fija y pague variable, por un nocional de entre $300 y $400 mdp a 2 o 3 años. Esto hace que parte de la cartera variable se comporte como si fuera fija, sin tener que tocar los contratos con los clientes. Segundo, cuando se emita el cebur, hacerlo mitad fijo y mitad variable en lugar de todo a una sola tasa. Con esto los pasivos sensibles aumentan y el gap se cierra desde el balance, no nada más con el derivado. Combinando las dos medidas, el +$517 mdp se reduce bastante y el balance queda más parejo ante movimientos en cualquier dirección.</t>
  </si>
  <si>
    <t>Propuesta 2: Refinanciar los bullets con la emisión del cebur</t>
  </si>
  <si>
    <t>El gap de liquidez deja ver que el peor problema está en la banda de 1-2 años, donde hay un faltante de -$216 mdp por el vencimiento bullet del Fondo 2 ($200 mdp al 19%). El otro punto débil está en 3-6 meses (-$107 mdp) por el bullet del Fondo 1 ($100 mdp al 17%). Los dos son los pasivos más caros que tiene la sofom y los dos vencen de golpe, así que el riesgo de refinanciamiento se junta justo cuando hay menos cobros entrando.
La propuesta es usar la emisión de cebures de $1,000 mdp que ya tienen planeada para reemplazar estos dos bullets antes de su vencimiento. Lo dividiríamos así: $300 mdp a 3 años para pagar el Fondo 1, y $700 mdp a 5 años amortizable para pagar el Fondo 2. Como las sofoms suelen colocar cebures a tasas mucho más bajas que el costo de los fondos institucionales (que están al 17 y 19%), no solo se cierra el hueco sino que también se baja el costo financiero y mejora el margen. Como respaldo, también convendría tener una línea de crédito comprometida con algún banco por unos $150 mdp, por si la ventana de emisión se cierra justo cuando se necesita salir al mercado.</t>
  </si>
  <si>
    <t>Propuesta 3: Bajar el requerimiento de capital sacando los créditos más riesgosos</t>
  </si>
  <si>
    <t>El VaR de crédito al 99% es $142.5 mdp y la UCL $127.78 mdp. El capital total que tiene la sofom ($524 mdp) los cubre sin problema, pero tener ese capital amarrado limita el crecimiento y baja el ROE.
La idea es revisar la cartera (tanto amortizable como revolvente) e identificar los créditos con PD mayor o igual a 3%, que son los que más están pesando en la UCL. Estos se pueden sacar del balance ya sea cediéndolos a otra sofom o, si el monto lo justifica, armando un CLO con tramos equity, mezzanine, junior y senior. Los mismos fondos de private credit que hoy fondean a la sofom podrían entrarle a los tramos mezzanine y junior, que es justo el tipo de riesgo que les gusta. Con esto bajan las UCL, baja el capital regulatorio requerido, y queda capital libre para colocar más cartera nueva pero de mejor calidad. Además convendría poner un límite por cliente (por ejemplo, que ningún crédito sea más del 2% de la cartera total) para que un solo default no mueva tanto la UCL.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</si>
</sst>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00"/>
    <numFmt numFmtId="165" formatCode="_-&quot;$&quot;* #,##0.0000_-;\-&quot;$&quot;* #,##0.0000_-;_-&quot;$&quot;* &quot;-&quot;??_-;_-@_-"/>
  </numFmts>
  <fonts count="23" x14ac:knownFonts="1">
    <font>
      <sz val="11"/>
      <color theme="1"/>
      <name val="Aptos Narrow"/>
      <family val="2"/>
      <scheme val="minor"/>
    </font>
    <font>
      <b/>
      <sz val="11"/>
      <color theme="0"/>
      <name val="Aptos Narrow"/>
      <family val="2"/>
      <scheme val="minor"/>
    </font>
    <font>
      <b/>
      <sz val="11"/>
      <name val="Aptos Narrow"/>
      <family val="2"/>
      <scheme val="minor"/>
    </font>
    <font>
      <i/>
      <sz val="9"/>
      <color rgb="FFFFFFFF"/>
      <name val="Arial"/>
      <family val="2"/>
    </font>
    <font>
      <b/>
      <sz val="10"/>
      <color rgb="FFFFFFFF"/>
      <name val="Arial"/>
      <family val="2"/>
    </font>
    <font>
      <b/>
      <sz val="10"/>
      <color theme="1"/>
      <name val="Arial"/>
      <family val="2"/>
    </font>
    <font>
      <sz val="10"/>
      <color theme="1"/>
      <name val="Arial"/>
      <family val="2"/>
    </font>
    <font>
      <b/>
      <sz val="10"/>
      <color rgb="FF00B0F0"/>
      <name val="Arial"/>
      <family val="2"/>
    </font>
    <font>
      <b/>
      <sz val="11"/>
      <color theme="1"/>
      <name val="Aptos Narrow"/>
      <family val="2"/>
      <scheme val="minor"/>
    </font>
    <font>
      <sz val="11"/>
      <color rgb="FF000000"/>
      <name val="Aptos Narrow"/>
      <family val="2"/>
    </font>
    <font>
      <sz val="11"/>
      <color theme="1"/>
      <name val="Aptos Narrow"/>
      <family val="2"/>
      <scheme val="minor"/>
    </font>
    <font>
      <sz val="11"/>
      <color theme="0"/>
      <name val="Aptos Narrow"/>
      <family val="2"/>
      <scheme val="minor"/>
    </font>
    <font>
      <b/>
      <sz val="11"/>
      <color rgb="FF000000"/>
      <name val="Aptos Narrow"/>
      <family val="2"/>
    </font>
    <font>
      <u/>
      <sz val="11"/>
      <color theme="10"/>
      <name val="Aptos Narrow"/>
      <family val="2"/>
      <scheme val="minor"/>
    </font>
    <font>
      <b/>
      <sz val="11"/>
      <color theme="0"/>
      <name val="Calibri"/>
      <family val="2"/>
    </font>
    <font>
      <sz val="11"/>
      <color theme="1"/>
      <name val="Aptos Narrow"/>
      <family val="2"/>
    </font>
    <font>
      <b/>
      <sz val="11"/>
      <color theme="0"/>
      <name val="Aptos Narrow"/>
      <family val="2"/>
    </font>
    <font>
      <b/>
      <sz val="11"/>
      <color rgb="FFC00000"/>
      <name val="Aptos Narrow"/>
      <family val="2"/>
      <scheme val="minor"/>
    </font>
    <font>
      <sz val="11"/>
      <color rgb="FF000000"/>
      <name val="Aptos Narrow"/>
      <family val="2"/>
      <scheme val="minor"/>
    </font>
    <font>
      <b/>
      <sz val="11"/>
      <color rgb="FFFFFFFF"/>
      <name val="Aptos Narrow"/>
      <family val="2"/>
      <scheme val="minor"/>
    </font>
    <font>
      <sz val="11"/>
      <color rgb="FFFF0000"/>
      <name val="Aptos Narrow"/>
      <family val="2"/>
      <scheme val="minor"/>
    </font>
    <font>
      <b/>
      <sz val="11"/>
      <color rgb="FF000000"/>
      <name val="Aptos Narrow"/>
      <family val="2"/>
      <scheme val="minor"/>
    </font>
    <font>
      <b/>
      <sz val="11"/>
      <color theme="1"/>
      <name val="Aptos Narrow"/>
      <family val="2"/>
    </font>
  </fonts>
  <fills count="16">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rgb="FF1F3864"/>
        <bgColor rgb="FF333399"/>
      </patternFill>
    </fill>
    <fill>
      <patternFill patternType="solid">
        <fgColor rgb="FF2E75B6"/>
        <bgColor rgb="FF0066CC"/>
      </patternFill>
    </fill>
    <fill>
      <patternFill patternType="solid">
        <fgColor theme="3" tint="0.89999084444715716"/>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5" tint="0.79998168889431442"/>
        <bgColor rgb="FFFCE4D6"/>
      </patternFill>
    </fill>
    <fill>
      <patternFill patternType="solid">
        <fgColor theme="0"/>
        <bgColor indexed="64"/>
      </patternFill>
    </fill>
    <fill>
      <patternFill patternType="solid">
        <fgColor theme="3"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style="thin">
        <color indexed="64"/>
      </top>
      <bottom/>
      <diagonal/>
    </border>
    <border>
      <left/>
      <right/>
      <top/>
      <bottom style="thin">
        <color indexed="64"/>
      </bottom>
      <diagonal/>
    </border>
    <border>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10" fillId="0" borderId="0" applyFont="0" applyFill="0" applyBorder="0" applyAlignment="0" applyProtection="0"/>
    <xf numFmtId="9" fontId="10" fillId="0" borderId="0" applyFont="0" applyFill="0" applyBorder="0" applyAlignment="0" applyProtection="0"/>
    <xf numFmtId="0" fontId="13" fillId="0" borderId="0" applyNumberFormat="0" applyFill="0" applyBorder="0" applyAlignment="0" applyProtection="0"/>
  </cellStyleXfs>
  <cellXfs count="117">
    <xf numFmtId="0" fontId="0" fillId="0" borderId="0" xfId="0"/>
    <xf numFmtId="0" fontId="0" fillId="0" borderId="0" xfId="0" applyAlignment="1">
      <alignment horizontal="center"/>
    </xf>
    <xf numFmtId="164" fontId="0" fillId="0" borderId="0" xfId="0" applyNumberFormat="1" applyAlignment="1">
      <alignment horizontal="center"/>
    </xf>
    <xf numFmtId="2" fontId="0" fillId="0" borderId="0" xfId="0" applyNumberFormat="1" applyAlignment="1">
      <alignment horizontal="center"/>
    </xf>
    <xf numFmtId="0" fontId="1" fillId="2" borderId="0" xfId="0" applyFont="1" applyFill="1" applyAlignment="1">
      <alignment horizontal="center"/>
    </xf>
    <xf numFmtId="0" fontId="1" fillId="2" borderId="0" xfId="0" applyFont="1" applyFill="1" applyAlignment="1">
      <alignment horizontal="center" wrapText="1"/>
    </xf>
    <xf numFmtId="9" fontId="0" fillId="0" borderId="0" xfId="0" applyNumberFormat="1" applyAlignment="1">
      <alignment horizontal="center"/>
    </xf>
    <xf numFmtId="0" fontId="2" fillId="0" borderId="0" xfId="0" applyFont="1" applyAlignment="1">
      <alignment horizontal="center"/>
    </xf>
    <xf numFmtId="0" fontId="3" fillId="3" borderId="1" xfId="0" applyFont="1" applyFill="1" applyBorder="1" applyAlignment="1">
      <alignment vertical="center" wrapText="1"/>
    </xf>
    <xf numFmtId="0" fontId="4" fillId="3" borderId="1" xfId="0" applyFont="1" applyFill="1" applyBorder="1" applyAlignment="1">
      <alignment horizontal="center" vertical="center" wrapText="1"/>
    </xf>
    <xf numFmtId="0" fontId="5" fillId="0" borderId="1" xfId="0" applyFont="1" applyBorder="1" applyAlignment="1">
      <alignment wrapText="1"/>
    </xf>
    <xf numFmtId="0" fontId="6" fillId="0" borderId="1" xfId="0" applyFont="1" applyBorder="1" applyAlignment="1">
      <alignment wrapText="1"/>
    </xf>
    <xf numFmtId="0" fontId="4" fillId="3" borderId="1" xfId="0" applyFont="1" applyFill="1" applyBorder="1" applyAlignment="1">
      <alignment wrapText="1"/>
    </xf>
    <xf numFmtId="0" fontId="7" fillId="3" borderId="1" xfId="0" applyFont="1" applyFill="1" applyBorder="1" applyAlignment="1">
      <alignment wrapText="1"/>
    </xf>
    <xf numFmtId="0" fontId="5" fillId="0" borderId="1" xfId="0" applyFont="1" applyBorder="1" applyAlignment="1">
      <alignment horizontal="center" wrapText="1"/>
    </xf>
    <xf numFmtId="0" fontId="6" fillId="0" borderId="1" xfId="0" applyFont="1" applyBorder="1" applyAlignment="1">
      <alignment horizontal="center" wrapText="1"/>
    </xf>
    <xf numFmtId="3" fontId="4" fillId="3" borderId="1" xfId="0" applyNumberFormat="1" applyFont="1" applyFill="1" applyBorder="1" applyAlignment="1">
      <alignment horizontal="center" wrapText="1"/>
    </xf>
    <xf numFmtId="0" fontId="4" fillId="3" borderId="1" xfId="0" applyFont="1" applyFill="1" applyBorder="1" applyAlignment="1">
      <alignment horizontal="center" wrapText="1"/>
    </xf>
    <xf numFmtId="3" fontId="7" fillId="3" borderId="1" xfId="0" applyNumberFormat="1" applyFont="1" applyFill="1" applyBorder="1" applyAlignment="1">
      <alignment horizontal="center" wrapText="1"/>
    </xf>
    <xf numFmtId="0" fontId="8" fillId="0" borderId="0" xfId="0" applyFont="1"/>
    <xf numFmtId="0" fontId="9" fillId="0" borderId="0" xfId="0" applyFont="1"/>
    <xf numFmtId="9" fontId="9" fillId="0" borderId="0" xfId="0" applyNumberFormat="1" applyFont="1"/>
    <xf numFmtId="2" fontId="0" fillId="0" borderId="0" xfId="0" applyNumberFormat="1"/>
    <xf numFmtId="164" fontId="0" fillId="0" borderId="0" xfId="0" applyNumberFormat="1"/>
    <xf numFmtId="0" fontId="0" fillId="0" borderId="1" xfId="0" applyBorder="1"/>
    <xf numFmtId="0" fontId="1" fillId="6" borderId="1" xfId="0" applyFont="1" applyFill="1" applyBorder="1"/>
    <xf numFmtId="0" fontId="14" fillId="6" borderId="1" xfId="0" applyFont="1" applyFill="1" applyBorder="1" applyAlignment="1">
      <alignment horizontal="center"/>
    </xf>
    <xf numFmtId="0" fontId="1" fillId="6" borderId="1" xfId="0" applyFont="1" applyFill="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44" fontId="0" fillId="0" borderId="1" xfId="1" applyFont="1" applyBorder="1" applyAlignment="1">
      <alignment horizontal="center"/>
    </xf>
    <xf numFmtId="3" fontId="0" fillId="0" borderId="1" xfId="0" applyNumberFormat="1" applyBorder="1" applyAlignment="1">
      <alignment horizontal="center"/>
    </xf>
    <xf numFmtId="44" fontId="0" fillId="0" borderId="1" xfId="0" applyNumberFormat="1" applyBorder="1" applyAlignment="1">
      <alignment horizontal="center"/>
    </xf>
    <xf numFmtId="44" fontId="0" fillId="2" borderId="1" xfId="0" applyNumberFormat="1" applyFill="1" applyBorder="1" applyAlignment="1">
      <alignment horizontal="center"/>
    </xf>
    <xf numFmtId="0" fontId="13" fillId="0" borderId="0" xfId="3"/>
    <xf numFmtId="165" fontId="15" fillId="0" borderId="1" xfId="1" applyNumberFormat="1" applyFont="1" applyBorder="1" applyAlignment="1">
      <alignment horizontal="center" vertical="center"/>
    </xf>
    <xf numFmtId="165" fontId="0" fillId="0" borderId="1" xfId="0" applyNumberFormat="1" applyBorder="1" applyAlignment="1">
      <alignment horizontal="center"/>
    </xf>
    <xf numFmtId="0" fontId="0" fillId="0" borderId="10" xfId="0" applyBorder="1"/>
    <xf numFmtId="0" fontId="8" fillId="0" borderId="10" xfId="0" applyFont="1" applyBorder="1"/>
    <xf numFmtId="0" fontId="8" fillId="7" borderId="1" xfId="0" applyFont="1" applyFill="1" applyBorder="1"/>
    <xf numFmtId="164" fontId="0" fillId="0" borderId="1" xfId="0" applyNumberFormat="1" applyBorder="1"/>
    <xf numFmtId="164" fontId="8" fillId="5" borderId="1" xfId="0" applyNumberFormat="1" applyFont="1" applyFill="1" applyBorder="1"/>
    <xf numFmtId="2" fontId="8" fillId="5" borderId="1" xfId="0" applyNumberFormat="1" applyFont="1" applyFill="1" applyBorder="1"/>
    <xf numFmtId="0" fontId="8" fillId="5" borderId="1" xfId="0" applyFont="1" applyFill="1" applyBorder="1"/>
    <xf numFmtId="0" fontId="1" fillId="6" borderId="1" xfId="0" applyFont="1" applyFill="1" applyBorder="1" applyAlignment="1">
      <alignment horizontal="right"/>
    </xf>
    <xf numFmtId="9" fontId="0" fillId="0" borderId="1" xfId="2" applyFont="1" applyBorder="1"/>
    <xf numFmtId="0" fontId="9" fillId="0" borderId="1" xfId="0" applyFont="1" applyBorder="1"/>
    <xf numFmtId="9" fontId="9" fillId="0" borderId="1" xfId="0" applyNumberFormat="1" applyFont="1" applyBorder="1"/>
    <xf numFmtId="10" fontId="9" fillId="0" borderId="1" xfId="0" applyNumberFormat="1" applyFont="1" applyBorder="1"/>
    <xf numFmtId="0" fontId="16" fillId="6" borderId="1" xfId="0" applyFont="1" applyFill="1" applyBorder="1" applyAlignment="1">
      <alignment horizontal="center"/>
    </xf>
    <xf numFmtId="0" fontId="8" fillId="7" borderId="1" xfId="0" applyFont="1" applyFill="1" applyBorder="1" applyAlignment="1">
      <alignment horizontal="center"/>
    </xf>
    <xf numFmtId="0" fontId="12" fillId="5" borderId="1" xfId="0" applyFont="1" applyFill="1" applyBorder="1"/>
    <xf numFmtId="0" fontId="12" fillId="7" borderId="1" xfId="0" applyFont="1" applyFill="1" applyBorder="1" applyAlignment="1">
      <alignment horizontal="center"/>
    </xf>
    <xf numFmtId="0" fontId="12" fillId="7" borderId="1" xfId="0" applyFont="1" applyFill="1" applyBorder="1"/>
    <xf numFmtId="44" fontId="17" fillId="5" borderId="1" xfId="1" applyFont="1" applyFill="1" applyBorder="1"/>
    <xf numFmtId="44" fontId="15" fillId="0" borderId="1" xfId="1" applyFont="1" applyBorder="1" applyAlignment="1">
      <alignment horizontal="center" vertical="center"/>
    </xf>
    <xf numFmtId="0" fontId="18" fillId="0" borderId="0" xfId="0" applyFont="1"/>
    <xf numFmtId="0" fontId="0" fillId="14" borderId="0" xfId="0" applyFill="1"/>
    <xf numFmtId="0" fontId="0" fillId="14" borderId="0" xfId="0" applyFill="1" applyAlignment="1">
      <alignment horizontal="left"/>
    </xf>
    <xf numFmtId="0" fontId="0" fillId="14" borderId="0" xfId="0" applyFill="1" applyAlignment="1">
      <alignment horizontal="center"/>
    </xf>
    <xf numFmtId="0" fontId="19" fillId="9" borderId="1" xfId="0" applyFont="1" applyFill="1" applyBorder="1" applyAlignment="1">
      <alignment horizontal="center" vertical="center" wrapText="1"/>
    </xf>
    <xf numFmtId="0" fontId="19" fillId="9" borderId="13" xfId="0" applyFont="1" applyFill="1" applyBorder="1" applyAlignment="1">
      <alignment horizontal="center" vertical="center" wrapText="1"/>
    </xf>
    <xf numFmtId="0" fontId="0" fillId="0" borderId="0" xfId="0" applyAlignment="1">
      <alignment horizontal="right"/>
    </xf>
    <xf numFmtId="0" fontId="0" fillId="0" borderId="0" xfId="0" applyAlignment="1">
      <alignment vertical="center" wrapText="1"/>
    </xf>
    <xf numFmtId="0" fontId="20" fillId="0" borderId="0" xfId="0" applyFont="1"/>
    <xf numFmtId="0" fontId="0" fillId="0" borderId="0" xfId="0" applyAlignment="1">
      <alignment vertical="center"/>
    </xf>
    <xf numFmtId="0" fontId="18" fillId="10" borderId="14" xfId="0" applyFont="1" applyFill="1" applyBorder="1" applyAlignment="1">
      <alignment wrapText="1"/>
    </xf>
    <xf numFmtId="44" fontId="18" fillId="0" borderId="2" xfId="1" applyFont="1" applyBorder="1" applyAlignment="1">
      <alignment wrapText="1"/>
    </xf>
    <xf numFmtId="0" fontId="21" fillId="10" borderId="14" xfId="0" applyFont="1" applyFill="1" applyBorder="1" applyAlignment="1">
      <alignment wrapText="1"/>
    </xf>
    <xf numFmtId="44" fontId="21" fillId="10" borderId="2" xfId="1" applyFont="1" applyFill="1" applyBorder="1"/>
    <xf numFmtId="0" fontId="21" fillId="13" borderId="14" xfId="0" applyFont="1" applyFill="1" applyBorder="1" applyAlignment="1">
      <alignment wrapText="1"/>
    </xf>
    <xf numFmtId="44" fontId="21" fillId="13" borderId="2" xfId="1" applyFont="1" applyFill="1" applyBorder="1"/>
    <xf numFmtId="0" fontId="1" fillId="4" borderId="1" xfId="0" applyFont="1" applyFill="1" applyBorder="1" applyAlignment="1">
      <alignment wrapText="1"/>
    </xf>
    <xf numFmtId="0" fontId="8" fillId="10" borderId="1" xfId="0" applyFont="1" applyFill="1" applyBorder="1" applyAlignment="1">
      <alignment wrapText="1"/>
    </xf>
    <xf numFmtId="0" fontId="8" fillId="0" borderId="1" xfId="0" applyFont="1" applyBorder="1" applyAlignment="1">
      <alignment wrapText="1"/>
    </xf>
    <xf numFmtId="44" fontId="0" fillId="0" borderId="1" xfId="1" applyFont="1" applyBorder="1" applyAlignment="1">
      <alignment wrapText="1"/>
    </xf>
    <xf numFmtId="44" fontId="8" fillId="10" borderId="1" xfId="1" applyFont="1" applyFill="1" applyBorder="1" applyAlignment="1">
      <alignment wrapText="1"/>
    </xf>
    <xf numFmtId="0" fontId="8" fillId="11" borderId="1" xfId="0" applyFont="1" applyFill="1" applyBorder="1" applyAlignment="1">
      <alignment wrapText="1"/>
    </xf>
    <xf numFmtId="0" fontId="0" fillId="0" borderId="1" xfId="0" applyBorder="1" applyAlignment="1">
      <alignment wrapText="1"/>
    </xf>
    <xf numFmtId="44" fontId="8" fillId="11" borderId="1" xfId="1" applyFont="1" applyFill="1" applyBorder="1" applyAlignment="1">
      <alignment wrapText="1"/>
    </xf>
    <xf numFmtId="0" fontId="8" fillId="12" borderId="1" xfId="0" applyFont="1" applyFill="1" applyBorder="1" applyAlignment="1">
      <alignment wrapText="1"/>
    </xf>
    <xf numFmtId="44" fontId="8" fillId="12" borderId="1" xfId="1" applyFont="1" applyFill="1" applyBorder="1"/>
    <xf numFmtId="44" fontId="8" fillId="12" borderId="1" xfId="1" applyFont="1" applyFill="1" applyBorder="1" applyAlignment="1">
      <alignment wrapText="1"/>
    </xf>
    <xf numFmtId="44" fontId="8" fillId="2" borderId="1" xfId="1" applyFont="1" applyFill="1" applyBorder="1"/>
    <xf numFmtId="0" fontId="15" fillId="0" borderId="0" xfId="0" applyFont="1"/>
    <xf numFmtId="0" fontId="22" fillId="7" borderId="1" xfId="0" applyFont="1" applyFill="1" applyBorder="1"/>
    <xf numFmtId="0" fontId="16" fillId="6" borderId="1" xfId="0" applyFont="1" applyFill="1" applyBorder="1" applyAlignment="1">
      <alignment horizontal="right"/>
    </xf>
    <xf numFmtId="2" fontId="22" fillId="5" borderId="1" xfId="0" applyNumberFormat="1" applyFont="1" applyFill="1" applyBorder="1"/>
    <xf numFmtId="0" fontId="15" fillId="0" borderId="0" xfId="0" applyFont="1" applyAlignment="1">
      <alignment horizontal="right"/>
    </xf>
    <xf numFmtId="0" fontId="1" fillId="15" borderId="0" xfId="0" applyFont="1" applyFill="1"/>
    <xf numFmtId="0" fontId="11" fillId="15" borderId="0" xfId="0" applyFont="1" applyFill="1"/>
    <xf numFmtId="0" fontId="11" fillId="15" borderId="0" xfId="0" applyFont="1" applyFill="1" applyAlignment="1">
      <alignment vertical="center"/>
    </xf>
    <xf numFmtId="0" fontId="0" fillId="0" borderId="0" xfId="0" applyAlignment="1">
      <alignment horizontal="left" vertical="center" wrapText="1"/>
    </xf>
    <xf numFmtId="0" fontId="0" fillId="10" borderId="0" xfId="0" applyFill="1" applyAlignment="1">
      <alignment horizontal="left" vertical="center" wrapText="1"/>
    </xf>
    <xf numFmtId="0" fontId="0" fillId="10" borderId="0" xfId="0" applyFill="1" applyAlignment="1">
      <alignment horizontal="left" vertical="center"/>
    </xf>
    <xf numFmtId="0" fontId="0" fillId="14" borderId="0" xfId="0" applyFill="1" applyAlignment="1">
      <alignment horizontal="center"/>
    </xf>
    <xf numFmtId="14" fontId="0" fillId="14" borderId="0" xfId="0" applyNumberFormat="1" applyFill="1" applyAlignment="1">
      <alignment horizontal="center"/>
    </xf>
    <xf numFmtId="0" fontId="8" fillId="14" borderId="0" xfId="0" applyFont="1" applyFill="1" applyAlignment="1">
      <alignment horizontal="center"/>
    </xf>
    <xf numFmtId="0" fontId="0" fillId="14" borderId="0" xfId="0" applyFill="1" applyAlignment="1">
      <alignment horizontal="left"/>
    </xf>
    <xf numFmtId="0" fontId="1" fillId="6" borderId="0" xfId="0" applyFont="1" applyFill="1" applyAlignment="1">
      <alignment horizontal="center"/>
    </xf>
    <xf numFmtId="0" fontId="16" fillId="6" borderId="0" xfId="0" applyFont="1" applyFill="1" applyAlignment="1">
      <alignment horizontal="center"/>
    </xf>
    <xf numFmtId="0" fontId="8" fillId="10" borderId="1" xfId="0" applyFont="1" applyFill="1" applyBorder="1" applyAlignment="1">
      <alignment wrapText="1"/>
    </xf>
    <xf numFmtId="0" fontId="8" fillId="11" borderId="1" xfId="0" applyFont="1" applyFill="1" applyBorder="1" applyAlignment="1">
      <alignment wrapText="1"/>
    </xf>
    <xf numFmtId="0" fontId="1" fillId="6" borderId="1" xfId="0" applyFont="1" applyFill="1" applyBorder="1" applyAlignment="1">
      <alignment horizontal="center"/>
    </xf>
    <xf numFmtId="0" fontId="0" fillId="0" borderId="1" xfId="0" applyBorder="1" applyAlignment="1">
      <alignment horizontal="center" vertical="center" wrapText="1"/>
    </xf>
    <xf numFmtId="0" fontId="19" fillId="8" borderId="11" xfId="0" applyFont="1" applyFill="1" applyBorder="1" applyAlignment="1">
      <alignment wrapText="1"/>
    </xf>
    <xf numFmtId="0" fontId="19" fillId="8" borderId="12" xfId="0" applyFont="1" applyFill="1" applyBorder="1" applyAlignment="1">
      <alignment wrapText="1"/>
    </xf>
    <xf numFmtId="0" fontId="11" fillId="6" borderId="1" xfId="0" applyFont="1" applyFill="1" applyBorder="1" applyAlignment="1">
      <alignment horizontal="center"/>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0" fillId="0" borderId="9" xfId="0" applyBorder="1" applyAlignment="1">
      <alignment horizontal="center" vertical="center" wrapText="1"/>
    </xf>
    <xf numFmtId="0" fontId="0" fillId="0" borderId="2" xfId="0" applyBorder="1" applyAlignment="1">
      <alignment horizontal="center" vertical="center" wrapText="1"/>
    </xf>
  </cellXfs>
  <cellStyles count="4">
    <cellStyle name="Hipervínculo" xfId="3" builtinId="8"/>
    <cellStyle name="Moneda" xfId="1" builtinId="4"/>
    <cellStyle name="Normal" xfId="0" builtinId="0"/>
    <cellStyle name="Porcentaje" xfId="2" builtinId="5"/>
  </cellStyles>
  <dxfs count="0"/>
  <tableStyles count="0" defaultTableStyle="TableStyleMedium2" defaultPivotStyle="PivotStyleLight16"/>
  <colors>
    <mruColors>
      <color rgb="FFFAF9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609600</xdr:colOff>
      <xdr:row>10</xdr:row>
      <xdr:rowOff>19050</xdr:rowOff>
    </xdr:to>
    <xdr:pic>
      <xdr:nvPicPr>
        <xdr:cNvPr id="2" name="Imagen 1">
          <a:extLst>
            <a:ext uri="{FF2B5EF4-FFF2-40B4-BE49-F238E27FC236}">
              <a16:creationId xmlns:a16="http://schemas.microsoft.com/office/drawing/2014/main" id="{16A7AAB0-C5F1-180B-77CD-10F31886324A}"/>
            </a:ext>
          </a:extLst>
        </xdr:cNvPr>
        <xdr:cNvPicPr>
          <a:picLocks noChangeAspect="1"/>
        </xdr:cNvPicPr>
      </xdr:nvPicPr>
      <xdr:blipFill>
        <a:blip xmlns:r="http://schemas.openxmlformats.org/officeDocument/2006/relationships" r:embed="rId1"/>
        <a:stretch>
          <a:fillRect/>
        </a:stretch>
      </xdr:blipFill>
      <xdr:spPr>
        <a:xfrm>
          <a:off x="609600" y="190500"/>
          <a:ext cx="2133600" cy="1733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696497</xdr:colOff>
      <xdr:row>5</xdr:row>
      <xdr:rowOff>183173</xdr:rowOff>
    </xdr:from>
    <xdr:to>
      <xdr:col>5</xdr:col>
      <xdr:colOff>453732</xdr:colOff>
      <xdr:row>14</xdr:row>
      <xdr:rowOff>110148</xdr:rowOff>
    </xdr:to>
    <xdr:pic>
      <xdr:nvPicPr>
        <xdr:cNvPr id="28" name="Imagen 4">
          <a:extLst>
            <a:ext uri="{FF2B5EF4-FFF2-40B4-BE49-F238E27FC236}">
              <a16:creationId xmlns:a16="http://schemas.microsoft.com/office/drawing/2014/main" id="{EA897516-3326-398E-01BF-06019114609E}"/>
            </a:ext>
            <a:ext uri="{147F2762-F138-4A5C-976F-8EAC2B608ADB}">
              <a16:predDERef xmlns:a16="http://schemas.microsoft.com/office/drawing/2014/main" pred="{09CB56EA-8938-E89E-B1B6-240C1FE96E36}"/>
            </a:ext>
          </a:extLst>
        </xdr:cNvPr>
        <xdr:cNvPicPr>
          <a:picLocks noChangeAspect="1"/>
        </xdr:cNvPicPr>
      </xdr:nvPicPr>
      <xdr:blipFill>
        <a:blip xmlns:r="http://schemas.openxmlformats.org/officeDocument/2006/relationships" r:embed="rId1"/>
        <a:stretch>
          <a:fillRect/>
        </a:stretch>
      </xdr:blipFill>
      <xdr:spPr>
        <a:xfrm>
          <a:off x="696497" y="1135673"/>
          <a:ext cx="4131408" cy="16414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hyperlink" Target="https://www.banxico.org.mx/mercsecd/index.html?tabla=N&amp;locale=es_ES" TargetMode="External"/><Relationship Id="rId1" Type="http://schemas.openxmlformats.org/officeDocument/2006/relationships/hyperlink" Target="https://www.banxico.org.mx/valores/PresentaDetallePosicionGub.faces?BMXC_instrumento=2&amp;BMXC_lang=es_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41267-0E6F-43D1-BF6E-17A7FF9E78A6}">
  <dimension ref="B13:D22"/>
  <sheetViews>
    <sheetView topLeftCell="A12" workbookViewId="0">
      <selection activeCell="F37" sqref="F37"/>
    </sheetView>
  </sheetViews>
  <sheetFormatPr baseColWidth="10" defaultColWidth="11.42578125" defaultRowHeight="15" x14ac:dyDescent="0.25"/>
  <cols>
    <col min="1" max="16384" width="11.42578125" style="57"/>
  </cols>
  <sheetData>
    <row r="13" spans="2:4" x14ac:dyDescent="0.25">
      <c r="B13" s="97" t="s">
        <v>0</v>
      </c>
      <c r="C13" s="97"/>
      <c r="D13" s="97"/>
    </row>
    <row r="14" spans="2:4" x14ac:dyDescent="0.25">
      <c r="B14" s="97" t="s">
        <v>1</v>
      </c>
      <c r="C14" s="97"/>
      <c r="D14" s="97"/>
    </row>
    <row r="15" spans="2:4" x14ac:dyDescent="0.25">
      <c r="B15" s="98" t="s">
        <v>2</v>
      </c>
      <c r="C15" s="98"/>
      <c r="D15" s="98"/>
    </row>
    <row r="16" spans="2:4" x14ac:dyDescent="0.25">
      <c r="B16" s="95" t="s">
        <v>3</v>
      </c>
      <c r="C16" s="95"/>
      <c r="D16" s="95"/>
    </row>
    <row r="17" spans="2:4" x14ac:dyDescent="0.25">
      <c r="B17" s="95" t="s">
        <v>4</v>
      </c>
      <c r="C17" s="95"/>
      <c r="D17" s="95"/>
    </row>
    <row r="18" spans="2:4" x14ac:dyDescent="0.25">
      <c r="B18" s="95" t="s">
        <v>5</v>
      </c>
      <c r="C18" s="95"/>
      <c r="D18" s="95"/>
    </row>
    <row r="19" spans="2:4" x14ac:dyDescent="0.25">
      <c r="B19" s="95" t="s">
        <v>6</v>
      </c>
      <c r="C19" s="95"/>
      <c r="D19" s="95"/>
    </row>
    <row r="20" spans="2:4" x14ac:dyDescent="0.25">
      <c r="B20" s="58" t="s">
        <v>7</v>
      </c>
      <c r="C20" s="59"/>
      <c r="D20" s="59"/>
    </row>
    <row r="21" spans="2:4" x14ac:dyDescent="0.25">
      <c r="B21" s="95" t="s">
        <v>8</v>
      </c>
      <c r="C21" s="95"/>
      <c r="D21" s="95"/>
    </row>
    <row r="22" spans="2:4" x14ac:dyDescent="0.25">
      <c r="B22" s="96">
        <v>46157</v>
      </c>
      <c r="C22" s="96"/>
      <c r="D22" s="96"/>
    </row>
  </sheetData>
  <mergeCells count="9">
    <mergeCell ref="B18:D18"/>
    <mergeCell ref="B19:D19"/>
    <mergeCell ref="B22:D22"/>
    <mergeCell ref="B21:D21"/>
    <mergeCell ref="B13:D13"/>
    <mergeCell ref="B14:D14"/>
    <mergeCell ref="B15:D15"/>
    <mergeCell ref="B16:D16"/>
    <mergeCell ref="B17:D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26BE7-83FD-4AC1-B925-86381D29DAFD}">
  <dimension ref="A1:I65"/>
  <sheetViews>
    <sheetView workbookViewId="0">
      <selection activeCell="P61" sqref="P61"/>
    </sheetView>
  </sheetViews>
  <sheetFormatPr baseColWidth="10" defaultColWidth="11.42578125" defaultRowHeight="15" x14ac:dyDescent="0.25"/>
  <cols>
    <col min="1" max="1" width="12.7109375" style="1" bestFit="1" customWidth="1"/>
    <col min="2" max="2" width="13.42578125" style="1" customWidth="1"/>
    <col min="3" max="4" width="24.42578125" style="1" customWidth="1"/>
    <col min="5" max="5" width="11.42578125" style="1" bestFit="1" customWidth="1"/>
    <col min="6" max="9" width="10.85546875" style="1"/>
  </cols>
  <sheetData>
    <row r="1" spans="1:9" ht="60" x14ac:dyDescent="0.25">
      <c r="A1" s="4" t="s">
        <v>9</v>
      </c>
      <c r="B1" s="5" t="s">
        <v>10</v>
      </c>
      <c r="C1" s="5" t="s">
        <v>11</v>
      </c>
      <c r="D1" s="5" t="s">
        <v>12</v>
      </c>
      <c r="E1" s="4" t="s">
        <v>13</v>
      </c>
      <c r="F1" s="4" t="s">
        <v>14</v>
      </c>
      <c r="G1" s="4" t="s">
        <v>15</v>
      </c>
      <c r="H1" s="4" t="s">
        <v>16</v>
      </c>
      <c r="I1" s="4" t="s">
        <v>17</v>
      </c>
    </row>
    <row r="2" spans="1:9" x14ac:dyDescent="0.25">
      <c r="A2" s="1">
        <v>1</v>
      </c>
      <c r="B2" s="1">
        <v>15</v>
      </c>
      <c r="C2" s="1">
        <v>45</v>
      </c>
      <c r="D2" s="6">
        <v>0.25</v>
      </c>
      <c r="E2" s="2">
        <v>2.3E-2</v>
      </c>
      <c r="F2" s="1">
        <v>0.45</v>
      </c>
      <c r="G2" s="3">
        <v>0.34</v>
      </c>
      <c r="H2" s="3">
        <v>0.24</v>
      </c>
      <c r="I2" s="3">
        <v>0.42</v>
      </c>
    </row>
    <row r="3" spans="1:9" x14ac:dyDescent="0.25">
      <c r="A3" s="1">
        <v>2</v>
      </c>
      <c r="B3" s="1">
        <v>17</v>
      </c>
      <c r="C3" s="1">
        <v>31</v>
      </c>
      <c r="D3" s="6">
        <v>0.23</v>
      </c>
      <c r="E3" s="2">
        <v>2.4E-2</v>
      </c>
      <c r="F3" s="1">
        <v>0.45</v>
      </c>
      <c r="G3" s="3">
        <v>0.26</v>
      </c>
      <c r="H3" s="3">
        <v>0.34</v>
      </c>
      <c r="I3" s="3">
        <v>0.39999999999999991</v>
      </c>
    </row>
    <row r="4" spans="1:9" x14ac:dyDescent="0.25">
      <c r="A4" s="1">
        <v>3</v>
      </c>
      <c r="B4" s="1">
        <v>12</v>
      </c>
      <c r="C4" s="1">
        <v>55</v>
      </c>
      <c r="D4" s="1" t="s">
        <v>18</v>
      </c>
      <c r="E4" s="2">
        <v>0.02</v>
      </c>
      <c r="F4" s="1">
        <v>0.45</v>
      </c>
      <c r="G4" s="3">
        <v>0.19</v>
      </c>
      <c r="H4" s="3">
        <v>0.44</v>
      </c>
      <c r="I4" s="3">
        <v>0.37000000000000005</v>
      </c>
    </row>
    <row r="5" spans="1:9" x14ac:dyDescent="0.25">
      <c r="A5" s="1">
        <v>4</v>
      </c>
      <c r="B5" s="1">
        <v>7</v>
      </c>
      <c r="C5" s="1">
        <v>58</v>
      </c>
      <c r="D5" s="1" t="s">
        <v>19</v>
      </c>
      <c r="E5" s="2">
        <v>2.4E-2</v>
      </c>
      <c r="F5" s="1">
        <v>0.33</v>
      </c>
      <c r="G5" s="3">
        <v>0.25</v>
      </c>
      <c r="H5" s="3">
        <v>0.3</v>
      </c>
      <c r="I5" s="3">
        <v>0.44999999999999996</v>
      </c>
    </row>
    <row r="6" spans="1:9" x14ac:dyDescent="0.25">
      <c r="A6" s="1">
        <v>5</v>
      </c>
      <c r="B6" s="1">
        <v>14</v>
      </c>
      <c r="C6" s="1">
        <v>60</v>
      </c>
      <c r="D6" s="1" t="s">
        <v>20</v>
      </c>
      <c r="E6" s="2">
        <v>2.8000000000000001E-2</v>
      </c>
      <c r="F6" s="1">
        <v>0.45</v>
      </c>
      <c r="G6" s="3">
        <v>0.2</v>
      </c>
      <c r="H6" s="3">
        <v>0.36</v>
      </c>
      <c r="I6" s="3">
        <v>0.44</v>
      </c>
    </row>
    <row r="7" spans="1:9" x14ac:dyDescent="0.25">
      <c r="A7" s="1">
        <v>6</v>
      </c>
      <c r="B7" s="1">
        <v>12</v>
      </c>
      <c r="C7" s="1">
        <v>32</v>
      </c>
      <c r="D7" s="6">
        <v>0.25</v>
      </c>
      <c r="E7" s="2">
        <v>2.3E-2</v>
      </c>
      <c r="F7" s="1">
        <v>0.45</v>
      </c>
      <c r="G7" s="3">
        <v>0.33</v>
      </c>
      <c r="H7" s="3">
        <v>0.39</v>
      </c>
      <c r="I7" s="3">
        <v>0.27999999999999997</v>
      </c>
    </row>
    <row r="8" spans="1:9" x14ac:dyDescent="0.25">
      <c r="A8" s="1">
        <v>7</v>
      </c>
      <c r="B8" s="1">
        <v>18</v>
      </c>
      <c r="C8" s="1">
        <v>48</v>
      </c>
      <c r="D8" s="6">
        <v>0.26</v>
      </c>
      <c r="E8" s="2">
        <v>2.4E-2</v>
      </c>
      <c r="F8" s="1">
        <v>0.45</v>
      </c>
      <c r="G8" s="3">
        <v>0.23</v>
      </c>
      <c r="H8" s="3">
        <v>0.38</v>
      </c>
      <c r="I8" s="3">
        <v>0.39</v>
      </c>
    </row>
    <row r="9" spans="1:9" x14ac:dyDescent="0.25">
      <c r="A9" s="1">
        <v>8</v>
      </c>
      <c r="B9" s="1">
        <v>14</v>
      </c>
      <c r="C9" s="1">
        <v>30</v>
      </c>
      <c r="D9" s="6">
        <v>0.23</v>
      </c>
      <c r="E9" s="2">
        <v>1.7000000000000001E-2</v>
      </c>
      <c r="F9" s="1">
        <v>0.45</v>
      </c>
      <c r="G9" s="3">
        <v>0.32</v>
      </c>
      <c r="H9" s="3">
        <v>0.21</v>
      </c>
      <c r="I9" s="3">
        <v>0.47000000000000003</v>
      </c>
    </row>
    <row r="10" spans="1:9" x14ac:dyDescent="0.25">
      <c r="A10" s="1">
        <v>9</v>
      </c>
      <c r="B10" s="1">
        <v>13</v>
      </c>
      <c r="C10" s="1">
        <v>39</v>
      </c>
      <c r="D10" s="1" t="s">
        <v>20</v>
      </c>
      <c r="E10" s="2">
        <v>2.8000000000000001E-2</v>
      </c>
      <c r="F10" s="1">
        <v>0.45</v>
      </c>
      <c r="G10" s="3">
        <v>0.23</v>
      </c>
      <c r="H10" s="3">
        <v>0.25</v>
      </c>
      <c r="I10" s="3">
        <v>0.52</v>
      </c>
    </row>
    <row r="11" spans="1:9" x14ac:dyDescent="0.25">
      <c r="A11" s="1">
        <v>10</v>
      </c>
      <c r="B11" s="1">
        <v>18</v>
      </c>
      <c r="C11" s="1">
        <v>47</v>
      </c>
      <c r="D11" s="1" t="s">
        <v>20</v>
      </c>
      <c r="E11" s="2">
        <v>2.7E-2</v>
      </c>
      <c r="F11" s="1">
        <v>0.45</v>
      </c>
      <c r="G11" s="3">
        <v>0.16</v>
      </c>
      <c r="H11" s="3">
        <v>0.34</v>
      </c>
      <c r="I11" s="3">
        <v>0.49999999999999989</v>
      </c>
    </row>
    <row r="12" spans="1:9" x14ac:dyDescent="0.25">
      <c r="A12" s="1">
        <v>11</v>
      </c>
      <c r="B12" s="1">
        <v>10</v>
      </c>
      <c r="C12" s="1">
        <v>54</v>
      </c>
      <c r="D12" s="6">
        <v>0.27</v>
      </c>
      <c r="E12" s="2">
        <v>3.6999999999999998E-2</v>
      </c>
      <c r="F12" s="1">
        <v>0.33</v>
      </c>
      <c r="G12" s="3">
        <v>0.31</v>
      </c>
      <c r="H12" s="3">
        <v>0.23</v>
      </c>
      <c r="I12" s="3">
        <v>0.46</v>
      </c>
    </row>
    <row r="13" spans="1:9" x14ac:dyDescent="0.25">
      <c r="A13" s="1">
        <v>12</v>
      </c>
      <c r="B13" s="1">
        <v>19</v>
      </c>
      <c r="C13" s="1">
        <v>54</v>
      </c>
      <c r="D13" s="6">
        <v>0.27</v>
      </c>
      <c r="E13" s="2">
        <v>3.7999999999999999E-2</v>
      </c>
      <c r="F13" s="1">
        <v>0.45</v>
      </c>
      <c r="G13" s="3">
        <v>0.22</v>
      </c>
      <c r="H13" s="3">
        <v>0.24</v>
      </c>
      <c r="I13" s="3">
        <v>0.54</v>
      </c>
    </row>
    <row r="14" spans="1:9" x14ac:dyDescent="0.25">
      <c r="A14" s="1">
        <v>13</v>
      </c>
      <c r="B14" s="1">
        <v>6</v>
      </c>
      <c r="C14" s="1">
        <v>46</v>
      </c>
      <c r="D14" s="1" t="s">
        <v>21</v>
      </c>
      <c r="E14" s="2">
        <v>0.01</v>
      </c>
      <c r="F14" s="1">
        <v>0.33</v>
      </c>
      <c r="G14" s="3">
        <v>0.16</v>
      </c>
      <c r="H14" s="3">
        <v>0.45</v>
      </c>
      <c r="I14" s="3">
        <v>0.39</v>
      </c>
    </row>
    <row r="15" spans="1:9" x14ac:dyDescent="0.25">
      <c r="A15" s="1">
        <v>14</v>
      </c>
      <c r="B15" s="1">
        <v>11</v>
      </c>
      <c r="C15" s="1">
        <v>35</v>
      </c>
      <c r="D15" s="1" t="s">
        <v>22</v>
      </c>
      <c r="E15" s="2">
        <v>2.5000000000000001E-2</v>
      </c>
      <c r="F15" s="1">
        <v>0.45</v>
      </c>
      <c r="G15" s="3">
        <v>0.22</v>
      </c>
      <c r="H15" s="3">
        <v>0.32</v>
      </c>
      <c r="I15" s="3">
        <v>0.45999999999999996</v>
      </c>
    </row>
    <row r="16" spans="1:9" x14ac:dyDescent="0.25">
      <c r="A16" s="1">
        <v>15</v>
      </c>
      <c r="B16" s="1">
        <v>16</v>
      </c>
      <c r="C16" s="1">
        <v>36</v>
      </c>
      <c r="D16" s="1" t="s">
        <v>22</v>
      </c>
      <c r="E16" s="2">
        <v>2.3E-2</v>
      </c>
      <c r="F16" s="1">
        <v>0.45</v>
      </c>
      <c r="G16" s="3">
        <v>0.17</v>
      </c>
      <c r="H16" s="3">
        <v>0.3</v>
      </c>
      <c r="I16" s="3">
        <v>0.52999999999999992</v>
      </c>
    </row>
    <row r="17" spans="1:9" x14ac:dyDescent="0.25">
      <c r="A17" s="1">
        <v>16</v>
      </c>
      <c r="B17" s="1">
        <v>17</v>
      </c>
      <c r="C17" s="1">
        <v>49</v>
      </c>
      <c r="D17" s="1" t="s">
        <v>23</v>
      </c>
      <c r="E17" s="2">
        <v>2.8000000000000001E-2</v>
      </c>
      <c r="F17" s="1">
        <v>0.45</v>
      </c>
      <c r="G17" s="3">
        <v>0.3</v>
      </c>
      <c r="H17" s="3">
        <v>0.43</v>
      </c>
      <c r="I17" s="3">
        <v>0.27000000000000007</v>
      </c>
    </row>
    <row r="18" spans="1:9" x14ac:dyDescent="0.25">
      <c r="A18" s="1">
        <v>17</v>
      </c>
      <c r="B18" s="1">
        <v>9</v>
      </c>
      <c r="C18" s="1">
        <v>60</v>
      </c>
      <c r="D18" s="6">
        <v>0.21</v>
      </c>
      <c r="E18" s="2">
        <v>1.7000000000000001E-2</v>
      </c>
      <c r="F18" s="1">
        <v>0.33</v>
      </c>
      <c r="G18" s="3">
        <v>0.31</v>
      </c>
      <c r="H18" s="3">
        <v>0.28999999999999998</v>
      </c>
      <c r="I18" s="3">
        <v>0.39999999999999997</v>
      </c>
    </row>
    <row r="19" spans="1:9" x14ac:dyDescent="0.25">
      <c r="A19" s="1">
        <v>18</v>
      </c>
      <c r="B19" s="1">
        <v>14</v>
      </c>
      <c r="C19" s="1">
        <v>46</v>
      </c>
      <c r="D19" s="6">
        <v>0.28000000000000003</v>
      </c>
      <c r="E19" s="2">
        <v>3.6999999999999998E-2</v>
      </c>
      <c r="F19" s="1">
        <v>0.45</v>
      </c>
      <c r="G19" s="3">
        <v>0.33</v>
      </c>
      <c r="H19" s="3">
        <v>0.27</v>
      </c>
      <c r="I19" s="3">
        <v>0.39999999999999997</v>
      </c>
    </row>
    <row r="20" spans="1:9" x14ac:dyDescent="0.25">
      <c r="A20" s="1">
        <v>19</v>
      </c>
      <c r="B20" s="1">
        <v>10</v>
      </c>
      <c r="C20" s="1">
        <v>58</v>
      </c>
      <c r="D20" s="6">
        <v>0.26</v>
      </c>
      <c r="E20" s="2">
        <v>2.9000000000000001E-2</v>
      </c>
      <c r="F20" s="1">
        <v>0.33</v>
      </c>
      <c r="G20" s="3">
        <v>0.19</v>
      </c>
      <c r="H20" s="3">
        <v>0.37</v>
      </c>
      <c r="I20" s="3">
        <v>0.44</v>
      </c>
    </row>
    <row r="21" spans="1:9" x14ac:dyDescent="0.25">
      <c r="A21" s="1">
        <v>20</v>
      </c>
      <c r="B21" s="1">
        <v>5</v>
      </c>
      <c r="C21" s="1">
        <v>33</v>
      </c>
      <c r="D21" s="6">
        <v>0.19</v>
      </c>
      <c r="E21" s="2">
        <v>1.0999999999999999E-2</v>
      </c>
      <c r="F21" s="1">
        <v>0.33</v>
      </c>
      <c r="G21" s="3">
        <v>0.16</v>
      </c>
      <c r="H21" s="3">
        <v>0.28000000000000003</v>
      </c>
      <c r="I21" s="3">
        <v>0.55999999999999994</v>
      </c>
    </row>
    <row r="22" spans="1:9" x14ac:dyDescent="0.25">
      <c r="A22" s="1">
        <v>21</v>
      </c>
      <c r="B22" s="1">
        <v>7</v>
      </c>
      <c r="C22" s="1">
        <v>28</v>
      </c>
      <c r="D22" s="1" t="s">
        <v>24</v>
      </c>
      <c r="E22" s="2">
        <v>3.3000000000000002E-2</v>
      </c>
      <c r="F22" s="1">
        <v>0.33</v>
      </c>
      <c r="G22" s="3">
        <v>0.35</v>
      </c>
      <c r="H22" s="3">
        <v>0.35</v>
      </c>
      <c r="I22" s="3">
        <v>0.30000000000000004</v>
      </c>
    </row>
    <row r="23" spans="1:9" x14ac:dyDescent="0.25">
      <c r="A23" s="1">
        <v>22</v>
      </c>
      <c r="B23" s="1">
        <v>6</v>
      </c>
      <c r="C23" s="1">
        <v>32</v>
      </c>
      <c r="D23" s="1" t="s">
        <v>21</v>
      </c>
      <c r="E23" s="2">
        <v>1.2E-2</v>
      </c>
      <c r="F23" s="1">
        <v>0.33</v>
      </c>
      <c r="G23" s="3">
        <v>0.35</v>
      </c>
      <c r="H23" s="3">
        <v>0.3</v>
      </c>
      <c r="I23" s="3">
        <v>0.35</v>
      </c>
    </row>
    <row r="24" spans="1:9" x14ac:dyDescent="0.25">
      <c r="A24" s="1">
        <v>23</v>
      </c>
      <c r="B24" s="1">
        <v>8</v>
      </c>
      <c r="C24" s="1">
        <v>36</v>
      </c>
      <c r="D24" s="6">
        <v>0.18</v>
      </c>
      <c r="E24" s="2">
        <v>1.2E-2</v>
      </c>
      <c r="F24" s="1">
        <v>0.33</v>
      </c>
      <c r="G24" s="3">
        <v>0.15</v>
      </c>
      <c r="H24" s="3">
        <v>0.3</v>
      </c>
      <c r="I24" s="3">
        <v>0.54999999999999993</v>
      </c>
    </row>
    <row r="25" spans="1:9" x14ac:dyDescent="0.25">
      <c r="A25" s="1">
        <v>24</v>
      </c>
      <c r="B25" s="1">
        <v>3</v>
      </c>
      <c r="C25" s="1">
        <v>21</v>
      </c>
      <c r="D25" s="1" t="s">
        <v>25</v>
      </c>
      <c r="E25" s="2">
        <v>1.7999999999999999E-2</v>
      </c>
      <c r="F25" s="1">
        <v>0.33</v>
      </c>
      <c r="G25" s="3">
        <v>0.24</v>
      </c>
      <c r="H25" s="3">
        <v>0.37</v>
      </c>
      <c r="I25" s="3">
        <v>0.39</v>
      </c>
    </row>
    <row r="26" spans="1:9" x14ac:dyDescent="0.25">
      <c r="A26" s="1">
        <v>25</v>
      </c>
      <c r="B26" s="1">
        <v>7</v>
      </c>
      <c r="C26" s="1">
        <v>10</v>
      </c>
      <c r="D26" s="6">
        <v>0.19</v>
      </c>
      <c r="E26" s="2">
        <v>1.4E-2</v>
      </c>
      <c r="F26" s="1">
        <v>0.33</v>
      </c>
      <c r="G26" s="3">
        <v>0.26</v>
      </c>
      <c r="H26" s="3">
        <v>0.25</v>
      </c>
      <c r="I26" s="3">
        <v>0.49</v>
      </c>
    </row>
    <row r="27" spans="1:9" x14ac:dyDescent="0.25">
      <c r="A27" s="1">
        <v>26</v>
      </c>
      <c r="B27" s="1">
        <v>8</v>
      </c>
      <c r="C27" s="1">
        <v>10</v>
      </c>
      <c r="D27" s="6">
        <v>0.24</v>
      </c>
      <c r="E27" s="2">
        <v>3.6999999999999998E-2</v>
      </c>
      <c r="F27" s="1">
        <v>0.33</v>
      </c>
      <c r="G27" s="3">
        <v>0.24</v>
      </c>
      <c r="H27" s="3">
        <v>0.37</v>
      </c>
      <c r="I27" s="3">
        <v>0.39</v>
      </c>
    </row>
    <row r="28" spans="1:9" x14ac:dyDescent="0.25">
      <c r="A28" s="1">
        <v>27</v>
      </c>
      <c r="B28" s="1">
        <v>3</v>
      </c>
      <c r="C28" s="1">
        <v>18</v>
      </c>
      <c r="D28" s="6">
        <v>0.18</v>
      </c>
      <c r="E28" s="2">
        <v>1.4E-2</v>
      </c>
      <c r="F28" s="1">
        <v>0.33</v>
      </c>
      <c r="G28" s="3">
        <v>0.35</v>
      </c>
      <c r="H28" s="3">
        <v>0.27</v>
      </c>
      <c r="I28" s="3">
        <v>0.38</v>
      </c>
    </row>
    <row r="29" spans="1:9" x14ac:dyDescent="0.25">
      <c r="A29" s="1">
        <v>28</v>
      </c>
      <c r="B29" s="1">
        <v>9</v>
      </c>
      <c r="C29" s="1">
        <v>18</v>
      </c>
      <c r="D29" s="6">
        <v>0.23</v>
      </c>
      <c r="E29" s="2">
        <v>3.5999999999999997E-2</v>
      </c>
      <c r="F29" s="1">
        <v>0.33</v>
      </c>
      <c r="G29" s="3">
        <v>0.32</v>
      </c>
      <c r="H29" s="3">
        <v>0.41</v>
      </c>
      <c r="I29" s="3">
        <v>0.27000000000000007</v>
      </c>
    </row>
    <row r="30" spans="1:9" x14ac:dyDescent="0.25">
      <c r="A30" s="1">
        <v>29</v>
      </c>
      <c r="B30" s="1">
        <v>3</v>
      </c>
      <c r="C30" s="1">
        <v>21</v>
      </c>
      <c r="D30" s="6">
        <v>0.23</v>
      </c>
      <c r="E30" s="2">
        <v>3.5000000000000003E-2</v>
      </c>
      <c r="F30" s="1">
        <v>0.33</v>
      </c>
      <c r="G30" s="3">
        <v>0.15</v>
      </c>
      <c r="H30" s="3">
        <v>0.22</v>
      </c>
      <c r="I30" s="3">
        <v>0.63</v>
      </c>
    </row>
    <row r="31" spans="1:9" x14ac:dyDescent="0.25">
      <c r="A31" s="1">
        <v>30</v>
      </c>
      <c r="B31" s="1">
        <v>11</v>
      </c>
      <c r="C31" s="1">
        <v>29</v>
      </c>
      <c r="D31" s="1" t="s">
        <v>24</v>
      </c>
      <c r="E31" s="2">
        <v>0.04</v>
      </c>
      <c r="F31" s="1">
        <v>0.45</v>
      </c>
      <c r="G31" s="3">
        <v>0.33</v>
      </c>
      <c r="H31" s="3">
        <v>0.21</v>
      </c>
      <c r="I31" s="3">
        <v>0.46</v>
      </c>
    </row>
    <row r="32" spans="1:9" x14ac:dyDescent="0.25">
      <c r="A32" s="1">
        <v>31</v>
      </c>
      <c r="B32" s="1">
        <v>12</v>
      </c>
      <c r="C32" s="1">
        <v>32</v>
      </c>
      <c r="D32" s="1" t="s">
        <v>25</v>
      </c>
      <c r="E32" s="2">
        <v>3.2000000000000001E-2</v>
      </c>
      <c r="F32" s="1">
        <v>0.45</v>
      </c>
      <c r="G32" s="3">
        <v>0.31</v>
      </c>
      <c r="H32" s="3">
        <v>0.38</v>
      </c>
      <c r="I32" s="3">
        <v>0.31</v>
      </c>
    </row>
    <row r="33" spans="1:9" x14ac:dyDescent="0.25">
      <c r="A33" s="1">
        <v>32</v>
      </c>
      <c r="B33" s="1">
        <v>12</v>
      </c>
      <c r="C33" s="1">
        <v>34</v>
      </c>
      <c r="D33" s="1" t="s">
        <v>21</v>
      </c>
      <c r="E33" s="2">
        <v>2.5000000000000001E-2</v>
      </c>
      <c r="F33" s="1">
        <v>0.45</v>
      </c>
      <c r="G33" s="3">
        <v>0.25</v>
      </c>
      <c r="H33" s="3">
        <v>0.22</v>
      </c>
      <c r="I33" s="3">
        <v>0.53</v>
      </c>
    </row>
    <row r="34" spans="1:9" x14ac:dyDescent="0.25">
      <c r="A34" s="1">
        <v>33</v>
      </c>
      <c r="B34" s="1">
        <v>4</v>
      </c>
      <c r="C34" s="1">
        <v>11</v>
      </c>
      <c r="D34" s="1" t="s">
        <v>21</v>
      </c>
      <c r="E34" s="2">
        <v>0.02</v>
      </c>
      <c r="F34" s="1">
        <v>0.33</v>
      </c>
      <c r="G34" s="3">
        <v>0.32</v>
      </c>
      <c r="H34" s="3">
        <v>0.25</v>
      </c>
      <c r="I34" s="3">
        <v>0.43</v>
      </c>
    </row>
    <row r="35" spans="1:9" x14ac:dyDescent="0.25">
      <c r="A35" s="1">
        <v>34</v>
      </c>
      <c r="B35" s="1">
        <v>12</v>
      </c>
      <c r="C35" s="1">
        <v>25</v>
      </c>
      <c r="D35" s="1" t="s">
        <v>25</v>
      </c>
      <c r="E35" s="2">
        <v>2.8000000000000001E-2</v>
      </c>
      <c r="F35" s="1">
        <v>0.45</v>
      </c>
      <c r="G35" s="3">
        <v>0.2</v>
      </c>
      <c r="H35" s="3">
        <v>0.2</v>
      </c>
      <c r="I35" s="3">
        <v>0.60000000000000009</v>
      </c>
    </row>
    <row r="36" spans="1:9" x14ac:dyDescent="0.25">
      <c r="A36" s="1">
        <v>35</v>
      </c>
      <c r="B36" s="1">
        <v>7</v>
      </c>
      <c r="C36" s="1">
        <v>12</v>
      </c>
      <c r="D36" s="1" t="s">
        <v>21</v>
      </c>
      <c r="E36" s="2">
        <v>2.1999999999999999E-2</v>
      </c>
      <c r="F36" s="1">
        <v>0.33</v>
      </c>
      <c r="G36" s="3">
        <v>0.33</v>
      </c>
      <c r="H36" s="3">
        <v>0.38</v>
      </c>
      <c r="I36" s="3">
        <v>0.28999999999999998</v>
      </c>
    </row>
    <row r="37" spans="1:9" x14ac:dyDescent="0.25">
      <c r="A37" s="1">
        <v>36</v>
      </c>
      <c r="B37" s="1">
        <v>11</v>
      </c>
      <c r="C37" s="1">
        <v>26</v>
      </c>
      <c r="D37" s="6">
        <v>0.21</v>
      </c>
      <c r="E37" s="2">
        <v>2.5999999999999999E-2</v>
      </c>
      <c r="F37" s="1">
        <v>0.45</v>
      </c>
      <c r="G37" s="3">
        <v>0.28000000000000003</v>
      </c>
      <c r="H37" s="3">
        <v>0.26</v>
      </c>
      <c r="I37" s="3">
        <v>0.45999999999999996</v>
      </c>
    </row>
    <row r="38" spans="1:9" x14ac:dyDescent="0.25">
      <c r="A38" s="1">
        <v>37</v>
      </c>
      <c r="B38" s="1">
        <v>3</v>
      </c>
      <c r="C38" s="1">
        <v>24</v>
      </c>
      <c r="D38" s="6">
        <v>0.23</v>
      </c>
      <c r="E38" s="2">
        <v>3.3000000000000002E-2</v>
      </c>
      <c r="F38" s="1">
        <v>0.33</v>
      </c>
      <c r="G38" s="3">
        <v>0.32</v>
      </c>
      <c r="H38" s="3">
        <v>0.45</v>
      </c>
      <c r="I38" s="3">
        <v>0.23000000000000004</v>
      </c>
    </row>
    <row r="39" spans="1:9" x14ac:dyDescent="0.25">
      <c r="A39" s="1">
        <v>38</v>
      </c>
      <c r="B39" s="1">
        <v>4</v>
      </c>
      <c r="C39" s="1">
        <v>16</v>
      </c>
      <c r="D39" s="6">
        <v>0.25</v>
      </c>
      <c r="E39" s="2">
        <v>3.3000000000000002E-2</v>
      </c>
      <c r="F39" s="1">
        <v>0.33</v>
      </c>
      <c r="G39" s="3">
        <v>0.27</v>
      </c>
      <c r="H39" s="3">
        <v>0.32</v>
      </c>
      <c r="I39" s="3">
        <v>0.40999999999999992</v>
      </c>
    </row>
    <row r="40" spans="1:9" x14ac:dyDescent="0.25">
      <c r="A40" s="1">
        <v>39</v>
      </c>
      <c r="B40" s="1">
        <v>5</v>
      </c>
      <c r="C40" s="1">
        <v>24</v>
      </c>
      <c r="D40" s="6">
        <v>0.24</v>
      </c>
      <c r="E40" s="2">
        <v>3.5999999999999997E-2</v>
      </c>
      <c r="F40" s="1">
        <v>0.33</v>
      </c>
      <c r="G40" s="3">
        <v>0.24</v>
      </c>
      <c r="H40" s="3">
        <v>0.21</v>
      </c>
      <c r="I40" s="3">
        <v>0.55000000000000004</v>
      </c>
    </row>
    <row r="41" spans="1:9" x14ac:dyDescent="0.25">
      <c r="A41" s="1">
        <v>40</v>
      </c>
      <c r="B41" s="1">
        <v>8</v>
      </c>
      <c r="C41" s="1">
        <v>28</v>
      </c>
      <c r="D41" s="6">
        <v>0.2</v>
      </c>
      <c r="E41" s="2">
        <v>2.1999999999999999E-2</v>
      </c>
      <c r="F41" s="1">
        <v>0.33</v>
      </c>
      <c r="G41" s="3">
        <v>0.35</v>
      </c>
      <c r="H41" s="3">
        <v>0.42</v>
      </c>
      <c r="I41" s="3">
        <v>0.23000000000000009</v>
      </c>
    </row>
    <row r="42" spans="1:9" x14ac:dyDescent="0.25">
      <c r="A42" s="1">
        <v>41</v>
      </c>
      <c r="B42" s="1">
        <v>10</v>
      </c>
      <c r="C42" s="1">
        <v>26</v>
      </c>
      <c r="D42" s="6">
        <v>0.24</v>
      </c>
      <c r="E42" s="2">
        <v>3.5999999999999997E-2</v>
      </c>
      <c r="F42" s="1">
        <v>0.33</v>
      </c>
      <c r="G42" s="3">
        <v>0.35</v>
      </c>
      <c r="H42" s="3">
        <v>0.38</v>
      </c>
      <c r="I42" s="3">
        <v>0.27</v>
      </c>
    </row>
    <row r="43" spans="1:9" x14ac:dyDescent="0.25">
      <c r="A43" s="1">
        <v>42</v>
      </c>
      <c r="B43" s="1">
        <v>4</v>
      </c>
      <c r="C43" s="1">
        <v>29</v>
      </c>
      <c r="D43" s="6">
        <v>0.25</v>
      </c>
      <c r="E43" s="2">
        <v>2.5000000000000001E-2</v>
      </c>
      <c r="F43" s="1">
        <v>0.33</v>
      </c>
      <c r="G43" s="3">
        <v>0.15</v>
      </c>
      <c r="H43" s="3">
        <v>0.41</v>
      </c>
      <c r="I43" s="3">
        <v>0.44000000000000006</v>
      </c>
    </row>
    <row r="44" spans="1:9" x14ac:dyDescent="0.25">
      <c r="A44" s="1">
        <v>43</v>
      </c>
      <c r="B44" s="1">
        <v>3</v>
      </c>
      <c r="C44" s="1">
        <v>19</v>
      </c>
      <c r="D44" s="6">
        <v>0.19</v>
      </c>
      <c r="E44" s="2">
        <v>1.4999999999999999E-2</v>
      </c>
      <c r="F44" s="1">
        <v>0.33</v>
      </c>
      <c r="G44" s="3">
        <v>0.21</v>
      </c>
      <c r="H44" s="3">
        <v>0.41</v>
      </c>
      <c r="I44" s="3">
        <v>0.38000000000000012</v>
      </c>
    </row>
    <row r="45" spans="1:9" x14ac:dyDescent="0.25">
      <c r="A45" s="1">
        <v>44</v>
      </c>
      <c r="B45" s="1">
        <v>4</v>
      </c>
      <c r="C45" s="1">
        <v>23</v>
      </c>
      <c r="D45" s="6">
        <v>0.21</v>
      </c>
      <c r="E45" s="2">
        <v>0.03</v>
      </c>
      <c r="F45" s="1">
        <v>0.33</v>
      </c>
      <c r="G45" s="3">
        <v>0.28000000000000003</v>
      </c>
      <c r="H45" s="3">
        <v>0.25</v>
      </c>
      <c r="I45" s="3">
        <v>0.47</v>
      </c>
    </row>
    <row r="46" spans="1:9" x14ac:dyDescent="0.25">
      <c r="A46" s="1">
        <v>45</v>
      </c>
      <c r="B46" s="1">
        <v>2</v>
      </c>
      <c r="C46" s="1">
        <v>29</v>
      </c>
      <c r="D46" s="6">
        <v>0.2</v>
      </c>
      <c r="E46" s="2">
        <v>2.1000000000000001E-2</v>
      </c>
      <c r="F46" s="1">
        <v>0.33</v>
      </c>
      <c r="G46" s="3">
        <v>0.2</v>
      </c>
      <c r="H46" s="3">
        <v>0.39</v>
      </c>
      <c r="I46" s="3">
        <v>0.41</v>
      </c>
    </row>
    <row r="47" spans="1:9" x14ac:dyDescent="0.25">
      <c r="A47" s="1">
        <v>46</v>
      </c>
      <c r="B47" s="1">
        <v>5</v>
      </c>
      <c r="C47" s="1">
        <v>5</v>
      </c>
      <c r="D47" s="1" t="s">
        <v>26</v>
      </c>
      <c r="E47" s="2">
        <v>3.6999999999999998E-2</v>
      </c>
      <c r="F47" s="1">
        <v>0.33</v>
      </c>
      <c r="G47" s="3">
        <v>0.28000000000000003</v>
      </c>
      <c r="H47" s="3">
        <v>0.42</v>
      </c>
      <c r="I47" s="3">
        <v>0.30000000000000004</v>
      </c>
    </row>
    <row r="48" spans="1:9" x14ac:dyDescent="0.25">
      <c r="A48" s="1">
        <v>47</v>
      </c>
      <c r="B48" s="1">
        <v>2</v>
      </c>
      <c r="C48" s="1">
        <v>4</v>
      </c>
      <c r="D48" s="1" t="s">
        <v>22</v>
      </c>
      <c r="E48" s="2">
        <v>2.4E-2</v>
      </c>
      <c r="F48" s="1">
        <v>0.33</v>
      </c>
      <c r="G48" s="3">
        <v>0.31</v>
      </c>
      <c r="H48" s="3">
        <v>0.21</v>
      </c>
      <c r="I48" s="3">
        <v>0.48000000000000004</v>
      </c>
    </row>
    <row r="49" spans="1:9" x14ac:dyDescent="0.25">
      <c r="A49" s="1">
        <v>48</v>
      </c>
      <c r="B49" s="1">
        <v>2</v>
      </c>
      <c r="C49" s="1">
        <v>5</v>
      </c>
      <c r="D49" s="1" t="s">
        <v>24</v>
      </c>
      <c r="E49" s="2">
        <v>1.4E-2</v>
      </c>
      <c r="F49" s="1">
        <v>0.33</v>
      </c>
      <c r="G49" s="3">
        <v>0.21</v>
      </c>
      <c r="H49" s="3">
        <v>0.43</v>
      </c>
      <c r="I49" s="3">
        <v>0.3600000000000001</v>
      </c>
    </row>
    <row r="50" spans="1:9" x14ac:dyDescent="0.25">
      <c r="A50" s="1">
        <v>49</v>
      </c>
      <c r="B50" s="1">
        <v>5</v>
      </c>
      <c r="C50" s="1">
        <v>4</v>
      </c>
      <c r="D50" s="1" t="s">
        <v>22</v>
      </c>
      <c r="E50" s="2">
        <v>2.1999999999999999E-2</v>
      </c>
      <c r="F50" s="1">
        <v>0.33</v>
      </c>
      <c r="G50" s="3">
        <v>0.18</v>
      </c>
      <c r="H50" s="3">
        <v>0.27</v>
      </c>
      <c r="I50" s="3">
        <v>0.55000000000000004</v>
      </c>
    </row>
    <row r="51" spans="1:9" x14ac:dyDescent="0.25">
      <c r="A51" s="1">
        <v>50</v>
      </c>
      <c r="B51" s="1">
        <v>4</v>
      </c>
      <c r="C51" s="1">
        <v>5</v>
      </c>
      <c r="D51" s="1" t="s">
        <v>24</v>
      </c>
      <c r="E51" s="2">
        <v>1.7999999999999999E-2</v>
      </c>
      <c r="F51" s="1">
        <v>0.33</v>
      </c>
      <c r="G51" s="3">
        <v>0.27</v>
      </c>
      <c r="H51" s="3">
        <v>0.22</v>
      </c>
      <c r="I51" s="3">
        <v>0.51</v>
      </c>
    </row>
    <row r="52" spans="1:9" x14ac:dyDescent="0.25">
      <c r="A52" s="1">
        <v>51</v>
      </c>
      <c r="B52" s="1">
        <v>3</v>
      </c>
      <c r="C52" s="1">
        <v>9</v>
      </c>
      <c r="D52" s="1" t="s">
        <v>23</v>
      </c>
      <c r="E52" s="2">
        <v>0.03</v>
      </c>
      <c r="F52" s="1">
        <v>0.33</v>
      </c>
      <c r="G52" s="3">
        <v>0.23</v>
      </c>
      <c r="H52" s="3">
        <v>0.36</v>
      </c>
      <c r="I52" s="3">
        <v>0.41000000000000003</v>
      </c>
    </row>
    <row r="53" spans="1:9" x14ac:dyDescent="0.25">
      <c r="A53" s="1">
        <v>52</v>
      </c>
      <c r="B53" s="1">
        <v>1</v>
      </c>
      <c r="C53" s="1">
        <v>8</v>
      </c>
      <c r="D53" s="1" t="s">
        <v>26</v>
      </c>
      <c r="E53" s="2">
        <v>3.4000000000000002E-2</v>
      </c>
      <c r="F53" s="1">
        <v>0.33</v>
      </c>
      <c r="G53" s="3">
        <v>0.26</v>
      </c>
      <c r="H53" s="3">
        <v>0.41</v>
      </c>
      <c r="I53" s="3">
        <v>0.33000000000000007</v>
      </c>
    </row>
    <row r="54" spans="1:9" x14ac:dyDescent="0.25">
      <c r="A54" s="1">
        <v>53</v>
      </c>
      <c r="B54" s="1">
        <v>1</v>
      </c>
      <c r="C54" s="1">
        <v>9</v>
      </c>
      <c r="D54" s="1" t="s">
        <v>24</v>
      </c>
      <c r="E54" s="2">
        <v>1.6E-2</v>
      </c>
      <c r="F54" s="1">
        <v>0.33</v>
      </c>
      <c r="G54" s="3">
        <v>0.24</v>
      </c>
      <c r="H54" s="3">
        <v>0.22</v>
      </c>
      <c r="I54" s="3">
        <v>0.54</v>
      </c>
    </row>
    <row r="55" spans="1:9" x14ac:dyDescent="0.25">
      <c r="A55" s="1">
        <v>54</v>
      </c>
      <c r="B55" s="1">
        <v>5</v>
      </c>
      <c r="C55" s="1">
        <v>8</v>
      </c>
      <c r="D55" s="1" t="s">
        <v>24</v>
      </c>
      <c r="E55" s="2">
        <v>1.2999999999999999E-2</v>
      </c>
      <c r="F55" s="1">
        <v>0.33</v>
      </c>
      <c r="G55" s="3">
        <v>0.33</v>
      </c>
      <c r="H55" s="3">
        <v>0.2</v>
      </c>
      <c r="I55" s="3">
        <v>0.47000000000000003</v>
      </c>
    </row>
    <row r="56" spans="1:9" x14ac:dyDescent="0.25">
      <c r="A56" s="1">
        <v>55</v>
      </c>
      <c r="B56" s="1">
        <v>4</v>
      </c>
      <c r="C56" s="1">
        <v>9</v>
      </c>
      <c r="D56" s="1" t="s">
        <v>24</v>
      </c>
      <c r="E56" s="2">
        <v>1.7999999999999999E-2</v>
      </c>
      <c r="F56" s="1">
        <v>0.33</v>
      </c>
      <c r="G56" s="3">
        <v>0.26</v>
      </c>
      <c r="H56" s="3">
        <v>0.28000000000000003</v>
      </c>
      <c r="I56" s="3">
        <v>0.45999999999999996</v>
      </c>
    </row>
    <row r="57" spans="1:9" x14ac:dyDescent="0.25">
      <c r="A57" s="1">
        <v>56</v>
      </c>
      <c r="B57" s="1">
        <v>1</v>
      </c>
      <c r="C57" s="1">
        <v>6</v>
      </c>
      <c r="D57" s="1" t="s">
        <v>24</v>
      </c>
      <c r="E57" s="2">
        <v>1.6E-2</v>
      </c>
      <c r="F57" s="1">
        <v>0.33</v>
      </c>
      <c r="G57" s="3">
        <v>0.21</v>
      </c>
      <c r="H57" s="3">
        <v>0.34</v>
      </c>
      <c r="I57" s="3">
        <v>0.44999999999999996</v>
      </c>
    </row>
    <row r="58" spans="1:9" x14ac:dyDescent="0.25">
      <c r="A58" s="1">
        <v>57</v>
      </c>
      <c r="B58" s="1">
        <v>5</v>
      </c>
      <c r="C58" s="1">
        <v>3</v>
      </c>
      <c r="D58" s="1" t="s">
        <v>26</v>
      </c>
      <c r="E58" s="2">
        <v>3.6999999999999998E-2</v>
      </c>
      <c r="F58" s="1">
        <v>0.33</v>
      </c>
      <c r="G58" s="3">
        <v>0.19</v>
      </c>
      <c r="H58" s="3">
        <v>0.41</v>
      </c>
      <c r="I58" s="3">
        <v>0.40000000000000008</v>
      </c>
    </row>
    <row r="59" spans="1:9" x14ac:dyDescent="0.25">
      <c r="A59" s="1">
        <v>58</v>
      </c>
      <c r="B59" s="1">
        <v>4</v>
      </c>
      <c r="C59" s="1">
        <v>8</v>
      </c>
      <c r="D59" s="1" t="s">
        <v>23</v>
      </c>
      <c r="E59" s="2">
        <v>3.1E-2</v>
      </c>
      <c r="F59" s="1">
        <v>0.33</v>
      </c>
      <c r="G59" s="3">
        <v>0.19</v>
      </c>
      <c r="H59" s="3">
        <v>0.2</v>
      </c>
      <c r="I59" s="3">
        <v>0.6100000000000001</v>
      </c>
    </row>
    <row r="60" spans="1:9" x14ac:dyDescent="0.25">
      <c r="A60" s="1">
        <v>59</v>
      </c>
      <c r="B60" s="1">
        <v>2</v>
      </c>
      <c r="C60" s="1">
        <v>6</v>
      </c>
      <c r="D60" s="1" t="s">
        <v>24</v>
      </c>
      <c r="E60" s="2">
        <v>1.4E-2</v>
      </c>
      <c r="F60" s="1">
        <v>0.33</v>
      </c>
      <c r="G60" s="3">
        <v>0.18</v>
      </c>
      <c r="H60" s="3">
        <v>0.43</v>
      </c>
      <c r="I60" s="3">
        <v>0.39000000000000007</v>
      </c>
    </row>
    <row r="61" spans="1:9" x14ac:dyDescent="0.25">
      <c r="A61" s="1">
        <v>60</v>
      </c>
      <c r="B61" s="1">
        <v>1</v>
      </c>
      <c r="C61" s="1">
        <v>9</v>
      </c>
      <c r="D61" s="1" t="s">
        <v>22</v>
      </c>
      <c r="E61" s="2">
        <v>2.1999999999999999E-2</v>
      </c>
      <c r="F61" s="1">
        <v>0.33</v>
      </c>
      <c r="G61" s="3">
        <v>0.26</v>
      </c>
      <c r="H61" s="3">
        <v>0.37</v>
      </c>
      <c r="I61" s="3">
        <v>0.37</v>
      </c>
    </row>
    <row r="62" spans="1:9" x14ac:dyDescent="0.25">
      <c r="A62" s="1">
        <v>61</v>
      </c>
      <c r="B62" s="1">
        <v>1</v>
      </c>
      <c r="C62" s="1">
        <v>3</v>
      </c>
      <c r="D62" s="1" t="s">
        <v>23</v>
      </c>
      <c r="E62" s="2">
        <v>3.1E-2</v>
      </c>
      <c r="F62" s="1">
        <v>0.33</v>
      </c>
      <c r="G62" s="3">
        <v>0.2</v>
      </c>
      <c r="H62" s="3">
        <v>0.25</v>
      </c>
      <c r="I62" s="3">
        <v>0.55000000000000004</v>
      </c>
    </row>
    <row r="63" spans="1:9" x14ac:dyDescent="0.25">
      <c r="A63" s="1">
        <v>62</v>
      </c>
      <c r="B63" s="1">
        <v>3</v>
      </c>
      <c r="C63" s="1">
        <v>4</v>
      </c>
      <c r="D63" s="1" t="s">
        <v>22</v>
      </c>
      <c r="E63" s="2">
        <v>2.7E-2</v>
      </c>
      <c r="F63" s="1">
        <v>0.33</v>
      </c>
      <c r="G63" s="3">
        <v>0.23</v>
      </c>
      <c r="H63" s="3">
        <v>0.3</v>
      </c>
      <c r="I63" s="3">
        <v>0.47</v>
      </c>
    </row>
    <row r="64" spans="1:9" x14ac:dyDescent="0.25">
      <c r="A64" s="1">
        <v>63</v>
      </c>
      <c r="B64" s="1">
        <v>4</v>
      </c>
      <c r="C64" s="1">
        <v>8</v>
      </c>
      <c r="D64" s="1" t="s">
        <v>24</v>
      </c>
      <c r="E64" s="2">
        <v>1.0999999999999999E-2</v>
      </c>
      <c r="F64" s="1">
        <v>0.33</v>
      </c>
      <c r="G64" s="3">
        <v>0.24</v>
      </c>
      <c r="H64" s="3">
        <v>0.36</v>
      </c>
      <c r="I64" s="3">
        <v>0.4</v>
      </c>
    </row>
    <row r="65" spans="1:9" x14ac:dyDescent="0.25">
      <c r="A65" s="1">
        <v>64</v>
      </c>
      <c r="B65" s="1">
        <v>3</v>
      </c>
      <c r="C65" s="1">
        <v>3</v>
      </c>
      <c r="D65" s="1" t="s">
        <v>23</v>
      </c>
      <c r="E65" s="2">
        <v>3.2000000000000001E-2</v>
      </c>
      <c r="F65" s="1">
        <v>0.33</v>
      </c>
      <c r="G65" s="3">
        <v>0.24</v>
      </c>
      <c r="H65" s="3">
        <v>0.36</v>
      </c>
      <c r="I65" s="3">
        <v>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1A82-26A2-47D5-AC68-AD872EDAF321}">
  <dimension ref="A1:J87"/>
  <sheetViews>
    <sheetView topLeftCell="A31" workbookViewId="0">
      <selection activeCell="D30" sqref="D30"/>
    </sheetView>
  </sheetViews>
  <sheetFormatPr baseColWidth="10" defaultColWidth="11.42578125" defaultRowHeight="15" x14ac:dyDescent="0.25"/>
  <cols>
    <col min="1" max="1" width="14.28515625" bestFit="1" customWidth="1"/>
    <col min="2" max="2" width="15.140625" bestFit="1" customWidth="1"/>
    <col min="3" max="3" width="14.85546875" bestFit="1" customWidth="1"/>
    <col min="4" max="4" width="11.7109375" bestFit="1" customWidth="1"/>
  </cols>
  <sheetData>
    <row r="1" spans="1:10" ht="60" x14ac:dyDescent="0.25">
      <c r="A1" s="4" t="s">
        <v>9</v>
      </c>
      <c r="B1" s="5" t="s">
        <v>27</v>
      </c>
      <c r="C1" s="5" t="s">
        <v>28</v>
      </c>
      <c r="D1" s="4" t="s">
        <v>13</v>
      </c>
      <c r="E1" s="4" t="s">
        <v>14</v>
      </c>
      <c r="F1" s="4" t="s">
        <v>15</v>
      </c>
      <c r="G1" s="4" t="s">
        <v>16</v>
      </c>
      <c r="H1" s="4" t="s">
        <v>17</v>
      </c>
      <c r="I1" s="4" t="s">
        <v>29</v>
      </c>
      <c r="J1" s="7" t="s">
        <v>30</v>
      </c>
    </row>
    <row r="2" spans="1:10" x14ac:dyDescent="0.25">
      <c r="A2" s="1">
        <v>1</v>
      </c>
      <c r="B2" s="1">
        <v>5</v>
      </c>
      <c r="C2" s="1">
        <v>1</v>
      </c>
      <c r="D2" s="2">
        <v>1.7000000000000001E-2</v>
      </c>
      <c r="E2" s="1">
        <v>0.67</v>
      </c>
      <c r="F2" s="3">
        <v>0.3</v>
      </c>
      <c r="G2" s="1">
        <v>0.37</v>
      </c>
      <c r="H2" s="3">
        <v>0.33</v>
      </c>
      <c r="I2" s="1">
        <v>0.04</v>
      </c>
      <c r="J2" t="s">
        <v>31</v>
      </c>
    </row>
    <row r="3" spans="1:10" x14ac:dyDescent="0.25">
      <c r="A3" s="1">
        <v>2</v>
      </c>
      <c r="B3" s="1">
        <v>5</v>
      </c>
      <c r="C3" s="1">
        <v>4</v>
      </c>
      <c r="D3" s="2">
        <v>3.5999999999999997E-2</v>
      </c>
      <c r="E3" s="1">
        <v>0.75</v>
      </c>
      <c r="F3" s="3">
        <v>0.34</v>
      </c>
      <c r="G3" s="1">
        <v>0.25</v>
      </c>
      <c r="H3" s="3">
        <v>0.41</v>
      </c>
      <c r="I3" s="1">
        <v>0.05</v>
      </c>
      <c r="J3" t="s">
        <v>32</v>
      </c>
    </row>
    <row r="4" spans="1:10" x14ac:dyDescent="0.25">
      <c r="A4" s="1">
        <v>3</v>
      </c>
      <c r="B4" s="1">
        <v>5</v>
      </c>
      <c r="C4" s="1">
        <v>3</v>
      </c>
      <c r="D4" s="2">
        <v>2.7E-2</v>
      </c>
      <c r="E4" s="1">
        <v>0.75</v>
      </c>
      <c r="F4" s="3">
        <v>0.3</v>
      </c>
      <c r="G4" s="1">
        <v>0.44</v>
      </c>
      <c r="H4" s="3">
        <v>0.26000000000000006</v>
      </c>
      <c r="I4" s="1">
        <v>0.05</v>
      </c>
    </row>
    <row r="5" spans="1:10" x14ac:dyDescent="0.25">
      <c r="A5" s="1">
        <v>4</v>
      </c>
      <c r="B5" s="1">
        <v>5</v>
      </c>
      <c r="C5" s="1">
        <v>2</v>
      </c>
      <c r="D5" s="2">
        <v>5.6000000000000001E-2</v>
      </c>
      <c r="E5" s="1">
        <v>0.67</v>
      </c>
      <c r="F5" s="3">
        <v>0.28999999999999998</v>
      </c>
      <c r="G5" s="1">
        <v>0.33</v>
      </c>
      <c r="H5" s="3">
        <v>0.37999999999999995</v>
      </c>
      <c r="I5" s="1">
        <v>0.05</v>
      </c>
    </row>
    <row r="6" spans="1:10" x14ac:dyDescent="0.25">
      <c r="A6" s="1">
        <v>5</v>
      </c>
      <c r="B6" s="1">
        <v>10</v>
      </c>
      <c r="C6" s="1">
        <v>7</v>
      </c>
      <c r="D6" s="2">
        <v>4.8000000000000001E-2</v>
      </c>
      <c r="E6" s="1">
        <v>0.75</v>
      </c>
      <c r="F6" s="3">
        <v>0.31</v>
      </c>
      <c r="G6" s="1">
        <v>0.38</v>
      </c>
      <c r="H6" s="3">
        <v>0.31</v>
      </c>
      <c r="I6" s="1">
        <v>0.05</v>
      </c>
    </row>
    <row r="7" spans="1:10" x14ac:dyDescent="0.25">
      <c r="A7" s="1">
        <v>6</v>
      </c>
      <c r="B7" s="1">
        <v>10</v>
      </c>
      <c r="C7" s="1">
        <v>8</v>
      </c>
      <c r="D7" s="2">
        <v>2.1999999999999999E-2</v>
      </c>
      <c r="E7" s="1">
        <v>0.75</v>
      </c>
      <c r="F7" s="3">
        <v>0.25</v>
      </c>
      <c r="G7" s="1">
        <v>0.26</v>
      </c>
      <c r="H7" s="3">
        <v>0.49</v>
      </c>
      <c r="I7" s="1">
        <v>0.04</v>
      </c>
    </row>
    <row r="8" spans="1:10" x14ac:dyDescent="0.25">
      <c r="A8" s="1">
        <v>7</v>
      </c>
      <c r="B8" s="1">
        <v>10</v>
      </c>
      <c r="C8" s="1">
        <v>10</v>
      </c>
      <c r="D8" s="2">
        <v>5.3999999999999999E-2</v>
      </c>
      <c r="E8" s="1">
        <v>0.75</v>
      </c>
      <c r="F8" s="3">
        <v>0.28000000000000003</v>
      </c>
      <c r="G8" s="1">
        <v>0.43</v>
      </c>
      <c r="H8" s="3">
        <v>0.29000000000000004</v>
      </c>
      <c r="I8" s="1">
        <v>0.05</v>
      </c>
    </row>
    <row r="9" spans="1:10" x14ac:dyDescent="0.25">
      <c r="A9" s="1">
        <v>8</v>
      </c>
      <c r="B9" s="1">
        <v>5</v>
      </c>
      <c r="C9" s="1">
        <v>3</v>
      </c>
      <c r="D9" s="2">
        <v>5.7000000000000002E-2</v>
      </c>
      <c r="E9" s="1">
        <v>0.75</v>
      </c>
      <c r="F9" s="3">
        <v>0.32</v>
      </c>
      <c r="G9" s="1">
        <v>0.28999999999999998</v>
      </c>
      <c r="H9" s="3">
        <v>0.38999999999999996</v>
      </c>
      <c r="I9" s="1">
        <v>0.05</v>
      </c>
    </row>
    <row r="10" spans="1:10" x14ac:dyDescent="0.25">
      <c r="A10" s="1">
        <v>9</v>
      </c>
      <c r="B10" s="1">
        <v>5</v>
      </c>
      <c r="C10" s="1">
        <v>2</v>
      </c>
      <c r="D10" s="2">
        <v>2.8000000000000001E-2</v>
      </c>
      <c r="E10" s="1">
        <v>0.67</v>
      </c>
      <c r="F10" s="3">
        <v>0.34</v>
      </c>
      <c r="G10" s="1">
        <v>0.32</v>
      </c>
      <c r="H10" s="3">
        <v>0.33999999999999991</v>
      </c>
      <c r="I10" s="1">
        <v>0.05</v>
      </c>
    </row>
    <row r="11" spans="1:10" x14ac:dyDescent="0.25">
      <c r="A11" s="1">
        <v>10</v>
      </c>
      <c r="B11" s="1">
        <v>10</v>
      </c>
      <c r="C11" s="1">
        <v>10</v>
      </c>
      <c r="D11" s="2">
        <v>5.6000000000000001E-2</v>
      </c>
      <c r="E11" s="1">
        <v>0.75</v>
      </c>
      <c r="F11" s="3">
        <v>0.27</v>
      </c>
      <c r="G11" s="1">
        <v>0.42</v>
      </c>
      <c r="H11" s="3">
        <v>0.31000000000000005</v>
      </c>
      <c r="I11" s="1">
        <v>0.05</v>
      </c>
    </row>
    <row r="12" spans="1:10" x14ac:dyDescent="0.25">
      <c r="A12" s="1">
        <v>11</v>
      </c>
      <c r="B12" s="1">
        <v>5</v>
      </c>
      <c r="C12" s="1">
        <v>1</v>
      </c>
      <c r="D12" s="2">
        <v>3.5999999999999997E-2</v>
      </c>
      <c r="E12" s="1">
        <v>0.67</v>
      </c>
      <c r="F12" s="3">
        <v>0.34</v>
      </c>
      <c r="G12" s="1">
        <v>0.45</v>
      </c>
      <c r="H12" s="3">
        <v>0.21000000000000002</v>
      </c>
      <c r="I12" s="1">
        <v>0.05</v>
      </c>
    </row>
    <row r="13" spans="1:10" x14ac:dyDescent="0.25">
      <c r="A13" s="1">
        <v>12</v>
      </c>
      <c r="B13" s="1">
        <v>5</v>
      </c>
      <c r="C13" s="1">
        <v>2</v>
      </c>
      <c r="D13" s="2">
        <v>2.3E-2</v>
      </c>
      <c r="E13" s="1">
        <v>0.67</v>
      </c>
      <c r="F13" s="3">
        <v>0.28999999999999998</v>
      </c>
      <c r="G13" s="1">
        <v>0.42</v>
      </c>
      <c r="H13" s="3">
        <v>0.29000000000000009</v>
      </c>
      <c r="I13" s="1">
        <v>0.04</v>
      </c>
    </row>
    <row r="14" spans="1:10" x14ac:dyDescent="0.25">
      <c r="A14" s="1">
        <v>13</v>
      </c>
      <c r="B14" s="1">
        <v>5</v>
      </c>
      <c r="C14" s="1">
        <v>1</v>
      </c>
      <c r="D14" s="2">
        <v>4.4999999999999998E-2</v>
      </c>
      <c r="E14" s="1">
        <v>0.67</v>
      </c>
      <c r="F14" s="3">
        <v>0.25</v>
      </c>
      <c r="G14" s="1">
        <v>0.35</v>
      </c>
      <c r="H14" s="3">
        <v>0.4</v>
      </c>
      <c r="I14" s="1">
        <v>0.05</v>
      </c>
    </row>
    <row r="15" spans="1:10" x14ac:dyDescent="0.25">
      <c r="A15" s="1">
        <v>14</v>
      </c>
      <c r="B15" s="1">
        <v>5</v>
      </c>
      <c r="C15" s="1">
        <v>1</v>
      </c>
      <c r="D15" s="2">
        <v>5.5E-2</v>
      </c>
      <c r="E15" s="1">
        <v>0.67</v>
      </c>
      <c r="F15" s="3">
        <v>0.35</v>
      </c>
      <c r="G15" s="1">
        <v>0.42</v>
      </c>
      <c r="H15" s="3">
        <v>0.23000000000000009</v>
      </c>
      <c r="I15" s="1">
        <v>0.05</v>
      </c>
    </row>
    <row r="16" spans="1:10" x14ac:dyDescent="0.25">
      <c r="A16" s="1">
        <v>15</v>
      </c>
      <c r="B16" s="1">
        <v>10</v>
      </c>
      <c r="C16" s="1">
        <v>6</v>
      </c>
      <c r="D16" s="2">
        <v>1.4999999999999999E-2</v>
      </c>
      <c r="E16" s="1">
        <v>0.75</v>
      </c>
      <c r="F16" s="3">
        <v>0.32</v>
      </c>
      <c r="G16" s="1">
        <v>0.43</v>
      </c>
      <c r="H16" s="3">
        <v>0.25000000000000006</v>
      </c>
      <c r="I16" s="1">
        <v>0.04</v>
      </c>
    </row>
    <row r="17" spans="1:9" x14ac:dyDescent="0.25">
      <c r="A17" s="1">
        <v>16</v>
      </c>
      <c r="B17" s="1">
        <v>5</v>
      </c>
      <c r="C17" s="1">
        <v>3</v>
      </c>
      <c r="D17" s="2">
        <v>1.2E-2</v>
      </c>
      <c r="E17" s="1">
        <v>0.75</v>
      </c>
      <c r="F17" s="3">
        <v>0.32</v>
      </c>
      <c r="G17" s="1">
        <v>0.31</v>
      </c>
      <c r="H17" s="3">
        <v>0.36999999999999994</v>
      </c>
      <c r="I17" s="1">
        <v>0.04</v>
      </c>
    </row>
    <row r="18" spans="1:9" x14ac:dyDescent="0.25">
      <c r="A18" s="1">
        <v>17</v>
      </c>
      <c r="B18" s="1">
        <v>5</v>
      </c>
      <c r="C18" s="1">
        <v>2</v>
      </c>
      <c r="D18" s="2">
        <v>5.1999999999999998E-2</v>
      </c>
      <c r="E18" s="1">
        <v>0.67</v>
      </c>
      <c r="F18" s="3">
        <v>0.28000000000000003</v>
      </c>
      <c r="G18" s="1">
        <v>0.33</v>
      </c>
      <c r="H18" s="3">
        <v>0.3899999999999999</v>
      </c>
      <c r="I18" s="1">
        <v>0.05</v>
      </c>
    </row>
    <row r="19" spans="1:9" x14ac:dyDescent="0.25">
      <c r="A19" s="1">
        <v>18</v>
      </c>
      <c r="B19" s="1">
        <v>10</v>
      </c>
      <c r="C19" s="1">
        <v>8</v>
      </c>
      <c r="D19" s="2">
        <v>5.1999999999999998E-2</v>
      </c>
      <c r="E19" s="1">
        <v>0.75</v>
      </c>
      <c r="F19" s="3">
        <v>0.32</v>
      </c>
      <c r="G19" s="1">
        <v>0.42</v>
      </c>
      <c r="H19" s="3">
        <v>0.26000000000000006</v>
      </c>
      <c r="I19" s="1">
        <v>0.05</v>
      </c>
    </row>
    <row r="20" spans="1:9" x14ac:dyDescent="0.25">
      <c r="A20" s="1">
        <v>19</v>
      </c>
      <c r="B20" s="1">
        <v>5</v>
      </c>
      <c r="C20" s="1">
        <v>2</v>
      </c>
      <c r="D20" s="2">
        <v>1.6E-2</v>
      </c>
      <c r="E20" s="1">
        <v>0.67</v>
      </c>
      <c r="F20" s="3">
        <v>0.33</v>
      </c>
      <c r="G20" s="1">
        <v>0.33</v>
      </c>
      <c r="H20" s="3">
        <v>0.33999999999999991</v>
      </c>
      <c r="I20" s="1">
        <v>0.04</v>
      </c>
    </row>
    <row r="21" spans="1:9" x14ac:dyDescent="0.25">
      <c r="A21" s="1">
        <v>20</v>
      </c>
      <c r="B21" s="1">
        <v>10</v>
      </c>
      <c r="C21" s="1">
        <v>8</v>
      </c>
      <c r="D21" s="2">
        <v>5.5E-2</v>
      </c>
      <c r="E21" s="1">
        <v>0.75</v>
      </c>
      <c r="F21" s="3">
        <v>0.27</v>
      </c>
      <c r="G21" s="1">
        <v>0.35</v>
      </c>
      <c r="H21" s="3">
        <v>0.38</v>
      </c>
      <c r="I21" s="1">
        <v>0.05</v>
      </c>
    </row>
    <row r="22" spans="1:9" x14ac:dyDescent="0.25">
      <c r="A22" s="1">
        <v>21</v>
      </c>
      <c r="B22" s="1">
        <v>10</v>
      </c>
      <c r="C22" s="1">
        <v>10</v>
      </c>
      <c r="D22" s="2">
        <v>1.6E-2</v>
      </c>
      <c r="E22" s="1">
        <v>0.75</v>
      </c>
      <c r="F22" s="3">
        <v>0.25</v>
      </c>
      <c r="G22" s="1">
        <v>0.39</v>
      </c>
      <c r="H22" s="3">
        <v>0.36</v>
      </c>
      <c r="I22" s="1">
        <v>0.04</v>
      </c>
    </row>
    <row r="23" spans="1:9" x14ac:dyDescent="0.25">
      <c r="A23" s="1">
        <v>22</v>
      </c>
      <c r="B23" s="1">
        <v>5</v>
      </c>
      <c r="C23" s="1">
        <v>2</v>
      </c>
      <c r="D23" s="2">
        <v>1.4E-2</v>
      </c>
      <c r="E23" s="1">
        <v>0.67</v>
      </c>
      <c r="F23" s="3">
        <v>0.27</v>
      </c>
      <c r="G23" s="1">
        <v>0.34</v>
      </c>
      <c r="H23" s="3">
        <v>0.3899999999999999</v>
      </c>
      <c r="I23" s="1">
        <v>0.04</v>
      </c>
    </row>
    <row r="24" spans="1:9" x14ac:dyDescent="0.25">
      <c r="A24" s="1">
        <v>23</v>
      </c>
      <c r="B24" s="1">
        <v>5</v>
      </c>
      <c r="C24" s="1">
        <v>1</v>
      </c>
      <c r="D24" s="2">
        <v>4.2000000000000003E-2</v>
      </c>
      <c r="E24" s="1">
        <v>0.67</v>
      </c>
      <c r="F24" s="3">
        <v>0.3</v>
      </c>
      <c r="G24" s="1">
        <v>0.43</v>
      </c>
      <c r="H24" s="3">
        <v>0.27000000000000007</v>
      </c>
      <c r="I24" s="1">
        <v>0.05</v>
      </c>
    </row>
    <row r="25" spans="1:9" x14ac:dyDescent="0.25">
      <c r="A25" s="1">
        <v>24</v>
      </c>
      <c r="B25" s="1">
        <v>10</v>
      </c>
      <c r="C25" s="1">
        <v>8</v>
      </c>
      <c r="D25" s="2">
        <v>0.04</v>
      </c>
      <c r="E25" s="1">
        <v>0.75</v>
      </c>
      <c r="F25" s="3">
        <v>0.28000000000000003</v>
      </c>
      <c r="G25" s="1">
        <v>0.37</v>
      </c>
      <c r="H25" s="3">
        <v>0.35</v>
      </c>
      <c r="I25" s="1">
        <v>0.05</v>
      </c>
    </row>
    <row r="26" spans="1:9" x14ac:dyDescent="0.25">
      <c r="A26" s="1">
        <v>25</v>
      </c>
      <c r="B26" s="1">
        <v>5</v>
      </c>
      <c r="C26" s="1">
        <v>3</v>
      </c>
      <c r="D26" s="2">
        <v>3.3000000000000002E-2</v>
      </c>
      <c r="E26" s="1">
        <v>0.75</v>
      </c>
      <c r="F26" s="3">
        <v>0.32</v>
      </c>
      <c r="G26" s="1">
        <v>0.41</v>
      </c>
      <c r="H26" s="3">
        <v>0.27000000000000007</v>
      </c>
      <c r="I26" s="1">
        <v>0.05</v>
      </c>
    </row>
    <row r="27" spans="1:9" x14ac:dyDescent="0.25">
      <c r="A27" s="1">
        <v>26</v>
      </c>
      <c r="B27" s="1">
        <v>5</v>
      </c>
      <c r="C27" s="1">
        <v>3</v>
      </c>
      <c r="D27" s="2">
        <v>2.5000000000000001E-2</v>
      </c>
      <c r="E27" s="1">
        <v>0.75</v>
      </c>
      <c r="F27" s="3">
        <v>0.28999999999999998</v>
      </c>
      <c r="G27" s="1">
        <v>0.25</v>
      </c>
      <c r="H27" s="3">
        <v>0.46</v>
      </c>
      <c r="I27" s="1">
        <v>0.05</v>
      </c>
    </row>
    <row r="28" spans="1:9" x14ac:dyDescent="0.25">
      <c r="A28" s="1">
        <v>27</v>
      </c>
      <c r="B28" s="1">
        <v>10</v>
      </c>
      <c r="C28" s="1">
        <v>10</v>
      </c>
      <c r="D28" s="2">
        <v>1.7000000000000001E-2</v>
      </c>
      <c r="E28" s="1">
        <v>0.75</v>
      </c>
      <c r="F28" s="3">
        <v>0.33</v>
      </c>
      <c r="G28" s="1">
        <v>0.34</v>
      </c>
      <c r="H28" s="3">
        <v>0.3299999999999999</v>
      </c>
      <c r="I28" s="1">
        <v>0.04</v>
      </c>
    </row>
    <row r="29" spans="1:9" x14ac:dyDescent="0.25">
      <c r="A29" s="1">
        <v>28</v>
      </c>
      <c r="B29" s="1">
        <v>5</v>
      </c>
      <c r="C29" s="1">
        <v>2</v>
      </c>
      <c r="D29" s="2">
        <v>0.03</v>
      </c>
      <c r="E29" s="1">
        <v>0.67</v>
      </c>
      <c r="F29" s="3">
        <v>0.26</v>
      </c>
      <c r="G29" s="1">
        <v>0.27</v>
      </c>
      <c r="H29" s="3">
        <v>0.47</v>
      </c>
      <c r="I29" s="1">
        <v>0.05</v>
      </c>
    </row>
    <row r="30" spans="1:9" x14ac:dyDescent="0.25">
      <c r="A30" s="1">
        <v>29</v>
      </c>
      <c r="B30" s="1">
        <v>5</v>
      </c>
      <c r="C30" s="1">
        <v>4</v>
      </c>
      <c r="D30" s="2">
        <v>0.03</v>
      </c>
      <c r="E30" s="1">
        <v>0.75</v>
      </c>
      <c r="F30" s="3">
        <v>0.26</v>
      </c>
      <c r="G30" s="1">
        <v>0.28999999999999998</v>
      </c>
      <c r="H30" s="3">
        <v>0.44999999999999996</v>
      </c>
      <c r="I30" s="1">
        <v>0.05</v>
      </c>
    </row>
    <row r="31" spans="1:9" x14ac:dyDescent="0.25">
      <c r="A31" s="1">
        <v>30</v>
      </c>
      <c r="B31" s="1">
        <v>10</v>
      </c>
      <c r="C31" s="1">
        <v>7</v>
      </c>
      <c r="D31" s="2">
        <v>2.1999999999999999E-2</v>
      </c>
      <c r="E31" s="1">
        <v>0.75</v>
      </c>
      <c r="F31" s="3">
        <v>0.31</v>
      </c>
      <c r="G31" s="1">
        <v>0.39</v>
      </c>
      <c r="H31" s="3">
        <v>0.3</v>
      </c>
      <c r="I31" s="1">
        <v>0.04</v>
      </c>
    </row>
    <row r="32" spans="1:9" x14ac:dyDescent="0.25">
      <c r="A32" s="1">
        <v>31</v>
      </c>
      <c r="B32" s="1">
        <v>10</v>
      </c>
      <c r="C32" s="1">
        <v>6</v>
      </c>
      <c r="D32" s="2">
        <v>2.5000000000000001E-2</v>
      </c>
      <c r="E32" s="1">
        <v>0.75</v>
      </c>
      <c r="F32" s="3">
        <v>0.32</v>
      </c>
      <c r="G32" s="1">
        <v>0.31</v>
      </c>
      <c r="H32" s="3">
        <v>0.36999999999999994</v>
      </c>
      <c r="I32" s="1">
        <v>0.05</v>
      </c>
    </row>
    <row r="33" spans="1:9" x14ac:dyDescent="0.25">
      <c r="A33" s="1">
        <v>32</v>
      </c>
      <c r="B33" s="1">
        <v>5</v>
      </c>
      <c r="C33" s="1">
        <v>4</v>
      </c>
      <c r="D33" s="2">
        <v>4.3999999999999997E-2</v>
      </c>
      <c r="E33" s="1">
        <v>0.75</v>
      </c>
      <c r="F33" s="3">
        <v>0.32</v>
      </c>
      <c r="G33" s="1">
        <v>0.28000000000000003</v>
      </c>
      <c r="H33" s="3">
        <v>0.39999999999999997</v>
      </c>
      <c r="I33" s="1">
        <v>0.05</v>
      </c>
    </row>
    <row r="34" spans="1:9" x14ac:dyDescent="0.25">
      <c r="A34" s="1">
        <v>33</v>
      </c>
      <c r="B34" s="1">
        <v>10</v>
      </c>
      <c r="C34" s="1">
        <v>9</v>
      </c>
      <c r="D34" s="2">
        <v>1.6E-2</v>
      </c>
      <c r="E34" s="1">
        <v>0.75</v>
      </c>
      <c r="F34" s="3">
        <v>0.25</v>
      </c>
      <c r="G34" s="1">
        <v>0.41</v>
      </c>
      <c r="H34" s="3">
        <v>0.34000000000000008</v>
      </c>
      <c r="I34" s="1">
        <v>0.04</v>
      </c>
    </row>
    <row r="35" spans="1:9" x14ac:dyDescent="0.25">
      <c r="A35" s="1">
        <v>34</v>
      </c>
      <c r="B35" s="1">
        <v>10</v>
      </c>
      <c r="C35" s="1">
        <v>5</v>
      </c>
      <c r="D35" s="2">
        <v>4.3999999999999997E-2</v>
      </c>
      <c r="E35" s="1">
        <v>0.67</v>
      </c>
      <c r="F35" s="3">
        <v>0.31</v>
      </c>
      <c r="G35" s="1">
        <v>0.26</v>
      </c>
      <c r="H35" s="3">
        <v>0.43</v>
      </c>
      <c r="I35" s="1">
        <v>0.05</v>
      </c>
    </row>
    <row r="36" spans="1:9" x14ac:dyDescent="0.25">
      <c r="A36" s="1">
        <v>35</v>
      </c>
      <c r="B36" s="1">
        <v>10</v>
      </c>
      <c r="C36" s="1">
        <v>6</v>
      </c>
      <c r="D36" s="2">
        <v>4.1000000000000002E-2</v>
      </c>
      <c r="E36" s="1">
        <v>0.75</v>
      </c>
      <c r="F36" s="3">
        <v>0.28999999999999998</v>
      </c>
      <c r="G36" s="1">
        <v>0.31</v>
      </c>
      <c r="H36" s="3">
        <v>0.39999999999999997</v>
      </c>
      <c r="I36" s="1">
        <v>0.05</v>
      </c>
    </row>
    <row r="37" spans="1:9" x14ac:dyDescent="0.25">
      <c r="A37" s="1">
        <v>36</v>
      </c>
      <c r="B37" s="1">
        <v>5</v>
      </c>
      <c r="C37" s="1">
        <v>4</v>
      </c>
      <c r="D37" s="2">
        <v>2.5000000000000001E-2</v>
      </c>
      <c r="E37" s="1">
        <v>0.75</v>
      </c>
      <c r="F37" s="3">
        <v>0.3</v>
      </c>
      <c r="G37" s="1">
        <v>0.41</v>
      </c>
      <c r="H37" s="3">
        <v>0.29000000000000009</v>
      </c>
      <c r="I37" s="1">
        <v>0.05</v>
      </c>
    </row>
    <row r="38" spans="1:9" x14ac:dyDescent="0.25">
      <c r="A38" s="1">
        <v>37</v>
      </c>
      <c r="B38" s="1">
        <v>5</v>
      </c>
      <c r="C38" s="1">
        <v>1</v>
      </c>
      <c r="D38" s="2">
        <v>1.4E-2</v>
      </c>
      <c r="E38" s="1">
        <v>0.67</v>
      </c>
      <c r="F38" s="3">
        <v>0.32</v>
      </c>
      <c r="G38" s="1">
        <v>0.37</v>
      </c>
      <c r="H38" s="3">
        <v>0.31</v>
      </c>
      <c r="I38" s="1">
        <v>0.04</v>
      </c>
    </row>
    <row r="39" spans="1:9" x14ac:dyDescent="0.25">
      <c r="A39" s="1">
        <v>38</v>
      </c>
      <c r="B39" s="1">
        <v>10</v>
      </c>
      <c r="C39" s="1">
        <v>10</v>
      </c>
      <c r="D39" s="2">
        <v>5.5E-2</v>
      </c>
      <c r="E39" s="1">
        <v>0.75</v>
      </c>
      <c r="F39" s="3">
        <v>0.31</v>
      </c>
      <c r="G39" s="1">
        <v>0.44</v>
      </c>
      <c r="H39" s="3">
        <v>0.25000000000000006</v>
      </c>
      <c r="I39" s="1">
        <v>0.05</v>
      </c>
    </row>
    <row r="40" spans="1:9" x14ac:dyDescent="0.25">
      <c r="A40" s="1">
        <v>39</v>
      </c>
      <c r="B40" s="1">
        <v>5</v>
      </c>
      <c r="C40" s="1">
        <v>1</v>
      </c>
      <c r="D40" s="2">
        <v>0.04</v>
      </c>
      <c r="E40" s="1">
        <v>0.67</v>
      </c>
      <c r="F40" s="3">
        <v>0.31</v>
      </c>
      <c r="G40" s="1">
        <v>0.39</v>
      </c>
      <c r="H40" s="3">
        <v>0.3</v>
      </c>
      <c r="I40" s="1">
        <v>0.05</v>
      </c>
    </row>
    <row r="41" spans="1:9" x14ac:dyDescent="0.25">
      <c r="A41" s="1">
        <v>40</v>
      </c>
      <c r="B41" s="1">
        <v>5</v>
      </c>
      <c r="C41" s="1">
        <v>1</v>
      </c>
      <c r="D41" s="2">
        <v>5.2999999999999999E-2</v>
      </c>
      <c r="E41" s="1">
        <v>0.67</v>
      </c>
      <c r="F41" s="3">
        <v>0.34</v>
      </c>
      <c r="G41" s="1">
        <v>0.4</v>
      </c>
      <c r="H41" s="3">
        <v>0.25999999999999995</v>
      </c>
      <c r="I41" s="1">
        <v>0.05</v>
      </c>
    </row>
    <row r="42" spans="1:9" x14ac:dyDescent="0.25">
      <c r="A42" s="1">
        <v>41</v>
      </c>
      <c r="B42" s="1">
        <v>10</v>
      </c>
      <c r="C42" s="1">
        <v>9</v>
      </c>
      <c r="D42" s="2">
        <v>3.4000000000000002E-2</v>
      </c>
      <c r="E42" s="1">
        <v>0.75</v>
      </c>
      <c r="F42" s="3">
        <v>0.33</v>
      </c>
      <c r="G42" s="1">
        <v>0.34</v>
      </c>
      <c r="H42" s="3">
        <v>0.3299999999999999</v>
      </c>
      <c r="I42" s="1">
        <v>0.05</v>
      </c>
    </row>
    <row r="43" spans="1:9" x14ac:dyDescent="0.25">
      <c r="A43" s="1">
        <v>42</v>
      </c>
      <c r="B43" s="1">
        <v>10</v>
      </c>
      <c r="C43" s="1">
        <v>8</v>
      </c>
      <c r="D43" s="2">
        <v>3.9E-2</v>
      </c>
      <c r="E43" s="1">
        <v>0.75</v>
      </c>
      <c r="F43" s="3">
        <v>0.28999999999999998</v>
      </c>
      <c r="G43" s="1">
        <v>0.44</v>
      </c>
      <c r="H43" s="3">
        <v>0.27000000000000007</v>
      </c>
      <c r="I43" s="1">
        <v>0.05</v>
      </c>
    </row>
    <row r="44" spans="1:9" x14ac:dyDescent="0.25">
      <c r="A44" s="1">
        <v>43</v>
      </c>
      <c r="B44" s="1">
        <v>5</v>
      </c>
      <c r="C44" s="1">
        <v>2</v>
      </c>
      <c r="D44" s="2">
        <v>2.9000000000000001E-2</v>
      </c>
      <c r="E44" s="1">
        <v>0.67</v>
      </c>
      <c r="F44" s="3">
        <v>0.33</v>
      </c>
      <c r="G44" s="1">
        <v>0.26</v>
      </c>
      <c r="H44" s="3">
        <v>0.41</v>
      </c>
      <c r="I44" s="1">
        <v>0.05</v>
      </c>
    </row>
    <row r="45" spans="1:9" x14ac:dyDescent="0.25">
      <c r="A45" s="1">
        <v>44</v>
      </c>
      <c r="B45" s="1">
        <v>10</v>
      </c>
      <c r="C45" s="1">
        <v>5</v>
      </c>
      <c r="D45" s="2">
        <v>3.5999999999999997E-2</v>
      </c>
      <c r="E45" s="1">
        <v>0.67</v>
      </c>
      <c r="F45" s="3">
        <v>0.35</v>
      </c>
      <c r="G45" s="1">
        <v>0.28999999999999998</v>
      </c>
      <c r="H45" s="3">
        <v>0.36</v>
      </c>
      <c r="I45" s="1">
        <v>0.05</v>
      </c>
    </row>
    <row r="46" spans="1:9" x14ac:dyDescent="0.25">
      <c r="A46" s="1">
        <v>45</v>
      </c>
      <c r="B46" s="1">
        <v>10</v>
      </c>
      <c r="C46" s="1">
        <v>6</v>
      </c>
      <c r="D46" s="2">
        <v>0.06</v>
      </c>
      <c r="E46" s="1">
        <v>0.75</v>
      </c>
      <c r="F46" s="3">
        <v>0.28000000000000003</v>
      </c>
      <c r="G46" s="1">
        <v>0.33</v>
      </c>
      <c r="H46" s="3">
        <v>0.3899999999999999</v>
      </c>
      <c r="I46" s="1">
        <v>0.05</v>
      </c>
    </row>
    <row r="47" spans="1:9" x14ac:dyDescent="0.25">
      <c r="A47" s="1">
        <v>46</v>
      </c>
      <c r="B47" s="1">
        <v>5</v>
      </c>
      <c r="C47" s="1">
        <v>2</v>
      </c>
      <c r="D47" s="2">
        <v>1.7000000000000001E-2</v>
      </c>
      <c r="E47" s="1">
        <v>0.67</v>
      </c>
      <c r="F47" s="3">
        <v>0.32</v>
      </c>
      <c r="G47" s="1">
        <v>0.34</v>
      </c>
      <c r="H47" s="3">
        <v>0.33999999999999991</v>
      </c>
      <c r="I47" s="1">
        <v>0.04</v>
      </c>
    </row>
    <row r="48" spans="1:9" x14ac:dyDescent="0.25">
      <c r="A48" s="1">
        <v>47</v>
      </c>
      <c r="B48" s="1">
        <v>10</v>
      </c>
      <c r="C48" s="1">
        <v>7</v>
      </c>
      <c r="D48" s="2">
        <v>4.4999999999999998E-2</v>
      </c>
      <c r="E48" s="1">
        <v>0.75</v>
      </c>
      <c r="F48" s="3">
        <v>0.31</v>
      </c>
      <c r="G48" s="1">
        <v>0.26</v>
      </c>
      <c r="H48" s="3">
        <v>0.43</v>
      </c>
      <c r="I48" s="1">
        <v>0.05</v>
      </c>
    </row>
    <row r="49" spans="1:9" x14ac:dyDescent="0.25">
      <c r="A49" s="1">
        <v>48</v>
      </c>
      <c r="B49" s="1">
        <v>10</v>
      </c>
      <c r="C49" s="1">
        <v>10</v>
      </c>
      <c r="D49" s="2">
        <v>0.02</v>
      </c>
      <c r="E49" s="1">
        <v>0.75</v>
      </c>
      <c r="F49" s="3">
        <v>0.35</v>
      </c>
      <c r="G49" s="1">
        <v>0.33</v>
      </c>
      <c r="H49" s="3">
        <v>0.31999999999999995</v>
      </c>
      <c r="I49" s="1">
        <v>0.04</v>
      </c>
    </row>
    <row r="50" spans="1:9" x14ac:dyDescent="0.25">
      <c r="A50" s="1">
        <v>49</v>
      </c>
      <c r="B50" s="1">
        <v>10</v>
      </c>
      <c r="C50" s="1">
        <v>5</v>
      </c>
      <c r="D50" s="2">
        <v>5.2999999999999999E-2</v>
      </c>
      <c r="E50" s="1">
        <v>0.67</v>
      </c>
      <c r="F50" s="3">
        <v>0.28999999999999998</v>
      </c>
      <c r="G50" s="1">
        <v>0.27</v>
      </c>
      <c r="H50" s="3">
        <v>0.44</v>
      </c>
      <c r="I50" s="1">
        <v>0.05</v>
      </c>
    </row>
    <row r="51" spans="1:9" x14ac:dyDescent="0.25">
      <c r="A51" s="1">
        <v>50</v>
      </c>
      <c r="B51" s="1">
        <v>10</v>
      </c>
      <c r="C51" s="1">
        <v>5</v>
      </c>
      <c r="D51" s="2">
        <v>2.1000000000000001E-2</v>
      </c>
      <c r="E51" s="1">
        <v>0.67</v>
      </c>
      <c r="F51" s="3">
        <v>0.26</v>
      </c>
      <c r="G51" s="1">
        <v>0.31</v>
      </c>
      <c r="H51" s="3">
        <v>0.42999999999999994</v>
      </c>
      <c r="I51" s="1">
        <v>0.04</v>
      </c>
    </row>
    <row r="52" spans="1:9" x14ac:dyDescent="0.25">
      <c r="A52" s="1">
        <v>51</v>
      </c>
      <c r="B52" s="1">
        <v>10</v>
      </c>
      <c r="C52" s="1">
        <v>5</v>
      </c>
      <c r="D52" s="2">
        <v>5.7000000000000002E-2</v>
      </c>
      <c r="E52" s="1">
        <v>0.67</v>
      </c>
      <c r="F52" s="3">
        <v>0.33</v>
      </c>
      <c r="G52" s="1">
        <v>0.38</v>
      </c>
      <c r="H52" s="3">
        <v>0.28999999999999998</v>
      </c>
      <c r="I52" s="1">
        <v>0.05</v>
      </c>
    </row>
    <row r="53" spans="1:9" x14ac:dyDescent="0.25">
      <c r="A53" s="1">
        <v>52</v>
      </c>
      <c r="B53" s="1">
        <v>10</v>
      </c>
      <c r="C53" s="1">
        <v>5</v>
      </c>
      <c r="D53" s="2">
        <v>2.4E-2</v>
      </c>
      <c r="E53" s="1">
        <v>0.67</v>
      </c>
      <c r="F53" s="3">
        <v>0.25</v>
      </c>
      <c r="G53" s="1">
        <v>0.4</v>
      </c>
      <c r="H53" s="3">
        <v>0.35</v>
      </c>
      <c r="I53" s="1">
        <v>0.04</v>
      </c>
    </row>
    <row r="54" spans="1:9" x14ac:dyDescent="0.25">
      <c r="A54" s="1">
        <v>53</v>
      </c>
      <c r="B54" s="1">
        <v>10</v>
      </c>
      <c r="C54" s="1">
        <v>5</v>
      </c>
      <c r="D54" s="2">
        <v>5.0999999999999997E-2</v>
      </c>
      <c r="E54" s="1">
        <v>0.67</v>
      </c>
      <c r="F54" s="3">
        <v>0.25</v>
      </c>
      <c r="G54" s="1">
        <v>0.36</v>
      </c>
      <c r="H54" s="3">
        <v>0.39</v>
      </c>
      <c r="I54" s="1">
        <v>0.05</v>
      </c>
    </row>
    <row r="55" spans="1:9" x14ac:dyDescent="0.25">
      <c r="A55" s="1">
        <v>54</v>
      </c>
      <c r="B55" s="1">
        <v>5</v>
      </c>
      <c r="C55" s="1">
        <v>4</v>
      </c>
      <c r="D55" s="2">
        <v>2.1999999999999999E-2</v>
      </c>
      <c r="E55" s="1">
        <v>0.75</v>
      </c>
      <c r="F55" s="3">
        <v>0.28999999999999998</v>
      </c>
      <c r="G55" s="1">
        <v>0.45</v>
      </c>
      <c r="H55" s="3">
        <v>0.26000000000000006</v>
      </c>
      <c r="I55" s="1">
        <v>0.04</v>
      </c>
    </row>
    <row r="56" spans="1:9" x14ac:dyDescent="0.25">
      <c r="A56" s="1">
        <v>55</v>
      </c>
      <c r="B56" s="1">
        <v>10</v>
      </c>
      <c r="C56" s="1">
        <v>6</v>
      </c>
      <c r="D56" s="2">
        <v>2.4E-2</v>
      </c>
      <c r="E56" s="1">
        <v>0.75</v>
      </c>
      <c r="F56" s="3">
        <v>0.31</v>
      </c>
      <c r="G56" s="1">
        <v>0.26</v>
      </c>
      <c r="H56" s="3">
        <v>0.43</v>
      </c>
      <c r="I56" s="1">
        <v>0.04</v>
      </c>
    </row>
    <row r="57" spans="1:9" x14ac:dyDescent="0.25">
      <c r="A57" s="1">
        <v>56</v>
      </c>
      <c r="B57" s="1">
        <v>5</v>
      </c>
      <c r="C57" s="1">
        <v>4</v>
      </c>
      <c r="D57" s="2">
        <v>4.2999999999999997E-2</v>
      </c>
      <c r="E57" s="1">
        <v>0.75</v>
      </c>
      <c r="F57" s="3">
        <v>0.31</v>
      </c>
      <c r="G57" s="1">
        <v>0.3</v>
      </c>
      <c r="H57" s="3">
        <v>0.38999999999999996</v>
      </c>
      <c r="I57" s="1">
        <v>0.05</v>
      </c>
    </row>
    <row r="58" spans="1:9" x14ac:dyDescent="0.25">
      <c r="A58" s="1">
        <v>57</v>
      </c>
      <c r="B58" s="1">
        <v>5</v>
      </c>
      <c r="C58" s="1">
        <v>4</v>
      </c>
      <c r="D58" s="2">
        <v>0.02</v>
      </c>
      <c r="E58" s="1">
        <v>0.75</v>
      </c>
      <c r="F58" s="3">
        <v>0.26</v>
      </c>
      <c r="G58" s="1">
        <v>0.37</v>
      </c>
      <c r="H58" s="3">
        <v>0.37</v>
      </c>
      <c r="I58" s="1">
        <v>0.04</v>
      </c>
    </row>
    <row r="59" spans="1:9" x14ac:dyDescent="0.25">
      <c r="A59" s="1">
        <v>58</v>
      </c>
      <c r="B59" s="1">
        <v>5</v>
      </c>
      <c r="C59" s="1">
        <v>4</v>
      </c>
      <c r="D59" s="2">
        <v>3.4000000000000002E-2</v>
      </c>
      <c r="E59" s="1">
        <v>0.75</v>
      </c>
      <c r="F59" s="3">
        <v>0.27</v>
      </c>
      <c r="G59" s="1">
        <v>0.28999999999999998</v>
      </c>
      <c r="H59" s="3">
        <v>0.43999999999999995</v>
      </c>
      <c r="I59" s="1">
        <v>0.05</v>
      </c>
    </row>
    <row r="60" spans="1:9" x14ac:dyDescent="0.25">
      <c r="A60" s="1">
        <v>59</v>
      </c>
      <c r="B60" s="1">
        <v>5</v>
      </c>
      <c r="C60" s="1">
        <v>3</v>
      </c>
      <c r="D60" s="2">
        <v>3.4000000000000002E-2</v>
      </c>
      <c r="E60" s="1">
        <v>0.75</v>
      </c>
      <c r="F60" s="3">
        <v>0.25</v>
      </c>
      <c r="G60" s="1">
        <v>0.31</v>
      </c>
      <c r="H60" s="3">
        <v>0.43999999999999995</v>
      </c>
      <c r="I60" s="1">
        <v>0.05</v>
      </c>
    </row>
    <row r="61" spans="1:9" x14ac:dyDescent="0.25">
      <c r="A61" s="1">
        <v>60</v>
      </c>
      <c r="B61" s="1">
        <v>10</v>
      </c>
      <c r="C61" s="1">
        <v>5</v>
      </c>
      <c r="D61" s="2">
        <v>3.6999999999999998E-2</v>
      </c>
      <c r="E61" s="1">
        <v>0.67</v>
      </c>
      <c r="F61" s="3">
        <v>0.33</v>
      </c>
      <c r="G61" s="1">
        <v>0.27</v>
      </c>
      <c r="H61" s="3">
        <v>0.39999999999999997</v>
      </c>
      <c r="I61" s="1">
        <v>0.05</v>
      </c>
    </row>
    <row r="62" spans="1:9" x14ac:dyDescent="0.25">
      <c r="A62" s="1">
        <v>61</v>
      </c>
      <c r="B62" s="1">
        <v>10</v>
      </c>
      <c r="C62" s="1">
        <v>6</v>
      </c>
      <c r="D62" s="2">
        <v>2.1000000000000001E-2</v>
      </c>
      <c r="E62" s="1">
        <v>0.75</v>
      </c>
      <c r="F62" s="3">
        <v>0.28000000000000003</v>
      </c>
      <c r="G62" s="1">
        <v>0.38</v>
      </c>
      <c r="H62" s="3">
        <v>0.33999999999999997</v>
      </c>
      <c r="I62" s="1">
        <v>0.04</v>
      </c>
    </row>
    <row r="63" spans="1:9" x14ac:dyDescent="0.25">
      <c r="A63" s="1">
        <v>62</v>
      </c>
      <c r="B63" s="1">
        <v>10</v>
      </c>
      <c r="C63" s="1">
        <v>6</v>
      </c>
      <c r="D63" s="2">
        <v>4.9000000000000002E-2</v>
      </c>
      <c r="E63" s="1">
        <v>0.75</v>
      </c>
      <c r="F63" s="3">
        <v>0.27</v>
      </c>
      <c r="G63" s="1">
        <v>0.43</v>
      </c>
      <c r="H63" s="3">
        <v>0.30000000000000004</v>
      </c>
      <c r="I63" s="1">
        <v>0.05</v>
      </c>
    </row>
    <row r="64" spans="1:9" x14ac:dyDescent="0.25">
      <c r="A64" s="1">
        <v>63</v>
      </c>
      <c r="B64" s="1">
        <v>5</v>
      </c>
      <c r="C64" s="1">
        <v>4</v>
      </c>
      <c r="D64" s="2">
        <v>2.5999999999999999E-2</v>
      </c>
      <c r="E64" s="1">
        <v>0.75</v>
      </c>
      <c r="F64" s="3">
        <v>0.27</v>
      </c>
      <c r="G64" s="1">
        <v>0.27</v>
      </c>
      <c r="H64" s="3">
        <v>0.45999999999999996</v>
      </c>
      <c r="I64" s="1">
        <v>0.05</v>
      </c>
    </row>
    <row r="65" spans="1:9" x14ac:dyDescent="0.25">
      <c r="A65" s="1">
        <v>64</v>
      </c>
      <c r="B65" s="1">
        <v>5</v>
      </c>
      <c r="C65" s="1">
        <v>3</v>
      </c>
      <c r="D65" s="2">
        <v>3.4000000000000002E-2</v>
      </c>
      <c r="E65" s="1">
        <v>0.75</v>
      </c>
      <c r="F65" s="3">
        <v>0.3</v>
      </c>
      <c r="G65" s="1">
        <v>0.3</v>
      </c>
      <c r="H65" s="3">
        <v>0.39999999999999997</v>
      </c>
      <c r="I65" s="1">
        <v>0.05</v>
      </c>
    </row>
    <row r="66" spans="1:9" x14ac:dyDescent="0.25">
      <c r="A66" s="1">
        <v>65</v>
      </c>
      <c r="B66" s="1">
        <v>5</v>
      </c>
      <c r="C66" s="1">
        <v>4</v>
      </c>
      <c r="D66" s="2">
        <v>5.2999999999999999E-2</v>
      </c>
      <c r="E66" s="1">
        <v>0.75</v>
      </c>
      <c r="F66" s="3">
        <v>0.28000000000000003</v>
      </c>
      <c r="G66" s="1">
        <v>0.3</v>
      </c>
      <c r="H66" s="3">
        <v>0.41999999999999993</v>
      </c>
      <c r="I66" s="1">
        <v>0.05</v>
      </c>
    </row>
    <row r="67" spans="1:9" x14ac:dyDescent="0.25">
      <c r="A67" s="1">
        <v>66</v>
      </c>
      <c r="B67" s="1">
        <v>10</v>
      </c>
      <c r="C67" s="1">
        <v>5</v>
      </c>
      <c r="D67" s="2">
        <v>4.5999999999999999E-2</v>
      </c>
      <c r="E67" s="1">
        <v>0.67</v>
      </c>
      <c r="F67" s="3">
        <v>0.27</v>
      </c>
      <c r="G67" s="1">
        <v>0.32</v>
      </c>
      <c r="H67" s="3">
        <v>0.40999999999999992</v>
      </c>
      <c r="I67" s="1">
        <v>0.05</v>
      </c>
    </row>
    <row r="68" spans="1:9" x14ac:dyDescent="0.25">
      <c r="A68" s="1">
        <v>67</v>
      </c>
      <c r="B68" s="1">
        <v>5</v>
      </c>
      <c r="C68" s="1">
        <v>1</v>
      </c>
      <c r="D68" s="2">
        <v>2.3E-2</v>
      </c>
      <c r="E68" s="1">
        <v>0.67</v>
      </c>
      <c r="F68" s="3">
        <v>0.28999999999999998</v>
      </c>
      <c r="G68" s="1">
        <v>0.36</v>
      </c>
      <c r="H68" s="3">
        <v>0.35000000000000003</v>
      </c>
      <c r="I68" s="1">
        <v>0.04</v>
      </c>
    </row>
    <row r="69" spans="1:9" x14ac:dyDescent="0.25">
      <c r="A69" s="1">
        <v>68</v>
      </c>
      <c r="B69" s="1">
        <v>5</v>
      </c>
      <c r="C69" s="1">
        <v>1</v>
      </c>
      <c r="D69" s="2">
        <v>0.01</v>
      </c>
      <c r="E69" s="1">
        <v>0.67</v>
      </c>
      <c r="F69" s="3">
        <v>0.31</v>
      </c>
      <c r="G69" s="1">
        <v>0.45</v>
      </c>
      <c r="H69" s="3">
        <v>0.24000000000000005</v>
      </c>
      <c r="I69" s="1">
        <v>0.04</v>
      </c>
    </row>
    <row r="70" spans="1:9" x14ac:dyDescent="0.25">
      <c r="A70" s="1">
        <v>69</v>
      </c>
      <c r="B70" s="1">
        <v>10</v>
      </c>
      <c r="C70" s="1">
        <v>6</v>
      </c>
      <c r="D70" s="2">
        <v>2.3E-2</v>
      </c>
      <c r="E70" s="1">
        <v>0.75</v>
      </c>
      <c r="F70" s="3">
        <v>0.28999999999999998</v>
      </c>
      <c r="G70" s="1">
        <v>0.31</v>
      </c>
      <c r="H70" s="3">
        <v>0.39999999999999997</v>
      </c>
      <c r="I70" s="1">
        <v>0.04</v>
      </c>
    </row>
    <row r="71" spans="1:9" x14ac:dyDescent="0.25">
      <c r="A71" s="1">
        <v>70</v>
      </c>
      <c r="B71" s="1">
        <v>5</v>
      </c>
      <c r="C71" s="1">
        <v>1</v>
      </c>
      <c r="D71" s="2">
        <v>4.5999999999999999E-2</v>
      </c>
      <c r="E71" s="1">
        <v>0.67</v>
      </c>
      <c r="F71" s="3">
        <v>0.31</v>
      </c>
      <c r="G71" s="1">
        <v>0.28000000000000003</v>
      </c>
      <c r="H71" s="3">
        <v>0.41</v>
      </c>
      <c r="I71" s="1">
        <v>0.05</v>
      </c>
    </row>
    <row r="72" spans="1:9" x14ac:dyDescent="0.25">
      <c r="A72" s="1">
        <v>71</v>
      </c>
      <c r="B72" s="1">
        <v>10</v>
      </c>
      <c r="C72" s="1">
        <v>6</v>
      </c>
      <c r="D72" s="2">
        <v>3.6999999999999998E-2</v>
      </c>
      <c r="E72" s="1">
        <v>0.75</v>
      </c>
      <c r="F72" s="3">
        <v>0.35</v>
      </c>
      <c r="G72" s="1">
        <v>0.42</v>
      </c>
      <c r="H72" s="3">
        <v>0.23000000000000009</v>
      </c>
      <c r="I72" s="1">
        <v>0.05</v>
      </c>
    </row>
    <row r="73" spans="1:9" x14ac:dyDescent="0.25">
      <c r="A73" s="1">
        <v>72</v>
      </c>
      <c r="B73" s="1">
        <v>5</v>
      </c>
      <c r="C73" s="1">
        <v>3</v>
      </c>
      <c r="D73" s="2">
        <v>0.03</v>
      </c>
      <c r="E73" s="1">
        <v>0.75</v>
      </c>
      <c r="F73" s="3">
        <v>0.28000000000000003</v>
      </c>
      <c r="G73" s="1">
        <v>0.27</v>
      </c>
      <c r="H73" s="3">
        <v>0.44999999999999996</v>
      </c>
      <c r="I73" s="1">
        <v>0.05</v>
      </c>
    </row>
    <row r="74" spans="1:9" x14ac:dyDescent="0.25">
      <c r="A74" s="1">
        <v>73</v>
      </c>
      <c r="B74" s="1">
        <v>5</v>
      </c>
      <c r="C74" s="1">
        <v>1</v>
      </c>
      <c r="D74" s="2">
        <v>3.9E-2</v>
      </c>
      <c r="E74" s="1">
        <v>0.67</v>
      </c>
      <c r="F74" s="3">
        <v>0.32</v>
      </c>
      <c r="G74" s="1">
        <v>0.28000000000000003</v>
      </c>
      <c r="H74" s="3">
        <v>0.39999999999999997</v>
      </c>
      <c r="I74" s="1">
        <v>0.05</v>
      </c>
    </row>
    <row r="75" spans="1:9" x14ac:dyDescent="0.25">
      <c r="A75" s="1">
        <v>74</v>
      </c>
      <c r="B75" s="1">
        <v>10</v>
      </c>
      <c r="C75" s="1">
        <v>6</v>
      </c>
      <c r="D75" s="2">
        <v>4.4999999999999998E-2</v>
      </c>
      <c r="E75" s="1">
        <v>0.75</v>
      </c>
      <c r="F75" s="3">
        <v>0.3</v>
      </c>
      <c r="G75" s="1">
        <v>0.36</v>
      </c>
      <c r="H75" s="3">
        <v>0.34</v>
      </c>
      <c r="I75" s="1">
        <v>0.05</v>
      </c>
    </row>
    <row r="76" spans="1:9" x14ac:dyDescent="0.25">
      <c r="A76" s="1">
        <v>75</v>
      </c>
      <c r="B76" s="1">
        <v>10</v>
      </c>
      <c r="C76" s="1">
        <v>6</v>
      </c>
      <c r="D76" s="2">
        <v>3.5000000000000003E-2</v>
      </c>
      <c r="E76" s="1">
        <v>0.75</v>
      </c>
      <c r="F76" s="3">
        <v>0.32</v>
      </c>
      <c r="G76" s="1">
        <v>0.36</v>
      </c>
      <c r="H76" s="3">
        <v>0.32</v>
      </c>
      <c r="I76" s="1">
        <v>0.05</v>
      </c>
    </row>
    <row r="77" spans="1:9" x14ac:dyDescent="0.25">
      <c r="A77" s="1">
        <v>76</v>
      </c>
      <c r="B77" s="1">
        <v>10</v>
      </c>
      <c r="C77" s="1">
        <v>6</v>
      </c>
      <c r="D77" s="2">
        <v>3.1E-2</v>
      </c>
      <c r="E77" s="1">
        <v>0.75</v>
      </c>
      <c r="F77" s="3">
        <v>0.26</v>
      </c>
      <c r="G77" s="1">
        <v>0.4</v>
      </c>
      <c r="H77" s="3">
        <v>0.33999999999999997</v>
      </c>
      <c r="I77" s="1">
        <v>0.05</v>
      </c>
    </row>
    <row r="78" spans="1:9" x14ac:dyDescent="0.25">
      <c r="A78" s="1">
        <v>77</v>
      </c>
      <c r="B78" s="1">
        <v>5</v>
      </c>
      <c r="C78" s="1">
        <v>2</v>
      </c>
      <c r="D78" s="2">
        <v>0.02</v>
      </c>
      <c r="E78" s="1">
        <v>0.67</v>
      </c>
      <c r="F78" s="3">
        <v>0.32</v>
      </c>
      <c r="G78" s="1">
        <v>0.31</v>
      </c>
      <c r="H78" s="3">
        <v>0.36999999999999994</v>
      </c>
      <c r="I78" s="1">
        <v>0.04</v>
      </c>
    </row>
    <row r="79" spans="1:9" x14ac:dyDescent="0.25">
      <c r="A79" s="1">
        <v>78</v>
      </c>
      <c r="B79" s="1">
        <v>5</v>
      </c>
      <c r="C79" s="1">
        <v>2</v>
      </c>
      <c r="D79" s="2">
        <v>1.0999999999999999E-2</v>
      </c>
      <c r="E79" s="1">
        <v>0.67</v>
      </c>
      <c r="F79" s="3">
        <v>0.28999999999999998</v>
      </c>
      <c r="G79" s="1">
        <v>0.32</v>
      </c>
      <c r="H79" s="3">
        <v>0.38999999999999996</v>
      </c>
      <c r="I79" s="1">
        <v>0.04</v>
      </c>
    </row>
    <row r="80" spans="1:9" x14ac:dyDescent="0.25">
      <c r="A80" s="1">
        <v>79</v>
      </c>
      <c r="B80" s="1">
        <v>5</v>
      </c>
      <c r="C80" s="1">
        <v>4</v>
      </c>
      <c r="D80" s="2">
        <v>2.5999999999999999E-2</v>
      </c>
      <c r="E80" s="1">
        <v>0.75</v>
      </c>
      <c r="F80" s="3">
        <v>0.3</v>
      </c>
      <c r="G80" s="1">
        <v>0.28999999999999998</v>
      </c>
      <c r="H80" s="3">
        <v>0.41</v>
      </c>
      <c r="I80" s="1">
        <v>0.05</v>
      </c>
    </row>
    <row r="81" spans="1:9" x14ac:dyDescent="0.25">
      <c r="A81" s="1">
        <v>80</v>
      </c>
      <c r="B81" s="1">
        <v>5</v>
      </c>
      <c r="C81" s="1">
        <v>2</v>
      </c>
      <c r="D81" s="2">
        <v>4.5999999999999999E-2</v>
      </c>
      <c r="E81" s="1">
        <v>0.67</v>
      </c>
      <c r="F81" s="3">
        <v>0.33</v>
      </c>
      <c r="G81" s="1">
        <v>0.38</v>
      </c>
      <c r="H81" s="3">
        <v>0.28999999999999998</v>
      </c>
      <c r="I81" s="1">
        <v>0.05</v>
      </c>
    </row>
    <row r="82" spans="1:9" x14ac:dyDescent="0.25">
      <c r="A82" s="1">
        <v>81</v>
      </c>
      <c r="B82" s="1">
        <v>5</v>
      </c>
      <c r="C82" s="1">
        <v>2</v>
      </c>
      <c r="D82" s="2">
        <v>1.9E-2</v>
      </c>
      <c r="E82" s="1">
        <v>0.67</v>
      </c>
      <c r="F82" s="3">
        <v>0.28000000000000003</v>
      </c>
      <c r="G82" s="1">
        <v>0.39</v>
      </c>
      <c r="H82" s="3">
        <v>0.32999999999999996</v>
      </c>
      <c r="I82" s="1">
        <v>0.04</v>
      </c>
    </row>
    <row r="83" spans="1:9" x14ac:dyDescent="0.25">
      <c r="A83" s="1">
        <v>82</v>
      </c>
      <c r="B83" s="1">
        <v>5</v>
      </c>
      <c r="C83" s="1">
        <v>1</v>
      </c>
      <c r="D83" s="2">
        <v>4.2000000000000003E-2</v>
      </c>
      <c r="E83" s="1">
        <v>0.67</v>
      </c>
      <c r="F83" s="3">
        <v>0.27</v>
      </c>
      <c r="G83" s="1">
        <v>0.32</v>
      </c>
      <c r="H83" s="3">
        <v>0.40999999999999992</v>
      </c>
      <c r="I83" s="1">
        <v>0.05</v>
      </c>
    </row>
    <row r="84" spans="1:9" x14ac:dyDescent="0.25">
      <c r="A84" s="1">
        <v>83</v>
      </c>
      <c r="B84" s="1">
        <v>10</v>
      </c>
      <c r="C84" s="1">
        <v>6</v>
      </c>
      <c r="D84" s="2">
        <v>1.7999999999999999E-2</v>
      </c>
      <c r="E84" s="1">
        <v>0.75</v>
      </c>
      <c r="F84" s="3">
        <v>0.25</v>
      </c>
      <c r="G84" s="1">
        <v>0.35</v>
      </c>
      <c r="H84" s="3">
        <v>0.4</v>
      </c>
      <c r="I84" s="1">
        <v>0.04</v>
      </c>
    </row>
    <row r="85" spans="1:9" x14ac:dyDescent="0.25">
      <c r="A85" s="1">
        <v>84</v>
      </c>
      <c r="B85" s="1">
        <v>10</v>
      </c>
      <c r="C85" s="1">
        <v>5</v>
      </c>
      <c r="D85" s="2">
        <v>2.7E-2</v>
      </c>
      <c r="E85" s="1">
        <v>0.67</v>
      </c>
      <c r="F85" s="3">
        <v>0.31</v>
      </c>
      <c r="G85" s="1">
        <v>0.26</v>
      </c>
      <c r="H85" s="3">
        <v>0.43</v>
      </c>
      <c r="I85" s="1">
        <v>0.05</v>
      </c>
    </row>
    <row r="86" spans="1:9" x14ac:dyDescent="0.25">
      <c r="A86" s="1">
        <v>85</v>
      </c>
      <c r="B86" s="1">
        <v>10</v>
      </c>
      <c r="C86" s="1">
        <v>5</v>
      </c>
      <c r="D86" s="2">
        <v>3.9E-2</v>
      </c>
      <c r="E86" s="1">
        <v>0.67</v>
      </c>
      <c r="F86" s="3">
        <v>0.26</v>
      </c>
      <c r="G86" s="1">
        <v>0.38</v>
      </c>
      <c r="H86" s="3">
        <v>0.36</v>
      </c>
      <c r="I86" s="1">
        <v>0.05</v>
      </c>
    </row>
    <row r="87" spans="1:9" x14ac:dyDescent="0.25">
      <c r="A87" s="1">
        <v>86</v>
      </c>
      <c r="B87" s="1">
        <v>5</v>
      </c>
      <c r="C87" s="1">
        <v>4</v>
      </c>
      <c r="D87" s="2">
        <v>5.6000000000000001E-2</v>
      </c>
      <c r="E87" s="1">
        <v>0.75</v>
      </c>
      <c r="F87" s="3">
        <v>0.34</v>
      </c>
      <c r="G87" s="1">
        <v>0.36</v>
      </c>
      <c r="H87" s="3">
        <v>0.3</v>
      </c>
      <c r="I87" s="1">
        <v>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5B1C5-1407-440F-87E8-AAA89914F883}">
  <dimension ref="B2:C28"/>
  <sheetViews>
    <sheetView workbookViewId="0">
      <selection activeCell="D21" sqref="D21"/>
    </sheetView>
  </sheetViews>
  <sheetFormatPr baseColWidth="10" defaultColWidth="11.42578125" defaultRowHeight="15" x14ac:dyDescent="0.25"/>
  <cols>
    <col min="1" max="1" width="3.85546875" customWidth="1"/>
    <col min="2" max="2" width="64.140625" customWidth="1"/>
  </cols>
  <sheetData>
    <row r="2" spans="2:3" x14ac:dyDescent="0.25">
      <c r="B2" s="8" t="s">
        <v>33</v>
      </c>
      <c r="C2" s="9"/>
    </row>
    <row r="3" spans="2:3" x14ac:dyDescent="0.25">
      <c r="B3" s="10" t="s">
        <v>34</v>
      </c>
      <c r="C3" s="14" t="s">
        <v>35</v>
      </c>
    </row>
    <row r="4" spans="2:3" x14ac:dyDescent="0.25">
      <c r="B4" s="10" t="s">
        <v>36</v>
      </c>
      <c r="C4" s="14">
        <v>140</v>
      </c>
    </row>
    <row r="5" spans="2:3" x14ac:dyDescent="0.25">
      <c r="B5" s="11" t="s">
        <v>37</v>
      </c>
      <c r="C5" s="15">
        <v>50</v>
      </c>
    </row>
    <row r="6" spans="2:3" x14ac:dyDescent="0.25">
      <c r="B6" s="11" t="s">
        <v>38</v>
      </c>
      <c r="C6" s="15">
        <v>50</v>
      </c>
    </row>
    <row r="7" spans="2:3" x14ac:dyDescent="0.25">
      <c r="B7" s="11" t="s">
        <v>39</v>
      </c>
      <c r="C7" s="15">
        <v>40</v>
      </c>
    </row>
    <row r="8" spans="2:3" x14ac:dyDescent="0.25">
      <c r="B8" s="10" t="s">
        <v>40</v>
      </c>
      <c r="C8" s="14">
        <f>C9+C10</f>
        <v>862</v>
      </c>
    </row>
    <row r="9" spans="2:3" x14ac:dyDescent="0.25">
      <c r="B9" s="11" t="s">
        <v>41</v>
      </c>
      <c r="C9" s="15">
        <f>SUM('Credito Simple'!B2:B65)</f>
        <v>479</v>
      </c>
    </row>
    <row r="10" spans="2:3" x14ac:dyDescent="0.25">
      <c r="B10" s="11" t="s">
        <v>42</v>
      </c>
      <c r="C10" s="15">
        <f>SUM('Credito Revolvente'!C2:C87)</f>
        <v>383</v>
      </c>
    </row>
    <row r="11" spans="2:3" x14ac:dyDescent="0.25">
      <c r="B11" s="10" t="s">
        <v>43</v>
      </c>
      <c r="C11" s="14">
        <v>32</v>
      </c>
    </row>
    <row r="12" spans="2:3" x14ac:dyDescent="0.25">
      <c r="B12" s="10" t="s">
        <v>44</v>
      </c>
      <c r="C12" s="14" t="s">
        <v>35</v>
      </c>
    </row>
    <row r="13" spans="2:3" x14ac:dyDescent="0.25">
      <c r="B13" s="12" t="s">
        <v>45</v>
      </c>
      <c r="C13" s="16">
        <f>C4+C8+C11</f>
        <v>1034</v>
      </c>
    </row>
    <row r="14" spans="2:3" x14ac:dyDescent="0.25">
      <c r="B14" s="10" t="s">
        <v>46</v>
      </c>
      <c r="C14" s="14" t="s">
        <v>35</v>
      </c>
    </row>
    <row r="15" spans="2:3" x14ac:dyDescent="0.25">
      <c r="B15" s="10" t="s">
        <v>47</v>
      </c>
      <c r="C15" s="14" t="s">
        <v>35</v>
      </c>
    </row>
    <row r="16" spans="2:3" x14ac:dyDescent="0.25">
      <c r="B16" s="10" t="s">
        <v>48</v>
      </c>
      <c r="C16" s="14">
        <f>C17+C18+C19</f>
        <v>210</v>
      </c>
    </row>
    <row r="17" spans="2:3" x14ac:dyDescent="0.25">
      <c r="B17" s="11" t="s">
        <v>49</v>
      </c>
      <c r="C17" s="15">
        <v>50</v>
      </c>
    </row>
    <row r="18" spans="2:3" x14ac:dyDescent="0.25">
      <c r="B18" s="11" t="s">
        <v>50</v>
      </c>
      <c r="C18" s="15">
        <v>60</v>
      </c>
    </row>
    <row r="19" spans="2:3" x14ac:dyDescent="0.25">
      <c r="B19" s="11" t="s">
        <v>51</v>
      </c>
      <c r="C19" s="15">
        <v>100</v>
      </c>
    </row>
    <row r="20" spans="2:3" x14ac:dyDescent="0.25">
      <c r="B20" s="10" t="s">
        <v>52</v>
      </c>
      <c r="C20" s="14">
        <f>C21+C22</f>
        <v>300</v>
      </c>
    </row>
    <row r="21" spans="2:3" x14ac:dyDescent="0.25">
      <c r="B21" s="11" t="s">
        <v>53</v>
      </c>
      <c r="C21" s="15">
        <v>100</v>
      </c>
    </row>
    <row r="22" spans="2:3" x14ac:dyDescent="0.25">
      <c r="B22" s="11" t="s">
        <v>54</v>
      </c>
      <c r="C22" s="15">
        <v>200</v>
      </c>
    </row>
    <row r="23" spans="2:3" x14ac:dyDescent="0.25">
      <c r="B23" s="10" t="s">
        <v>55</v>
      </c>
      <c r="C23" s="14" t="s">
        <v>35</v>
      </c>
    </row>
    <row r="24" spans="2:3" x14ac:dyDescent="0.25">
      <c r="B24" s="12" t="s">
        <v>56</v>
      </c>
      <c r="C24" s="17">
        <f>C16+C20</f>
        <v>510</v>
      </c>
    </row>
    <row r="25" spans="2:3" x14ac:dyDescent="0.25">
      <c r="B25" s="10" t="s">
        <v>57</v>
      </c>
      <c r="C25" s="14">
        <v>400</v>
      </c>
    </row>
    <row r="26" spans="2:3" x14ac:dyDescent="0.25">
      <c r="B26" s="10" t="s">
        <v>58</v>
      </c>
      <c r="C26" s="14">
        <v>124</v>
      </c>
    </row>
    <row r="27" spans="2:3" x14ac:dyDescent="0.25">
      <c r="B27" s="12" t="s">
        <v>59</v>
      </c>
      <c r="C27" s="17">
        <f>C25+C26</f>
        <v>524</v>
      </c>
    </row>
    <row r="28" spans="2:3" x14ac:dyDescent="0.25">
      <c r="B28" s="13" t="s">
        <v>60</v>
      </c>
      <c r="C28" s="18">
        <f>C24+C27</f>
        <v>1034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C824E-78F6-4DF2-B0B9-6629C6938D2B}">
  <dimension ref="B2:F20"/>
  <sheetViews>
    <sheetView workbookViewId="0">
      <selection activeCell="B2" sqref="B2:E2"/>
    </sheetView>
  </sheetViews>
  <sheetFormatPr baseColWidth="10" defaultColWidth="11.42578125" defaultRowHeight="15" x14ac:dyDescent="0.25"/>
  <cols>
    <col min="1" max="1" width="3.42578125" customWidth="1"/>
    <col min="2" max="2" width="35.140625" customWidth="1"/>
    <col min="3" max="3" width="11.28515625" bestFit="1" customWidth="1"/>
    <col min="4" max="4" width="13.140625" bestFit="1" customWidth="1"/>
    <col min="5" max="5" width="17.5703125" bestFit="1" customWidth="1"/>
    <col min="6" max="6" width="14.5703125" bestFit="1" customWidth="1"/>
  </cols>
  <sheetData>
    <row r="2" spans="2:6" x14ac:dyDescent="0.25">
      <c r="B2" s="99" t="s">
        <v>61</v>
      </c>
      <c r="C2" s="99"/>
      <c r="D2" s="99"/>
      <c r="E2" s="99"/>
    </row>
    <row r="4" spans="2:6" x14ac:dyDescent="0.25">
      <c r="B4" s="50" t="s">
        <v>62</v>
      </c>
      <c r="C4" s="50" t="s">
        <v>63</v>
      </c>
      <c r="D4" s="50" t="s">
        <v>64</v>
      </c>
      <c r="E4" s="50" t="s">
        <v>65</v>
      </c>
    </row>
    <row r="5" spans="2:6" x14ac:dyDescent="0.25">
      <c r="B5" s="39" t="s">
        <v>34</v>
      </c>
      <c r="C5" s="45">
        <v>1</v>
      </c>
      <c r="D5" s="24">
        <v>0</v>
      </c>
      <c r="E5" s="24">
        <f>C5*D5</f>
        <v>0</v>
      </c>
    </row>
    <row r="6" spans="2:6" x14ac:dyDescent="0.25">
      <c r="B6" s="39" t="s">
        <v>66</v>
      </c>
      <c r="C6" s="45">
        <v>1</v>
      </c>
      <c r="D6" s="24">
        <v>50</v>
      </c>
      <c r="E6" s="24">
        <f>C6*D6</f>
        <v>50</v>
      </c>
    </row>
    <row r="7" spans="2:6" x14ac:dyDescent="0.25">
      <c r="B7" s="39" t="s">
        <v>66</v>
      </c>
      <c r="C7" s="45">
        <v>1</v>
      </c>
      <c r="D7" s="24">
        <v>40</v>
      </c>
      <c r="E7" s="24">
        <f>C7*D7</f>
        <v>40</v>
      </c>
    </row>
    <row r="8" spans="2:6" x14ac:dyDescent="0.25">
      <c r="B8" s="39" t="s">
        <v>67</v>
      </c>
      <c r="C8" s="45">
        <v>0.85</v>
      </c>
      <c r="D8" s="24">
        <v>50</v>
      </c>
      <c r="E8" s="24">
        <f>C8*D8</f>
        <v>42.5</v>
      </c>
    </row>
    <row r="9" spans="2:6" x14ac:dyDescent="0.25">
      <c r="D9" s="27" t="s">
        <v>68</v>
      </c>
      <c r="E9" s="43">
        <f>SUM(E5:E8)</f>
        <v>132.5</v>
      </c>
    </row>
    <row r="11" spans="2:6" x14ac:dyDescent="0.25">
      <c r="B11" s="99" t="s">
        <v>69</v>
      </c>
      <c r="C11" s="99"/>
      <c r="D11" s="99"/>
      <c r="E11" s="99"/>
    </row>
    <row r="13" spans="2:6" x14ac:dyDescent="0.25">
      <c r="B13" s="50" t="s">
        <v>62</v>
      </c>
      <c r="C13" s="50" t="s">
        <v>63</v>
      </c>
      <c r="D13" s="50" t="s">
        <v>64</v>
      </c>
      <c r="E13" s="50" t="s">
        <v>65</v>
      </c>
    </row>
    <row r="14" spans="2:6" x14ac:dyDescent="0.25">
      <c r="B14" s="39" t="s">
        <v>70</v>
      </c>
      <c r="C14" s="45">
        <v>1</v>
      </c>
      <c r="D14" s="40">
        <f>Balance!C17/12</f>
        <v>4.166666666666667</v>
      </c>
      <c r="E14" s="40">
        <f>D14*C14</f>
        <v>4.166666666666667</v>
      </c>
      <c r="F14" s="23"/>
    </row>
    <row r="15" spans="2:6" x14ac:dyDescent="0.25">
      <c r="B15" s="39" t="s">
        <v>71</v>
      </c>
      <c r="C15" s="45">
        <v>1</v>
      </c>
      <c r="D15" s="40">
        <f>Balance!C18/18</f>
        <v>3.3333333333333335</v>
      </c>
      <c r="E15" s="40">
        <f>D15*C15</f>
        <v>3.3333333333333335</v>
      </c>
      <c r="F15" s="23"/>
    </row>
    <row r="16" spans="2:6" x14ac:dyDescent="0.25">
      <c r="B16" s="39" t="s">
        <v>72</v>
      </c>
      <c r="C16" s="45">
        <v>1</v>
      </c>
      <c r="D16" s="40">
        <f>Balance!C19/36</f>
        <v>2.7777777777777777</v>
      </c>
      <c r="E16" s="40">
        <f>D16*C16</f>
        <v>2.7777777777777777</v>
      </c>
      <c r="F16" s="23"/>
    </row>
    <row r="17" spans="2:5" x14ac:dyDescent="0.25">
      <c r="D17" s="27" t="s">
        <v>68</v>
      </c>
      <c r="E17" s="42">
        <f>SUM(E14:E16)</f>
        <v>10.277777777777779</v>
      </c>
    </row>
    <row r="19" spans="2:5" x14ac:dyDescent="0.25">
      <c r="B19" s="44" t="s">
        <v>73</v>
      </c>
      <c r="C19" s="41">
        <f>E9/E17</f>
        <v>12.891891891891891</v>
      </c>
    </row>
    <row r="20" spans="2:5" x14ac:dyDescent="0.25">
      <c r="B20" s="62" t="s">
        <v>74</v>
      </c>
    </row>
  </sheetData>
  <mergeCells count="2">
    <mergeCell ref="B11:E11"/>
    <mergeCell ref="B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4666-62A3-42F7-B862-D2087CC064E3}">
  <dimension ref="B1:E27"/>
  <sheetViews>
    <sheetView workbookViewId="0">
      <selection activeCell="G10" sqref="G10"/>
    </sheetView>
  </sheetViews>
  <sheetFormatPr baseColWidth="10" defaultColWidth="11.42578125" defaultRowHeight="15" x14ac:dyDescent="0.25"/>
  <cols>
    <col min="1" max="1" width="3.5703125" style="84" customWidth="1"/>
    <col min="2" max="2" width="65" style="84" bestFit="1" customWidth="1"/>
    <col min="3" max="3" width="10.28515625" style="84" customWidth="1"/>
    <col min="4" max="4" width="11.28515625" style="84" customWidth="1"/>
    <col min="5" max="5" width="17.5703125" style="84" bestFit="1" customWidth="1"/>
    <col min="6" max="16384" width="11.42578125" style="84"/>
  </cols>
  <sheetData>
    <row r="1" spans="2:5" x14ac:dyDescent="0.25">
      <c r="B1" s="20"/>
      <c r="C1" s="20"/>
      <c r="D1" s="20"/>
      <c r="E1" s="20"/>
    </row>
    <row r="2" spans="2:5" x14ac:dyDescent="0.25">
      <c r="B2" s="100" t="s">
        <v>75</v>
      </c>
      <c r="C2" s="100"/>
      <c r="D2" s="100"/>
      <c r="E2" s="100"/>
    </row>
    <row r="3" spans="2:5" x14ac:dyDescent="0.25">
      <c r="B3" s="20"/>
      <c r="C3" s="20"/>
      <c r="D3" s="20"/>
      <c r="E3" s="20"/>
    </row>
    <row r="4" spans="2:5" x14ac:dyDescent="0.25">
      <c r="B4" s="52" t="s">
        <v>62</v>
      </c>
      <c r="C4" s="52" t="s">
        <v>63</v>
      </c>
      <c r="D4" s="52" t="s">
        <v>64</v>
      </c>
      <c r="E4" s="52" t="s">
        <v>65</v>
      </c>
    </row>
    <row r="5" spans="2:5" x14ac:dyDescent="0.25">
      <c r="B5" s="53" t="s">
        <v>76</v>
      </c>
      <c r="C5" s="47">
        <v>1</v>
      </c>
      <c r="D5" s="46">
        <v>400</v>
      </c>
      <c r="E5" s="46">
        <f t="shared" ref="E5:E10" si="0">D5*C5</f>
        <v>400</v>
      </c>
    </row>
    <row r="6" spans="2:5" x14ac:dyDescent="0.25">
      <c r="B6" s="53" t="s">
        <v>77</v>
      </c>
      <c r="C6" s="47">
        <v>1</v>
      </c>
      <c r="D6" s="46">
        <v>124</v>
      </c>
      <c r="E6" s="46">
        <f t="shared" si="0"/>
        <v>124</v>
      </c>
    </row>
    <row r="7" spans="2:5" x14ac:dyDescent="0.25">
      <c r="B7" s="53" t="s">
        <v>72</v>
      </c>
      <c r="C7" s="47">
        <v>1</v>
      </c>
      <c r="D7" s="46">
        <v>100</v>
      </c>
      <c r="E7" s="46">
        <f t="shared" si="0"/>
        <v>100</v>
      </c>
    </row>
    <row r="8" spans="2:5" x14ac:dyDescent="0.25">
      <c r="B8" s="53" t="s">
        <v>71</v>
      </c>
      <c r="C8" s="47">
        <v>1</v>
      </c>
      <c r="D8" s="46">
        <v>60</v>
      </c>
      <c r="E8" s="46">
        <f t="shared" si="0"/>
        <v>60</v>
      </c>
    </row>
    <row r="9" spans="2:5" x14ac:dyDescent="0.25">
      <c r="B9" s="53" t="s">
        <v>70</v>
      </c>
      <c r="C9" s="47">
        <v>0.5</v>
      </c>
      <c r="D9" s="46">
        <v>50</v>
      </c>
      <c r="E9" s="46">
        <f t="shared" si="0"/>
        <v>25</v>
      </c>
    </row>
    <row r="10" spans="2:5" x14ac:dyDescent="0.25">
      <c r="B10" s="53" t="s">
        <v>78</v>
      </c>
      <c r="C10" s="47">
        <v>0</v>
      </c>
      <c r="D10" s="46">
        <v>100</v>
      </c>
      <c r="E10" s="46">
        <f t="shared" si="0"/>
        <v>0</v>
      </c>
    </row>
    <row r="11" spans="2:5" x14ac:dyDescent="0.25">
      <c r="B11" s="53" t="s">
        <v>79</v>
      </c>
      <c r="C11" s="47">
        <v>1</v>
      </c>
      <c r="D11" s="46">
        <v>200</v>
      </c>
      <c r="E11" s="46">
        <f>D11*C11</f>
        <v>200</v>
      </c>
    </row>
    <row r="12" spans="2:5" x14ac:dyDescent="0.25">
      <c r="B12" s="20"/>
      <c r="C12" s="21"/>
      <c r="D12" s="49" t="s">
        <v>68</v>
      </c>
      <c r="E12" s="51">
        <f>SUM(E5:E11)</f>
        <v>909</v>
      </c>
    </row>
    <row r="13" spans="2:5" x14ac:dyDescent="0.25">
      <c r="B13" s="20"/>
      <c r="C13" s="20"/>
      <c r="D13" s="20"/>
      <c r="E13" s="20"/>
    </row>
    <row r="14" spans="2:5" x14ac:dyDescent="0.25">
      <c r="B14" s="100" t="s">
        <v>80</v>
      </c>
      <c r="C14" s="100"/>
      <c r="D14" s="100"/>
      <c r="E14" s="100"/>
    </row>
    <row r="15" spans="2:5" x14ac:dyDescent="0.25">
      <c r="B15" s="20"/>
      <c r="C15" s="20"/>
      <c r="D15" s="20"/>
      <c r="E15" s="20"/>
    </row>
    <row r="16" spans="2:5" x14ac:dyDescent="0.25">
      <c r="B16" s="52" t="s">
        <v>62</v>
      </c>
      <c r="C16" s="52" t="s">
        <v>63</v>
      </c>
      <c r="D16" s="52" t="s">
        <v>64</v>
      </c>
      <c r="E16" s="52" t="s">
        <v>65</v>
      </c>
    </row>
    <row r="17" spans="2:5" x14ac:dyDescent="0.25">
      <c r="B17" s="53" t="s">
        <v>81</v>
      </c>
      <c r="C17" s="48">
        <v>0.05</v>
      </c>
      <c r="D17" s="46">
        <v>50</v>
      </c>
      <c r="E17" s="46">
        <f>C17*D17</f>
        <v>2.5</v>
      </c>
    </row>
    <row r="18" spans="2:5" x14ac:dyDescent="0.25">
      <c r="B18" s="85" t="s">
        <v>82</v>
      </c>
      <c r="C18" s="48">
        <v>0.05</v>
      </c>
      <c r="D18" s="46">
        <v>40</v>
      </c>
      <c r="E18" s="46">
        <f t="shared" ref="E18:E23" si="1">C18*D18</f>
        <v>2</v>
      </c>
    </row>
    <row r="19" spans="2:5" x14ac:dyDescent="0.25">
      <c r="B19" s="53" t="s">
        <v>83</v>
      </c>
      <c r="C19" s="48">
        <v>0.15</v>
      </c>
      <c r="D19" s="46">
        <v>50</v>
      </c>
      <c r="E19" s="46">
        <f t="shared" si="1"/>
        <v>7.5</v>
      </c>
    </row>
    <row r="20" spans="2:5" x14ac:dyDescent="0.25">
      <c r="B20" s="53" t="s">
        <v>84</v>
      </c>
      <c r="C20" s="47">
        <v>0.65</v>
      </c>
      <c r="D20" s="46">
        <v>479</v>
      </c>
      <c r="E20" s="46">
        <f t="shared" si="1"/>
        <v>311.35000000000002</v>
      </c>
    </row>
    <row r="21" spans="2:5" x14ac:dyDescent="0.25">
      <c r="B21" s="53" t="s">
        <v>85</v>
      </c>
      <c r="C21" s="47">
        <v>0.5</v>
      </c>
      <c r="D21" s="46">
        <v>383</v>
      </c>
      <c r="E21" s="46">
        <f t="shared" si="1"/>
        <v>191.5</v>
      </c>
    </row>
    <row r="22" spans="2:5" x14ac:dyDescent="0.25">
      <c r="B22" s="53" t="s">
        <v>86</v>
      </c>
      <c r="C22" s="47">
        <v>0.01</v>
      </c>
      <c r="D22" s="46">
        <v>32</v>
      </c>
      <c r="E22" s="46">
        <f t="shared" si="1"/>
        <v>0.32</v>
      </c>
    </row>
    <row r="23" spans="2:5" x14ac:dyDescent="0.25">
      <c r="B23" s="53" t="s">
        <v>44</v>
      </c>
      <c r="C23" s="47">
        <v>0.01</v>
      </c>
      <c r="D23" s="46">
        <v>0</v>
      </c>
      <c r="E23" s="46">
        <f t="shared" si="1"/>
        <v>0</v>
      </c>
    </row>
    <row r="24" spans="2:5" x14ac:dyDescent="0.25">
      <c r="C24" s="20"/>
      <c r="D24" s="49" t="s">
        <v>68</v>
      </c>
      <c r="E24" s="51">
        <f>SUM(E17:E23)</f>
        <v>515.17000000000007</v>
      </c>
    </row>
    <row r="25" spans="2:5" x14ac:dyDescent="0.25">
      <c r="C25" s="20"/>
      <c r="D25" s="20"/>
      <c r="E25" s="20"/>
    </row>
    <row r="26" spans="2:5" x14ac:dyDescent="0.25">
      <c r="B26" s="86" t="s">
        <v>87</v>
      </c>
      <c r="C26" s="87">
        <f>E12/E24</f>
        <v>1.7644660985694041</v>
      </c>
    </row>
    <row r="27" spans="2:5" x14ac:dyDescent="0.25">
      <c r="B27" s="88" t="s">
        <v>74</v>
      </c>
    </row>
  </sheetData>
  <mergeCells count="2">
    <mergeCell ref="B14:E14"/>
    <mergeCell ref="B2:E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DDC8B-2176-41AD-B865-C674154328DF}">
  <dimension ref="B2:J24"/>
  <sheetViews>
    <sheetView topLeftCell="A8" zoomScale="115" zoomScaleNormal="115" workbookViewId="0">
      <selection activeCell="B18" sqref="B18:J24"/>
    </sheetView>
  </sheetViews>
  <sheetFormatPr baseColWidth="10" defaultColWidth="11.42578125" defaultRowHeight="15" x14ac:dyDescent="0.25"/>
  <cols>
    <col min="1" max="1" width="3.28515625" customWidth="1"/>
    <col min="2" max="2" width="46" customWidth="1"/>
    <col min="3" max="3" width="17.7109375" bestFit="1" customWidth="1"/>
  </cols>
  <sheetData>
    <row r="2" spans="2:10" x14ac:dyDescent="0.25">
      <c r="B2" s="72" t="s">
        <v>62</v>
      </c>
      <c r="C2" s="72" t="s">
        <v>88</v>
      </c>
      <c r="D2" s="72" t="s">
        <v>89</v>
      </c>
      <c r="E2" s="72" t="s">
        <v>90</v>
      </c>
      <c r="F2" s="72" t="s">
        <v>91</v>
      </c>
      <c r="G2" s="72" t="s">
        <v>92</v>
      </c>
      <c r="H2" s="72" t="s">
        <v>93</v>
      </c>
      <c r="I2" s="72" t="s">
        <v>94</v>
      </c>
      <c r="J2" s="72" t="s">
        <v>68</v>
      </c>
    </row>
    <row r="3" spans="2:10" ht="14.45" customHeight="1" x14ac:dyDescent="0.25">
      <c r="B3" s="101" t="s">
        <v>95</v>
      </c>
      <c r="C3" s="101"/>
      <c r="D3" s="101"/>
      <c r="E3" s="101"/>
      <c r="F3" s="101"/>
      <c r="G3" s="101"/>
      <c r="H3" s="101"/>
      <c r="I3" s="101"/>
      <c r="J3" s="101"/>
    </row>
    <row r="4" spans="2:10" ht="17.25" customHeight="1" x14ac:dyDescent="0.25">
      <c r="B4" s="74" t="s">
        <v>96</v>
      </c>
      <c r="C4" s="75">
        <f ca="1">SUMIF('Credito Simple'!C2:C365, "=1", 'Credito Simple'!B2:B65)</f>
        <v>0</v>
      </c>
      <c r="D4" s="75">
        <f ca="1">SUMIF('Credito Simple'!C2:C365, "&lt;=3", 'Credito Simple'!B2:B65)-C4</f>
        <v>9</v>
      </c>
      <c r="E4" s="75">
        <f ca="1">SUMIF('Credito Simple'!C2:C365,"&lt;=6",'Credito Simple'!B2:B65)-SUM(C4:D4)</f>
        <v>24</v>
      </c>
      <c r="F4" s="75">
        <f ca="1">SUMIF('Credito Simple'!C2:C365,"&lt;=12",'Credito Simple'!B2:B65)-SUM(C4:E4)</f>
        <v>49</v>
      </c>
      <c r="G4" s="75">
        <f ca="1">SUMIF('Credito Simple'!C2:C365, "&lt;=24", 'Credito Simple'!B2:B65)-SUM(C4:F4)</f>
        <v>37</v>
      </c>
      <c r="H4" s="75">
        <f ca="1">SUMIF('Credito Simple'!C2:C365,"&lt;=36",'Credito Simple'!B2:B65)-SUM(C4:G4)</f>
        <v>178</v>
      </c>
      <c r="I4" s="75">
        <f ca="1">SUMIF('Credito Simple'!C2:C365, "&gt;36", 'Credito Simple'!B2:B65)</f>
        <v>182</v>
      </c>
      <c r="J4" s="75">
        <f ca="1">SUM(C4:I4)</f>
        <v>479</v>
      </c>
    </row>
    <row r="5" spans="2:10" ht="30" x14ac:dyDescent="0.25">
      <c r="B5" s="74" t="s">
        <v>42</v>
      </c>
      <c r="C5" s="75">
        <f>SUM('Credito Revolvente'!C2:C87)/3</f>
        <v>127.66666666666667</v>
      </c>
      <c r="D5" s="75">
        <f>C5*2</f>
        <v>255.33333333333334</v>
      </c>
      <c r="E5" s="75">
        <v>0</v>
      </c>
      <c r="F5" s="75">
        <v>0</v>
      </c>
      <c r="G5" s="75">
        <v>0</v>
      </c>
      <c r="H5" s="75">
        <v>0</v>
      </c>
      <c r="I5" s="75">
        <v>0</v>
      </c>
      <c r="J5" s="75">
        <f t="shared" ref="J5:J6" si="0">SUM(C5:I5)</f>
        <v>383</v>
      </c>
    </row>
    <row r="6" spans="2:10" x14ac:dyDescent="0.25">
      <c r="B6" s="73" t="s">
        <v>97</v>
      </c>
      <c r="C6" s="76">
        <f ca="1">C4+C5</f>
        <v>127.66666666666667</v>
      </c>
      <c r="D6" s="76">
        <f t="shared" ref="D6:I6" ca="1" si="1">D4+D5</f>
        <v>264.33333333333337</v>
      </c>
      <c r="E6" s="76">
        <f ca="1">E4+E5</f>
        <v>24</v>
      </c>
      <c r="F6" s="76">
        <f t="shared" ca="1" si="1"/>
        <v>49</v>
      </c>
      <c r="G6" s="76">
        <f t="shared" ca="1" si="1"/>
        <v>37</v>
      </c>
      <c r="H6" s="76">
        <f t="shared" ca="1" si="1"/>
        <v>178</v>
      </c>
      <c r="I6" s="76">
        <f t="shared" ca="1" si="1"/>
        <v>182</v>
      </c>
      <c r="J6" s="76">
        <f t="shared" ca="1" si="0"/>
        <v>862</v>
      </c>
    </row>
    <row r="7" spans="2:10" ht="14.45" customHeight="1" x14ac:dyDescent="0.25">
      <c r="B7" s="102" t="s">
        <v>98</v>
      </c>
      <c r="C7" s="102"/>
      <c r="D7" s="102"/>
      <c r="E7" s="102"/>
      <c r="F7" s="102"/>
      <c r="G7" s="102"/>
      <c r="H7" s="102"/>
      <c r="I7" s="102"/>
      <c r="J7" s="102"/>
    </row>
    <row r="8" spans="2:10" x14ac:dyDescent="0.25">
      <c r="B8" s="78" t="s">
        <v>99</v>
      </c>
      <c r="C8" s="75">
        <f>50/12</f>
        <v>4.166666666666667</v>
      </c>
      <c r="D8" s="75">
        <f>C8*2</f>
        <v>8.3333333333333339</v>
      </c>
      <c r="E8" s="75">
        <f>C8*3</f>
        <v>12.5</v>
      </c>
      <c r="F8" s="75">
        <f>C8*6</f>
        <v>25</v>
      </c>
      <c r="G8" s="75">
        <v>0</v>
      </c>
      <c r="H8" s="75">
        <v>0</v>
      </c>
      <c r="I8" s="75">
        <v>0</v>
      </c>
      <c r="J8" s="75">
        <f>SUM(C8:I8)</f>
        <v>50</v>
      </c>
    </row>
    <row r="9" spans="2:10" x14ac:dyDescent="0.25">
      <c r="B9" s="78" t="s">
        <v>100</v>
      </c>
      <c r="C9" s="75">
        <f>60/18</f>
        <v>3.3333333333333335</v>
      </c>
      <c r="D9" s="75">
        <f>C9*2</f>
        <v>6.666666666666667</v>
      </c>
      <c r="E9" s="75">
        <f>C9*3</f>
        <v>10</v>
      </c>
      <c r="F9" s="75">
        <f>C9*6</f>
        <v>20</v>
      </c>
      <c r="G9" s="75">
        <f>C9*6</f>
        <v>20</v>
      </c>
      <c r="H9" s="75">
        <v>0</v>
      </c>
      <c r="I9" s="75">
        <v>0</v>
      </c>
      <c r="J9" s="75">
        <f t="shared" ref="J9:J14" si="2">SUM(C9:I9)</f>
        <v>60</v>
      </c>
    </row>
    <row r="10" spans="2:10" x14ac:dyDescent="0.25">
      <c r="B10" s="78" t="s">
        <v>101</v>
      </c>
      <c r="C10" s="75">
        <f>100/36</f>
        <v>2.7777777777777777</v>
      </c>
      <c r="D10" s="75">
        <f>C10*2</f>
        <v>5.5555555555555554</v>
      </c>
      <c r="E10" s="75">
        <f>C10*3</f>
        <v>8.3333333333333321</v>
      </c>
      <c r="F10" s="75">
        <f>C10*6</f>
        <v>16.666666666666664</v>
      </c>
      <c r="G10" s="75">
        <f>C10*12</f>
        <v>33.333333333333329</v>
      </c>
      <c r="H10" s="75">
        <f>G10</f>
        <v>33.333333333333329</v>
      </c>
      <c r="I10" s="75">
        <v>0</v>
      </c>
      <c r="J10" s="75">
        <f t="shared" si="2"/>
        <v>99.999999999999986</v>
      </c>
    </row>
    <row r="11" spans="2:10" x14ac:dyDescent="0.25">
      <c r="B11" s="78" t="s">
        <v>102</v>
      </c>
      <c r="C11" s="75">
        <v>0</v>
      </c>
      <c r="D11" s="75">
        <v>0</v>
      </c>
      <c r="E11" s="75">
        <v>100</v>
      </c>
      <c r="F11" s="75">
        <v>0</v>
      </c>
      <c r="G11" s="75">
        <v>0</v>
      </c>
      <c r="H11" s="75">
        <v>0</v>
      </c>
      <c r="I11" s="75">
        <v>0</v>
      </c>
      <c r="J11" s="75">
        <f t="shared" si="2"/>
        <v>100</v>
      </c>
    </row>
    <row r="12" spans="2:10" x14ac:dyDescent="0.25">
      <c r="B12" s="78" t="s">
        <v>103</v>
      </c>
      <c r="C12" s="75">
        <v>0</v>
      </c>
      <c r="D12" s="75">
        <v>0</v>
      </c>
      <c r="E12" s="75">
        <v>0</v>
      </c>
      <c r="F12" s="75">
        <v>0</v>
      </c>
      <c r="G12" s="75">
        <v>200</v>
      </c>
      <c r="H12" s="75">
        <v>0</v>
      </c>
      <c r="I12" s="75">
        <v>0</v>
      </c>
      <c r="J12" s="75">
        <f t="shared" si="2"/>
        <v>200</v>
      </c>
    </row>
    <row r="13" spans="2:10" x14ac:dyDescent="0.25">
      <c r="B13" s="77" t="s">
        <v>104</v>
      </c>
      <c r="C13" s="79">
        <f>SUM(C8:C12)</f>
        <v>10.277777777777779</v>
      </c>
      <c r="D13" s="79">
        <f t="shared" ref="D13:I13" si="3">SUM(D8:D12)</f>
        <v>20.555555555555557</v>
      </c>
      <c r="E13" s="79">
        <f t="shared" si="3"/>
        <v>130.83333333333334</v>
      </c>
      <c r="F13" s="79">
        <f t="shared" si="3"/>
        <v>61.666666666666664</v>
      </c>
      <c r="G13" s="79">
        <f t="shared" si="3"/>
        <v>253.33333333333331</v>
      </c>
      <c r="H13" s="79">
        <f t="shared" si="3"/>
        <v>33.333333333333329</v>
      </c>
      <c r="I13" s="79">
        <f t="shared" si="3"/>
        <v>0</v>
      </c>
      <c r="J13" s="79">
        <f t="shared" si="2"/>
        <v>509.99999999999994</v>
      </c>
    </row>
    <row r="14" spans="2:10" x14ac:dyDescent="0.25">
      <c r="B14" s="80" t="s">
        <v>105</v>
      </c>
      <c r="C14" s="81">
        <f ca="1">C6-C13</f>
        <v>117.38888888888889</v>
      </c>
      <c r="D14" s="81">
        <f t="shared" ref="D14:I14" ca="1" si="4">D6-D13</f>
        <v>243.77777777777783</v>
      </c>
      <c r="E14" s="81">
        <f t="shared" ca="1" si="4"/>
        <v>-106.83333333333334</v>
      </c>
      <c r="F14" s="81">
        <f t="shared" ca="1" si="4"/>
        <v>-12.666666666666664</v>
      </c>
      <c r="G14" s="81">
        <f t="shared" ca="1" si="4"/>
        <v>-216.33333333333331</v>
      </c>
      <c r="H14" s="81">
        <f t="shared" ca="1" si="4"/>
        <v>144.66666666666669</v>
      </c>
      <c r="I14" s="81">
        <f t="shared" ca="1" si="4"/>
        <v>182</v>
      </c>
      <c r="J14" s="82">
        <f t="shared" ca="1" si="2"/>
        <v>352.00000000000011</v>
      </c>
    </row>
    <row r="15" spans="2:10" x14ac:dyDescent="0.25">
      <c r="B15" s="80" t="s">
        <v>106</v>
      </c>
      <c r="C15" s="81">
        <f ca="1">C14</f>
        <v>117.38888888888889</v>
      </c>
      <c r="D15" s="81">
        <f ca="1">C15+D14</f>
        <v>361.16666666666674</v>
      </c>
      <c r="E15" s="81">
        <f t="shared" ref="E15:H15" ca="1" si="5">D15+E14</f>
        <v>254.3333333333334</v>
      </c>
      <c r="F15" s="81">
        <f t="shared" ca="1" si="5"/>
        <v>241.66666666666674</v>
      </c>
      <c r="G15" s="81">
        <f t="shared" ca="1" si="5"/>
        <v>25.333333333333428</v>
      </c>
      <c r="H15" s="81">
        <f t="shared" ca="1" si="5"/>
        <v>170.00000000000011</v>
      </c>
      <c r="I15" s="81">
        <f ca="1">H15+I14</f>
        <v>352.00000000000011</v>
      </c>
      <c r="J15" s="83"/>
    </row>
    <row r="17" spans="2:10" ht="30.75" customHeight="1" x14ac:dyDescent="0.25">
      <c r="B17" s="103" t="s">
        <v>107</v>
      </c>
      <c r="C17" s="103"/>
      <c r="D17" s="103"/>
      <c r="E17" s="103"/>
      <c r="F17" s="103"/>
      <c r="G17" s="103"/>
      <c r="H17" s="103"/>
      <c r="I17" s="103"/>
      <c r="J17" s="103"/>
    </row>
    <row r="18" spans="2:10" ht="72" customHeight="1" x14ac:dyDescent="0.25">
      <c r="B18" s="104" t="s">
        <v>108</v>
      </c>
      <c r="C18" s="104"/>
      <c r="D18" s="104"/>
      <c r="E18" s="104"/>
      <c r="F18" s="104"/>
      <c r="G18" s="104"/>
      <c r="H18" s="104"/>
      <c r="I18" s="104"/>
      <c r="J18" s="104"/>
    </row>
    <row r="19" spans="2:10" x14ac:dyDescent="0.25">
      <c r="B19" s="104"/>
      <c r="C19" s="104"/>
      <c r="D19" s="104"/>
      <c r="E19" s="104"/>
      <c r="F19" s="104"/>
      <c r="G19" s="104"/>
      <c r="H19" s="104"/>
      <c r="I19" s="104"/>
      <c r="J19" s="104"/>
    </row>
    <row r="20" spans="2:10" x14ac:dyDescent="0.25">
      <c r="B20" s="104"/>
      <c r="C20" s="104"/>
      <c r="D20" s="104"/>
      <c r="E20" s="104"/>
      <c r="F20" s="104"/>
      <c r="G20" s="104"/>
      <c r="H20" s="104"/>
      <c r="I20" s="104"/>
      <c r="J20" s="104"/>
    </row>
    <row r="21" spans="2:10" x14ac:dyDescent="0.25">
      <c r="B21" s="104"/>
      <c r="C21" s="104"/>
      <c r="D21" s="104"/>
      <c r="E21" s="104"/>
      <c r="F21" s="104"/>
      <c r="G21" s="104"/>
      <c r="H21" s="104"/>
      <c r="I21" s="104"/>
      <c r="J21" s="104"/>
    </row>
    <row r="22" spans="2:10" x14ac:dyDescent="0.25">
      <c r="B22" s="104"/>
      <c r="C22" s="104"/>
      <c r="D22" s="104"/>
      <c r="E22" s="104"/>
      <c r="F22" s="104"/>
      <c r="G22" s="104"/>
      <c r="H22" s="104"/>
      <c r="I22" s="104"/>
      <c r="J22" s="104"/>
    </row>
    <row r="23" spans="2:10" x14ac:dyDescent="0.25">
      <c r="B23" s="104"/>
      <c r="C23" s="104"/>
      <c r="D23" s="104"/>
      <c r="E23" s="104"/>
      <c r="F23" s="104"/>
      <c r="G23" s="104"/>
      <c r="H23" s="104"/>
      <c r="I23" s="104"/>
      <c r="J23" s="104"/>
    </row>
    <row r="24" spans="2:10" x14ac:dyDescent="0.25">
      <c r="B24" s="104"/>
      <c r="C24" s="104"/>
      <c r="D24" s="104"/>
      <c r="E24" s="104"/>
      <c r="F24" s="104"/>
      <c r="G24" s="104"/>
      <c r="H24" s="104"/>
      <c r="I24" s="104"/>
      <c r="J24" s="104"/>
    </row>
  </sheetData>
  <mergeCells count="4">
    <mergeCell ref="B3:J3"/>
    <mergeCell ref="B7:J7"/>
    <mergeCell ref="B17:J17"/>
    <mergeCell ref="B18:J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912AE-CA39-4EFA-90AE-E84910CD7BB6}">
  <dimension ref="B1:L32"/>
  <sheetViews>
    <sheetView topLeftCell="A3" workbookViewId="0">
      <selection activeCell="E16" sqref="E16:L22"/>
    </sheetView>
  </sheetViews>
  <sheetFormatPr baseColWidth="10" defaultColWidth="11.42578125" defaultRowHeight="15" x14ac:dyDescent="0.25"/>
  <cols>
    <col min="1" max="1" width="3.42578125" customWidth="1"/>
    <col min="2" max="2" width="43.5703125" customWidth="1"/>
    <col min="3" max="3" width="13.42578125" customWidth="1"/>
  </cols>
  <sheetData>
    <row r="1" spans="2:12" x14ac:dyDescent="0.25">
      <c r="B1" s="56"/>
      <c r="C1" s="56"/>
    </row>
    <row r="2" spans="2:12" ht="30" x14ac:dyDescent="0.25">
      <c r="B2" s="60" t="s">
        <v>62</v>
      </c>
      <c r="C2" s="61" t="s">
        <v>109</v>
      </c>
    </row>
    <row r="3" spans="2:12" x14ac:dyDescent="0.25">
      <c r="B3" s="105" t="s">
        <v>110</v>
      </c>
      <c r="C3" s="106"/>
      <c r="E3" s="103" t="s">
        <v>111</v>
      </c>
      <c r="F3" s="103"/>
      <c r="G3" s="103"/>
      <c r="H3" s="103"/>
      <c r="I3" s="103"/>
      <c r="J3" s="103"/>
      <c r="K3" s="103"/>
      <c r="L3" s="103"/>
    </row>
    <row r="4" spans="2:12" x14ac:dyDescent="0.25">
      <c r="B4" s="66" t="s">
        <v>112</v>
      </c>
      <c r="C4" s="67">
        <f>'Credito Simple'!B4+'Credito Simple'!B5+'Credito Simple'!B6+'Credito Simple'!B10+'Credito Simple'!B11+'Credito Simple'!B14+'Credito Simple'!B15+'Credito Simple'!B16+'Credito Simple'!B17+'Credito Simple'!B22+'Credito Simple'!B23+'Credito Simple'!B25+'Credito Simple'!B31+'Credito Simple'!B32+'Credito Simple'!B33+'Credito Simple'!B34+'Credito Simple'!B35+'Credito Simple'!B36+'Credito Simple'!B47+'Credito Simple'!B48+'Credito Simple'!B49+'Credito Simple'!B50+'Credito Simple'!B51+'Credito Simple'!B52+'Credito Simple'!B53+'Credito Simple'!B54+'Credito Simple'!B55+'Credito Simple'!B56+'Credito Simple'!B57+'Credito Simple'!B58+'Credito Simple'!B59+'Credito Simple'!B60+'Credito Simple'!B61+'Credito Simple'!B62+'Credito Simple'!B63+'Credito Simple'!B64+'Credito Simple'!B65</f>
        <v>244</v>
      </c>
      <c r="E4" s="104" t="s">
        <v>113</v>
      </c>
      <c r="F4" s="104"/>
      <c r="G4" s="104"/>
      <c r="H4" s="104"/>
      <c r="I4" s="104"/>
      <c r="J4" s="104"/>
      <c r="K4" s="104"/>
      <c r="L4" s="104"/>
    </row>
    <row r="5" spans="2:12" x14ac:dyDescent="0.25">
      <c r="B5" s="66" t="s">
        <v>114</v>
      </c>
      <c r="C5" s="67">
        <v>0</v>
      </c>
      <c r="E5" s="104"/>
      <c r="F5" s="104"/>
      <c r="G5" s="104"/>
      <c r="H5" s="104"/>
      <c r="I5" s="104"/>
      <c r="J5" s="104"/>
      <c r="K5" s="104"/>
      <c r="L5" s="104"/>
    </row>
    <row r="6" spans="2:12" ht="30" x14ac:dyDescent="0.25">
      <c r="B6" s="66" t="s">
        <v>115</v>
      </c>
      <c r="C6" s="67">
        <v>383</v>
      </c>
      <c r="E6" s="104"/>
      <c r="F6" s="104"/>
      <c r="G6" s="104"/>
      <c r="H6" s="104"/>
      <c r="I6" s="104"/>
      <c r="J6" s="104"/>
      <c r="K6" s="104"/>
      <c r="L6" s="104"/>
    </row>
    <row r="7" spans="2:12" ht="12.75" customHeight="1" x14ac:dyDescent="0.25">
      <c r="B7" s="66" t="s">
        <v>116</v>
      </c>
      <c r="C7" s="67">
        <v>50</v>
      </c>
      <c r="E7" s="104"/>
      <c r="F7" s="104"/>
      <c r="G7" s="104"/>
      <c r="H7" s="104"/>
      <c r="I7" s="104"/>
      <c r="J7" s="104"/>
      <c r="K7" s="104"/>
      <c r="L7" s="104"/>
    </row>
    <row r="8" spans="2:12" x14ac:dyDescent="0.25">
      <c r="B8" s="66" t="s">
        <v>117</v>
      </c>
      <c r="C8" s="67">
        <v>50</v>
      </c>
      <c r="E8" s="104"/>
      <c r="F8" s="104"/>
      <c r="G8" s="104"/>
      <c r="H8" s="104"/>
      <c r="I8" s="104"/>
      <c r="J8" s="104"/>
      <c r="K8" s="104"/>
      <c r="L8" s="104"/>
    </row>
    <row r="9" spans="2:12" x14ac:dyDescent="0.25">
      <c r="B9" s="66" t="s">
        <v>118</v>
      </c>
      <c r="C9" s="67">
        <v>0</v>
      </c>
      <c r="E9" s="103" t="s">
        <v>119</v>
      </c>
      <c r="F9" s="103"/>
      <c r="G9" s="103"/>
      <c r="H9" s="103"/>
      <c r="I9" s="103"/>
      <c r="J9" s="103"/>
      <c r="K9" s="103"/>
      <c r="L9" s="103"/>
    </row>
    <row r="10" spans="2:12" x14ac:dyDescent="0.25">
      <c r="B10" s="68" t="s">
        <v>120</v>
      </c>
      <c r="C10" s="69">
        <f>SUM(C4:C9)</f>
        <v>727</v>
      </c>
      <c r="E10" s="104" t="s">
        <v>121</v>
      </c>
      <c r="F10" s="104"/>
      <c r="G10" s="104"/>
      <c r="H10" s="104"/>
      <c r="I10" s="104"/>
      <c r="J10" s="104"/>
      <c r="K10" s="104"/>
      <c r="L10" s="104"/>
    </row>
    <row r="11" spans="2:12" ht="15" customHeight="1" x14ac:dyDescent="0.25">
      <c r="B11" s="105" t="s">
        <v>122</v>
      </c>
      <c r="C11" s="106"/>
      <c r="E11" s="104"/>
      <c r="F11" s="104"/>
      <c r="G11" s="104"/>
      <c r="H11" s="104"/>
      <c r="I11" s="104"/>
      <c r="J11" s="104"/>
      <c r="K11" s="104"/>
      <c r="L11" s="104"/>
    </row>
    <row r="12" spans="2:12" x14ac:dyDescent="0.25">
      <c r="B12" s="66" t="s">
        <v>99</v>
      </c>
      <c r="C12" s="67">
        <v>50</v>
      </c>
      <c r="E12" s="104"/>
      <c r="F12" s="104"/>
      <c r="G12" s="104"/>
      <c r="H12" s="104"/>
      <c r="I12" s="104"/>
      <c r="J12" s="104"/>
      <c r="K12" s="104"/>
      <c r="L12" s="104"/>
    </row>
    <row r="13" spans="2:12" ht="15" customHeight="1" x14ac:dyDescent="0.25">
      <c r="B13" s="66" t="s">
        <v>100</v>
      </c>
      <c r="C13" s="67">
        <v>60</v>
      </c>
      <c r="E13" s="104"/>
      <c r="F13" s="104"/>
      <c r="G13" s="104"/>
      <c r="H13" s="104"/>
      <c r="I13" s="104"/>
      <c r="J13" s="104"/>
      <c r="K13" s="104"/>
      <c r="L13" s="104"/>
    </row>
    <row r="14" spans="2:12" x14ac:dyDescent="0.25">
      <c r="B14" s="66" t="s">
        <v>101</v>
      </c>
      <c r="C14" s="67">
        <v>100</v>
      </c>
      <c r="E14" s="104"/>
      <c r="F14" s="104"/>
      <c r="G14" s="104"/>
      <c r="H14" s="104"/>
      <c r="I14" s="104"/>
      <c r="J14" s="104"/>
      <c r="K14" s="104"/>
      <c r="L14" s="104"/>
    </row>
    <row r="15" spans="2:12" x14ac:dyDescent="0.25">
      <c r="B15" s="66" t="s">
        <v>102</v>
      </c>
      <c r="C15" s="67">
        <v>0</v>
      </c>
      <c r="E15" s="103" t="s">
        <v>123</v>
      </c>
      <c r="F15" s="103"/>
      <c r="G15" s="103"/>
      <c r="H15" s="103"/>
      <c r="I15" s="103"/>
      <c r="J15" s="103"/>
      <c r="K15" s="103"/>
      <c r="L15" s="103"/>
    </row>
    <row r="16" spans="2:12" x14ac:dyDescent="0.25">
      <c r="B16" s="66" t="s">
        <v>103</v>
      </c>
      <c r="C16" s="67">
        <v>0</v>
      </c>
      <c r="E16" s="104" t="s">
        <v>124</v>
      </c>
      <c r="F16" s="104"/>
      <c r="G16" s="104"/>
      <c r="H16" s="104"/>
      <c r="I16" s="104"/>
      <c r="J16" s="104"/>
      <c r="K16" s="104"/>
      <c r="L16" s="104"/>
    </row>
    <row r="17" spans="2:12" x14ac:dyDescent="0.25">
      <c r="B17" s="68" t="s">
        <v>125</v>
      </c>
      <c r="C17" s="69">
        <f>SUM(C12:C16)</f>
        <v>210</v>
      </c>
      <c r="E17" s="104"/>
      <c r="F17" s="104"/>
      <c r="G17" s="104"/>
      <c r="H17" s="104"/>
      <c r="I17" s="104"/>
      <c r="J17" s="104"/>
      <c r="K17" s="104"/>
      <c r="L17" s="104"/>
    </row>
    <row r="18" spans="2:12" x14ac:dyDescent="0.25">
      <c r="B18" s="105" t="s">
        <v>126</v>
      </c>
      <c r="C18" s="106"/>
      <c r="E18" s="104"/>
      <c r="F18" s="104"/>
      <c r="G18" s="104"/>
      <c r="H18" s="104"/>
      <c r="I18" s="104"/>
      <c r="J18" s="104"/>
      <c r="K18" s="104"/>
      <c r="L18" s="104"/>
    </row>
    <row r="19" spans="2:12" x14ac:dyDescent="0.25">
      <c r="B19" s="70" t="s">
        <v>127</v>
      </c>
      <c r="C19" s="71">
        <f>C10-C17</f>
        <v>517</v>
      </c>
      <c r="E19" s="104"/>
      <c r="F19" s="104"/>
      <c r="G19" s="104"/>
      <c r="H19" s="104"/>
      <c r="I19" s="104"/>
      <c r="J19" s="104"/>
      <c r="K19" s="104"/>
      <c r="L19" s="104"/>
    </row>
    <row r="20" spans="2:12" x14ac:dyDescent="0.25">
      <c r="B20" s="56"/>
      <c r="C20" s="56"/>
      <c r="E20" s="104"/>
      <c r="F20" s="104"/>
      <c r="G20" s="104"/>
      <c r="H20" s="104"/>
      <c r="I20" s="104"/>
      <c r="J20" s="104"/>
      <c r="K20" s="104"/>
      <c r="L20" s="104"/>
    </row>
    <row r="21" spans="2:12" x14ac:dyDescent="0.25">
      <c r="E21" s="104"/>
      <c r="F21" s="104"/>
      <c r="G21" s="104"/>
      <c r="H21" s="104"/>
      <c r="I21" s="104"/>
      <c r="J21" s="104"/>
      <c r="K21" s="104"/>
      <c r="L21" s="104"/>
    </row>
    <row r="22" spans="2:12" x14ac:dyDescent="0.25">
      <c r="E22" s="104"/>
      <c r="F22" s="104"/>
      <c r="G22" s="104"/>
      <c r="H22" s="104"/>
      <c r="I22" s="104"/>
      <c r="J22" s="104"/>
      <c r="K22" s="104"/>
      <c r="L22" s="104"/>
    </row>
    <row r="23" spans="2:12" x14ac:dyDescent="0.25">
      <c r="E23" s="63"/>
      <c r="F23" s="63"/>
      <c r="G23" s="63"/>
      <c r="H23" s="63"/>
      <c r="I23" s="63"/>
      <c r="J23" s="63"/>
      <c r="K23" s="63"/>
      <c r="L23" s="63"/>
    </row>
    <row r="24" spans="2:12" x14ac:dyDescent="0.25">
      <c r="E24" s="63"/>
      <c r="F24" s="63"/>
      <c r="G24" s="63"/>
      <c r="H24" s="63"/>
      <c r="I24" s="63"/>
      <c r="J24" s="63"/>
      <c r="K24" s="63"/>
      <c r="L24" s="63"/>
    </row>
    <row r="25" spans="2:12" x14ac:dyDescent="0.25">
      <c r="E25" s="63"/>
      <c r="F25" s="63"/>
      <c r="G25" s="63"/>
      <c r="H25" s="63"/>
      <c r="I25" s="63"/>
      <c r="J25" s="63"/>
      <c r="K25" s="63"/>
      <c r="L25" s="63"/>
    </row>
    <row r="26" spans="2:12" x14ac:dyDescent="0.25">
      <c r="E26" s="63"/>
      <c r="F26" s="63"/>
      <c r="G26" s="63"/>
      <c r="H26" s="63"/>
      <c r="I26" s="63"/>
      <c r="J26" s="63"/>
      <c r="K26" s="63"/>
      <c r="L26" s="63"/>
    </row>
    <row r="27" spans="2:12" x14ac:dyDescent="0.25">
      <c r="E27" s="63"/>
      <c r="F27" s="63"/>
      <c r="G27" s="63"/>
      <c r="H27" s="63"/>
      <c r="I27" s="63"/>
      <c r="J27" s="63"/>
      <c r="K27" s="63"/>
      <c r="L27" s="63"/>
    </row>
    <row r="28" spans="2:12" x14ac:dyDescent="0.25">
      <c r="E28" s="63"/>
      <c r="F28" s="63"/>
      <c r="G28" s="63"/>
      <c r="H28" s="63"/>
      <c r="I28" s="63"/>
      <c r="J28" s="63"/>
      <c r="K28" s="63"/>
      <c r="L28" s="63"/>
    </row>
    <row r="29" spans="2:12" x14ac:dyDescent="0.25">
      <c r="E29" s="63"/>
      <c r="F29" s="63"/>
      <c r="G29" s="63"/>
      <c r="H29" s="63"/>
      <c r="I29" s="63"/>
      <c r="J29" s="63"/>
      <c r="K29" s="63"/>
      <c r="L29" s="63"/>
    </row>
    <row r="30" spans="2:12" x14ac:dyDescent="0.25">
      <c r="E30" s="63"/>
      <c r="F30" s="63"/>
      <c r="G30" s="63"/>
      <c r="H30" s="63"/>
      <c r="I30" s="63"/>
      <c r="J30" s="63"/>
      <c r="K30" s="63"/>
      <c r="L30" s="63"/>
    </row>
    <row r="31" spans="2:12" x14ac:dyDescent="0.25">
      <c r="E31" s="63"/>
      <c r="F31" s="63"/>
      <c r="G31" s="63"/>
      <c r="H31" s="63"/>
      <c r="I31" s="63"/>
      <c r="J31" s="63"/>
      <c r="K31" s="63"/>
      <c r="L31" s="63"/>
    </row>
    <row r="32" spans="2:12" x14ac:dyDescent="0.25">
      <c r="E32" s="63"/>
      <c r="F32" s="63"/>
      <c r="G32" s="63"/>
      <c r="H32" s="63"/>
      <c r="I32" s="63"/>
      <c r="J32" s="63"/>
      <c r="K32" s="63"/>
      <c r="L32" s="63"/>
    </row>
  </sheetData>
  <mergeCells count="9">
    <mergeCell ref="B3:C3"/>
    <mergeCell ref="B11:C11"/>
    <mergeCell ref="B18:C18"/>
    <mergeCell ref="E4:L8"/>
    <mergeCell ref="E10:L14"/>
    <mergeCell ref="E3:L3"/>
    <mergeCell ref="E9:L9"/>
    <mergeCell ref="E15:L15"/>
    <mergeCell ref="E16:L2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58547-038A-45E8-B7E8-CDC837DCF731}">
  <dimension ref="B2:D31"/>
  <sheetViews>
    <sheetView zoomScale="130" zoomScaleNormal="130" workbookViewId="0">
      <selection activeCell="K16" sqref="K16"/>
    </sheetView>
  </sheetViews>
  <sheetFormatPr baseColWidth="10" defaultColWidth="11.42578125" defaultRowHeight="15" x14ac:dyDescent="0.25"/>
  <cols>
    <col min="1" max="1" width="3.28515625" customWidth="1"/>
    <col min="2" max="2" width="20.5703125" customWidth="1"/>
    <col min="3" max="3" width="11.7109375" bestFit="1" customWidth="1"/>
  </cols>
  <sheetData>
    <row r="2" spans="2:3" x14ac:dyDescent="0.25">
      <c r="B2" s="25" t="s">
        <v>128</v>
      </c>
      <c r="C2" s="30">
        <v>187.8</v>
      </c>
    </row>
    <row r="3" spans="2:3" x14ac:dyDescent="0.25">
      <c r="B3" s="25" t="s">
        <v>129</v>
      </c>
      <c r="C3" s="30">
        <v>142.51</v>
      </c>
    </row>
    <row r="4" spans="2:3" x14ac:dyDescent="0.25">
      <c r="B4" s="25" t="s">
        <v>130</v>
      </c>
      <c r="C4" s="30">
        <v>14.73</v>
      </c>
    </row>
    <row r="5" spans="2:3" x14ac:dyDescent="0.25">
      <c r="B5" s="25" t="s">
        <v>131</v>
      </c>
      <c r="C5" s="55">
        <f>142.51-14.73</f>
        <v>127.77999999999999</v>
      </c>
    </row>
    <row r="15" spans="2:3" x14ac:dyDescent="0.25">
      <c r="B15" s="22"/>
    </row>
    <row r="17" spans="2:4" x14ac:dyDescent="0.25">
      <c r="B17" t="s">
        <v>132</v>
      </c>
      <c r="C17">
        <v>400</v>
      </c>
    </row>
    <row r="18" spans="2:4" x14ac:dyDescent="0.25">
      <c r="B18" t="s">
        <v>133</v>
      </c>
      <c r="C18">
        <v>124</v>
      </c>
    </row>
    <row r="19" spans="2:4" x14ac:dyDescent="0.25">
      <c r="B19" s="37" t="s">
        <v>134</v>
      </c>
      <c r="C19" s="37">
        <f>C17+C18</f>
        <v>524</v>
      </c>
    </row>
    <row r="20" spans="2:4" x14ac:dyDescent="0.25">
      <c r="B20" t="s">
        <v>131</v>
      </c>
      <c r="C20">
        <f>C5</f>
        <v>127.77999999999999</v>
      </c>
    </row>
    <row r="21" spans="2:4" x14ac:dyDescent="0.25">
      <c r="B21" s="38" t="s">
        <v>135</v>
      </c>
      <c r="C21" s="38">
        <f>C19-C20</f>
        <v>396.22</v>
      </c>
      <c r="D21" s="64" t="s">
        <v>136</v>
      </c>
    </row>
    <row r="31" spans="2:4" x14ac:dyDescent="0.25">
      <c r="B31" s="22"/>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C8238-2D3E-4515-A7E2-73E640F51AA3}">
  <dimension ref="A1:M489"/>
  <sheetViews>
    <sheetView topLeftCell="C21" zoomScale="115" zoomScaleNormal="115" workbookViewId="0">
      <selection activeCell="O17" sqref="O17"/>
    </sheetView>
  </sheetViews>
  <sheetFormatPr baseColWidth="10" defaultColWidth="11.42578125" defaultRowHeight="15" x14ac:dyDescent="0.25"/>
  <cols>
    <col min="1" max="1" width="17.42578125" bestFit="1" customWidth="1"/>
    <col min="2" max="2" width="17.42578125" customWidth="1"/>
    <col min="4" max="4" width="13.42578125" bestFit="1" customWidth="1"/>
    <col min="6" max="6" width="20.7109375" customWidth="1"/>
    <col min="7" max="7" width="16.140625" bestFit="1" customWidth="1"/>
  </cols>
  <sheetData>
    <row r="1" spans="1:13" x14ac:dyDescent="0.25">
      <c r="A1" s="26" t="s">
        <v>137</v>
      </c>
      <c r="B1" s="26" t="s">
        <v>138</v>
      </c>
      <c r="C1" s="27" t="s">
        <v>139</v>
      </c>
      <c r="D1" s="27" t="s">
        <v>140</v>
      </c>
    </row>
    <row r="2" spans="1:13" x14ac:dyDescent="0.25">
      <c r="A2" s="28" t="s">
        <v>141</v>
      </c>
      <c r="B2" s="28">
        <v>9.89</v>
      </c>
      <c r="C2" s="29"/>
      <c r="D2" s="33"/>
      <c r="F2" s="25" t="s">
        <v>142</v>
      </c>
      <c r="G2" s="30">
        <v>40000000</v>
      </c>
    </row>
    <row r="3" spans="1:13" x14ac:dyDescent="0.25">
      <c r="A3" s="28" t="s">
        <v>143</v>
      </c>
      <c r="B3" s="28">
        <v>9.93</v>
      </c>
      <c r="C3" s="28">
        <f t="shared" ref="C3:C66" si="0">(B3-B2)*100</f>
        <v>3.9999999999999147</v>
      </c>
      <c r="D3" s="32">
        <f>-C3*$G$8</f>
        <v>-42289.978487360429</v>
      </c>
      <c r="F3" s="25" t="s">
        <v>144</v>
      </c>
      <c r="G3" s="31">
        <f>G2/G5</f>
        <v>397462.20382855472</v>
      </c>
    </row>
    <row r="4" spans="1:13" x14ac:dyDescent="0.25">
      <c r="A4" s="28" t="s">
        <v>145</v>
      </c>
      <c r="B4" s="28">
        <v>10.039999999999999</v>
      </c>
      <c r="C4" s="28">
        <f t="shared" si="0"/>
        <v>10.999999999999943</v>
      </c>
      <c r="D4" s="32">
        <f t="shared" ref="D4:D66" si="1">-C4*$G$8</f>
        <v>-116297.44084024306</v>
      </c>
      <c r="F4" s="25" t="s">
        <v>146</v>
      </c>
      <c r="G4" s="28" t="s">
        <v>147</v>
      </c>
    </row>
    <row r="5" spans="1:13" x14ac:dyDescent="0.25">
      <c r="A5" s="28" t="s">
        <v>148</v>
      </c>
      <c r="B5" s="28">
        <v>9.98</v>
      </c>
      <c r="C5" s="28">
        <f t="shared" si="0"/>
        <v>-5.9999999999998721</v>
      </c>
      <c r="D5" s="32">
        <f t="shared" si="1"/>
        <v>63434.967731040648</v>
      </c>
      <c r="F5" s="25" t="s">
        <v>149</v>
      </c>
      <c r="G5" s="35">
        <v>100.63849999999999</v>
      </c>
    </row>
    <row r="6" spans="1:13" x14ac:dyDescent="0.25">
      <c r="A6" s="28" t="s">
        <v>150</v>
      </c>
      <c r="B6" s="28">
        <v>9.8800000000000008</v>
      </c>
      <c r="C6" s="28">
        <f t="shared" si="0"/>
        <v>-9.9999999999999645</v>
      </c>
      <c r="D6" s="32">
        <f t="shared" si="1"/>
        <v>105724.94621840295</v>
      </c>
      <c r="F6" s="25" t="s">
        <v>151</v>
      </c>
      <c r="G6" s="35">
        <v>100.6651</v>
      </c>
    </row>
    <row r="7" spans="1:13" x14ac:dyDescent="0.25">
      <c r="A7" s="28" t="s">
        <v>152</v>
      </c>
      <c r="B7" s="28">
        <v>9.9499999999999993</v>
      </c>
      <c r="C7" s="28">
        <f t="shared" si="0"/>
        <v>6.9999999999998508</v>
      </c>
      <c r="D7" s="32">
        <f t="shared" si="1"/>
        <v>-74007.462352880757</v>
      </c>
      <c r="F7" s="25" t="s">
        <v>153</v>
      </c>
      <c r="G7" s="36">
        <f>G6-G5</f>
        <v>2.6600000000001955E-2</v>
      </c>
    </row>
    <row r="8" spans="1:13" x14ac:dyDescent="0.25">
      <c r="A8" s="28" t="s">
        <v>154</v>
      </c>
      <c r="B8" s="28">
        <v>10.24</v>
      </c>
      <c r="C8" s="28">
        <f t="shared" si="0"/>
        <v>29.000000000000092</v>
      </c>
      <c r="D8" s="32">
        <f t="shared" si="1"/>
        <v>-306602.34403337061</v>
      </c>
      <c r="F8" s="25" t="s">
        <v>155</v>
      </c>
      <c r="G8" s="32">
        <f>G3*G7</f>
        <v>10572.494621840333</v>
      </c>
    </row>
    <row r="9" spans="1:13" x14ac:dyDescent="0.25">
      <c r="A9" s="28" t="s">
        <v>156</v>
      </c>
      <c r="B9" s="28">
        <v>10.33</v>
      </c>
      <c r="C9" s="28">
        <f t="shared" si="0"/>
        <v>8.9999999999999858</v>
      </c>
      <c r="D9" s="32">
        <f t="shared" si="1"/>
        <v>-95152.451596562853</v>
      </c>
      <c r="F9" s="19"/>
    </row>
    <row r="10" spans="1:13" x14ac:dyDescent="0.25">
      <c r="A10" s="28" t="s">
        <v>157</v>
      </c>
      <c r="B10" s="28">
        <v>10.46</v>
      </c>
      <c r="C10" s="28">
        <f t="shared" si="0"/>
        <v>13.000000000000078</v>
      </c>
      <c r="D10" s="32">
        <f t="shared" si="1"/>
        <v>-137442.43008392517</v>
      </c>
      <c r="F10" s="25" t="s">
        <v>158</v>
      </c>
      <c r="G10" s="54">
        <f>PERCENTILE(D3:D489,0.01)</f>
        <v>-149495.07395282289</v>
      </c>
    </row>
    <row r="11" spans="1:13" x14ac:dyDescent="0.25">
      <c r="A11" s="28" t="s">
        <v>159</v>
      </c>
      <c r="B11" s="28">
        <v>10.37</v>
      </c>
      <c r="C11" s="28">
        <f t="shared" si="0"/>
        <v>-9.0000000000001634</v>
      </c>
      <c r="D11" s="32">
        <f t="shared" si="1"/>
        <v>95152.45159656473</v>
      </c>
      <c r="F11" s="25" t="s">
        <v>160</v>
      </c>
      <c r="G11" s="54">
        <f>AVERAGEIF(D3:D489,"&lt;"&amp;G10)</f>
        <v>-209335.39351243901</v>
      </c>
    </row>
    <row r="12" spans="1:13" x14ac:dyDescent="0.25">
      <c r="A12" s="28" t="s">
        <v>161</v>
      </c>
      <c r="B12" s="28">
        <v>10.19</v>
      </c>
      <c r="C12" s="28">
        <f t="shared" si="0"/>
        <v>-17.999999999999972</v>
      </c>
      <c r="D12" s="32">
        <f t="shared" si="1"/>
        <v>190304.90319312571</v>
      </c>
    </row>
    <row r="13" spans="1:13" x14ac:dyDescent="0.25">
      <c r="A13" s="28" t="s">
        <v>162</v>
      </c>
      <c r="B13" s="28">
        <v>10.29</v>
      </c>
      <c r="C13" s="28">
        <f t="shared" si="0"/>
        <v>9.9999999999999645</v>
      </c>
      <c r="D13" s="32">
        <f t="shared" si="1"/>
        <v>-105724.94621840295</v>
      </c>
      <c r="F13" s="34" t="s">
        <v>163</v>
      </c>
    </row>
    <row r="14" spans="1:13" x14ac:dyDescent="0.25">
      <c r="A14" s="28" t="s">
        <v>164</v>
      </c>
      <c r="B14" s="28">
        <v>10.3</v>
      </c>
      <c r="C14" s="28">
        <f t="shared" si="0"/>
        <v>1.0000000000001563</v>
      </c>
      <c r="D14" s="32">
        <f t="shared" si="1"/>
        <v>-10572.494621841986</v>
      </c>
      <c r="F14" s="34" t="s">
        <v>165</v>
      </c>
    </row>
    <row r="15" spans="1:13" x14ac:dyDescent="0.25">
      <c r="A15" s="28" t="s">
        <v>166</v>
      </c>
      <c r="B15" s="28">
        <v>10.18</v>
      </c>
      <c r="C15" s="28">
        <f t="shared" si="0"/>
        <v>-12.000000000000099</v>
      </c>
      <c r="D15" s="32">
        <f t="shared" si="1"/>
        <v>126869.93546208505</v>
      </c>
    </row>
    <row r="16" spans="1:13" ht="14.45" customHeight="1" x14ac:dyDescent="0.25">
      <c r="A16" s="28" t="s">
        <v>167</v>
      </c>
      <c r="B16" s="28">
        <v>10.19</v>
      </c>
      <c r="C16" s="28">
        <f t="shared" si="0"/>
        <v>0.99999999999997868</v>
      </c>
      <c r="D16" s="32">
        <f t="shared" si="1"/>
        <v>-10572.494621840107</v>
      </c>
      <c r="F16" s="107" t="s">
        <v>168</v>
      </c>
      <c r="G16" s="107"/>
      <c r="H16" s="107"/>
      <c r="I16" s="107"/>
      <c r="J16" s="107"/>
      <c r="K16" s="107"/>
      <c r="L16" s="107"/>
      <c r="M16" s="107"/>
    </row>
    <row r="17" spans="1:13" x14ac:dyDescent="0.25">
      <c r="A17" s="28" t="s">
        <v>169</v>
      </c>
      <c r="B17" s="28">
        <v>10.130000000000001</v>
      </c>
      <c r="C17" s="28">
        <f t="shared" si="0"/>
        <v>-5.9999999999998721</v>
      </c>
      <c r="D17" s="32">
        <f t="shared" si="1"/>
        <v>63434.967731040648</v>
      </c>
      <c r="F17" s="108" t="s">
        <v>170</v>
      </c>
      <c r="G17" s="109"/>
      <c r="H17" s="109"/>
      <c r="I17" s="109"/>
      <c r="J17" s="109"/>
      <c r="K17" s="109"/>
      <c r="L17" s="109"/>
      <c r="M17" s="110"/>
    </row>
    <row r="18" spans="1:13" x14ac:dyDescent="0.25">
      <c r="A18" s="28" t="s">
        <v>171</v>
      </c>
      <c r="B18" s="28">
        <v>10.09</v>
      </c>
      <c r="C18" s="28">
        <f t="shared" si="0"/>
        <v>-4.0000000000000924</v>
      </c>
      <c r="D18" s="32">
        <f t="shared" si="1"/>
        <v>42289.978487362307</v>
      </c>
      <c r="F18" s="111"/>
      <c r="G18" s="112"/>
      <c r="H18" s="112"/>
      <c r="I18" s="112"/>
      <c r="J18" s="112"/>
      <c r="K18" s="112"/>
      <c r="L18" s="112"/>
      <c r="M18" s="113"/>
    </row>
    <row r="19" spans="1:13" x14ac:dyDescent="0.25">
      <c r="A19" s="28" t="s">
        <v>172</v>
      </c>
      <c r="B19" s="28">
        <v>10.050000000000001</v>
      </c>
      <c r="C19" s="28">
        <f t="shared" si="0"/>
        <v>-3.9999999999999147</v>
      </c>
      <c r="D19" s="32">
        <f t="shared" si="1"/>
        <v>42289.978487360429</v>
      </c>
      <c r="F19" s="111"/>
      <c r="G19" s="112"/>
      <c r="H19" s="112"/>
      <c r="I19" s="112"/>
      <c r="J19" s="112"/>
      <c r="K19" s="112"/>
      <c r="L19" s="112"/>
      <c r="M19" s="113"/>
    </row>
    <row r="20" spans="1:13" x14ac:dyDescent="0.25">
      <c r="A20" s="28" t="s">
        <v>173</v>
      </c>
      <c r="B20" s="28">
        <v>10.06</v>
      </c>
      <c r="C20" s="28">
        <f t="shared" si="0"/>
        <v>0.99999999999997868</v>
      </c>
      <c r="D20" s="32">
        <f t="shared" si="1"/>
        <v>-10572.494621840107</v>
      </c>
      <c r="F20" s="111"/>
      <c r="G20" s="112"/>
      <c r="H20" s="112"/>
      <c r="I20" s="112"/>
      <c r="J20" s="112"/>
      <c r="K20" s="112"/>
      <c r="L20" s="112"/>
      <c r="M20" s="113"/>
    </row>
    <row r="21" spans="1:13" x14ac:dyDescent="0.25">
      <c r="A21" s="28" t="s">
        <v>174</v>
      </c>
      <c r="B21" s="28">
        <v>10.029999999999999</v>
      </c>
      <c r="C21" s="28">
        <f t="shared" si="0"/>
        <v>-3.0000000000001137</v>
      </c>
      <c r="D21" s="32">
        <f t="shared" si="1"/>
        <v>31717.483865522201</v>
      </c>
      <c r="F21" s="111"/>
      <c r="G21" s="112"/>
      <c r="H21" s="112"/>
      <c r="I21" s="112"/>
      <c r="J21" s="112"/>
      <c r="K21" s="112"/>
      <c r="L21" s="112"/>
      <c r="M21" s="113"/>
    </row>
    <row r="22" spans="1:13" x14ac:dyDescent="0.25">
      <c r="A22" s="28" t="s">
        <v>175</v>
      </c>
      <c r="B22" s="28">
        <v>9.9700000000000006</v>
      </c>
      <c r="C22" s="28">
        <f t="shared" si="0"/>
        <v>-5.9999999999998721</v>
      </c>
      <c r="D22" s="32">
        <f t="shared" si="1"/>
        <v>63434.967731040648</v>
      </c>
      <c r="F22" s="111"/>
      <c r="G22" s="112"/>
      <c r="H22" s="112"/>
      <c r="I22" s="112"/>
      <c r="J22" s="112"/>
      <c r="K22" s="112"/>
      <c r="L22" s="112"/>
      <c r="M22" s="113"/>
    </row>
    <row r="23" spans="1:13" x14ac:dyDescent="0.25">
      <c r="A23" s="28" t="s">
        <v>176</v>
      </c>
      <c r="B23" s="28">
        <v>10.01</v>
      </c>
      <c r="C23" s="28">
        <f t="shared" si="0"/>
        <v>3.9999999999999147</v>
      </c>
      <c r="D23" s="32">
        <f t="shared" si="1"/>
        <v>-42289.978487360429</v>
      </c>
      <c r="F23" s="111"/>
      <c r="G23" s="112"/>
      <c r="H23" s="112"/>
      <c r="I23" s="112"/>
      <c r="J23" s="112"/>
      <c r="K23" s="112"/>
      <c r="L23" s="112"/>
      <c r="M23" s="113"/>
    </row>
    <row r="24" spans="1:13" x14ac:dyDescent="0.25">
      <c r="A24" s="28" t="s">
        <v>177</v>
      </c>
      <c r="B24" s="28">
        <v>10.09</v>
      </c>
      <c r="C24" s="28">
        <f t="shared" si="0"/>
        <v>8.0000000000000071</v>
      </c>
      <c r="D24" s="32">
        <f t="shared" si="1"/>
        <v>-84579.956974722736</v>
      </c>
      <c r="F24" s="111"/>
      <c r="G24" s="112"/>
      <c r="H24" s="112"/>
      <c r="I24" s="112"/>
      <c r="J24" s="112"/>
      <c r="K24" s="112"/>
      <c r="L24" s="112"/>
      <c r="M24" s="113"/>
    </row>
    <row r="25" spans="1:13" x14ac:dyDescent="0.25">
      <c r="A25" s="28" t="s">
        <v>178</v>
      </c>
      <c r="B25" s="28">
        <v>10.1</v>
      </c>
      <c r="C25" s="28">
        <f t="shared" si="0"/>
        <v>0.99999999999997868</v>
      </c>
      <c r="D25" s="32">
        <f t="shared" si="1"/>
        <v>-10572.494621840107</v>
      </c>
      <c r="F25" s="111"/>
      <c r="G25" s="112"/>
      <c r="H25" s="112"/>
      <c r="I25" s="112"/>
      <c r="J25" s="112"/>
      <c r="K25" s="112"/>
      <c r="L25" s="112"/>
      <c r="M25" s="113"/>
    </row>
    <row r="26" spans="1:13" x14ac:dyDescent="0.25">
      <c r="A26" s="28" t="s">
        <v>179</v>
      </c>
      <c r="B26" s="28">
        <v>10.06</v>
      </c>
      <c r="C26" s="28">
        <f t="shared" si="0"/>
        <v>-3.9999999999999147</v>
      </c>
      <c r="D26" s="32">
        <f t="shared" si="1"/>
        <v>42289.978487360429</v>
      </c>
      <c r="F26" s="114"/>
      <c r="G26" s="115"/>
      <c r="H26" s="115"/>
      <c r="I26" s="115"/>
      <c r="J26" s="115"/>
      <c r="K26" s="115"/>
      <c r="L26" s="115"/>
      <c r="M26" s="116"/>
    </row>
    <row r="27" spans="1:13" x14ac:dyDescent="0.25">
      <c r="A27" s="28" t="s">
        <v>180</v>
      </c>
      <c r="B27" s="28">
        <v>10.08</v>
      </c>
      <c r="C27" s="28">
        <f t="shared" si="0"/>
        <v>1.9999999999999574</v>
      </c>
      <c r="D27" s="32">
        <f t="shared" si="1"/>
        <v>-21144.989243680215</v>
      </c>
    </row>
    <row r="28" spans="1:13" x14ac:dyDescent="0.25">
      <c r="A28" s="28" t="s">
        <v>181</v>
      </c>
      <c r="B28" s="28">
        <v>10.07</v>
      </c>
      <c r="C28" s="28">
        <f t="shared" si="0"/>
        <v>-0.99999999999997868</v>
      </c>
      <c r="D28" s="32">
        <f t="shared" si="1"/>
        <v>10572.494621840107</v>
      </c>
    </row>
    <row r="29" spans="1:13" x14ac:dyDescent="0.25">
      <c r="A29" s="28" t="s">
        <v>182</v>
      </c>
      <c r="B29" s="28">
        <v>10.09</v>
      </c>
      <c r="C29" s="28">
        <f t="shared" si="0"/>
        <v>1.9999999999999574</v>
      </c>
      <c r="D29" s="32">
        <f t="shared" si="1"/>
        <v>-21144.989243680215</v>
      </c>
    </row>
    <row r="30" spans="1:13" x14ac:dyDescent="0.25">
      <c r="A30" s="28" t="s">
        <v>183</v>
      </c>
      <c r="B30" s="28">
        <v>10.050000000000001</v>
      </c>
      <c r="C30" s="28">
        <f t="shared" si="0"/>
        <v>-3.9999999999999147</v>
      </c>
      <c r="D30" s="32">
        <f t="shared" si="1"/>
        <v>42289.978487360429</v>
      </c>
    </row>
    <row r="31" spans="1:13" x14ac:dyDescent="0.25">
      <c r="A31" s="28" t="s">
        <v>184</v>
      </c>
      <c r="B31" s="28">
        <v>9.89</v>
      </c>
      <c r="C31" s="28">
        <f t="shared" si="0"/>
        <v>-16.000000000000014</v>
      </c>
      <c r="D31" s="32">
        <f t="shared" si="1"/>
        <v>169159.91394944547</v>
      </c>
    </row>
    <row r="32" spans="1:13" x14ac:dyDescent="0.25">
      <c r="A32" s="28" t="s">
        <v>185</v>
      </c>
      <c r="B32" s="28">
        <v>9.7899999999999991</v>
      </c>
      <c r="C32" s="28">
        <f t="shared" si="0"/>
        <v>-10.000000000000142</v>
      </c>
      <c r="D32" s="32">
        <f t="shared" si="1"/>
        <v>105724.94621840483</v>
      </c>
    </row>
    <row r="33" spans="1:4" x14ac:dyDescent="0.25">
      <c r="A33" s="28" t="s">
        <v>186</v>
      </c>
      <c r="B33" s="28">
        <v>9.77</v>
      </c>
      <c r="C33" s="28">
        <f t="shared" si="0"/>
        <v>-1.9999999999999574</v>
      </c>
      <c r="D33" s="32">
        <f t="shared" si="1"/>
        <v>21144.989243680215</v>
      </c>
    </row>
    <row r="34" spans="1:4" x14ac:dyDescent="0.25">
      <c r="A34" s="28" t="s">
        <v>187</v>
      </c>
      <c r="B34" s="28">
        <v>9.76</v>
      </c>
      <c r="C34" s="28">
        <f t="shared" si="0"/>
        <v>-0.99999999999997868</v>
      </c>
      <c r="D34" s="32">
        <f t="shared" si="1"/>
        <v>10572.494621840107</v>
      </c>
    </row>
    <row r="35" spans="1:4" x14ac:dyDescent="0.25">
      <c r="A35" s="28" t="s">
        <v>188</v>
      </c>
      <c r="B35" s="28">
        <v>9.76</v>
      </c>
      <c r="C35" s="28">
        <f t="shared" si="0"/>
        <v>0</v>
      </c>
      <c r="D35" s="32">
        <f t="shared" si="1"/>
        <v>0</v>
      </c>
    </row>
    <row r="36" spans="1:4" x14ac:dyDescent="0.25">
      <c r="A36" s="28" t="s">
        <v>189</v>
      </c>
      <c r="B36" s="28">
        <v>9.8800000000000008</v>
      </c>
      <c r="C36" s="28">
        <f t="shared" si="0"/>
        <v>12.000000000000099</v>
      </c>
      <c r="D36" s="32">
        <f t="shared" si="1"/>
        <v>-126869.93546208505</v>
      </c>
    </row>
    <row r="37" spans="1:4" x14ac:dyDescent="0.25">
      <c r="A37" s="28" t="s">
        <v>190</v>
      </c>
      <c r="B37" s="28">
        <v>10</v>
      </c>
      <c r="C37" s="28">
        <f t="shared" si="0"/>
        <v>11.999999999999922</v>
      </c>
      <c r="D37" s="32">
        <f t="shared" si="1"/>
        <v>-126869.93546208317</v>
      </c>
    </row>
    <row r="38" spans="1:4" x14ac:dyDescent="0.25">
      <c r="A38" s="28" t="s">
        <v>191</v>
      </c>
      <c r="B38" s="28">
        <v>10.029999999999999</v>
      </c>
      <c r="C38" s="28">
        <f t="shared" si="0"/>
        <v>2.9999999999999361</v>
      </c>
      <c r="D38" s="32">
        <f t="shared" si="1"/>
        <v>-31717.483865520324</v>
      </c>
    </row>
    <row r="39" spans="1:4" x14ac:dyDescent="0.25">
      <c r="A39" s="28" t="s">
        <v>192</v>
      </c>
      <c r="B39" s="28">
        <v>10.029999999999999</v>
      </c>
      <c r="C39" s="28">
        <f t="shared" si="0"/>
        <v>0</v>
      </c>
      <c r="D39" s="32">
        <f t="shared" si="1"/>
        <v>0</v>
      </c>
    </row>
    <row r="40" spans="1:4" x14ac:dyDescent="0.25">
      <c r="A40" s="28" t="s">
        <v>193</v>
      </c>
      <c r="B40" s="28">
        <v>10.039999999999999</v>
      </c>
      <c r="C40" s="28">
        <f t="shared" si="0"/>
        <v>0.99999999999997868</v>
      </c>
      <c r="D40" s="32">
        <f t="shared" si="1"/>
        <v>-10572.494621840107</v>
      </c>
    </row>
    <row r="41" spans="1:4" x14ac:dyDescent="0.25">
      <c r="A41" s="28" t="s">
        <v>194</v>
      </c>
      <c r="B41" s="28">
        <v>9.9600000000000009</v>
      </c>
      <c r="C41" s="28">
        <f t="shared" si="0"/>
        <v>-7.9999999999998295</v>
      </c>
      <c r="D41" s="32">
        <f t="shared" si="1"/>
        <v>84579.956974720859</v>
      </c>
    </row>
    <row r="42" spans="1:4" x14ac:dyDescent="0.25">
      <c r="A42" s="28" t="s">
        <v>195</v>
      </c>
      <c r="B42" s="28">
        <v>9.93</v>
      </c>
      <c r="C42" s="28">
        <f t="shared" si="0"/>
        <v>-3.0000000000001137</v>
      </c>
      <c r="D42" s="32">
        <f t="shared" si="1"/>
        <v>31717.483865522201</v>
      </c>
    </row>
    <row r="43" spans="1:4" x14ac:dyDescent="0.25">
      <c r="A43" s="28" t="s">
        <v>196</v>
      </c>
      <c r="B43" s="28">
        <v>9.8800000000000008</v>
      </c>
      <c r="C43" s="28">
        <f t="shared" si="0"/>
        <v>-4.9999999999998934</v>
      </c>
      <c r="D43" s="32">
        <f t="shared" si="1"/>
        <v>52862.473109200539</v>
      </c>
    </row>
    <row r="44" spans="1:4" x14ac:dyDescent="0.25">
      <c r="A44" s="28" t="s">
        <v>197</v>
      </c>
      <c r="B44" s="28">
        <v>9.84</v>
      </c>
      <c r="C44" s="28">
        <f t="shared" si="0"/>
        <v>-4.0000000000000924</v>
      </c>
      <c r="D44" s="32">
        <f t="shared" si="1"/>
        <v>42289.978487362307</v>
      </c>
    </row>
    <row r="45" spans="1:4" x14ac:dyDescent="0.25">
      <c r="A45" s="28" t="s">
        <v>198</v>
      </c>
      <c r="B45" s="28">
        <v>9.81</v>
      </c>
      <c r="C45" s="28">
        <f t="shared" si="0"/>
        <v>-2.9999999999999361</v>
      </c>
      <c r="D45" s="32">
        <f t="shared" si="1"/>
        <v>31717.483865520324</v>
      </c>
    </row>
    <row r="46" spans="1:4" x14ac:dyDescent="0.25">
      <c r="A46" s="28" t="s">
        <v>199</v>
      </c>
      <c r="B46" s="28">
        <v>9.76</v>
      </c>
      <c r="C46" s="28">
        <f t="shared" si="0"/>
        <v>-5.0000000000000711</v>
      </c>
      <c r="D46" s="32">
        <f t="shared" si="1"/>
        <v>52862.473109202416</v>
      </c>
    </row>
    <row r="47" spans="1:4" x14ac:dyDescent="0.25">
      <c r="A47" s="28" t="s">
        <v>200</v>
      </c>
      <c r="B47" s="28">
        <v>9.66</v>
      </c>
      <c r="C47" s="28">
        <f t="shared" si="0"/>
        <v>-9.9999999999999645</v>
      </c>
      <c r="D47" s="32">
        <f t="shared" si="1"/>
        <v>105724.94621840295</v>
      </c>
    </row>
    <row r="48" spans="1:4" x14ac:dyDescent="0.25">
      <c r="A48" s="28" t="s">
        <v>201</v>
      </c>
      <c r="B48" s="28">
        <v>9.67</v>
      </c>
      <c r="C48" s="28">
        <f t="shared" si="0"/>
        <v>0.99999999999997868</v>
      </c>
      <c r="D48" s="32">
        <f t="shared" si="1"/>
        <v>-10572.494621840107</v>
      </c>
    </row>
    <row r="49" spans="1:4" x14ac:dyDescent="0.25">
      <c r="A49" s="28" t="s">
        <v>202</v>
      </c>
      <c r="B49" s="28">
        <v>9.73</v>
      </c>
      <c r="C49" s="28">
        <f t="shared" si="0"/>
        <v>6.0000000000000497</v>
      </c>
      <c r="D49" s="32">
        <f t="shared" si="1"/>
        <v>-63434.967731042525</v>
      </c>
    </row>
    <row r="50" spans="1:4" x14ac:dyDescent="0.25">
      <c r="A50" s="28" t="s">
        <v>203</v>
      </c>
      <c r="B50" s="28">
        <v>9.67</v>
      </c>
      <c r="C50" s="28">
        <f t="shared" si="0"/>
        <v>-6.0000000000000497</v>
      </c>
      <c r="D50" s="32">
        <f t="shared" si="1"/>
        <v>63434.967731042525</v>
      </c>
    </row>
    <row r="51" spans="1:4" x14ac:dyDescent="0.25">
      <c r="A51" s="28" t="s">
        <v>204</v>
      </c>
      <c r="B51" s="28">
        <v>9.59</v>
      </c>
      <c r="C51" s="28">
        <f t="shared" si="0"/>
        <v>-8.0000000000000071</v>
      </c>
      <c r="D51" s="32">
        <f t="shared" si="1"/>
        <v>84579.956974722736</v>
      </c>
    </row>
    <row r="52" spans="1:4" x14ac:dyDescent="0.25">
      <c r="A52" s="28" t="s">
        <v>205</v>
      </c>
      <c r="B52" s="28">
        <v>9.4499999999999993</v>
      </c>
      <c r="C52" s="28">
        <f t="shared" si="0"/>
        <v>-14.000000000000057</v>
      </c>
      <c r="D52" s="32">
        <f t="shared" si="1"/>
        <v>148014.92470576527</v>
      </c>
    </row>
    <row r="53" spans="1:4" x14ac:dyDescent="0.25">
      <c r="A53" s="28" t="s">
        <v>206</v>
      </c>
      <c r="B53" s="28">
        <v>9.41</v>
      </c>
      <c r="C53" s="28">
        <f t="shared" si="0"/>
        <v>-3.9999999999999147</v>
      </c>
      <c r="D53" s="32">
        <f t="shared" si="1"/>
        <v>42289.978487360429</v>
      </c>
    </row>
    <row r="54" spans="1:4" x14ac:dyDescent="0.25">
      <c r="A54" s="28" t="s">
        <v>207</v>
      </c>
      <c r="B54" s="28">
        <v>9.42</v>
      </c>
      <c r="C54" s="28">
        <f t="shared" si="0"/>
        <v>0.99999999999997868</v>
      </c>
      <c r="D54" s="32">
        <f t="shared" si="1"/>
        <v>-10572.494621840107</v>
      </c>
    </row>
    <row r="55" spans="1:4" x14ac:dyDescent="0.25">
      <c r="A55" s="28" t="s">
        <v>208</v>
      </c>
      <c r="B55" s="28">
        <v>9.44</v>
      </c>
      <c r="C55" s="28">
        <f t="shared" si="0"/>
        <v>1.9999999999999574</v>
      </c>
      <c r="D55" s="32">
        <f t="shared" si="1"/>
        <v>-21144.989243680215</v>
      </c>
    </row>
    <row r="56" spans="1:4" x14ac:dyDescent="0.25">
      <c r="A56" s="28" t="s">
        <v>209</v>
      </c>
      <c r="B56" s="28">
        <v>9.5</v>
      </c>
      <c r="C56" s="28">
        <f t="shared" si="0"/>
        <v>6.0000000000000497</v>
      </c>
      <c r="D56" s="32">
        <f t="shared" si="1"/>
        <v>-63434.967731042525</v>
      </c>
    </row>
    <row r="57" spans="1:4" x14ac:dyDescent="0.25">
      <c r="A57" s="28" t="s">
        <v>210</v>
      </c>
      <c r="B57" s="28">
        <v>9.51</v>
      </c>
      <c r="C57" s="28">
        <f t="shared" si="0"/>
        <v>0.99999999999997868</v>
      </c>
      <c r="D57" s="32">
        <f t="shared" si="1"/>
        <v>-10572.494621840107</v>
      </c>
    </row>
    <row r="58" spans="1:4" x14ac:dyDescent="0.25">
      <c r="A58" s="28" t="s">
        <v>211</v>
      </c>
      <c r="B58" s="28">
        <v>9.42</v>
      </c>
      <c r="C58" s="28">
        <f t="shared" si="0"/>
        <v>-8.9999999999999858</v>
      </c>
      <c r="D58" s="32">
        <f t="shared" si="1"/>
        <v>95152.451596562853</v>
      </c>
    </row>
    <row r="59" spans="1:4" x14ac:dyDescent="0.25">
      <c r="A59" s="28" t="s">
        <v>212</v>
      </c>
      <c r="B59" s="28">
        <v>9.44</v>
      </c>
      <c r="C59" s="28">
        <f t="shared" si="0"/>
        <v>1.9999999999999574</v>
      </c>
      <c r="D59" s="32">
        <f t="shared" si="1"/>
        <v>-21144.989243680215</v>
      </c>
    </row>
    <row r="60" spans="1:4" x14ac:dyDescent="0.25">
      <c r="A60" s="28" t="s">
        <v>213</v>
      </c>
      <c r="B60" s="28">
        <v>9.5</v>
      </c>
      <c r="C60" s="28">
        <f t="shared" si="0"/>
        <v>6.0000000000000497</v>
      </c>
      <c r="D60" s="32">
        <f t="shared" si="1"/>
        <v>-63434.967731042525</v>
      </c>
    </row>
    <row r="61" spans="1:4" x14ac:dyDescent="0.25">
      <c r="A61" s="28" t="s">
        <v>214</v>
      </c>
      <c r="B61" s="28">
        <v>9.52</v>
      </c>
      <c r="C61" s="28">
        <f t="shared" si="0"/>
        <v>1.9999999999999574</v>
      </c>
      <c r="D61" s="32">
        <f t="shared" si="1"/>
        <v>-21144.989243680215</v>
      </c>
    </row>
    <row r="62" spans="1:4" x14ac:dyDescent="0.25">
      <c r="A62" s="28" t="s">
        <v>215</v>
      </c>
      <c r="B62" s="28">
        <v>9.57</v>
      </c>
      <c r="C62" s="28">
        <f t="shared" si="0"/>
        <v>5.0000000000000711</v>
      </c>
      <c r="D62" s="32">
        <f t="shared" si="1"/>
        <v>-52862.473109202416</v>
      </c>
    </row>
    <row r="63" spans="1:4" x14ac:dyDescent="0.25">
      <c r="A63" s="28" t="s">
        <v>216</v>
      </c>
      <c r="B63" s="28">
        <v>9.44</v>
      </c>
      <c r="C63" s="28">
        <f t="shared" si="0"/>
        <v>-13.000000000000078</v>
      </c>
      <c r="D63" s="32">
        <f t="shared" si="1"/>
        <v>137442.43008392517</v>
      </c>
    </row>
    <row r="64" spans="1:4" x14ac:dyDescent="0.25">
      <c r="A64" s="28" t="s">
        <v>217</v>
      </c>
      <c r="B64" s="28">
        <v>9.5</v>
      </c>
      <c r="C64" s="28">
        <f t="shared" si="0"/>
        <v>6.0000000000000497</v>
      </c>
      <c r="D64" s="32">
        <f t="shared" si="1"/>
        <v>-63434.967731042525</v>
      </c>
    </row>
    <row r="65" spans="1:4" x14ac:dyDescent="0.25">
      <c r="A65" s="28" t="s">
        <v>218</v>
      </c>
      <c r="B65" s="28">
        <v>9.6</v>
      </c>
      <c r="C65" s="28">
        <f t="shared" si="0"/>
        <v>9.9999999999999645</v>
      </c>
      <c r="D65" s="32">
        <f t="shared" si="1"/>
        <v>-105724.94621840295</v>
      </c>
    </row>
    <row r="66" spans="1:4" x14ac:dyDescent="0.25">
      <c r="A66" s="28" t="s">
        <v>219</v>
      </c>
      <c r="B66" s="28">
        <v>9.6199999999999992</v>
      </c>
      <c r="C66" s="28">
        <f t="shared" si="0"/>
        <v>1.9999999999999574</v>
      </c>
      <c r="D66" s="32">
        <f t="shared" si="1"/>
        <v>-21144.989243680215</v>
      </c>
    </row>
    <row r="67" spans="1:4" x14ac:dyDescent="0.25">
      <c r="A67" s="28" t="s">
        <v>220</v>
      </c>
      <c r="B67" s="28">
        <v>9.68</v>
      </c>
      <c r="C67" s="28">
        <f t="shared" ref="C67:C130" si="2">(B67-B66)*100</f>
        <v>6.0000000000000497</v>
      </c>
      <c r="D67" s="32">
        <f t="shared" ref="D67:D130" si="3">-C67*$G$8</f>
        <v>-63434.967731042525</v>
      </c>
    </row>
    <row r="68" spans="1:4" x14ac:dyDescent="0.25">
      <c r="A68" s="28" t="s">
        <v>221</v>
      </c>
      <c r="B68" s="28">
        <v>9.65</v>
      </c>
      <c r="C68" s="28">
        <f t="shared" si="2"/>
        <v>-2.9999999999999361</v>
      </c>
      <c r="D68" s="32">
        <f t="shared" si="3"/>
        <v>31717.483865520324</v>
      </c>
    </row>
    <row r="69" spans="1:4" x14ac:dyDescent="0.25">
      <c r="A69" s="28" t="s">
        <v>222</v>
      </c>
      <c r="B69" s="28">
        <v>9.68</v>
      </c>
      <c r="C69" s="28">
        <f t="shared" si="2"/>
        <v>2.9999999999999361</v>
      </c>
      <c r="D69" s="32">
        <f t="shared" si="3"/>
        <v>-31717.483865520324</v>
      </c>
    </row>
    <row r="70" spans="1:4" x14ac:dyDescent="0.25">
      <c r="A70" s="28" t="s">
        <v>223</v>
      </c>
      <c r="B70" s="28">
        <v>9.64</v>
      </c>
      <c r="C70" s="28">
        <f t="shared" si="2"/>
        <v>-3.9999999999999147</v>
      </c>
      <c r="D70" s="32">
        <f t="shared" si="3"/>
        <v>42289.978487360429</v>
      </c>
    </row>
    <row r="71" spans="1:4" x14ac:dyDescent="0.25">
      <c r="A71" s="28" t="s">
        <v>224</v>
      </c>
      <c r="B71" s="28">
        <v>9.5399999999999991</v>
      </c>
      <c r="C71" s="28">
        <f t="shared" si="2"/>
        <v>-10.000000000000142</v>
      </c>
      <c r="D71" s="32">
        <f t="shared" si="3"/>
        <v>105724.94621840483</v>
      </c>
    </row>
    <row r="72" spans="1:4" x14ac:dyDescent="0.25">
      <c r="A72" s="28" t="s">
        <v>225</v>
      </c>
      <c r="B72" s="28">
        <v>9.4700000000000006</v>
      </c>
      <c r="C72" s="28">
        <f t="shared" si="2"/>
        <v>-6.9999999999998508</v>
      </c>
      <c r="D72" s="32">
        <f t="shared" si="3"/>
        <v>74007.462352880757</v>
      </c>
    </row>
    <row r="73" spans="1:4" x14ac:dyDescent="0.25">
      <c r="A73" s="28" t="s">
        <v>226</v>
      </c>
      <c r="B73" s="28">
        <v>9.41</v>
      </c>
      <c r="C73" s="28">
        <f t="shared" si="2"/>
        <v>-6.0000000000000497</v>
      </c>
      <c r="D73" s="32">
        <f t="shared" si="3"/>
        <v>63434.967731042525</v>
      </c>
    </row>
    <row r="74" spans="1:4" x14ac:dyDescent="0.25">
      <c r="A74" s="28" t="s">
        <v>227</v>
      </c>
      <c r="B74" s="28">
        <v>9.4</v>
      </c>
      <c r="C74" s="28">
        <f t="shared" si="2"/>
        <v>-0.99999999999997868</v>
      </c>
      <c r="D74" s="32">
        <f t="shared" si="3"/>
        <v>10572.494621840107</v>
      </c>
    </row>
    <row r="75" spans="1:4" x14ac:dyDescent="0.25">
      <c r="A75" s="28" t="s">
        <v>228</v>
      </c>
      <c r="B75" s="28">
        <v>9.44</v>
      </c>
      <c r="C75" s="28">
        <f t="shared" si="2"/>
        <v>3.9999999999999147</v>
      </c>
      <c r="D75" s="32">
        <f t="shared" si="3"/>
        <v>-42289.978487360429</v>
      </c>
    </row>
    <row r="76" spans="1:4" x14ac:dyDescent="0.25">
      <c r="A76" s="28" t="s">
        <v>229</v>
      </c>
      <c r="B76" s="28">
        <v>9.36</v>
      </c>
      <c r="C76" s="28">
        <f t="shared" si="2"/>
        <v>-8.0000000000000071</v>
      </c>
      <c r="D76" s="32">
        <f t="shared" si="3"/>
        <v>84579.956974722736</v>
      </c>
    </row>
    <row r="77" spans="1:4" x14ac:dyDescent="0.25">
      <c r="A77" s="28" t="s">
        <v>230</v>
      </c>
      <c r="B77" s="28">
        <v>9.2899999999999991</v>
      </c>
      <c r="C77" s="28">
        <f t="shared" si="2"/>
        <v>-7.0000000000000284</v>
      </c>
      <c r="D77" s="32">
        <f t="shared" si="3"/>
        <v>74007.462352882634</v>
      </c>
    </row>
    <row r="78" spans="1:4" x14ac:dyDescent="0.25">
      <c r="A78" s="28" t="s">
        <v>231</v>
      </c>
      <c r="B78" s="28">
        <v>9.19</v>
      </c>
      <c r="C78" s="28">
        <f t="shared" si="2"/>
        <v>-9.9999999999999645</v>
      </c>
      <c r="D78" s="32">
        <f t="shared" si="3"/>
        <v>105724.94621840295</v>
      </c>
    </row>
    <row r="79" spans="1:4" x14ac:dyDescent="0.25">
      <c r="A79" s="28" t="s">
        <v>232</v>
      </c>
      <c r="B79" s="28">
        <v>9.1300000000000008</v>
      </c>
      <c r="C79" s="28">
        <f t="shared" si="2"/>
        <v>-5.9999999999998721</v>
      </c>
      <c r="D79" s="32">
        <f t="shared" si="3"/>
        <v>63434.967731040648</v>
      </c>
    </row>
    <row r="80" spans="1:4" x14ac:dyDescent="0.25">
      <c r="A80" s="28" t="s">
        <v>233</v>
      </c>
      <c r="B80" s="28">
        <v>9.09</v>
      </c>
      <c r="C80" s="28">
        <f t="shared" si="2"/>
        <v>-4.0000000000000924</v>
      </c>
      <c r="D80" s="32">
        <f t="shared" si="3"/>
        <v>42289.978487362307</v>
      </c>
    </row>
    <row r="81" spans="1:4" x14ac:dyDescent="0.25">
      <c r="A81" s="28" t="s">
        <v>234</v>
      </c>
      <c r="B81" s="28">
        <v>9.0299999999999994</v>
      </c>
      <c r="C81" s="28">
        <f t="shared" si="2"/>
        <v>-6.0000000000000497</v>
      </c>
      <c r="D81" s="32">
        <f t="shared" si="3"/>
        <v>63434.967731042525</v>
      </c>
    </row>
    <row r="82" spans="1:4" x14ac:dyDescent="0.25">
      <c r="A82" s="28" t="s">
        <v>235</v>
      </c>
      <c r="B82" s="28">
        <v>9.06</v>
      </c>
      <c r="C82" s="28">
        <f t="shared" si="2"/>
        <v>3.0000000000001137</v>
      </c>
      <c r="D82" s="32">
        <f t="shared" si="3"/>
        <v>-31717.483865522201</v>
      </c>
    </row>
    <row r="83" spans="1:4" x14ac:dyDescent="0.25">
      <c r="A83" s="28" t="s">
        <v>236</v>
      </c>
      <c r="B83" s="28">
        <v>9.0399999999999991</v>
      </c>
      <c r="C83" s="28">
        <f t="shared" si="2"/>
        <v>-2.000000000000135</v>
      </c>
      <c r="D83" s="32">
        <f t="shared" si="3"/>
        <v>21144.989243682092</v>
      </c>
    </row>
    <row r="84" spans="1:4" x14ac:dyDescent="0.25">
      <c r="A84" s="28" t="s">
        <v>237</v>
      </c>
      <c r="B84" s="28">
        <v>9.07</v>
      </c>
      <c r="C84" s="28">
        <f t="shared" si="2"/>
        <v>3.0000000000001137</v>
      </c>
      <c r="D84" s="32">
        <f t="shared" si="3"/>
        <v>-31717.483865522201</v>
      </c>
    </row>
    <row r="85" spans="1:4" x14ac:dyDescent="0.25">
      <c r="A85" s="28" t="s">
        <v>238</v>
      </c>
      <c r="B85" s="28">
        <v>9.08</v>
      </c>
      <c r="C85" s="28">
        <f t="shared" si="2"/>
        <v>0.99999999999997868</v>
      </c>
      <c r="D85" s="32">
        <f t="shared" si="3"/>
        <v>-10572.494621840107</v>
      </c>
    </row>
    <row r="86" spans="1:4" x14ac:dyDescent="0.25">
      <c r="A86" s="28" t="s">
        <v>239</v>
      </c>
      <c r="B86" s="28">
        <v>9.11</v>
      </c>
      <c r="C86" s="28">
        <f t="shared" si="2"/>
        <v>2.9999999999999361</v>
      </c>
      <c r="D86" s="32">
        <f t="shared" si="3"/>
        <v>-31717.483865520324</v>
      </c>
    </row>
    <row r="87" spans="1:4" x14ac:dyDescent="0.25">
      <c r="A87" s="28" t="s">
        <v>240</v>
      </c>
      <c r="B87" s="28">
        <v>9.15</v>
      </c>
      <c r="C87" s="28">
        <f t="shared" si="2"/>
        <v>4.0000000000000924</v>
      </c>
      <c r="D87" s="32">
        <f t="shared" si="3"/>
        <v>-42289.978487362307</v>
      </c>
    </row>
    <row r="88" spans="1:4" x14ac:dyDescent="0.25">
      <c r="A88" s="28" t="s">
        <v>241</v>
      </c>
      <c r="B88" s="28">
        <v>9.16</v>
      </c>
      <c r="C88" s="28">
        <f t="shared" si="2"/>
        <v>0.99999999999997868</v>
      </c>
      <c r="D88" s="32">
        <f t="shared" si="3"/>
        <v>-10572.494621840107</v>
      </c>
    </row>
    <row r="89" spans="1:4" x14ac:dyDescent="0.25">
      <c r="A89" s="28" t="s">
        <v>242</v>
      </c>
      <c r="B89" s="28">
        <v>9.1999999999999993</v>
      </c>
      <c r="C89" s="28">
        <f t="shared" si="2"/>
        <v>3.9999999999999147</v>
      </c>
      <c r="D89" s="32">
        <f t="shared" si="3"/>
        <v>-42289.978487360429</v>
      </c>
    </row>
    <row r="90" spans="1:4" x14ac:dyDescent="0.25">
      <c r="A90" s="28" t="s">
        <v>243</v>
      </c>
      <c r="B90" s="28">
        <v>9.31</v>
      </c>
      <c r="C90" s="28">
        <f t="shared" si="2"/>
        <v>11.000000000000121</v>
      </c>
      <c r="D90" s="32">
        <f t="shared" si="3"/>
        <v>-116297.44084024493</v>
      </c>
    </row>
    <row r="91" spans="1:4" x14ac:dyDescent="0.25">
      <c r="A91" s="28" t="s">
        <v>244</v>
      </c>
      <c r="B91" s="28">
        <v>9.43</v>
      </c>
      <c r="C91" s="28">
        <f t="shared" si="2"/>
        <v>11.999999999999922</v>
      </c>
      <c r="D91" s="32">
        <f t="shared" si="3"/>
        <v>-126869.93546208317</v>
      </c>
    </row>
    <row r="92" spans="1:4" x14ac:dyDescent="0.25">
      <c r="A92" s="28" t="s">
        <v>245</v>
      </c>
      <c r="B92" s="28">
        <v>9.49</v>
      </c>
      <c r="C92" s="28">
        <f t="shared" si="2"/>
        <v>6.0000000000000497</v>
      </c>
      <c r="D92" s="32">
        <f t="shared" si="3"/>
        <v>-63434.967731042525</v>
      </c>
    </row>
    <row r="93" spans="1:4" x14ac:dyDescent="0.25">
      <c r="A93" s="28" t="s">
        <v>246</v>
      </c>
      <c r="B93" s="28">
        <v>9.4600000000000009</v>
      </c>
      <c r="C93" s="28">
        <f t="shared" si="2"/>
        <v>-2.9999999999999361</v>
      </c>
      <c r="D93" s="32">
        <f t="shared" si="3"/>
        <v>31717.483865520324</v>
      </c>
    </row>
    <row r="94" spans="1:4" x14ac:dyDescent="0.25">
      <c r="A94" s="28" t="s">
        <v>247</v>
      </c>
      <c r="B94" s="28">
        <v>9.5399999999999991</v>
      </c>
      <c r="C94" s="28">
        <f t="shared" si="2"/>
        <v>7.9999999999998295</v>
      </c>
      <c r="D94" s="32">
        <f t="shared" si="3"/>
        <v>-84579.956974720859</v>
      </c>
    </row>
    <row r="95" spans="1:4" x14ac:dyDescent="0.25">
      <c r="A95" s="28" t="s">
        <v>248</v>
      </c>
      <c r="B95" s="28">
        <v>9.58</v>
      </c>
      <c r="C95" s="28">
        <f t="shared" si="2"/>
        <v>4.0000000000000924</v>
      </c>
      <c r="D95" s="32">
        <f t="shared" si="3"/>
        <v>-42289.978487362307</v>
      </c>
    </row>
    <row r="96" spans="1:4" x14ac:dyDescent="0.25">
      <c r="A96" s="28" t="s">
        <v>249</v>
      </c>
      <c r="B96" s="28">
        <v>9.5299999999999994</v>
      </c>
      <c r="C96" s="28">
        <f t="shared" si="2"/>
        <v>-5.0000000000000711</v>
      </c>
      <c r="D96" s="32">
        <f t="shared" si="3"/>
        <v>52862.473109202416</v>
      </c>
    </row>
    <row r="97" spans="1:4" x14ac:dyDescent="0.25">
      <c r="A97" s="28" t="s">
        <v>250</v>
      </c>
      <c r="B97" s="28">
        <v>9.5399999999999991</v>
      </c>
      <c r="C97" s="28">
        <f t="shared" si="2"/>
        <v>0.99999999999997868</v>
      </c>
      <c r="D97" s="32">
        <f t="shared" si="3"/>
        <v>-10572.494621840107</v>
      </c>
    </row>
    <row r="98" spans="1:4" x14ac:dyDescent="0.25">
      <c r="A98" s="28" t="s">
        <v>251</v>
      </c>
      <c r="B98" s="28">
        <v>9.6199999999999992</v>
      </c>
      <c r="C98" s="28">
        <f t="shared" si="2"/>
        <v>8.0000000000000071</v>
      </c>
      <c r="D98" s="32">
        <f t="shared" si="3"/>
        <v>-84579.956974722736</v>
      </c>
    </row>
    <row r="99" spans="1:4" x14ac:dyDescent="0.25">
      <c r="A99" s="28" t="s">
        <v>252</v>
      </c>
      <c r="B99" s="28">
        <v>9.7200000000000006</v>
      </c>
      <c r="C99" s="28">
        <f t="shared" si="2"/>
        <v>10.000000000000142</v>
      </c>
      <c r="D99" s="32">
        <f t="shared" si="3"/>
        <v>-105724.94621840483</v>
      </c>
    </row>
    <row r="100" spans="1:4" x14ac:dyDescent="0.25">
      <c r="A100" s="28" t="s">
        <v>253</v>
      </c>
      <c r="B100" s="28">
        <v>9.7200000000000006</v>
      </c>
      <c r="C100" s="28">
        <f t="shared" si="2"/>
        <v>0</v>
      </c>
      <c r="D100" s="32">
        <f t="shared" si="3"/>
        <v>0</v>
      </c>
    </row>
    <row r="101" spans="1:4" x14ac:dyDescent="0.25">
      <c r="A101" s="28" t="s">
        <v>254</v>
      </c>
      <c r="B101" s="28">
        <v>9.81</v>
      </c>
      <c r="C101" s="28">
        <f t="shared" si="2"/>
        <v>8.9999999999999858</v>
      </c>
      <c r="D101" s="32">
        <f t="shared" si="3"/>
        <v>-95152.451596562853</v>
      </c>
    </row>
    <row r="102" spans="1:4" x14ac:dyDescent="0.25">
      <c r="A102" s="28" t="s">
        <v>255</v>
      </c>
      <c r="B102" s="28">
        <v>9.9600000000000009</v>
      </c>
      <c r="C102" s="28">
        <f t="shared" si="2"/>
        <v>15.000000000000036</v>
      </c>
      <c r="D102" s="32">
        <f t="shared" si="3"/>
        <v>-158587.41932760537</v>
      </c>
    </row>
    <row r="103" spans="1:4" x14ac:dyDescent="0.25">
      <c r="A103" s="28" t="s">
        <v>256</v>
      </c>
      <c r="B103" s="28">
        <v>9.98</v>
      </c>
      <c r="C103" s="28">
        <f t="shared" si="2"/>
        <v>1.9999999999999574</v>
      </c>
      <c r="D103" s="32">
        <f t="shared" si="3"/>
        <v>-21144.989243680215</v>
      </c>
    </row>
    <row r="104" spans="1:4" x14ac:dyDescent="0.25">
      <c r="A104" s="28" t="s">
        <v>257</v>
      </c>
      <c r="B104" s="28">
        <v>9.9700000000000006</v>
      </c>
      <c r="C104" s="28">
        <f t="shared" si="2"/>
        <v>-0.99999999999997868</v>
      </c>
      <c r="D104" s="32">
        <f t="shared" si="3"/>
        <v>10572.494621840107</v>
      </c>
    </row>
    <row r="105" spans="1:4" x14ac:dyDescent="0.25">
      <c r="A105" s="28" t="s">
        <v>258</v>
      </c>
      <c r="B105" s="28">
        <v>9.92</v>
      </c>
      <c r="C105" s="28">
        <f t="shared" si="2"/>
        <v>-5.0000000000000711</v>
      </c>
      <c r="D105" s="32">
        <f t="shared" si="3"/>
        <v>52862.473109202416</v>
      </c>
    </row>
    <row r="106" spans="1:4" x14ac:dyDescent="0.25">
      <c r="A106" s="28" t="s">
        <v>259</v>
      </c>
      <c r="B106" s="28">
        <v>9.9700000000000006</v>
      </c>
      <c r="C106" s="28">
        <f t="shared" si="2"/>
        <v>5.0000000000000711</v>
      </c>
      <c r="D106" s="32">
        <f t="shared" si="3"/>
        <v>-52862.473109202416</v>
      </c>
    </row>
    <row r="107" spans="1:4" x14ac:dyDescent="0.25">
      <c r="A107" s="28" t="s">
        <v>260</v>
      </c>
      <c r="B107" s="28">
        <v>9.9700000000000006</v>
      </c>
      <c r="C107" s="28">
        <f t="shared" si="2"/>
        <v>0</v>
      </c>
      <c r="D107" s="32">
        <f t="shared" si="3"/>
        <v>0</v>
      </c>
    </row>
    <row r="108" spans="1:4" x14ac:dyDescent="0.25">
      <c r="A108" s="28" t="s">
        <v>261</v>
      </c>
      <c r="B108" s="28">
        <v>9.85</v>
      </c>
      <c r="C108" s="28">
        <f t="shared" si="2"/>
        <v>-12.000000000000099</v>
      </c>
      <c r="D108" s="32">
        <f t="shared" si="3"/>
        <v>126869.93546208505</v>
      </c>
    </row>
    <row r="109" spans="1:4" x14ac:dyDescent="0.25">
      <c r="A109" s="28" t="s">
        <v>262</v>
      </c>
      <c r="B109" s="28">
        <v>9.86</v>
      </c>
      <c r="C109" s="28">
        <f t="shared" si="2"/>
        <v>0.99999999999997868</v>
      </c>
      <c r="D109" s="32">
        <f t="shared" si="3"/>
        <v>-10572.494621840107</v>
      </c>
    </row>
    <row r="110" spans="1:4" x14ac:dyDescent="0.25">
      <c r="A110" s="28" t="s">
        <v>263</v>
      </c>
      <c r="B110" s="28">
        <v>9.93</v>
      </c>
      <c r="C110" s="28">
        <f t="shared" si="2"/>
        <v>7.0000000000000284</v>
      </c>
      <c r="D110" s="32">
        <f t="shared" si="3"/>
        <v>-74007.462352882634</v>
      </c>
    </row>
    <row r="111" spans="1:4" x14ac:dyDescent="0.25">
      <c r="A111" s="28" t="s">
        <v>264</v>
      </c>
      <c r="B111" s="28">
        <v>10.06</v>
      </c>
      <c r="C111" s="28">
        <f t="shared" si="2"/>
        <v>13.000000000000078</v>
      </c>
      <c r="D111" s="32">
        <f t="shared" si="3"/>
        <v>-137442.43008392517</v>
      </c>
    </row>
    <row r="112" spans="1:4" x14ac:dyDescent="0.25">
      <c r="A112" s="28" t="s">
        <v>265</v>
      </c>
      <c r="B112" s="28">
        <v>9.9600000000000009</v>
      </c>
      <c r="C112" s="28">
        <f t="shared" si="2"/>
        <v>-9.9999999999999645</v>
      </c>
      <c r="D112" s="32">
        <f t="shared" si="3"/>
        <v>105724.94621840295</v>
      </c>
    </row>
    <row r="113" spans="1:4" x14ac:dyDescent="0.25">
      <c r="A113" s="28" t="s">
        <v>266</v>
      </c>
      <c r="B113" s="28">
        <v>9.8800000000000008</v>
      </c>
      <c r="C113" s="28">
        <f t="shared" si="2"/>
        <v>-8.0000000000000071</v>
      </c>
      <c r="D113" s="32">
        <f t="shared" si="3"/>
        <v>84579.956974722736</v>
      </c>
    </row>
    <row r="114" spans="1:4" x14ac:dyDescent="0.25">
      <c r="A114" s="28" t="s">
        <v>267</v>
      </c>
      <c r="B114" s="28">
        <v>9.7899999999999991</v>
      </c>
      <c r="C114" s="28">
        <f t="shared" si="2"/>
        <v>-9.0000000000001634</v>
      </c>
      <c r="D114" s="32">
        <f t="shared" si="3"/>
        <v>95152.45159656473</v>
      </c>
    </row>
    <row r="115" spans="1:4" x14ac:dyDescent="0.25">
      <c r="A115" s="28" t="s">
        <v>268</v>
      </c>
      <c r="B115" s="28">
        <v>9.75</v>
      </c>
      <c r="C115" s="28">
        <f t="shared" si="2"/>
        <v>-3.9999999999999147</v>
      </c>
      <c r="D115" s="32">
        <f t="shared" si="3"/>
        <v>42289.978487360429</v>
      </c>
    </row>
    <row r="116" spans="1:4" x14ac:dyDescent="0.25">
      <c r="A116" s="28" t="s">
        <v>269</v>
      </c>
      <c r="B116" s="28">
        <v>9.85</v>
      </c>
      <c r="C116" s="28">
        <f t="shared" si="2"/>
        <v>9.9999999999999645</v>
      </c>
      <c r="D116" s="32">
        <f t="shared" si="3"/>
        <v>-105724.94621840295</v>
      </c>
    </row>
    <row r="117" spans="1:4" x14ac:dyDescent="0.25">
      <c r="A117" s="28" t="s">
        <v>270</v>
      </c>
      <c r="B117" s="28">
        <v>9.89</v>
      </c>
      <c r="C117" s="28">
        <f t="shared" si="2"/>
        <v>4.0000000000000924</v>
      </c>
      <c r="D117" s="32">
        <f t="shared" si="3"/>
        <v>-42289.978487362307</v>
      </c>
    </row>
    <row r="118" spans="1:4" x14ac:dyDescent="0.25">
      <c r="A118" s="28" t="s">
        <v>271</v>
      </c>
      <c r="B118" s="28">
        <v>9.92</v>
      </c>
      <c r="C118" s="28">
        <f t="shared" si="2"/>
        <v>2.9999999999999361</v>
      </c>
      <c r="D118" s="32">
        <f t="shared" si="3"/>
        <v>-31717.483865520324</v>
      </c>
    </row>
    <row r="119" spans="1:4" x14ac:dyDescent="0.25">
      <c r="A119" s="28" t="s">
        <v>272</v>
      </c>
      <c r="B119" s="28">
        <v>9.86</v>
      </c>
      <c r="C119" s="28">
        <f t="shared" si="2"/>
        <v>-6.0000000000000497</v>
      </c>
      <c r="D119" s="32">
        <f t="shared" si="3"/>
        <v>63434.967731042525</v>
      </c>
    </row>
    <row r="120" spans="1:4" x14ac:dyDescent="0.25">
      <c r="A120" s="28" t="s">
        <v>273</v>
      </c>
      <c r="B120" s="28">
        <v>9.81</v>
      </c>
      <c r="C120" s="28">
        <f t="shared" si="2"/>
        <v>-4.9999999999998934</v>
      </c>
      <c r="D120" s="32">
        <f t="shared" si="3"/>
        <v>52862.473109200539</v>
      </c>
    </row>
    <row r="121" spans="1:4" x14ac:dyDescent="0.25">
      <c r="A121" s="28" t="s">
        <v>274</v>
      </c>
      <c r="B121" s="28">
        <v>9.75</v>
      </c>
      <c r="C121" s="28">
        <f t="shared" si="2"/>
        <v>-6.0000000000000497</v>
      </c>
      <c r="D121" s="32">
        <f t="shared" si="3"/>
        <v>63434.967731042525</v>
      </c>
    </row>
    <row r="122" spans="1:4" x14ac:dyDescent="0.25">
      <c r="A122" s="28" t="s">
        <v>275</v>
      </c>
      <c r="B122" s="28">
        <v>9.65</v>
      </c>
      <c r="C122" s="28">
        <f t="shared" si="2"/>
        <v>-9.9999999999999645</v>
      </c>
      <c r="D122" s="32">
        <f t="shared" si="3"/>
        <v>105724.94621840295</v>
      </c>
    </row>
    <row r="123" spans="1:4" x14ac:dyDescent="0.25">
      <c r="A123" s="28" t="s">
        <v>276</v>
      </c>
      <c r="B123" s="28">
        <v>9.68</v>
      </c>
      <c r="C123" s="28">
        <f t="shared" si="2"/>
        <v>2.9999999999999361</v>
      </c>
      <c r="D123" s="32">
        <f t="shared" si="3"/>
        <v>-31717.483865520324</v>
      </c>
    </row>
    <row r="124" spans="1:4" x14ac:dyDescent="0.25">
      <c r="A124" s="28" t="s">
        <v>277</v>
      </c>
      <c r="B124" s="28">
        <v>9.75</v>
      </c>
      <c r="C124" s="28">
        <f t="shared" si="2"/>
        <v>7.0000000000000284</v>
      </c>
      <c r="D124" s="32">
        <f t="shared" si="3"/>
        <v>-74007.462352882634</v>
      </c>
    </row>
    <row r="125" spans="1:4" x14ac:dyDescent="0.25">
      <c r="A125" s="28" t="s">
        <v>278</v>
      </c>
      <c r="B125" s="28">
        <v>9.77</v>
      </c>
      <c r="C125" s="28">
        <f t="shared" si="2"/>
        <v>1.9999999999999574</v>
      </c>
      <c r="D125" s="32">
        <f t="shared" si="3"/>
        <v>-21144.989243680215</v>
      </c>
    </row>
    <row r="126" spans="1:4" x14ac:dyDescent="0.25">
      <c r="A126" s="28" t="s">
        <v>279</v>
      </c>
      <c r="B126" s="28">
        <v>9.73</v>
      </c>
      <c r="C126" s="28">
        <f t="shared" si="2"/>
        <v>-3.9999999999999147</v>
      </c>
      <c r="D126" s="32">
        <f t="shared" si="3"/>
        <v>42289.978487360429</v>
      </c>
    </row>
    <row r="127" spans="1:4" x14ac:dyDescent="0.25">
      <c r="A127" s="28" t="s">
        <v>280</v>
      </c>
      <c r="B127" s="28">
        <v>9.81</v>
      </c>
      <c r="C127" s="28">
        <f t="shared" si="2"/>
        <v>8.0000000000000071</v>
      </c>
      <c r="D127" s="32">
        <f t="shared" si="3"/>
        <v>-84579.956974722736</v>
      </c>
    </row>
    <row r="128" spans="1:4" x14ac:dyDescent="0.25">
      <c r="A128" s="28" t="s">
        <v>281</v>
      </c>
      <c r="B128" s="28">
        <v>9.75</v>
      </c>
      <c r="C128" s="28">
        <f t="shared" si="2"/>
        <v>-6.0000000000000497</v>
      </c>
      <c r="D128" s="32">
        <f t="shared" si="3"/>
        <v>63434.967731042525</v>
      </c>
    </row>
    <row r="129" spans="1:4" x14ac:dyDescent="0.25">
      <c r="A129" s="28" t="s">
        <v>282</v>
      </c>
      <c r="B129" s="28">
        <v>9.6999999999999993</v>
      </c>
      <c r="C129" s="28">
        <f t="shared" si="2"/>
        <v>-5.0000000000000711</v>
      </c>
      <c r="D129" s="32">
        <f t="shared" si="3"/>
        <v>52862.473109202416</v>
      </c>
    </row>
    <row r="130" spans="1:4" x14ac:dyDescent="0.25">
      <c r="A130" s="28" t="s">
        <v>283</v>
      </c>
      <c r="B130" s="28">
        <v>9.6999999999999993</v>
      </c>
      <c r="C130" s="28">
        <f t="shared" si="2"/>
        <v>0</v>
      </c>
      <c r="D130" s="32">
        <f t="shared" si="3"/>
        <v>0</v>
      </c>
    </row>
    <row r="131" spans="1:4" x14ac:dyDescent="0.25">
      <c r="A131" s="28" t="s">
        <v>284</v>
      </c>
      <c r="B131" s="28">
        <v>9.7200000000000006</v>
      </c>
      <c r="C131" s="28">
        <f t="shared" ref="C131:C194" si="4">(B131-B130)*100</f>
        <v>2.000000000000135</v>
      </c>
      <c r="D131" s="32">
        <f t="shared" ref="D131:D194" si="5">-C131*$G$8</f>
        <v>-21144.989243682092</v>
      </c>
    </row>
    <row r="132" spans="1:4" x14ac:dyDescent="0.25">
      <c r="A132" s="28" t="s">
        <v>285</v>
      </c>
      <c r="B132" s="28">
        <v>9.75</v>
      </c>
      <c r="C132" s="28">
        <f t="shared" si="4"/>
        <v>2.9999999999999361</v>
      </c>
      <c r="D132" s="32">
        <f t="shared" si="5"/>
        <v>-31717.483865520324</v>
      </c>
    </row>
    <row r="133" spans="1:4" x14ac:dyDescent="0.25">
      <c r="A133" s="28" t="s">
        <v>286</v>
      </c>
      <c r="B133" s="28">
        <v>9.77</v>
      </c>
      <c r="C133" s="28">
        <f t="shared" si="4"/>
        <v>1.9999999999999574</v>
      </c>
      <c r="D133" s="32">
        <f t="shared" si="5"/>
        <v>-21144.989243680215</v>
      </c>
    </row>
    <row r="134" spans="1:4" x14ac:dyDescent="0.25">
      <c r="A134" s="28" t="s">
        <v>287</v>
      </c>
      <c r="B134" s="28">
        <v>9.75</v>
      </c>
      <c r="C134" s="28">
        <f t="shared" si="4"/>
        <v>-1.9999999999999574</v>
      </c>
      <c r="D134" s="32">
        <f t="shared" si="5"/>
        <v>21144.989243680215</v>
      </c>
    </row>
    <row r="135" spans="1:4" x14ac:dyDescent="0.25">
      <c r="A135" s="28" t="s">
        <v>288</v>
      </c>
      <c r="B135" s="28">
        <v>9.8000000000000007</v>
      </c>
      <c r="C135" s="28">
        <f t="shared" si="4"/>
        <v>5.0000000000000711</v>
      </c>
      <c r="D135" s="32">
        <f t="shared" si="5"/>
        <v>-52862.473109202416</v>
      </c>
    </row>
    <row r="136" spans="1:4" x14ac:dyDescent="0.25">
      <c r="A136" s="28" t="s">
        <v>289</v>
      </c>
      <c r="B136" s="28">
        <v>9.69</v>
      </c>
      <c r="C136" s="28">
        <f t="shared" si="4"/>
        <v>-11.000000000000121</v>
      </c>
      <c r="D136" s="32">
        <f t="shared" si="5"/>
        <v>116297.44084024493</v>
      </c>
    </row>
    <row r="137" spans="1:4" x14ac:dyDescent="0.25">
      <c r="A137" s="28" t="s">
        <v>290</v>
      </c>
      <c r="B137" s="28">
        <v>9.64</v>
      </c>
      <c r="C137" s="28">
        <f t="shared" si="4"/>
        <v>-4.9999999999998934</v>
      </c>
      <c r="D137" s="32">
        <f t="shared" si="5"/>
        <v>52862.473109200539</v>
      </c>
    </row>
    <row r="138" spans="1:4" x14ac:dyDescent="0.25">
      <c r="A138" s="28" t="s">
        <v>291</v>
      </c>
      <c r="B138" s="28">
        <v>9.68</v>
      </c>
      <c r="C138" s="28">
        <f t="shared" si="4"/>
        <v>3.9999999999999147</v>
      </c>
      <c r="D138" s="32">
        <f t="shared" si="5"/>
        <v>-42289.978487360429</v>
      </c>
    </row>
    <row r="139" spans="1:4" x14ac:dyDescent="0.25">
      <c r="A139" s="28" t="s">
        <v>292</v>
      </c>
      <c r="B139" s="28">
        <v>9.7899999999999991</v>
      </c>
      <c r="C139" s="28">
        <f t="shared" si="4"/>
        <v>10.999999999999943</v>
      </c>
      <c r="D139" s="32">
        <f t="shared" si="5"/>
        <v>-116297.44084024306</v>
      </c>
    </row>
    <row r="140" spans="1:4" x14ac:dyDescent="0.25">
      <c r="A140" s="28" t="s">
        <v>293</v>
      </c>
      <c r="B140" s="28">
        <v>9.77</v>
      </c>
      <c r="C140" s="28">
        <f t="shared" si="4"/>
        <v>-1.9999999999999574</v>
      </c>
      <c r="D140" s="32">
        <f t="shared" si="5"/>
        <v>21144.989243680215</v>
      </c>
    </row>
    <row r="141" spans="1:4" x14ac:dyDescent="0.25">
      <c r="A141" s="28" t="s">
        <v>294</v>
      </c>
      <c r="B141" s="28">
        <v>9.74</v>
      </c>
      <c r="C141" s="28">
        <f t="shared" si="4"/>
        <v>-2.9999999999999361</v>
      </c>
      <c r="D141" s="32">
        <f t="shared" si="5"/>
        <v>31717.483865520324</v>
      </c>
    </row>
    <row r="142" spans="1:4" x14ac:dyDescent="0.25">
      <c r="A142" s="28" t="s">
        <v>295</v>
      </c>
      <c r="B142" s="28">
        <v>9.77</v>
      </c>
      <c r="C142" s="28">
        <f t="shared" si="4"/>
        <v>2.9999999999999361</v>
      </c>
      <c r="D142" s="32">
        <f t="shared" si="5"/>
        <v>-31717.483865520324</v>
      </c>
    </row>
    <row r="143" spans="1:4" x14ac:dyDescent="0.25">
      <c r="A143" s="28" t="s">
        <v>296</v>
      </c>
      <c r="B143" s="28">
        <v>9.89</v>
      </c>
      <c r="C143" s="28">
        <f t="shared" si="4"/>
        <v>12.000000000000099</v>
      </c>
      <c r="D143" s="32">
        <f t="shared" si="5"/>
        <v>-126869.93546208505</v>
      </c>
    </row>
    <row r="144" spans="1:4" x14ac:dyDescent="0.25">
      <c r="A144" s="28" t="s">
        <v>297</v>
      </c>
      <c r="B144" s="28">
        <v>9.9700000000000006</v>
      </c>
      <c r="C144" s="28">
        <f t="shared" si="4"/>
        <v>8.0000000000000071</v>
      </c>
      <c r="D144" s="32">
        <f t="shared" si="5"/>
        <v>-84579.956974722736</v>
      </c>
    </row>
    <row r="145" spans="1:4" x14ac:dyDescent="0.25">
      <c r="A145" s="28" t="s">
        <v>298</v>
      </c>
      <c r="B145" s="28">
        <v>10.050000000000001</v>
      </c>
      <c r="C145" s="28">
        <f t="shared" si="4"/>
        <v>8.0000000000000071</v>
      </c>
      <c r="D145" s="32">
        <f t="shared" si="5"/>
        <v>-84579.956974722736</v>
      </c>
    </row>
    <row r="146" spans="1:4" x14ac:dyDescent="0.25">
      <c r="A146" s="28" t="s">
        <v>299</v>
      </c>
      <c r="B146" s="28">
        <v>9.98</v>
      </c>
      <c r="C146" s="28">
        <f t="shared" si="4"/>
        <v>-7.0000000000000284</v>
      </c>
      <c r="D146" s="32">
        <f t="shared" si="5"/>
        <v>74007.462352882634</v>
      </c>
    </row>
    <row r="147" spans="1:4" x14ac:dyDescent="0.25">
      <c r="A147" s="28" t="s">
        <v>300</v>
      </c>
      <c r="B147" s="28">
        <v>10.01</v>
      </c>
      <c r="C147" s="28">
        <f t="shared" si="4"/>
        <v>2.9999999999999361</v>
      </c>
      <c r="D147" s="32">
        <f t="shared" si="5"/>
        <v>-31717.483865520324</v>
      </c>
    </row>
    <row r="148" spans="1:4" x14ac:dyDescent="0.25">
      <c r="A148" s="28" t="s">
        <v>301</v>
      </c>
      <c r="B148" s="28">
        <v>10.029999999999999</v>
      </c>
      <c r="C148" s="28">
        <f t="shared" si="4"/>
        <v>1.9999999999999574</v>
      </c>
      <c r="D148" s="32">
        <f t="shared" si="5"/>
        <v>-21144.989243680215</v>
      </c>
    </row>
    <row r="149" spans="1:4" x14ac:dyDescent="0.25">
      <c r="A149" s="28" t="s">
        <v>302</v>
      </c>
      <c r="B149" s="28">
        <v>10.01</v>
      </c>
      <c r="C149" s="28">
        <f t="shared" si="4"/>
        <v>-1.9999999999999574</v>
      </c>
      <c r="D149" s="32">
        <f t="shared" si="5"/>
        <v>21144.989243680215</v>
      </c>
    </row>
    <row r="150" spans="1:4" x14ac:dyDescent="0.25">
      <c r="A150" s="28" t="s">
        <v>303</v>
      </c>
      <c r="B150" s="28">
        <v>9.9700000000000006</v>
      </c>
      <c r="C150" s="28">
        <f t="shared" si="4"/>
        <v>-3.9999999999999147</v>
      </c>
      <c r="D150" s="32">
        <f t="shared" si="5"/>
        <v>42289.978487360429</v>
      </c>
    </row>
    <row r="151" spans="1:4" x14ac:dyDescent="0.25">
      <c r="A151" s="28" t="s">
        <v>304</v>
      </c>
      <c r="B151" s="28">
        <v>9.9499999999999993</v>
      </c>
      <c r="C151" s="28">
        <f t="shared" si="4"/>
        <v>-2.000000000000135</v>
      </c>
      <c r="D151" s="32">
        <f t="shared" si="5"/>
        <v>21144.989243682092</v>
      </c>
    </row>
    <row r="152" spans="1:4" x14ac:dyDescent="0.25">
      <c r="A152" s="28" t="s">
        <v>305</v>
      </c>
      <c r="B152" s="28">
        <v>10.01</v>
      </c>
      <c r="C152" s="28">
        <f t="shared" si="4"/>
        <v>6.0000000000000497</v>
      </c>
      <c r="D152" s="32">
        <f t="shared" si="5"/>
        <v>-63434.967731042525</v>
      </c>
    </row>
    <row r="153" spans="1:4" x14ac:dyDescent="0.25">
      <c r="A153" s="28" t="s">
        <v>306</v>
      </c>
      <c r="B153" s="28">
        <v>9.98</v>
      </c>
      <c r="C153" s="28">
        <f t="shared" si="4"/>
        <v>-2.9999999999999361</v>
      </c>
      <c r="D153" s="32">
        <f t="shared" si="5"/>
        <v>31717.483865520324</v>
      </c>
    </row>
    <row r="154" spans="1:4" x14ac:dyDescent="0.25">
      <c r="A154" s="28" t="s">
        <v>307</v>
      </c>
      <c r="B154" s="28">
        <v>9.91</v>
      </c>
      <c r="C154" s="28">
        <f t="shared" si="4"/>
        <v>-7.0000000000000284</v>
      </c>
      <c r="D154" s="32">
        <f t="shared" si="5"/>
        <v>74007.462352882634</v>
      </c>
    </row>
    <row r="155" spans="1:4" x14ac:dyDescent="0.25">
      <c r="A155" s="28" t="s">
        <v>308</v>
      </c>
      <c r="B155" s="28">
        <v>9.8699999999999992</v>
      </c>
      <c r="C155" s="28">
        <f t="shared" si="4"/>
        <v>-4.0000000000000924</v>
      </c>
      <c r="D155" s="32">
        <f t="shared" si="5"/>
        <v>42289.978487362307</v>
      </c>
    </row>
    <row r="156" spans="1:4" x14ac:dyDescent="0.25">
      <c r="A156" s="28" t="s">
        <v>309</v>
      </c>
      <c r="B156" s="28">
        <v>9.8699999999999992</v>
      </c>
      <c r="C156" s="28">
        <f t="shared" si="4"/>
        <v>0</v>
      </c>
      <c r="D156" s="32">
        <f t="shared" si="5"/>
        <v>0</v>
      </c>
    </row>
    <row r="157" spans="1:4" x14ac:dyDescent="0.25">
      <c r="A157" s="28" t="s">
        <v>310</v>
      </c>
      <c r="B157" s="28">
        <v>9.9499999999999993</v>
      </c>
      <c r="C157" s="28">
        <f t="shared" si="4"/>
        <v>8.0000000000000071</v>
      </c>
      <c r="D157" s="32">
        <f t="shared" si="5"/>
        <v>-84579.956974722736</v>
      </c>
    </row>
    <row r="158" spans="1:4" x14ac:dyDescent="0.25">
      <c r="A158" s="28" t="s">
        <v>311</v>
      </c>
      <c r="B158" s="28">
        <v>10.02</v>
      </c>
      <c r="C158" s="28">
        <f t="shared" si="4"/>
        <v>7.0000000000000284</v>
      </c>
      <c r="D158" s="32">
        <f t="shared" si="5"/>
        <v>-74007.462352882634</v>
      </c>
    </row>
    <row r="159" spans="1:4" x14ac:dyDescent="0.25">
      <c r="A159" s="28" t="s">
        <v>312</v>
      </c>
      <c r="B159" s="28">
        <v>9.9600000000000009</v>
      </c>
      <c r="C159" s="28">
        <f t="shared" si="4"/>
        <v>-5.9999999999998721</v>
      </c>
      <c r="D159" s="32">
        <f t="shared" si="5"/>
        <v>63434.967731040648</v>
      </c>
    </row>
    <row r="160" spans="1:4" x14ac:dyDescent="0.25">
      <c r="A160" s="28" t="s">
        <v>313</v>
      </c>
      <c r="B160" s="28">
        <v>9.89</v>
      </c>
      <c r="C160" s="28">
        <f t="shared" si="4"/>
        <v>-7.0000000000000284</v>
      </c>
      <c r="D160" s="32">
        <f t="shared" si="5"/>
        <v>74007.462352882634</v>
      </c>
    </row>
    <row r="161" spans="1:4" x14ac:dyDescent="0.25">
      <c r="A161" s="28" t="s">
        <v>314</v>
      </c>
      <c r="B161" s="28">
        <v>9.93</v>
      </c>
      <c r="C161" s="28">
        <f t="shared" si="4"/>
        <v>3.9999999999999147</v>
      </c>
      <c r="D161" s="32">
        <f t="shared" si="5"/>
        <v>-42289.978487360429</v>
      </c>
    </row>
    <row r="162" spans="1:4" x14ac:dyDescent="0.25">
      <c r="A162" s="28" t="s">
        <v>315</v>
      </c>
      <c r="B162" s="28">
        <v>9.98</v>
      </c>
      <c r="C162" s="28">
        <f t="shared" si="4"/>
        <v>5.0000000000000711</v>
      </c>
      <c r="D162" s="32">
        <f t="shared" si="5"/>
        <v>-52862.473109202416</v>
      </c>
    </row>
    <row r="163" spans="1:4" x14ac:dyDescent="0.25">
      <c r="A163" s="28" t="s">
        <v>316</v>
      </c>
      <c r="B163" s="28">
        <v>9.86</v>
      </c>
      <c r="C163" s="28">
        <f t="shared" si="4"/>
        <v>-12.000000000000099</v>
      </c>
      <c r="D163" s="32">
        <f t="shared" si="5"/>
        <v>126869.93546208505</v>
      </c>
    </row>
    <row r="164" spans="1:4" x14ac:dyDescent="0.25">
      <c r="A164" s="28" t="s">
        <v>317</v>
      </c>
      <c r="B164" s="28">
        <v>9.77</v>
      </c>
      <c r="C164" s="28">
        <f t="shared" si="4"/>
        <v>-8.9999999999999858</v>
      </c>
      <c r="D164" s="32">
        <f t="shared" si="5"/>
        <v>95152.451596562853</v>
      </c>
    </row>
    <row r="165" spans="1:4" x14ac:dyDescent="0.25">
      <c r="A165" s="28" t="s">
        <v>318</v>
      </c>
      <c r="B165" s="28">
        <v>9.67</v>
      </c>
      <c r="C165" s="28">
        <f t="shared" si="4"/>
        <v>-9.9999999999999645</v>
      </c>
      <c r="D165" s="32">
        <f t="shared" si="5"/>
        <v>105724.94621840295</v>
      </c>
    </row>
    <row r="166" spans="1:4" x14ac:dyDescent="0.25">
      <c r="A166" s="28" t="s">
        <v>319</v>
      </c>
      <c r="B166" s="28">
        <v>9.65</v>
      </c>
      <c r="C166" s="28">
        <f t="shared" si="4"/>
        <v>-1.9999999999999574</v>
      </c>
      <c r="D166" s="32">
        <f t="shared" si="5"/>
        <v>21144.989243680215</v>
      </c>
    </row>
    <row r="167" spans="1:4" x14ac:dyDescent="0.25">
      <c r="A167" s="28" t="s">
        <v>320</v>
      </c>
      <c r="B167" s="28">
        <v>9.67</v>
      </c>
      <c r="C167" s="28">
        <f t="shared" si="4"/>
        <v>1.9999999999999574</v>
      </c>
      <c r="D167" s="32">
        <f t="shared" si="5"/>
        <v>-21144.989243680215</v>
      </c>
    </row>
    <row r="168" spans="1:4" x14ac:dyDescent="0.25">
      <c r="A168" s="28" t="s">
        <v>321</v>
      </c>
      <c r="B168" s="28">
        <v>9.69</v>
      </c>
      <c r="C168" s="28">
        <f t="shared" si="4"/>
        <v>1.9999999999999574</v>
      </c>
      <c r="D168" s="32">
        <f t="shared" si="5"/>
        <v>-21144.989243680215</v>
      </c>
    </row>
    <row r="169" spans="1:4" x14ac:dyDescent="0.25">
      <c r="A169" s="28" t="s">
        <v>322</v>
      </c>
      <c r="B169" s="28">
        <v>9.69</v>
      </c>
      <c r="C169" s="28">
        <f t="shared" si="4"/>
        <v>0</v>
      </c>
      <c r="D169" s="32">
        <f t="shared" si="5"/>
        <v>0</v>
      </c>
    </row>
    <row r="170" spans="1:4" x14ac:dyDescent="0.25">
      <c r="A170" s="28" t="s">
        <v>323</v>
      </c>
      <c r="B170" s="28">
        <v>9.6999999999999993</v>
      </c>
      <c r="C170" s="28">
        <f t="shared" si="4"/>
        <v>0.99999999999997868</v>
      </c>
      <c r="D170" s="32">
        <f t="shared" si="5"/>
        <v>-10572.494621840107</v>
      </c>
    </row>
    <row r="171" spans="1:4" x14ac:dyDescent="0.25">
      <c r="A171" s="28" t="s">
        <v>324</v>
      </c>
      <c r="B171" s="28">
        <v>9.65</v>
      </c>
      <c r="C171" s="28">
        <f t="shared" si="4"/>
        <v>-4.9999999999998934</v>
      </c>
      <c r="D171" s="32">
        <f t="shared" si="5"/>
        <v>52862.473109200539</v>
      </c>
    </row>
    <row r="172" spans="1:4" x14ac:dyDescent="0.25">
      <c r="A172" s="28" t="s">
        <v>325</v>
      </c>
      <c r="B172" s="28">
        <v>9.68</v>
      </c>
      <c r="C172" s="28">
        <f t="shared" si="4"/>
        <v>2.9999999999999361</v>
      </c>
      <c r="D172" s="32">
        <f t="shared" si="5"/>
        <v>-31717.483865520324</v>
      </c>
    </row>
    <row r="173" spans="1:4" x14ac:dyDescent="0.25">
      <c r="A173" s="28" t="s">
        <v>326</v>
      </c>
      <c r="B173" s="28">
        <v>9.6</v>
      </c>
      <c r="C173" s="28">
        <f t="shared" si="4"/>
        <v>-8.0000000000000071</v>
      </c>
      <c r="D173" s="32">
        <f t="shared" si="5"/>
        <v>84579.956974722736</v>
      </c>
    </row>
    <row r="174" spans="1:4" x14ac:dyDescent="0.25">
      <c r="A174" s="28" t="s">
        <v>327</v>
      </c>
      <c r="B174" s="28">
        <v>9.5399999999999991</v>
      </c>
      <c r="C174" s="28">
        <f t="shared" si="4"/>
        <v>-6.0000000000000497</v>
      </c>
      <c r="D174" s="32">
        <f t="shared" si="5"/>
        <v>63434.967731042525</v>
      </c>
    </row>
    <row r="175" spans="1:4" x14ac:dyDescent="0.25">
      <c r="A175" s="28" t="s">
        <v>328</v>
      </c>
      <c r="B175" s="28">
        <v>9.44</v>
      </c>
      <c r="C175" s="28">
        <f t="shared" si="4"/>
        <v>-9.9999999999999645</v>
      </c>
      <c r="D175" s="32">
        <f t="shared" si="5"/>
        <v>105724.94621840295</v>
      </c>
    </row>
    <row r="176" spans="1:4" x14ac:dyDescent="0.25">
      <c r="A176" s="28" t="s">
        <v>329</v>
      </c>
      <c r="B176" s="28">
        <v>9.4700000000000006</v>
      </c>
      <c r="C176" s="28">
        <f t="shared" si="4"/>
        <v>3.0000000000001137</v>
      </c>
      <c r="D176" s="32">
        <f t="shared" si="5"/>
        <v>-31717.483865522201</v>
      </c>
    </row>
    <row r="177" spans="1:4" x14ac:dyDescent="0.25">
      <c r="A177" s="28" t="s">
        <v>330</v>
      </c>
      <c r="B177" s="28">
        <v>9.4600000000000009</v>
      </c>
      <c r="C177" s="28">
        <f t="shared" si="4"/>
        <v>-0.99999999999997868</v>
      </c>
      <c r="D177" s="32">
        <f t="shared" si="5"/>
        <v>10572.494621840107</v>
      </c>
    </row>
    <row r="178" spans="1:4" x14ac:dyDescent="0.25">
      <c r="A178" s="28" t="s">
        <v>331</v>
      </c>
      <c r="B178" s="28">
        <v>9.52</v>
      </c>
      <c r="C178" s="28">
        <f t="shared" si="4"/>
        <v>5.9999999999998721</v>
      </c>
      <c r="D178" s="32">
        <f t="shared" si="5"/>
        <v>-63434.967731040648</v>
      </c>
    </row>
    <row r="179" spans="1:4" x14ac:dyDescent="0.25">
      <c r="A179" s="28" t="s">
        <v>332</v>
      </c>
      <c r="B179" s="28">
        <v>9.56</v>
      </c>
      <c r="C179" s="28">
        <f t="shared" si="4"/>
        <v>4.0000000000000924</v>
      </c>
      <c r="D179" s="32">
        <f t="shared" si="5"/>
        <v>-42289.978487362307</v>
      </c>
    </row>
    <row r="180" spans="1:4" x14ac:dyDescent="0.25">
      <c r="A180" s="28" t="s">
        <v>333</v>
      </c>
      <c r="B180" s="28">
        <v>9.5299999999999994</v>
      </c>
      <c r="C180" s="28">
        <f t="shared" si="4"/>
        <v>-3.0000000000001137</v>
      </c>
      <c r="D180" s="32">
        <f t="shared" si="5"/>
        <v>31717.483865522201</v>
      </c>
    </row>
    <row r="181" spans="1:4" x14ac:dyDescent="0.25">
      <c r="A181" s="28" t="s">
        <v>334</v>
      </c>
      <c r="B181" s="28">
        <v>9.51</v>
      </c>
      <c r="C181" s="28">
        <f t="shared" si="4"/>
        <v>-1.9999999999999574</v>
      </c>
      <c r="D181" s="32">
        <f t="shared" si="5"/>
        <v>21144.989243680215</v>
      </c>
    </row>
    <row r="182" spans="1:4" x14ac:dyDescent="0.25">
      <c r="A182" s="28" t="s">
        <v>335</v>
      </c>
      <c r="B182" s="28">
        <v>9.5299999999999994</v>
      </c>
      <c r="C182" s="28">
        <f t="shared" si="4"/>
        <v>1.9999999999999574</v>
      </c>
      <c r="D182" s="32">
        <f t="shared" si="5"/>
        <v>-21144.989243680215</v>
      </c>
    </row>
    <row r="183" spans="1:4" x14ac:dyDescent="0.25">
      <c r="A183" s="28" t="s">
        <v>336</v>
      </c>
      <c r="B183" s="28">
        <v>9.49</v>
      </c>
      <c r="C183" s="28">
        <f t="shared" si="4"/>
        <v>-3.9999999999999147</v>
      </c>
      <c r="D183" s="32">
        <f t="shared" si="5"/>
        <v>42289.978487360429</v>
      </c>
    </row>
    <row r="184" spans="1:4" x14ac:dyDescent="0.25">
      <c r="A184" s="28" t="s">
        <v>337</v>
      </c>
      <c r="B184" s="28">
        <v>9.51</v>
      </c>
      <c r="C184" s="28">
        <f t="shared" si="4"/>
        <v>1.9999999999999574</v>
      </c>
      <c r="D184" s="32">
        <f t="shared" si="5"/>
        <v>-21144.989243680215</v>
      </c>
    </row>
    <row r="185" spans="1:4" x14ac:dyDescent="0.25">
      <c r="A185" s="28" t="s">
        <v>338</v>
      </c>
      <c r="B185" s="28">
        <v>9.4700000000000006</v>
      </c>
      <c r="C185" s="28">
        <f t="shared" si="4"/>
        <v>-3.9999999999999147</v>
      </c>
      <c r="D185" s="32">
        <f t="shared" si="5"/>
        <v>42289.978487360429</v>
      </c>
    </row>
    <row r="186" spans="1:4" x14ac:dyDescent="0.25">
      <c r="A186" s="28" t="s">
        <v>339</v>
      </c>
      <c r="B186" s="28">
        <v>9.3699999999999992</v>
      </c>
      <c r="C186" s="28">
        <f t="shared" si="4"/>
        <v>-10.000000000000142</v>
      </c>
      <c r="D186" s="32">
        <f t="shared" si="5"/>
        <v>105724.94621840483</v>
      </c>
    </row>
    <row r="187" spans="1:4" x14ac:dyDescent="0.25">
      <c r="A187" s="28" t="s">
        <v>340</v>
      </c>
      <c r="B187" s="28">
        <v>9.32</v>
      </c>
      <c r="C187" s="28">
        <f t="shared" si="4"/>
        <v>-4.9999999999998934</v>
      </c>
      <c r="D187" s="32">
        <f t="shared" si="5"/>
        <v>52862.473109200539</v>
      </c>
    </row>
    <row r="188" spans="1:4" x14ac:dyDescent="0.25">
      <c r="A188" s="28" t="s">
        <v>341</v>
      </c>
      <c r="B188" s="28">
        <v>9.25</v>
      </c>
      <c r="C188" s="28">
        <f t="shared" si="4"/>
        <v>-7.0000000000000284</v>
      </c>
      <c r="D188" s="32">
        <f t="shared" si="5"/>
        <v>74007.462352882634</v>
      </c>
    </row>
    <row r="189" spans="1:4" x14ac:dyDescent="0.25">
      <c r="A189" s="28" t="s">
        <v>342</v>
      </c>
      <c r="B189" s="28">
        <v>9.2200000000000006</v>
      </c>
      <c r="C189" s="28">
        <f t="shared" si="4"/>
        <v>-2.9999999999999361</v>
      </c>
      <c r="D189" s="32">
        <f t="shared" si="5"/>
        <v>31717.483865520324</v>
      </c>
    </row>
    <row r="190" spans="1:4" x14ac:dyDescent="0.25">
      <c r="A190" s="28" t="s">
        <v>343</v>
      </c>
      <c r="B190" s="28">
        <v>9.2200000000000006</v>
      </c>
      <c r="C190" s="28">
        <f t="shared" si="4"/>
        <v>0</v>
      </c>
      <c r="D190" s="32">
        <f t="shared" si="5"/>
        <v>0</v>
      </c>
    </row>
    <row r="191" spans="1:4" x14ac:dyDescent="0.25">
      <c r="A191" s="28" t="s">
        <v>344</v>
      </c>
      <c r="B191" s="28">
        <v>9.17</v>
      </c>
      <c r="C191" s="28">
        <f t="shared" si="4"/>
        <v>-5.0000000000000711</v>
      </c>
      <c r="D191" s="32">
        <f t="shared" si="5"/>
        <v>52862.473109202416</v>
      </c>
    </row>
    <row r="192" spans="1:4" x14ac:dyDescent="0.25">
      <c r="A192" s="28" t="s">
        <v>345</v>
      </c>
      <c r="B192" s="28">
        <v>9.15</v>
      </c>
      <c r="C192" s="28">
        <f t="shared" si="4"/>
        <v>-1.9999999999999574</v>
      </c>
      <c r="D192" s="32">
        <f t="shared" si="5"/>
        <v>21144.989243680215</v>
      </c>
    </row>
    <row r="193" spans="1:4" x14ac:dyDescent="0.25">
      <c r="A193" s="28" t="s">
        <v>346</v>
      </c>
      <c r="B193" s="28">
        <v>9.18</v>
      </c>
      <c r="C193" s="28">
        <f t="shared" si="4"/>
        <v>2.9999999999999361</v>
      </c>
      <c r="D193" s="32">
        <f t="shared" si="5"/>
        <v>-31717.483865520324</v>
      </c>
    </row>
    <row r="194" spans="1:4" x14ac:dyDescent="0.25">
      <c r="A194" s="28" t="s">
        <v>347</v>
      </c>
      <c r="B194" s="28">
        <v>9.1300000000000008</v>
      </c>
      <c r="C194" s="28">
        <f t="shared" si="4"/>
        <v>-4.9999999999998934</v>
      </c>
      <c r="D194" s="32">
        <f t="shared" si="5"/>
        <v>52862.473109200539</v>
      </c>
    </row>
    <row r="195" spans="1:4" x14ac:dyDescent="0.25">
      <c r="A195" s="28" t="s">
        <v>348</v>
      </c>
      <c r="B195" s="28">
        <v>9.11</v>
      </c>
      <c r="C195" s="28">
        <f t="shared" ref="C195:C258" si="6">(B195-B194)*100</f>
        <v>-2.000000000000135</v>
      </c>
      <c r="D195" s="32">
        <f t="shared" ref="D195:D258" si="7">-C195*$G$8</f>
        <v>21144.989243682092</v>
      </c>
    </row>
    <row r="196" spans="1:4" x14ac:dyDescent="0.25">
      <c r="A196" s="28" t="s">
        <v>349</v>
      </c>
      <c r="B196" s="28">
        <v>9.11</v>
      </c>
      <c r="C196" s="28">
        <f t="shared" si="6"/>
        <v>0</v>
      </c>
      <c r="D196" s="32">
        <f t="shared" si="7"/>
        <v>0</v>
      </c>
    </row>
    <row r="197" spans="1:4" x14ac:dyDescent="0.25">
      <c r="A197" s="28" t="s">
        <v>350</v>
      </c>
      <c r="B197" s="28">
        <v>9.1199999999999992</v>
      </c>
      <c r="C197" s="28">
        <f t="shared" si="6"/>
        <v>0.99999999999997868</v>
      </c>
      <c r="D197" s="32">
        <f t="shared" si="7"/>
        <v>-10572.494621840107</v>
      </c>
    </row>
    <row r="198" spans="1:4" x14ac:dyDescent="0.25">
      <c r="A198" s="28" t="s">
        <v>351</v>
      </c>
      <c r="B198" s="28">
        <v>9.1300000000000008</v>
      </c>
      <c r="C198" s="28">
        <f t="shared" si="6"/>
        <v>1.0000000000001563</v>
      </c>
      <c r="D198" s="32">
        <f t="shared" si="7"/>
        <v>-10572.494621841986</v>
      </c>
    </row>
    <row r="199" spans="1:4" x14ac:dyDescent="0.25">
      <c r="A199" s="28" t="s">
        <v>352</v>
      </c>
      <c r="B199" s="28">
        <v>9.18</v>
      </c>
      <c r="C199" s="28">
        <f t="shared" si="6"/>
        <v>4.9999999999998934</v>
      </c>
      <c r="D199" s="32">
        <f t="shared" si="7"/>
        <v>-52862.473109200539</v>
      </c>
    </row>
    <row r="200" spans="1:4" x14ac:dyDescent="0.25">
      <c r="A200" s="28" t="s">
        <v>353</v>
      </c>
      <c r="B200" s="28">
        <v>9.09</v>
      </c>
      <c r="C200" s="28">
        <f t="shared" si="6"/>
        <v>-8.9999999999999858</v>
      </c>
      <c r="D200" s="32">
        <f t="shared" si="7"/>
        <v>95152.451596562853</v>
      </c>
    </row>
    <row r="201" spans="1:4" x14ac:dyDescent="0.25">
      <c r="A201" s="28" t="s">
        <v>354</v>
      </c>
      <c r="B201" s="28">
        <v>9.08</v>
      </c>
      <c r="C201" s="28">
        <f t="shared" si="6"/>
        <v>-0.99999999999997868</v>
      </c>
      <c r="D201" s="32">
        <f t="shared" si="7"/>
        <v>10572.494621840107</v>
      </c>
    </row>
    <row r="202" spans="1:4" x14ac:dyDescent="0.25">
      <c r="A202" s="28" t="s">
        <v>355</v>
      </c>
      <c r="B202" s="28">
        <v>9.01</v>
      </c>
      <c r="C202" s="28">
        <f t="shared" si="6"/>
        <v>-7.0000000000000284</v>
      </c>
      <c r="D202" s="32">
        <f t="shared" si="7"/>
        <v>74007.462352882634</v>
      </c>
    </row>
    <row r="203" spans="1:4" x14ac:dyDescent="0.25">
      <c r="A203" s="28" t="s">
        <v>356</v>
      </c>
      <c r="B203" s="28">
        <v>8.94</v>
      </c>
      <c r="C203" s="28">
        <f t="shared" si="6"/>
        <v>-7.0000000000000284</v>
      </c>
      <c r="D203" s="32">
        <f t="shared" si="7"/>
        <v>74007.462352882634</v>
      </c>
    </row>
    <row r="204" spans="1:4" x14ac:dyDescent="0.25">
      <c r="A204" s="28" t="s">
        <v>357</v>
      </c>
      <c r="B204" s="28">
        <v>8.9700000000000006</v>
      </c>
      <c r="C204" s="28">
        <f t="shared" si="6"/>
        <v>3.0000000000001137</v>
      </c>
      <c r="D204" s="32">
        <f t="shared" si="7"/>
        <v>-31717.483865522201</v>
      </c>
    </row>
    <row r="205" spans="1:4" x14ac:dyDescent="0.25">
      <c r="A205" s="28" t="s">
        <v>358</v>
      </c>
      <c r="B205" s="28">
        <v>9.01</v>
      </c>
      <c r="C205" s="28">
        <f t="shared" si="6"/>
        <v>3.9999999999999147</v>
      </c>
      <c r="D205" s="32">
        <f t="shared" si="7"/>
        <v>-42289.978487360429</v>
      </c>
    </row>
    <row r="206" spans="1:4" x14ac:dyDescent="0.25">
      <c r="A206" s="28" t="s">
        <v>359</v>
      </c>
      <c r="B206" s="28">
        <v>9.02</v>
      </c>
      <c r="C206" s="28">
        <f t="shared" si="6"/>
        <v>0.99999999999997868</v>
      </c>
      <c r="D206" s="32">
        <f t="shared" si="7"/>
        <v>-10572.494621840107</v>
      </c>
    </row>
    <row r="207" spans="1:4" x14ac:dyDescent="0.25">
      <c r="A207" s="28" t="s">
        <v>360</v>
      </c>
      <c r="B207" s="28">
        <v>9.0299999999999994</v>
      </c>
      <c r="C207" s="28">
        <f t="shared" si="6"/>
        <v>0.99999999999997868</v>
      </c>
      <c r="D207" s="32">
        <f t="shared" si="7"/>
        <v>-10572.494621840107</v>
      </c>
    </row>
    <row r="208" spans="1:4" x14ac:dyDescent="0.25">
      <c r="A208" s="28" t="s">
        <v>361</v>
      </c>
      <c r="B208" s="28">
        <v>8.99</v>
      </c>
      <c r="C208" s="28">
        <f t="shared" si="6"/>
        <v>-3.9999999999999147</v>
      </c>
      <c r="D208" s="32">
        <f t="shared" si="7"/>
        <v>42289.978487360429</v>
      </c>
    </row>
    <row r="209" spans="1:4" x14ac:dyDescent="0.25">
      <c r="A209" s="28" t="s">
        <v>362</v>
      </c>
      <c r="B209" s="28">
        <v>8.89</v>
      </c>
      <c r="C209" s="28">
        <f t="shared" si="6"/>
        <v>-9.9999999999999645</v>
      </c>
      <c r="D209" s="32">
        <f t="shared" si="7"/>
        <v>105724.94621840295</v>
      </c>
    </row>
    <row r="210" spans="1:4" x14ac:dyDescent="0.25">
      <c r="A210" s="28" t="s">
        <v>363</v>
      </c>
      <c r="B210" s="28">
        <v>8.84</v>
      </c>
      <c r="C210" s="28">
        <f t="shared" si="6"/>
        <v>-5.0000000000000711</v>
      </c>
      <c r="D210" s="32">
        <f t="shared" si="7"/>
        <v>52862.473109202416</v>
      </c>
    </row>
    <row r="211" spans="1:4" x14ac:dyDescent="0.25">
      <c r="A211" s="28" t="s">
        <v>364</v>
      </c>
      <c r="B211" s="28">
        <v>8.81</v>
      </c>
      <c r="C211" s="28">
        <f t="shared" si="6"/>
        <v>-2.9999999999999361</v>
      </c>
      <c r="D211" s="32">
        <f t="shared" si="7"/>
        <v>31717.483865520324</v>
      </c>
    </row>
    <row r="212" spans="1:4" x14ac:dyDescent="0.25">
      <c r="A212" s="28" t="s">
        <v>365</v>
      </c>
      <c r="B212" s="28">
        <v>8.75</v>
      </c>
      <c r="C212" s="28">
        <f t="shared" si="6"/>
        <v>-6.0000000000000497</v>
      </c>
      <c r="D212" s="32">
        <f t="shared" si="7"/>
        <v>63434.967731042525</v>
      </c>
    </row>
    <row r="213" spans="1:4" x14ac:dyDescent="0.25">
      <c r="A213" s="28" t="s">
        <v>366</v>
      </c>
      <c r="B213" s="28">
        <v>8.69</v>
      </c>
      <c r="C213" s="28">
        <f t="shared" si="6"/>
        <v>-6.0000000000000497</v>
      </c>
      <c r="D213" s="32">
        <f t="shared" si="7"/>
        <v>63434.967731042525</v>
      </c>
    </row>
    <row r="214" spans="1:4" x14ac:dyDescent="0.25">
      <c r="A214" s="28" t="s">
        <v>367</v>
      </c>
      <c r="B214" s="28">
        <v>8.5299999999999994</v>
      </c>
      <c r="C214" s="28">
        <f t="shared" si="6"/>
        <v>-16.000000000000014</v>
      </c>
      <c r="D214" s="32">
        <f t="shared" si="7"/>
        <v>169159.91394944547</v>
      </c>
    </row>
    <row r="215" spans="1:4" x14ac:dyDescent="0.25">
      <c r="A215" s="28" t="s">
        <v>368</v>
      </c>
      <c r="B215" s="28">
        <v>8.65</v>
      </c>
      <c r="C215" s="28">
        <f t="shared" si="6"/>
        <v>12.000000000000099</v>
      </c>
      <c r="D215" s="32">
        <f t="shared" si="7"/>
        <v>-126869.93546208505</v>
      </c>
    </row>
    <row r="216" spans="1:4" x14ac:dyDescent="0.25">
      <c r="A216" s="28" t="s">
        <v>369</v>
      </c>
      <c r="B216" s="28">
        <v>8.7799999999999994</v>
      </c>
      <c r="C216" s="28">
        <f t="shared" si="6"/>
        <v>12.999999999999901</v>
      </c>
      <c r="D216" s="32">
        <f t="shared" si="7"/>
        <v>-137442.43008392327</v>
      </c>
    </row>
    <row r="217" spans="1:4" x14ac:dyDescent="0.25">
      <c r="A217" s="28" t="s">
        <v>370</v>
      </c>
      <c r="B217" s="28">
        <v>8.81</v>
      </c>
      <c r="C217" s="28">
        <f t="shared" si="6"/>
        <v>3.0000000000001137</v>
      </c>
      <c r="D217" s="32">
        <f t="shared" si="7"/>
        <v>-31717.483865522201</v>
      </c>
    </row>
    <row r="218" spans="1:4" x14ac:dyDescent="0.25">
      <c r="A218" s="28" t="s">
        <v>371</v>
      </c>
      <c r="B218" s="28">
        <v>8.8000000000000007</v>
      </c>
      <c r="C218" s="28">
        <f t="shared" si="6"/>
        <v>-0.99999999999997868</v>
      </c>
      <c r="D218" s="32">
        <f t="shared" si="7"/>
        <v>10572.494621840107</v>
      </c>
    </row>
    <row r="219" spans="1:4" x14ac:dyDescent="0.25">
      <c r="A219" s="28" t="s">
        <v>372</v>
      </c>
      <c r="B219" s="28">
        <v>8.86</v>
      </c>
      <c r="C219" s="28">
        <f t="shared" si="6"/>
        <v>5.9999999999998721</v>
      </c>
      <c r="D219" s="32">
        <f t="shared" si="7"/>
        <v>-63434.967731040648</v>
      </c>
    </row>
    <row r="220" spans="1:4" x14ac:dyDescent="0.25">
      <c r="A220" s="28" t="s">
        <v>373</v>
      </c>
      <c r="B220" s="28">
        <v>8.8699999999999992</v>
      </c>
      <c r="C220" s="28">
        <f t="shared" si="6"/>
        <v>0.99999999999997868</v>
      </c>
      <c r="D220" s="32">
        <f t="shared" si="7"/>
        <v>-10572.494621840107</v>
      </c>
    </row>
    <row r="221" spans="1:4" x14ac:dyDescent="0.25">
      <c r="A221" s="28" t="s">
        <v>374</v>
      </c>
      <c r="B221" s="28">
        <v>8.82</v>
      </c>
      <c r="C221" s="28">
        <f t="shared" si="6"/>
        <v>-4.9999999999998934</v>
      </c>
      <c r="D221" s="32">
        <f t="shared" si="7"/>
        <v>52862.473109200539</v>
      </c>
    </row>
    <row r="222" spans="1:4" x14ac:dyDescent="0.25">
      <c r="A222" s="28" t="s">
        <v>375</v>
      </c>
      <c r="B222" s="28">
        <v>8.76</v>
      </c>
      <c r="C222" s="28">
        <f t="shared" si="6"/>
        <v>-6.0000000000000497</v>
      </c>
      <c r="D222" s="32">
        <f t="shared" si="7"/>
        <v>63434.967731042525</v>
      </c>
    </row>
    <row r="223" spans="1:4" x14ac:dyDescent="0.25">
      <c r="A223" s="28" t="s">
        <v>376</v>
      </c>
      <c r="B223" s="28">
        <v>8.73</v>
      </c>
      <c r="C223" s="28">
        <f t="shared" si="6"/>
        <v>-2.9999999999999361</v>
      </c>
      <c r="D223" s="32">
        <f t="shared" si="7"/>
        <v>31717.483865520324</v>
      </c>
    </row>
    <row r="224" spans="1:4" x14ac:dyDescent="0.25">
      <c r="A224" s="28" t="s">
        <v>377</v>
      </c>
      <c r="B224" s="28">
        <v>8.7899999999999991</v>
      </c>
      <c r="C224" s="28">
        <f t="shared" si="6"/>
        <v>5.9999999999998721</v>
      </c>
      <c r="D224" s="32">
        <f t="shared" si="7"/>
        <v>-63434.967731040648</v>
      </c>
    </row>
    <row r="225" spans="1:4" x14ac:dyDescent="0.25">
      <c r="A225" s="28" t="s">
        <v>378</v>
      </c>
      <c r="B225" s="28">
        <v>8.7899999999999991</v>
      </c>
      <c r="C225" s="28">
        <f t="shared" si="6"/>
        <v>0</v>
      </c>
      <c r="D225" s="32">
        <f t="shared" si="7"/>
        <v>0</v>
      </c>
    </row>
    <row r="226" spans="1:4" x14ac:dyDescent="0.25">
      <c r="A226" s="28" t="s">
        <v>379</v>
      </c>
      <c r="B226" s="28">
        <v>8.7799999999999994</v>
      </c>
      <c r="C226" s="28">
        <f t="shared" si="6"/>
        <v>-0.99999999999997868</v>
      </c>
      <c r="D226" s="32">
        <f t="shared" si="7"/>
        <v>10572.494621840107</v>
      </c>
    </row>
    <row r="227" spans="1:4" x14ac:dyDescent="0.25">
      <c r="A227" s="28" t="s">
        <v>380</v>
      </c>
      <c r="B227" s="28">
        <v>8.7200000000000006</v>
      </c>
      <c r="C227" s="28">
        <f t="shared" si="6"/>
        <v>-5.9999999999998721</v>
      </c>
      <c r="D227" s="32">
        <f t="shared" si="7"/>
        <v>63434.967731040648</v>
      </c>
    </row>
    <row r="228" spans="1:4" x14ac:dyDescent="0.25">
      <c r="A228" s="28" t="s">
        <v>381</v>
      </c>
      <c r="B228" s="28">
        <v>8.6999999999999993</v>
      </c>
      <c r="C228" s="28">
        <f t="shared" si="6"/>
        <v>-2.000000000000135</v>
      </c>
      <c r="D228" s="32">
        <f t="shared" si="7"/>
        <v>21144.989243682092</v>
      </c>
    </row>
    <row r="229" spans="1:4" x14ac:dyDescent="0.25">
      <c r="A229" s="28" t="s">
        <v>382</v>
      </c>
      <c r="B229" s="28">
        <v>8.7100000000000009</v>
      </c>
      <c r="C229" s="28">
        <f t="shared" si="6"/>
        <v>1.0000000000001563</v>
      </c>
      <c r="D229" s="32">
        <f t="shared" si="7"/>
        <v>-10572.494621841986</v>
      </c>
    </row>
    <row r="230" spans="1:4" x14ac:dyDescent="0.25">
      <c r="A230" s="28" t="s">
        <v>383</v>
      </c>
      <c r="B230" s="28">
        <v>8.69</v>
      </c>
      <c r="C230" s="28">
        <f t="shared" si="6"/>
        <v>-2.000000000000135</v>
      </c>
      <c r="D230" s="32">
        <f t="shared" si="7"/>
        <v>21144.989243682092</v>
      </c>
    </row>
    <row r="231" spans="1:4" x14ac:dyDescent="0.25">
      <c r="A231" s="28" t="s">
        <v>384</v>
      </c>
      <c r="B231" s="28">
        <v>8.6999999999999993</v>
      </c>
      <c r="C231" s="28">
        <f t="shared" si="6"/>
        <v>0.99999999999997868</v>
      </c>
      <c r="D231" s="32">
        <f t="shared" si="7"/>
        <v>-10572.494621840107</v>
      </c>
    </row>
    <row r="232" spans="1:4" x14ac:dyDescent="0.25">
      <c r="A232" s="28" t="s">
        <v>385</v>
      </c>
      <c r="B232" s="28">
        <v>8.6999999999999993</v>
      </c>
      <c r="C232" s="28">
        <f t="shared" si="6"/>
        <v>0</v>
      </c>
      <c r="D232" s="32">
        <f t="shared" si="7"/>
        <v>0</v>
      </c>
    </row>
    <row r="233" spans="1:4" x14ac:dyDescent="0.25">
      <c r="A233" s="28" t="s">
        <v>386</v>
      </c>
      <c r="B233" s="28">
        <v>8.68</v>
      </c>
      <c r="C233" s="28">
        <f t="shared" si="6"/>
        <v>-1.9999999999999574</v>
      </c>
      <c r="D233" s="32">
        <f t="shared" si="7"/>
        <v>21144.989243680215</v>
      </c>
    </row>
    <row r="234" spans="1:4" x14ac:dyDescent="0.25">
      <c r="A234" s="28" t="s">
        <v>387</v>
      </c>
      <c r="B234" s="28">
        <v>8.6300000000000008</v>
      </c>
      <c r="C234" s="28">
        <f t="shared" si="6"/>
        <v>-4.9999999999998934</v>
      </c>
      <c r="D234" s="32">
        <f t="shared" si="7"/>
        <v>52862.473109200539</v>
      </c>
    </row>
    <row r="235" spans="1:4" x14ac:dyDescent="0.25">
      <c r="A235" s="28" t="s">
        <v>388</v>
      </c>
      <c r="B235" s="28">
        <v>8.6199999999999992</v>
      </c>
      <c r="C235" s="28">
        <f t="shared" si="6"/>
        <v>-1.0000000000001563</v>
      </c>
      <c r="D235" s="32">
        <f t="shared" si="7"/>
        <v>10572.494621841986</v>
      </c>
    </row>
    <row r="236" spans="1:4" x14ac:dyDescent="0.25">
      <c r="A236" s="28" t="s">
        <v>389</v>
      </c>
      <c r="B236" s="28">
        <v>8.68</v>
      </c>
      <c r="C236" s="28">
        <f t="shared" si="6"/>
        <v>6.0000000000000497</v>
      </c>
      <c r="D236" s="32">
        <f t="shared" si="7"/>
        <v>-63434.967731042525</v>
      </c>
    </row>
    <row r="237" spans="1:4" x14ac:dyDescent="0.25">
      <c r="A237" s="28" t="s">
        <v>390</v>
      </c>
      <c r="B237" s="28">
        <v>8.7100000000000009</v>
      </c>
      <c r="C237" s="28">
        <f t="shared" si="6"/>
        <v>3.0000000000001137</v>
      </c>
      <c r="D237" s="32">
        <f t="shared" si="7"/>
        <v>-31717.483865522201</v>
      </c>
    </row>
    <row r="238" spans="1:4" x14ac:dyDescent="0.25">
      <c r="A238" s="28" t="s">
        <v>391</v>
      </c>
      <c r="B238" s="28">
        <v>8.77</v>
      </c>
      <c r="C238" s="28">
        <f t="shared" si="6"/>
        <v>5.9999999999998721</v>
      </c>
      <c r="D238" s="32">
        <f t="shared" si="7"/>
        <v>-63434.967731040648</v>
      </c>
    </row>
    <row r="239" spans="1:4" x14ac:dyDescent="0.25">
      <c r="A239" s="28" t="s">
        <v>392</v>
      </c>
      <c r="B239" s="28">
        <v>8.82</v>
      </c>
      <c r="C239" s="28">
        <f t="shared" si="6"/>
        <v>5.0000000000000711</v>
      </c>
      <c r="D239" s="32">
        <f t="shared" si="7"/>
        <v>-52862.473109202416</v>
      </c>
    </row>
    <row r="240" spans="1:4" x14ac:dyDescent="0.25">
      <c r="A240" s="28" t="s">
        <v>393</v>
      </c>
      <c r="B240" s="28">
        <v>8.86</v>
      </c>
      <c r="C240" s="28">
        <f t="shared" si="6"/>
        <v>3.9999999999999147</v>
      </c>
      <c r="D240" s="32">
        <f t="shared" si="7"/>
        <v>-42289.978487360429</v>
      </c>
    </row>
    <row r="241" spans="1:4" x14ac:dyDescent="0.25">
      <c r="A241" s="28" t="s">
        <v>394</v>
      </c>
      <c r="B241" s="28">
        <v>8.76</v>
      </c>
      <c r="C241" s="28">
        <f t="shared" si="6"/>
        <v>-9.9999999999999645</v>
      </c>
      <c r="D241" s="32">
        <f t="shared" si="7"/>
        <v>105724.94621840295</v>
      </c>
    </row>
    <row r="242" spans="1:4" x14ac:dyDescent="0.25">
      <c r="A242" s="28" t="s">
        <v>395</v>
      </c>
      <c r="B242" s="28">
        <v>8.76</v>
      </c>
      <c r="C242" s="28">
        <f t="shared" si="6"/>
        <v>0</v>
      </c>
      <c r="D242" s="32">
        <f t="shared" si="7"/>
        <v>0</v>
      </c>
    </row>
    <row r="243" spans="1:4" x14ac:dyDescent="0.25">
      <c r="A243" s="28" t="s">
        <v>396</v>
      </c>
      <c r="B243" s="28">
        <v>8.76</v>
      </c>
      <c r="C243" s="28">
        <f t="shared" si="6"/>
        <v>0</v>
      </c>
      <c r="D243" s="32">
        <f t="shared" si="7"/>
        <v>0</v>
      </c>
    </row>
    <row r="244" spans="1:4" x14ac:dyDescent="0.25">
      <c r="A244" s="28" t="s">
        <v>397</v>
      </c>
      <c r="B244" s="28">
        <v>8.7799999999999994</v>
      </c>
      <c r="C244" s="28">
        <f t="shared" si="6"/>
        <v>1.9999999999999574</v>
      </c>
      <c r="D244" s="32">
        <f t="shared" si="7"/>
        <v>-21144.989243680215</v>
      </c>
    </row>
    <row r="245" spans="1:4" x14ac:dyDescent="0.25">
      <c r="A245" s="28" t="s">
        <v>398</v>
      </c>
      <c r="B245" s="28">
        <v>8.8000000000000007</v>
      </c>
      <c r="C245" s="28">
        <f t="shared" si="6"/>
        <v>2.000000000000135</v>
      </c>
      <c r="D245" s="32">
        <f t="shared" si="7"/>
        <v>-21144.989243682092</v>
      </c>
    </row>
    <row r="246" spans="1:4" x14ac:dyDescent="0.25">
      <c r="A246" s="28" t="s">
        <v>399</v>
      </c>
      <c r="B246" s="28">
        <v>8.77</v>
      </c>
      <c r="C246" s="28">
        <f t="shared" si="6"/>
        <v>-3.0000000000001137</v>
      </c>
      <c r="D246" s="32">
        <f t="shared" si="7"/>
        <v>31717.483865522201</v>
      </c>
    </row>
    <row r="247" spans="1:4" x14ac:dyDescent="0.25">
      <c r="A247" s="28" t="s">
        <v>400</v>
      </c>
      <c r="B247" s="28">
        <v>8.7899999999999991</v>
      </c>
      <c r="C247" s="28">
        <f t="shared" si="6"/>
        <v>1.9999999999999574</v>
      </c>
      <c r="D247" s="32">
        <f t="shared" si="7"/>
        <v>-21144.989243680215</v>
      </c>
    </row>
    <row r="248" spans="1:4" x14ac:dyDescent="0.25">
      <c r="A248" s="28" t="s">
        <v>401</v>
      </c>
      <c r="B248" s="28">
        <v>8.7899999999999991</v>
      </c>
      <c r="C248" s="28">
        <f t="shared" si="6"/>
        <v>0</v>
      </c>
      <c r="D248" s="32">
        <f t="shared" si="7"/>
        <v>0</v>
      </c>
    </row>
    <row r="249" spans="1:4" x14ac:dyDescent="0.25">
      <c r="A249" s="28" t="s">
        <v>402</v>
      </c>
      <c r="B249" s="28">
        <v>8.76</v>
      </c>
      <c r="C249" s="28">
        <f t="shared" si="6"/>
        <v>-2.9999999999999361</v>
      </c>
      <c r="D249" s="32">
        <f t="shared" si="7"/>
        <v>31717.483865520324</v>
      </c>
    </row>
    <row r="250" spans="1:4" x14ac:dyDescent="0.25">
      <c r="A250" s="28" t="s">
        <v>403</v>
      </c>
      <c r="B250" s="28">
        <v>8.73</v>
      </c>
      <c r="C250" s="28">
        <f t="shared" si="6"/>
        <v>-2.9999999999999361</v>
      </c>
      <c r="D250" s="32">
        <f t="shared" si="7"/>
        <v>31717.483865520324</v>
      </c>
    </row>
    <row r="251" spans="1:4" x14ac:dyDescent="0.25">
      <c r="A251" s="28" t="s">
        <v>404</v>
      </c>
      <c r="B251" s="28">
        <v>8.68</v>
      </c>
      <c r="C251" s="28">
        <f t="shared" si="6"/>
        <v>-5.0000000000000711</v>
      </c>
      <c r="D251" s="32">
        <f t="shared" si="7"/>
        <v>52862.473109202416</v>
      </c>
    </row>
    <row r="252" spans="1:4" x14ac:dyDescent="0.25">
      <c r="A252" s="28" t="s">
        <v>405</v>
      </c>
      <c r="B252" s="28">
        <v>8.68</v>
      </c>
      <c r="C252" s="28">
        <f t="shared" si="6"/>
        <v>0</v>
      </c>
      <c r="D252" s="32">
        <f t="shared" si="7"/>
        <v>0</v>
      </c>
    </row>
    <row r="253" spans="1:4" x14ac:dyDescent="0.25">
      <c r="A253" s="28" t="s">
        <v>406</v>
      </c>
      <c r="B253" s="28">
        <v>8.68</v>
      </c>
      <c r="C253" s="28">
        <f t="shared" si="6"/>
        <v>0</v>
      </c>
      <c r="D253" s="32">
        <f t="shared" si="7"/>
        <v>0</v>
      </c>
    </row>
    <row r="254" spans="1:4" x14ac:dyDescent="0.25">
      <c r="A254" s="28" t="s">
        <v>407</v>
      </c>
      <c r="B254" s="28">
        <v>8.6199999999999992</v>
      </c>
      <c r="C254" s="28">
        <f t="shared" si="6"/>
        <v>-6.0000000000000497</v>
      </c>
      <c r="D254" s="32">
        <f t="shared" si="7"/>
        <v>63434.967731042525</v>
      </c>
    </row>
    <row r="255" spans="1:4" x14ac:dyDescent="0.25">
      <c r="A255" s="28" t="s">
        <v>408</v>
      </c>
      <c r="B255" s="28">
        <v>8.52</v>
      </c>
      <c r="C255" s="28">
        <f t="shared" si="6"/>
        <v>-9.9999999999999645</v>
      </c>
      <c r="D255" s="32">
        <f t="shared" si="7"/>
        <v>105724.94621840295</v>
      </c>
    </row>
    <row r="256" spans="1:4" x14ac:dyDescent="0.25">
      <c r="A256" s="28" t="s">
        <v>409</v>
      </c>
      <c r="B256" s="28">
        <v>8.49</v>
      </c>
      <c r="C256" s="28">
        <f t="shared" si="6"/>
        <v>-2.9999999999999361</v>
      </c>
      <c r="D256" s="32">
        <f t="shared" si="7"/>
        <v>31717.483865520324</v>
      </c>
    </row>
    <row r="257" spans="1:4" x14ac:dyDescent="0.25">
      <c r="A257" s="28" t="s">
        <v>410</v>
      </c>
      <c r="B257" s="28">
        <v>8.5399999999999991</v>
      </c>
      <c r="C257" s="28">
        <f t="shared" si="6"/>
        <v>4.9999999999998934</v>
      </c>
      <c r="D257" s="32">
        <f t="shared" si="7"/>
        <v>-52862.473109200539</v>
      </c>
    </row>
    <row r="258" spans="1:4" x14ac:dyDescent="0.25">
      <c r="A258" s="28" t="s">
        <v>411</v>
      </c>
      <c r="B258" s="28">
        <v>8.58</v>
      </c>
      <c r="C258" s="28">
        <f t="shared" si="6"/>
        <v>4.0000000000000924</v>
      </c>
      <c r="D258" s="32">
        <f t="shared" si="7"/>
        <v>-42289.978487362307</v>
      </c>
    </row>
    <row r="259" spans="1:4" x14ac:dyDescent="0.25">
      <c r="A259" s="28" t="s">
        <v>412</v>
      </c>
      <c r="B259" s="28">
        <v>8.6300000000000008</v>
      </c>
      <c r="C259" s="28">
        <f t="shared" ref="C259:C322" si="8">(B259-B258)*100</f>
        <v>5.0000000000000711</v>
      </c>
      <c r="D259" s="32">
        <f t="shared" ref="D259:D322" si="9">-C259*$G$8</f>
        <v>-52862.473109202416</v>
      </c>
    </row>
    <row r="260" spans="1:4" x14ac:dyDescent="0.25">
      <c r="A260" s="28" t="s">
        <v>413</v>
      </c>
      <c r="B260" s="28">
        <v>8.64</v>
      </c>
      <c r="C260" s="28">
        <f t="shared" si="8"/>
        <v>0.99999999999997868</v>
      </c>
      <c r="D260" s="32">
        <f t="shared" si="9"/>
        <v>-10572.494621840107</v>
      </c>
    </row>
    <row r="261" spans="1:4" x14ac:dyDescent="0.25">
      <c r="A261" s="28" t="s">
        <v>414</v>
      </c>
      <c r="B261" s="28">
        <v>8.6300000000000008</v>
      </c>
      <c r="C261" s="28">
        <f t="shared" si="8"/>
        <v>-0.99999999999997868</v>
      </c>
      <c r="D261" s="32">
        <f t="shared" si="9"/>
        <v>10572.494621840107</v>
      </c>
    </row>
    <row r="262" spans="1:4" x14ac:dyDescent="0.25">
      <c r="A262" s="28" t="s">
        <v>415</v>
      </c>
      <c r="B262" s="28">
        <v>8.68</v>
      </c>
      <c r="C262" s="28">
        <f t="shared" si="8"/>
        <v>4.9999999999998934</v>
      </c>
      <c r="D262" s="32">
        <f t="shared" si="9"/>
        <v>-52862.473109200539</v>
      </c>
    </row>
    <row r="263" spans="1:4" x14ac:dyDescent="0.25">
      <c r="A263" s="28" t="s">
        <v>416</v>
      </c>
      <c r="B263" s="28">
        <v>8.68</v>
      </c>
      <c r="C263" s="28">
        <f t="shared" si="8"/>
        <v>0</v>
      </c>
      <c r="D263" s="32">
        <f t="shared" si="9"/>
        <v>0</v>
      </c>
    </row>
    <row r="264" spans="1:4" x14ac:dyDescent="0.25">
      <c r="A264" s="28" t="s">
        <v>417</v>
      </c>
      <c r="B264" s="28">
        <v>8.64</v>
      </c>
      <c r="C264" s="28">
        <f t="shared" si="8"/>
        <v>-3.9999999999999147</v>
      </c>
      <c r="D264" s="32">
        <f t="shared" si="9"/>
        <v>42289.978487360429</v>
      </c>
    </row>
    <row r="265" spans="1:4" x14ac:dyDescent="0.25">
      <c r="A265" s="28" t="s">
        <v>418</v>
      </c>
      <c r="B265" s="28">
        <v>8.6</v>
      </c>
      <c r="C265" s="28">
        <f t="shared" si="8"/>
        <v>-4.0000000000000924</v>
      </c>
      <c r="D265" s="32">
        <f t="shared" si="9"/>
        <v>42289.978487362307</v>
      </c>
    </row>
    <row r="266" spans="1:4" x14ac:dyDescent="0.25">
      <c r="A266" s="28" t="s">
        <v>419</v>
      </c>
      <c r="B266" s="28">
        <v>8.64</v>
      </c>
      <c r="C266" s="28">
        <f t="shared" si="8"/>
        <v>4.0000000000000924</v>
      </c>
      <c r="D266" s="32">
        <f t="shared" si="9"/>
        <v>-42289.978487362307</v>
      </c>
    </row>
    <row r="267" spans="1:4" x14ac:dyDescent="0.25">
      <c r="A267" s="28" t="s">
        <v>420</v>
      </c>
      <c r="B267" s="28">
        <v>8.69</v>
      </c>
      <c r="C267" s="28">
        <f t="shared" si="8"/>
        <v>4.9999999999998934</v>
      </c>
      <c r="D267" s="32">
        <f t="shared" si="9"/>
        <v>-52862.473109200539</v>
      </c>
    </row>
    <row r="268" spans="1:4" x14ac:dyDescent="0.25">
      <c r="A268" s="28" t="s">
        <v>421</v>
      </c>
      <c r="B268" s="28">
        <v>8.66</v>
      </c>
      <c r="C268" s="28">
        <f t="shared" si="8"/>
        <v>-2.9999999999999361</v>
      </c>
      <c r="D268" s="32">
        <f t="shared" si="9"/>
        <v>31717.483865520324</v>
      </c>
    </row>
    <row r="269" spans="1:4" x14ac:dyDescent="0.25">
      <c r="A269" s="28" t="s">
        <v>422</v>
      </c>
      <c r="B269" s="28">
        <v>8.61</v>
      </c>
      <c r="C269" s="28">
        <f t="shared" si="8"/>
        <v>-5.0000000000000711</v>
      </c>
      <c r="D269" s="32">
        <f t="shared" si="9"/>
        <v>52862.473109202416</v>
      </c>
    </row>
    <row r="270" spans="1:4" x14ac:dyDescent="0.25">
      <c r="A270" s="28" t="s">
        <v>423</v>
      </c>
      <c r="B270" s="28">
        <v>8.56</v>
      </c>
      <c r="C270" s="28">
        <f t="shared" si="8"/>
        <v>-4.9999999999998934</v>
      </c>
      <c r="D270" s="32">
        <f t="shared" si="9"/>
        <v>52862.473109200539</v>
      </c>
    </row>
    <row r="271" spans="1:4" x14ac:dyDescent="0.25">
      <c r="A271" s="28" t="s">
        <v>424</v>
      </c>
      <c r="B271" s="28">
        <v>8.56</v>
      </c>
      <c r="C271" s="28">
        <f t="shared" si="8"/>
        <v>0</v>
      </c>
      <c r="D271" s="32">
        <f t="shared" si="9"/>
        <v>0</v>
      </c>
    </row>
    <row r="272" spans="1:4" x14ac:dyDescent="0.25">
      <c r="A272" s="28" t="s">
        <v>425</v>
      </c>
      <c r="B272" s="28">
        <v>8.59</v>
      </c>
      <c r="C272" s="28">
        <f t="shared" si="8"/>
        <v>2.9999999999999361</v>
      </c>
      <c r="D272" s="32">
        <f t="shared" si="9"/>
        <v>-31717.483865520324</v>
      </c>
    </row>
    <row r="273" spans="1:4" x14ac:dyDescent="0.25">
      <c r="A273" s="28" t="s">
        <v>426</v>
      </c>
      <c r="B273" s="28">
        <v>8.5500000000000007</v>
      </c>
      <c r="C273" s="28">
        <f t="shared" si="8"/>
        <v>-3.9999999999999147</v>
      </c>
      <c r="D273" s="32">
        <f t="shared" si="9"/>
        <v>42289.978487360429</v>
      </c>
    </row>
    <row r="274" spans="1:4" x14ac:dyDescent="0.25">
      <c r="A274" s="28" t="s">
        <v>427</v>
      </c>
      <c r="B274" s="28">
        <v>8.56</v>
      </c>
      <c r="C274" s="28">
        <f t="shared" si="8"/>
        <v>0.99999999999997868</v>
      </c>
      <c r="D274" s="32">
        <f t="shared" si="9"/>
        <v>-10572.494621840107</v>
      </c>
    </row>
    <row r="275" spans="1:4" x14ac:dyDescent="0.25">
      <c r="A275" s="28" t="s">
        <v>428</v>
      </c>
      <c r="B275" s="28">
        <v>8.5500000000000007</v>
      </c>
      <c r="C275" s="28">
        <f t="shared" si="8"/>
        <v>-0.99999999999997868</v>
      </c>
      <c r="D275" s="32">
        <f t="shared" si="9"/>
        <v>10572.494621840107</v>
      </c>
    </row>
    <row r="276" spans="1:4" x14ac:dyDescent="0.25">
      <c r="A276" s="28" t="s">
        <v>429</v>
      </c>
      <c r="B276" s="28">
        <v>8.57</v>
      </c>
      <c r="C276" s="28">
        <f t="shared" si="8"/>
        <v>1.9999999999999574</v>
      </c>
      <c r="D276" s="32">
        <f t="shared" si="9"/>
        <v>-21144.989243680215</v>
      </c>
    </row>
    <row r="277" spans="1:4" x14ac:dyDescent="0.25">
      <c r="A277" s="28" t="s">
        <v>430</v>
      </c>
      <c r="B277" s="28">
        <v>8.6</v>
      </c>
      <c r="C277" s="28">
        <f t="shared" si="8"/>
        <v>2.9999999999999361</v>
      </c>
      <c r="D277" s="32">
        <f t="shared" si="9"/>
        <v>-31717.483865520324</v>
      </c>
    </row>
    <row r="278" spans="1:4" x14ac:dyDescent="0.25">
      <c r="A278" s="28" t="s">
        <v>431</v>
      </c>
      <c r="B278" s="28">
        <v>8.6</v>
      </c>
      <c r="C278" s="28">
        <f t="shared" si="8"/>
        <v>0</v>
      </c>
      <c r="D278" s="32">
        <f t="shared" si="9"/>
        <v>0</v>
      </c>
    </row>
    <row r="279" spans="1:4" x14ac:dyDescent="0.25">
      <c r="A279" s="28" t="s">
        <v>432</v>
      </c>
      <c r="B279" s="28">
        <v>8.58</v>
      </c>
      <c r="C279" s="28">
        <f t="shared" si="8"/>
        <v>-1.9999999999999574</v>
      </c>
      <c r="D279" s="32">
        <f t="shared" si="9"/>
        <v>21144.989243680215</v>
      </c>
    </row>
    <row r="280" spans="1:4" x14ac:dyDescent="0.25">
      <c r="A280" s="28" t="s">
        <v>433</v>
      </c>
      <c r="B280" s="28">
        <v>8.5299999999999994</v>
      </c>
      <c r="C280" s="28">
        <f t="shared" si="8"/>
        <v>-5.0000000000000711</v>
      </c>
      <c r="D280" s="32">
        <f t="shared" si="9"/>
        <v>52862.473109202416</v>
      </c>
    </row>
    <row r="281" spans="1:4" x14ac:dyDescent="0.25">
      <c r="A281" s="28" t="s">
        <v>434</v>
      </c>
      <c r="B281" s="28">
        <v>8.5399999999999991</v>
      </c>
      <c r="C281" s="28">
        <f t="shared" si="8"/>
        <v>0.99999999999997868</v>
      </c>
      <c r="D281" s="32">
        <f t="shared" si="9"/>
        <v>-10572.494621840107</v>
      </c>
    </row>
    <row r="282" spans="1:4" x14ac:dyDescent="0.25">
      <c r="A282" s="28" t="s">
        <v>435</v>
      </c>
      <c r="B282" s="28">
        <v>8.58</v>
      </c>
      <c r="C282" s="28">
        <f t="shared" si="8"/>
        <v>4.0000000000000924</v>
      </c>
      <c r="D282" s="32">
        <f t="shared" si="9"/>
        <v>-42289.978487362307</v>
      </c>
    </row>
    <row r="283" spans="1:4" x14ac:dyDescent="0.25">
      <c r="A283" s="28" t="s">
        <v>436</v>
      </c>
      <c r="B283" s="28">
        <v>8.57</v>
      </c>
      <c r="C283" s="28">
        <f t="shared" si="8"/>
        <v>-0.99999999999997868</v>
      </c>
      <c r="D283" s="32">
        <f t="shared" si="9"/>
        <v>10572.494621840107</v>
      </c>
    </row>
    <row r="284" spans="1:4" x14ac:dyDescent="0.25">
      <c r="A284" s="28" t="s">
        <v>437</v>
      </c>
      <c r="B284" s="28">
        <v>8.61</v>
      </c>
      <c r="C284" s="28">
        <f t="shared" si="8"/>
        <v>3.9999999999999147</v>
      </c>
      <c r="D284" s="32">
        <f t="shared" si="9"/>
        <v>-42289.978487360429</v>
      </c>
    </row>
    <row r="285" spans="1:4" x14ac:dyDescent="0.25">
      <c r="A285" s="28" t="s">
        <v>438</v>
      </c>
      <c r="B285" s="28">
        <v>8.6</v>
      </c>
      <c r="C285" s="28">
        <f t="shared" si="8"/>
        <v>-0.99999999999997868</v>
      </c>
      <c r="D285" s="32">
        <f t="shared" si="9"/>
        <v>10572.494621840107</v>
      </c>
    </row>
    <row r="286" spans="1:4" x14ac:dyDescent="0.25">
      <c r="A286" s="28" t="s">
        <v>439</v>
      </c>
      <c r="B286" s="28">
        <v>8.6199999999999992</v>
      </c>
      <c r="C286" s="28">
        <f t="shared" si="8"/>
        <v>1.9999999999999574</v>
      </c>
      <c r="D286" s="32">
        <f t="shared" si="9"/>
        <v>-21144.989243680215</v>
      </c>
    </row>
    <row r="287" spans="1:4" x14ac:dyDescent="0.25">
      <c r="A287" s="28" t="s">
        <v>440</v>
      </c>
      <c r="B287" s="28">
        <v>8.6300000000000008</v>
      </c>
      <c r="C287" s="28">
        <f t="shared" si="8"/>
        <v>1.0000000000001563</v>
      </c>
      <c r="D287" s="32">
        <f t="shared" si="9"/>
        <v>-10572.494621841986</v>
      </c>
    </row>
    <row r="288" spans="1:4" x14ac:dyDescent="0.25">
      <c r="A288" s="28" t="s">
        <v>441</v>
      </c>
      <c r="B288" s="28">
        <v>8.6300000000000008</v>
      </c>
      <c r="C288" s="28">
        <f t="shared" si="8"/>
        <v>0</v>
      </c>
      <c r="D288" s="32">
        <f t="shared" si="9"/>
        <v>0</v>
      </c>
    </row>
    <row r="289" spans="1:4" x14ac:dyDescent="0.25">
      <c r="A289" s="28" t="s">
        <v>442</v>
      </c>
      <c r="B289" s="28">
        <v>8.6300000000000008</v>
      </c>
      <c r="C289" s="28">
        <f t="shared" si="8"/>
        <v>0</v>
      </c>
      <c r="D289" s="32">
        <f t="shared" si="9"/>
        <v>0</v>
      </c>
    </row>
    <row r="290" spans="1:4" x14ac:dyDescent="0.25">
      <c r="A290" s="28" t="s">
        <v>443</v>
      </c>
      <c r="B290" s="28">
        <v>8.6300000000000008</v>
      </c>
      <c r="C290" s="28">
        <f t="shared" si="8"/>
        <v>0</v>
      </c>
      <c r="D290" s="32">
        <f t="shared" si="9"/>
        <v>0</v>
      </c>
    </row>
    <row r="291" spans="1:4" x14ac:dyDescent="0.25">
      <c r="A291" s="28" t="s">
        <v>444</v>
      </c>
      <c r="B291" s="28">
        <v>8.68</v>
      </c>
      <c r="C291" s="28">
        <f t="shared" si="8"/>
        <v>4.9999999999998934</v>
      </c>
      <c r="D291" s="32">
        <f t="shared" si="9"/>
        <v>-52862.473109200539</v>
      </c>
    </row>
    <row r="292" spans="1:4" x14ac:dyDescent="0.25">
      <c r="A292" s="28" t="s">
        <v>445</v>
      </c>
      <c r="B292" s="28">
        <v>8.7100000000000009</v>
      </c>
      <c r="C292" s="28">
        <f t="shared" si="8"/>
        <v>3.0000000000001137</v>
      </c>
      <c r="D292" s="32">
        <f t="shared" si="9"/>
        <v>-31717.483865522201</v>
      </c>
    </row>
    <row r="293" spans="1:4" x14ac:dyDescent="0.25">
      <c r="A293" s="28" t="s">
        <v>446</v>
      </c>
      <c r="B293" s="28">
        <v>8.6999999999999993</v>
      </c>
      <c r="C293" s="28">
        <f t="shared" si="8"/>
        <v>-1.0000000000001563</v>
      </c>
      <c r="D293" s="32">
        <f t="shared" si="9"/>
        <v>10572.494621841986</v>
      </c>
    </row>
    <row r="294" spans="1:4" x14ac:dyDescent="0.25">
      <c r="A294" s="28" t="s">
        <v>447</v>
      </c>
      <c r="B294" s="28">
        <v>8.6300000000000008</v>
      </c>
      <c r="C294" s="28">
        <f t="shared" si="8"/>
        <v>-6.9999999999998508</v>
      </c>
      <c r="D294" s="32">
        <f t="shared" si="9"/>
        <v>74007.462352880757</v>
      </c>
    </row>
    <row r="295" spans="1:4" x14ac:dyDescent="0.25">
      <c r="A295" s="28" t="s">
        <v>448</v>
      </c>
      <c r="B295" s="28">
        <v>8.61</v>
      </c>
      <c r="C295" s="28">
        <f t="shared" si="8"/>
        <v>-2.000000000000135</v>
      </c>
      <c r="D295" s="32">
        <f t="shared" si="9"/>
        <v>21144.989243682092</v>
      </c>
    </row>
    <row r="296" spans="1:4" x14ac:dyDescent="0.25">
      <c r="A296" s="28" t="s">
        <v>449</v>
      </c>
      <c r="B296" s="28">
        <v>8.57</v>
      </c>
      <c r="C296" s="28">
        <f t="shared" si="8"/>
        <v>-3.9999999999999147</v>
      </c>
      <c r="D296" s="32">
        <f t="shared" si="9"/>
        <v>42289.978487360429</v>
      </c>
    </row>
    <row r="297" spans="1:4" x14ac:dyDescent="0.25">
      <c r="A297" s="28" t="s">
        <v>450</v>
      </c>
      <c r="B297" s="28">
        <v>8.48</v>
      </c>
      <c r="C297" s="28">
        <f t="shared" si="8"/>
        <v>-8.9999999999999858</v>
      </c>
      <c r="D297" s="32">
        <f t="shared" si="9"/>
        <v>95152.451596562853</v>
      </c>
    </row>
    <row r="298" spans="1:4" x14ac:dyDescent="0.25">
      <c r="A298" s="28" t="s">
        <v>451</v>
      </c>
      <c r="B298" s="28">
        <v>8.4499999999999993</v>
      </c>
      <c r="C298" s="28">
        <f t="shared" si="8"/>
        <v>-3.0000000000001137</v>
      </c>
      <c r="D298" s="32">
        <f t="shared" si="9"/>
        <v>31717.483865522201</v>
      </c>
    </row>
    <row r="299" spans="1:4" x14ac:dyDescent="0.25">
      <c r="A299" s="28" t="s">
        <v>452</v>
      </c>
      <c r="B299" s="28">
        <v>8.4499999999999993</v>
      </c>
      <c r="C299" s="28">
        <f t="shared" si="8"/>
        <v>0</v>
      </c>
      <c r="D299" s="32">
        <f t="shared" si="9"/>
        <v>0</v>
      </c>
    </row>
    <row r="300" spans="1:4" x14ac:dyDescent="0.25">
      <c r="A300" s="28" t="s">
        <v>453</v>
      </c>
      <c r="B300" s="28">
        <v>8.42</v>
      </c>
      <c r="C300" s="28">
        <f t="shared" si="8"/>
        <v>-2.9999999999999361</v>
      </c>
      <c r="D300" s="32">
        <f t="shared" si="9"/>
        <v>31717.483865520324</v>
      </c>
    </row>
    <row r="301" spans="1:4" x14ac:dyDescent="0.25">
      <c r="A301" s="28" t="s">
        <v>454</v>
      </c>
      <c r="B301" s="28">
        <v>8.3800000000000008</v>
      </c>
      <c r="C301" s="28">
        <f t="shared" si="8"/>
        <v>-3.9999999999999147</v>
      </c>
      <c r="D301" s="32">
        <f t="shared" si="9"/>
        <v>42289.978487360429</v>
      </c>
    </row>
    <row r="302" spans="1:4" x14ac:dyDescent="0.25">
      <c r="A302" s="28" t="s">
        <v>455</v>
      </c>
      <c r="B302" s="28">
        <v>8.43</v>
      </c>
      <c r="C302" s="28">
        <f t="shared" si="8"/>
        <v>4.9999999999998934</v>
      </c>
      <c r="D302" s="32">
        <f t="shared" si="9"/>
        <v>-52862.473109200539</v>
      </c>
    </row>
    <row r="303" spans="1:4" x14ac:dyDescent="0.25">
      <c r="A303" s="28" t="s">
        <v>456</v>
      </c>
      <c r="B303" s="28">
        <v>8.4</v>
      </c>
      <c r="C303" s="28">
        <f t="shared" si="8"/>
        <v>-2.9999999999999361</v>
      </c>
      <c r="D303" s="32">
        <f t="shared" si="9"/>
        <v>31717.483865520324</v>
      </c>
    </row>
    <row r="304" spans="1:4" x14ac:dyDescent="0.25">
      <c r="A304" s="28" t="s">
        <v>457</v>
      </c>
      <c r="B304" s="28">
        <v>8.34</v>
      </c>
      <c r="C304" s="28">
        <f t="shared" si="8"/>
        <v>-6.0000000000000497</v>
      </c>
      <c r="D304" s="32">
        <f t="shared" si="9"/>
        <v>63434.967731042525</v>
      </c>
    </row>
    <row r="305" spans="1:4" x14ac:dyDescent="0.25">
      <c r="A305" s="28" t="s">
        <v>458</v>
      </c>
      <c r="B305" s="28">
        <v>8.32</v>
      </c>
      <c r="C305" s="28">
        <f t="shared" si="8"/>
        <v>-1.9999999999999574</v>
      </c>
      <c r="D305" s="32">
        <f t="shared" si="9"/>
        <v>21144.989243680215</v>
      </c>
    </row>
    <row r="306" spans="1:4" x14ac:dyDescent="0.25">
      <c r="A306" s="28" t="s">
        <v>459</v>
      </c>
      <c r="B306" s="28">
        <v>8.35</v>
      </c>
      <c r="C306" s="28">
        <f t="shared" si="8"/>
        <v>2.9999999999999361</v>
      </c>
      <c r="D306" s="32">
        <f t="shared" si="9"/>
        <v>-31717.483865520324</v>
      </c>
    </row>
    <row r="307" spans="1:4" x14ac:dyDescent="0.25">
      <c r="A307" s="28" t="s">
        <v>460</v>
      </c>
      <c r="B307" s="28">
        <v>8.3800000000000008</v>
      </c>
      <c r="C307" s="28">
        <f t="shared" si="8"/>
        <v>3.0000000000001137</v>
      </c>
      <c r="D307" s="32">
        <f t="shared" si="9"/>
        <v>-31717.483865522201</v>
      </c>
    </row>
    <row r="308" spans="1:4" x14ac:dyDescent="0.25">
      <c r="A308" s="28" t="s">
        <v>461</v>
      </c>
      <c r="B308" s="28">
        <v>8.3699999999999992</v>
      </c>
      <c r="C308" s="28">
        <f t="shared" si="8"/>
        <v>-1.0000000000001563</v>
      </c>
      <c r="D308" s="32">
        <f t="shared" si="9"/>
        <v>10572.494621841986</v>
      </c>
    </row>
    <row r="309" spans="1:4" x14ac:dyDescent="0.25">
      <c r="A309" s="28" t="s">
        <v>462</v>
      </c>
      <c r="B309" s="28">
        <v>8.3699999999999992</v>
      </c>
      <c r="C309" s="28">
        <f t="shared" si="8"/>
        <v>0</v>
      </c>
      <c r="D309" s="32">
        <f t="shared" si="9"/>
        <v>0</v>
      </c>
    </row>
    <row r="310" spans="1:4" x14ac:dyDescent="0.25">
      <c r="A310" s="28" t="s">
        <v>463</v>
      </c>
      <c r="B310" s="28">
        <v>8.39</v>
      </c>
      <c r="C310" s="28">
        <f t="shared" si="8"/>
        <v>2.000000000000135</v>
      </c>
      <c r="D310" s="32">
        <f t="shared" si="9"/>
        <v>-21144.989243682092</v>
      </c>
    </row>
    <row r="311" spans="1:4" x14ac:dyDescent="0.25">
      <c r="A311" s="28" t="s">
        <v>464</v>
      </c>
      <c r="B311" s="28">
        <v>8.4</v>
      </c>
      <c r="C311" s="28">
        <f t="shared" si="8"/>
        <v>0.99999999999997868</v>
      </c>
      <c r="D311" s="32">
        <f t="shared" si="9"/>
        <v>-10572.494621840107</v>
      </c>
    </row>
    <row r="312" spans="1:4" x14ac:dyDescent="0.25">
      <c r="A312" s="28" t="s">
        <v>465</v>
      </c>
      <c r="B312" s="28">
        <v>8.2899999999999991</v>
      </c>
      <c r="C312" s="28">
        <f t="shared" si="8"/>
        <v>-11.000000000000121</v>
      </c>
      <c r="D312" s="32">
        <f t="shared" si="9"/>
        <v>116297.44084024493</v>
      </c>
    </row>
    <row r="313" spans="1:4" x14ac:dyDescent="0.25">
      <c r="A313" s="28" t="s">
        <v>466</v>
      </c>
      <c r="B313" s="28">
        <v>8.2799999999999994</v>
      </c>
      <c r="C313" s="28">
        <f t="shared" si="8"/>
        <v>-0.99999999999997868</v>
      </c>
      <c r="D313" s="32">
        <f t="shared" si="9"/>
        <v>10572.494621840107</v>
      </c>
    </row>
    <row r="314" spans="1:4" x14ac:dyDescent="0.25">
      <c r="A314" s="28" t="s">
        <v>467</v>
      </c>
      <c r="B314" s="28">
        <v>8.26</v>
      </c>
      <c r="C314" s="28">
        <f t="shared" si="8"/>
        <v>-1.9999999999999574</v>
      </c>
      <c r="D314" s="32">
        <f t="shared" si="9"/>
        <v>21144.989243680215</v>
      </c>
    </row>
    <row r="315" spans="1:4" x14ac:dyDescent="0.25">
      <c r="A315" s="28" t="s">
        <v>468</v>
      </c>
      <c r="B315" s="28">
        <v>8.25</v>
      </c>
      <c r="C315" s="28">
        <f t="shared" si="8"/>
        <v>-0.99999999999997868</v>
      </c>
      <c r="D315" s="32">
        <f t="shared" si="9"/>
        <v>10572.494621840107</v>
      </c>
    </row>
    <row r="316" spans="1:4" x14ac:dyDescent="0.25">
      <c r="A316" s="28" t="s">
        <v>469</v>
      </c>
      <c r="B316" s="28">
        <v>8.2100000000000009</v>
      </c>
      <c r="C316" s="28">
        <f t="shared" si="8"/>
        <v>-3.9999999999999147</v>
      </c>
      <c r="D316" s="32">
        <f t="shared" si="9"/>
        <v>42289.978487360429</v>
      </c>
    </row>
    <row r="317" spans="1:4" x14ac:dyDescent="0.25">
      <c r="A317" s="28" t="s">
        <v>470</v>
      </c>
      <c r="B317" s="28">
        <v>8.23</v>
      </c>
      <c r="C317" s="28">
        <f t="shared" si="8"/>
        <v>1.9999999999999574</v>
      </c>
      <c r="D317" s="32">
        <f t="shared" si="9"/>
        <v>-21144.989243680215</v>
      </c>
    </row>
    <row r="318" spans="1:4" x14ac:dyDescent="0.25">
      <c r="A318" s="28" t="s">
        <v>471</v>
      </c>
      <c r="B318" s="28">
        <v>8.2200000000000006</v>
      </c>
      <c r="C318" s="28">
        <f t="shared" si="8"/>
        <v>-0.99999999999997868</v>
      </c>
      <c r="D318" s="32">
        <f t="shared" si="9"/>
        <v>10572.494621840107</v>
      </c>
    </row>
    <row r="319" spans="1:4" x14ac:dyDescent="0.25">
      <c r="A319" s="28" t="s">
        <v>472</v>
      </c>
      <c r="B319" s="28">
        <v>8.24</v>
      </c>
      <c r="C319" s="28">
        <f t="shared" si="8"/>
        <v>1.9999999999999574</v>
      </c>
      <c r="D319" s="32">
        <f t="shared" si="9"/>
        <v>-21144.989243680215</v>
      </c>
    </row>
    <row r="320" spans="1:4" x14ac:dyDescent="0.25">
      <c r="A320" s="28" t="s">
        <v>473</v>
      </c>
      <c r="B320" s="28">
        <v>8.23</v>
      </c>
      <c r="C320" s="28">
        <f t="shared" si="8"/>
        <v>-0.99999999999997868</v>
      </c>
      <c r="D320" s="32">
        <f t="shared" si="9"/>
        <v>10572.494621840107</v>
      </c>
    </row>
    <row r="321" spans="1:4" x14ac:dyDescent="0.25">
      <c r="A321" s="28" t="s">
        <v>474</v>
      </c>
      <c r="B321" s="28">
        <v>8.19</v>
      </c>
      <c r="C321" s="28">
        <f t="shared" si="8"/>
        <v>-4.0000000000000924</v>
      </c>
      <c r="D321" s="32">
        <f t="shared" si="9"/>
        <v>42289.978487362307</v>
      </c>
    </row>
    <row r="322" spans="1:4" x14ac:dyDescent="0.25">
      <c r="A322" s="28" t="s">
        <v>475</v>
      </c>
      <c r="B322" s="28">
        <v>8.1300000000000008</v>
      </c>
      <c r="C322" s="28">
        <f t="shared" si="8"/>
        <v>-5.9999999999998721</v>
      </c>
      <c r="D322" s="32">
        <f t="shared" si="9"/>
        <v>63434.967731040648</v>
      </c>
    </row>
    <row r="323" spans="1:4" x14ac:dyDescent="0.25">
      <c r="A323" s="28" t="s">
        <v>476</v>
      </c>
      <c r="B323" s="28">
        <v>8.14</v>
      </c>
      <c r="C323" s="28">
        <f t="shared" ref="C323:C386" si="10">(B323-B322)*100</f>
        <v>0.99999999999997868</v>
      </c>
      <c r="D323" s="32">
        <f t="shared" ref="D323:D386" si="11">-C323*$G$8</f>
        <v>-10572.494621840107</v>
      </c>
    </row>
    <row r="324" spans="1:4" x14ac:dyDescent="0.25">
      <c r="A324" s="28" t="s">
        <v>477</v>
      </c>
      <c r="B324" s="28">
        <v>8.15</v>
      </c>
      <c r="C324" s="28">
        <f t="shared" si="10"/>
        <v>0.99999999999997868</v>
      </c>
      <c r="D324" s="32">
        <f t="shared" si="11"/>
        <v>-10572.494621840107</v>
      </c>
    </row>
    <row r="325" spans="1:4" x14ac:dyDescent="0.25">
      <c r="A325" s="28" t="s">
        <v>478</v>
      </c>
      <c r="B325" s="28">
        <v>8.09</v>
      </c>
      <c r="C325" s="28">
        <f t="shared" si="10"/>
        <v>-6.0000000000000497</v>
      </c>
      <c r="D325" s="32">
        <f t="shared" si="11"/>
        <v>63434.967731042525</v>
      </c>
    </row>
    <row r="326" spans="1:4" x14ac:dyDescent="0.25">
      <c r="A326" s="28" t="s">
        <v>479</v>
      </c>
      <c r="B326" s="28">
        <v>8.06</v>
      </c>
      <c r="C326" s="28">
        <f t="shared" si="10"/>
        <v>-2.9999999999999361</v>
      </c>
      <c r="D326" s="32">
        <f t="shared" si="11"/>
        <v>31717.483865520324</v>
      </c>
    </row>
    <row r="327" spans="1:4" x14ac:dyDescent="0.25">
      <c r="A327" s="28" t="s">
        <v>480</v>
      </c>
      <c r="B327" s="28">
        <v>8.08</v>
      </c>
      <c r="C327" s="28">
        <f t="shared" si="10"/>
        <v>1.9999999999999574</v>
      </c>
      <c r="D327" s="32">
        <f t="shared" si="11"/>
        <v>-21144.989243680215</v>
      </c>
    </row>
    <row r="328" spans="1:4" x14ac:dyDescent="0.25">
      <c r="A328" s="28" t="s">
        <v>481</v>
      </c>
      <c r="B328" s="28">
        <v>8.1</v>
      </c>
      <c r="C328" s="28">
        <f t="shared" si="10"/>
        <v>1.9999999999999574</v>
      </c>
      <c r="D328" s="32">
        <f t="shared" si="11"/>
        <v>-21144.989243680215</v>
      </c>
    </row>
    <row r="329" spans="1:4" x14ac:dyDescent="0.25">
      <c r="A329" s="28" t="s">
        <v>482</v>
      </c>
      <c r="B329" s="28">
        <v>8.11</v>
      </c>
      <c r="C329" s="28">
        <f t="shared" si="10"/>
        <v>0.99999999999997868</v>
      </c>
      <c r="D329" s="32">
        <f t="shared" si="11"/>
        <v>-10572.494621840107</v>
      </c>
    </row>
    <row r="330" spans="1:4" x14ac:dyDescent="0.25">
      <c r="A330" s="28" t="s">
        <v>483</v>
      </c>
      <c r="B330" s="28">
        <v>8.0299999999999994</v>
      </c>
      <c r="C330" s="28">
        <f t="shared" si="10"/>
        <v>-8.0000000000000071</v>
      </c>
      <c r="D330" s="32">
        <f t="shared" si="11"/>
        <v>84579.956974722736</v>
      </c>
    </row>
    <row r="331" spans="1:4" x14ac:dyDescent="0.25">
      <c r="A331" s="28" t="s">
        <v>484</v>
      </c>
      <c r="B331" s="28">
        <v>8.0399999999999991</v>
      </c>
      <c r="C331" s="28">
        <f t="shared" si="10"/>
        <v>0.99999999999997868</v>
      </c>
      <c r="D331" s="32">
        <f t="shared" si="11"/>
        <v>-10572.494621840107</v>
      </c>
    </row>
    <row r="332" spans="1:4" x14ac:dyDescent="0.25">
      <c r="A332" s="28" t="s">
        <v>485</v>
      </c>
      <c r="B332" s="28">
        <v>8</v>
      </c>
      <c r="C332" s="28">
        <f t="shared" si="10"/>
        <v>-3.9999999999999147</v>
      </c>
      <c r="D332" s="32">
        <f t="shared" si="11"/>
        <v>42289.978487360429</v>
      </c>
    </row>
    <row r="333" spans="1:4" x14ac:dyDescent="0.25">
      <c r="A333" s="28" t="s">
        <v>486</v>
      </c>
      <c r="B333" s="28">
        <v>8</v>
      </c>
      <c r="C333" s="28">
        <f t="shared" si="10"/>
        <v>0</v>
      </c>
      <c r="D333" s="32">
        <f t="shared" si="11"/>
        <v>0</v>
      </c>
    </row>
    <row r="334" spans="1:4" x14ac:dyDescent="0.25">
      <c r="A334" s="28" t="s">
        <v>487</v>
      </c>
      <c r="B334" s="28">
        <v>8</v>
      </c>
      <c r="C334" s="28">
        <f t="shared" si="10"/>
        <v>0</v>
      </c>
      <c r="D334" s="32">
        <f t="shared" si="11"/>
        <v>0</v>
      </c>
    </row>
    <row r="335" spans="1:4" x14ac:dyDescent="0.25">
      <c r="A335" s="28" t="s">
        <v>488</v>
      </c>
      <c r="B335" s="28">
        <v>8.01</v>
      </c>
      <c r="C335" s="28">
        <f t="shared" si="10"/>
        <v>0.99999999999997868</v>
      </c>
      <c r="D335" s="32">
        <f t="shared" si="11"/>
        <v>-10572.494621840107</v>
      </c>
    </row>
    <row r="336" spans="1:4" x14ac:dyDescent="0.25">
      <c r="A336" s="28" t="s">
        <v>489</v>
      </c>
      <c r="B336" s="28">
        <v>8.08</v>
      </c>
      <c r="C336" s="28">
        <f t="shared" si="10"/>
        <v>7.0000000000000284</v>
      </c>
      <c r="D336" s="32">
        <f t="shared" si="11"/>
        <v>-74007.462352882634</v>
      </c>
    </row>
    <row r="337" spans="1:4" x14ac:dyDescent="0.25">
      <c r="A337" s="28" t="s">
        <v>490</v>
      </c>
      <c r="B337" s="28">
        <v>8.06</v>
      </c>
      <c r="C337" s="28">
        <f t="shared" si="10"/>
        <v>-1.9999999999999574</v>
      </c>
      <c r="D337" s="32">
        <f t="shared" si="11"/>
        <v>21144.989243680215</v>
      </c>
    </row>
    <row r="338" spans="1:4" x14ac:dyDescent="0.25">
      <c r="A338" s="28" t="s">
        <v>491</v>
      </c>
      <c r="B338" s="28">
        <v>8.0500000000000007</v>
      </c>
      <c r="C338" s="28">
        <f t="shared" si="10"/>
        <v>-0.99999999999997868</v>
      </c>
      <c r="D338" s="32">
        <f t="shared" si="11"/>
        <v>10572.494621840107</v>
      </c>
    </row>
    <row r="339" spans="1:4" x14ac:dyDescent="0.25">
      <c r="A339" s="28" t="s">
        <v>492</v>
      </c>
      <c r="B339" s="28">
        <v>8</v>
      </c>
      <c r="C339" s="28">
        <f t="shared" si="10"/>
        <v>-5.0000000000000711</v>
      </c>
      <c r="D339" s="32">
        <f t="shared" si="11"/>
        <v>52862.473109202416</v>
      </c>
    </row>
    <row r="340" spans="1:4" x14ac:dyDescent="0.25">
      <c r="A340" s="28" t="s">
        <v>493</v>
      </c>
      <c r="B340" s="28">
        <v>8.0399999999999991</v>
      </c>
      <c r="C340" s="28">
        <f t="shared" si="10"/>
        <v>3.9999999999999147</v>
      </c>
      <c r="D340" s="32">
        <f t="shared" si="11"/>
        <v>-42289.978487360429</v>
      </c>
    </row>
    <row r="341" spans="1:4" x14ac:dyDescent="0.25">
      <c r="A341" s="28" t="s">
        <v>494</v>
      </c>
      <c r="B341" s="28">
        <v>8.0399999999999991</v>
      </c>
      <c r="C341" s="28">
        <f t="shared" si="10"/>
        <v>0</v>
      </c>
      <c r="D341" s="32">
        <f t="shared" si="11"/>
        <v>0</v>
      </c>
    </row>
    <row r="342" spans="1:4" x14ac:dyDescent="0.25">
      <c r="A342" s="28" t="s">
        <v>495</v>
      </c>
      <c r="B342" s="28">
        <v>8.0399999999999991</v>
      </c>
      <c r="C342" s="28">
        <f t="shared" si="10"/>
        <v>0</v>
      </c>
      <c r="D342" s="32">
        <f t="shared" si="11"/>
        <v>0</v>
      </c>
    </row>
    <row r="343" spans="1:4" x14ac:dyDescent="0.25">
      <c r="A343" s="28" t="s">
        <v>496</v>
      </c>
      <c r="B343" s="28">
        <v>8.0500000000000007</v>
      </c>
      <c r="C343" s="28">
        <f t="shared" si="10"/>
        <v>1.0000000000001563</v>
      </c>
      <c r="D343" s="32">
        <f t="shared" si="11"/>
        <v>-10572.494621841986</v>
      </c>
    </row>
    <row r="344" spans="1:4" x14ac:dyDescent="0.25">
      <c r="A344" s="28" t="s">
        <v>497</v>
      </c>
      <c r="B344" s="28">
        <v>8.0500000000000007</v>
      </c>
      <c r="C344" s="28">
        <f t="shared" si="10"/>
        <v>0</v>
      </c>
      <c r="D344" s="32">
        <f t="shared" si="11"/>
        <v>0</v>
      </c>
    </row>
    <row r="345" spans="1:4" x14ac:dyDescent="0.25">
      <c r="A345" s="28" t="s">
        <v>498</v>
      </c>
      <c r="B345" s="28">
        <v>8</v>
      </c>
      <c r="C345" s="28">
        <f t="shared" si="10"/>
        <v>-5.0000000000000711</v>
      </c>
      <c r="D345" s="32">
        <f t="shared" si="11"/>
        <v>52862.473109202416</v>
      </c>
    </row>
    <row r="346" spans="1:4" x14ac:dyDescent="0.25">
      <c r="A346" s="28" t="s">
        <v>499</v>
      </c>
      <c r="B346" s="28">
        <v>7.95</v>
      </c>
      <c r="C346" s="28">
        <f t="shared" si="10"/>
        <v>-4.9999999999999822</v>
      </c>
      <c r="D346" s="32">
        <f t="shared" si="11"/>
        <v>52862.473109201477</v>
      </c>
    </row>
    <row r="347" spans="1:4" x14ac:dyDescent="0.25">
      <c r="A347" s="28" t="s">
        <v>500</v>
      </c>
      <c r="B347" s="28">
        <v>7.95</v>
      </c>
      <c r="C347" s="28">
        <f t="shared" si="10"/>
        <v>0</v>
      </c>
      <c r="D347" s="32">
        <f t="shared" si="11"/>
        <v>0</v>
      </c>
    </row>
    <row r="348" spans="1:4" x14ac:dyDescent="0.25">
      <c r="A348" s="28" t="s">
        <v>501</v>
      </c>
      <c r="B348" s="28">
        <v>7.95</v>
      </c>
      <c r="C348" s="28">
        <f t="shared" si="10"/>
        <v>0</v>
      </c>
      <c r="D348" s="32">
        <f t="shared" si="11"/>
        <v>0</v>
      </c>
    </row>
    <row r="349" spans="1:4" x14ac:dyDescent="0.25">
      <c r="A349" s="28" t="s">
        <v>502</v>
      </c>
      <c r="B349" s="28">
        <v>7.9</v>
      </c>
      <c r="C349" s="28">
        <f t="shared" si="10"/>
        <v>-4.9999999999999822</v>
      </c>
      <c r="D349" s="32">
        <f t="shared" si="11"/>
        <v>52862.473109201477</v>
      </c>
    </row>
    <row r="350" spans="1:4" x14ac:dyDescent="0.25">
      <c r="A350" s="28" t="s">
        <v>503</v>
      </c>
      <c r="B350" s="28">
        <v>7.87</v>
      </c>
      <c r="C350" s="28">
        <f t="shared" si="10"/>
        <v>-3.0000000000000249</v>
      </c>
      <c r="D350" s="32">
        <f t="shared" si="11"/>
        <v>31717.483865521262</v>
      </c>
    </row>
    <row r="351" spans="1:4" x14ac:dyDescent="0.25">
      <c r="A351" s="28" t="s">
        <v>504</v>
      </c>
      <c r="B351" s="28">
        <v>7.89</v>
      </c>
      <c r="C351" s="28">
        <f t="shared" si="10"/>
        <v>1.9999999999999574</v>
      </c>
      <c r="D351" s="32">
        <f t="shared" si="11"/>
        <v>-21144.989243680215</v>
      </c>
    </row>
    <row r="352" spans="1:4" x14ac:dyDescent="0.25">
      <c r="A352" s="28" t="s">
        <v>505</v>
      </c>
      <c r="B352" s="28">
        <v>7.88</v>
      </c>
      <c r="C352" s="28">
        <f t="shared" si="10"/>
        <v>-0.99999999999997868</v>
      </c>
      <c r="D352" s="32">
        <f t="shared" si="11"/>
        <v>10572.494621840107</v>
      </c>
    </row>
    <row r="353" spans="1:4" x14ac:dyDescent="0.25">
      <c r="A353" s="28" t="s">
        <v>506</v>
      </c>
      <c r="B353" s="28">
        <v>7.85</v>
      </c>
      <c r="C353" s="28">
        <f t="shared" si="10"/>
        <v>-3.0000000000000249</v>
      </c>
      <c r="D353" s="32">
        <f t="shared" si="11"/>
        <v>31717.483865521262</v>
      </c>
    </row>
    <row r="354" spans="1:4" x14ac:dyDescent="0.25">
      <c r="A354" s="28" t="s">
        <v>507</v>
      </c>
      <c r="B354" s="28">
        <v>7.85</v>
      </c>
      <c r="C354" s="28">
        <f t="shared" si="10"/>
        <v>0</v>
      </c>
      <c r="D354" s="32">
        <f t="shared" si="11"/>
        <v>0</v>
      </c>
    </row>
    <row r="355" spans="1:4" x14ac:dyDescent="0.25">
      <c r="A355" s="28" t="s">
        <v>508</v>
      </c>
      <c r="B355" s="28">
        <v>7.87</v>
      </c>
      <c r="C355" s="28">
        <f t="shared" si="10"/>
        <v>2.0000000000000462</v>
      </c>
      <c r="D355" s="32">
        <f t="shared" si="11"/>
        <v>-21144.989243681153</v>
      </c>
    </row>
    <row r="356" spans="1:4" x14ac:dyDescent="0.25">
      <c r="A356" s="28" t="s">
        <v>509</v>
      </c>
      <c r="B356" s="28">
        <v>7.88</v>
      </c>
      <c r="C356" s="28">
        <f t="shared" si="10"/>
        <v>0.99999999999997868</v>
      </c>
      <c r="D356" s="32">
        <f t="shared" si="11"/>
        <v>-10572.494621840107</v>
      </c>
    </row>
    <row r="357" spans="1:4" x14ac:dyDescent="0.25">
      <c r="A357" s="28" t="s">
        <v>510</v>
      </c>
      <c r="B357" s="28">
        <v>7.86</v>
      </c>
      <c r="C357" s="28">
        <f t="shared" si="10"/>
        <v>-1.9999999999999574</v>
      </c>
      <c r="D357" s="32">
        <f t="shared" si="11"/>
        <v>21144.989243680215</v>
      </c>
    </row>
    <row r="358" spans="1:4" x14ac:dyDescent="0.25">
      <c r="A358" s="28" t="s">
        <v>511</v>
      </c>
      <c r="B358" s="28">
        <v>7.88</v>
      </c>
      <c r="C358" s="28">
        <f t="shared" si="10"/>
        <v>1.9999999999999574</v>
      </c>
      <c r="D358" s="32">
        <f t="shared" si="11"/>
        <v>-21144.989243680215</v>
      </c>
    </row>
    <row r="359" spans="1:4" x14ac:dyDescent="0.25">
      <c r="A359" s="28" t="s">
        <v>512</v>
      </c>
      <c r="B359" s="28">
        <v>7.91</v>
      </c>
      <c r="C359" s="28">
        <f t="shared" si="10"/>
        <v>3.0000000000000249</v>
      </c>
      <c r="D359" s="32">
        <f t="shared" si="11"/>
        <v>-31717.483865521262</v>
      </c>
    </row>
    <row r="360" spans="1:4" x14ac:dyDescent="0.25">
      <c r="A360" s="28" t="s">
        <v>513</v>
      </c>
      <c r="B360" s="28">
        <v>7.91</v>
      </c>
      <c r="C360" s="28">
        <f t="shared" si="10"/>
        <v>0</v>
      </c>
      <c r="D360" s="32">
        <f t="shared" si="11"/>
        <v>0</v>
      </c>
    </row>
    <row r="361" spans="1:4" x14ac:dyDescent="0.25">
      <c r="A361" s="28" t="s">
        <v>514</v>
      </c>
      <c r="B361" s="28">
        <v>7.94</v>
      </c>
      <c r="C361" s="28">
        <f t="shared" si="10"/>
        <v>3.0000000000000249</v>
      </c>
      <c r="D361" s="32">
        <f t="shared" si="11"/>
        <v>-31717.483865521262</v>
      </c>
    </row>
    <row r="362" spans="1:4" x14ac:dyDescent="0.25">
      <c r="A362" s="28" t="s">
        <v>515</v>
      </c>
      <c r="B362" s="28">
        <v>7.94</v>
      </c>
      <c r="C362" s="28">
        <f t="shared" si="10"/>
        <v>0</v>
      </c>
      <c r="D362" s="32">
        <f t="shared" si="11"/>
        <v>0</v>
      </c>
    </row>
    <row r="363" spans="1:4" x14ac:dyDescent="0.25">
      <c r="A363" s="28" t="s">
        <v>516</v>
      </c>
      <c r="B363" s="28">
        <v>7.97</v>
      </c>
      <c r="C363" s="28">
        <f t="shared" si="10"/>
        <v>2.9999999999999361</v>
      </c>
      <c r="D363" s="32">
        <f t="shared" si="11"/>
        <v>-31717.483865520324</v>
      </c>
    </row>
    <row r="364" spans="1:4" x14ac:dyDescent="0.25">
      <c r="A364" s="28" t="s">
        <v>517</v>
      </c>
      <c r="B364" s="28">
        <v>7.97</v>
      </c>
      <c r="C364" s="28">
        <f t="shared" si="10"/>
        <v>0</v>
      </c>
      <c r="D364" s="32">
        <f t="shared" si="11"/>
        <v>0</v>
      </c>
    </row>
    <row r="365" spans="1:4" x14ac:dyDescent="0.25">
      <c r="A365" s="28" t="s">
        <v>518</v>
      </c>
      <c r="B365" s="28">
        <v>8.06</v>
      </c>
      <c r="C365" s="28">
        <f t="shared" si="10"/>
        <v>9.0000000000000746</v>
      </c>
      <c r="D365" s="32">
        <f t="shared" si="11"/>
        <v>-95152.451596563784</v>
      </c>
    </row>
    <row r="366" spans="1:4" x14ac:dyDescent="0.25">
      <c r="A366" s="28" t="s">
        <v>519</v>
      </c>
      <c r="B366" s="28">
        <v>8.06</v>
      </c>
      <c r="C366" s="28">
        <f t="shared" si="10"/>
        <v>0</v>
      </c>
      <c r="D366" s="32">
        <f t="shared" si="11"/>
        <v>0</v>
      </c>
    </row>
    <row r="367" spans="1:4" x14ac:dyDescent="0.25">
      <c r="A367" s="28" t="s">
        <v>520</v>
      </c>
      <c r="B367" s="28">
        <v>8.07</v>
      </c>
      <c r="C367" s="28">
        <f t="shared" si="10"/>
        <v>0.99999999999997868</v>
      </c>
      <c r="D367" s="32">
        <f t="shared" si="11"/>
        <v>-10572.494621840107</v>
      </c>
    </row>
    <row r="368" spans="1:4" x14ac:dyDescent="0.25">
      <c r="A368" s="28" t="s">
        <v>521</v>
      </c>
      <c r="B368" s="28">
        <v>8.06</v>
      </c>
      <c r="C368" s="28">
        <f t="shared" si="10"/>
        <v>-0.99999999999997868</v>
      </c>
      <c r="D368" s="32">
        <f t="shared" si="11"/>
        <v>10572.494621840107</v>
      </c>
    </row>
    <row r="369" spans="1:4" x14ac:dyDescent="0.25">
      <c r="A369" s="28" t="s">
        <v>522</v>
      </c>
      <c r="B369" s="28">
        <v>8.06</v>
      </c>
      <c r="C369" s="28">
        <f t="shared" si="10"/>
        <v>0</v>
      </c>
      <c r="D369" s="32">
        <f t="shared" si="11"/>
        <v>0</v>
      </c>
    </row>
    <row r="370" spans="1:4" x14ac:dyDescent="0.25">
      <c r="A370" s="28" t="s">
        <v>523</v>
      </c>
      <c r="B370" s="28">
        <v>8.07</v>
      </c>
      <c r="C370" s="28">
        <f t="shared" si="10"/>
        <v>0.99999999999997868</v>
      </c>
      <c r="D370" s="32">
        <f t="shared" si="11"/>
        <v>-10572.494621840107</v>
      </c>
    </row>
    <row r="371" spans="1:4" x14ac:dyDescent="0.25">
      <c r="A371" s="28" t="s">
        <v>524</v>
      </c>
      <c r="B371" s="28">
        <v>8.06</v>
      </c>
      <c r="C371" s="28">
        <f t="shared" si="10"/>
        <v>-0.99999999999997868</v>
      </c>
      <c r="D371" s="32">
        <f t="shared" si="11"/>
        <v>10572.494621840107</v>
      </c>
    </row>
    <row r="372" spans="1:4" x14ac:dyDescent="0.25">
      <c r="A372" s="28" t="s">
        <v>525</v>
      </c>
      <c r="B372" s="28">
        <v>8.0500000000000007</v>
      </c>
      <c r="C372" s="28">
        <f t="shared" si="10"/>
        <v>-0.99999999999997868</v>
      </c>
      <c r="D372" s="32">
        <f t="shared" si="11"/>
        <v>10572.494621840107</v>
      </c>
    </row>
    <row r="373" spans="1:4" x14ac:dyDescent="0.25">
      <c r="A373" s="28" t="s">
        <v>526</v>
      </c>
      <c r="B373" s="28">
        <v>8.0500000000000007</v>
      </c>
      <c r="C373" s="28">
        <f t="shared" si="10"/>
        <v>0</v>
      </c>
      <c r="D373" s="32">
        <f t="shared" si="11"/>
        <v>0</v>
      </c>
    </row>
    <row r="374" spans="1:4" x14ac:dyDescent="0.25">
      <c r="A374" s="28" t="s">
        <v>527</v>
      </c>
      <c r="B374" s="28">
        <v>8.0500000000000007</v>
      </c>
      <c r="C374" s="28">
        <f t="shared" si="10"/>
        <v>0</v>
      </c>
      <c r="D374" s="32">
        <f t="shared" si="11"/>
        <v>0</v>
      </c>
    </row>
    <row r="375" spans="1:4" x14ac:dyDescent="0.25">
      <c r="A375" s="28" t="s">
        <v>528</v>
      </c>
      <c r="B375" s="28">
        <v>8.08</v>
      </c>
      <c r="C375" s="28">
        <f t="shared" si="10"/>
        <v>2.9999999999999361</v>
      </c>
      <c r="D375" s="32">
        <f t="shared" si="11"/>
        <v>-31717.483865520324</v>
      </c>
    </row>
    <row r="376" spans="1:4" x14ac:dyDescent="0.25">
      <c r="A376" s="28" t="s">
        <v>529</v>
      </c>
      <c r="B376" s="28">
        <v>8.08</v>
      </c>
      <c r="C376" s="28">
        <f t="shared" si="10"/>
        <v>0</v>
      </c>
      <c r="D376" s="32">
        <f t="shared" si="11"/>
        <v>0</v>
      </c>
    </row>
    <row r="377" spans="1:4" x14ac:dyDescent="0.25">
      <c r="A377" s="28" t="s">
        <v>530</v>
      </c>
      <c r="B377" s="28">
        <v>8.07</v>
      </c>
      <c r="C377" s="28">
        <f t="shared" si="10"/>
        <v>-0.99999999999997868</v>
      </c>
      <c r="D377" s="32">
        <f t="shared" si="11"/>
        <v>10572.494621840107</v>
      </c>
    </row>
    <row r="378" spans="1:4" x14ac:dyDescent="0.25">
      <c r="A378" s="28" t="s">
        <v>531</v>
      </c>
      <c r="B378" s="28">
        <v>8.02</v>
      </c>
      <c r="C378" s="28">
        <f t="shared" si="10"/>
        <v>-5.0000000000000711</v>
      </c>
      <c r="D378" s="32">
        <f t="shared" si="11"/>
        <v>52862.473109202416</v>
      </c>
    </row>
    <row r="379" spans="1:4" x14ac:dyDescent="0.25">
      <c r="A379" s="28" t="s">
        <v>532</v>
      </c>
      <c r="B379" s="28">
        <v>8.02</v>
      </c>
      <c r="C379" s="28">
        <f t="shared" si="10"/>
        <v>0</v>
      </c>
      <c r="D379" s="32">
        <f t="shared" si="11"/>
        <v>0</v>
      </c>
    </row>
    <row r="380" spans="1:4" x14ac:dyDescent="0.25">
      <c r="A380" s="28" t="s">
        <v>533</v>
      </c>
      <c r="B380" s="28">
        <v>8.0299999999999994</v>
      </c>
      <c r="C380" s="28">
        <f t="shared" si="10"/>
        <v>0.99999999999997868</v>
      </c>
      <c r="D380" s="32">
        <f t="shared" si="11"/>
        <v>-10572.494621840107</v>
      </c>
    </row>
    <row r="381" spans="1:4" x14ac:dyDescent="0.25">
      <c r="A381" s="28" t="s">
        <v>534</v>
      </c>
      <c r="B381" s="28">
        <v>8.01</v>
      </c>
      <c r="C381" s="28">
        <f t="shared" si="10"/>
        <v>-1.9999999999999574</v>
      </c>
      <c r="D381" s="32">
        <f t="shared" si="11"/>
        <v>21144.989243680215</v>
      </c>
    </row>
    <row r="382" spans="1:4" x14ac:dyDescent="0.25">
      <c r="A382" s="28" t="s">
        <v>535</v>
      </c>
      <c r="B382" s="28">
        <v>8</v>
      </c>
      <c r="C382" s="28">
        <f t="shared" si="10"/>
        <v>-0.99999999999997868</v>
      </c>
      <c r="D382" s="32">
        <f t="shared" si="11"/>
        <v>10572.494621840107</v>
      </c>
    </row>
    <row r="383" spans="1:4" x14ac:dyDescent="0.25">
      <c r="A383" s="28" t="s">
        <v>536</v>
      </c>
      <c r="B383" s="28">
        <v>7.99</v>
      </c>
      <c r="C383" s="28">
        <f t="shared" si="10"/>
        <v>-0.99999999999997868</v>
      </c>
      <c r="D383" s="32">
        <f t="shared" si="11"/>
        <v>10572.494621840107</v>
      </c>
    </row>
    <row r="384" spans="1:4" x14ac:dyDescent="0.25">
      <c r="A384" s="28" t="s">
        <v>537</v>
      </c>
      <c r="B384" s="28">
        <v>8.06</v>
      </c>
      <c r="C384" s="28">
        <f t="shared" si="10"/>
        <v>7.0000000000000284</v>
      </c>
      <c r="D384" s="32">
        <f t="shared" si="11"/>
        <v>-74007.462352882634</v>
      </c>
    </row>
    <row r="385" spans="1:4" x14ac:dyDescent="0.25">
      <c r="A385" s="28" t="s">
        <v>538</v>
      </c>
      <c r="B385" s="28">
        <v>8.09</v>
      </c>
      <c r="C385" s="28">
        <f t="shared" si="10"/>
        <v>2.9999999999999361</v>
      </c>
      <c r="D385" s="32">
        <f t="shared" si="11"/>
        <v>-31717.483865520324</v>
      </c>
    </row>
    <row r="386" spans="1:4" x14ac:dyDescent="0.25">
      <c r="A386" s="28" t="s">
        <v>539</v>
      </c>
      <c r="B386" s="28">
        <v>8.18</v>
      </c>
      <c r="C386" s="28">
        <f t="shared" si="10"/>
        <v>8.9999999999999858</v>
      </c>
      <c r="D386" s="32">
        <f t="shared" si="11"/>
        <v>-95152.451596562853</v>
      </c>
    </row>
    <row r="387" spans="1:4" x14ac:dyDescent="0.25">
      <c r="A387" s="28" t="s">
        <v>540</v>
      </c>
      <c r="B387" s="28">
        <v>8.32</v>
      </c>
      <c r="C387" s="28">
        <f t="shared" ref="C387:C450" si="12">(B387-B386)*100</f>
        <v>14.000000000000057</v>
      </c>
      <c r="D387" s="32">
        <f t="shared" ref="D387:D450" si="13">-C387*$G$8</f>
        <v>-148014.92470576527</v>
      </c>
    </row>
    <row r="388" spans="1:4" x14ac:dyDescent="0.25">
      <c r="A388" s="28" t="s">
        <v>541</v>
      </c>
      <c r="B388" s="28">
        <v>8.34</v>
      </c>
      <c r="C388" s="28">
        <f t="shared" si="12"/>
        <v>1.9999999999999574</v>
      </c>
      <c r="D388" s="32">
        <f t="shared" si="13"/>
        <v>-21144.989243680215</v>
      </c>
    </row>
    <row r="389" spans="1:4" x14ac:dyDescent="0.25">
      <c r="A389" s="28" t="s">
        <v>542</v>
      </c>
      <c r="B389" s="28">
        <v>8.36</v>
      </c>
      <c r="C389" s="28">
        <f t="shared" si="12"/>
        <v>1.9999999999999574</v>
      </c>
      <c r="D389" s="32">
        <f t="shared" si="13"/>
        <v>-21144.989243680215</v>
      </c>
    </row>
    <row r="390" spans="1:4" x14ac:dyDescent="0.25">
      <c r="A390" s="28" t="s">
        <v>543</v>
      </c>
      <c r="B390" s="28">
        <v>8.3699999999999992</v>
      </c>
      <c r="C390" s="28">
        <f t="shared" si="12"/>
        <v>0.99999999999997868</v>
      </c>
      <c r="D390" s="32">
        <f t="shared" si="13"/>
        <v>-10572.494621840107</v>
      </c>
    </row>
    <row r="391" spans="1:4" x14ac:dyDescent="0.25">
      <c r="A391" s="28" t="s">
        <v>544</v>
      </c>
      <c r="B391" s="28">
        <v>8.26</v>
      </c>
      <c r="C391" s="28">
        <f t="shared" si="12"/>
        <v>-10.999999999999943</v>
      </c>
      <c r="D391" s="32">
        <f t="shared" si="13"/>
        <v>116297.44084024306</v>
      </c>
    </row>
    <row r="392" spans="1:4" x14ac:dyDescent="0.25">
      <c r="A392" s="28" t="s">
        <v>545</v>
      </c>
      <c r="B392" s="28">
        <v>8.2100000000000009</v>
      </c>
      <c r="C392" s="28">
        <f t="shared" si="12"/>
        <v>-4.9999999999998934</v>
      </c>
      <c r="D392" s="32">
        <f t="shared" si="13"/>
        <v>52862.473109200539</v>
      </c>
    </row>
    <row r="393" spans="1:4" x14ac:dyDescent="0.25">
      <c r="A393" s="28" t="s">
        <v>546</v>
      </c>
      <c r="B393" s="28">
        <v>8.18</v>
      </c>
      <c r="C393" s="28">
        <f t="shared" si="12"/>
        <v>-3.0000000000001137</v>
      </c>
      <c r="D393" s="32">
        <f t="shared" si="13"/>
        <v>31717.483865522201</v>
      </c>
    </row>
    <row r="394" spans="1:4" x14ac:dyDescent="0.25">
      <c r="A394" s="28" t="s">
        <v>547</v>
      </c>
      <c r="B394" s="28">
        <v>8.23</v>
      </c>
      <c r="C394" s="28">
        <f t="shared" si="12"/>
        <v>5.0000000000000711</v>
      </c>
      <c r="D394" s="32">
        <f t="shared" si="13"/>
        <v>-52862.473109202416</v>
      </c>
    </row>
    <row r="395" spans="1:4" x14ac:dyDescent="0.25">
      <c r="A395" s="28" t="s">
        <v>548</v>
      </c>
      <c r="B395" s="28">
        <v>8.25</v>
      </c>
      <c r="C395" s="28">
        <f t="shared" si="12"/>
        <v>1.9999999999999574</v>
      </c>
      <c r="D395" s="32">
        <f t="shared" si="13"/>
        <v>-21144.989243680215</v>
      </c>
    </row>
    <row r="396" spans="1:4" x14ac:dyDescent="0.25">
      <c r="A396" s="28" t="s">
        <v>549</v>
      </c>
      <c r="B396" s="28">
        <v>8.24</v>
      </c>
      <c r="C396" s="28">
        <f t="shared" si="12"/>
        <v>-0.99999999999997868</v>
      </c>
      <c r="D396" s="32">
        <f t="shared" si="13"/>
        <v>10572.494621840107</v>
      </c>
    </row>
    <row r="397" spans="1:4" x14ac:dyDescent="0.25">
      <c r="A397" s="28" t="s">
        <v>550</v>
      </c>
      <c r="B397" s="28">
        <v>8.24</v>
      </c>
      <c r="C397" s="28">
        <f t="shared" si="12"/>
        <v>0</v>
      </c>
      <c r="D397" s="32">
        <f t="shared" si="13"/>
        <v>0</v>
      </c>
    </row>
    <row r="398" spans="1:4" x14ac:dyDescent="0.25">
      <c r="A398" s="28" t="s">
        <v>551</v>
      </c>
      <c r="B398" s="28">
        <v>8.24</v>
      </c>
      <c r="C398" s="28">
        <f t="shared" si="12"/>
        <v>0</v>
      </c>
      <c r="D398" s="32">
        <f t="shared" si="13"/>
        <v>0</v>
      </c>
    </row>
    <row r="399" spans="1:4" x14ac:dyDescent="0.25">
      <c r="A399" s="28" t="s">
        <v>552</v>
      </c>
      <c r="B399" s="28">
        <v>8.23</v>
      </c>
      <c r="C399" s="28">
        <f t="shared" si="12"/>
        <v>-0.99999999999997868</v>
      </c>
      <c r="D399" s="32">
        <f t="shared" si="13"/>
        <v>10572.494621840107</v>
      </c>
    </row>
    <row r="400" spans="1:4" x14ac:dyDescent="0.25">
      <c r="A400" s="28" t="s">
        <v>553</v>
      </c>
      <c r="B400" s="28">
        <v>8.1999999999999993</v>
      </c>
      <c r="C400" s="28">
        <f t="shared" si="12"/>
        <v>-3.0000000000001137</v>
      </c>
      <c r="D400" s="32">
        <f t="shared" si="13"/>
        <v>31717.483865522201</v>
      </c>
    </row>
    <row r="401" spans="1:4" x14ac:dyDescent="0.25">
      <c r="A401" s="28" t="s">
        <v>554</v>
      </c>
      <c r="B401" s="28">
        <v>8.16</v>
      </c>
      <c r="C401" s="28">
        <f t="shared" si="12"/>
        <v>-3.9999999999999147</v>
      </c>
      <c r="D401" s="32">
        <f t="shared" si="13"/>
        <v>42289.978487360429</v>
      </c>
    </row>
    <row r="402" spans="1:4" x14ac:dyDescent="0.25">
      <c r="A402" s="28" t="s">
        <v>555</v>
      </c>
      <c r="B402" s="28">
        <v>8.15</v>
      </c>
      <c r="C402" s="28">
        <f t="shared" si="12"/>
        <v>-0.99999999999997868</v>
      </c>
      <c r="D402" s="32">
        <f t="shared" si="13"/>
        <v>10572.494621840107</v>
      </c>
    </row>
    <row r="403" spans="1:4" x14ac:dyDescent="0.25">
      <c r="A403" s="28" t="s">
        <v>556</v>
      </c>
      <c r="B403" s="28">
        <v>8.08</v>
      </c>
      <c r="C403" s="28">
        <f t="shared" si="12"/>
        <v>-7.0000000000000284</v>
      </c>
      <c r="D403" s="32">
        <f t="shared" si="13"/>
        <v>74007.462352882634</v>
      </c>
    </row>
    <row r="404" spans="1:4" x14ac:dyDescent="0.25">
      <c r="A404" s="28" t="s">
        <v>557</v>
      </c>
      <c r="B404" s="28">
        <v>8.02</v>
      </c>
      <c r="C404" s="28">
        <f t="shared" si="12"/>
        <v>-6.0000000000000497</v>
      </c>
      <c r="D404" s="32">
        <f t="shared" si="13"/>
        <v>63434.967731042525</v>
      </c>
    </row>
    <row r="405" spans="1:4" x14ac:dyDescent="0.25">
      <c r="A405" s="28" t="s">
        <v>558</v>
      </c>
      <c r="B405" s="28">
        <v>8.01</v>
      </c>
      <c r="C405" s="28">
        <f t="shared" si="12"/>
        <v>-0.99999999999997868</v>
      </c>
      <c r="D405" s="32">
        <f t="shared" si="13"/>
        <v>10572.494621840107</v>
      </c>
    </row>
    <row r="406" spans="1:4" x14ac:dyDescent="0.25">
      <c r="A406" s="28" t="s">
        <v>559</v>
      </c>
      <c r="B406" s="28">
        <v>8.08</v>
      </c>
      <c r="C406" s="28">
        <f t="shared" si="12"/>
        <v>7.0000000000000284</v>
      </c>
      <c r="D406" s="32">
        <f t="shared" si="13"/>
        <v>-74007.462352882634</v>
      </c>
    </row>
    <row r="407" spans="1:4" x14ac:dyDescent="0.25">
      <c r="A407" s="28" t="s">
        <v>560</v>
      </c>
      <c r="B407" s="28">
        <v>8.09</v>
      </c>
      <c r="C407" s="28">
        <f t="shared" si="12"/>
        <v>0.99999999999997868</v>
      </c>
      <c r="D407" s="32">
        <f t="shared" si="13"/>
        <v>-10572.494621840107</v>
      </c>
    </row>
    <row r="408" spans="1:4" x14ac:dyDescent="0.25">
      <c r="A408" s="28" t="s">
        <v>561</v>
      </c>
      <c r="B408" s="28">
        <v>8.07</v>
      </c>
      <c r="C408" s="28">
        <f t="shared" si="12"/>
        <v>-1.9999999999999574</v>
      </c>
      <c r="D408" s="32">
        <f t="shared" si="13"/>
        <v>21144.989243680215</v>
      </c>
    </row>
    <row r="409" spans="1:4" x14ac:dyDescent="0.25">
      <c r="A409" s="28" t="s">
        <v>562</v>
      </c>
      <c r="B409" s="28">
        <v>8.06</v>
      </c>
      <c r="C409" s="28">
        <f t="shared" si="12"/>
        <v>-0.99999999999997868</v>
      </c>
      <c r="D409" s="32">
        <f t="shared" si="13"/>
        <v>10572.494621840107</v>
      </c>
    </row>
    <row r="410" spans="1:4" x14ac:dyDescent="0.25">
      <c r="A410" s="28" t="s">
        <v>563</v>
      </c>
      <c r="B410" s="28">
        <v>8.08</v>
      </c>
      <c r="C410" s="28">
        <f t="shared" si="12"/>
        <v>1.9999999999999574</v>
      </c>
      <c r="D410" s="32">
        <f t="shared" si="13"/>
        <v>-21144.989243680215</v>
      </c>
    </row>
    <row r="411" spans="1:4" x14ac:dyDescent="0.25">
      <c r="A411" s="28" t="s">
        <v>564</v>
      </c>
      <c r="B411" s="28">
        <v>8.1</v>
      </c>
      <c r="C411" s="28">
        <f t="shared" si="12"/>
        <v>1.9999999999999574</v>
      </c>
      <c r="D411" s="32">
        <f t="shared" si="13"/>
        <v>-21144.989243680215</v>
      </c>
    </row>
    <row r="412" spans="1:4" x14ac:dyDescent="0.25">
      <c r="A412" s="28" t="s">
        <v>565</v>
      </c>
      <c r="B412" s="28">
        <v>8.15</v>
      </c>
      <c r="C412" s="28">
        <f t="shared" si="12"/>
        <v>5.0000000000000711</v>
      </c>
      <c r="D412" s="32">
        <f t="shared" si="13"/>
        <v>-52862.473109202416</v>
      </c>
    </row>
    <row r="413" spans="1:4" x14ac:dyDescent="0.25">
      <c r="A413" s="28" t="s">
        <v>566</v>
      </c>
      <c r="B413" s="28">
        <v>8.2100000000000009</v>
      </c>
      <c r="C413" s="28">
        <f t="shared" si="12"/>
        <v>6.0000000000000497</v>
      </c>
      <c r="D413" s="32">
        <f t="shared" si="13"/>
        <v>-63434.967731042525</v>
      </c>
    </row>
    <row r="414" spans="1:4" x14ac:dyDescent="0.25">
      <c r="A414" s="28" t="s">
        <v>567</v>
      </c>
      <c r="B414" s="28">
        <v>8.2100000000000009</v>
      </c>
      <c r="C414" s="28">
        <f t="shared" si="12"/>
        <v>0</v>
      </c>
      <c r="D414" s="32">
        <f t="shared" si="13"/>
        <v>0</v>
      </c>
    </row>
    <row r="415" spans="1:4" x14ac:dyDescent="0.25">
      <c r="A415" s="28" t="s">
        <v>568</v>
      </c>
      <c r="B415" s="28">
        <v>8.1199999999999992</v>
      </c>
      <c r="C415" s="28">
        <f t="shared" si="12"/>
        <v>-9.0000000000001634</v>
      </c>
      <c r="D415" s="32">
        <f t="shared" si="13"/>
        <v>95152.45159656473</v>
      </c>
    </row>
    <row r="416" spans="1:4" x14ac:dyDescent="0.25">
      <c r="A416" s="28" t="s">
        <v>569</v>
      </c>
      <c r="B416" s="28">
        <v>8.07</v>
      </c>
      <c r="C416" s="28">
        <f t="shared" si="12"/>
        <v>-4.9999999999998934</v>
      </c>
      <c r="D416" s="32">
        <f t="shared" si="13"/>
        <v>52862.473109200539</v>
      </c>
    </row>
    <row r="417" spans="1:4" x14ac:dyDescent="0.25">
      <c r="A417" s="28" t="s">
        <v>570</v>
      </c>
      <c r="B417" s="28">
        <v>8.08</v>
      </c>
      <c r="C417" s="28">
        <f t="shared" si="12"/>
        <v>0.99999999999997868</v>
      </c>
      <c r="D417" s="32">
        <f t="shared" si="13"/>
        <v>-10572.494621840107</v>
      </c>
    </row>
    <row r="418" spans="1:4" x14ac:dyDescent="0.25">
      <c r="A418" s="28" t="s">
        <v>571</v>
      </c>
      <c r="B418" s="28">
        <v>8.0299999999999994</v>
      </c>
      <c r="C418" s="28">
        <f t="shared" si="12"/>
        <v>-5.0000000000000711</v>
      </c>
      <c r="D418" s="32">
        <f t="shared" si="13"/>
        <v>52862.473109202416</v>
      </c>
    </row>
    <row r="419" spans="1:4" x14ac:dyDescent="0.25">
      <c r="A419" s="28" t="s">
        <v>572</v>
      </c>
      <c r="B419" s="28">
        <v>8</v>
      </c>
      <c r="C419" s="28">
        <f t="shared" si="12"/>
        <v>-2.9999999999999361</v>
      </c>
      <c r="D419" s="32">
        <f t="shared" si="13"/>
        <v>31717.483865520324</v>
      </c>
    </row>
    <row r="420" spans="1:4" x14ac:dyDescent="0.25">
      <c r="A420" s="28" t="s">
        <v>573</v>
      </c>
      <c r="B420" s="28">
        <v>7.97</v>
      </c>
      <c r="C420" s="28">
        <f t="shared" si="12"/>
        <v>-3.0000000000000249</v>
      </c>
      <c r="D420" s="32">
        <f t="shared" si="13"/>
        <v>31717.483865521262</v>
      </c>
    </row>
    <row r="421" spans="1:4" x14ac:dyDescent="0.25">
      <c r="A421" s="28" t="s">
        <v>574</v>
      </c>
      <c r="B421" s="28">
        <v>7.92</v>
      </c>
      <c r="C421" s="28">
        <f t="shared" si="12"/>
        <v>-4.9999999999999822</v>
      </c>
      <c r="D421" s="32">
        <f t="shared" si="13"/>
        <v>52862.473109201477</v>
      </c>
    </row>
    <row r="422" spans="1:4" x14ac:dyDescent="0.25">
      <c r="A422" s="28" t="s">
        <v>575</v>
      </c>
      <c r="B422" s="28">
        <v>7.95</v>
      </c>
      <c r="C422" s="28">
        <f t="shared" si="12"/>
        <v>3.0000000000000249</v>
      </c>
      <c r="D422" s="32">
        <f t="shared" si="13"/>
        <v>-31717.483865521262</v>
      </c>
    </row>
    <row r="423" spans="1:4" x14ac:dyDescent="0.25">
      <c r="A423" s="28" t="s">
        <v>576</v>
      </c>
      <c r="B423" s="28">
        <v>7.96</v>
      </c>
      <c r="C423" s="28">
        <f t="shared" si="12"/>
        <v>0.99999999999997868</v>
      </c>
      <c r="D423" s="32">
        <f t="shared" si="13"/>
        <v>-10572.494621840107</v>
      </c>
    </row>
    <row r="424" spans="1:4" x14ac:dyDescent="0.25">
      <c r="A424" s="28" t="s">
        <v>577</v>
      </c>
      <c r="B424" s="28">
        <v>7.98</v>
      </c>
      <c r="C424" s="28">
        <f t="shared" si="12"/>
        <v>2.0000000000000462</v>
      </c>
      <c r="D424" s="32">
        <f t="shared" si="13"/>
        <v>-21144.989243681153</v>
      </c>
    </row>
    <row r="425" spans="1:4" x14ac:dyDescent="0.25">
      <c r="A425" s="28" t="s">
        <v>578</v>
      </c>
      <c r="B425" s="28">
        <v>7.92</v>
      </c>
      <c r="C425" s="28">
        <f t="shared" si="12"/>
        <v>-6.0000000000000497</v>
      </c>
      <c r="D425" s="32">
        <f t="shared" si="13"/>
        <v>63434.967731042525</v>
      </c>
    </row>
    <row r="426" spans="1:4" x14ac:dyDescent="0.25">
      <c r="A426" s="28" t="s">
        <v>579</v>
      </c>
      <c r="B426" s="28">
        <v>7.82</v>
      </c>
      <c r="C426" s="28">
        <f t="shared" si="12"/>
        <v>-9.9999999999999645</v>
      </c>
      <c r="D426" s="32">
        <f t="shared" si="13"/>
        <v>105724.94621840295</v>
      </c>
    </row>
    <row r="427" spans="1:4" x14ac:dyDescent="0.25">
      <c r="A427" s="28" t="s">
        <v>580</v>
      </c>
      <c r="B427" s="28">
        <v>7.82</v>
      </c>
      <c r="C427" s="28">
        <f t="shared" si="12"/>
        <v>0</v>
      </c>
      <c r="D427" s="32">
        <f t="shared" si="13"/>
        <v>0</v>
      </c>
    </row>
    <row r="428" spans="1:4" x14ac:dyDescent="0.25">
      <c r="A428" s="28" t="s">
        <v>581</v>
      </c>
      <c r="B428" s="28">
        <v>7.79</v>
      </c>
      <c r="C428" s="28">
        <f t="shared" si="12"/>
        <v>-3.0000000000000249</v>
      </c>
      <c r="D428" s="32">
        <f t="shared" si="13"/>
        <v>31717.483865521262</v>
      </c>
    </row>
    <row r="429" spans="1:4" x14ac:dyDescent="0.25">
      <c r="A429" s="28" t="s">
        <v>582</v>
      </c>
      <c r="B429" s="28">
        <v>7.78</v>
      </c>
      <c r="C429" s="28">
        <f t="shared" si="12"/>
        <v>-0.99999999999997868</v>
      </c>
      <c r="D429" s="32">
        <f t="shared" si="13"/>
        <v>10572.494621840107</v>
      </c>
    </row>
    <row r="430" spans="1:4" x14ac:dyDescent="0.25">
      <c r="A430" s="28" t="s">
        <v>583</v>
      </c>
      <c r="B430" s="28">
        <v>7.75</v>
      </c>
      <c r="C430" s="28">
        <f t="shared" si="12"/>
        <v>-3.0000000000000249</v>
      </c>
      <c r="D430" s="32">
        <f t="shared" si="13"/>
        <v>31717.483865521262</v>
      </c>
    </row>
    <row r="431" spans="1:4" x14ac:dyDescent="0.25">
      <c r="A431" s="28" t="s">
        <v>584</v>
      </c>
      <c r="B431" s="28">
        <v>7.74</v>
      </c>
      <c r="C431" s="28">
        <f t="shared" si="12"/>
        <v>-0.99999999999997868</v>
      </c>
      <c r="D431" s="32">
        <f t="shared" si="13"/>
        <v>10572.494621840107</v>
      </c>
    </row>
    <row r="432" spans="1:4" x14ac:dyDescent="0.25">
      <c r="A432" s="28" t="s">
        <v>585</v>
      </c>
      <c r="B432" s="28">
        <v>7.76</v>
      </c>
      <c r="C432" s="28">
        <f t="shared" si="12"/>
        <v>1.9999999999999574</v>
      </c>
      <c r="D432" s="32">
        <f t="shared" si="13"/>
        <v>-21144.989243680215</v>
      </c>
    </row>
    <row r="433" spans="1:4" x14ac:dyDescent="0.25">
      <c r="A433" s="28" t="s">
        <v>586</v>
      </c>
      <c r="B433" s="28">
        <v>7.77</v>
      </c>
      <c r="C433" s="28">
        <f t="shared" si="12"/>
        <v>0.99999999999997868</v>
      </c>
      <c r="D433" s="32">
        <f t="shared" si="13"/>
        <v>-10572.494621840107</v>
      </c>
    </row>
    <row r="434" spans="1:4" x14ac:dyDescent="0.25">
      <c r="A434" s="28" t="s">
        <v>587</v>
      </c>
      <c r="B434" s="28">
        <v>7.75</v>
      </c>
      <c r="C434" s="28">
        <f t="shared" si="12"/>
        <v>-1.9999999999999574</v>
      </c>
      <c r="D434" s="32">
        <f t="shared" si="13"/>
        <v>21144.989243680215</v>
      </c>
    </row>
    <row r="435" spans="1:4" x14ac:dyDescent="0.25">
      <c r="A435" s="28" t="s">
        <v>588</v>
      </c>
      <c r="B435" s="28">
        <v>7.74</v>
      </c>
      <c r="C435" s="28">
        <f t="shared" si="12"/>
        <v>-0.99999999999997868</v>
      </c>
      <c r="D435" s="32">
        <f t="shared" si="13"/>
        <v>10572.494621840107</v>
      </c>
    </row>
    <row r="436" spans="1:4" x14ac:dyDescent="0.25">
      <c r="A436" s="28" t="s">
        <v>589</v>
      </c>
      <c r="B436" s="28">
        <v>7.74</v>
      </c>
      <c r="C436" s="28">
        <f t="shared" si="12"/>
        <v>0</v>
      </c>
      <c r="D436" s="32">
        <f t="shared" si="13"/>
        <v>0</v>
      </c>
    </row>
    <row r="437" spans="1:4" x14ac:dyDescent="0.25">
      <c r="A437" s="28" t="s">
        <v>590</v>
      </c>
      <c r="B437" s="28">
        <v>7.72</v>
      </c>
      <c r="C437" s="28">
        <f t="shared" si="12"/>
        <v>-2.0000000000000462</v>
      </c>
      <c r="D437" s="32">
        <f t="shared" si="13"/>
        <v>21144.989243681153</v>
      </c>
    </row>
    <row r="438" spans="1:4" x14ac:dyDescent="0.25">
      <c r="A438" s="28" t="s">
        <v>591</v>
      </c>
      <c r="B438" s="28">
        <v>7.67</v>
      </c>
      <c r="C438" s="28">
        <f t="shared" si="12"/>
        <v>-4.9999999999999822</v>
      </c>
      <c r="D438" s="32">
        <f t="shared" si="13"/>
        <v>52862.473109201477</v>
      </c>
    </row>
    <row r="439" spans="1:4" x14ac:dyDescent="0.25">
      <c r="A439" s="28" t="s">
        <v>592</v>
      </c>
      <c r="B439" s="28">
        <v>7.6</v>
      </c>
      <c r="C439" s="28">
        <f t="shared" si="12"/>
        <v>-7.0000000000000284</v>
      </c>
      <c r="D439" s="32">
        <f t="shared" si="13"/>
        <v>74007.462352882634</v>
      </c>
    </row>
    <row r="440" spans="1:4" x14ac:dyDescent="0.25">
      <c r="A440" s="28" t="s">
        <v>593</v>
      </c>
      <c r="B440" s="28">
        <v>7.58</v>
      </c>
      <c r="C440" s="28">
        <f t="shared" si="12"/>
        <v>-1.9999999999999574</v>
      </c>
      <c r="D440" s="32">
        <f t="shared" si="13"/>
        <v>21144.989243680215</v>
      </c>
    </row>
    <row r="441" spans="1:4" x14ac:dyDescent="0.25">
      <c r="A441" s="28" t="s">
        <v>594</v>
      </c>
      <c r="B441" s="28">
        <v>7.62</v>
      </c>
      <c r="C441" s="28">
        <f t="shared" si="12"/>
        <v>4.0000000000000036</v>
      </c>
      <c r="D441" s="32">
        <f t="shared" si="13"/>
        <v>-42289.978487361368</v>
      </c>
    </row>
    <row r="442" spans="1:4" x14ac:dyDescent="0.25">
      <c r="A442" s="28" t="s">
        <v>595</v>
      </c>
      <c r="B442" s="28">
        <v>7.72</v>
      </c>
      <c r="C442" s="28">
        <f t="shared" si="12"/>
        <v>9.9999999999999645</v>
      </c>
      <c r="D442" s="32">
        <f t="shared" si="13"/>
        <v>-105724.94621840295</v>
      </c>
    </row>
    <row r="443" spans="1:4" x14ac:dyDescent="0.25">
      <c r="A443" s="28" t="s">
        <v>596</v>
      </c>
      <c r="B443" s="28">
        <v>7.79</v>
      </c>
      <c r="C443" s="28">
        <f t="shared" si="12"/>
        <v>7.0000000000000284</v>
      </c>
      <c r="D443" s="32">
        <f t="shared" si="13"/>
        <v>-74007.462352882634</v>
      </c>
    </row>
    <row r="444" spans="1:4" x14ac:dyDescent="0.25">
      <c r="A444" s="28" t="s">
        <v>597</v>
      </c>
      <c r="B444" s="28">
        <v>7.79</v>
      </c>
      <c r="C444" s="28">
        <f t="shared" si="12"/>
        <v>0</v>
      </c>
      <c r="D444" s="32">
        <f t="shared" si="13"/>
        <v>0</v>
      </c>
    </row>
    <row r="445" spans="1:4" x14ac:dyDescent="0.25">
      <c r="A445" s="28" t="s">
        <v>598</v>
      </c>
      <c r="B445" s="28">
        <v>7.95</v>
      </c>
      <c r="C445" s="28">
        <f t="shared" si="12"/>
        <v>16.000000000000014</v>
      </c>
      <c r="D445" s="32">
        <f t="shared" si="13"/>
        <v>-169159.91394944547</v>
      </c>
    </row>
    <row r="446" spans="1:4" x14ac:dyDescent="0.25">
      <c r="A446" s="28" t="s">
        <v>599</v>
      </c>
      <c r="B446" s="28">
        <v>8</v>
      </c>
      <c r="C446" s="28">
        <f t="shared" si="12"/>
        <v>4.9999999999999822</v>
      </c>
      <c r="D446" s="32">
        <f t="shared" si="13"/>
        <v>-52862.473109201477</v>
      </c>
    </row>
    <row r="447" spans="1:4" x14ac:dyDescent="0.25">
      <c r="A447" s="28" t="s">
        <v>600</v>
      </c>
      <c r="B447" s="28">
        <v>8.0399999999999991</v>
      </c>
      <c r="C447" s="28">
        <f t="shared" si="12"/>
        <v>3.9999999999999147</v>
      </c>
      <c r="D447" s="32">
        <f t="shared" si="13"/>
        <v>-42289.978487360429</v>
      </c>
    </row>
    <row r="448" spans="1:4" x14ac:dyDescent="0.25">
      <c r="A448" s="28" t="s">
        <v>601</v>
      </c>
      <c r="B448" s="28">
        <v>7.96</v>
      </c>
      <c r="C448" s="28">
        <f t="shared" si="12"/>
        <v>-7.9999999999999183</v>
      </c>
      <c r="D448" s="32">
        <f t="shared" si="13"/>
        <v>84579.956974721805</v>
      </c>
    </row>
    <row r="449" spans="1:4" x14ac:dyDescent="0.25">
      <c r="A449" s="28" t="s">
        <v>602</v>
      </c>
      <c r="B449" s="28">
        <v>8.0399999999999991</v>
      </c>
      <c r="C449" s="28">
        <f t="shared" si="12"/>
        <v>7.9999999999999183</v>
      </c>
      <c r="D449" s="32">
        <f t="shared" si="13"/>
        <v>-84579.956974721805</v>
      </c>
    </row>
    <row r="450" spans="1:4" x14ac:dyDescent="0.25">
      <c r="A450" s="28" t="s">
        <v>603</v>
      </c>
      <c r="B450" s="28">
        <v>8.24</v>
      </c>
      <c r="C450" s="28">
        <f t="shared" si="12"/>
        <v>20.000000000000107</v>
      </c>
      <c r="D450" s="32">
        <f t="shared" si="13"/>
        <v>-211449.89243680777</v>
      </c>
    </row>
    <row r="451" spans="1:4" x14ac:dyDescent="0.25">
      <c r="A451" s="28" t="s">
        <v>604</v>
      </c>
      <c r="B451" s="28">
        <v>8.43</v>
      </c>
      <c r="C451" s="28">
        <f t="shared" ref="C451:C489" si="14">(B451-B450)*100</f>
        <v>18.99999999999995</v>
      </c>
      <c r="D451" s="32">
        <f t="shared" ref="D451:D488" si="15">-C451*$G$8</f>
        <v>-200877.39781496581</v>
      </c>
    </row>
    <row r="452" spans="1:4" x14ac:dyDescent="0.25">
      <c r="A452" s="28" t="s">
        <v>605</v>
      </c>
      <c r="B452" s="28">
        <v>8.4</v>
      </c>
      <c r="C452" s="28">
        <f t="shared" si="14"/>
        <v>-2.9999999999999361</v>
      </c>
      <c r="D452" s="32">
        <f t="shared" si="15"/>
        <v>31717.483865520324</v>
      </c>
    </row>
    <row r="453" spans="1:4" x14ac:dyDescent="0.25">
      <c r="A453" s="28" t="s">
        <v>606</v>
      </c>
      <c r="B453" s="28">
        <v>8.52</v>
      </c>
      <c r="C453" s="28">
        <f t="shared" si="14"/>
        <v>11.999999999999922</v>
      </c>
      <c r="D453" s="32">
        <f t="shared" si="15"/>
        <v>-126869.93546208317</v>
      </c>
    </row>
    <row r="454" spans="1:4" x14ac:dyDescent="0.25">
      <c r="A454" s="28" t="s">
        <v>607</v>
      </c>
      <c r="B454" s="28">
        <v>8.57</v>
      </c>
      <c r="C454" s="28">
        <f t="shared" si="14"/>
        <v>5.0000000000000711</v>
      </c>
      <c r="D454" s="32">
        <f t="shared" si="15"/>
        <v>-52862.473109202416</v>
      </c>
    </row>
    <row r="455" spans="1:4" x14ac:dyDescent="0.25">
      <c r="A455" s="28" t="s">
        <v>608</v>
      </c>
      <c r="B455" s="28">
        <v>8.7100000000000009</v>
      </c>
      <c r="C455" s="28">
        <f t="shared" si="14"/>
        <v>14.000000000000057</v>
      </c>
      <c r="D455" s="32">
        <f t="shared" si="15"/>
        <v>-148014.92470576527</v>
      </c>
    </row>
    <row r="456" spans="1:4" x14ac:dyDescent="0.25">
      <c r="A456" s="28" t="s">
        <v>609</v>
      </c>
      <c r="B456" s="28">
        <v>8.64</v>
      </c>
      <c r="C456" s="28">
        <f t="shared" si="14"/>
        <v>-7.0000000000000284</v>
      </c>
      <c r="D456" s="32">
        <f t="shared" si="15"/>
        <v>74007.462352882634</v>
      </c>
    </row>
    <row r="457" spans="1:4" x14ac:dyDescent="0.25">
      <c r="A457" s="28" t="s">
        <v>610</v>
      </c>
      <c r="B457" s="28">
        <v>8.59</v>
      </c>
      <c r="C457" s="28">
        <f t="shared" si="14"/>
        <v>-5.0000000000000711</v>
      </c>
      <c r="D457" s="32">
        <f t="shared" si="15"/>
        <v>52862.473109202416</v>
      </c>
    </row>
    <row r="458" spans="1:4" x14ac:dyDescent="0.25">
      <c r="A458" s="28" t="s">
        <v>611</v>
      </c>
      <c r="B458" s="28">
        <v>8.49</v>
      </c>
      <c r="C458" s="28">
        <f t="shared" si="14"/>
        <v>-9.9999999999999645</v>
      </c>
      <c r="D458" s="32">
        <f t="shared" si="15"/>
        <v>105724.94621840295</v>
      </c>
    </row>
    <row r="459" spans="1:4" x14ac:dyDescent="0.25">
      <c r="A459" s="28" t="s">
        <v>612</v>
      </c>
      <c r="B459" s="28">
        <v>8.5500000000000007</v>
      </c>
      <c r="C459" s="28">
        <f t="shared" si="14"/>
        <v>6.0000000000000497</v>
      </c>
      <c r="D459" s="32">
        <f t="shared" si="15"/>
        <v>-63434.967731042525</v>
      </c>
    </row>
    <row r="460" spans="1:4" x14ac:dyDescent="0.25">
      <c r="A460" s="28" t="s">
        <v>613</v>
      </c>
      <c r="B460" s="28">
        <v>8.6300000000000008</v>
      </c>
      <c r="C460" s="28">
        <f t="shared" si="14"/>
        <v>8.0000000000000071</v>
      </c>
      <c r="D460" s="32">
        <f t="shared" si="15"/>
        <v>-84579.956974722736</v>
      </c>
    </row>
    <row r="461" spans="1:4" x14ac:dyDescent="0.25">
      <c r="A461" s="28" t="s">
        <v>614</v>
      </c>
      <c r="B461" s="28">
        <v>8.61</v>
      </c>
      <c r="C461" s="28">
        <f t="shared" si="14"/>
        <v>-2.000000000000135</v>
      </c>
      <c r="D461" s="32">
        <f t="shared" si="15"/>
        <v>21144.989243682092</v>
      </c>
    </row>
    <row r="462" spans="1:4" x14ac:dyDescent="0.25">
      <c r="A462" s="28" t="s">
        <v>615</v>
      </c>
      <c r="B462" s="28">
        <v>8.4700000000000006</v>
      </c>
      <c r="C462" s="28">
        <f t="shared" si="14"/>
        <v>-13.999999999999879</v>
      </c>
      <c r="D462" s="32">
        <f t="shared" si="15"/>
        <v>148014.92470576338</v>
      </c>
    </row>
    <row r="463" spans="1:4" x14ac:dyDescent="0.25">
      <c r="A463" s="28" t="s">
        <v>616</v>
      </c>
      <c r="B463" s="28">
        <v>8.31</v>
      </c>
      <c r="C463" s="28">
        <f t="shared" si="14"/>
        <v>-16.000000000000014</v>
      </c>
      <c r="D463" s="32">
        <f t="shared" si="15"/>
        <v>169159.91394944547</v>
      </c>
    </row>
    <row r="464" spans="1:4" x14ac:dyDescent="0.25">
      <c r="A464" s="28" t="s">
        <v>617</v>
      </c>
      <c r="B464" s="28">
        <v>8.3699999999999992</v>
      </c>
      <c r="C464" s="28">
        <f t="shared" si="14"/>
        <v>5.9999999999998721</v>
      </c>
      <c r="D464" s="32">
        <f t="shared" si="15"/>
        <v>-63434.967731040648</v>
      </c>
    </row>
    <row r="465" spans="1:4" x14ac:dyDescent="0.25">
      <c r="A465" s="28" t="s">
        <v>618</v>
      </c>
      <c r="B465" s="28">
        <v>8.43</v>
      </c>
      <c r="C465" s="28">
        <f t="shared" si="14"/>
        <v>6.0000000000000497</v>
      </c>
      <c r="D465" s="32">
        <f t="shared" si="15"/>
        <v>-63434.967731042525</v>
      </c>
    </row>
    <row r="466" spans="1:4" x14ac:dyDescent="0.25">
      <c r="A466" s="28" t="s">
        <v>619</v>
      </c>
      <c r="B466" s="28">
        <v>8.17</v>
      </c>
      <c r="C466" s="28">
        <f t="shared" si="14"/>
        <v>-25.999999999999979</v>
      </c>
      <c r="D466" s="32">
        <f t="shared" si="15"/>
        <v>274884.86016784841</v>
      </c>
    </row>
    <row r="467" spans="1:4" x14ac:dyDescent="0.25">
      <c r="A467" s="28" t="s">
        <v>620</v>
      </c>
      <c r="B467" s="28">
        <v>8.06</v>
      </c>
      <c r="C467" s="28">
        <f t="shared" si="14"/>
        <v>-10.999999999999943</v>
      </c>
      <c r="D467" s="32">
        <f t="shared" si="15"/>
        <v>116297.44084024306</v>
      </c>
    </row>
    <row r="468" spans="1:4" x14ac:dyDescent="0.25">
      <c r="A468" s="28" t="s">
        <v>621</v>
      </c>
      <c r="B468" s="28">
        <v>8.06</v>
      </c>
      <c r="C468" s="28">
        <f t="shared" si="14"/>
        <v>0</v>
      </c>
      <c r="D468" s="32">
        <f t="shared" si="15"/>
        <v>0</v>
      </c>
    </row>
    <row r="469" spans="1:4" x14ac:dyDescent="0.25">
      <c r="A469" s="28" t="s">
        <v>622</v>
      </c>
      <c r="B469" s="28">
        <v>7.99</v>
      </c>
      <c r="C469" s="28">
        <f t="shared" si="14"/>
        <v>-7.0000000000000284</v>
      </c>
      <c r="D469" s="32">
        <f t="shared" si="15"/>
        <v>74007.462352882634</v>
      </c>
    </row>
    <row r="470" spans="1:4" x14ac:dyDescent="0.25">
      <c r="A470" s="28" t="s">
        <v>623</v>
      </c>
      <c r="B470" s="28">
        <v>7.94</v>
      </c>
      <c r="C470" s="28">
        <f t="shared" si="14"/>
        <v>-4.9999999999999822</v>
      </c>
      <c r="D470" s="32">
        <f t="shared" si="15"/>
        <v>52862.473109201477</v>
      </c>
    </row>
    <row r="471" spans="1:4" x14ac:dyDescent="0.25">
      <c r="A471" s="28" t="s">
        <v>624</v>
      </c>
      <c r="B471" s="28">
        <v>8.01</v>
      </c>
      <c r="C471" s="28">
        <f t="shared" si="14"/>
        <v>6.9999999999999396</v>
      </c>
      <c r="D471" s="32">
        <f t="shared" si="15"/>
        <v>-74007.462352881688</v>
      </c>
    </row>
    <row r="472" spans="1:4" x14ac:dyDescent="0.25">
      <c r="A472" s="28" t="s">
        <v>625</v>
      </c>
      <c r="B472" s="28">
        <v>8.01</v>
      </c>
      <c r="C472" s="28">
        <f t="shared" si="14"/>
        <v>0</v>
      </c>
      <c r="D472" s="32">
        <f t="shared" si="15"/>
        <v>0</v>
      </c>
    </row>
    <row r="473" spans="1:4" x14ac:dyDescent="0.25">
      <c r="A473" s="28" t="s">
        <v>626</v>
      </c>
      <c r="B473" s="28">
        <v>7.92</v>
      </c>
      <c r="C473" s="28">
        <f t="shared" si="14"/>
        <v>-8.9999999999999858</v>
      </c>
      <c r="D473" s="32">
        <f t="shared" si="15"/>
        <v>95152.451596562853</v>
      </c>
    </row>
    <row r="474" spans="1:4" x14ac:dyDescent="0.25">
      <c r="A474" s="28" t="s">
        <v>627</v>
      </c>
      <c r="B474" s="28">
        <v>7.9</v>
      </c>
      <c r="C474" s="28">
        <f t="shared" si="14"/>
        <v>-1.9999999999999574</v>
      </c>
      <c r="D474" s="32">
        <f t="shared" si="15"/>
        <v>21144.989243680215</v>
      </c>
    </row>
    <row r="475" spans="1:4" x14ac:dyDescent="0.25">
      <c r="A475" s="28" t="s">
        <v>628</v>
      </c>
      <c r="B475" s="28">
        <v>7.96</v>
      </c>
      <c r="C475" s="28">
        <f t="shared" si="14"/>
        <v>5.9999999999999609</v>
      </c>
      <c r="D475" s="32">
        <f t="shared" si="15"/>
        <v>-63434.967731041586</v>
      </c>
    </row>
    <row r="476" spans="1:4" x14ac:dyDescent="0.25">
      <c r="A476" s="28" t="s">
        <v>629</v>
      </c>
      <c r="B476" s="28">
        <v>7.97</v>
      </c>
      <c r="C476" s="28">
        <f t="shared" si="14"/>
        <v>0.99999999999997868</v>
      </c>
      <c r="D476" s="32">
        <f t="shared" si="15"/>
        <v>-10572.494621840107</v>
      </c>
    </row>
    <row r="477" spans="1:4" x14ac:dyDescent="0.25">
      <c r="A477" s="28" t="s">
        <v>630</v>
      </c>
      <c r="B477" s="28">
        <v>8.1</v>
      </c>
      <c r="C477" s="28">
        <f t="shared" si="14"/>
        <v>12.999999999999989</v>
      </c>
      <c r="D477" s="32">
        <f t="shared" si="15"/>
        <v>-137442.43008392421</v>
      </c>
    </row>
    <row r="478" spans="1:4" x14ac:dyDescent="0.25">
      <c r="A478" s="28" t="s">
        <v>631</v>
      </c>
      <c r="B478" s="28">
        <v>8.07</v>
      </c>
      <c r="C478" s="28">
        <f t="shared" si="14"/>
        <v>-2.9999999999999361</v>
      </c>
      <c r="D478" s="32">
        <f t="shared" si="15"/>
        <v>31717.483865520324</v>
      </c>
    </row>
    <row r="479" spans="1:4" x14ac:dyDescent="0.25">
      <c r="A479" s="28" t="s">
        <v>632</v>
      </c>
      <c r="B479" s="28">
        <v>8.14</v>
      </c>
      <c r="C479" s="28">
        <f t="shared" si="14"/>
        <v>7.0000000000000284</v>
      </c>
      <c r="D479" s="32">
        <f t="shared" si="15"/>
        <v>-74007.462352882634</v>
      </c>
    </row>
    <row r="480" spans="1:4" x14ac:dyDescent="0.25">
      <c r="A480" s="28" t="s">
        <v>633</v>
      </c>
      <c r="B480" s="28">
        <v>8.19</v>
      </c>
      <c r="C480" s="28">
        <f t="shared" si="14"/>
        <v>4.9999999999998934</v>
      </c>
      <c r="D480" s="32">
        <f t="shared" si="15"/>
        <v>-52862.473109200539</v>
      </c>
    </row>
    <row r="481" spans="1:4" x14ac:dyDescent="0.25">
      <c r="A481" s="28" t="s">
        <v>634</v>
      </c>
      <c r="B481" s="28">
        <v>8.26</v>
      </c>
      <c r="C481" s="28">
        <f t="shared" si="14"/>
        <v>7.0000000000000284</v>
      </c>
      <c r="D481" s="32">
        <f t="shared" si="15"/>
        <v>-74007.462352882634</v>
      </c>
    </row>
    <row r="482" spans="1:4" x14ac:dyDescent="0.25">
      <c r="A482" s="28" t="s">
        <v>635</v>
      </c>
      <c r="B482" s="28">
        <v>8.2200000000000006</v>
      </c>
      <c r="C482" s="28">
        <f t="shared" si="14"/>
        <v>-3.9999999999999147</v>
      </c>
      <c r="D482" s="32">
        <f t="shared" si="15"/>
        <v>42289.978487360429</v>
      </c>
    </row>
    <row r="483" spans="1:4" x14ac:dyDescent="0.25">
      <c r="A483" s="28" t="s">
        <v>636</v>
      </c>
      <c r="B483" s="28">
        <v>8.2899999999999991</v>
      </c>
      <c r="C483" s="28">
        <f t="shared" si="14"/>
        <v>6.9999999999998508</v>
      </c>
      <c r="D483" s="32">
        <f t="shared" si="15"/>
        <v>-74007.462352880757</v>
      </c>
    </row>
    <row r="484" spans="1:4" x14ac:dyDescent="0.25">
      <c r="A484" s="28" t="s">
        <v>637</v>
      </c>
      <c r="B484" s="28">
        <v>8.23</v>
      </c>
      <c r="C484" s="28">
        <f t="shared" si="14"/>
        <v>-5.9999999999998721</v>
      </c>
      <c r="D484" s="32">
        <f t="shared" si="15"/>
        <v>63434.967731040648</v>
      </c>
    </row>
    <row r="485" spans="1:4" x14ac:dyDescent="0.25">
      <c r="A485" s="28" t="s">
        <v>638</v>
      </c>
      <c r="B485" s="28">
        <v>8.09</v>
      </c>
      <c r="C485" s="28">
        <f t="shared" si="14"/>
        <v>-14.000000000000057</v>
      </c>
      <c r="D485" s="32">
        <f t="shared" si="15"/>
        <v>148014.92470576527</v>
      </c>
    </row>
    <row r="486" spans="1:4" x14ac:dyDescent="0.25">
      <c r="A486" s="28" t="s">
        <v>639</v>
      </c>
      <c r="B486" s="28">
        <v>8.1</v>
      </c>
      <c r="C486" s="28">
        <f t="shared" si="14"/>
        <v>0.99999999999997868</v>
      </c>
      <c r="D486" s="32">
        <f t="shared" si="15"/>
        <v>-10572.494621840107</v>
      </c>
    </row>
    <row r="487" spans="1:4" x14ac:dyDescent="0.25">
      <c r="A487" s="28" t="s">
        <v>640</v>
      </c>
      <c r="B487" s="28">
        <v>8.15</v>
      </c>
      <c r="C487" s="28">
        <f t="shared" si="14"/>
        <v>5.0000000000000711</v>
      </c>
      <c r="D487" s="32">
        <f t="shared" si="15"/>
        <v>-52862.473109202416</v>
      </c>
    </row>
    <row r="488" spans="1:4" x14ac:dyDescent="0.25">
      <c r="A488" s="28" t="s">
        <v>641</v>
      </c>
      <c r="B488" s="28">
        <v>8.24</v>
      </c>
      <c r="C488" s="28">
        <f t="shared" si="14"/>
        <v>8.9999999999999858</v>
      </c>
      <c r="D488" s="32">
        <f t="shared" si="15"/>
        <v>-95152.451596562853</v>
      </c>
    </row>
    <row r="489" spans="1:4" x14ac:dyDescent="0.25">
      <c r="A489" s="28" t="s">
        <v>642</v>
      </c>
      <c r="B489" s="28">
        <v>8.24</v>
      </c>
      <c r="C489" s="28">
        <f t="shared" si="14"/>
        <v>0</v>
      </c>
      <c r="D489" s="32">
        <f>-C489*$G$8</f>
        <v>0</v>
      </c>
    </row>
  </sheetData>
  <mergeCells count="2">
    <mergeCell ref="F16:M16"/>
    <mergeCell ref="F17:M26"/>
  </mergeCells>
  <hyperlinks>
    <hyperlink ref="F13" r:id="rId1" xr:uid="{CE5FA0D2-11B7-4BFB-BEF4-A97ED156313A}"/>
    <hyperlink ref="F14" r:id="rId2" xr:uid="{BD0A30FC-DAA1-4084-B04F-536DB21F7AD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FFAC9-F52A-470A-BB46-90F7EF15B102}">
  <dimension ref="B2:P38"/>
  <sheetViews>
    <sheetView tabSelected="1" workbookViewId="0">
      <selection activeCell="S27" sqref="S27"/>
    </sheetView>
  </sheetViews>
  <sheetFormatPr baseColWidth="10" defaultColWidth="9.140625" defaultRowHeight="15" x14ac:dyDescent="0.25"/>
  <sheetData>
    <row r="2" spans="2:16" x14ac:dyDescent="0.25">
      <c r="B2" s="89" t="s">
        <v>643</v>
      </c>
      <c r="C2" s="90"/>
      <c r="D2" s="90"/>
      <c r="E2" s="90"/>
      <c r="F2" s="90"/>
      <c r="G2" s="90"/>
      <c r="H2" s="90"/>
      <c r="I2" s="90"/>
      <c r="J2" s="90"/>
      <c r="K2" s="90"/>
      <c r="L2" s="90"/>
      <c r="M2" s="90"/>
      <c r="N2" s="90"/>
      <c r="O2" s="90"/>
      <c r="P2" s="90"/>
    </row>
    <row r="3" spans="2:16" x14ac:dyDescent="0.25">
      <c r="B3" s="93" t="s">
        <v>644</v>
      </c>
      <c r="C3" s="94"/>
      <c r="D3" s="94"/>
      <c r="E3" s="94"/>
      <c r="F3" s="94"/>
      <c r="G3" s="94"/>
      <c r="H3" s="94"/>
      <c r="I3" s="94"/>
      <c r="J3" s="94"/>
      <c r="K3" s="94"/>
      <c r="L3" s="94"/>
      <c r="M3" s="94"/>
      <c r="N3" s="94"/>
      <c r="O3" s="94"/>
      <c r="P3" s="94"/>
    </row>
    <row r="4" spans="2:16" x14ac:dyDescent="0.25">
      <c r="B4" s="94"/>
      <c r="C4" s="94"/>
      <c r="D4" s="94"/>
      <c r="E4" s="94"/>
      <c r="F4" s="94"/>
      <c r="G4" s="94"/>
      <c r="H4" s="94"/>
      <c r="I4" s="94"/>
      <c r="J4" s="94"/>
      <c r="K4" s="94"/>
      <c r="L4" s="94"/>
      <c r="M4" s="94"/>
      <c r="N4" s="94"/>
      <c r="O4" s="94"/>
      <c r="P4" s="94"/>
    </row>
    <row r="5" spans="2:16" x14ac:dyDescent="0.25">
      <c r="B5" s="94"/>
      <c r="C5" s="94"/>
      <c r="D5" s="94"/>
      <c r="E5" s="94"/>
      <c r="F5" s="94"/>
      <c r="G5" s="94"/>
      <c r="H5" s="94"/>
      <c r="I5" s="94"/>
      <c r="J5" s="94"/>
      <c r="K5" s="94"/>
      <c r="L5" s="94"/>
      <c r="M5" s="94"/>
      <c r="N5" s="94"/>
      <c r="O5" s="94"/>
      <c r="P5" s="94"/>
    </row>
    <row r="6" spans="2:16" x14ac:dyDescent="0.25">
      <c r="B6" s="94"/>
      <c r="C6" s="94"/>
      <c r="D6" s="94"/>
      <c r="E6" s="94"/>
      <c r="F6" s="94"/>
      <c r="G6" s="94"/>
      <c r="H6" s="94"/>
      <c r="I6" s="94"/>
      <c r="J6" s="94"/>
      <c r="K6" s="94"/>
      <c r="L6" s="94"/>
      <c r="M6" s="94"/>
      <c r="N6" s="94"/>
      <c r="O6" s="94"/>
      <c r="P6" s="94"/>
    </row>
    <row r="7" spans="2:16" x14ac:dyDescent="0.25">
      <c r="B7" s="94"/>
      <c r="C7" s="94"/>
      <c r="D7" s="94"/>
      <c r="E7" s="94"/>
      <c r="F7" s="94"/>
      <c r="G7" s="94"/>
      <c r="H7" s="94"/>
      <c r="I7" s="94"/>
      <c r="J7" s="94"/>
      <c r="K7" s="94"/>
      <c r="L7" s="94"/>
      <c r="M7" s="94"/>
      <c r="N7" s="94"/>
      <c r="O7" s="94"/>
      <c r="P7" s="94"/>
    </row>
    <row r="8" spans="2:16" x14ac:dyDescent="0.25">
      <c r="B8" s="94"/>
      <c r="C8" s="94"/>
      <c r="D8" s="94"/>
      <c r="E8" s="94"/>
      <c r="F8" s="94"/>
      <c r="G8" s="94"/>
      <c r="H8" s="94"/>
      <c r="I8" s="94"/>
      <c r="J8" s="94"/>
      <c r="K8" s="94"/>
      <c r="L8" s="94"/>
      <c r="M8" s="94"/>
      <c r="N8" s="94"/>
      <c r="O8" s="94"/>
      <c r="P8" s="94"/>
    </row>
    <row r="9" spans="2:16" x14ac:dyDescent="0.25">
      <c r="B9" s="94"/>
      <c r="C9" s="94"/>
      <c r="D9" s="94"/>
      <c r="E9" s="94"/>
      <c r="F9" s="94"/>
      <c r="G9" s="94"/>
      <c r="H9" s="94"/>
      <c r="I9" s="94"/>
      <c r="J9" s="94"/>
      <c r="K9" s="94"/>
      <c r="L9" s="94"/>
      <c r="M9" s="94"/>
      <c r="N9" s="94"/>
      <c r="O9" s="94"/>
      <c r="P9" s="94"/>
    </row>
    <row r="10" spans="2:16" x14ac:dyDescent="0.25">
      <c r="B10" s="94"/>
      <c r="C10" s="94"/>
      <c r="D10" s="94"/>
      <c r="E10" s="94"/>
      <c r="F10" s="94"/>
      <c r="G10" s="94"/>
      <c r="H10" s="94"/>
      <c r="I10" s="94"/>
      <c r="J10" s="94"/>
      <c r="K10" s="94"/>
      <c r="L10" s="94"/>
      <c r="M10" s="94"/>
      <c r="N10" s="94"/>
      <c r="O10" s="94"/>
      <c r="P10" s="94"/>
    </row>
    <row r="11" spans="2:16" x14ac:dyDescent="0.25">
      <c r="B11" s="94"/>
      <c r="C11" s="94"/>
      <c r="D11" s="94"/>
      <c r="E11" s="94"/>
      <c r="F11" s="94"/>
      <c r="G11" s="94"/>
      <c r="H11" s="94"/>
      <c r="I11" s="94"/>
      <c r="J11" s="94"/>
      <c r="K11" s="94"/>
      <c r="L11" s="94"/>
      <c r="M11" s="94"/>
      <c r="N11" s="94"/>
      <c r="O11" s="94"/>
      <c r="P11" s="94"/>
    </row>
    <row r="12" spans="2:16" x14ac:dyDescent="0.25">
      <c r="B12" s="94"/>
      <c r="C12" s="94"/>
      <c r="D12" s="94"/>
      <c r="E12" s="94"/>
      <c r="F12" s="94"/>
      <c r="G12" s="94"/>
      <c r="H12" s="94"/>
      <c r="I12" s="94"/>
      <c r="J12" s="94"/>
      <c r="K12" s="94"/>
      <c r="L12" s="94"/>
      <c r="M12" s="94"/>
      <c r="N12" s="94"/>
      <c r="O12" s="94"/>
      <c r="P12" s="94"/>
    </row>
    <row r="15" spans="2:16" ht="15" customHeight="1" x14ac:dyDescent="0.25">
      <c r="B15" s="89" t="s">
        <v>645</v>
      </c>
      <c r="C15" s="91"/>
      <c r="D15" s="91"/>
      <c r="E15" s="91"/>
      <c r="F15" s="91"/>
      <c r="G15" s="91"/>
      <c r="H15" s="91"/>
      <c r="I15" s="91"/>
      <c r="J15" s="91"/>
      <c r="K15" s="91"/>
      <c r="L15" s="91"/>
      <c r="M15" s="91"/>
      <c r="N15" s="91"/>
      <c r="O15" s="91"/>
      <c r="P15" s="91"/>
    </row>
    <row r="16" spans="2:16" x14ac:dyDescent="0.25">
      <c r="B16" s="93" t="s">
        <v>646</v>
      </c>
      <c r="C16" s="93"/>
      <c r="D16" s="93"/>
      <c r="E16" s="93"/>
      <c r="F16" s="93"/>
      <c r="G16" s="93"/>
      <c r="H16" s="93"/>
      <c r="I16" s="93"/>
      <c r="J16" s="93"/>
      <c r="K16" s="93"/>
      <c r="L16" s="93"/>
      <c r="M16" s="93"/>
      <c r="N16" s="93"/>
      <c r="O16" s="93"/>
      <c r="P16" s="93"/>
    </row>
    <row r="17" spans="2:16" x14ac:dyDescent="0.25">
      <c r="B17" s="93"/>
      <c r="C17" s="93"/>
      <c r="D17" s="93"/>
      <c r="E17" s="93"/>
      <c r="F17" s="93"/>
      <c r="G17" s="93"/>
      <c r="H17" s="93"/>
      <c r="I17" s="93"/>
      <c r="J17" s="93"/>
      <c r="K17" s="93"/>
      <c r="L17" s="93"/>
      <c r="M17" s="93"/>
      <c r="N17" s="93"/>
      <c r="O17" s="93"/>
      <c r="P17" s="93"/>
    </row>
    <row r="18" spans="2:16" x14ac:dyDescent="0.25">
      <c r="B18" s="93"/>
      <c r="C18" s="93"/>
      <c r="D18" s="93"/>
      <c r="E18" s="93"/>
      <c r="F18" s="93"/>
      <c r="G18" s="93"/>
      <c r="H18" s="93"/>
      <c r="I18" s="93"/>
      <c r="J18" s="93"/>
      <c r="K18" s="93"/>
      <c r="L18" s="93"/>
      <c r="M18" s="93"/>
      <c r="N18" s="93"/>
      <c r="O18" s="93"/>
      <c r="P18" s="93"/>
    </row>
    <row r="19" spans="2:16" x14ac:dyDescent="0.25">
      <c r="B19" s="93"/>
      <c r="C19" s="93"/>
      <c r="D19" s="93"/>
      <c r="E19" s="93"/>
      <c r="F19" s="93"/>
      <c r="G19" s="93"/>
      <c r="H19" s="93"/>
      <c r="I19" s="93"/>
      <c r="J19" s="93"/>
      <c r="K19" s="93"/>
      <c r="L19" s="93"/>
      <c r="M19" s="93"/>
      <c r="N19" s="93"/>
      <c r="O19" s="93"/>
      <c r="P19" s="93"/>
    </row>
    <row r="20" spans="2:16" x14ac:dyDescent="0.25">
      <c r="B20" s="93"/>
      <c r="C20" s="93"/>
      <c r="D20" s="93"/>
      <c r="E20" s="93"/>
      <c r="F20" s="93"/>
      <c r="G20" s="93"/>
      <c r="H20" s="93"/>
      <c r="I20" s="93"/>
      <c r="J20" s="93"/>
      <c r="K20" s="93"/>
      <c r="L20" s="93"/>
      <c r="M20" s="93"/>
      <c r="N20" s="93"/>
      <c r="O20" s="93"/>
      <c r="P20" s="93"/>
    </row>
    <row r="21" spans="2:16" x14ac:dyDescent="0.25">
      <c r="B21" s="93"/>
      <c r="C21" s="93"/>
      <c r="D21" s="93"/>
      <c r="E21" s="93"/>
      <c r="F21" s="93"/>
      <c r="G21" s="93"/>
      <c r="H21" s="93"/>
      <c r="I21" s="93"/>
      <c r="J21" s="93"/>
      <c r="K21" s="93"/>
      <c r="L21" s="93"/>
      <c r="M21" s="93"/>
      <c r="N21" s="93"/>
      <c r="O21" s="93"/>
      <c r="P21" s="93"/>
    </row>
    <row r="22" spans="2:16" x14ac:dyDescent="0.25">
      <c r="B22" s="93"/>
      <c r="C22" s="93"/>
      <c r="D22" s="93"/>
      <c r="E22" s="93"/>
      <c r="F22" s="93"/>
      <c r="G22" s="93"/>
      <c r="H22" s="93"/>
      <c r="I22" s="93"/>
      <c r="J22" s="93"/>
      <c r="K22" s="93"/>
      <c r="L22" s="93"/>
      <c r="M22" s="93"/>
      <c r="N22" s="93"/>
      <c r="O22" s="93"/>
      <c r="P22" s="93"/>
    </row>
    <row r="23" spans="2:16" x14ac:dyDescent="0.25">
      <c r="B23" s="93"/>
      <c r="C23" s="93"/>
      <c r="D23" s="93"/>
      <c r="E23" s="93"/>
      <c r="F23" s="93"/>
      <c r="G23" s="93"/>
      <c r="H23" s="93"/>
      <c r="I23" s="93"/>
      <c r="J23" s="93"/>
      <c r="K23" s="93"/>
      <c r="L23" s="93"/>
      <c r="M23" s="93"/>
      <c r="N23" s="93"/>
      <c r="O23" s="93"/>
      <c r="P23" s="93"/>
    </row>
    <row r="24" spans="2:16" x14ac:dyDescent="0.25">
      <c r="B24" s="93"/>
      <c r="C24" s="93"/>
      <c r="D24" s="93"/>
      <c r="E24" s="93"/>
      <c r="F24" s="93"/>
      <c r="G24" s="93"/>
      <c r="H24" s="93"/>
      <c r="I24" s="93"/>
      <c r="J24" s="93"/>
      <c r="K24" s="93"/>
      <c r="L24" s="93"/>
      <c r="M24" s="93"/>
      <c r="N24" s="93"/>
      <c r="O24" s="93"/>
      <c r="P24" s="93"/>
    </row>
    <row r="25" spans="2:16" x14ac:dyDescent="0.25">
      <c r="B25" s="93"/>
      <c r="C25" s="93"/>
      <c r="D25" s="93"/>
      <c r="E25" s="93"/>
      <c r="F25" s="93"/>
      <c r="G25" s="93"/>
      <c r="H25" s="93"/>
      <c r="I25" s="93"/>
      <c r="J25" s="93"/>
      <c r="K25" s="93"/>
      <c r="L25" s="93"/>
      <c r="M25" s="93"/>
      <c r="N25" s="93"/>
      <c r="O25" s="93"/>
      <c r="P25" s="93"/>
    </row>
    <row r="26" spans="2:16" x14ac:dyDescent="0.25">
      <c r="B26" s="92"/>
      <c r="C26" s="92"/>
      <c r="D26" s="92"/>
      <c r="E26" s="92"/>
      <c r="F26" s="92"/>
      <c r="G26" s="92"/>
      <c r="H26" s="92"/>
      <c r="I26" s="92"/>
      <c r="J26" s="92"/>
      <c r="K26" s="92"/>
      <c r="L26" s="92"/>
      <c r="M26" s="92"/>
      <c r="N26" s="92"/>
      <c r="O26" s="92"/>
      <c r="P26" s="92"/>
    </row>
    <row r="27" spans="2:16" x14ac:dyDescent="0.25">
      <c r="B27" s="65"/>
      <c r="C27" s="65"/>
      <c r="D27" s="65"/>
      <c r="E27" s="65"/>
      <c r="F27" s="65"/>
      <c r="G27" s="65"/>
      <c r="H27" s="65"/>
      <c r="I27" s="65"/>
      <c r="J27" s="65"/>
      <c r="K27" s="65"/>
      <c r="L27" s="65"/>
      <c r="M27" s="65"/>
      <c r="N27" s="65"/>
      <c r="O27" s="65"/>
      <c r="P27" s="65"/>
    </row>
    <row r="28" spans="2:16" x14ac:dyDescent="0.25">
      <c r="B28" s="89" t="s">
        <v>647</v>
      </c>
      <c r="C28" s="91"/>
      <c r="D28" s="91"/>
      <c r="E28" s="91"/>
      <c r="F28" s="91"/>
      <c r="G28" s="91"/>
      <c r="H28" s="91"/>
      <c r="I28" s="91"/>
      <c r="J28" s="91"/>
      <c r="K28" s="91"/>
      <c r="L28" s="91"/>
      <c r="M28" s="91"/>
      <c r="N28" s="91"/>
      <c r="O28" s="91"/>
      <c r="P28" s="91"/>
    </row>
    <row r="29" spans="2:16" x14ac:dyDescent="0.25">
      <c r="B29" s="93" t="s">
        <v>648</v>
      </c>
      <c r="C29" s="93"/>
      <c r="D29" s="93"/>
      <c r="E29" s="93"/>
      <c r="F29" s="93"/>
      <c r="G29" s="93"/>
      <c r="H29" s="93"/>
      <c r="I29" s="93"/>
      <c r="J29" s="93"/>
      <c r="K29" s="93"/>
      <c r="L29" s="93"/>
      <c r="M29" s="93"/>
      <c r="N29" s="93"/>
      <c r="O29" s="93"/>
      <c r="P29" s="93"/>
    </row>
    <row r="30" spans="2:16" x14ac:dyDescent="0.25">
      <c r="B30" s="93"/>
      <c r="C30" s="93"/>
      <c r="D30" s="93"/>
      <c r="E30" s="93"/>
      <c r="F30" s="93"/>
      <c r="G30" s="93"/>
      <c r="H30" s="93"/>
      <c r="I30" s="93"/>
      <c r="J30" s="93"/>
      <c r="K30" s="93"/>
      <c r="L30" s="93"/>
      <c r="M30" s="93"/>
      <c r="N30" s="93"/>
      <c r="O30" s="93"/>
      <c r="P30" s="93"/>
    </row>
    <row r="31" spans="2:16" x14ac:dyDescent="0.25">
      <c r="B31" s="93"/>
      <c r="C31" s="93"/>
      <c r="D31" s="93"/>
      <c r="E31" s="93"/>
      <c r="F31" s="93"/>
      <c r="G31" s="93"/>
      <c r="H31" s="93"/>
      <c r="I31" s="93"/>
      <c r="J31" s="93"/>
      <c r="K31" s="93"/>
      <c r="L31" s="93"/>
      <c r="M31" s="93"/>
      <c r="N31" s="93"/>
      <c r="O31" s="93"/>
      <c r="P31" s="93"/>
    </row>
    <row r="32" spans="2:16" x14ac:dyDescent="0.25">
      <c r="B32" s="93"/>
      <c r="C32" s="93"/>
      <c r="D32" s="93"/>
      <c r="E32" s="93"/>
      <c r="F32" s="93"/>
      <c r="G32" s="93"/>
      <c r="H32" s="93"/>
      <c r="I32" s="93"/>
      <c r="J32" s="93"/>
      <c r="K32" s="93"/>
      <c r="L32" s="93"/>
      <c r="M32" s="93"/>
      <c r="N32" s="93"/>
      <c r="O32" s="93"/>
      <c r="P32" s="93"/>
    </row>
    <row r="33" spans="2:16" x14ac:dyDescent="0.25">
      <c r="B33" s="93"/>
      <c r="C33" s="93"/>
      <c r="D33" s="93"/>
      <c r="E33" s="93"/>
      <c r="F33" s="93"/>
      <c r="G33" s="93"/>
      <c r="H33" s="93"/>
      <c r="I33" s="93"/>
      <c r="J33" s="93"/>
      <c r="K33" s="93"/>
      <c r="L33" s="93"/>
      <c r="M33" s="93"/>
      <c r="N33" s="93"/>
      <c r="O33" s="93"/>
      <c r="P33" s="93"/>
    </row>
    <row r="34" spans="2:16" x14ac:dyDescent="0.25">
      <c r="B34" s="93"/>
      <c r="C34" s="93"/>
      <c r="D34" s="93"/>
      <c r="E34" s="93"/>
      <c r="F34" s="93"/>
      <c r="G34" s="93"/>
      <c r="H34" s="93"/>
      <c r="I34" s="93"/>
      <c r="J34" s="93"/>
      <c r="K34" s="93"/>
      <c r="L34" s="93"/>
      <c r="M34" s="93"/>
      <c r="N34" s="93"/>
      <c r="O34" s="93"/>
      <c r="P34" s="93"/>
    </row>
    <row r="35" spans="2:16" x14ac:dyDescent="0.25">
      <c r="B35" s="93"/>
      <c r="C35" s="93"/>
      <c r="D35" s="93"/>
      <c r="E35" s="93"/>
      <c r="F35" s="93"/>
      <c r="G35" s="93"/>
      <c r="H35" s="93"/>
      <c r="I35" s="93"/>
      <c r="J35" s="93"/>
      <c r="K35" s="93"/>
      <c r="L35" s="93"/>
      <c r="M35" s="93"/>
      <c r="N35" s="93"/>
      <c r="O35" s="93"/>
      <c r="P35" s="93"/>
    </row>
    <row r="36" spans="2:16" x14ac:dyDescent="0.25">
      <c r="B36" s="93"/>
      <c r="C36" s="93"/>
      <c r="D36" s="93"/>
      <c r="E36" s="93"/>
      <c r="F36" s="93"/>
      <c r="G36" s="93"/>
      <c r="H36" s="93"/>
      <c r="I36" s="93"/>
      <c r="J36" s="93"/>
      <c r="K36" s="93"/>
      <c r="L36" s="93"/>
      <c r="M36" s="93"/>
      <c r="N36" s="93"/>
      <c r="O36" s="93"/>
      <c r="P36" s="93"/>
    </row>
    <row r="37" spans="2:16" x14ac:dyDescent="0.25">
      <c r="B37" s="93"/>
      <c r="C37" s="93"/>
      <c r="D37" s="93"/>
      <c r="E37" s="93"/>
      <c r="F37" s="93"/>
      <c r="G37" s="93"/>
      <c r="H37" s="93"/>
      <c r="I37" s="93"/>
      <c r="J37" s="93"/>
      <c r="K37" s="93"/>
      <c r="L37" s="93"/>
      <c r="M37" s="93"/>
      <c r="N37" s="93"/>
      <c r="O37" s="93"/>
      <c r="P37" s="93"/>
    </row>
    <row r="38" spans="2:16" x14ac:dyDescent="0.25">
      <c r="B38" s="93"/>
      <c r="C38" s="93"/>
      <c r="D38" s="93"/>
      <c r="E38" s="93"/>
      <c r="F38" s="93"/>
      <c r="G38" s="93"/>
      <c r="H38" s="93"/>
      <c r="I38" s="93"/>
      <c r="J38" s="93"/>
      <c r="K38" s="93"/>
      <c r="L38" s="93"/>
      <c r="M38" s="93"/>
      <c r="N38" s="93"/>
      <c r="O38" s="93"/>
      <c r="P38" s="93"/>
    </row>
  </sheetData>
  <mergeCells count="3">
    <mergeCell ref="B3:P12"/>
    <mergeCell ref="B16:P25"/>
    <mergeCell ref="B29:P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Equipo</vt:lpstr>
      <vt:lpstr>Credito Simple</vt:lpstr>
      <vt:lpstr>Credito Revolvente</vt:lpstr>
      <vt:lpstr>Balance</vt:lpstr>
      <vt:lpstr>LCR</vt:lpstr>
      <vt:lpstr>NSFR</vt:lpstr>
      <vt:lpstr>Gap Liquidez</vt:lpstr>
      <vt:lpstr>Gap Tasas</vt:lpstr>
      <vt:lpstr>VaR Crédito</vt:lpstr>
      <vt:lpstr>VaR HQLA</vt:lpstr>
      <vt:lpstr>Propuestas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OCEGUERA GOMEZ, ABRAHAM</dc:creator>
  <cp:keywords/>
  <dc:description/>
  <cp:lastModifiedBy>GOMEZ JIMENEZ, SAMUEL</cp:lastModifiedBy>
  <cp:revision/>
  <dcterms:created xsi:type="dcterms:W3CDTF">2026-05-12T00:35:40Z</dcterms:created>
  <dcterms:modified xsi:type="dcterms:W3CDTF">2026-05-15T23:23:26Z</dcterms:modified>
  <cp:category/>
  <cp:contentStatus/>
</cp:coreProperties>
</file>