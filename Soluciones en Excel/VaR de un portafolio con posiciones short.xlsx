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Soluciones en Excel/"/>
    </mc:Choice>
  </mc:AlternateContent>
  <xr:revisionPtr revIDLastSave="0" documentId="13_ncr:1_{FCB51251-6E83-41D3-AA73-A806614FC93F}" xr6:coauthVersionLast="47" xr6:coauthVersionMax="47" xr10:uidLastSave="{00000000-0000-0000-0000-000000000000}"/>
  <bookViews>
    <workbookView xWindow="-23148" yWindow="-108" windowWidth="23256" windowHeight="12456" xr2:uid="{A7AE65DD-D022-4779-85BC-73538DC90FA6}"/>
  </bookViews>
  <sheets>
    <sheet name="VaR port long only" sheetId="2" r:id="rId1"/>
    <sheet name="VaR port long &amp; short" sheetId="5" r:id="rId2"/>
    <sheet name="Correl 1.0" sheetId="6" r:id="rId3"/>
    <sheet name="SOXX" sheetId="3" r:id="rId4"/>
    <sheet name="IBB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F10" i="2"/>
  <c r="E10" i="2"/>
  <c r="I14" i="5"/>
  <c r="F264" i="6"/>
  <c r="E264" i="6"/>
  <c r="I264" i="6" s="1"/>
  <c r="I263" i="6"/>
  <c r="F263" i="6"/>
  <c r="E263" i="6"/>
  <c r="F262" i="6"/>
  <c r="E262" i="6"/>
  <c r="I262" i="6" s="1"/>
  <c r="F261" i="6"/>
  <c r="E261" i="6"/>
  <c r="I261" i="6" s="1"/>
  <c r="F260" i="6"/>
  <c r="E260" i="6"/>
  <c r="F259" i="6"/>
  <c r="E259" i="6"/>
  <c r="F258" i="6"/>
  <c r="I258" i="6" s="1"/>
  <c r="E258" i="6"/>
  <c r="F257" i="6"/>
  <c r="E257" i="6"/>
  <c r="I257" i="6" s="1"/>
  <c r="F256" i="6"/>
  <c r="E256" i="6"/>
  <c r="I256" i="6" s="1"/>
  <c r="I255" i="6"/>
  <c r="F255" i="6"/>
  <c r="E255" i="6"/>
  <c r="F254" i="6"/>
  <c r="E254" i="6"/>
  <c r="F253" i="6"/>
  <c r="E253" i="6"/>
  <c r="I253" i="6" s="1"/>
  <c r="F252" i="6"/>
  <c r="E252" i="6"/>
  <c r="F251" i="6"/>
  <c r="E251" i="6"/>
  <c r="F250" i="6"/>
  <c r="I250" i="6" s="1"/>
  <c r="E250" i="6"/>
  <c r="F249" i="6"/>
  <c r="E249" i="6"/>
  <c r="I249" i="6" s="1"/>
  <c r="F248" i="6"/>
  <c r="E248" i="6"/>
  <c r="I248" i="6" s="1"/>
  <c r="I247" i="6"/>
  <c r="F247" i="6"/>
  <c r="E247" i="6"/>
  <c r="F246" i="6"/>
  <c r="E246" i="6"/>
  <c r="F245" i="6"/>
  <c r="E245" i="6"/>
  <c r="I245" i="6" s="1"/>
  <c r="F244" i="6"/>
  <c r="E244" i="6"/>
  <c r="F243" i="6"/>
  <c r="E243" i="6"/>
  <c r="F242" i="6"/>
  <c r="I242" i="6" s="1"/>
  <c r="E242" i="6"/>
  <c r="F241" i="6"/>
  <c r="E241" i="6"/>
  <c r="I241" i="6" s="1"/>
  <c r="F240" i="6"/>
  <c r="E240" i="6"/>
  <c r="I240" i="6" s="1"/>
  <c r="I239" i="6"/>
  <c r="F239" i="6"/>
  <c r="E239" i="6"/>
  <c r="F238" i="6"/>
  <c r="E238" i="6"/>
  <c r="F237" i="6"/>
  <c r="E237" i="6"/>
  <c r="I237" i="6" s="1"/>
  <c r="F236" i="6"/>
  <c r="E236" i="6"/>
  <c r="F235" i="6"/>
  <c r="E235" i="6"/>
  <c r="I235" i="6" s="1"/>
  <c r="F234" i="6"/>
  <c r="I234" i="6" s="1"/>
  <c r="E234" i="6"/>
  <c r="F233" i="6"/>
  <c r="E233" i="6"/>
  <c r="I233" i="6" s="1"/>
  <c r="F232" i="6"/>
  <c r="E232" i="6"/>
  <c r="I232" i="6" s="1"/>
  <c r="I231" i="6"/>
  <c r="F231" i="6"/>
  <c r="E231" i="6"/>
  <c r="F230" i="6"/>
  <c r="E230" i="6"/>
  <c r="F229" i="6"/>
  <c r="E229" i="6"/>
  <c r="I229" i="6" s="1"/>
  <c r="F228" i="6"/>
  <c r="E228" i="6"/>
  <c r="F227" i="6"/>
  <c r="E227" i="6"/>
  <c r="I227" i="6" s="1"/>
  <c r="F226" i="6"/>
  <c r="I226" i="6" s="1"/>
  <c r="E226" i="6"/>
  <c r="F225" i="6"/>
  <c r="E225" i="6"/>
  <c r="I225" i="6" s="1"/>
  <c r="F224" i="6"/>
  <c r="E224" i="6"/>
  <c r="I224" i="6" s="1"/>
  <c r="I223" i="6"/>
  <c r="F223" i="6"/>
  <c r="E223" i="6"/>
  <c r="F222" i="6"/>
  <c r="E222" i="6"/>
  <c r="F221" i="6"/>
  <c r="E221" i="6"/>
  <c r="I221" i="6" s="1"/>
  <c r="F220" i="6"/>
  <c r="E220" i="6"/>
  <c r="F219" i="6"/>
  <c r="E219" i="6"/>
  <c r="I219" i="6" s="1"/>
  <c r="F218" i="6"/>
  <c r="I218" i="6" s="1"/>
  <c r="E218" i="6"/>
  <c r="F217" i="6"/>
  <c r="E217" i="6"/>
  <c r="I217" i="6" s="1"/>
  <c r="F216" i="6"/>
  <c r="E216" i="6"/>
  <c r="I216" i="6" s="1"/>
  <c r="I215" i="6"/>
  <c r="F215" i="6"/>
  <c r="E215" i="6"/>
  <c r="F214" i="6"/>
  <c r="E214" i="6"/>
  <c r="F213" i="6"/>
  <c r="E213" i="6"/>
  <c r="I213" i="6" s="1"/>
  <c r="F212" i="6"/>
  <c r="E212" i="6"/>
  <c r="F211" i="6"/>
  <c r="E211" i="6"/>
  <c r="I211" i="6" s="1"/>
  <c r="F210" i="6"/>
  <c r="I210" i="6" s="1"/>
  <c r="E210" i="6"/>
  <c r="F209" i="6"/>
  <c r="E209" i="6"/>
  <c r="I209" i="6" s="1"/>
  <c r="F208" i="6"/>
  <c r="E208" i="6"/>
  <c r="I208" i="6" s="1"/>
  <c r="I207" i="6"/>
  <c r="F207" i="6"/>
  <c r="E207" i="6"/>
  <c r="F206" i="6"/>
  <c r="E206" i="6"/>
  <c r="I206" i="6" s="1"/>
  <c r="F205" i="6"/>
  <c r="E205" i="6"/>
  <c r="I205" i="6" s="1"/>
  <c r="F204" i="6"/>
  <c r="E204" i="6"/>
  <c r="F203" i="6"/>
  <c r="E203" i="6"/>
  <c r="I203" i="6" s="1"/>
  <c r="F202" i="6"/>
  <c r="I202" i="6" s="1"/>
  <c r="E202" i="6"/>
  <c r="F201" i="6"/>
  <c r="E201" i="6"/>
  <c r="I201" i="6" s="1"/>
  <c r="F200" i="6"/>
  <c r="E200" i="6"/>
  <c r="I200" i="6" s="1"/>
  <c r="I199" i="6"/>
  <c r="F199" i="6"/>
  <c r="E199" i="6"/>
  <c r="F198" i="6"/>
  <c r="E198" i="6"/>
  <c r="I198" i="6" s="1"/>
  <c r="F197" i="6"/>
  <c r="E197" i="6"/>
  <c r="I197" i="6" s="1"/>
  <c r="F196" i="6"/>
  <c r="E196" i="6"/>
  <c r="F195" i="6"/>
  <c r="E195" i="6"/>
  <c r="I195" i="6" s="1"/>
  <c r="F194" i="6"/>
  <c r="I194" i="6" s="1"/>
  <c r="E194" i="6"/>
  <c r="F193" i="6"/>
  <c r="E193" i="6"/>
  <c r="I193" i="6" s="1"/>
  <c r="F192" i="6"/>
  <c r="E192" i="6"/>
  <c r="I192" i="6" s="1"/>
  <c r="I191" i="6"/>
  <c r="F191" i="6"/>
  <c r="E191" i="6"/>
  <c r="F190" i="6"/>
  <c r="E190" i="6"/>
  <c r="I190" i="6" s="1"/>
  <c r="F189" i="6"/>
  <c r="E189" i="6"/>
  <c r="I189" i="6" s="1"/>
  <c r="F188" i="6"/>
  <c r="E188" i="6"/>
  <c r="F187" i="6"/>
  <c r="E187" i="6"/>
  <c r="I187" i="6" s="1"/>
  <c r="F186" i="6"/>
  <c r="I186" i="6" s="1"/>
  <c r="E186" i="6"/>
  <c r="F185" i="6"/>
  <c r="E185" i="6"/>
  <c r="I185" i="6" s="1"/>
  <c r="F184" i="6"/>
  <c r="E184" i="6"/>
  <c r="I184" i="6" s="1"/>
  <c r="I183" i="6"/>
  <c r="F183" i="6"/>
  <c r="E183" i="6"/>
  <c r="F182" i="6"/>
  <c r="E182" i="6"/>
  <c r="I182" i="6" s="1"/>
  <c r="F181" i="6"/>
  <c r="E181" i="6"/>
  <c r="I181" i="6" s="1"/>
  <c r="F180" i="6"/>
  <c r="E180" i="6"/>
  <c r="F179" i="6"/>
  <c r="E179" i="6"/>
  <c r="I179" i="6" s="1"/>
  <c r="F178" i="6"/>
  <c r="I178" i="6" s="1"/>
  <c r="E178" i="6"/>
  <c r="F177" i="6"/>
  <c r="E177" i="6"/>
  <c r="I177" i="6" s="1"/>
  <c r="F176" i="6"/>
  <c r="E176" i="6"/>
  <c r="I176" i="6" s="1"/>
  <c r="I175" i="6"/>
  <c r="F175" i="6"/>
  <c r="E175" i="6"/>
  <c r="F174" i="6"/>
  <c r="E174" i="6"/>
  <c r="I174" i="6" s="1"/>
  <c r="F173" i="6"/>
  <c r="E173" i="6"/>
  <c r="I173" i="6" s="1"/>
  <c r="F172" i="6"/>
  <c r="E172" i="6"/>
  <c r="F171" i="6"/>
  <c r="E171" i="6"/>
  <c r="I171" i="6" s="1"/>
  <c r="F170" i="6"/>
  <c r="I170" i="6" s="1"/>
  <c r="E170" i="6"/>
  <c r="F169" i="6"/>
  <c r="E169" i="6"/>
  <c r="I169" i="6" s="1"/>
  <c r="F168" i="6"/>
  <c r="E168" i="6"/>
  <c r="I168" i="6" s="1"/>
  <c r="I167" i="6"/>
  <c r="F167" i="6"/>
  <c r="E167" i="6"/>
  <c r="F166" i="6"/>
  <c r="E166" i="6"/>
  <c r="I166" i="6" s="1"/>
  <c r="F165" i="6"/>
  <c r="E165" i="6"/>
  <c r="I165" i="6" s="1"/>
  <c r="F164" i="6"/>
  <c r="E164" i="6"/>
  <c r="F163" i="6"/>
  <c r="E163" i="6"/>
  <c r="I163" i="6" s="1"/>
  <c r="F162" i="6"/>
  <c r="I162" i="6" s="1"/>
  <c r="E162" i="6"/>
  <c r="F161" i="6"/>
  <c r="E161" i="6"/>
  <c r="I161" i="6" s="1"/>
  <c r="F160" i="6"/>
  <c r="E160" i="6"/>
  <c r="I160" i="6" s="1"/>
  <c r="I159" i="6"/>
  <c r="F159" i="6"/>
  <c r="E159" i="6"/>
  <c r="F158" i="6"/>
  <c r="E158" i="6"/>
  <c r="I158" i="6" s="1"/>
  <c r="F157" i="6"/>
  <c r="E157" i="6"/>
  <c r="I157" i="6" s="1"/>
  <c r="F156" i="6"/>
  <c r="E156" i="6"/>
  <c r="F155" i="6"/>
  <c r="E155" i="6"/>
  <c r="I155" i="6" s="1"/>
  <c r="F154" i="6"/>
  <c r="I154" i="6" s="1"/>
  <c r="E154" i="6"/>
  <c r="F153" i="6"/>
  <c r="E153" i="6"/>
  <c r="I153" i="6" s="1"/>
  <c r="F152" i="6"/>
  <c r="E152" i="6"/>
  <c r="I152" i="6" s="1"/>
  <c r="I151" i="6"/>
  <c r="F151" i="6"/>
  <c r="E151" i="6"/>
  <c r="F150" i="6"/>
  <c r="E150" i="6"/>
  <c r="I150" i="6" s="1"/>
  <c r="F149" i="6"/>
  <c r="E149" i="6"/>
  <c r="I149" i="6" s="1"/>
  <c r="F148" i="6"/>
  <c r="E148" i="6"/>
  <c r="F147" i="6"/>
  <c r="E147" i="6"/>
  <c r="I147" i="6" s="1"/>
  <c r="F146" i="6"/>
  <c r="I146" i="6" s="1"/>
  <c r="E146" i="6"/>
  <c r="F145" i="6"/>
  <c r="E145" i="6"/>
  <c r="I145" i="6" s="1"/>
  <c r="F144" i="6"/>
  <c r="E144" i="6"/>
  <c r="I144" i="6" s="1"/>
  <c r="I143" i="6"/>
  <c r="F143" i="6"/>
  <c r="E143" i="6"/>
  <c r="F142" i="6"/>
  <c r="E142" i="6"/>
  <c r="I142" i="6" s="1"/>
  <c r="F141" i="6"/>
  <c r="E141" i="6"/>
  <c r="I141" i="6" s="1"/>
  <c r="F140" i="6"/>
  <c r="E140" i="6"/>
  <c r="F139" i="6"/>
  <c r="E139" i="6"/>
  <c r="I139" i="6" s="1"/>
  <c r="F138" i="6"/>
  <c r="I138" i="6" s="1"/>
  <c r="E138" i="6"/>
  <c r="F137" i="6"/>
  <c r="E137" i="6"/>
  <c r="I137" i="6" s="1"/>
  <c r="F136" i="6"/>
  <c r="E136" i="6"/>
  <c r="I136" i="6" s="1"/>
  <c r="I135" i="6"/>
  <c r="F135" i="6"/>
  <c r="E135" i="6"/>
  <c r="F134" i="6"/>
  <c r="E134" i="6"/>
  <c r="I134" i="6" s="1"/>
  <c r="F133" i="6"/>
  <c r="E133" i="6"/>
  <c r="I133" i="6" s="1"/>
  <c r="F132" i="6"/>
  <c r="E132" i="6"/>
  <c r="F131" i="6"/>
  <c r="E131" i="6"/>
  <c r="I131" i="6" s="1"/>
  <c r="F130" i="6"/>
  <c r="I130" i="6" s="1"/>
  <c r="E130" i="6"/>
  <c r="F129" i="6"/>
  <c r="E129" i="6"/>
  <c r="I129" i="6" s="1"/>
  <c r="F128" i="6"/>
  <c r="E128" i="6"/>
  <c r="I128" i="6" s="1"/>
  <c r="I127" i="6"/>
  <c r="F127" i="6"/>
  <c r="E127" i="6"/>
  <c r="F126" i="6"/>
  <c r="E126" i="6"/>
  <c r="I126" i="6" s="1"/>
  <c r="F125" i="6"/>
  <c r="E125" i="6"/>
  <c r="I125" i="6" s="1"/>
  <c r="F124" i="6"/>
  <c r="E124" i="6"/>
  <c r="F123" i="6"/>
  <c r="E123" i="6"/>
  <c r="I123" i="6" s="1"/>
  <c r="F122" i="6"/>
  <c r="I122" i="6" s="1"/>
  <c r="E122" i="6"/>
  <c r="F121" i="6"/>
  <c r="E121" i="6"/>
  <c r="I121" i="6" s="1"/>
  <c r="F120" i="6"/>
  <c r="E120" i="6"/>
  <c r="I120" i="6" s="1"/>
  <c r="I119" i="6"/>
  <c r="F119" i="6"/>
  <c r="E119" i="6"/>
  <c r="F118" i="6"/>
  <c r="E118" i="6"/>
  <c r="I118" i="6" s="1"/>
  <c r="F117" i="6"/>
  <c r="E117" i="6"/>
  <c r="I117" i="6" s="1"/>
  <c r="F116" i="6"/>
  <c r="E116" i="6"/>
  <c r="F115" i="6"/>
  <c r="E115" i="6"/>
  <c r="I115" i="6" s="1"/>
  <c r="F114" i="6"/>
  <c r="I114" i="6" s="1"/>
  <c r="E114" i="6"/>
  <c r="F113" i="6"/>
  <c r="E113" i="6"/>
  <c r="I113" i="6" s="1"/>
  <c r="F112" i="6"/>
  <c r="E112" i="6"/>
  <c r="I112" i="6" s="1"/>
  <c r="I111" i="6"/>
  <c r="F111" i="6"/>
  <c r="E111" i="6"/>
  <c r="F110" i="6"/>
  <c r="E110" i="6"/>
  <c r="I110" i="6" s="1"/>
  <c r="F109" i="6"/>
  <c r="E109" i="6"/>
  <c r="I109" i="6" s="1"/>
  <c r="F108" i="6"/>
  <c r="E108" i="6"/>
  <c r="F107" i="6"/>
  <c r="E107" i="6"/>
  <c r="I107" i="6" s="1"/>
  <c r="F106" i="6"/>
  <c r="I106" i="6" s="1"/>
  <c r="E106" i="6"/>
  <c r="F105" i="6"/>
  <c r="E105" i="6"/>
  <c r="I105" i="6" s="1"/>
  <c r="F104" i="6"/>
  <c r="E104" i="6"/>
  <c r="I104" i="6" s="1"/>
  <c r="I103" i="6"/>
  <c r="F103" i="6"/>
  <c r="E103" i="6"/>
  <c r="F102" i="6"/>
  <c r="E102" i="6"/>
  <c r="I102" i="6" s="1"/>
  <c r="F101" i="6"/>
  <c r="E101" i="6"/>
  <c r="I101" i="6" s="1"/>
  <c r="F100" i="6"/>
  <c r="E100" i="6"/>
  <c r="F99" i="6"/>
  <c r="E99" i="6"/>
  <c r="I99" i="6" s="1"/>
  <c r="F98" i="6"/>
  <c r="I98" i="6" s="1"/>
  <c r="E98" i="6"/>
  <c r="F97" i="6"/>
  <c r="E97" i="6"/>
  <c r="I97" i="6" s="1"/>
  <c r="F96" i="6"/>
  <c r="E96" i="6"/>
  <c r="I96" i="6" s="1"/>
  <c r="I95" i="6"/>
  <c r="F95" i="6"/>
  <c r="E95" i="6"/>
  <c r="F94" i="6"/>
  <c r="E94" i="6"/>
  <c r="I94" i="6" s="1"/>
  <c r="F93" i="6"/>
  <c r="E93" i="6"/>
  <c r="I93" i="6" s="1"/>
  <c r="F92" i="6"/>
  <c r="E92" i="6"/>
  <c r="F91" i="6"/>
  <c r="E91" i="6"/>
  <c r="I91" i="6" s="1"/>
  <c r="F90" i="6"/>
  <c r="I90" i="6" s="1"/>
  <c r="E90" i="6"/>
  <c r="F89" i="6"/>
  <c r="E89" i="6"/>
  <c r="I89" i="6" s="1"/>
  <c r="F88" i="6"/>
  <c r="E88" i="6"/>
  <c r="I88" i="6" s="1"/>
  <c r="I87" i="6"/>
  <c r="F87" i="6"/>
  <c r="E87" i="6"/>
  <c r="F86" i="6"/>
  <c r="E86" i="6"/>
  <c r="I86" i="6" s="1"/>
  <c r="F85" i="6"/>
  <c r="E85" i="6"/>
  <c r="I85" i="6" s="1"/>
  <c r="F84" i="6"/>
  <c r="E84" i="6"/>
  <c r="F83" i="6"/>
  <c r="E83" i="6"/>
  <c r="I83" i="6" s="1"/>
  <c r="F82" i="6"/>
  <c r="I82" i="6" s="1"/>
  <c r="E82" i="6"/>
  <c r="F81" i="6"/>
  <c r="E81" i="6"/>
  <c r="I81" i="6" s="1"/>
  <c r="F80" i="6"/>
  <c r="E80" i="6"/>
  <c r="I80" i="6" s="1"/>
  <c r="I79" i="6"/>
  <c r="F79" i="6"/>
  <c r="E79" i="6"/>
  <c r="F78" i="6"/>
  <c r="E78" i="6"/>
  <c r="I78" i="6" s="1"/>
  <c r="F77" i="6"/>
  <c r="E77" i="6"/>
  <c r="I77" i="6" s="1"/>
  <c r="F76" i="6"/>
  <c r="E76" i="6"/>
  <c r="F75" i="6"/>
  <c r="E75" i="6"/>
  <c r="I75" i="6" s="1"/>
  <c r="F74" i="6"/>
  <c r="I74" i="6" s="1"/>
  <c r="E74" i="6"/>
  <c r="F73" i="6"/>
  <c r="E73" i="6"/>
  <c r="I73" i="6" s="1"/>
  <c r="F72" i="6"/>
  <c r="E72" i="6"/>
  <c r="I72" i="6" s="1"/>
  <c r="I71" i="6"/>
  <c r="F71" i="6"/>
  <c r="E71" i="6"/>
  <c r="F70" i="6"/>
  <c r="E70" i="6"/>
  <c r="I70" i="6" s="1"/>
  <c r="F69" i="6"/>
  <c r="E69" i="6"/>
  <c r="I69" i="6" s="1"/>
  <c r="F68" i="6"/>
  <c r="E68" i="6"/>
  <c r="F67" i="6"/>
  <c r="E67" i="6"/>
  <c r="I67" i="6" s="1"/>
  <c r="F66" i="6"/>
  <c r="I66" i="6" s="1"/>
  <c r="E66" i="6"/>
  <c r="F65" i="6"/>
  <c r="E65" i="6"/>
  <c r="I65" i="6" s="1"/>
  <c r="F64" i="6"/>
  <c r="E64" i="6"/>
  <c r="I64" i="6" s="1"/>
  <c r="I63" i="6"/>
  <c r="F63" i="6"/>
  <c r="E63" i="6"/>
  <c r="F62" i="6"/>
  <c r="E62" i="6"/>
  <c r="I62" i="6" s="1"/>
  <c r="F61" i="6"/>
  <c r="E61" i="6"/>
  <c r="I61" i="6" s="1"/>
  <c r="F60" i="6"/>
  <c r="E60" i="6"/>
  <c r="F59" i="6"/>
  <c r="E59" i="6"/>
  <c r="I59" i="6" s="1"/>
  <c r="F58" i="6"/>
  <c r="I58" i="6" s="1"/>
  <c r="E58" i="6"/>
  <c r="F57" i="6"/>
  <c r="E57" i="6"/>
  <c r="I57" i="6" s="1"/>
  <c r="F56" i="6"/>
  <c r="E56" i="6"/>
  <c r="I56" i="6" s="1"/>
  <c r="I55" i="6"/>
  <c r="F55" i="6"/>
  <c r="E55" i="6"/>
  <c r="F54" i="6"/>
  <c r="E54" i="6"/>
  <c r="I54" i="6" s="1"/>
  <c r="F53" i="6"/>
  <c r="E53" i="6"/>
  <c r="I53" i="6" s="1"/>
  <c r="F52" i="6"/>
  <c r="E52" i="6"/>
  <c r="F51" i="6"/>
  <c r="E51" i="6"/>
  <c r="I51" i="6" s="1"/>
  <c r="F50" i="6"/>
  <c r="I50" i="6" s="1"/>
  <c r="E50" i="6"/>
  <c r="F49" i="6"/>
  <c r="E49" i="6"/>
  <c r="I49" i="6" s="1"/>
  <c r="F48" i="6"/>
  <c r="E48" i="6"/>
  <c r="I48" i="6" s="1"/>
  <c r="I47" i="6"/>
  <c r="F47" i="6"/>
  <c r="E47" i="6"/>
  <c r="F46" i="6"/>
  <c r="E46" i="6"/>
  <c r="I46" i="6" s="1"/>
  <c r="F45" i="6"/>
  <c r="E45" i="6"/>
  <c r="I45" i="6" s="1"/>
  <c r="F44" i="6"/>
  <c r="E44" i="6"/>
  <c r="I43" i="6"/>
  <c r="F43" i="6"/>
  <c r="E43" i="6"/>
  <c r="F42" i="6"/>
  <c r="I42" i="6" s="1"/>
  <c r="E42" i="6"/>
  <c r="F41" i="6"/>
  <c r="E41" i="6"/>
  <c r="I41" i="6" s="1"/>
  <c r="F40" i="6"/>
  <c r="E40" i="6"/>
  <c r="I40" i="6" s="1"/>
  <c r="I39" i="6"/>
  <c r="F39" i="6"/>
  <c r="E39" i="6"/>
  <c r="F38" i="6"/>
  <c r="E38" i="6"/>
  <c r="I38" i="6" s="1"/>
  <c r="F37" i="6"/>
  <c r="E37" i="6"/>
  <c r="I37" i="6" s="1"/>
  <c r="F36" i="6"/>
  <c r="E36" i="6"/>
  <c r="F35" i="6"/>
  <c r="E35" i="6"/>
  <c r="I35" i="6" s="1"/>
  <c r="F34" i="6"/>
  <c r="I34" i="6" s="1"/>
  <c r="E34" i="6"/>
  <c r="F33" i="6"/>
  <c r="E33" i="6"/>
  <c r="I33" i="6" s="1"/>
  <c r="F32" i="6"/>
  <c r="E32" i="6"/>
  <c r="I32" i="6" s="1"/>
  <c r="I31" i="6"/>
  <c r="F31" i="6"/>
  <c r="E31" i="6"/>
  <c r="F30" i="6"/>
  <c r="E30" i="6"/>
  <c r="I30" i="6" s="1"/>
  <c r="F29" i="6"/>
  <c r="E29" i="6"/>
  <c r="I29" i="6" s="1"/>
  <c r="F28" i="6"/>
  <c r="E28" i="6"/>
  <c r="F27" i="6"/>
  <c r="E27" i="6"/>
  <c r="I27" i="6" s="1"/>
  <c r="F26" i="6"/>
  <c r="I26" i="6" s="1"/>
  <c r="E26" i="6"/>
  <c r="F25" i="6"/>
  <c r="E25" i="6"/>
  <c r="I25" i="6" s="1"/>
  <c r="F24" i="6"/>
  <c r="E24" i="6"/>
  <c r="I24" i="6" s="1"/>
  <c r="I23" i="6"/>
  <c r="F23" i="6"/>
  <c r="E23" i="6"/>
  <c r="F22" i="6"/>
  <c r="E22" i="6"/>
  <c r="I22" i="6" s="1"/>
  <c r="F21" i="6"/>
  <c r="E21" i="6"/>
  <c r="I21" i="6" s="1"/>
  <c r="F20" i="6"/>
  <c r="E20" i="6"/>
  <c r="F19" i="6"/>
  <c r="E19" i="6"/>
  <c r="I19" i="6" s="1"/>
  <c r="F18" i="6"/>
  <c r="I18" i="6" s="1"/>
  <c r="E18" i="6"/>
  <c r="F17" i="6"/>
  <c r="E17" i="6"/>
  <c r="I17" i="6" s="1"/>
  <c r="F16" i="6"/>
  <c r="E16" i="6"/>
  <c r="I16" i="6" s="1"/>
  <c r="I15" i="6"/>
  <c r="F15" i="6"/>
  <c r="E15" i="6"/>
  <c r="I260" i="6"/>
  <c r="F14" i="6"/>
  <c r="E14" i="6"/>
  <c r="I14" i="6" s="1"/>
  <c r="F264" i="5"/>
  <c r="E264" i="5"/>
  <c r="I264" i="5" s="1"/>
  <c r="F263" i="5"/>
  <c r="E263" i="5"/>
  <c r="I263" i="5" s="1"/>
  <c r="F262" i="5"/>
  <c r="E262" i="5"/>
  <c r="I262" i="5" s="1"/>
  <c r="F261" i="5"/>
  <c r="E261" i="5"/>
  <c r="I261" i="5" s="1"/>
  <c r="F260" i="5"/>
  <c r="E260" i="5"/>
  <c r="I260" i="5" s="1"/>
  <c r="F259" i="5"/>
  <c r="E259" i="5"/>
  <c r="I259" i="5" s="1"/>
  <c r="F258" i="5"/>
  <c r="E258" i="5"/>
  <c r="I258" i="5" s="1"/>
  <c r="F257" i="5"/>
  <c r="E257" i="5"/>
  <c r="I257" i="5" s="1"/>
  <c r="F256" i="5"/>
  <c r="E256" i="5"/>
  <c r="I256" i="5" s="1"/>
  <c r="I255" i="5"/>
  <c r="F255" i="5"/>
  <c r="E255" i="5"/>
  <c r="F254" i="5"/>
  <c r="E254" i="5"/>
  <c r="F253" i="5"/>
  <c r="E253" i="5"/>
  <c r="I253" i="5" s="1"/>
  <c r="I252" i="5"/>
  <c r="F252" i="5"/>
  <c r="E252" i="5"/>
  <c r="F251" i="5"/>
  <c r="E251" i="5"/>
  <c r="I251" i="5" s="1"/>
  <c r="F250" i="5"/>
  <c r="E250" i="5"/>
  <c r="I250" i="5" s="1"/>
  <c r="F249" i="5"/>
  <c r="E249" i="5"/>
  <c r="F248" i="5"/>
  <c r="E248" i="5"/>
  <c r="I248" i="5" s="1"/>
  <c r="I247" i="5"/>
  <c r="F247" i="5"/>
  <c r="E247" i="5"/>
  <c r="F246" i="5"/>
  <c r="E246" i="5"/>
  <c r="F245" i="5"/>
  <c r="E245" i="5"/>
  <c r="I245" i="5" s="1"/>
  <c r="I244" i="5"/>
  <c r="F244" i="5"/>
  <c r="E244" i="5"/>
  <c r="F243" i="5"/>
  <c r="E243" i="5"/>
  <c r="I243" i="5" s="1"/>
  <c r="F242" i="5"/>
  <c r="E242" i="5"/>
  <c r="I242" i="5" s="1"/>
  <c r="F241" i="5"/>
  <c r="E241" i="5"/>
  <c r="F240" i="5"/>
  <c r="E240" i="5"/>
  <c r="I240" i="5" s="1"/>
  <c r="I239" i="5"/>
  <c r="F239" i="5"/>
  <c r="E239" i="5"/>
  <c r="F238" i="5"/>
  <c r="E238" i="5"/>
  <c r="F237" i="5"/>
  <c r="E237" i="5"/>
  <c r="I237" i="5" s="1"/>
  <c r="I236" i="5"/>
  <c r="F236" i="5"/>
  <c r="E236" i="5"/>
  <c r="F235" i="5"/>
  <c r="E235" i="5"/>
  <c r="I235" i="5" s="1"/>
  <c r="F234" i="5"/>
  <c r="E234" i="5"/>
  <c r="I234" i="5" s="1"/>
  <c r="F233" i="5"/>
  <c r="E233" i="5"/>
  <c r="F232" i="5"/>
  <c r="E232" i="5"/>
  <c r="I232" i="5" s="1"/>
  <c r="I231" i="5"/>
  <c r="F231" i="5"/>
  <c r="E231" i="5"/>
  <c r="F230" i="5"/>
  <c r="E230" i="5"/>
  <c r="F229" i="5"/>
  <c r="E229" i="5"/>
  <c r="I229" i="5" s="1"/>
  <c r="I228" i="5"/>
  <c r="F228" i="5"/>
  <c r="E228" i="5"/>
  <c r="F227" i="5"/>
  <c r="E227" i="5"/>
  <c r="I227" i="5" s="1"/>
  <c r="F226" i="5"/>
  <c r="E226" i="5"/>
  <c r="I226" i="5" s="1"/>
  <c r="F225" i="5"/>
  <c r="E225" i="5"/>
  <c r="F224" i="5"/>
  <c r="E224" i="5"/>
  <c r="I224" i="5" s="1"/>
  <c r="I223" i="5"/>
  <c r="F223" i="5"/>
  <c r="E223" i="5"/>
  <c r="F222" i="5"/>
  <c r="E222" i="5"/>
  <c r="F221" i="5"/>
  <c r="E221" i="5"/>
  <c r="I221" i="5" s="1"/>
  <c r="I220" i="5"/>
  <c r="F220" i="5"/>
  <c r="E220" i="5"/>
  <c r="F219" i="5"/>
  <c r="E219" i="5"/>
  <c r="I219" i="5" s="1"/>
  <c r="F218" i="5"/>
  <c r="E218" i="5"/>
  <c r="I218" i="5" s="1"/>
  <c r="F217" i="5"/>
  <c r="E217" i="5"/>
  <c r="F216" i="5"/>
  <c r="E216" i="5"/>
  <c r="I216" i="5" s="1"/>
  <c r="I215" i="5"/>
  <c r="F215" i="5"/>
  <c r="E215" i="5"/>
  <c r="F214" i="5"/>
  <c r="E214" i="5"/>
  <c r="F213" i="5"/>
  <c r="E213" i="5"/>
  <c r="I213" i="5" s="1"/>
  <c r="I212" i="5"/>
  <c r="F212" i="5"/>
  <c r="E212" i="5"/>
  <c r="F211" i="5"/>
  <c r="E211" i="5"/>
  <c r="I211" i="5" s="1"/>
  <c r="F210" i="5"/>
  <c r="E210" i="5"/>
  <c r="I210" i="5" s="1"/>
  <c r="F209" i="5"/>
  <c r="E209" i="5"/>
  <c r="F208" i="5"/>
  <c r="E208" i="5"/>
  <c r="I208" i="5" s="1"/>
  <c r="I207" i="5"/>
  <c r="F207" i="5"/>
  <c r="E207" i="5"/>
  <c r="F206" i="5"/>
  <c r="E206" i="5"/>
  <c r="F205" i="5"/>
  <c r="E205" i="5"/>
  <c r="I205" i="5" s="1"/>
  <c r="I204" i="5"/>
  <c r="F204" i="5"/>
  <c r="E204" i="5"/>
  <c r="F203" i="5"/>
  <c r="E203" i="5"/>
  <c r="I203" i="5" s="1"/>
  <c r="F202" i="5"/>
  <c r="E202" i="5"/>
  <c r="I202" i="5" s="1"/>
  <c r="F201" i="5"/>
  <c r="E201" i="5"/>
  <c r="F200" i="5"/>
  <c r="E200" i="5"/>
  <c r="I200" i="5" s="1"/>
  <c r="I199" i="5"/>
  <c r="F199" i="5"/>
  <c r="E199" i="5"/>
  <c r="F198" i="5"/>
  <c r="E198" i="5"/>
  <c r="F197" i="5"/>
  <c r="E197" i="5"/>
  <c r="I197" i="5" s="1"/>
  <c r="I196" i="5"/>
  <c r="F196" i="5"/>
  <c r="E196" i="5"/>
  <c r="F195" i="5"/>
  <c r="E195" i="5"/>
  <c r="I195" i="5" s="1"/>
  <c r="F194" i="5"/>
  <c r="E194" i="5"/>
  <c r="I194" i="5" s="1"/>
  <c r="F193" i="5"/>
  <c r="E193" i="5"/>
  <c r="F192" i="5"/>
  <c r="E192" i="5"/>
  <c r="I192" i="5" s="1"/>
  <c r="F191" i="5"/>
  <c r="I191" i="5" s="1"/>
  <c r="E191" i="5"/>
  <c r="F190" i="5"/>
  <c r="E190" i="5"/>
  <c r="F189" i="5"/>
  <c r="E189" i="5"/>
  <c r="I189" i="5" s="1"/>
  <c r="I188" i="5"/>
  <c r="F188" i="5"/>
  <c r="E188" i="5"/>
  <c r="F187" i="5"/>
  <c r="E187" i="5"/>
  <c r="I187" i="5" s="1"/>
  <c r="F186" i="5"/>
  <c r="E186" i="5"/>
  <c r="I186" i="5" s="1"/>
  <c r="F185" i="5"/>
  <c r="E185" i="5"/>
  <c r="F184" i="5"/>
  <c r="E184" i="5"/>
  <c r="I184" i="5" s="1"/>
  <c r="F183" i="5"/>
  <c r="I183" i="5" s="1"/>
  <c r="E183" i="5"/>
  <c r="F182" i="5"/>
  <c r="E182" i="5"/>
  <c r="F181" i="5"/>
  <c r="E181" i="5"/>
  <c r="I181" i="5" s="1"/>
  <c r="I180" i="5"/>
  <c r="F180" i="5"/>
  <c r="E180" i="5"/>
  <c r="F179" i="5"/>
  <c r="E179" i="5"/>
  <c r="I179" i="5" s="1"/>
  <c r="F178" i="5"/>
  <c r="E178" i="5"/>
  <c r="I178" i="5" s="1"/>
  <c r="F177" i="5"/>
  <c r="E177" i="5"/>
  <c r="F176" i="5"/>
  <c r="E176" i="5"/>
  <c r="I176" i="5" s="1"/>
  <c r="F175" i="5"/>
  <c r="I175" i="5" s="1"/>
  <c r="E175" i="5"/>
  <c r="F174" i="5"/>
  <c r="E174" i="5"/>
  <c r="F173" i="5"/>
  <c r="E173" i="5"/>
  <c r="I173" i="5" s="1"/>
  <c r="I172" i="5"/>
  <c r="F172" i="5"/>
  <c r="E172" i="5"/>
  <c r="F171" i="5"/>
  <c r="E171" i="5"/>
  <c r="I171" i="5" s="1"/>
  <c r="F170" i="5"/>
  <c r="E170" i="5"/>
  <c r="I170" i="5" s="1"/>
  <c r="F169" i="5"/>
  <c r="E169" i="5"/>
  <c r="F168" i="5"/>
  <c r="E168" i="5"/>
  <c r="I168" i="5" s="1"/>
  <c r="F167" i="5"/>
  <c r="I167" i="5" s="1"/>
  <c r="E167" i="5"/>
  <c r="F166" i="5"/>
  <c r="E166" i="5"/>
  <c r="F165" i="5"/>
  <c r="E165" i="5"/>
  <c r="I165" i="5" s="1"/>
  <c r="I164" i="5"/>
  <c r="F164" i="5"/>
  <c r="E164" i="5"/>
  <c r="F163" i="5"/>
  <c r="E163" i="5"/>
  <c r="I163" i="5" s="1"/>
  <c r="F162" i="5"/>
  <c r="E162" i="5"/>
  <c r="I162" i="5" s="1"/>
  <c r="F161" i="5"/>
  <c r="E161" i="5"/>
  <c r="F160" i="5"/>
  <c r="E160" i="5"/>
  <c r="I160" i="5" s="1"/>
  <c r="F159" i="5"/>
  <c r="I159" i="5" s="1"/>
  <c r="E159" i="5"/>
  <c r="F158" i="5"/>
  <c r="E158" i="5"/>
  <c r="F157" i="5"/>
  <c r="E157" i="5"/>
  <c r="I157" i="5" s="1"/>
  <c r="I156" i="5"/>
  <c r="F156" i="5"/>
  <c r="E156" i="5"/>
  <c r="F155" i="5"/>
  <c r="E155" i="5"/>
  <c r="I155" i="5" s="1"/>
  <c r="F154" i="5"/>
  <c r="E154" i="5"/>
  <c r="I154" i="5" s="1"/>
  <c r="F153" i="5"/>
  <c r="E153" i="5"/>
  <c r="F152" i="5"/>
  <c r="E152" i="5"/>
  <c r="I152" i="5" s="1"/>
  <c r="F151" i="5"/>
  <c r="I151" i="5" s="1"/>
  <c r="E151" i="5"/>
  <c r="F150" i="5"/>
  <c r="E150" i="5"/>
  <c r="F149" i="5"/>
  <c r="E149" i="5"/>
  <c r="I149" i="5" s="1"/>
  <c r="I148" i="5"/>
  <c r="F148" i="5"/>
  <c r="E148" i="5"/>
  <c r="F147" i="5"/>
  <c r="E147" i="5"/>
  <c r="I147" i="5" s="1"/>
  <c r="F146" i="5"/>
  <c r="E146" i="5"/>
  <c r="I146" i="5" s="1"/>
  <c r="F145" i="5"/>
  <c r="E145" i="5"/>
  <c r="F144" i="5"/>
  <c r="E144" i="5"/>
  <c r="I144" i="5" s="1"/>
  <c r="F143" i="5"/>
  <c r="I143" i="5" s="1"/>
  <c r="E143" i="5"/>
  <c r="F142" i="5"/>
  <c r="E142" i="5"/>
  <c r="F141" i="5"/>
  <c r="E141" i="5"/>
  <c r="I141" i="5" s="1"/>
  <c r="I140" i="5"/>
  <c r="F140" i="5"/>
  <c r="E140" i="5"/>
  <c r="F139" i="5"/>
  <c r="E139" i="5"/>
  <c r="I139" i="5" s="1"/>
  <c r="F138" i="5"/>
  <c r="E138" i="5"/>
  <c r="I138" i="5" s="1"/>
  <c r="F137" i="5"/>
  <c r="E137" i="5"/>
  <c r="F136" i="5"/>
  <c r="E136" i="5"/>
  <c r="I136" i="5" s="1"/>
  <c r="F135" i="5"/>
  <c r="I135" i="5" s="1"/>
  <c r="E135" i="5"/>
  <c r="F134" i="5"/>
  <c r="E134" i="5"/>
  <c r="F133" i="5"/>
  <c r="E133" i="5"/>
  <c r="I133" i="5" s="1"/>
  <c r="I132" i="5"/>
  <c r="F132" i="5"/>
  <c r="E132" i="5"/>
  <c r="F131" i="5"/>
  <c r="E131" i="5"/>
  <c r="I131" i="5" s="1"/>
  <c r="F130" i="5"/>
  <c r="E130" i="5"/>
  <c r="I130" i="5" s="1"/>
  <c r="F129" i="5"/>
  <c r="E129" i="5"/>
  <c r="F128" i="5"/>
  <c r="E128" i="5"/>
  <c r="I128" i="5" s="1"/>
  <c r="F127" i="5"/>
  <c r="I127" i="5" s="1"/>
  <c r="E127" i="5"/>
  <c r="F126" i="5"/>
  <c r="E126" i="5"/>
  <c r="F125" i="5"/>
  <c r="E125" i="5"/>
  <c r="I125" i="5" s="1"/>
  <c r="I124" i="5"/>
  <c r="F124" i="5"/>
  <c r="E124" i="5"/>
  <c r="F123" i="5"/>
  <c r="E123" i="5"/>
  <c r="I123" i="5" s="1"/>
  <c r="F122" i="5"/>
  <c r="E122" i="5"/>
  <c r="I122" i="5" s="1"/>
  <c r="F121" i="5"/>
  <c r="E121" i="5"/>
  <c r="F120" i="5"/>
  <c r="E120" i="5"/>
  <c r="I120" i="5" s="1"/>
  <c r="F119" i="5"/>
  <c r="I119" i="5" s="1"/>
  <c r="E119" i="5"/>
  <c r="F118" i="5"/>
  <c r="E118" i="5"/>
  <c r="F117" i="5"/>
  <c r="E117" i="5"/>
  <c r="I117" i="5" s="1"/>
  <c r="I116" i="5"/>
  <c r="F116" i="5"/>
  <c r="E116" i="5"/>
  <c r="F115" i="5"/>
  <c r="E115" i="5"/>
  <c r="I115" i="5" s="1"/>
  <c r="F114" i="5"/>
  <c r="E114" i="5"/>
  <c r="I114" i="5" s="1"/>
  <c r="F113" i="5"/>
  <c r="E113" i="5"/>
  <c r="F112" i="5"/>
  <c r="E112" i="5"/>
  <c r="I112" i="5" s="1"/>
  <c r="F111" i="5"/>
  <c r="I111" i="5" s="1"/>
  <c r="E111" i="5"/>
  <c r="F110" i="5"/>
  <c r="E110" i="5"/>
  <c r="F109" i="5"/>
  <c r="E109" i="5"/>
  <c r="I109" i="5" s="1"/>
  <c r="I108" i="5"/>
  <c r="F108" i="5"/>
  <c r="E108" i="5"/>
  <c r="F107" i="5"/>
  <c r="E107" i="5"/>
  <c r="I107" i="5" s="1"/>
  <c r="F106" i="5"/>
  <c r="E106" i="5"/>
  <c r="I106" i="5" s="1"/>
  <c r="I105" i="5"/>
  <c r="F105" i="5"/>
  <c r="E105" i="5"/>
  <c r="F104" i="5"/>
  <c r="E104" i="5"/>
  <c r="I104" i="5" s="1"/>
  <c r="F103" i="5"/>
  <c r="I103" i="5" s="1"/>
  <c r="E103" i="5"/>
  <c r="F102" i="5"/>
  <c r="E102" i="5"/>
  <c r="F101" i="5"/>
  <c r="E101" i="5"/>
  <c r="I101" i="5" s="1"/>
  <c r="I100" i="5"/>
  <c r="F100" i="5"/>
  <c r="E100" i="5"/>
  <c r="F99" i="5"/>
  <c r="E99" i="5"/>
  <c r="I99" i="5" s="1"/>
  <c r="F98" i="5"/>
  <c r="E98" i="5"/>
  <c r="I98" i="5" s="1"/>
  <c r="I97" i="5"/>
  <c r="F97" i="5"/>
  <c r="E97" i="5"/>
  <c r="F96" i="5"/>
  <c r="E96" i="5"/>
  <c r="I96" i="5" s="1"/>
  <c r="F95" i="5"/>
  <c r="I95" i="5" s="1"/>
  <c r="E95" i="5"/>
  <c r="F94" i="5"/>
  <c r="E94" i="5"/>
  <c r="F93" i="5"/>
  <c r="E93" i="5"/>
  <c r="I93" i="5" s="1"/>
  <c r="I92" i="5"/>
  <c r="F92" i="5"/>
  <c r="E92" i="5"/>
  <c r="F91" i="5"/>
  <c r="E91" i="5"/>
  <c r="I91" i="5" s="1"/>
  <c r="F90" i="5"/>
  <c r="E90" i="5"/>
  <c r="I90" i="5" s="1"/>
  <c r="I89" i="5"/>
  <c r="F89" i="5"/>
  <c r="E89" i="5"/>
  <c r="F88" i="5"/>
  <c r="E88" i="5"/>
  <c r="I88" i="5" s="1"/>
  <c r="F87" i="5"/>
  <c r="I87" i="5" s="1"/>
  <c r="E87" i="5"/>
  <c r="F86" i="5"/>
  <c r="E86" i="5"/>
  <c r="F85" i="5"/>
  <c r="E85" i="5"/>
  <c r="I85" i="5" s="1"/>
  <c r="I84" i="5"/>
  <c r="F84" i="5"/>
  <c r="E84" i="5"/>
  <c r="F83" i="5"/>
  <c r="E83" i="5"/>
  <c r="F82" i="5"/>
  <c r="E82" i="5"/>
  <c r="I81" i="5"/>
  <c r="F81" i="5"/>
  <c r="E81" i="5"/>
  <c r="F80" i="5"/>
  <c r="E80" i="5"/>
  <c r="I80" i="5" s="1"/>
  <c r="F79" i="5"/>
  <c r="I79" i="5" s="1"/>
  <c r="E79" i="5"/>
  <c r="F78" i="5"/>
  <c r="E78" i="5"/>
  <c r="F77" i="5"/>
  <c r="E77" i="5"/>
  <c r="I77" i="5" s="1"/>
  <c r="I76" i="5"/>
  <c r="F76" i="5"/>
  <c r="E76" i="5"/>
  <c r="F75" i="5"/>
  <c r="E75" i="5"/>
  <c r="F74" i="5"/>
  <c r="E74" i="5"/>
  <c r="I74" i="5" s="1"/>
  <c r="I73" i="5"/>
  <c r="F73" i="5"/>
  <c r="E73" i="5"/>
  <c r="F72" i="5"/>
  <c r="E72" i="5"/>
  <c r="I72" i="5" s="1"/>
  <c r="I71" i="5"/>
  <c r="F71" i="5"/>
  <c r="E71" i="5"/>
  <c r="F70" i="5"/>
  <c r="E70" i="5"/>
  <c r="F69" i="5"/>
  <c r="E69" i="5"/>
  <c r="I69" i="5" s="1"/>
  <c r="I68" i="5"/>
  <c r="F68" i="5"/>
  <c r="E68" i="5"/>
  <c r="F67" i="5"/>
  <c r="E67" i="5"/>
  <c r="F66" i="5"/>
  <c r="E66" i="5"/>
  <c r="I66" i="5" s="1"/>
  <c r="I65" i="5"/>
  <c r="F65" i="5"/>
  <c r="E65" i="5"/>
  <c r="F64" i="5"/>
  <c r="E64" i="5"/>
  <c r="I64" i="5" s="1"/>
  <c r="F63" i="5"/>
  <c r="I63" i="5" s="1"/>
  <c r="E63" i="5"/>
  <c r="F62" i="5"/>
  <c r="E62" i="5"/>
  <c r="F61" i="5"/>
  <c r="E61" i="5"/>
  <c r="I61" i="5" s="1"/>
  <c r="I60" i="5"/>
  <c r="F60" i="5"/>
  <c r="E60" i="5"/>
  <c r="F59" i="5"/>
  <c r="E59" i="5"/>
  <c r="F58" i="5"/>
  <c r="E58" i="5"/>
  <c r="I58" i="5" s="1"/>
  <c r="I57" i="5"/>
  <c r="F57" i="5"/>
  <c r="E57" i="5"/>
  <c r="F56" i="5"/>
  <c r="E56" i="5"/>
  <c r="I56" i="5" s="1"/>
  <c r="I55" i="5"/>
  <c r="F55" i="5"/>
  <c r="E55" i="5"/>
  <c r="I54" i="5"/>
  <c r="F54" i="5"/>
  <c r="E54" i="5"/>
  <c r="F53" i="5"/>
  <c r="E53" i="5"/>
  <c r="I53" i="5" s="1"/>
  <c r="I52" i="5"/>
  <c r="F52" i="5"/>
  <c r="E52" i="5"/>
  <c r="F51" i="5"/>
  <c r="E51" i="5"/>
  <c r="F50" i="5"/>
  <c r="E50" i="5"/>
  <c r="I50" i="5" s="1"/>
  <c r="I49" i="5"/>
  <c r="F49" i="5"/>
  <c r="E49" i="5"/>
  <c r="F48" i="5"/>
  <c r="E48" i="5"/>
  <c r="I48" i="5" s="1"/>
  <c r="I47" i="5"/>
  <c r="F47" i="5"/>
  <c r="E47" i="5"/>
  <c r="I46" i="5"/>
  <c r="F46" i="5"/>
  <c r="E46" i="5"/>
  <c r="F45" i="5"/>
  <c r="E45" i="5"/>
  <c r="I45" i="5" s="1"/>
  <c r="I44" i="5"/>
  <c r="F44" i="5"/>
  <c r="E44" i="5"/>
  <c r="F43" i="5"/>
  <c r="E43" i="5"/>
  <c r="F42" i="5"/>
  <c r="E42" i="5"/>
  <c r="I42" i="5" s="1"/>
  <c r="F41" i="5"/>
  <c r="I41" i="5" s="1"/>
  <c r="E41" i="5"/>
  <c r="F40" i="5"/>
  <c r="E40" i="5"/>
  <c r="I40" i="5" s="1"/>
  <c r="F39" i="5"/>
  <c r="I39" i="5" s="1"/>
  <c r="E39" i="5"/>
  <c r="I38" i="5"/>
  <c r="F38" i="5"/>
  <c r="E38" i="5"/>
  <c r="F37" i="5"/>
  <c r="E37" i="5"/>
  <c r="I37" i="5" s="1"/>
  <c r="I36" i="5"/>
  <c r="F36" i="5"/>
  <c r="E36" i="5"/>
  <c r="F35" i="5"/>
  <c r="E35" i="5"/>
  <c r="F34" i="5"/>
  <c r="E34" i="5"/>
  <c r="F33" i="5"/>
  <c r="I33" i="5" s="1"/>
  <c r="E33" i="5"/>
  <c r="F32" i="5"/>
  <c r="E32" i="5"/>
  <c r="I32" i="5" s="1"/>
  <c r="I31" i="5"/>
  <c r="F31" i="5"/>
  <c r="E31" i="5"/>
  <c r="I30" i="5"/>
  <c r="F30" i="5"/>
  <c r="E30" i="5"/>
  <c r="F29" i="5"/>
  <c r="E29" i="5"/>
  <c r="I29" i="5" s="1"/>
  <c r="I28" i="5"/>
  <c r="F28" i="5"/>
  <c r="E28" i="5"/>
  <c r="F27" i="5"/>
  <c r="E27" i="5"/>
  <c r="F26" i="5"/>
  <c r="E26" i="5"/>
  <c r="I26" i="5" s="1"/>
  <c r="F25" i="5"/>
  <c r="I25" i="5" s="1"/>
  <c r="E25" i="5"/>
  <c r="F24" i="5"/>
  <c r="E24" i="5"/>
  <c r="I24" i="5" s="1"/>
  <c r="F23" i="5"/>
  <c r="I23" i="5" s="1"/>
  <c r="E23" i="5"/>
  <c r="I22" i="5"/>
  <c r="F22" i="5"/>
  <c r="E22" i="5"/>
  <c r="F21" i="5"/>
  <c r="E21" i="5"/>
  <c r="I21" i="5" s="1"/>
  <c r="I20" i="5"/>
  <c r="F20" i="5"/>
  <c r="E20" i="5"/>
  <c r="F19" i="5"/>
  <c r="E19" i="5"/>
  <c r="F18" i="5"/>
  <c r="E18" i="5"/>
  <c r="F17" i="5"/>
  <c r="I17" i="5" s="1"/>
  <c r="E17" i="5"/>
  <c r="F16" i="5"/>
  <c r="E16" i="5"/>
  <c r="I16" i="5" s="1"/>
  <c r="I15" i="5"/>
  <c r="F15" i="5"/>
  <c r="E15" i="5"/>
  <c r="I249" i="5"/>
  <c r="G14" i="5"/>
  <c r="I254" i="5" s="1"/>
  <c r="F14" i="5"/>
  <c r="E14" i="5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H14" i="2"/>
  <c r="G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F14" i="2"/>
  <c r="E14" i="2"/>
  <c r="I251" i="6" l="1"/>
  <c r="I214" i="6"/>
  <c r="I222" i="6"/>
  <c r="I230" i="6"/>
  <c r="I238" i="6"/>
  <c r="I246" i="6"/>
  <c r="I254" i="6"/>
  <c r="I243" i="6"/>
  <c r="I259" i="6"/>
  <c r="I20" i="6"/>
  <c r="I28" i="6"/>
  <c r="I36" i="6"/>
  <c r="I44" i="6"/>
  <c r="I52" i="6"/>
  <c r="I60" i="6"/>
  <c r="I68" i="6"/>
  <c r="I76" i="6"/>
  <c r="I84" i="6"/>
  <c r="I92" i="6"/>
  <c r="I100" i="6"/>
  <c r="I108" i="6"/>
  <c r="I116" i="6"/>
  <c r="I124" i="6"/>
  <c r="I132" i="6"/>
  <c r="I140" i="6"/>
  <c r="I148" i="6"/>
  <c r="I156" i="6"/>
  <c r="I164" i="6"/>
  <c r="I172" i="6"/>
  <c r="I180" i="6"/>
  <c r="I188" i="6"/>
  <c r="I196" i="6"/>
  <c r="I204" i="6"/>
  <c r="I212" i="6"/>
  <c r="I220" i="6"/>
  <c r="I228" i="6"/>
  <c r="I236" i="6"/>
  <c r="I244" i="6"/>
  <c r="I252" i="6"/>
  <c r="I82" i="5"/>
  <c r="I34" i="5"/>
  <c r="I18" i="5"/>
  <c r="I19" i="5"/>
  <c r="I27" i="5"/>
  <c r="I35" i="5"/>
  <c r="I43" i="5"/>
  <c r="I51" i="5"/>
  <c r="I59" i="5"/>
  <c r="I67" i="5"/>
  <c r="I75" i="5"/>
  <c r="I83" i="5"/>
  <c r="I62" i="5"/>
  <c r="I70" i="5"/>
  <c r="I78" i="5"/>
  <c r="I86" i="5"/>
  <c r="I94" i="5"/>
  <c r="I102" i="5"/>
  <c r="I110" i="5"/>
  <c r="I118" i="5"/>
  <c r="I126" i="5"/>
  <c r="I134" i="5"/>
  <c r="I142" i="5"/>
  <c r="I150" i="5"/>
  <c r="I158" i="5"/>
  <c r="I166" i="5"/>
  <c r="I174" i="5"/>
  <c r="I182" i="5"/>
  <c r="I190" i="5"/>
  <c r="I198" i="5"/>
  <c r="I206" i="5"/>
  <c r="I214" i="5"/>
  <c r="I222" i="5"/>
  <c r="I230" i="5"/>
  <c r="I238" i="5"/>
  <c r="I246" i="5"/>
  <c r="I113" i="5"/>
  <c r="I121" i="5"/>
  <c r="I129" i="5"/>
  <c r="I137" i="5"/>
  <c r="I145" i="5"/>
  <c r="I153" i="5"/>
  <c r="I161" i="5"/>
  <c r="I169" i="5"/>
  <c r="I177" i="5"/>
  <c r="I185" i="5"/>
  <c r="I193" i="5"/>
  <c r="I201" i="5"/>
  <c r="I209" i="5"/>
  <c r="I217" i="5"/>
  <c r="I225" i="5"/>
  <c r="I233" i="5"/>
  <c r="I241" i="5"/>
  <c r="E11" i="6" l="1"/>
  <c r="F11" i="6" s="1"/>
  <c r="F11" i="5"/>
</calcChain>
</file>

<file path=xl/sharedStrings.xml><?xml version="1.0" encoding="utf-8"?>
<sst xmlns="http://schemas.openxmlformats.org/spreadsheetml/2006/main" count="79" uniqueCount="29">
  <si>
    <t>Calcular el VaR para mañana martes 10-feb-2026 del siguiente portafolio de 2 activos:</t>
  </si>
  <si>
    <t>SOXX</t>
  </si>
  <si>
    <t>IBB</t>
  </si>
  <si>
    <t>10 millones de USD</t>
  </si>
  <si>
    <t>6 millones de USD</t>
  </si>
  <si>
    <t>VaR si  ambos posicion en LONG</t>
  </si>
  <si>
    <t>VaR si  LONG &amp; SHORT</t>
  </si>
  <si>
    <t>Cumulative Return %</t>
  </si>
  <si>
    <t>% Return</t>
  </si>
  <si>
    <t>Total Return (Gross)</t>
  </si>
  <si>
    <t>NAV</t>
  </si>
  <si>
    <t>High</t>
  </si>
  <si>
    <t>Low</t>
  </si>
  <si>
    <t>Open</t>
  </si>
  <si>
    <t>% Change</t>
  </si>
  <si>
    <t>CVol</t>
  </si>
  <si>
    <t>Price</t>
  </si>
  <si>
    <t>Date</t>
  </si>
  <si>
    <t>Price History: SOXX-US</t>
  </si>
  <si>
    <t>Price History: IBB-US</t>
  </si>
  <si>
    <t>rend SOXX</t>
  </si>
  <si>
    <t>ren IBB</t>
  </si>
  <si>
    <t>pond SOXX</t>
  </si>
  <si>
    <t>pond IBB</t>
  </si>
  <si>
    <t>rend port</t>
  </si>
  <si>
    <t>Al 95% nivel de confianza y usando 1 año de historia (solo VaR sin ajustar por liquidez)</t>
  </si>
  <si>
    <t>¿Qué tanto cambia el VaR del portafolio si la posición en IBB fuera "short" (corto en 6 millons de USD)?</t>
  </si>
  <si>
    <t>si mi portafolio vale 16 millones y tengo 10 invertidos en SOXX</t>
  </si>
  <si>
    <t>si misma ponderacion en long y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</si>
</sst>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mm/dd/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10" fontId="0" fillId="0" borderId="0" xfId="0" applyNumberFormat="1"/>
    <xf numFmtId="0" fontId="4" fillId="0" borderId="0" xfId="3"/>
    <xf numFmtId="4" fontId="4" fillId="0" borderId="0" xfId="3" applyNumberFormat="1" applyAlignment="1">
      <alignment horizontal="right"/>
    </xf>
    <xf numFmtId="0" fontId="4" fillId="0" borderId="0" xfId="3" applyAlignment="1">
      <alignment horizontal="right"/>
    </xf>
    <xf numFmtId="164" fontId="4" fillId="0" borderId="0" xfId="3" applyNumberFormat="1"/>
    <xf numFmtId="4" fontId="4" fillId="2" borderId="0" xfId="3" applyNumberFormat="1" applyFill="1" applyAlignment="1">
      <alignment horizontal="right"/>
    </xf>
    <xf numFmtId="0" fontId="4" fillId="2" borderId="0" xfId="3" applyFill="1" applyAlignment="1">
      <alignment horizontal="right"/>
    </xf>
    <xf numFmtId="164" fontId="4" fillId="2" borderId="0" xfId="3" applyNumberFormat="1" applyFill="1"/>
    <xf numFmtId="0" fontId="5" fillId="3" borderId="0" xfId="3" applyFont="1" applyFill="1" applyAlignment="1">
      <alignment horizontal="left"/>
    </xf>
    <xf numFmtId="0" fontId="5" fillId="0" borderId="0" xfId="3" applyFont="1"/>
    <xf numFmtId="0" fontId="3" fillId="0" borderId="0" xfId="0" applyFont="1"/>
    <xf numFmtId="10" fontId="0" fillId="0" borderId="0" xfId="2" applyNumberFormat="1" applyFont="1"/>
    <xf numFmtId="10" fontId="0" fillId="4" borderId="0" xfId="0" applyNumberFormat="1" applyFill="1"/>
    <xf numFmtId="0" fontId="2" fillId="0" borderId="0" xfId="0" applyFont="1"/>
    <xf numFmtId="10" fontId="2" fillId="0" borderId="0" xfId="2" applyNumberFormat="1" applyFont="1"/>
    <xf numFmtId="44" fontId="2" fillId="0" borderId="0" xfId="1" applyFont="1"/>
  </cellXfs>
  <cellStyles count="4">
    <cellStyle name="Moneda" xfId="1" builtinId="4"/>
    <cellStyle name="Normal" xfId="0" builtinId="0"/>
    <cellStyle name="Normal 2" xfId="3" xr:uid="{7262D121-E6A1-450F-BF4C-776936C0782B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53DB-8BD8-4229-B3E4-C8A10E12D34C}">
  <dimension ref="B3:J265"/>
  <sheetViews>
    <sheetView tabSelected="1" topLeftCell="A4" zoomScale="140" zoomScaleNormal="140" workbookViewId="0">
      <selection activeCell="F11" sqref="F11"/>
    </sheetView>
  </sheetViews>
  <sheetFormatPr baseColWidth="10" defaultRowHeight="15" x14ac:dyDescent="0.25"/>
  <cols>
    <col min="6" max="6" width="13.28515625" bestFit="1" customWidth="1"/>
    <col min="9" max="9" width="8.85546875" bestFit="1" customWidth="1"/>
  </cols>
  <sheetData>
    <row r="3" spans="2:10" x14ac:dyDescent="0.25">
      <c r="B3" t="s">
        <v>0</v>
      </c>
    </row>
    <row r="5" spans="2:10" x14ac:dyDescent="0.25">
      <c r="B5" t="s">
        <v>1</v>
      </c>
      <c r="C5" t="s">
        <v>3</v>
      </c>
      <c r="E5" t="s">
        <v>27</v>
      </c>
    </row>
    <row r="6" spans="2:10" x14ac:dyDescent="0.25">
      <c r="B6" t="s">
        <v>2</v>
      </c>
      <c r="C6" t="s">
        <v>4</v>
      </c>
    </row>
    <row r="8" spans="2:10" x14ac:dyDescent="0.25">
      <c r="B8" t="s">
        <v>26</v>
      </c>
    </row>
    <row r="9" spans="2:10" x14ac:dyDescent="0.25">
      <c r="B9" s="11" t="s">
        <v>25</v>
      </c>
    </row>
    <row r="10" spans="2:10" x14ac:dyDescent="0.25">
      <c r="B10" s="14" t="s">
        <v>5</v>
      </c>
      <c r="C10" s="14"/>
      <c r="D10" s="14"/>
      <c r="E10" s="15">
        <f>PERCENTILE(I14:I264,0.05)</f>
        <v>-2.7723765273431837E-2</v>
      </c>
      <c r="F10" s="16">
        <f>E10*16000000</f>
        <v>-443580.24437490938</v>
      </c>
    </row>
    <row r="11" spans="2:10" x14ac:dyDescent="0.25">
      <c r="B11" t="s">
        <v>6</v>
      </c>
    </row>
    <row r="13" spans="2:10" x14ac:dyDescent="0.25">
      <c r="B13" s="9" t="s">
        <v>17</v>
      </c>
      <c r="C13" s="9" t="s">
        <v>1</v>
      </c>
      <c r="D13" s="9" t="s">
        <v>2</v>
      </c>
      <c r="E13" s="9" t="s">
        <v>20</v>
      </c>
      <c r="F13" s="9" t="s">
        <v>21</v>
      </c>
      <c r="G13" s="9" t="s">
        <v>22</v>
      </c>
      <c r="H13" s="9" t="s">
        <v>23</v>
      </c>
      <c r="I13" s="9" t="s">
        <v>24</v>
      </c>
    </row>
    <row r="14" spans="2:10" x14ac:dyDescent="0.25">
      <c r="B14" s="8">
        <v>46062</v>
      </c>
      <c r="C14" s="6">
        <v>352.77</v>
      </c>
      <c r="D14" s="6">
        <v>174.37</v>
      </c>
      <c r="E14" s="12">
        <f>C14/C15-1</f>
        <v>1.2223465610742945E-2</v>
      </c>
      <c r="F14" s="12">
        <f>D14/D15-1</f>
        <v>-3.4861126985940016E-3</v>
      </c>
      <c r="G14" s="12">
        <f>10/16</f>
        <v>0.625</v>
      </c>
      <c r="H14" s="1">
        <f>6/16</f>
        <v>0.375</v>
      </c>
      <c r="I14" s="13">
        <f>E14*$G$14+F14*$H$14</f>
        <v>6.3323737447415901E-3</v>
      </c>
      <c r="J14" s="1"/>
    </row>
    <row r="15" spans="2:10" x14ac:dyDescent="0.25">
      <c r="B15" s="5">
        <v>46059</v>
      </c>
      <c r="C15" s="3">
        <v>348.51</v>
      </c>
      <c r="D15" s="3">
        <v>174.98</v>
      </c>
      <c r="E15" s="12">
        <f t="shared" ref="E15:E78" si="0">C15/C16-1</f>
        <v>5.3441344497173748E-2</v>
      </c>
      <c r="F15" s="12">
        <f t="shared" ref="F15:F78" si="1">D15/D16-1</f>
        <v>2.9051987767584109E-2</v>
      </c>
      <c r="I15" s="13">
        <f t="shared" ref="I15:I78" si="2">E15*$G$14+F15*$H$14</f>
        <v>4.4295335723577633E-2</v>
      </c>
    </row>
    <row r="16" spans="2:10" x14ac:dyDescent="0.25">
      <c r="B16" s="8">
        <v>46058</v>
      </c>
      <c r="C16" s="6">
        <v>330.83</v>
      </c>
      <c r="D16" s="6">
        <v>170.04</v>
      </c>
      <c r="E16" s="12">
        <f t="shared" si="0"/>
        <v>1.3620679217869469E-3</v>
      </c>
      <c r="F16" s="12">
        <f t="shared" si="1"/>
        <v>-2.3039356506751041E-2</v>
      </c>
      <c r="I16" s="13">
        <f t="shared" si="2"/>
        <v>-7.7884662389147985E-3</v>
      </c>
    </row>
    <row r="17" spans="2:9" x14ac:dyDescent="0.25">
      <c r="B17" s="5">
        <v>46057</v>
      </c>
      <c r="C17" s="3">
        <v>330.38</v>
      </c>
      <c r="D17" s="3">
        <v>174.05</v>
      </c>
      <c r="E17" s="12">
        <f t="shared" si="0"/>
        <v>-4.4149982640897978E-2</v>
      </c>
      <c r="F17" s="12">
        <f t="shared" si="1"/>
        <v>1.4384349827387677E-3</v>
      </c>
      <c r="I17" s="13">
        <f t="shared" si="2"/>
        <v>-2.7054326032034198E-2</v>
      </c>
    </row>
    <row r="18" spans="2:9" x14ac:dyDescent="0.25">
      <c r="B18" s="8">
        <v>46056</v>
      </c>
      <c r="C18" s="6">
        <v>345.64</v>
      </c>
      <c r="D18" s="6">
        <v>173.8</v>
      </c>
      <c r="E18" s="12">
        <f t="shared" si="0"/>
        <v>-1.9989225665598687E-2</v>
      </c>
      <c r="F18" s="12">
        <f t="shared" si="1"/>
        <v>-1.952452050074549E-3</v>
      </c>
      <c r="I18" s="13">
        <f t="shared" si="2"/>
        <v>-1.3225435559777135E-2</v>
      </c>
    </row>
    <row r="19" spans="2:9" x14ac:dyDescent="0.25">
      <c r="B19" s="5">
        <v>46055</v>
      </c>
      <c r="C19" s="3">
        <v>352.69</v>
      </c>
      <c r="D19" s="3">
        <v>174.14</v>
      </c>
      <c r="E19" s="12">
        <f t="shared" si="0"/>
        <v>1.8452209067282732E-2</v>
      </c>
      <c r="F19" s="12">
        <f t="shared" si="1"/>
        <v>9.9170677956270659E-3</v>
      </c>
      <c r="I19" s="13">
        <f t="shared" si="2"/>
        <v>1.5251531090411857E-2</v>
      </c>
    </row>
    <row r="20" spans="2:9" x14ac:dyDescent="0.25">
      <c r="B20" s="8">
        <v>46052</v>
      </c>
      <c r="C20" s="6">
        <v>346.3</v>
      </c>
      <c r="D20" s="6">
        <v>172.43</v>
      </c>
      <c r="E20" s="12">
        <f t="shared" si="0"/>
        <v>-4.106554426383846E-2</v>
      </c>
      <c r="F20" s="12">
        <f t="shared" si="1"/>
        <v>-1.0444763271162061E-2</v>
      </c>
      <c r="I20" s="13">
        <f t="shared" si="2"/>
        <v>-2.9582751391584811E-2</v>
      </c>
    </row>
    <row r="21" spans="2:9" x14ac:dyDescent="0.25">
      <c r="B21" s="5">
        <v>46051</v>
      </c>
      <c r="C21" s="3">
        <v>361.13</v>
      </c>
      <c r="D21" s="3">
        <v>174.25</v>
      </c>
      <c r="E21" s="12">
        <f t="shared" si="0"/>
        <v>1.8587360594795044E-3</v>
      </c>
      <c r="F21" s="12">
        <f t="shared" si="1"/>
        <v>1.2641498592196321E-3</v>
      </c>
      <c r="I21" s="13">
        <f t="shared" si="2"/>
        <v>1.6357662343820523E-3</v>
      </c>
    </row>
    <row r="22" spans="2:9" x14ac:dyDescent="0.25">
      <c r="B22" s="8">
        <v>46050</v>
      </c>
      <c r="C22" s="6">
        <v>360.46</v>
      </c>
      <c r="D22" s="6">
        <v>174.03</v>
      </c>
      <c r="E22" s="12">
        <f t="shared" si="0"/>
        <v>2.6717557251908275E-2</v>
      </c>
      <c r="F22" s="12">
        <f t="shared" si="1"/>
        <v>-1.6223855285471989E-2</v>
      </c>
      <c r="I22" s="13">
        <f t="shared" si="2"/>
        <v>1.0614527550390676E-2</v>
      </c>
    </row>
    <row r="23" spans="2:9" x14ac:dyDescent="0.25">
      <c r="B23" s="5">
        <v>46049</v>
      </c>
      <c r="C23" s="3">
        <v>351.08</v>
      </c>
      <c r="D23" s="3">
        <v>176.9</v>
      </c>
      <c r="E23" s="12">
        <f t="shared" si="0"/>
        <v>2.3348004780365583E-2</v>
      </c>
      <c r="F23" s="12">
        <f t="shared" si="1"/>
        <v>5.9709980096673831E-3</v>
      </c>
      <c r="I23" s="13">
        <f t="shared" si="2"/>
        <v>1.6831627241353758E-2</v>
      </c>
    </row>
    <row r="24" spans="2:9" x14ac:dyDescent="0.25">
      <c r="B24" s="8">
        <v>46048</v>
      </c>
      <c r="C24" s="6">
        <v>343.07</v>
      </c>
      <c r="D24" s="6">
        <v>175.85</v>
      </c>
      <c r="E24" s="12">
        <f t="shared" si="0"/>
        <v>-4.7576223492210579E-3</v>
      </c>
      <c r="F24" s="12">
        <f t="shared" si="1"/>
        <v>2.9658358523925177E-3</v>
      </c>
      <c r="I24" s="13">
        <f t="shared" si="2"/>
        <v>-1.861325523615967E-3</v>
      </c>
    </row>
    <row r="25" spans="2:9" x14ac:dyDescent="0.25">
      <c r="B25" s="5">
        <v>46045</v>
      </c>
      <c r="C25" s="3">
        <v>344.71</v>
      </c>
      <c r="D25" s="3">
        <v>175.33</v>
      </c>
      <c r="E25" s="12">
        <f t="shared" si="0"/>
        <v>-1.1357444001491523E-2</v>
      </c>
      <c r="F25" s="12">
        <f t="shared" si="1"/>
        <v>-1.3003827966673986E-2</v>
      </c>
      <c r="I25" s="13">
        <f t="shared" si="2"/>
        <v>-1.1974837988434947E-2</v>
      </c>
    </row>
    <row r="26" spans="2:9" x14ac:dyDescent="0.25">
      <c r="B26" s="8">
        <v>46044</v>
      </c>
      <c r="C26" s="6">
        <v>348.67</v>
      </c>
      <c r="D26" s="6">
        <v>177.64</v>
      </c>
      <c r="E26" s="12">
        <f t="shared" si="0"/>
        <v>1.5223760556097865E-3</v>
      </c>
      <c r="F26" s="12">
        <f t="shared" si="1"/>
        <v>1.4158483672071176E-2</v>
      </c>
      <c r="I26" s="13">
        <f t="shared" si="2"/>
        <v>6.2609164117828076E-3</v>
      </c>
    </row>
    <row r="27" spans="2:9" x14ac:dyDescent="0.25">
      <c r="B27" s="5">
        <v>46043</v>
      </c>
      <c r="C27" s="3">
        <v>348.14</v>
      </c>
      <c r="D27" s="3">
        <v>175.16</v>
      </c>
      <c r="E27" s="12">
        <f t="shared" si="0"/>
        <v>3.1984585741811067E-2</v>
      </c>
      <c r="F27" s="12">
        <f t="shared" si="1"/>
        <v>2.6007497656982181E-2</v>
      </c>
      <c r="I27" s="13">
        <f t="shared" si="2"/>
        <v>2.9743177710000235E-2</v>
      </c>
    </row>
    <row r="28" spans="2:9" x14ac:dyDescent="0.25">
      <c r="B28" s="8">
        <v>46042</v>
      </c>
      <c r="C28" s="6">
        <v>337.35</v>
      </c>
      <c r="D28" s="6">
        <v>170.72</v>
      </c>
      <c r="E28" s="12">
        <f t="shared" si="0"/>
        <v>-1.4950214617338808E-2</v>
      </c>
      <c r="F28" s="12">
        <f t="shared" si="1"/>
        <v>4.4716403859730303E-3</v>
      </c>
      <c r="I28" s="13">
        <f t="shared" si="2"/>
        <v>-7.6670189910968689E-3</v>
      </c>
    </row>
    <row r="29" spans="2:9" x14ac:dyDescent="0.25">
      <c r="B29" s="5">
        <v>46038</v>
      </c>
      <c r="C29" s="3">
        <v>342.47</v>
      </c>
      <c r="D29" s="3">
        <v>169.96</v>
      </c>
      <c r="E29" s="12">
        <f t="shared" si="0"/>
        <v>1.5568471620900359E-2</v>
      </c>
      <c r="F29" s="12">
        <f t="shared" si="1"/>
        <v>-3.5178236397748197E-3</v>
      </c>
      <c r="I29" s="13">
        <f t="shared" si="2"/>
        <v>8.4111108981471672E-3</v>
      </c>
    </row>
    <row r="30" spans="2:9" x14ac:dyDescent="0.25">
      <c r="B30" s="8">
        <v>46037</v>
      </c>
      <c r="C30" s="6">
        <v>337.22</v>
      </c>
      <c r="D30" s="6">
        <v>170.56</v>
      </c>
      <c r="E30" s="12">
        <f t="shared" si="0"/>
        <v>1.6028924374811737E-2</v>
      </c>
      <c r="F30" s="12">
        <f t="shared" si="1"/>
        <v>-1.3134293814731302E-2</v>
      </c>
      <c r="I30" s="13">
        <f t="shared" si="2"/>
        <v>5.0927175537330976E-3</v>
      </c>
    </row>
    <row r="31" spans="2:9" x14ac:dyDescent="0.25">
      <c r="B31" s="5">
        <v>46036</v>
      </c>
      <c r="C31" s="3">
        <v>331.9</v>
      </c>
      <c r="D31" s="3">
        <v>172.83</v>
      </c>
      <c r="E31" s="12">
        <f t="shared" si="0"/>
        <v>-4.2004200420042714E-3</v>
      </c>
      <c r="F31" s="12">
        <f t="shared" si="1"/>
        <v>8.8139154798039243E-3</v>
      </c>
      <c r="I31" s="13">
        <f t="shared" si="2"/>
        <v>6.7995577867380197E-4</v>
      </c>
    </row>
    <row r="32" spans="2:9" x14ac:dyDescent="0.25">
      <c r="B32" s="8">
        <v>46035</v>
      </c>
      <c r="C32" s="6">
        <v>333.3</v>
      </c>
      <c r="D32" s="6">
        <v>171.32</v>
      </c>
      <c r="E32" s="12">
        <f t="shared" si="0"/>
        <v>8.9299228091417326E-3</v>
      </c>
      <c r="F32" s="12">
        <f t="shared" si="1"/>
        <v>-4.6674445740968462E-4</v>
      </c>
      <c r="I32" s="13">
        <f t="shared" si="2"/>
        <v>5.4061725841849512E-3</v>
      </c>
    </row>
    <row r="33" spans="2:9" x14ac:dyDescent="0.25">
      <c r="B33" s="5">
        <v>46034</v>
      </c>
      <c r="C33" s="3">
        <v>330.35</v>
      </c>
      <c r="D33" s="3">
        <v>171.4</v>
      </c>
      <c r="E33" s="12">
        <f t="shared" si="0"/>
        <v>4.7752296368392955E-3</v>
      </c>
      <c r="F33" s="12">
        <f t="shared" si="1"/>
        <v>-5.7427925053655793E-3</v>
      </c>
      <c r="I33" s="13">
        <f t="shared" si="2"/>
        <v>8.3097133351246744E-4</v>
      </c>
    </row>
    <row r="34" spans="2:9" x14ac:dyDescent="0.25">
      <c r="B34" s="8">
        <v>46031</v>
      </c>
      <c r="C34" s="6">
        <v>328.78</v>
      </c>
      <c r="D34" s="6">
        <v>172.39</v>
      </c>
      <c r="E34" s="12">
        <f t="shared" si="0"/>
        <v>2.8787783966455871E-2</v>
      </c>
      <c r="F34" s="12">
        <f t="shared" si="1"/>
        <v>7.5467316846622445E-4</v>
      </c>
      <c r="I34" s="13">
        <f t="shared" si="2"/>
        <v>1.8275367417209754E-2</v>
      </c>
    </row>
    <row r="35" spans="2:9" x14ac:dyDescent="0.25">
      <c r="B35" s="5">
        <v>46030</v>
      </c>
      <c r="C35" s="3">
        <v>319.58</v>
      </c>
      <c r="D35" s="3">
        <v>172.26</v>
      </c>
      <c r="E35" s="12">
        <f t="shared" si="0"/>
        <v>-1.6343993351595976E-2</v>
      </c>
      <c r="F35" s="12">
        <f t="shared" si="1"/>
        <v>-2.5347968767681417E-2</v>
      </c>
      <c r="I35" s="13">
        <f t="shared" si="2"/>
        <v>-1.9720484132628016E-2</v>
      </c>
    </row>
    <row r="36" spans="2:9" x14ac:dyDescent="0.25">
      <c r="B36" s="8">
        <v>46029</v>
      </c>
      <c r="C36" s="6">
        <v>324.89</v>
      </c>
      <c r="D36" s="6">
        <v>176.74</v>
      </c>
      <c r="E36" s="12">
        <f t="shared" si="0"/>
        <v>-1.0537536165676986E-2</v>
      </c>
      <c r="F36" s="12">
        <f t="shared" si="1"/>
        <v>3.2118663863583308E-2</v>
      </c>
      <c r="I36" s="13">
        <f t="shared" si="2"/>
        <v>5.4585388452956241E-3</v>
      </c>
    </row>
    <row r="37" spans="2:9" x14ac:dyDescent="0.25">
      <c r="B37" s="5">
        <v>46028</v>
      </c>
      <c r="C37" s="3">
        <v>328.35</v>
      </c>
      <c r="D37" s="3">
        <v>171.24</v>
      </c>
      <c r="E37" s="12">
        <f t="shared" si="0"/>
        <v>3.2352386342199724E-2</v>
      </c>
      <c r="F37" s="12">
        <f t="shared" si="1"/>
        <v>2.3305844388669783E-2</v>
      </c>
      <c r="I37" s="13">
        <f t="shared" si="2"/>
        <v>2.8959933109625996E-2</v>
      </c>
    </row>
    <row r="38" spans="2:9" x14ac:dyDescent="0.25">
      <c r="B38" s="8">
        <v>46027</v>
      </c>
      <c r="C38" s="6">
        <v>318.06</v>
      </c>
      <c r="D38" s="6">
        <v>167.34</v>
      </c>
      <c r="E38" s="12">
        <f t="shared" si="0"/>
        <v>1.3930950938825015E-2</v>
      </c>
      <c r="F38" s="12">
        <f t="shared" si="1"/>
        <v>-9.8224852071006064E-3</v>
      </c>
      <c r="I38" s="13">
        <f t="shared" si="2"/>
        <v>5.0234123841029071E-3</v>
      </c>
    </row>
    <row r="39" spans="2:9" x14ac:dyDescent="0.25">
      <c r="B39" s="5">
        <v>46024</v>
      </c>
      <c r="C39" s="3">
        <v>313.69</v>
      </c>
      <c r="D39" s="3">
        <v>169</v>
      </c>
      <c r="E39" s="12">
        <f t="shared" si="0"/>
        <v>4.1640378548895907E-2</v>
      </c>
      <c r="F39" s="12">
        <f t="shared" si="1"/>
        <v>1.3628014457545135E-3</v>
      </c>
      <c r="I39" s="13">
        <f t="shared" si="2"/>
        <v>2.6536287135217884E-2</v>
      </c>
    </row>
    <row r="40" spans="2:9" x14ac:dyDescent="0.25">
      <c r="B40" s="8">
        <v>46022</v>
      </c>
      <c r="C40" s="6">
        <v>301.14999999999998</v>
      </c>
      <c r="D40" s="6">
        <v>168.77</v>
      </c>
      <c r="E40" s="12">
        <f t="shared" si="0"/>
        <v>-1.2363898727535183E-2</v>
      </c>
      <c r="F40" s="12">
        <f t="shared" si="1"/>
        <v>-7.1052164130480655E-4</v>
      </c>
      <c r="I40" s="13">
        <f t="shared" si="2"/>
        <v>-7.9938823201987919E-3</v>
      </c>
    </row>
    <row r="41" spans="2:9" x14ac:dyDescent="0.25">
      <c r="B41" s="5">
        <v>46021</v>
      </c>
      <c r="C41" s="3">
        <v>304.92</v>
      </c>
      <c r="D41" s="3">
        <v>168.89</v>
      </c>
      <c r="E41" s="12">
        <f t="shared" si="0"/>
        <v>-1.3101008777675061E-3</v>
      </c>
      <c r="F41" s="12">
        <f t="shared" si="1"/>
        <v>-1.0951042398688271E-2</v>
      </c>
      <c r="I41" s="13">
        <f t="shared" si="2"/>
        <v>-4.9254539481127929E-3</v>
      </c>
    </row>
    <row r="42" spans="2:9" x14ac:dyDescent="0.25">
      <c r="B42" s="8">
        <v>46020</v>
      </c>
      <c r="C42" s="6">
        <v>305.32</v>
      </c>
      <c r="D42" s="6">
        <v>170.76</v>
      </c>
      <c r="E42" s="12">
        <f t="shared" si="0"/>
        <v>-2.3526336426611394E-3</v>
      </c>
      <c r="F42" s="12">
        <f t="shared" si="1"/>
        <v>-7.3824332965181094E-3</v>
      </c>
      <c r="I42" s="13">
        <f t="shared" si="2"/>
        <v>-4.2388085128575032E-3</v>
      </c>
    </row>
    <row r="43" spans="2:9" x14ac:dyDescent="0.25">
      <c r="B43" s="5">
        <v>46017</v>
      </c>
      <c r="C43" s="3">
        <v>306.04000000000002</v>
      </c>
      <c r="D43" s="3">
        <v>172.03</v>
      </c>
      <c r="E43" s="12">
        <f t="shared" si="0"/>
        <v>-3.2664793885139876E-4</v>
      </c>
      <c r="F43" s="12">
        <f t="shared" si="1"/>
        <v>-7.0418470418470713E-3</v>
      </c>
      <c r="I43" s="13">
        <f t="shared" si="2"/>
        <v>-2.844847602474776E-3</v>
      </c>
    </row>
    <row r="44" spans="2:9" x14ac:dyDescent="0.25">
      <c r="B44" s="8">
        <v>46015</v>
      </c>
      <c r="C44" s="6">
        <v>306.14</v>
      </c>
      <c r="D44" s="6">
        <v>173.25</v>
      </c>
      <c r="E44" s="12">
        <f t="shared" si="0"/>
        <v>3.8693599160546377E-3</v>
      </c>
      <c r="F44" s="12">
        <f t="shared" si="1"/>
        <v>6.682161533991815E-3</v>
      </c>
      <c r="I44" s="13">
        <f t="shared" si="2"/>
        <v>4.9241605227810792E-3</v>
      </c>
    </row>
    <row r="45" spans="2:9" x14ac:dyDescent="0.25">
      <c r="B45" s="5">
        <v>46014</v>
      </c>
      <c r="C45" s="3">
        <v>304.95999999999998</v>
      </c>
      <c r="D45" s="3">
        <v>172.1</v>
      </c>
      <c r="E45" s="12">
        <f t="shared" si="0"/>
        <v>3.6861506055818616E-3</v>
      </c>
      <c r="F45" s="12">
        <f t="shared" si="1"/>
        <v>-3.8779880766337538E-3</v>
      </c>
      <c r="I45" s="13">
        <f t="shared" si="2"/>
        <v>8.4959859975100582E-4</v>
      </c>
    </row>
    <row r="46" spans="2:9" x14ac:dyDescent="0.25">
      <c r="B46" s="8">
        <v>46013</v>
      </c>
      <c r="C46" s="6">
        <v>303.83999999999997</v>
      </c>
      <c r="D46" s="6">
        <v>172.77</v>
      </c>
      <c r="E46" s="12">
        <f t="shared" si="0"/>
        <v>1.3441846502785015E-2</v>
      </c>
      <c r="F46" s="12">
        <f t="shared" si="1"/>
        <v>1.5099882491186989E-2</v>
      </c>
      <c r="I46" s="13">
        <f t="shared" si="2"/>
        <v>1.4063609998435755E-2</v>
      </c>
    </row>
    <row r="47" spans="2:9" x14ac:dyDescent="0.25">
      <c r="B47" s="5">
        <v>46010</v>
      </c>
      <c r="C47" s="3">
        <v>299.81</v>
      </c>
      <c r="D47" s="3">
        <v>170.2</v>
      </c>
      <c r="E47" s="12">
        <f t="shared" si="0"/>
        <v>2.6605944391179248E-2</v>
      </c>
      <c r="F47" s="12">
        <f t="shared" si="1"/>
        <v>2.412900896564163E-2</v>
      </c>
      <c r="I47" s="13">
        <f t="shared" si="2"/>
        <v>2.5677093606602641E-2</v>
      </c>
    </row>
    <row r="48" spans="2:9" x14ac:dyDescent="0.25">
      <c r="B48" s="8">
        <v>46009</v>
      </c>
      <c r="C48" s="6">
        <v>292.04000000000002</v>
      </c>
      <c r="D48" s="6">
        <v>166.19</v>
      </c>
      <c r="E48" s="12">
        <f t="shared" si="0"/>
        <v>2.3875468919819065E-2</v>
      </c>
      <c r="F48" s="12">
        <f t="shared" si="1"/>
        <v>-7.9985674207604385E-3</v>
      </c>
      <c r="I48" s="13">
        <f t="shared" si="2"/>
        <v>1.1922705292101751E-2</v>
      </c>
    </row>
    <row r="49" spans="2:9" x14ac:dyDescent="0.25">
      <c r="B49" s="5">
        <v>46008</v>
      </c>
      <c r="C49" s="3">
        <v>285.23</v>
      </c>
      <c r="D49" s="3">
        <v>167.53</v>
      </c>
      <c r="E49" s="12">
        <f t="shared" si="0"/>
        <v>-3.7035786630654877E-2</v>
      </c>
      <c r="F49" s="12">
        <f t="shared" si="1"/>
        <v>-3.450121943965323E-3</v>
      </c>
      <c r="I49" s="13">
        <f t="shared" si="2"/>
        <v>-2.4441162373146294E-2</v>
      </c>
    </row>
    <row r="50" spans="2:9" x14ac:dyDescent="0.25">
      <c r="B50" s="8">
        <v>46007</v>
      </c>
      <c r="C50" s="6">
        <v>296.2</v>
      </c>
      <c r="D50" s="6">
        <v>168.11</v>
      </c>
      <c r="E50" s="12">
        <f t="shared" si="0"/>
        <v>-6.0736216905472595E-3</v>
      </c>
      <c r="F50" s="12">
        <f t="shared" si="1"/>
        <v>-7.4979336403352415E-3</v>
      </c>
      <c r="I50" s="13">
        <f t="shared" si="2"/>
        <v>-6.6077386717177528E-3</v>
      </c>
    </row>
    <row r="51" spans="2:9" x14ac:dyDescent="0.25">
      <c r="B51" s="5">
        <v>46006</v>
      </c>
      <c r="C51" s="3">
        <v>298.01</v>
      </c>
      <c r="D51" s="3">
        <v>169.38</v>
      </c>
      <c r="E51" s="12">
        <f t="shared" si="0"/>
        <v>-4.908508080673224E-3</v>
      </c>
      <c r="F51" s="12">
        <f t="shared" si="1"/>
        <v>-2.3609963404547241E-4</v>
      </c>
      <c r="I51" s="13">
        <f t="shared" si="2"/>
        <v>-3.1563549131878171E-3</v>
      </c>
    </row>
    <row r="52" spans="2:9" x14ac:dyDescent="0.25">
      <c r="B52" s="8">
        <v>46003</v>
      </c>
      <c r="C52" s="6">
        <v>299.48</v>
      </c>
      <c r="D52" s="6">
        <v>169.42</v>
      </c>
      <c r="E52" s="12">
        <f t="shared" si="0"/>
        <v>-4.7818898639196084E-2</v>
      </c>
      <c r="F52" s="12">
        <f t="shared" si="1"/>
        <v>-5.050505050505083E-3</v>
      </c>
      <c r="I52" s="13">
        <f t="shared" si="2"/>
        <v>-3.1780751043436958E-2</v>
      </c>
    </row>
    <row r="53" spans="2:9" x14ac:dyDescent="0.25">
      <c r="B53" s="5">
        <v>46002</v>
      </c>
      <c r="C53" s="3">
        <v>314.52</v>
      </c>
      <c r="D53" s="3">
        <v>170.28</v>
      </c>
      <c r="E53" s="12">
        <f t="shared" si="0"/>
        <v>-5.7218727278475212E-3</v>
      </c>
      <c r="F53" s="12">
        <f t="shared" si="1"/>
        <v>7.9914757591901253E-3</v>
      </c>
      <c r="I53" s="13">
        <f t="shared" si="2"/>
        <v>-5.7936704520840376E-4</v>
      </c>
    </row>
    <row r="54" spans="2:9" x14ac:dyDescent="0.25">
      <c r="B54" s="8">
        <v>46001</v>
      </c>
      <c r="C54" s="6">
        <v>316.33</v>
      </c>
      <c r="D54" s="6">
        <v>168.93</v>
      </c>
      <c r="E54" s="12">
        <f t="shared" si="0"/>
        <v>1.3293612659363019E-2</v>
      </c>
      <c r="F54" s="12">
        <f t="shared" si="1"/>
        <v>1.1012029445209182E-2</v>
      </c>
      <c r="I54" s="13">
        <f t="shared" si="2"/>
        <v>1.243801895405533E-2</v>
      </c>
    </row>
    <row r="55" spans="2:9" x14ac:dyDescent="0.25">
      <c r="B55" s="5">
        <v>46000</v>
      </c>
      <c r="C55" s="3">
        <v>312.18</v>
      </c>
      <c r="D55" s="3">
        <v>167.09</v>
      </c>
      <c r="E55" s="12">
        <f t="shared" si="0"/>
        <v>-1.8544570916996239E-3</v>
      </c>
      <c r="F55" s="12">
        <f t="shared" si="1"/>
        <v>-1.6828478964401206E-2</v>
      </c>
      <c r="I55" s="13">
        <f t="shared" si="2"/>
        <v>-7.4697152939627171E-3</v>
      </c>
    </row>
    <row r="56" spans="2:9" x14ac:dyDescent="0.25">
      <c r="B56" s="8">
        <v>45999</v>
      </c>
      <c r="C56" s="6">
        <v>312.76</v>
      </c>
      <c r="D56" s="6">
        <v>169.95</v>
      </c>
      <c r="E56" s="12">
        <f t="shared" si="0"/>
        <v>1.0859728506787292E-2</v>
      </c>
      <c r="F56" s="12">
        <f t="shared" si="1"/>
        <v>-7.0694087403599948E-3</v>
      </c>
      <c r="I56" s="13">
        <f t="shared" si="2"/>
        <v>4.1363020391070593E-3</v>
      </c>
    </row>
    <row r="57" spans="2:9" x14ac:dyDescent="0.25">
      <c r="B57" s="5">
        <v>45996</v>
      </c>
      <c r="C57" s="3">
        <v>309.39999999999998</v>
      </c>
      <c r="D57" s="3">
        <v>171.16</v>
      </c>
      <c r="E57" s="12">
        <f t="shared" si="0"/>
        <v>1.0186757215619791E-2</v>
      </c>
      <c r="F57" s="12">
        <f t="shared" si="1"/>
        <v>-5.5197257567835001E-3</v>
      </c>
      <c r="I57" s="13">
        <f t="shared" si="2"/>
        <v>4.2968261009685565E-3</v>
      </c>
    </row>
    <row r="58" spans="2:9" x14ac:dyDescent="0.25">
      <c r="B58" s="8">
        <v>45995</v>
      </c>
      <c r="C58" s="6">
        <v>306.27999999999997</v>
      </c>
      <c r="D58" s="6">
        <v>172.11</v>
      </c>
      <c r="E58" s="12">
        <f t="shared" si="0"/>
        <v>-9.9560382725628616E-3</v>
      </c>
      <c r="F58" s="12">
        <f t="shared" si="1"/>
        <v>-6.9674272774766788E-4</v>
      </c>
      <c r="I58" s="13">
        <f t="shared" si="2"/>
        <v>-6.4838024432571639E-3</v>
      </c>
    </row>
    <row r="59" spans="2:9" x14ac:dyDescent="0.25">
      <c r="B59" s="5">
        <v>45994</v>
      </c>
      <c r="C59" s="3">
        <v>309.36</v>
      </c>
      <c r="D59" s="3">
        <v>172.23</v>
      </c>
      <c r="E59" s="12">
        <f t="shared" si="0"/>
        <v>2.1529520538898561E-2</v>
      </c>
      <c r="F59" s="12">
        <f t="shared" si="1"/>
        <v>1.7787495567899825E-2</v>
      </c>
      <c r="I59" s="13">
        <f t="shared" si="2"/>
        <v>2.0126261174774035E-2</v>
      </c>
    </row>
    <row r="60" spans="2:9" x14ac:dyDescent="0.25">
      <c r="B60" s="8">
        <v>45993</v>
      </c>
      <c r="C60" s="6">
        <v>302.83999999999997</v>
      </c>
      <c r="D60" s="6">
        <v>169.22</v>
      </c>
      <c r="E60" s="12">
        <f t="shared" si="0"/>
        <v>1.9938030445911137E-2</v>
      </c>
      <c r="F60" s="12">
        <f t="shared" si="1"/>
        <v>-5.2319087649168594E-3</v>
      </c>
      <c r="I60" s="13">
        <f t="shared" si="2"/>
        <v>1.0499303241850638E-2</v>
      </c>
    </row>
    <row r="61" spans="2:9" x14ac:dyDescent="0.25">
      <c r="B61" s="5">
        <v>45992</v>
      </c>
      <c r="C61" s="3">
        <v>296.92</v>
      </c>
      <c r="D61" s="3">
        <v>170.11</v>
      </c>
      <c r="E61" s="12">
        <f t="shared" si="0"/>
        <v>6.0659162903564656E-4</v>
      </c>
      <c r="F61" s="12">
        <f t="shared" si="1"/>
        <v>-2.140021860438357E-2</v>
      </c>
      <c r="I61" s="13">
        <f t="shared" si="2"/>
        <v>-7.6459622084965595E-3</v>
      </c>
    </row>
    <row r="62" spans="2:9" x14ac:dyDescent="0.25">
      <c r="B62" s="8">
        <v>45989</v>
      </c>
      <c r="C62" s="6">
        <v>296.74</v>
      </c>
      <c r="D62" s="6">
        <v>173.83</v>
      </c>
      <c r="E62" s="12">
        <f t="shared" si="0"/>
        <v>1.8360273173410269E-2</v>
      </c>
      <c r="F62" s="12">
        <f t="shared" si="1"/>
        <v>9.7892433490742725E-4</v>
      </c>
      <c r="I62" s="13">
        <f t="shared" si="2"/>
        <v>1.1842267358971703E-2</v>
      </c>
    </row>
    <row r="63" spans="2:9" x14ac:dyDescent="0.25">
      <c r="B63" s="5">
        <v>45987</v>
      </c>
      <c r="C63" s="3">
        <v>291.39</v>
      </c>
      <c r="D63" s="3">
        <v>173.66</v>
      </c>
      <c r="E63" s="12">
        <f t="shared" si="0"/>
        <v>2.7540729247478746E-2</v>
      </c>
      <c r="F63" s="12">
        <f t="shared" si="1"/>
        <v>7.717750826901737E-3</v>
      </c>
      <c r="I63" s="13">
        <f t="shared" si="2"/>
        <v>2.0107112339762367E-2</v>
      </c>
    </row>
    <row r="64" spans="2:9" x14ac:dyDescent="0.25">
      <c r="B64" s="8">
        <v>45986</v>
      </c>
      <c r="C64" s="6">
        <v>283.58</v>
      </c>
      <c r="D64" s="6">
        <v>172.33</v>
      </c>
      <c r="E64" s="12">
        <f t="shared" si="0"/>
        <v>3.112840466926059E-3</v>
      </c>
      <c r="F64" s="12">
        <f t="shared" si="1"/>
        <v>1.543810028872783E-2</v>
      </c>
      <c r="I64" s="13">
        <f t="shared" si="2"/>
        <v>7.734812900101723E-3</v>
      </c>
    </row>
    <row r="65" spans="2:9" x14ac:dyDescent="0.25">
      <c r="B65" s="5">
        <v>45985</v>
      </c>
      <c r="C65" s="3">
        <v>282.7</v>
      </c>
      <c r="D65" s="3">
        <v>169.71</v>
      </c>
      <c r="E65" s="12">
        <f t="shared" si="0"/>
        <v>4.3828231732082834E-2</v>
      </c>
      <c r="F65" s="12">
        <f t="shared" si="1"/>
        <v>1.307306590257884E-2</v>
      </c>
      <c r="I65" s="13">
        <f t="shared" si="2"/>
        <v>3.2295044546018836E-2</v>
      </c>
    </row>
    <row r="66" spans="2:9" x14ac:dyDescent="0.25">
      <c r="B66" s="8">
        <v>45982</v>
      </c>
      <c r="C66" s="6">
        <v>270.83</v>
      </c>
      <c r="D66" s="6">
        <v>167.52</v>
      </c>
      <c r="E66" s="12">
        <f t="shared" si="0"/>
        <v>1.0182767624020705E-2</v>
      </c>
      <c r="F66" s="12">
        <f t="shared" si="1"/>
        <v>1.9970774476375963E-2</v>
      </c>
      <c r="I66" s="13">
        <f t="shared" si="2"/>
        <v>1.3853270193653927E-2</v>
      </c>
    </row>
    <row r="67" spans="2:9" x14ac:dyDescent="0.25">
      <c r="B67" s="5">
        <v>45981</v>
      </c>
      <c r="C67" s="3">
        <v>268.10000000000002</v>
      </c>
      <c r="D67" s="3">
        <v>164.24</v>
      </c>
      <c r="E67" s="12">
        <f t="shared" si="0"/>
        <v>-4.7974148645289594E-2</v>
      </c>
      <c r="F67" s="12">
        <f t="shared" si="1"/>
        <v>-5.9314852923374461E-3</v>
      </c>
      <c r="I67" s="13">
        <f t="shared" si="2"/>
        <v>-3.2208149887932538E-2</v>
      </c>
    </row>
    <row r="68" spans="2:9" x14ac:dyDescent="0.25">
      <c r="B68" s="8">
        <v>45980</v>
      </c>
      <c r="C68" s="6">
        <v>281.61</v>
      </c>
      <c r="D68" s="6">
        <v>165.22</v>
      </c>
      <c r="E68" s="12">
        <f t="shared" si="0"/>
        <v>1.6716008376056024E-2</v>
      </c>
      <c r="F68" s="12">
        <f t="shared" si="1"/>
        <v>-7.508860455337274E-3</v>
      </c>
      <c r="I68" s="13">
        <f t="shared" si="2"/>
        <v>7.6316825642835373E-3</v>
      </c>
    </row>
    <row r="69" spans="2:9" x14ac:dyDescent="0.25">
      <c r="B69" s="5">
        <v>45979</v>
      </c>
      <c r="C69" s="3">
        <v>276.98</v>
      </c>
      <c r="D69" s="3">
        <v>166.47</v>
      </c>
      <c r="E69" s="12">
        <f t="shared" si="0"/>
        <v>-2.3204965439413083E-2</v>
      </c>
      <c r="F69" s="12">
        <f t="shared" si="1"/>
        <v>7.3217959578846248E-3</v>
      </c>
      <c r="I69" s="13">
        <f t="shared" si="2"/>
        <v>-1.1757429915426443E-2</v>
      </c>
    </row>
    <row r="70" spans="2:9" x14ac:dyDescent="0.25">
      <c r="B70" s="8">
        <v>45978</v>
      </c>
      <c r="C70" s="6">
        <v>283.56</v>
      </c>
      <c r="D70" s="6">
        <v>165.26</v>
      </c>
      <c r="E70" s="12">
        <f t="shared" si="0"/>
        <v>-1.719118258699559E-2</v>
      </c>
      <c r="F70" s="12">
        <f t="shared" si="1"/>
        <v>6.5168402460562547E-3</v>
      </c>
      <c r="I70" s="13">
        <f t="shared" si="2"/>
        <v>-8.3006740246011484E-3</v>
      </c>
    </row>
    <row r="71" spans="2:9" x14ac:dyDescent="0.25">
      <c r="B71" s="5">
        <v>45975</v>
      </c>
      <c r="C71" s="3">
        <v>288.52</v>
      </c>
      <c r="D71" s="3">
        <v>164.19</v>
      </c>
      <c r="E71" s="12">
        <f t="shared" si="0"/>
        <v>-2.9718708963992757E-3</v>
      </c>
      <c r="F71" s="12">
        <f t="shared" si="1"/>
        <v>5.3269654665686339E-3</v>
      </c>
      <c r="I71" s="13">
        <f t="shared" si="2"/>
        <v>1.401927397136904E-4</v>
      </c>
    </row>
    <row r="72" spans="2:9" x14ac:dyDescent="0.25">
      <c r="B72" s="8">
        <v>45974</v>
      </c>
      <c r="C72" s="6">
        <v>289.38</v>
      </c>
      <c r="D72" s="6">
        <v>163.32</v>
      </c>
      <c r="E72" s="12">
        <f t="shared" si="0"/>
        <v>-3.4337771548703655E-2</v>
      </c>
      <c r="F72" s="12">
        <f t="shared" si="1"/>
        <v>-9.9418040737149216E-3</v>
      </c>
      <c r="I72" s="13">
        <f t="shared" si="2"/>
        <v>-2.518928374558288E-2</v>
      </c>
    </row>
    <row r="73" spans="2:9" x14ac:dyDescent="0.25">
      <c r="B73" s="5">
        <v>45973</v>
      </c>
      <c r="C73" s="3">
        <v>299.67</v>
      </c>
      <c r="D73" s="3">
        <v>164.96</v>
      </c>
      <c r="E73" s="12">
        <f t="shared" si="0"/>
        <v>1.5314246993054503E-2</v>
      </c>
      <c r="F73" s="12">
        <f t="shared" si="1"/>
        <v>4.9957353478740085E-3</v>
      </c>
      <c r="I73" s="13">
        <f t="shared" si="2"/>
        <v>1.1444805126111818E-2</v>
      </c>
    </row>
    <row r="74" spans="2:9" x14ac:dyDescent="0.25">
      <c r="B74" s="8">
        <v>45972</v>
      </c>
      <c r="C74" s="6">
        <v>295.14999999999998</v>
      </c>
      <c r="D74" s="6">
        <v>164.14</v>
      </c>
      <c r="E74" s="12">
        <f t="shared" si="0"/>
        <v>-2.2682119205298057E-2</v>
      </c>
      <c r="F74" s="12">
        <f t="shared" si="1"/>
        <v>2.8832894571894085E-2</v>
      </c>
      <c r="I74" s="13">
        <f t="shared" si="2"/>
        <v>-3.3639890388510035E-3</v>
      </c>
    </row>
    <row r="75" spans="2:9" x14ac:dyDescent="0.25">
      <c r="B75" s="5">
        <v>45971</v>
      </c>
      <c r="C75" s="3">
        <v>302</v>
      </c>
      <c r="D75" s="3">
        <v>159.54</v>
      </c>
      <c r="E75" s="12">
        <f t="shared" si="0"/>
        <v>2.5884910659691673E-2</v>
      </c>
      <c r="F75" s="12">
        <f t="shared" si="1"/>
        <v>1.1539436976921058E-2</v>
      </c>
      <c r="I75" s="13">
        <f t="shared" si="2"/>
        <v>2.0505358028652693E-2</v>
      </c>
    </row>
    <row r="76" spans="2:9" x14ac:dyDescent="0.25">
      <c r="B76" s="8">
        <v>45968</v>
      </c>
      <c r="C76" s="6">
        <v>294.38</v>
      </c>
      <c r="D76" s="6">
        <v>157.72</v>
      </c>
      <c r="E76" s="12">
        <f t="shared" si="0"/>
        <v>-1.0487394957983232E-2</v>
      </c>
      <c r="F76" s="12">
        <f t="shared" si="1"/>
        <v>-4.4814744682194485E-3</v>
      </c>
      <c r="I76" s="13">
        <f t="shared" si="2"/>
        <v>-8.2351747743218129E-3</v>
      </c>
    </row>
    <row r="77" spans="2:9" x14ac:dyDescent="0.25">
      <c r="B77" s="5">
        <v>45967</v>
      </c>
      <c r="C77" s="3">
        <v>297.5</v>
      </c>
      <c r="D77" s="3">
        <v>158.43</v>
      </c>
      <c r="E77" s="12">
        <f t="shared" si="0"/>
        <v>-2.6090941827348058E-2</v>
      </c>
      <c r="F77" s="12">
        <f t="shared" si="1"/>
        <v>7.5800644305479281E-4</v>
      </c>
      <c r="I77" s="13">
        <f t="shared" si="2"/>
        <v>-1.6022586225946989E-2</v>
      </c>
    </row>
    <row r="78" spans="2:9" x14ac:dyDescent="0.25">
      <c r="B78" s="8">
        <v>45966</v>
      </c>
      <c r="C78" s="6">
        <v>305.47000000000003</v>
      </c>
      <c r="D78" s="6">
        <v>158.31</v>
      </c>
      <c r="E78" s="12">
        <f t="shared" si="0"/>
        <v>3.1087558225882717E-2</v>
      </c>
      <c r="F78" s="12">
        <f t="shared" si="1"/>
        <v>1.4287544848795353E-2</v>
      </c>
      <c r="I78" s="13">
        <f t="shared" si="2"/>
        <v>2.4787553209474955E-2</v>
      </c>
    </row>
    <row r="79" spans="2:9" x14ac:dyDescent="0.25">
      <c r="B79" s="5">
        <v>45965</v>
      </c>
      <c r="C79" s="3">
        <v>296.26</v>
      </c>
      <c r="D79" s="3">
        <v>156.08000000000001</v>
      </c>
      <c r="E79" s="12">
        <f t="shared" ref="E79:E142" si="3">C79/C80-1</f>
        <v>-3.9302159673130554E-2</v>
      </c>
      <c r="F79" s="12">
        <f t="shared" ref="F79:F142" si="4">D79/D80-1</f>
        <v>-8.7641305728438645E-3</v>
      </c>
      <c r="I79" s="13">
        <f t="shared" ref="I79:I142" si="5">E79*$G$14+F79*$H$14</f>
        <v>-2.7850398760523046E-2</v>
      </c>
    </row>
    <row r="80" spans="2:9" x14ac:dyDescent="0.25">
      <c r="B80" s="8">
        <v>45964</v>
      </c>
      <c r="C80" s="6">
        <v>308.38</v>
      </c>
      <c r="D80" s="6">
        <v>157.46</v>
      </c>
      <c r="E80" s="12">
        <f t="shared" si="3"/>
        <v>5.9696623715543851E-3</v>
      </c>
      <c r="F80" s="12">
        <f t="shared" si="4"/>
        <v>-1.2046680888442629E-2</v>
      </c>
      <c r="I80" s="13">
        <f t="shared" si="5"/>
        <v>-7.8646635094449524E-4</v>
      </c>
    </row>
    <row r="81" spans="2:9" x14ac:dyDescent="0.25">
      <c r="B81" s="5">
        <v>45961</v>
      </c>
      <c r="C81" s="3">
        <v>306.55</v>
      </c>
      <c r="D81" s="3">
        <v>159.38</v>
      </c>
      <c r="E81" s="12">
        <f t="shared" si="3"/>
        <v>3.732687207360641E-3</v>
      </c>
      <c r="F81" s="12">
        <f t="shared" si="4"/>
        <v>1.3158731167757898E-2</v>
      </c>
      <c r="I81" s="13">
        <f t="shared" si="5"/>
        <v>7.2674536925096123E-3</v>
      </c>
    </row>
    <row r="82" spans="2:9" x14ac:dyDescent="0.25">
      <c r="B82" s="8">
        <v>45960</v>
      </c>
      <c r="C82" s="6">
        <v>305.41000000000003</v>
      </c>
      <c r="D82" s="6">
        <v>157.31</v>
      </c>
      <c r="E82" s="12">
        <f t="shared" si="3"/>
        <v>-1.3533591731266115E-2</v>
      </c>
      <c r="F82" s="12">
        <f t="shared" si="4"/>
        <v>2.1660189845194022E-3</v>
      </c>
      <c r="I82" s="13">
        <f t="shared" si="5"/>
        <v>-7.6462377128465459E-3</v>
      </c>
    </row>
    <row r="83" spans="2:9" x14ac:dyDescent="0.25">
      <c r="B83" s="5">
        <v>45959</v>
      </c>
      <c r="C83" s="3">
        <v>309.60000000000002</v>
      </c>
      <c r="D83" s="3">
        <v>156.97</v>
      </c>
      <c r="E83" s="12">
        <f t="shared" si="3"/>
        <v>1.6915749712596684E-2</v>
      </c>
      <c r="F83" s="12">
        <f t="shared" si="4"/>
        <v>-4.3765064061904724E-3</v>
      </c>
      <c r="I83" s="13">
        <f t="shared" si="5"/>
        <v>8.9311536680515002E-3</v>
      </c>
    </row>
    <row r="84" spans="2:9" x14ac:dyDescent="0.25">
      <c r="B84" s="8">
        <v>45958</v>
      </c>
      <c r="C84" s="6">
        <v>304.45</v>
      </c>
      <c r="D84" s="6">
        <v>157.66</v>
      </c>
      <c r="E84" s="12">
        <f t="shared" si="3"/>
        <v>1.2167850565640848E-3</v>
      </c>
      <c r="F84" s="12">
        <f t="shared" si="4"/>
        <v>3.500731971230131E-3</v>
      </c>
      <c r="I84" s="13">
        <f t="shared" si="5"/>
        <v>2.0732651495638521E-3</v>
      </c>
    </row>
    <row r="85" spans="2:9" x14ac:dyDescent="0.25">
      <c r="B85" s="5">
        <v>45957</v>
      </c>
      <c r="C85" s="3">
        <v>304.08</v>
      </c>
      <c r="D85" s="3">
        <v>157.11000000000001</v>
      </c>
      <c r="E85" s="12">
        <f t="shared" si="3"/>
        <v>2.7783411072804576E-2</v>
      </c>
      <c r="F85" s="12">
        <f t="shared" si="4"/>
        <v>1.2567672080433301E-2</v>
      </c>
      <c r="I85" s="13">
        <f t="shared" si="5"/>
        <v>2.2077508950665348E-2</v>
      </c>
    </row>
    <row r="86" spans="2:9" x14ac:dyDescent="0.25">
      <c r="B86" s="8">
        <v>45954</v>
      </c>
      <c r="C86" s="6">
        <v>295.86</v>
      </c>
      <c r="D86" s="6">
        <v>155.16</v>
      </c>
      <c r="E86" s="12">
        <f t="shared" si="3"/>
        <v>1.64914450628737E-2</v>
      </c>
      <c r="F86" s="12">
        <f t="shared" si="4"/>
        <v>3.7521024712121598E-3</v>
      </c>
      <c r="I86" s="13">
        <f t="shared" si="5"/>
        <v>1.1714191591000622E-2</v>
      </c>
    </row>
    <row r="87" spans="2:9" x14ac:dyDescent="0.25">
      <c r="B87" s="5">
        <v>45953</v>
      </c>
      <c r="C87" s="3">
        <v>291.06</v>
      </c>
      <c r="D87" s="3">
        <v>154.58000000000001</v>
      </c>
      <c r="E87" s="12">
        <f t="shared" si="3"/>
        <v>2.4390243902439046E-2</v>
      </c>
      <c r="F87" s="12">
        <f t="shared" si="4"/>
        <v>4.2879417879420068E-3</v>
      </c>
      <c r="I87" s="13">
        <f t="shared" si="5"/>
        <v>1.6851880609502656E-2</v>
      </c>
    </row>
    <row r="88" spans="2:9" x14ac:dyDescent="0.25">
      <c r="B88" s="8">
        <v>45952</v>
      </c>
      <c r="C88" s="6">
        <v>284.13</v>
      </c>
      <c r="D88" s="6">
        <v>153.91999999999999</v>
      </c>
      <c r="E88" s="12">
        <f t="shared" si="3"/>
        <v>-2.4714241581711427E-2</v>
      </c>
      <c r="F88" s="12">
        <f t="shared" si="4"/>
        <v>-1.3523040440940881E-2</v>
      </c>
      <c r="I88" s="13">
        <f t="shared" si="5"/>
        <v>-2.0517541153922472E-2</v>
      </c>
    </row>
    <row r="89" spans="2:9" x14ac:dyDescent="0.25">
      <c r="B89" s="5">
        <v>45951</v>
      </c>
      <c r="C89" s="3">
        <v>291.33</v>
      </c>
      <c r="D89" s="3">
        <v>156.03</v>
      </c>
      <c r="E89" s="12">
        <f t="shared" si="3"/>
        <v>-5.5978427825376098E-3</v>
      </c>
      <c r="F89" s="12">
        <f t="shared" si="4"/>
        <v>-2.9394849511151788E-3</v>
      </c>
      <c r="I89" s="13">
        <f t="shared" si="5"/>
        <v>-4.6009585957541982E-3</v>
      </c>
    </row>
    <row r="90" spans="2:9" x14ac:dyDescent="0.25">
      <c r="B90" s="8">
        <v>45950</v>
      </c>
      <c r="C90" s="6">
        <v>292.97000000000003</v>
      </c>
      <c r="D90" s="6">
        <v>156.49</v>
      </c>
      <c r="E90" s="12">
        <f t="shared" si="3"/>
        <v>1.6656834507408957E-2</v>
      </c>
      <c r="F90" s="12">
        <f t="shared" si="4"/>
        <v>1.4916661262079245E-2</v>
      </c>
      <c r="I90" s="13">
        <f t="shared" si="5"/>
        <v>1.6004269540410315E-2</v>
      </c>
    </row>
    <row r="91" spans="2:9" x14ac:dyDescent="0.25">
      <c r="B91" s="5">
        <v>45947</v>
      </c>
      <c r="C91" s="3">
        <v>288.17</v>
      </c>
      <c r="D91" s="3">
        <v>154.19</v>
      </c>
      <c r="E91" s="12">
        <f t="shared" si="3"/>
        <v>-2.8029621427088092E-3</v>
      </c>
      <c r="F91" s="12">
        <f t="shared" si="4"/>
        <v>5.0189023595359483E-3</v>
      </c>
      <c r="I91" s="13">
        <f t="shared" si="5"/>
        <v>1.3023704563297489E-4</v>
      </c>
    </row>
    <row r="92" spans="2:9" x14ac:dyDescent="0.25">
      <c r="B92" s="8">
        <v>45946</v>
      </c>
      <c r="C92" s="6">
        <v>288.98</v>
      </c>
      <c r="D92" s="6">
        <v>153.41999999999999</v>
      </c>
      <c r="E92" s="12">
        <f t="shared" si="3"/>
        <v>4.6586010290641244E-3</v>
      </c>
      <c r="F92" s="12">
        <f t="shared" si="4"/>
        <v>1.9557989438689916E-4</v>
      </c>
      <c r="I92" s="13">
        <f t="shared" si="5"/>
        <v>2.984968103560165E-3</v>
      </c>
    </row>
    <row r="93" spans="2:9" x14ac:dyDescent="0.25">
      <c r="B93" s="5">
        <v>45945</v>
      </c>
      <c r="C93" s="3">
        <v>287.64</v>
      </c>
      <c r="D93" s="3">
        <v>153.38999999999999</v>
      </c>
      <c r="E93" s="12">
        <f t="shared" si="3"/>
        <v>3.0856897107838011E-2</v>
      </c>
      <c r="F93" s="12">
        <f t="shared" si="4"/>
        <v>1.3679619349722394E-2</v>
      </c>
      <c r="I93" s="13">
        <f t="shared" si="5"/>
        <v>2.4415417948544654E-2</v>
      </c>
    </row>
    <row r="94" spans="2:9" x14ac:dyDescent="0.25">
      <c r="B94" s="8">
        <v>45944</v>
      </c>
      <c r="C94" s="6">
        <v>279.02999999999997</v>
      </c>
      <c r="D94" s="6">
        <v>151.32</v>
      </c>
      <c r="E94" s="12">
        <f t="shared" si="3"/>
        <v>-2.0500579211570336E-2</v>
      </c>
      <c r="F94" s="12">
        <f t="shared" si="4"/>
        <v>2.5175566450243991E-3</v>
      </c>
      <c r="I94" s="13">
        <f t="shared" si="5"/>
        <v>-1.186877826534731E-2</v>
      </c>
    </row>
    <row r="95" spans="2:9" x14ac:dyDescent="0.25">
      <c r="B95" s="5">
        <v>45943</v>
      </c>
      <c r="C95" s="3">
        <v>284.87</v>
      </c>
      <c r="D95" s="3">
        <v>150.94</v>
      </c>
      <c r="E95" s="12">
        <f t="shared" si="3"/>
        <v>4.7354682157432215E-2</v>
      </c>
      <c r="F95" s="12">
        <f t="shared" si="4"/>
        <v>6.6022007335779787E-3</v>
      </c>
      <c r="I95" s="13">
        <f t="shared" si="5"/>
        <v>3.2072501623486876E-2</v>
      </c>
    </row>
    <row r="96" spans="2:9" x14ac:dyDescent="0.25">
      <c r="B96" s="8">
        <v>45940</v>
      </c>
      <c r="C96" s="6">
        <v>271.99</v>
      </c>
      <c r="D96" s="6">
        <v>149.94999999999999</v>
      </c>
      <c r="E96" s="12">
        <f t="shared" si="3"/>
        <v>-6.2717529894207202E-2</v>
      </c>
      <c r="F96" s="12">
        <f t="shared" si="4"/>
        <v>-1.3811246300559188E-2</v>
      </c>
      <c r="I96" s="13">
        <f t="shared" si="5"/>
        <v>-4.4377673546589197E-2</v>
      </c>
    </row>
    <row r="97" spans="2:9" x14ac:dyDescent="0.25">
      <c r="B97" s="5">
        <v>45939</v>
      </c>
      <c r="C97" s="3">
        <v>290.19</v>
      </c>
      <c r="D97" s="3">
        <v>152.05000000000001</v>
      </c>
      <c r="E97" s="12">
        <f t="shared" si="3"/>
        <v>-4.6305824243672022E-3</v>
      </c>
      <c r="F97" s="12">
        <f t="shared" si="4"/>
        <v>3.947628133429415E-4</v>
      </c>
      <c r="I97" s="13">
        <f t="shared" si="5"/>
        <v>-2.7460779602258983E-3</v>
      </c>
    </row>
    <row r="98" spans="2:9" x14ac:dyDescent="0.25">
      <c r="B98" s="8">
        <v>45938</v>
      </c>
      <c r="C98" s="6">
        <v>291.54000000000002</v>
      </c>
      <c r="D98" s="6">
        <v>151.99</v>
      </c>
      <c r="E98" s="12">
        <f t="shared" si="3"/>
        <v>3.4159838246248686E-2</v>
      </c>
      <c r="F98" s="12">
        <f t="shared" si="4"/>
        <v>1.0034556087187729E-2</v>
      </c>
      <c r="I98" s="13">
        <f t="shared" si="5"/>
        <v>2.5112857436600827E-2</v>
      </c>
    </row>
    <row r="99" spans="2:9" x14ac:dyDescent="0.25">
      <c r="B99" s="5">
        <v>45937</v>
      </c>
      <c r="C99" s="3">
        <v>281.91000000000003</v>
      </c>
      <c r="D99" s="3">
        <v>150.47999999999999</v>
      </c>
      <c r="E99" s="12">
        <f t="shared" si="3"/>
        <v>-2.2367873491468959E-2</v>
      </c>
      <c r="F99" s="12">
        <f t="shared" si="4"/>
        <v>-2.6574541589174938E-4</v>
      </c>
      <c r="I99" s="13">
        <f t="shared" si="5"/>
        <v>-1.4079575463127506E-2</v>
      </c>
    </row>
    <row r="100" spans="2:9" x14ac:dyDescent="0.25">
      <c r="B100" s="8">
        <v>45936</v>
      </c>
      <c r="C100" s="6">
        <v>288.36</v>
      </c>
      <c r="D100" s="6">
        <v>150.52000000000001</v>
      </c>
      <c r="E100" s="12">
        <f t="shared" si="3"/>
        <v>3.0004286326618113E-2</v>
      </c>
      <c r="F100" s="12">
        <f t="shared" si="4"/>
        <v>-3.1788079470197461E-3</v>
      </c>
      <c r="I100" s="13">
        <f t="shared" si="5"/>
        <v>1.7560625974003916E-2</v>
      </c>
    </row>
    <row r="101" spans="2:9" x14ac:dyDescent="0.25">
      <c r="B101" s="5">
        <v>45933</v>
      </c>
      <c r="C101" s="3">
        <v>279.95999999999998</v>
      </c>
      <c r="D101" s="3">
        <v>151</v>
      </c>
      <c r="E101" s="12">
        <f t="shared" si="3"/>
        <v>-6.1415030707515639E-3</v>
      </c>
      <c r="F101" s="12">
        <f t="shared" si="4"/>
        <v>9.2233658601790225E-3</v>
      </c>
      <c r="I101" s="13">
        <f t="shared" si="5"/>
        <v>-3.7967722165259399E-4</v>
      </c>
    </row>
    <row r="102" spans="2:9" x14ac:dyDescent="0.25">
      <c r="B102" s="8">
        <v>45932</v>
      </c>
      <c r="C102" s="6">
        <v>281.69</v>
      </c>
      <c r="D102" s="6">
        <v>149.62</v>
      </c>
      <c r="E102" s="12">
        <f t="shared" si="3"/>
        <v>1.9360208438879756E-2</v>
      </c>
      <c r="F102" s="12">
        <f t="shared" si="4"/>
        <v>7.4742441586426178E-3</v>
      </c>
      <c r="I102" s="13">
        <f t="shared" si="5"/>
        <v>1.4902971833790829E-2</v>
      </c>
    </row>
    <row r="103" spans="2:9" x14ac:dyDescent="0.25">
      <c r="B103" s="5">
        <v>45931</v>
      </c>
      <c r="C103" s="3">
        <v>276.33999999999997</v>
      </c>
      <c r="D103" s="3">
        <v>148.51</v>
      </c>
      <c r="E103" s="12">
        <f t="shared" si="3"/>
        <v>1.9253467099439314E-2</v>
      </c>
      <c r="F103" s="12">
        <f t="shared" si="4"/>
        <v>2.8676317794555484E-2</v>
      </c>
      <c r="I103" s="13">
        <f t="shared" si="5"/>
        <v>2.2787036110107878E-2</v>
      </c>
    </row>
    <row r="104" spans="2:9" x14ac:dyDescent="0.25">
      <c r="B104" s="8">
        <v>45930</v>
      </c>
      <c r="C104" s="6">
        <v>271.12</v>
      </c>
      <c r="D104" s="6">
        <v>144.37</v>
      </c>
      <c r="E104" s="12">
        <f t="shared" si="3"/>
        <v>8.1433830364778803E-3</v>
      </c>
      <c r="F104" s="12">
        <f t="shared" si="4"/>
        <v>1.3763078435503173E-2</v>
      </c>
      <c r="I104" s="13">
        <f t="shared" si="5"/>
        <v>1.0250768811112365E-2</v>
      </c>
    </row>
    <row r="105" spans="2:9" x14ac:dyDescent="0.25">
      <c r="B105" s="5">
        <v>45929</v>
      </c>
      <c r="C105" s="3">
        <v>268.93</v>
      </c>
      <c r="D105" s="3">
        <v>142.41</v>
      </c>
      <c r="E105" s="12">
        <f t="shared" si="3"/>
        <v>3.7198229364299173E-4</v>
      </c>
      <c r="F105" s="12">
        <f t="shared" si="4"/>
        <v>1.0286606129398246E-2</v>
      </c>
      <c r="I105" s="13">
        <f t="shared" si="5"/>
        <v>4.089966232051212E-3</v>
      </c>
    </row>
    <row r="106" spans="2:9" x14ac:dyDescent="0.25">
      <c r="B106" s="8">
        <v>45926</v>
      </c>
      <c r="C106" s="6">
        <v>268.83</v>
      </c>
      <c r="D106" s="6">
        <v>140.96</v>
      </c>
      <c r="E106" s="12">
        <f t="shared" si="3"/>
        <v>2.1995228153890434E-3</v>
      </c>
      <c r="F106" s="12">
        <f t="shared" si="4"/>
        <v>1.3590278277126666E-2</v>
      </c>
      <c r="I106" s="13">
        <f t="shared" si="5"/>
        <v>6.4710561135406519E-3</v>
      </c>
    </row>
    <row r="107" spans="2:9" x14ac:dyDescent="0.25">
      <c r="B107" s="5">
        <v>45925</v>
      </c>
      <c r="C107" s="3">
        <v>268.24</v>
      </c>
      <c r="D107" s="3">
        <v>139.07</v>
      </c>
      <c r="E107" s="12">
        <f t="shared" si="3"/>
        <v>-3.1958379784466917E-3</v>
      </c>
      <c r="F107" s="12">
        <f t="shared" si="4"/>
        <v>-1.8144591923185516E-2</v>
      </c>
      <c r="I107" s="13">
        <f t="shared" si="5"/>
        <v>-8.8016207077237507E-3</v>
      </c>
    </row>
    <row r="108" spans="2:9" x14ac:dyDescent="0.25">
      <c r="B108" s="8">
        <v>45924</v>
      </c>
      <c r="C108" s="6">
        <v>269.10000000000002</v>
      </c>
      <c r="D108" s="6">
        <v>141.63999999999999</v>
      </c>
      <c r="E108" s="12">
        <f t="shared" si="3"/>
        <v>-1.5212793588362805E-3</v>
      </c>
      <c r="F108" s="12">
        <f t="shared" si="4"/>
        <v>-5.9653309004141786E-3</v>
      </c>
      <c r="I108" s="13">
        <f t="shared" si="5"/>
        <v>-3.1877986869279923E-3</v>
      </c>
    </row>
    <row r="109" spans="2:9" x14ac:dyDescent="0.25">
      <c r="B109" s="5">
        <v>45923</v>
      </c>
      <c r="C109" s="3">
        <v>269.51</v>
      </c>
      <c r="D109" s="3">
        <v>142.49</v>
      </c>
      <c r="E109" s="12">
        <f t="shared" si="3"/>
        <v>-1.1859318830373944E-3</v>
      </c>
      <c r="F109" s="12">
        <f t="shared" si="4"/>
        <v>-6.4151732794085481E-3</v>
      </c>
      <c r="I109" s="13">
        <f t="shared" si="5"/>
        <v>-3.146897406676577E-3</v>
      </c>
    </row>
    <row r="110" spans="2:9" x14ac:dyDescent="0.25">
      <c r="B110" s="8">
        <v>45922</v>
      </c>
      <c r="C110" s="6">
        <v>269.83</v>
      </c>
      <c r="D110" s="6">
        <v>143.41</v>
      </c>
      <c r="E110" s="12">
        <f t="shared" si="3"/>
        <v>1.4932671330775582E-2</v>
      </c>
      <c r="F110" s="12">
        <f t="shared" si="4"/>
        <v>4.8346412556052876E-3</v>
      </c>
      <c r="I110" s="13">
        <f t="shared" si="5"/>
        <v>1.1145910052586722E-2</v>
      </c>
    </row>
    <row r="111" spans="2:9" x14ac:dyDescent="0.25">
      <c r="B111" s="5">
        <v>45919</v>
      </c>
      <c r="C111" s="3">
        <v>265.86</v>
      </c>
      <c r="D111" s="3">
        <v>142.72</v>
      </c>
      <c r="E111" s="12">
        <f t="shared" si="3"/>
        <v>-6.3908509922636636E-3</v>
      </c>
      <c r="F111" s="12">
        <f t="shared" si="4"/>
        <v>-6.3357237345957884E-3</v>
      </c>
      <c r="I111" s="13">
        <f t="shared" si="5"/>
        <v>-6.3701782706382104E-3</v>
      </c>
    </row>
    <row r="112" spans="2:9" x14ac:dyDescent="0.25">
      <c r="B112" s="8">
        <v>45918</v>
      </c>
      <c r="C112" s="6">
        <v>267.57</v>
      </c>
      <c r="D112" s="6">
        <v>143.63</v>
      </c>
      <c r="E112" s="12">
        <f t="shared" si="3"/>
        <v>3.4966928402893283E-2</v>
      </c>
      <c r="F112" s="12">
        <f t="shared" si="4"/>
        <v>1.8652482269503556E-2</v>
      </c>
      <c r="I112" s="13">
        <f t="shared" si="5"/>
        <v>2.8849011102872135E-2</v>
      </c>
    </row>
    <row r="113" spans="2:9" x14ac:dyDescent="0.25">
      <c r="B113" s="5">
        <v>45917</v>
      </c>
      <c r="C113" s="3">
        <v>258.52999999999997</v>
      </c>
      <c r="D113" s="3">
        <v>141</v>
      </c>
      <c r="E113" s="12">
        <f t="shared" si="3"/>
        <v>-1.9336375589762422E-4</v>
      </c>
      <c r="F113" s="12">
        <f t="shared" si="4"/>
        <v>4.2571306939120923E-4</v>
      </c>
      <c r="I113" s="13">
        <f t="shared" si="5"/>
        <v>3.8790053585688322E-5</v>
      </c>
    </row>
    <row r="114" spans="2:9" x14ac:dyDescent="0.25">
      <c r="B114" s="8">
        <v>45916</v>
      </c>
      <c r="C114" s="6">
        <v>258.58</v>
      </c>
      <c r="D114" s="6">
        <v>140.94</v>
      </c>
      <c r="E114" s="12">
        <f t="shared" si="3"/>
        <v>3.0256012412721578E-3</v>
      </c>
      <c r="F114" s="12">
        <f t="shared" si="4"/>
        <v>1.5633882888004269E-3</v>
      </c>
      <c r="I114" s="13">
        <f t="shared" si="5"/>
        <v>2.4772713840952587E-3</v>
      </c>
    </row>
    <row r="115" spans="2:9" x14ac:dyDescent="0.25">
      <c r="B115" s="5">
        <v>45915</v>
      </c>
      <c r="C115" s="3">
        <v>257.8</v>
      </c>
      <c r="D115" s="3">
        <v>140.72</v>
      </c>
      <c r="E115" s="12">
        <f t="shared" si="3"/>
        <v>8.4493819433579809E-3</v>
      </c>
      <c r="F115" s="12">
        <f t="shared" si="4"/>
        <v>-1.8442332245708348E-3</v>
      </c>
      <c r="I115" s="13">
        <f t="shared" si="5"/>
        <v>4.589276255384675E-3</v>
      </c>
    </row>
    <row r="116" spans="2:9" x14ac:dyDescent="0.25">
      <c r="B116" s="8">
        <v>45912</v>
      </c>
      <c r="C116" s="6">
        <v>255.64</v>
      </c>
      <c r="D116" s="6">
        <v>140.97999999999999</v>
      </c>
      <c r="E116" s="12">
        <f t="shared" si="3"/>
        <v>1.7633919824444622E-3</v>
      </c>
      <c r="F116" s="12">
        <f t="shared" si="4"/>
        <v>-1.9610570236439639E-2</v>
      </c>
      <c r="I116" s="13">
        <f t="shared" si="5"/>
        <v>-6.251843849637076E-3</v>
      </c>
    </row>
    <row r="117" spans="2:9" x14ac:dyDescent="0.25">
      <c r="B117" s="5">
        <v>45911</v>
      </c>
      <c r="C117" s="3">
        <v>255.19</v>
      </c>
      <c r="D117" s="3">
        <v>143.80000000000001</v>
      </c>
      <c r="E117" s="12">
        <f t="shared" si="3"/>
        <v>6.865259420004044E-3</v>
      </c>
      <c r="F117" s="12">
        <f t="shared" si="4"/>
        <v>2.2396018485602687E-2</v>
      </c>
      <c r="I117" s="13">
        <f t="shared" si="5"/>
        <v>1.2689294069603535E-2</v>
      </c>
    </row>
    <row r="118" spans="2:9" x14ac:dyDescent="0.25">
      <c r="B118" s="8">
        <v>45910</v>
      </c>
      <c r="C118" s="6">
        <v>253.45</v>
      </c>
      <c r="D118" s="6">
        <v>140.65</v>
      </c>
      <c r="E118" s="12">
        <f t="shared" si="3"/>
        <v>1.7626274793222541E-2</v>
      </c>
      <c r="F118" s="12">
        <f t="shared" si="4"/>
        <v>-1.6020707989366167E-2</v>
      </c>
      <c r="I118" s="13">
        <f t="shared" si="5"/>
        <v>5.008656249751775E-3</v>
      </c>
    </row>
    <row r="119" spans="2:9" x14ac:dyDescent="0.25">
      <c r="B119" s="5">
        <v>45909</v>
      </c>
      <c r="C119" s="3">
        <v>249.06</v>
      </c>
      <c r="D119" s="3">
        <v>142.94</v>
      </c>
      <c r="E119" s="12">
        <f t="shared" si="3"/>
        <v>8.438818565401629E-4</v>
      </c>
      <c r="F119" s="12">
        <f t="shared" si="4"/>
        <v>5.1332536389845362E-3</v>
      </c>
      <c r="I119" s="13">
        <f t="shared" si="5"/>
        <v>2.4523962749568029E-3</v>
      </c>
    </row>
    <row r="120" spans="2:9" x14ac:dyDescent="0.25">
      <c r="B120" s="8">
        <v>45908</v>
      </c>
      <c r="C120" s="6">
        <v>248.85</v>
      </c>
      <c r="D120" s="6">
        <v>142.21</v>
      </c>
      <c r="E120" s="12">
        <f t="shared" si="3"/>
        <v>7.2859744990891873E-3</v>
      </c>
      <c r="F120" s="12">
        <f t="shared" si="4"/>
        <v>-6.3583007266628799E-3</v>
      </c>
      <c r="I120" s="13">
        <f t="shared" si="5"/>
        <v>2.1693712894321621E-3</v>
      </c>
    </row>
    <row r="121" spans="2:9" x14ac:dyDescent="0.25">
      <c r="B121" s="5">
        <v>45905</v>
      </c>
      <c r="C121" s="3">
        <v>247.05</v>
      </c>
      <c r="D121" s="3">
        <v>143.12</v>
      </c>
      <c r="E121" s="12">
        <f t="shared" si="3"/>
        <v>1.179506081828241E-2</v>
      </c>
      <c r="F121" s="12">
        <f t="shared" si="4"/>
        <v>1.9736373352333469E-2</v>
      </c>
      <c r="I121" s="13">
        <f t="shared" si="5"/>
        <v>1.4773053018551557E-2</v>
      </c>
    </row>
    <row r="122" spans="2:9" x14ac:dyDescent="0.25">
      <c r="B122" s="8">
        <v>45904</v>
      </c>
      <c r="C122" s="6">
        <v>244.17</v>
      </c>
      <c r="D122" s="6">
        <v>140.35</v>
      </c>
      <c r="E122" s="12">
        <f t="shared" si="3"/>
        <v>1.0302879841112222E-2</v>
      </c>
      <c r="F122" s="12">
        <f t="shared" si="4"/>
        <v>-7.1245369051120555E-5</v>
      </c>
      <c r="I122" s="13">
        <f t="shared" si="5"/>
        <v>6.4125828873009688E-3</v>
      </c>
    </row>
    <row r="123" spans="2:9" x14ac:dyDescent="0.25">
      <c r="B123" s="5">
        <v>45903</v>
      </c>
      <c r="C123" s="3">
        <v>241.68</v>
      </c>
      <c r="D123" s="3">
        <v>140.36000000000001</v>
      </c>
      <c r="E123" s="12">
        <f t="shared" si="3"/>
        <v>-4.7358234155582268E-3</v>
      </c>
      <c r="F123" s="12">
        <f t="shared" si="4"/>
        <v>-3.5609999287788963E-4</v>
      </c>
      <c r="I123" s="13">
        <f t="shared" si="5"/>
        <v>-3.0934271320531004E-3</v>
      </c>
    </row>
    <row r="124" spans="2:9" x14ac:dyDescent="0.25">
      <c r="B124" s="8">
        <v>45902</v>
      </c>
      <c r="C124" s="6">
        <v>242.83</v>
      </c>
      <c r="D124" s="6">
        <v>140.41</v>
      </c>
      <c r="E124" s="12">
        <f t="shared" si="3"/>
        <v>-1.0150008152616907E-2</v>
      </c>
      <c r="F124" s="12">
        <f t="shared" si="4"/>
        <v>1.5844306178555811E-2</v>
      </c>
      <c r="I124" s="13">
        <f t="shared" si="5"/>
        <v>-4.0214027842713773E-4</v>
      </c>
    </row>
    <row r="125" spans="2:9" x14ac:dyDescent="0.25">
      <c r="B125" s="5">
        <v>45898</v>
      </c>
      <c r="C125" s="3">
        <v>245.32</v>
      </c>
      <c r="D125" s="3">
        <v>138.22</v>
      </c>
      <c r="E125" s="12">
        <f t="shared" si="3"/>
        <v>-2.8627994456543293E-2</v>
      </c>
      <c r="F125" s="12">
        <f t="shared" si="4"/>
        <v>7.2353664713142862E-5</v>
      </c>
      <c r="I125" s="13">
        <f t="shared" si="5"/>
        <v>-1.786536391107213E-2</v>
      </c>
    </row>
    <row r="126" spans="2:9" x14ac:dyDescent="0.25">
      <c r="B126" s="8">
        <v>45897</v>
      </c>
      <c r="C126" s="6">
        <v>252.55</v>
      </c>
      <c r="D126" s="6">
        <v>138.21</v>
      </c>
      <c r="E126" s="12">
        <f t="shared" si="3"/>
        <v>4.8141959099228249E-3</v>
      </c>
      <c r="F126" s="12">
        <f t="shared" si="4"/>
        <v>-2.7419005700266563E-3</v>
      </c>
      <c r="I126" s="13">
        <f t="shared" si="5"/>
        <v>1.9806597299417694E-3</v>
      </c>
    </row>
    <row r="127" spans="2:9" x14ac:dyDescent="0.25">
      <c r="B127" s="5">
        <v>45896</v>
      </c>
      <c r="C127" s="3">
        <v>251.34</v>
      </c>
      <c r="D127" s="3">
        <v>138.59</v>
      </c>
      <c r="E127" s="12">
        <f t="shared" si="3"/>
        <v>1.9533585808251264E-3</v>
      </c>
      <c r="F127" s="12">
        <f t="shared" si="4"/>
        <v>8.6661370694018913E-4</v>
      </c>
      <c r="I127" s="13">
        <f t="shared" si="5"/>
        <v>1.5458292531182749E-3</v>
      </c>
    </row>
    <row r="128" spans="2:9" x14ac:dyDescent="0.25">
      <c r="B128" s="8">
        <v>45895</v>
      </c>
      <c r="C128" s="6">
        <v>250.85</v>
      </c>
      <c r="D128" s="6">
        <v>138.47</v>
      </c>
      <c r="E128" s="12">
        <f t="shared" si="3"/>
        <v>9.4161200756508467E-3</v>
      </c>
      <c r="F128" s="12">
        <f t="shared" si="4"/>
        <v>1.0213759393010946E-2</v>
      </c>
      <c r="I128" s="13">
        <f t="shared" si="5"/>
        <v>9.715234819660884E-3</v>
      </c>
    </row>
    <row r="129" spans="2:9" x14ac:dyDescent="0.25">
      <c r="B129" s="5">
        <v>45894</v>
      </c>
      <c r="C129" s="3">
        <v>248.51</v>
      </c>
      <c r="D129" s="3">
        <v>137.07</v>
      </c>
      <c r="E129" s="12">
        <f t="shared" si="3"/>
        <v>-2.3284756513710647E-3</v>
      </c>
      <c r="F129" s="12">
        <f t="shared" si="4"/>
        <v>-1.9808352402746032E-2</v>
      </c>
      <c r="I129" s="13">
        <f t="shared" si="5"/>
        <v>-8.8834294331366775E-3</v>
      </c>
    </row>
    <row r="130" spans="2:9" x14ac:dyDescent="0.25">
      <c r="B130" s="8">
        <v>45891</v>
      </c>
      <c r="C130" s="6">
        <v>249.09</v>
      </c>
      <c r="D130" s="6">
        <v>139.84</v>
      </c>
      <c r="E130" s="12">
        <f t="shared" si="3"/>
        <v>2.7768608681300488E-2</v>
      </c>
      <c r="F130" s="12">
        <f t="shared" si="4"/>
        <v>7.7832228307870288E-3</v>
      </c>
      <c r="I130" s="13">
        <f t="shared" si="5"/>
        <v>2.0274088987357941E-2</v>
      </c>
    </row>
    <row r="131" spans="2:9" x14ac:dyDescent="0.25">
      <c r="B131" s="5">
        <v>45890</v>
      </c>
      <c r="C131" s="3">
        <v>242.36</v>
      </c>
      <c r="D131" s="3">
        <v>138.76</v>
      </c>
      <c r="E131" s="12">
        <f t="shared" si="3"/>
        <v>-5.6617707393123995E-3</v>
      </c>
      <c r="F131" s="12">
        <f t="shared" si="4"/>
        <v>2.4562924432884881E-3</v>
      </c>
      <c r="I131" s="13">
        <f t="shared" si="5"/>
        <v>-2.6174970458370667E-3</v>
      </c>
    </row>
    <row r="132" spans="2:9" x14ac:dyDescent="0.25">
      <c r="B132" s="8">
        <v>45889</v>
      </c>
      <c r="C132" s="6">
        <v>243.74</v>
      </c>
      <c r="D132" s="6">
        <v>138.41999999999999</v>
      </c>
      <c r="E132" s="12">
        <f t="shared" si="3"/>
        <v>-5.7515806648990031E-3</v>
      </c>
      <c r="F132" s="12">
        <f t="shared" si="4"/>
        <v>3.8436434839363987E-3</v>
      </c>
      <c r="I132" s="13">
        <f t="shared" si="5"/>
        <v>-2.1533716090857274E-3</v>
      </c>
    </row>
    <row r="133" spans="2:9" x14ac:dyDescent="0.25">
      <c r="B133" s="5">
        <v>45888</v>
      </c>
      <c r="C133" s="3">
        <v>245.15</v>
      </c>
      <c r="D133" s="3">
        <v>137.88999999999999</v>
      </c>
      <c r="E133" s="12">
        <f t="shared" si="3"/>
        <v>-1.5659506123268496E-2</v>
      </c>
      <c r="F133" s="12">
        <f t="shared" si="4"/>
        <v>-3.5409741292095065E-3</v>
      </c>
      <c r="I133" s="13">
        <f t="shared" si="5"/>
        <v>-1.1115056625496375E-2</v>
      </c>
    </row>
    <row r="134" spans="2:9" x14ac:dyDescent="0.25">
      <c r="B134" s="8">
        <v>45887</v>
      </c>
      <c r="C134" s="6">
        <v>249.05</v>
      </c>
      <c r="D134" s="6">
        <v>138.38</v>
      </c>
      <c r="E134" s="12">
        <f t="shared" si="3"/>
        <v>2.9397551546392897E-3</v>
      </c>
      <c r="F134" s="12">
        <f t="shared" si="4"/>
        <v>-2.7385413663879588E-3</v>
      </c>
      <c r="I134" s="13">
        <f t="shared" si="5"/>
        <v>8.1039395925407154E-4</v>
      </c>
    </row>
    <row r="135" spans="2:9" x14ac:dyDescent="0.25">
      <c r="B135" s="5">
        <v>45884</v>
      </c>
      <c r="C135" s="3">
        <v>248.32</v>
      </c>
      <c r="D135" s="3">
        <v>138.76</v>
      </c>
      <c r="E135" s="12">
        <f t="shared" si="3"/>
        <v>-2.2900763358778553E-2</v>
      </c>
      <c r="F135" s="12">
        <f t="shared" si="4"/>
        <v>1.0854520288482439E-2</v>
      </c>
      <c r="I135" s="13">
        <f t="shared" si="5"/>
        <v>-1.0242531991055681E-2</v>
      </c>
    </row>
    <row r="136" spans="2:9" x14ac:dyDescent="0.25">
      <c r="B136" s="8">
        <v>45883</v>
      </c>
      <c r="C136" s="6">
        <v>254.14</v>
      </c>
      <c r="D136" s="6">
        <v>137.27000000000001</v>
      </c>
      <c r="E136" s="12">
        <f t="shared" si="3"/>
        <v>1.0241058767921363E-3</v>
      </c>
      <c r="F136" s="12">
        <f t="shared" si="4"/>
        <v>1.2399708242161189E-3</v>
      </c>
      <c r="I136" s="13">
        <f t="shared" si="5"/>
        <v>1.1050552320761298E-3</v>
      </c>
    </row>
    <row r="137" spans="2:9" x14ac:dyDescent="0.25">
      <c r="B137" s="5">
        <v>45882</v>
      </c>
      <c r="C137" s="3">
        <v>253.88</v>
      </c>
      <c r="D137" s="3">
        <v>137.1</v>
      </c>
      <c r="E137" s="12">
        <f t="shared" si="3"/>
        <v>1.4870482890949832E-2</v>
      </c>
      <c r="F137" s="12">
        <f t="shared" si="4"/>
        <v>2.3134328358208833E-2</v>
      </c>
      <c r="I137" s="13">
        <f t="shared" si="5"/>
        <v>1.7969424941171958E-2</v>
      </c>
    </row>
    <row r="138" spans="2:9" x14ac:dyDescent="0.25">
      <c r="B138" s="8">
        <v>45881</v>
      </c>
      <c r="C138" s="6">
        <v>250.16</v>
      </c>
      <c r="D138" s="6">
        <v>134</v>
      </c>
      <c r="E138" s="12">
        <f t="shared" si="3"/>
        <v>3.1970628274411217E-2</v>
      </c>
      <c r="F138" s="12">
        <f t="shared" si="4"/>
        <v>1.7155002277212672E-2</v>
      </c>
      <c r="I138" s="13">
        <f t="shared" si="5"/>
        <v>2.6414768525461763E-2</v>
      </c>
    </row>
    <row r="139" spans="2:9" x14ac:dyDescent="0.25">
      <c r="B139" s="5">
        <v>45880</v>
      </c>
      <c r="C139" s="3">
        <v>242.41</v>
      </c>
      <c r="D139" s="3">
        <v>131.74</v>
      </c>
      <c r="E139" s="12">
        <f t="shared" si="3"/>
        <v>-1.8940173755507272E-3</v>
      </c>
      <c r="F139" s="12">
        <f t="shared" si="4"/>
        <v>-2.27203877612836E-3</v>
      </c>
      <c r="I139" s="13">
        <f t="shared" si="5"/>
        <v>-2.0357754007673395E-3</v>
      </c>
    </row>
    <row r="140" spans="2:9" x14ac:dyDescent="0.25">
      <c r="B140" s="8">
        <v>45877</v>
      </c>
      <c r="C140" s="6">
        <v>242.87</v>
      </c>
      <c r="D140" s="6">
        <v>132.04</v>
      </c>
      <c r="E140" s="12">
        <f t="shared" si="3"/>
        <v>8.4288324198638076E-3</v>
      </c>
      <c r="F140" s="12">
        <f t="shared" si="4"/>
        <v>6.1723691229140787E-3</v>
      </c>
      <c r="I140" s="13">
        <f t="shared" si="5"/>
        <v>7.5826586835076593E-3</v>
      </c>
    </row>
    <row r="141" spans="2:9" x14ac:dyDescent="0.25">
      <c r="B141" s="5">
        <v>45876</v>
      </c>
      <c r="C141" s="3">
        <v>240.84</v>
      </c>
      <c r="D141" s="3">
        <v>131.22999999999999</v>
      </c>
      <c r="E141" s="12">
        <f t="shared" si="3"/>
        <v>1.6502764529607861E-2</v>
      </c>
      <c r="F141" s="12">
        <f t="shared" si="4"/>
        <v>-1.9773366795955427E-3</v>
      </c>
      <c r="I141" s="13">
        <f t="shared" si="5"/>
        <v>9.5727265761565844E-3</v>
      </c>
    </row>
    <row r="142" spans="2:9" x14ac:dyDescent="0.25">
      <c r="B142" s="8">
        <v>45875</v>
      </c>
      <c r="C142" s="6">
        <v>236.93</v>
      </c>
      <c r="D142" s="6">
        <v>131.49</v>
      </c>
      <c r="E142" s="12">
        <f t="shared" si="3"/>
        <v>-7.539898630251729E-3</v>
      </c>
      <c r="F142" s="12">
        <f t="shared" si="4"/>
        <v>-1.4391724758263891E-2</v>
      </c>
      <c r="I142" s="13">
        <f t="shared" si="5"/>
        <v>-1.010933342825629E-2</v>
      </c>
    </row>
    <row r="143" spans="2:9" x14ac:dyDescent="0.25">
      <c r="B143" s="5">
        <v>45874</v>
      </c>
      <c r="C143" s="3">
        <v>238.73</v>
      </c>
      <c r="D143" s="3">
        <v>133.41</v>
      </c>
      <c r="E143" s="12">
        <f t="shared" ref="E143:E206" si="6">C143/C144-1</f>
        <v>-6.9467554076539928E-3</v>
      </c>
      <c r="F143" s="12">
        <f t="shared" ref="F143:F206" si="7">D143/D144-1</f>
        <v>-1.4478835783408472E-2</v>
      </c>
      <c r="I143" s="13">
        <f t="shared" ref="I143:I206" si="8">E143*$G$14+F143*$H$14</f>
        <v>-9.7712855485619227E-3</v>
      </c>
    </row>
    <row r="144" spans="2:9" x14ac:dyDescent="0.25">
      <c r="B144" s="8">
        <v>45873</v>
      </c>
      <c r="C144" s="6">
        <v>240.4</v>
      </c>
      <c r="D144" s="6">
        <v>135.37</v>
      </c>
      <c r="E144" s="12">
        <f t="shared" si="6"/>
        <v>1.3319844882819121E-2</v>
      </c>
      <c r="F144" s="12">
        <f t="shared" si="7"/>
        <v>1.7513529765484259E-2</v>
      </c>
      <c r="I144" s="13">
        <f t="shared" si="8"/>
        <v>1.4892476713818548E-2</v>
      </c>
    </row>
    <row r="145" spans="2:9" x14ac:dyDescent="0.25">
      <c r="B145" s="5">
        <v>45870</v>
      </c>
      <c r="C145" s="3">
        <v>237.24</v>
      </c>
      <c r="D145" s="3">
        <v>133.04</v>
      </c>
      <c r="E145" s="12">
        <f t="shared" si="6"/>
        <v>-1.1623547056617944E-2</v>
      </c>
      <c r="F145" s="12">
        <f t="shared" si="7"/>
        <v>2.1090689966858367E-3</v>
      </c>
      <c r="I145" s="13">
        <f t="shared" si="8"/>
        <v>-6.4738160366290265E-3</v>
      </c>
    </row>
    <row r="146" spans="2:9" x14ac:dyDescent="0.25">
      <c r="B146" s="8">
        <v>45869</v>
      </c>
      <c r="C146" s="6">
        <v>240.03</v>
      </c>
      <c r="D146" s="6">
        <v>132.76</v>
      </c>
      <c r="E146" s="12">
        <f t="shared" si="6"/>
        <v>-3.1941923774954528E-2</v>
      </c>
      <c r="F146" s="12">
        <f t="shared" si="7"/>
        <v>-7.0306656694091307E-3</v>
      </c>
      <c r="I146" s="13">
        <f t="shared" si="8"/>
        <v>-2.2600201985375004E-2</v>
      </c>
    </row>
    <row r="147" spans="2:9" x14ac:dyDescent="0.25">
      <c r="B147" s="5">
        <v>45868</v>
      </c>
      <c r="C147" s="3">
        <v>247.95</v>
      </c>
      <c r="D147" s="3">
        <v>133.69999999999999</v>
      </c>
      <c r="E147" s="12">
        <f t="shared" si="6"/>
        <v>7.1489499979691118E-3</v>
      </c>
      <c r="F147" s="12">
        <f t="shared" si="7"/>
        <v>-1.1952786493353296E-3</v>
      </c>
      <c r="I147" s="13">
        <f t="shared" si="8"/>
        <v>4.0198642552299463E-3</v>
      </c>
    </row>
    <row r="148" spans="2:9" x14ac:dyDescent="0.25">
      <c r="B148" s="8">
        <v>45867</v>
      </c>
      <c r="C148" s="6">
        <v>246.19</v>
      </c>
      <c r="D148" s="6">
        <v>133.86000000000001</v>
      </c>
      <c r="E148" s="12">
        <f t="shared" si="6"/>
        <v>1.7904374364190456E-3</v>
      </c>
      <c r="F148" s="12">
        <f t="shared" si="7"/>
        <v>-1.8641413764819426E-3</v>
      </c>
      <c r="I148" s="13">
        <f t="shared" si="8"/>
        <v>4.1997038158117506E-4</v>
      </c>
    </row>
    <row r="149" spans="2:9" x14ac:dyDescent="0.25">
      <c r="B149" s="5">
        <v>45866</v>
      </c>
      <c r="C149" s="3">
        <v>245.75</v>
      </c>
      <c r="D149" s="3">
        <v>134.11000000000001</v>
      </c>
      <c r="E149" s="12">
        <f t="shared" si="6"/>
        <v>1.7429825287736955E-2</v>
      </c>
      <c r="F149" s="12">
        <f t="shared" si="7"/>
        <v>-1.0258302583025736E-2</v>
      </c>
      <c r="I149" s="13">
        <f t="shared" si="8"/>
        <v>7.0467773362009462E-3</v>
      </c>
    </row>
    <row r="150" spans="2:9" x14ac:dyDescent="0.25">
      <c r="B150" s="8">
        <v>45863</v>
      </c>
      <c r="C150" s="6">
        <v>241.54</v>
      </c>
      <c r="D150" s="6">
        <v>135.5</v>
      </c>
      <c r="E150" s="12">
        <f t="shared" si="6"/>
        <v>-8.2795164762394791E-5</v>
      </c>
      <c r="F150" s="12">
        <f t="shared" si="7"/>
        <v>5.1687218489249176E-4</v>
      </c>
      <c r="I150" s="13">
        <f t="shared" si="8"/>
        <v>1.4208009135818767E-4</v>
      </c>
    </row>
    <row r="151" spans="2:9" x14ac:dyDescent="0.25">
      <c r="B151" s="5">
        <v>45862</v>
      </c>
      <c r="C151" s="3">
        <v>241.56</v>
      </c>
      <c r="D151" s="3">
        <v>135.43</v>
      </c>
      <c r="E151" s="12">
        <f t="shared" si="6"/>
        <v>-2.0656035693629171E-3</v>
      </c>
      <c r="F151" s="12">
        <f t="shared" si="7"/>
        <v>1.4769957905635955E-4</v>
      </c>
      <c r="I151" s="13">
        <f t="shared" si="8"/>
        <v>-1.2356148887056884E-3</v>
      </c>
    </row>
    <row r="152" spans="2:9" x14ac:dyDescent="0.25">
      <c r="B152" s="8">
        <v>45861</v>
      </c>
      <c r="C152" s="6">
        <v>242.06</v>
      </c>
      <c r="D152" s="6">
        <v>135.41</v>
      </c>
      <c r="E152" s="12">
        <f t="shared" si="6"/>
        <v>-6.0770304672743691E-3</v>
      </c>
      <c r="F152" s="12">
        <f t="shared" si="7"/>
        <v>1.9346582354712316E-2</v>
      </c>
      <c r="I152" s="13">
        <f t="shared" si="8"/>
        <v>3.4568243409706378E-3</v>
      </c>
    </row>
    <row r="153" spans="2:9" x14ac:dyDescent="0.25">
      <c r="B153" s="5">
        <v>45860</v>
      </c>
      <c r="C153" s="3">
        <v>243.54</v>
      </c>
      <c r="D153" s="3">
        <v>132.84</v>
      </c>
      <c r="E153" s="12">
        <f t="shared" si="6"/>
        <v>-1.38084632516704E-2</v>
      </c>
      <c r="F153" s="12">
        <f t="shared" si="7"/>
        <v>2.8730736467126317E-2</v>
      </c>
      <c r="I153" s="13">
        <f t="shared" si="8"/>
        <v>2.1437366428783688E-3</v>
      </c>
    </row>
    <row r="154" spans="2:9" x14ac:dyDescent="0.25">
      <c r="B154" s="8">
        <v>45859</v>
      </c>
      <c r="C154" s="6">
        <v>246.95</v>
      </c>
      <c r="D154" s="6">
        <v>129.13</v>
      </c>
      <c r="E154" s="12">
        <f t="shared" si="6"/>
        <v>8.9166295140441498E-4</v>
      </c>
      <c r="F154" s="12">
        <f t="shared" si="7"/>
        <v>-4.6249903646033985E-3</v>
      </c>
      <c r="I154" s="13">
        <f t="shared" si="8"/>
        <v>-1.1770820420985151E-3</v>
      </c>
    </row>
    <row r="155" spans="2:9" x14ac:dyDescent="0.25">
      <c r="B155" s="5">
        <v>45856</v>
      </c>
      <c r="C155" s="3">
        <v>246.73</v>
      </c>
      <c r="D155" s="3">
        <v>129.72999999999999</v>
      </c>
      <c r="E155" s="12">
        <f t="shared" si="6"/>
        <v>8.1126029286493484E-4</v>
      </c>
      <c r="F155" s="12">
        <f t="shared" si="7"/>
        <v>-1.5257325034158331E-2</v>
      </c>
      <c r="I155" s="13">
        <f t="shared" si="8"/>
        <v>-5.2144592047687899E-3</v>
      </c>
    </row>
    <row r="156" spans="2:9" x14ac:dyDescent="0.25">
      <c r="B156" s="8">
        <v>45855</v>
      </c>
      <c r="C156" s="6">
        <v>246.53</v>
      </c>
      <c r="D156" s="6">
        <v>131.74</v>
      </c>
      <c r="E156" s="12">
        <f t="shared" si="6"/>
        <v>3.8275174070605544E-3</v>
      </c>
      <c r="F156" s="12">
        <f t="shared" si="7"/>
        <v>4.2689434364995282E-3</v>
      </c>
      <c r="I156" s="13">
        <f t="shared" si="8"/>
        <v>3.9930521681001696E-3</v>
      </c>
    </row>
    <row r="157" spans="2:9" x14ac:dyDescent="0.25">
      <c r="B157" s="5">
        <v>45854</v>
      </c>
      <c r="C157" s="3">
        <v>245.59</v>
      </c>
      <c r="D157" s="3">
        <v>131.18</v>
      </c>
      <c r="E157" s="12">
        <f t="shared" si="6"/>
        <v>-2.7207016973929132E-3</v>
      </c>
      <c r="F157" s="12">
        <f t="shared" si="7"/>
        <v>1.6505230530801995E-2</v>
      </c>
      <c r="I157" s="13">
        <f t="shared" si="8"/>
        <v>4.4890228881801775E-3</v>
      </c>
    </row>
    <row r="158" spans="2:9" x14ac:dyDescent="0.25">
      <c r="B158" s="8">
        <v>45853</v>
      </c>
      <c r="C158" s="6">
        <v>246.26</v>
      </c>
      <c r="D158" s="6">
        <v>129.05000000000001</v>
      </c>
      <c r="E158" s="12">
        <f t="shared" si="6"/>
        <v>9.9659598900871949E-3</v>
      </c>
      <c r="F158" s="12">
        <f t="shared" si="7"/>
        <v>-2.1533095761619325E-2</v>
      </c>
      <c r="I158" s="13">
        <f t="shared" si="8"/>
        <v>-1.8461859793027502E-3</v>
      </c>
    </row>
    <row r="159" spans="2:9" x14ac:dyDescent="0.25">
      <c r="B159" s="5">
        <v>45852</v>
      </c>
      <c r="C159" s="3">
        <v>243.83</v>
      </c>
      <c r="D159" s="3">
        <v>131.88999999999999</v>
      </c>
      <c r="E159" s="12">
        <f t="shared" si="6"/>
        <v>-9.5056261932809916E-3</v>
      </c>
      <c r="F159" s="12">
        <f t="shared" si="7"/>
        <v>2.2798084960862219E-3</v>
      </c>
      <c r="I159" s="13">
        <f t="shared" si="8"/>
        <v>-5.0860881847682865E-3</v>
      </c>
    </row>
    <row r="160" spans="2:9" x14ac:dyDescent="0.25">
      <c r="B160" s="8">
        <v>45849</v>
      </c>
      <c r="C160" s="6">
        <v>246.17</v>
      </c>
      <c r="D160" s="6">
        <v>131.59</v>
      </c>
      <c r="E160" s="12">
        <f t="shared" si="6"/>
        <v>-1.5412695193673942E-3</v>
      </c>
      <c r="F160" s="12">
        <f t="shared" si="7"/>
        <v>-1.5413393191170965E-2</v>
      </c>
      <c r="I160" s="13">
        <f t="shared" si="8"/>
        <v>-6.7433158962937334E-3</v>
      </c>
    </row>
    <row r="161" spans="2:9" x14ac:dyDescent="0.25">
      <c r="B161" s="5">
        <v>45848</v>
      </c>
      <c r="C161" s="3">
        <v>246.55</v>
      </c>
      <c r="D161" s="3">
        <v>133.65</v>
      </c>
      <c r="E161" s="12">
        <f t="shared" si="6"/>
        <v>9.9541209241356121E-3</v>
      </c>
      <c r="F161" s="12">
        <f t="shared" si="7"/>
        <v>1.0280444478040662E-2</v>
      </c>
      <c r="I161" s="13">
        <f t="shared" si="8"/>
        <v>1.0076492256850006E-2</v>
      </c>
    </row>
    <row r="162" spans="2:9" x14ac:dyDescent="0.25">
      <c r="B162" s="8">
        <v>45847</v>
      </c>
      <c r="C162" s="6">
        <v>244.12</v>
      </c>
      <c r="D162" s="6">
        <v>132.29</v>
      </c>
      <c r="E162" s="12">
        <f t="shared" si="6"/>
        <v>3.2053916331058474E-3</v>
      </c>
      <c r="F162" s="12">
        <f t="shared" si="7"/>
        <v>2.2887187814118803E-2</v>
      </c>
      <c r="I162" s="13">
        <f t="shared" si="8"/>
        <v>1.0586065200985706E-2</v>
      </c>
    </row>
    <row r="163" spans="2:9" x14ac:dyDescent="0.25">
      <c r="B163" s="5">
        <v>45846</v>
      </c>
      <c r="C163" s="3">
        <v>243.34</v>
      </c>
      <c r="D163" s="3">
        <v>129.33000000000001</v>
      </c>
      <c r="E163" s="12">
        <f t="shared" si="6"/>
        <v>1.909707680710282E-2</v>
      </c>
      <c r="F163" s="12">
        <f t="shared" si="7"/>
        <v>9.4442709959414728E-3</v>
      </c>
      <c r="I163" s="13">
        <f t="shared" si="8"/>
        <v>1.5477274627917315E-2</v>
      </c>
    </row>
    <row r="164" spans="2:9" x14ac:dyDescent="0.25">
      <c r="B164" s="8">
        <v>45845</v>
      </c>
      <c r="C164" s="6">
        <v>238.78</v>
      </c>
      <c r="D164" s="6">
        <v>128.12</v>
      </c>
      <c r="E164" s="12">
        <f t="shared" si="6"/>
        <v>-1.8739212624311663E-2</v>
      </c>
      <c r="F164" s="12">
        <f t="shared" si="7"/>
        <v>-1.4461538461538415E-2</v>
      </c>
      <c r="I164" s="13">
        <f t="shared" si="8"/>
        <v>-1.7135084813271695E-2</v>
      </c>
    </row>
    <row r="165" spans="2:9" x14ac:dyDescent="0.25">
      <c r="B165" s="5">
        <v>45841</v>
      </c>
      <c r="C165" s="3">
        <v>243.34</v>
      </c>
      <c r="D165" s="3">
        <v>130</v>
      </c>
      <c r="E165" s="12">
        <f t="shared" si="6"/>
        <v>4.9558106880318586E-3</v>
      </c>
      <c r="F165" s="12">
        <f t="shared" si="7"/>
        <v>3.4735623311461516E-3</v>
      </c>
      <c r="I165" s="13">
        <f t="shared" si="8"/>
        <v>4.3999675541997185E-3</v>
      </c>
    </row>
    <row r="166" spans="2:9" x14ac:dyDescent="0.25">
      <c r="B166" s="8">
        <v>45840</v>
      </c>
      <c r="C166" s="6">
        <v>242.14</v>
      </c>
      <c r="D166" s="6">
        <v>129.55000000000001</v>
      </c>
      <c r="E166" s="12">
        <f t="shared" si="6"/>
        <v>1.9021967847824284E-2</v>
      </c>
      <c r="F166" s="12">
        <f t="shared" si="7"/>
        <v>1.5043485074042184E-2</v>
      </c>
      <c r="I166" s="13">
        <f t="shared" si="8"/>
        <v>1.7530036807655996E-2</v>
      </c>
    </row>
    <row r="167" spans="2:9" x14ac:dyDescent="0.25">
      <c r="B167" s="5">
        <v>45839</v>
      </c>
      <c r="C167" s="3">
        <v>237.62</v>
      </c>
      <c r="D167" s="3">
        <v>127.63</v>
      </c>
      <c r="E167" s="12">
        <f t="shared" si="6"/>
        <v>-4.5245077503140996E-3</v>
      </c>
      <c r="F167" s="12">
        <f t="shared" si="7"/>
        <v>8.8530550944587727E-3</v>
      </c>
      <c r="I167" s="13">
        <f t="shared" si="8"/>
        <v>4.9207831647572753E-4</v>
      </c>
    </row>
    <row r="168" spans="2:9" x14ac:dyDescent="0.25">
      <c r="B168" s="8">
        <v>45838</v>
      </c>
      <c r="C168" s="6">
        <v>238.7</v>
      </c>
      <c r="D168" s="6">
        <v>126.51</v>
      </c>
      <c r="E168" s="12">
        <f t="shared" si="6"/>
        <v>-6.698484467889676E-4</v>
      </c>
      <c r="F168" s="12">
        <f t="shared" si="7"/>
        <v>3.16280540839875E-4</v>
      </c>
      <c r="I168" s="13">
        <f t="shared" si="8"/>
        <v>-3.0005007642815162E-4</v>
      </c>
    </row>
    <row r="169" spans="2:9" x14ac:dyDescent="0.25">
      <c r="B169" s="5">
        <v>45835</v>
      </c>
      <c r="C169" s="3">
        <v>238.86</v>
      </c>
      <c r="D169" s="3">
        <v>126.47</v>
      </c>
      <c r="E169" s="12">
        <f t="shared" si="6"/>
        <v>-8.7840381478221374E-4</v>
      </c>
      <c r="F169" s="12">
        <f t="shared" si="7"/>
        <v>-4.2516337296276685E-3</v>
      </c>
      <c r="I169" s="13">
        <f t="shared" si="8"/>
        <v>-2.1433650328492593E-3</v>
      </c>
    </row>
    <row r="170" spans="2:9" x14ac:dyDescent="0.25">
      <c r="B170" s="8">
        <v>45834</v>
      </c>
      <c r="C170" s="6">
        <v>239.07</v>
      </c>
      <c r="D170" s="6">
        <v>127.01</v>
      </c>
      <c r="E170" s="12">
        <f t="shared" si="6"/>
        <v>7.8411534083722145E-3</v>
      </c>
      <c r="F170" s="12">
        <f t="shared" si="7"/>
        <v>2.5258505012235588E-3</v>
      </c>
      <c r="I170" s="13">
        <f t="shared" si="8"/>
        <v>5.8479148181914686E-3</v>
      </c>
    </row>
    <row r="171" spans="2:9" x14ac:dyDescent="0.25">
      <c r="B171" s="5">
        <v>45833</v>
      </c>
      <c r="C171" s="3">
        <v>237.21</v>
      </c>
      <c r="D171" s="3">
        <v>126.69</v>
      </c>
      <c r="E171" s="12">
        <f t="shared" si="6"/>
        <v>8.974904296044306E-3</v>
      </c>
      <c r="F171" s="12">
        <f t="shared" si="7"/>
        <v>-5.6510477984459406E-3</v>
      </c>
      <c r="I171" s="13">
        <f t="shared" si="8"/>
        <v>3.4901722606104635E-3</v>
      </c>
    </row>
    <row r="172" spans="2:9" x14ac:dyDescent="0.25">
      <c r="B172" s="8">
        <v>45832</v>
      </c>
      <c r="C172" s="6">
        <v>235.1</v>
      </c>
      <c r="D172" s="6">
        <v>127.41</v>
      </c>
      <c r="E172" s="12">
        <f t="shared" si="6"/>
        <v>3.7923270495783923E-2</v>
      </c>
      <c r="F172" s="12">
        <f t="shared" si="7"/>
        <v>1.9769489354890313E-2</v>
      </c>
      <c r="I172" s="13">
        <f t="shared" si="8"/>
        <v>3.1115602567948819E-2</v>
      </c>
    </row>
    <row r="173" spans="2:9" x14ac:dyDescent="0.25">
      <c r="B173" s="5">
        <v>45831</v>
      </c>
      <c r="C173" s="3">
        <v>226.51</v>
      </c>
      <c r="D173" s="3">
        <v>124.94</v>
      </c>
      <c r="E173" s="12">
        <f t="shared" si="6"/>
        <v>6.2191817333747679E-3</v>
      </c>
      <c r="F173" s="12">
        <f t="shared" si="7"/>
        <v>-4.5414707991395797E-3</v>
      </c>
      <c r="I173" s="13">
        <f t="shared" si="8"/>
        <v>2.1839370336818875E-3</v>
      </c>
    </row>
    <row r="174" spans="2:9" x14ac:dyDescent="0.25">
      <c r="B174" s="8">
        <v>45828</v>
      </c>
      <c r="C174" s="6">
        <v>225.11</v>
      </c>
      <c r="D174" s="6">
        <v>125.51</v>
      </c>
      <c r="E174" s="12">
        <f t="shared" si="6"/>
        <v>-6.4000706214688563E-3</v>
      </c>
      <c r="F174" s="12">
        <f t="shared" si="7"/>
        <v>-2.06726564363513E-3</v>
      </c>
      <c r="I174" s="13">
        <f t="shared" si="8"/>
        <v>-4.7752687547812089E-3</v>
      </c>
    </row>
    <row r="175" spans="2:9" x14ac:dyDescent="0.25">
      <c r="B175" s="5">
        <v>45826</v>
      </c>
      <c r="C175" s="3">
        <v>226.56</v>
      </c>
      <c r="D175" s="3">
        <v>125.77</v>
      </c>
      <c r="E175" s="12">
        <f t="shared" si="6"/>
        <v>4.0772912604147837E-3</v>
      </c>
      <c r="F175" s="12">
        <f t="shared" si="7"/>
        <v>3.5908075327162337E-3</v>
      </c>
      <c r="I175" s="13">
        <f t="shared" si="8"/>
        <v>3.8948598625278275E-3</v>
      </c>
    </row>
    <row r="176" spans="2:9" x14ac:dyDescent="0.25">
      <c r="B176" s="8">
        <v>45825</v>
      </c>
      <c r="C176" s="6">
        <v>225.64</v>
      </c>
      <c r="D176" s="6">
        <v>125.32</v>
      </c>
      <c r="E176" s="12">
        <f t="shared" si="6"/>
        <v>-7.9141751670770422E-3</v>
      </c>
      <c r="F176" s="12">
        <f t="shared" si="7"/>
        <v>-1.9788815017598771E-2</v>
      </c>
      <c r="I176" s="13">
        <f t="shared" si="8"/>
        <v>-1.236716511102269E-2</v>
      </c>
    </row>
    <row r="177" spans="2:9" x14ac:dyDescent="0.25">
      <c r="B177" s="5">
        <v>45824</v>
      </c>
      <c r="C177" s="3">
        <v>227.44</v>
      </c>
      <c r="D177" s="3">
        <v>127.85</v>
      </c>
      <c r="E177" s="12">
        <f t="shared" si="6"/>
        <v>2.9326574945691464E-2</v>
      </c>
      <c r="F177" s="12">
        <f t="shared" si="7"/>
        <v>-1.1718750000000444E-3</v>
      </c>
      <c r="I177" s="13">
        <f t="shared" si="8"/>
        <v>1.7889656216057148E-2</v>
      </c>
    </row>
    <row r="178" spans="2:9" x14ac:dyDescent="0.25">
      <c r="B178" s="8">
        <v>45821</v>
      </c>
      <c r="C178" s="6">
        <v>220.96</v>
      </c>
      <c r="D178" s="6">
        <v>128</v>
      </c>
      <c r="E178" s="12">
        <f t="shared" si="6"/>
        <v>-2.605016088508838E-2</v>
      </c>
      <c r="F178" s="12">
        <f t="shared" si="7"/>
        <v>-7.7519379844961378E-3</v>
      </c>
      <c r="I178" s="13">
        <f t="shared" si="8"/>
        <v>-1.9188327297366289E-2</v>
      </c>
    </row>
    <row r="179" spans="2:9" x14ac:dyDescent="0.25">
      <c r="B179" s="5">
        <v>45820</v>
      </c>
      <c r="C179" s="3">
        <v>226.87</v>
      </c>
      <c r="D179" s="3">
        <v>129</v>
      </c>
      <c r="E179" s="12">
        <f t="shared" si="6"/>
        <v>1.3682909604519899E-3</v>
      </c>
      <c r="F179" s="12">
        <f t="shared" si="7"/>
        <v>8.9160018770531035E-3</v>
      </c>
      <c r="I179" s="13">
        <f t="shared" si="8"/>
        <v>4.1986825541774075E-3</v>
      </c>
    </row>
    <row r="180" spans="2:9" x14ac:dyDescent="0.25">
      <c r="B180" s="8">
        <v>45819</v>
      </c>
      <c r="C180" s="6">
        <v>226.56</v>
      </c>
      <c r="D180" s="6">
        <v>127.86</v>
      </c>
      <c r="E180" s="12">
        <f t="shared" si="6"/>
        <v>-3.343304592644647E-3</v>
      </c>
      <c r="F180" s="12">
        <f t="shared" si="7"/>
        <v>-7.2210575355229345E-3</v>
      </c>
      <c r="I180" s="13">
        <f t="shared" si="8"/>
        <v>-4.7974619462240048E-3</v>
      </c>
    </row>
    <row r="181" spans="2:9" x14ac:dyDescent="0.25">
      <c r="B181" s="5">
        <v>45818</v>
      </c>
      <c r="C181" s="3">
        <v>227.32</v>
      </c>
      <c r="D181" s="3">
        <v>128.79</v>
      </c>
      <c r="E181" s="12">
        <f t="shared" si="6"/>
        <v>2.1846624112199953E-2</v>
      </c>
      <c r="F181" s="12">
        <f t="shared" si="7"/>
        <v>9.4051257935574561E-3</v>
      </c>
      <c r="I181" s="13">
        <f t="shared" si="8"/>
        <v>1.7181062242709016E-2</v>
      </c>
    </row>
    <row r="182" spans="2:9" x14ac:dyDescent="0.25">
      <c r="B182" s="8">
        <v>45817</v>
      </c>
      <c r="C182" s="6">
        <v>222.46</v>
      </c>
      <c r="D182" s="6">
        <v>127.59</v>
      </c>
      <c r="E182" s="12">
        <f t="shared" si="6"/>
        <v>2.3557559584061805E-2</v>
      </c>
      <c r="F182" s="12">
        <f t="shared" si="7"/>
        <v>4.9621928166352358E-3</v>
      </c>
      <c r="I182" s="13">
        <f t="shared" si="8"/>
        <v>1.6584297046276841E-2</v>
      </c>
    </row>
    <row r="183" spans="2:9" x14ac:dyDescent="0.25">
      <c r="B183" s="5">
        <v>45814</v>
      </c>
      <c r="C183" s="3">
        <v>217.34</v>
      </c>
      <c r="D183" s="3">
        <v>126.96</v>
      </c>
      <c r="E183" s="12">
        <f t="shared" si="6"/>
        <v>6.7163833433694364E-3</v>
      </c>
      <c r="F183" s="12">
        <f t="shared" si="7"/>
        <v>1.5192707500399694E-2</v>
      </c>
      <c r="I183" s="13">
        <f t="shared" si="8"/>
        <v>9.8950049022557829E-3</v>
      </c>
    </row>
    <row r="184" spans="2:9" x14ac:dyDescent="0.25">
      <c r="B184" s="8">
        <v>45813</v>
      </c>
      <c r="C184" s="6">
        <v>215.89</v>
      </c>
      <c r="D184" s="6">
        <v>125.06</v>
      </c>
      <c r="E184" s="12">
        <f t="shared" si="6"/>
        <v>-4.1974169741698653E-3</v>
      </c>
      <c r="F184" s="12">
        <f t="shared" si="7"/>
        <v>-4.7953964194380472E-4</v>
      </c>
      <c r="I184" s="13">
        <f t="shared" si="8"/>
        <v>-2.8032129745850926E-3</v>
      </c>
    </row>
    <row r="185" spans="2:9" x14ac:dyDescent="0.25">
      <c r="B185" s="5">
        <v>45812</v>
      </c>
      <c r="C185" s="3">
        <v>216.8</v>
      </c>
      <c r="D185" s="3">
        <v>125.12</v>
      </c>
      <c r="E185" s="12">
        <f t="shared" si="6"/>
        <v>1.4886246606123033E-2</v>
      </c>
      <c r="F185" s="12">
        <f t="shared" si="7"/>
        <v>2.3231594969157499E-3</v>
      </c>
      <c r="I185" s="13">
        <f t="shared" si="8"/>
        <v>1.0175088940170302E-2</v>
      </c>
    </row>
    <row r="186" spans="2:9" x14ac:dyDescent="0.25">
      <c r="B186" s="8">
        <v>45811</v>
      </c>
      <c r="C186" s="6">
        <v>213.62</v>
      </c>
      <c r="D186" s="6">
        <v>124.83</v>
      </c>
      <c r="E186" s="12">
        <f t="shared" si="6"/>
        <v>2.6871124357063847E-2</v>
      </c>
      <c r="F186" s="12">
        <f t="shared" si="7"/>
        <v>9.0534314121737403E-3</v>
      </c>
      <c r="I186" s="13">
        <f t="shared" si="8"/>
        <v>2.0189489502730057E-2</v>
      </c>
    </row>
    <row r="187" spans="2:9" x14ac:dyDescent="0.25">
      <c r="B187" s="5">
        <v>45810</v>
      </c>
      <c r="C187" s="3">
        <v>208.03</v>
      </c>
      <c r="D187" s="3">
        <v>123.71</v>
      </c>
      <c r="E187" s="12">
        <f t="shared" si="6"/>
        <v>1.507758368302925E-2</v>
      </c>
      <c r="F187" s="12">
        <f t="shared" si="7"/>
        <v>1.634899769963849E-2</v>
      </c>
      <c r="I187" s="13">
        <f t="shared" si="8"/>
        <v>1.5554363939257715E-2</v>
      </c>
    </row>
    <row r="188" spans="2:9" x14ac:dyDescent="0.25">
      <c r="B188" s="8">
        <v>45807</v>
      </c>
      <c r="C188" s="6">
        <v>204.94</v>
      </c>
      <c r="D188" s="6">
        <v>121.72</v>
      </c>
      <c r="E188" s="12">
        <f t="shared" si="6"/>
        <v>-1.9847912382227828E-2</v>
      </c>
      <c r="F188" s="12">
        <f t="shared" si="7"/>
        <v>-2.0283322601416631E-2</v>
      </c>
      <c r="I188" s="13">
        <f t="shared" si="8"/>
        <v>-2.0011191214423629E-2</v>
      </c>
    </row>
    <row r="189" spans="2:9" x14ac:dyDescent="0.25">
      <c r="B189" s="5">
        <v>45806</v>
      </c>
      <c r="C189" s="3">
        <v>209.09</v>
      </c>
      <c r="D189" s="3">
        <v>124.24</v>
      </c>
      <c r="E189" s="12">
        <f t="shared" si="6"/>
        <v>4.0818286592392283E-3</v>
      </c>
      <c r="F189" s="12">
        <f t="shared" si="7"/>
        <v>1.9112460011483812E-2</v>
      </c>
      <c r="I189" s="13">
        <f t="shared" si="8"/>
        <v>9.7183154163309471E-3</v>
      </c>
    </row>
    <row r="190" spans="2:9" x14ac:dyDescent="0.25">
      <c r="B190" s="8">
        <v>45805</v>
      </c>
      <c r="C190" s="6">
        <v>208.24</v>
      </c>
      <c r="D190" s="6">
        <v>121.91</v>
      </c>
      <c r="E190" s="12">
        <f t="shared" si="6"/>
        <v>-5.0169621099908079E-3</v>
      </c>
      <c r="F190" s="12">
        <f t="shared" si="7"/>
        <v>-7.6516076516076614E-3</v>
      </c>
      <c r="I190" s="13">
        <f t="shared" si="8"/>
        <v>-6.004954188097128E-3</v>
      </c>
    </row>
    <row r="191" spans="2:9" x14ac:dyDescent="0.25">
      <c r="B191" s="5">
        <v>45804</v>
      </c>
      <c r="C191" s="3">
        <v>209.29</v>
      </c>
      <c r="D191" s="3">
        <v>122.85</v>
      </c>
      <c r="E191" s="12">
        <f t="shared" si="6"/>
        <v>3.3224723538704426E-2</v>
      </c>
      <c r="F191" s="12">
        <f t="shared" si="7"/>
        <v>1.3195876288659703E-2</v>
      </c>
      <c r="I191" s="13">
        <f t="shared" si="8"/>
        <v>2.5713905819937655E-2</v>
      </c>
    </row>
    <row r="192" spans="2:9" x14ac:dyDescent="0.25">
      <c r="B192" s="8">
        <v>45800</v>
      </c>
      <c r="C192" s="6">
        <v>202.56</v>
      </c>
      <c r="D192" s="6">
        <v>121.25</v>
      </c>
      <c r="E192" s="12">
        <f t="shared" si="6"/>
        <v>-1.5504252733900326E-2</v>
      </c>
      <c r="F192" s="12">
        <f t="shared" si="7"/>
        <v>-1.400098830505736E-3</v>
      </c>
      <c r="I192" s="13">
        <f t="shared" si="8"/>
        <v>-1.0215195020127354E-2</v>
      </c>
    </row>
    <row r="193" spans="2:9" x14ac:dyDescent="0.25">
      <c r="B193" s="5">
        <v>45799</v>
      </c>
      <c r="C193" s="3">
        <v>205.75</v>
      </c>
      <c r="D193" s="3">
        <v>121.42</v>
      </c>
      <c r="E193" s="12">
        <f t="shared" si="6"/>
        <v>-9.2454374729137312E-3</v>
      </c>
      <c r="F193" s="12">
        <f t="shared" si="7"/>
        <v>-2.218752568000637E-3</v>
      </c>
      <c r="I193" s="13">
        <f t="shared" si="8"/>
        <v>-6.6104306335713209E-3</v>
      </c>
    </row>
    <row r="194" spans="2:9" x14ac:dyDescent="0.25">
      <c r="B194" s="8">
        <v>45798</v>
      </c>
      <c r="C194" s="6">
        <v>207.67</v>
      </c>
      <c r="D194" s="6">
        <v>121.69</v>
      </c>
      <c r="E194" s="12">
        <f t="shared" si="6"/>
        <v>-1.829441240427343E-2</v>
      </c>
      <c r="F194" s="12">
        <f t="shared" si="7"/>
        <v>-2.390310419507502E-2</v>
      </c>
      <c r="I194" s="13">
        <f t="shared" si="8"/>
        <v>-2.0397671825824026E-2</v>
      </c>
    </row>
    <row r="195" spans="2:9" x14ac:dyDescent="0.25">
      <c r="B195" s="5">
        <v>45797</v>
      </c>
      <c r="C195" s="3">
        <v>211.54</v>
      </c>
      <c r="D195" s="3">
        <v>124.67</v>
      </c>
      <c r="E195" s="12">
        <f t="shared" si="6"/>
        <v>-1.4632995043663E-3</v>
      </c>
      <c r="F195" s="12">
        <f t="shared" si="7"/>
        <v>1.7631213778467103E-2</v>
      </c>
      <c r="I195" s="13">
        <f t="shared" si="8"/>
        <v>5.6971429766962262E-3</v>
      </c>
    </row>
    <row r="196" spans="2:9" x14ac:dyDescent="0.25">
      <c r="B196" s="8">
        <v>45796</v>
      </c>
      <c r="C196" s="6">
        <v>211.85</v>
      </c>
      <c r="D196" s="6">
        <v>122.51</v>
      </c>
      <c r="E196" s="12">
        <f t="shared" si="6"/>
        <v>-6.0057242058837446E-3</v>
      </c>
      <c r="F196" s="12">
        <f t="shared" si="7"/>
        <v>1.1142291185209707E-2</v>
      </c>
      <c r="I196" s="13">
        <f t="shared" si="8"/>
        <v>4.2478156577629989E-4</v>
      </c>
    </row>
    <row r="197" spans="2:9" x14ac:dyDescent="0.25">
      <c r="B197" s="5">
        <v>45793</v>
      </c>
      <c r="C197" s="3">
        <v>213.13</v>
      </c>
      <c r="D197" s="3">
        <v>121.16</v>
      </c>
      <c r="E197" s="12">
        <f t="shared" si="6"/>
        <v>-1.3120284897615297E-3</v>
      </c>
      <c r="F197" s="12">
        <f t="shared" si="7"/>
        <v>1.6101979201610161E-2</v>
      </c>
      <c r="I197" s="13">
        <f t="shared" si="8"/>
        <v>5.2182243945028545E-3</v>
      </c>
    </row>
    <row r="198" spans="2:9" x14ac:dyDescent="0.25">
      <c r="B198" s="8">
        <v>45792</v>
      </c>
      <c r="C198" s="6">
        <v>213.41</v>
      </c>
      <c r="D198" s="6">
        <v>119.24</v>
      </c>
      <c r="E198" s="12">
        <f t="shared" si="6"/>
        <v>-6.4248801154616064E-3</v>
      </c>
      <c r="F198" s="12">
        <f t="shared" si="7"/>
        <v>1.9842627437564042E-2</v>
      </c>
      <c r="I198" s="13">
        <f t="shared" si="8"/>
        <v>3.4254352169230118E-3</v>
      </c>
    </row>
    <row r="199" spans="2:9" x14ac:dyDescent="0.25">
      <c r="B199" s="5">
        <v>45791</v>
      </c>
      <c r="C199" s="3">
        <v>214.79</v>
      </c>
      <c r="D199" s="3">
        <v>116.92</v>
      </c>
      <c r="E199" s="12">
        <f t="shared" si="6"/>
        <v>4.8184880239521277E-3</v>
      </c>
      <c r="F199" s="12">
        <f t="shared" si="7"/>
        <v>-2.1835522462980039E-2</v>
      </c>
      <c r="I199" s="13">
        <f t="shared" si="8"/>
        <v>-5.1767659086474349E-3</v>
      </c>
    </row>
    <row r="200" spans="2:9" x14ac:dyDescent="0.25">
      <c r="B200" s="8">
        <v>45790</v>
      </c>
      <c r="C200" s="6">
        <v>213.76</v>
      </c>
      <c r="D200" s="6">
        <v>119.53</v>
      </c>
      <c r="E200" s="12">
        <f t="shared" si="6"/>
        <v>2.8335017077981473E-2</v>
      </c>
      <c r="F200" s="12">
        <f t="shared" si="7"/>
        <v>-2.064727570667757E-2</v>
      </c>
      <c r="I200" s="13">
        <f t="shared" si="8"/>
        <v>9.9666572837343315E-3</v>
      </c>
    </row>
    <row r="201" spans="2:9" x14ac:dyDescent="0.25">
      <c r="B201" s="5">
        <v>45789</v>
      </c>
      <c r="C201" s="3">
        <v>207.87</v>
      </c>
      <c r="D201" s="3">
        <v>122.05</v>
      </c>
      <c r="E201" s="12">
        <f t="shared" si="6"/>
        <v>7.182633804269356E-2</v>
      </c>
      <c r="F201" s="12">
        <f t="shared" si="7"/>
        <v>4.6471748263740009E-2</v>
      </c>
      <c r="I201" s="13">
        <f t="shared" si="8"/>
        <v>6.2318366875585979E-2</v>
      </c>
    </row>
    <row r="202" spans="2:9" x14ac:dyDescent="0.25">
      <c r="B202" s="8">
        <v>45786</v>
      </c>
      <c r="C202" s="6">
        <v>193.94</v>
      </c>
      <c r="D202" s="6">
        <v>116.63</v>
      </c>
      <c r="E202" s="12">
        <f t="shared" si="6"/>
        <v>1.1473870866798741E-2</v>
      </c>
      <c r="F202" s="12">
        <f t="shared" si="7"/>
        <v>-2.1396207417352042E-2</v>
      </c>
      <c r="I202" s="13">
        <f t="shared" si="8"/>
        <v>-8.524084897578027E-4</v>
      </c>
    </row>
    <row r="203" spans="2:9" x14ac:dyDescent="0.25">
      <c r="B203" s="5">
        <v>45785</v>
      </c>
      <c r="C203" s="3">
        <v>191.74</v>
      </c>
      <c r="D203" s="3">
        <v>119.18</v>
      </c>
      <c r="E203" s="12">
        <f t="shared" si="6"/>
        <v>8.9454851610188957E-3</v>
      </c>
      <c r="F203" s="12">
        <f t="shared" si="7"/>
        <v>-1.842546063651529E-3</v>
      </c>
      <c r="I203" s="13">
        <f t="shared" si="8"/>
        <v>4.8999734517674864E-3</v>
      </c>
    </row>
    <row r="204" spans="2:9" x14ac:dyDescent="0.25">
      <c r="B204" s="8">
        <v>45784</v>
      </c>
      <c r="C204" s="6">
        <v>190.04</v>
      </c>
      <c r="D204" s="6">
        <v>119.4</v>
      </c>
      <c r="E204" s="12">
        <f t="shared" si="6"/>
        <v>1.7508165122878339E-2</v>
      </c>
      <c r="F204" s="12">
        <f t="shared" si="7"/>
        <v>6.7453625632378778E-3</v>
      </c>
      <c r="I204" s="13">
        <f t="shared" si="8"/>
        <v>1.3472114163013166E-2</v>
      </c>
    </row>
    <row r="205" spans="2:9" x14ac:dyDescent="0.25">
      <c r="B205" s="5">
        <v>45783</v>
      </c>
      <c r="C205" s="3">
        <v>186.77</v>
      </c>
      <c r="D205" s="3">
        <v>118.6</v>
      </c>
      <c r="E205" s="12">
        <f t="shared" si="6"/>
        <v>-9.5455268600518339E-3</v>
      </c>
      <c r="F205" s="12">
        <f t="shared" si="7"/>
        <v>-5.7683139996821953E-2</v>
      </c>
      <c r="I205" s="13">
        <f t="shared" si="8"/>
        <v>-2.7597131786340628E-2</v>
      </c>
    </row>
    <row r="206" spans="2:9" x14ac:dyDescent="0.25">
      <c r="B206" s="8">
        <v>45782</v>
      </c>
      <c r="C206" s="6">
        <v>188.57</v>
      </c>
      <c r="D206" s="6">
        <v>125.86</v>
      </c>
      <c r="E206" s="12">
        <f t="shared" si="6"/>
        <v>-7.6829974214598362E-3</v>
      </c>
      <c r="F206" s="12">
        <f t="shared" si="7"/>
        <v>-5.8451816745654916E-3</v>
      </c>
      <c r="I206" s="13">
        <f t="shared" si="8"/>
        <v>-6.993816516374457E-3</v>
      </c>
    </row>
    <row r="207" spans="2:9" x14ac:dyDescent="0.25">
      <c r="B207" s="5">
        <v>45779</v>
      </c>
      <c r="C207" s="3">
        <v>190.03</v>
      </c>
      <c r="D207" s="3">
        <v>126.6</v>
      </c>
      <c r="E207" s="12">
        <f t="shared" ref="E207:E264" si="9">C207/C208-1</f>
        <v>3.5078163298654541E-2</v>
      </c>
      <c r="F207" s="12">
        <f t="shared" ref="F207:F264" si="10">D207/D208-1</f>
        <v>1.3773222293401721E-2</v>
      </c>
      <c r="I207" s="13">
        <f t="shared" ref="I207:I264" si="11">E207*$G$14+F207*$H$14</f>
        <v>2.7088810421684734E-2</v>
      </c>
    </row>
    <row r="208" spans="2:9" x14ac:dyDescent="0.25">
      <c r="B208" s="8">
        <v>45778</v>
      </c>
      <c r="C208" s="6">
        <v>183.59</v>
      </c>
      <c r="D208" s="6">
        <v>124.88</v>
      </c>
      <c r="E208" s="12">
        <f t="shared" si="9"/>
        <v>-1.3598781549173378E-3</v>
      </c>
      <c r="F208" s="12">
        <f t="shared" si="10"/>
        <v>-1.3430241744351368E-2</v>
      </c>
      <c r="I208" s="13">
        <f t="shared" si="11"/>
        <v>-5.886264500955099E-3</v>
      </c>
    </row>
    <row r="209" spans="2:9" x14ac:dyDescent="0.25">
      <c r="B209" s="5">
        <v>45777</v>
      </c>
      <c r="C209" s="3">
        <v>183.84</v>
      </c>
      <c r="D209" s="3">
        <v>126.58</v>
      </c>
      <c r="E209" s="12">
        <f t="shared" si="9"/>
        <v>7.2872719303052058E-3</v>
      </c>
      <c r="F209" s="12">
        <f t="shared" si="10"/>
        <v>1.4669338677354649E-2</v>
      </c>
      <c r="I209" s="13">
        <f t="shared" si="11"/>
        <v>1.0055546960448747E-2</v>
      </c>
    </row>
    <row r="210" spans="2:9" x14ac:dyDescent="0.25">
      <c r="B210" s="8">
        <v>45776</v>
      </c>
      <c r="C210" s="6">
        <v>182.51</v>
      </c>
      <c r="D210" s="6">
        <v>124.75</v>
      </c>
      <c r="E210" s="12">
        <f t="shared" si="9"/>
        <v>-1.0678664353859446E-2</v>
      </c>
      <c r="F210" s="12">
        <f t="shared" si="10"/>
        <v>1.0431712405714055E-3</v>
      </c>
      <c r="I210" s="13">
        <f t="shared" si="11"/>
        <v>-6.2829760059478768E-3</v>
      </c>
    </row>
    <row r="211" spans="2:9" x14ac:dyDescent="0.25">
      <c r="B211" s="5">
        <v>45775</v>
      </c>
      <c r="C211" s="3">
        <v>184.48</v>
      </c>
      <c r="D211" s="3">
        <v>124.62</v>
      </c>
      <c r="E211" s="12">
        <f t="shared" si="9"/>
        <v>-1.7856176613820773E-3</v>
      </c>
      <c r="F211" s="12">
        <f t="shared" si="10"/>
        <v>1.136179191689668E-2</v>
      </c>
      <c r="I211" s="13">
        <f t="shared" si="11"/>
        <v>3.1446609304724565E-3</v>
      </c>
    </row>
    <row r="212" spans="2:9" x14ac:dyDescent="0.25">
      <c r="B212" s="8">
        <v>45772</v>
      </c>
      <c r="C212" s="6">
        <v>184.81</v>
      </c>
      <c r="D212" s="6">
        <v>123.22</v>
      </c>
      <c r="E212" s="12">
        <f t="shared" si="9"/>
        <v>9.7251816642081046E-3</v>
      </c>
      <c r="F212" s="12">
        <f t="shared" si="10"/>
        <v>-7.8904991948470782E-3</v>
      </c>
      <c r="I212" s="13">
        <f t="shared" si="11"/>
        <v>3.1193013420624111E-3</v>
      </c>
    </row>
    <row r="213" spans="2:9" x14ac:dyDescent="0.25">
      <c r="B213" s="5">
        <v>45771</v>
      </c>
      <c r="C213" s="3">
        <v>183.03</v>
      </c>
      <c r="D213" s="3">
        <v>124.2</v>
      </c>
      <c r="E213" s="12">
        <f t="shared" si="9"/>
        <v>5.7548968625411812E-2</v>
      </c>
      <c r="F213" s="12">
        <f t="shared" si="10"/>
        <v>1.8032786885245899E-2</v>
      </c>
      <c r="I213" s="13">
        <f t="shared" si="11"/>
        <v>4.2730400472849595E-2</v>
      </c>
    </row>
    <row r="214" spans="2:9" x14ac:dyDescent="0.25">
      <c r="B214" s="8">
        <v>45770</v>
      </c>
      <c r="C214" s="6">
        <v>173.07</v>
      </c>
      <c r="D214" s="6">
        <v>122</v>
      </c>
      <c r="E214" s="12">
        <f t="shared" si="9"/>
        <v>3.7465531710826117E-2</v>
      </c>
      <c r="F214" s="12">
        <f t="shared" si="10"/>
        <v>1.3036618782695353E-2</v>
      </c>
      <c r="I214" s="13">
        <f t="shared" si="11"/>
        <v>2.830468936277708E-2</v>
      </c>
    </row>
    <row r="215" spans="2:9" x14ac:dyDescent="0.25">
      <c r="B215" s="5">
        <v>45769</v>
      </c>
      <c r="C215" s="3">
        <v>166.82</v>
      </c>
      <c r="D215" s="3">
        <v>120.43</v>
      </c>
      <c r="E215" s="12">
        <f t="shared" si="9"/>
        <v>1.9432901491078125E-2</v>
      </c>
      <c r="F215" s="12">
        <f t="shared" si="10"/>
        <v>2.7209143636984123E-2</v>
      </c>
      <c r="I215" s="13">
        <f t="shared" si="11"/>
        <v>2.2348992295792874E-2</v>
      </c>
    </row>
    <row r="216" spans="2:9" x14ac:dyDescent="0.25">
      <c r="B216" s="8">
        <v>45768</v>
      </c>
      <c r="C216" s="6">
        <v>163.63999999999999</v>
      </c>
      <c r="D216" s="6">
        <v>117.24</v>
      </c>
      <c r="E216" s="12">
        <f t="shared" si="9"/>
        <v>-1.7472230561393132E-2</v>
      </c>
      <c r="F216" s="12">
        <f t="shared" si="10"/>
        <v>-8.8764899822471044E-3</v>
      </c>
      <c r="I216" s="13">
        <f t="shared" si="11"/>
        <v>-1.4248827844213371E-2</v>
      </c>
    </row>
    <row r="217" spans="2:9" x14ac:dyDescent="0.25">
      <c r="B217" s="5">
        <v>45764</v>
      </c>
      <c r="C217" s="3">
        <v>166.55</v>
      </c>
      <c r="D217" s="3">
        <v>118.29</v>
      </c>
      <c r="E217" s="12">
        <f t="shared" si="9"/>
        <v>-5.0182209212018547E-3</v>
      </c>
      <c r="F217" s="12">
        <f t="shared" si="10"/>
        <v>4.2448425163426062E-3</v>
      </c>
      <c r="I217" s="13">
        <f t="shared" si="11"/>
        <v>-1.5445721321226819E-3</v>
      </c>
    </row>
    <row r="218" spans="2:9" x14ac:dyDescent="0.25">
      <c r="B218" s="8">
        <v>45763</v>
      </c>
      <c r="C218" s="6">
        <v>167.39</v>
      </c>
      <c r="D218" s="6">
        <v>117.79</v>
      </c>
      <c r="E218" s="12">
        <f t="shared" si="9"/>
        <v>-3.8596289701912756E-2</v>
      </c>
      <c r="F218" s="12">
        <f t="shared" si="10"/>
        <v>-1.7188151856487144E-2</v>
      </c>
      <c r="I218" s="13">
        <f t="shared" si="11"/>
        <v>-3.0568238009878151E-2</v>
      </c>
    </row>
    <row r="219" spans="2:9" x14ac:dyDescent="0.25">
      <c r="B219" s="5">
        <v>45762</v>
      </c>
      <c r="C219" s="3">
        <v>174.11</v>
      </c>
      <c r="D219" s="3">
        <v>119.85</v>
      </c>
      <c r="E219" s="12">
        <f t="shared" si="9"/>
        <v>4.094579008073973E-3</v>
      </c>
      <c r="F219" s="12">
        <f t="shared" si="10"/>
        <v>-3.7406483790524137E-3</v>
      </c>
      <c r="I219" s="13">
        <f t="shared" si="11"/>
        <v>1.156368737901578E-3</v>
      </c>
    </row>
    <row r="220" spans="2:9" x14ac:dyDescent="0.25">
      <c r="B220" s="8">
        <v>45761</v>
      </c>
      <c r="C220" s="6">
        <v>173.4</v>
      </c>
      <c r="D220" s="6">
        <v>120.3</v>
      </c>
      <c r="E220" s="12">
        <f t="shared" si="9"/>
        <v>6.6179031696274038E-3</v>
      </c>
      <c r="F220" s="12">
        <f t="shared" si="10"/>
        <v>2.8556771545827697E-2</v>
      </c>
      <c r="I220" s="13">
        <f t="shared" si="11"/>
        <v>1.4844978810702514E-2</v>
      </c>
    </row>
    <row r="221" spans="2:9" x14ac:dyDescent="0.25">
      <c r="B221" s="5">
        <v>45758</v>
      </c>
      <c r="C221" s="3">
        <v>172.26</v>
      </c>
      <c r="D221" s="3">
        <v>116.96</v>
      </c>
      <c r="E221" s="12">
        <f t="shared" si="9"/>
        <v>2.1647589110965981E-2</v>
      </c>
      <c r="F221" s="12">
        <f t="shared" si="10"/>
        <v>3.3763478875729058E-2</v>
      </c>
      <c r="I221" s="13">
        <f t="shared" si="11"/>
        <v>2.6191047772752135E-2</v>
      </c>
    </row>
    <row r="222" spans="2:9" x14ac:dyDescent="0.25">
      <c r="B222" s="8">
        <v>45757</v>
      </c>
      <c r="C222" s="6">
        <v>168.61</v>
      </c>
      <c r="D222" s="6">
        <v>113.14</v>
      </c>
      <c r="E222" s="12">
        <f t="shared" si="9"/>
        <v>-8.1744907962095548E-2</v>
      </c>
      <c r="F222" s="12">
        <f t="shared" si="10"/>
        <v>-4.6278344432268304E-2</v>
      </c>
      <c r="I222" s="13">
        <f t="shared" si="11"/>
        <v>-6.8444946638410331E-2</v>
      </c>
    </row>
    <row r="223" spans="2:9" x14ac:dyDescent="0.25">
      <c r="B223" s="5">
        <v>45756</v>
      </c>
      <c r="C223" s="3">
        <v>183.62</v>
      </c>
      <c r="D223" s="3">
        <v>118.63</v>
      </c>
      <c r="E223" s="12">
        <f t="shared" si="9"/>
        <v>0.18571613069869541</v>
      </c>
      <c r="F223" s="12">
        <f t="shared" si="10"/>
        <v>5.900732012140697E-2</v>
      </c>
      <c r="I223" s="13">
        <f t="shared" si="11"/>
        <v>0.13820032673221225</v>
      </c>
    </row>
    <row r="224" spans="2:9" x14ac:dyDescent="0.25">
      <c r="B224" s="8">
        <v>45755</v>
      </c>
      <c r="C224" s="6">
        <v>154.86000000000001</v>
      </c>
      <c r="D224" s="6">
        <v>112.02</v>
      </c>
      <c r="E224" s="12">
        <f t="shared" si="9"/>
        <v>-3.9747008123023453E-2</v>
      </c>
      <c r="F224" s="12">
        <f t="shared" si="10"/>
        <v>-3.6055416917649019E-2</v>
      </c>
      <c r="I224" s="13">
        <f t="shared" si="11"/>
        <v>-3.836266142100804E-2</v>
      </c>
    </row>
    <row r="225" spans="2:9" x14ac:dyDescent="0.25">
      <c r="B225" s="5">
        <v>45754</v>
      </c>
      <c r="C225" s="3">
        <v>161.27000000000001</v>
      </c>
      <c r="D225" s="3">
        <v>116.21</v>
      </c>
      <c r="E225" s="12">
        <f t="shared" si="9"/>
        <v>2.3092051005519254E-2</v>
      </c>
      <c r="F225" s="12">
        <f t="shared" si="10"/>
        <v>-8.108569477637495E-3</v>
      </c>
      <c r="I225" s="13">
        <f t="shared" si="11"/>
        <v>1.1391818324335473E-2</v>
      </c>
    </row>
    <row r="226" spans="2:9" x14ac:dyDescent="0.25">
      <c r="B226" s="8">
        <v>45751</v>
      </c>
      <c r="C226" s="6">
        <v>157.63</v>
      </c>
      <c r="D226" s="6">
        <v>117.16</v>
      </c>
      <c r="E226" s="12">
        <f t="shared" si="9"/>
        <v>-7.4724113641700063E-2</v>
      </c>
      <c r="F226" s="12">
        <f t="shared" si="10"/>
        <v>-5.3558445754907535E-2</v>
      </c>
      <c r="I226" s="13">
        <f t="shared" si="11"/>
        <v>-6.6786988184152865E-2</v>
      </c>
    </row>
    <row r="227" spans="2:9" x14ac:dyDescent="0.25">
      <c r="B227" s="5">
        <v>45750</v>
      </c>
      <c r="C227" s="3">
        <v>170.36</v>
      </c>
      <c r="D227" s="3">
        <v>123.79</v>
      </c>
      <c r="E227" s="12">
        <f t="shared" si="9"/>
        <v>-0.10090774751952702</v>
      </c>
      <c r="F227" s="12">
        <f t="shared" si="10"/>
        <v>-2.3661172016720577E-2</v>
      </c>
      <c r="I227" s="13">
        <f t="shared" si="11"/>
        <v>-7.1940281705974607E-2</v>
      </c>
    </row>
    <row r="228" spans="2:9" x14ac:dyDescent="0.25">
      <c r="B228" s="8">
        <v>45749</v>
      </c>
      <c r="C228" s="6">
        <v>189.48</v>
      </c>
      <c r="D228" s="6">
        <v>126.79</v>
      </c>
      <c r="E228" s="12">
        <f t="shared" si="9"/>
        <v>6.4269400329313164E-3</v>
      </c>
      <c r="F228" s="12">
        <f t="shared" si="10"/>
        <v>1.8884603021536606E-2</v>
      </c>
      <c r="I228" s="13">
        <f t="shared" si="11"/>
        <v>1.10985636536583E-2</v>
      </c>
    </row>
    <row r="229" spans="2:9" x14ac:dyDescent="0.25">
      <c r="B229" s="5">
        <v>45748</v>
      </c>
      <c r="C229" s="3">
        <v>188.27</v>
      </c>
      <c r="D229" s="3">
        <v>124.44</v>
      </c>
      <c r="E229" s="12">
        <f t="shared" si="9"/>
        <v>5.31434341287218E-4</v>
      </c>
      <c r="F229" s="12">
        <f t="shared" si="10"/>
        <v>-2.7052384675527841E-2</v>
      </c>
      <c r="I229" s="13">
        <f t="shared" si="11"/>
        <v>-9.812497790018429E-3</v>
      </c>
    </row>
    <row r="230" spans="2:9" x14ac:dyDescent="0.25">
      <c r="B230" s="8">
        <v>45747</v>
      </c>
      <c r="C230" s="6">
        <v>188.17</v>
      </c>
      <c r="D230" s="6">
        <v>127.9</v>
      </c>
      <c r="E230" s="12">
        <f t="shared" si="9"/>
        <v>-2.7029891880433476E-3</v>
      </c>
      <c r="F230" s="12">
        <f t="shared" si="10"/>
        <v>-1.8343694834599633E-2</v>
      </c>
      <c r="I230" s="13">
        <f t="shared" si="11"/>
        <v>-8.5682538055019547E-3</v>
      </c>
    </row>
    <row r="231" spans="2:9" x14ac:dyDescent="0.25">
      <c r="B231" s="5">
        <v>45744</v>
      </c>
      <c r="C231" s="3">
        <v>188.68</v>
      </c>
      <c r="D231" s="3">
        <v>130.29</v>
      </c>
      <c r="E231" s="12">
        <f t="shared" si="9"/>
        <v>-3.0222039473684181E-2</v>
      </c>
      <c r="F231" s="12">
        <f t="shared" si="10"/>
        <v>-9.8039215686276382E-3</v>
      </c>
      <c r="I231" s="13">
        <f t="shared" si="11"/>
        <v>-2.2565245259287978E-2</v>
      </c>
    </row>
    <row r="232" spans="2:9" x14ac:dyDescent="0.25">
      <c r="B232" s="8">
        <v>45743</v>
      </c>
      <c r="C232" s="6">
        <v>194.56</v>
      </c>
      <c r="D232" s="6">
        <v>131.58000000000001</v>
      </c>
      <c r="E232" s="12">
        <f t="shared" si="9"/>
        <v>-1.9700710434826352E-2</v>
      </c>
      <c r="F232" s="12">
        <f t="shared" si="10"/>
        <v>3.3551929235933198E-3</v>
      </c>
      <c r="I232" s="13">
        <f t="shared" si="11"/>
        <v>-1.1054746675418975E-2</v>
      </c>
    </row>
    <row r="233" spans="2:9" x14ac:dyDescent="0.25">
      <c r="B233" s="5">
        <v>45742</v>
      </c>
      <c r="C233" s="3">
        <v>198.47</v>
      </c>
      <c r="D233" s="3">
        <v>131.13999999999999</v>
      </c>
      <c r="E233" s="12">
        <f t="shared" si="9"/>
        <v>-2.801312503060871E-2</v>
      </c>
      <c r="F233" s="12">
        <f t="shared" si="10"/>
        <v>-1.3762502820185096E-2</v>
      </c>
      <c r="I233" s="13">
        <f t="shared" si="11"/>
        <v>-2.2669141701699855E-2</v>
      </c>
    </row>
    <row r="234" spans="2:9" x14ac:dyDescent="0.25">
      <c r="B234" s="8">
        <v>45741</v>
      </c>
      <c r="C234" s="6">
        <v>204.19</v>
      </c>
      <c r="D234" s="6">
        <v>132.97</v>
      </c>
      <c r="E234" s="12">
        <f t="shared" si="9"/>
        <v>-5.4067218704335618E-3</v>
      </c>
      <c r="F234" s="12">
        <f t="shared" si="10"/>
        <v>-1.7293622053063396E-2</v>
      </c>
      <c r="I234" s="13">
        <f t="shared" si="11"/>
        <v>-9.8643094389197494E-3</v>
      </c>
    </row>
    <row r="235" spans="2:9" x14ac:dyDescent="0.25">
      <c r="B235" s="5">
        <v>45740</v>
      </c>
      <c r="C235" s="3">
        <v>205.3</v>
      </c>
      <c r="D235" s="3">
        <v>135.31</v>
      </c>
      <c r="E235" s="12">
        <f t="shared" si="9"/>
        <v>2.9692045340555806E-2</v>
      </c>
      <c r="F235" s="12">
        <f t="shared" si="10"/>
        <v>1.2951040574936235E-2</v>
      </c>
      <c r="I235" s="13">
        <f t="shared" si="11"/>
        <v>2.3414168553448467E-2</v>
      </c>
    </row>
    <row r="236" spans="2:9" x14ac:dyDescent="0.25">
      <c r="B236" s="8">
        <v>45737</v>
      </c>
      <c r="C236" s="6">
        <v>199.38</v>
      </c>
      <c r="D236" s="6">
        <v>133.58000000000001</v>
      </c>
      <c r="E236" s="12">
        <f t="shared" si="9"/>
        <v>-1.0471983721276557E-2</v>
      </c>
      <c r="F236" s="12">
        <f t="shared" si="10"/>
        <v>6.3281603133946707E-3</v>
      </c>
      <c r="I236" s="13">
        <f t="shared" si="11"/>
        <v>-4.1719297082748463E-3</v>
      </c>
    </row>
    <row r="237" spans="2:9" x14ac:dyDescent="0.25">
      <c r="B237" s="5">
        <v>45736</v>
      </c>
      <c r="C237" s="3">
        <v>201.49</v>
      </c>
      <c r="D237" s="3">
        <v>132.74</v>
      </c>
      <c r="E237" s="12">
        <f t="shared" si="9"/>
        <v>-7.9759736103589551E-3</v>
      </c>
      <c r="F237" s="12">
        <f t="shared" si="10"/>
        <v>-1.3598870476331903E-2</v>
      </c>
      <c r="I237" s="13">
        <f t="shared" si="11"/>
        <v>-1.0084559935098811E-2</v>
      </c>
    </row>
    <row r="238" spans="2:9" x14ac:dyDescent="0.25">
      <c r="B238" s="8">
        <v>45735</v>
      </c>
      <c r="C238" s="6">
        <v>203.11</v>
      </c>
      <c r="D238" s="6">
        <v>134.57</v>
      </c>
      <c r="E238" s="12">
        <f t="shared" si="9"/>
        <v>8.1401697523204586E-3</v>
      </c>
      <c r="F238" s="12">
        <f t="shared" si="10"/>
        <v>3.5796852860019435E-3</v>
      </c>
      <c r="I238" s="13">
        <f t="shared" si="11"/>
        <v>6.4299880774510154E-3</v>
      </c>
    </row>
    <row r="239" spans="2:9" x14ac:dyDescent="0.25">
      <c r="B239" s="5">
        <v>45734</v>
      </c>
      <c r="C239" s="3">
        <v>201.47</v>
      </c>
      <c r="D239" s="3">
        <v>134.09</v>
      </c>
      <c r="E239" s="12">
        <f t="shared" si="9"/>
        <v>-1.4527489728037524E-2</v>
      </c>
      <c r="F239" s="12">
        <f t="shared" si="10"/>
        <v>-1.4768552534900725E-2</v>
      </c>
      <c r="I239" s="13">
        <f t="shared" si="11"/>
        <v>-1.4617888280611224E-2</v>
      </c>
    </row>
    <row r="240" spans="2:9" x14ac:dyDescent="0.25">
      <c r="B240" s="8">
        <v>45733</v>
      </c>
      <c r="C240" s="6">
        <v>204.44</v>
      </c>
      <c r="D240" s="6">
        <v>136.1</v>
      </c>
      <c r="E240" s="12">
        <f t="shared" si="9"/>
        <v>1.6507557677008622E-2</v>
      </c>
      <c r="F240" s="12">
        <f t="shared" si="10"/>
        <v>1.4233549444816918E-2</v>
      </c>
      <c r="I240" s="13">
        <f t="shared" si="11"/>
        <v>1.5654804589936733E-2</v>
      </c>
    </row>
    <row r="241" spans="2:9" x14ac:dyDescent="0.25">
      <c r="B241" s="5">
        <v>45730</v>
      </c>
      <c r="C241" s="3">
        <v>201.12</v>
      </c>
      <c r="D241" s="3">
        <v>134.19</v>
      </c>
      <c r="E241" s="12">
        <f t="shared" si="9"/>
        <v>3.0855971296770868E-2</v>
      </c>
      <c r="F241" s="12">
        <f t="shared" si="10"/>
        <v>7.8864353312304569E-3</v>
      </c>
      <c r="I241" s="13">
        <f t="shared" si="11"/>
        <v>2.2242395309693214E-2</v>
      </c>
    </row>
    <row r="242" spans="2:9" x14ac:dyDescent="0.25">
      <c r="B242" s="8">
        <v>45729</v>
      </c>
      <c r="C242" s="6">
        <v>195.1</v>
      </c>
      <c r="D242" s="6">
        <v>133.13999999999999</v>
      </c>
      <c r="E242" s="12">
        <f t="shared" si="9"/>
        <v>-4.9979600163199134E-3</v>
      </c>
      <c r="F242" s="12">
        <f t="shared" si="10"/>
        <v>-8.268156424581119E-3</v>
      </c>
      <c r="I242" s="13">
        <f t="shared" si="11"/>
        <v>-6.2242836694178655E-3</v>
      </c>
    </row>
    <row r="243" spans="2:9" x14ac:dyDescent="0.25">
      <c r="B243" s="5">
        <v>45728</v>
      </c>
      <c r="C243" s="3">
        <v>196.08</v>
      </c>
      <c r="D243" s="3">
        <v>134.25</v>
      </c>
      <c r="E243" s="12">
        <f t="shared" si="9"/>
        <v>2.0612117426608512E-2</v>
      </c>
      <c r="F243" s="12">
        <f t="shared" si="10"/>
        <v>1.94044331666543E-3</v>
      </c>
      <c r="I243" s="13">
        <f t="shared" si="11"/>
        <v>1.3610239635379856E-2</v>
      </c>
    </row>
    <row r="244" spans="2:9" x14ac:dyDescent="0.25">
      <c r="B244" s="8">
        <v>45727</v>
      </c>
      <c r="C244" s="6">
        <v>192.12</v>
      </c>
      <c r="D244" s="6">
        <v>133.99</v>
      </c>
      <c r="E244" s="12">
        <f t="shared" si="9"/>
        <v>-1.1830058635942664E-2</v>
      </c>
      <c r="F244" s="12">
        <f t="shared" si="10"/>
        <v>-1.3618963486454638E-2</v>
      </c>
      <c r="I244" s="13">
        <f t="shared" si="11"/>
        <v>-1.2500897954884654E-2</v>
      </c>
    </row>
    <row r="245" spans="2:9" x14ac:dyDescent="0.25">
      <c r="B245" s="5">
        <v>45726</v>
      </c>
      <c r="C245" s="3">
        <v>194.42</v>
      </c>
      <c r="D245" s="3">
        <v>135.84</v>
      </c>
      <c r="E245" s="12">
        <f t="shared" si="9"/>
        <v>-4.6259504537650264E-2</v>
      </c>
      <c r="F245" s="12">
        <f t="shared" si="10"/>
        <v>-8.1051478641839259E-3</v>
      </c>
      <c r="I245" s="13">
        <f t="shared" si="11"/>
        <v>-3.1951620785100388E-2</v>
      </c>
    </row>
    <row r="246" spans="2:9" x14ac:dyDescent="0.25">
      <c r="B246" s="8">
        <v>45723</v>
      </c>
      <c r="C246" s="6">
        <v>203.85</v>
      </c>
      <c r="D246" s="6">
        <v>136.94999999999999</v>
      </c>
      <c r="E246" s="12">
        <f t="shared" si="9"/>
        <v>2.9337507574227484E-2</v>
      </c>
      <c r="F246" s="12">
        <f t="shared" si="10"/>
        <v>5.4327876073707593E-3</v>
      </c>
      <c r="I246" s="13">
        <f t="shared" si="11"/>
        <v>2.0373237586656212E-2</v>
      </c>
    </row>
    <row r="247" spans="2:9" x14ac:dyDescent="0.25">
      <c r="B247" s="5">
        <v>45722</v>
      </c>
      <c r="C247" s="3">
        <v>198.04</v>
      </c>
      <c r="D247" s="3">
        <v>136.21</v>
      </c>
      <c r="E247" s="12">
        <f t="shared" si="9"/>
        <v>-4.1571891787252624E-2</v>
      </c>
      <c r="F247" s="12">
        <f t="shared" si="10"/>
        <v>-4.24007602894938E-3</v>
      </c>
      <c r="I247" s="13">
        <f t="shared" si="11"/>
        <v>-2.7572460877888907E-2</v>
      </c>
    </row>
    <row r="248" spans="2:9" x14ac:dyDescent="0.25">
      <c r="B248" s="8">
        <v>45721</v>
      </c>
      <c r="C248" s="6">
        <v>206.63</v>
      </c>
      <c r="D248" s="6">
        <v>136.79</v>
      </c>
      <c r="E248" s="12">
        <f t="shared" si="9"/>
        <v>2.1555346813664888E-2</v>
      </c>
      <c r="F248" s="12">
        <f t="shared" si="10"/>
        <v>1.8085739803512801E-2</v>
      </c>
      <c r="I248" s="13">
        <f t="shared" si="11"/>
        <v>2.0254244184857856E-2</v>
      </c>
    </row>
    <row r="249" spans="2:9" x14ac:dyDescent="0.25">
      <c r="B249" s="5">
        <v>45720</v>
      </c>
      <c r="C249" s="3">
        <v>202.27</v>
      </c>
      <c r="D249" s="3">
        <v>134.36000000000001</v>
      </c>
      <c r="E249" s="12">
        <f t="shared" si="9"/>
        <v>5.5679840914739653E-3</v>
      </c>
      <c r="F249" s="12">
        <f t="shared" si="10"/>
        <v>8.9392133492260939E-4</v>
      </c>
      <c r="I249" s="13">
        <f t="shared" si="11"/>
        <v>3.8152105577672069E-3</v>
      </c>
    </row>
    <row r="250" spans="2:9" x14ac:dyDescent="0.25">
      <c r="B250" s="8">
        <v>45719</v>
      </c>
      <c r="C250" s="6">
        <v>201.15</v>
      </c>
      <c r="D250" s="6">
        <v>134.24</v>
      </c>
      <c r="E250" s="12">
        <f t="shared" si="9"/>
        <v>-3.534433147899485E-2</v>
      </c>
      <c r="F250" s="12">
        <f t="shared" si="10"/>
        <v>-2.0360504998905293E-2</v>
      </c>
      <c r="I250" s="13">
        <f t="shared" si="11"/>
        <v>-2.9725396548961266E-2</v>
      </c>
    </row>
    <row r="251" spans="2:9" x14ac:dyDescent="0.25">
      <c r="B251" s="5">
        <v>45716</v>
      </c>
      <c r="C251" s="3">
        <v>208.52</v>
      </c>
      <c r="D251" s="3">
        <v>137.03</v>
      </c>
      <c r="E251" s="12">
        <f t="shared" si="9"/>
        <v>1.5931790499390974E-2</v>
      </c>
      <c r="F251" s="12">
        <f t="shared" si="10"/>
        <v>1.1440803070563943E-2</v>
      </c>
      <c r="I251" s="13">
        <f t="shared" si="11"/>
        <v>1.4247670213580838E-2</v>
      </c>
    </row>
    <row r="252" spans="2:9" x14ac:dyDescent="0.25">
      <c r="B252" s="8">
        <v>45715</v>
      </c>
      <c r="C252" s="6">
        <v>205.25</v>
      </c>
      <c r="D252" s="6">
        <v>135.47999999999999</v>
      </c>
      <c r="E252" s="12">
        <f t="shared" si="9"/>
        <v>-5.8227034963751478E-2</v>
      </c>
      <c r="F252" s="12">
        <f t="shared" si="10"/>
        <v>-1.1383537653239961E-2</v>
      </c>
      <c r="I252" s="13">
        <f t="shared" si="11"/>
        <v>-4.0660723472309659E-2</v>
      </c>
    </row>
    <row r="253" spans="2:9" x14ac:dyDescent="0.25">
      <c r="B253" s="5">
        <v>45714</v>
      </c>
      <c r="C253" s="3">
        <v>217.94</v>
      </c>
      <c r="D253" s="3">
        <v>137.04</v>
      </c>
      <c r="E253" s="12">
        <f t="shared" si="9"/>
        <v>1.7412819196115814E-2</v>
      </c>
      <c r="F253" s="12">
        <f t="shared" si="10"/>
        <v>-5.9480632525752419E-3</v>
      </c>
      <c r="I253" s="13">
        <f t="shared" si="11"/>
        <v>8.6524882778566681E-3</v>
      </c>
    </row>
    <row r="254" spans="2:9" x14ac:dyDescent="0.25">
      <c r="B254" s="8">
        <v>45713</v>
      </c>
      <c r="C254" s="6">
        <v>214.21</v>
      </c>
      <c r="D254" s="6">
        <v>137.86000000000001</v>
      </c>
      <c r="E254" s="12">
        <f t="shared" si="9"/>
        <v>-2.061997073884414E-2</v>
      </c>
      <c r="F254" s="12">
        <f t="shared" si="10"/>
        <v>-6.3427994810436594E-3</v>
      </c>
      <c r="I254" s="13">
        <f t="shared" si="11"/>
        <v>-1.526603151716896E-2</v>
      </c>
    </row>
    <row r="255" spans="2:9" x14ac:dyDescent="0.25">
      <c r="B255" s="5">
        <v>45712</v>
      </c>
      <c r="C255" s="3">
        <v>218.72</v>
      </c>
      <c r="D255" s="3">
        <v>138.74</v>
      </c>
      <c r="E255" s="12">
        <f t="shared" si="9"/>
        <v>-2.3484239664255724E-2</v>
      </c>
      <c r="F255" s="12">
        <f t="shared" si="10"/>
        <v>-1.2238139802749348E-3</v>
      </c>
      <c r="I255" s="13">
        <f t="shared" si="11"/>
        <v>-1.5136580032762928E-2</v>
      </c>
    </row>
    <row r="256" spans="2:9" x14ac:dyDescent="0.25">
      <c r="B256" s="8">
        <v>45709</v>
      </c>
      <c r="C256" s="6">
        <v>223.98</v>
      </c>
      <c r="D256" s="6">
        <v>138.91</v>
      </c>
      <c r="E256" s="12">
        <f t="shared" si="9"/>
        <v>-3.0683342710001282E-2</v>
      </c>
      <c r="F256" s="12">
        <f t="shared" si="10"/>
        <v>-3.7294699849387269E-3</v>
      </c>
      <c r="I256" s="13">
        <f t="shared" si="11"/>
        <v>-2.0575640438102824E-2</v>
      </c>
    </row>
    <row r="257" spans="2:9" x14ac:dyDescent="0.25">
      <c r="B257" s="5">
        <v>45708</v>
      </c>
      <c r="C257" s="3">
        <v>231.07</v>
      </c>
      <c r="D257" s="3">
        <v>139.43</v>
      </c>
      <c r="E257" s="12">
        <f t="shared" si="9"/>
        <v>2.3424283173556493E-3</v>
      </c>
      <c r="F257" s="12">
        <f t="shared" si="10"/>
        <v>4.9733314112727633E-3</v>
      </c>
      <c r="I257" s="13">
        <f t="shared" si="11"/>
        <v>3.329016977574567E-3</v>
      </c>
    </row>
    <row r="258" spans="2:9" x14ac:dyDescent="0.25">
      <c r="B258" s="8">
        <v>45707</v>
      </c>
      <c r="C258" s="6">
        <v>230.53</v>
      </c>
      <c r="D258" s="6">
        <v>138.74</v>
      </c>
      <c r="E258" s="12">
        <f t="shared" si="9"/>
        <v>1.6625507144117257E-2</v>
      </c>
      <c r="F258" s="12">
        <f t="shared" si="10"/>
        <v>1.1888264896798173E-2</v>
      </c>
      <c r="I258" s="13">
        <f t="shared" si="11"/>
        <v>1.4849041301372601E-2</v>
      </c>
    </row>
    <row r="259" spans="2:9" x14ac:dyDescent="0.25">
      <c r="B259" s="5">
        <v>45706</v>
      </c>
      <c r="C259" s="3">
        <v>226.76</v>
      </c>
      <c r="D259" s="3">
        <v>137.11000000000001</v>
      </c>
      <c r="E259" s="12">
        <f t="shared" si="9"/>
        <v>1.6541892679428072E-2</v>
      </c>
      <c r="F259" s="12">
        <f t="shared" si="10"/>
        <v>4.10106188209447E-3</v>
      </c>
      <c r="I259" s="13">
        <f t="shared" si="11"/>
        <v>1.1876581130427971E-2</v>
      </c>
    </row>
    <row r="260" spans="2:9" x14ac:dyDescent="0.25">
      <c r="B260" s="8">
        <v>45702</v>
      </c>
      <c r="C260" s="6">
        <v>223.07</v>
      </c>
      <c r="D260" s="6">
        <v>136.55000000000001</v>
      </c>
      <c r="E260" s="12">
        <f t="shared" si="9"/>
        <v>1.0321306767187011E-3</v>
      </c>
      <c r="F260" s="12">
        <f t="shared" si="10"/>
        <v>-3.5755983654406354E-3</v>
      </c>
      <c r="I260" s="13">
        <f t="shared" si="11"/>
        <v>-6.9576771409105009E-4</v>
      </c>
    </row>
    <row r="261" spans="2:9" x14ac:dyDescent="0.25">
      <c r="B261" s="5">
        <v>45701</v>
      </c>
      <c r="C261" s="3">
        <v>222.84</v>
      </c>
      <c r="D261" s="3">
        <v>137.04</v>
      </c>
      <c r="E261" s="12">
        <f t="shared" si="9"/>
        <v>1.22649223221587E-2</v>
      </c>
      <c r="F261" s="12">
        <f t="shared" si="10"/>
        <v>1.1589281759799119E-2</v>
      </c>
      <c r="I261" s="13">
        <f t="shared" si="11"/>
        <v>1.2011557111273857E-2</v>
      </c>
    </row>
    <row r="262" spans="2:9" x14ac:dyDescent="0.25">
      <c r="B262" s="8">
        <v>45700</v>
      </c>
      <c r="C262" s="6">
        <v>220.14</v>
      </c>
      <c r="D262" s="6">
        <v>135.47</v>
      </c>
      <c r="E262" s="12">
        <f t="shared" si="9"/>
        <v>1.0914051841746097E-3</v>
      </c>
      <c r="F262" s="12">
        <f t="shared" si="10"/>
        <v>9.1626936829558581E-3</v>
      </c>
      <c r="I262" s="13">
        <f t="shared" si="11"/>
        <v>4.1181383712175779E-3</v>
      </c>
    </row>
    <row r="263" spans="2:9" x14ac:dyDescent="0.25">
      <c r="B263" s="5">
        <v>45699</v>
      </c>
      <c r="C263" s="3">
        <v>219.9</v>
      </c>
      <c r="D263" s="3">
        <v>134.24</v>
      </c>
      <c r="E263" s="12">
        <f t="shared" si="9"/>
        <v>9.1033227127912397E-4</v>
      </c>
      <c r="F263" s="12">
        <f t="shared" si="10"/>
        <v>-1.4028644876973861E-2</v>
      </c>
      <c r="I263" s="13">
        <f t="shared" si="11"/>
        <v>-4.6917841593157456E-3</v>
      </c>
    </row>
    <row r="264" spans="2:9" x14ac:dyDescent="0.25">
      <c r="B264" s="8">
        <v>45698</v>
      </c>
      <c r="C264" s="6">
        <v>219.7</v>
      </c>
      <c r="D264" s="6">
        <v>136.15</v>
      </c>
      <c r="E264" s="12">
        <f t="shared" si="9"/>
        <v>1.3049292202701901E-2</v>
      </c>
      <c r="F264" s="12">
        <f t="shared" si="10"/>
        <v>-1.1040894893585951E-2</v>
      </c>
      <c r="I264" s="13">
        <f t="shared" si="11"/>
        <v>4.0154720415939565E-3</v>
      </c>
    </row>
    <row r="265" spans="2:9" x14ac:dyDescent="0.25">
      <c r="B265" s="5">
        <v>45695</v>
      </c>
      <c r="C265" s="3">
        <v>216.87</v>
      </c>
      <c r="D265" s="3">
        <v>137.66999999999999</v>
      </c>
      <c r="E265" s="12"/>
      <c r="F265" s="12"/>
      <c r="I2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715D-C250-413B-993D-7094EB10C7FB}">
  <dimension ref="B3:J265"/>
  <sheetViews>
    <sheetView zoomScale="140" zoomScaleNormal="140" workbookViewId="0">
      <selection activeCell="H9" sqref="H9"/>
    </sheetView>
  </sheetViews>
  <sheetFormatPr baseColWidth="10" defaultRowHeight="15" x14ac:dyDescent="0.25"/>
  <cols>
    <col min="6" max="6" width="13.28515625" bestFit="1" customWidth="1"/>
    <col min="9" max="9" width="8.85546875" bestFit="1" customWidth="1"/>
  </cols>
  <sheetData>
    <row r="3" spans="2:10" x14ac:dyDescent="0.25">
      <c r="B3" t="s">
        <v>0</v>
      </c>
    </row>
    <row r="5" spans="2:10" x14ac:dyDescent="0.25">
      <c r="B5" t="s">
        <v>1</v>
      </c>
      <c r="C5" t="s">
        <v>3</v>
      </c>
      <c r="E5" t="s">
        <v>27</v>
      </c>
    </row>
    <row r="6" spans="2:10" x14ac:dyDescent="0.25">
      <c r="B6" t="s">
        <v>2</v>
      </c>
      <c r="C6" t="s">
        <v>4</v>
      </c>
    </row>
    <row r="8" spans="2:10" x14ac:dyDescent="0.25">
      <c r="B8" t="s">
        <v>26</v>
      </c>
    </row>
    <row r="9" spans="2:10" x14ac:dyDescent="0.25">
      <c r="B9" s="11" t="s">
        <v>25</v>
      </c>
    </row>
    <row r="10" spans="2:10" x14ac:dyDescent="0.25">
      <c r="B10" t="s">
        <v>5</v>
      </c>
    </row>
    <row r="11" spans="2:10" x14ac:dyDescent="0.25">
      <c r="B11" s="14" t="s">
        <v>6</v>
      </c>
      <c r="C11" s="14"/>
      <c r="D11" s="14"/>
      <c r="E11" s="15">
        <f>PERCENTILE(I14:I264,0.05)</f>
        <v>-2.1513239884551706E-2</v>
      </c>
      <c r="F11" s="16">
        <f>E11*16000000</f>
        <v>-344211.83815282729</v>
      </c>
      <c r="G11" s="14"/>
    </row>
    <row r="12" spans="2:10" x14ac:dyDescent="0.25">
      <c r="E12" s="15"/>
    </row>
    <row r="13" spans="2:10" x14ac:dyDescent="0.25">
      <c r="B13" s="9" t="s">
        <v>17</v>
      </c>
      <c r="C13" s="9" t="s">
        <v>1</v>
      </c>
      <c r="D13" s="9" t="s">
        <v>2</v>
      </c>
      <c r="E13" s="9" t="s">
        <v>20</v>
      </c>
      <c r="F13" s="9" t="s">
        <v>21</v>
      </c>
      <c r="G13" s="9" t="s">
        <v>22</v>
      </c>
      <c r="H13" s="9" t="s">
        <v>23</v>
      </c>
      <c r="I13" s="9" t="s">
        <v>24</v>
      </c>
    </row>
    <row r="14" spans="2:10" x14ac:dyDescent="0.25">
      <c r="B14" s="8">
        <v>46062</v>
      </c>
      <c r="C14" s="6">
        <v>352.77</v>
      </c>
      <c r="D14" s="6">
        <v>174.37</v>
      </c>
      <c r="E14" s="12">
        <f>C14/C15-1</f>
        <v>1.2223465610742945E-2</v>
      </c>
      <c r="F14" s="12">
        <f>D14/D15-1</f>
        <v>-3.4861126985940016E-3</v>
      </c>
      <c r="G14" s="12">
        <f>10/16</f>
        <v>0.625</v>
      </c>
      <c r="H14" s="12">
        <v>-0.375</v>
      </c>
      <c r="I14" s="13">
        <f>E14*$G$14+F14*$H$14</f>
        <v>8.9469582686870913E-3</v>
      </c>
      <c r="J14" s="1"/>
    </row>
    <row r="15" spans="2:10" x14ac:dyDescent="0.25">
      <c r="B15" s="5">
        <v>46059</v>
      </c>
      <c r="C15" s="3">
        <v>348.51</v>
      </c>
      <c r="D15" s="3">
        <v>174.98</v>
      </c>
      <c r="E15" s="12">
        <f t="shared" ref="E15:F78" si="0">C15/C16-1</f>
        <v>5.3441344497173748E-2</v>
      </c>
      <c r="F15" s="12">
        <f t="shared" si="0"/>
        <v>2.9051987767584109E-2</v>
      </c>
      <c r="I15" s="13">
        <f t="shared" ref="I15:I78" si="1">E15*$G$14+F15*$H$14</f>
        <v>2.2506344897889552E-2</v>
      </c>
    </row>
    <row r="16" spans="2:10" x14ac:dyDescent="0.25">
      <c r="B16" s="8">
        <v>46058</v>
      </c>
      <c r="C16" s="6">
        <v>330.83</v>
      </c>
      <c r="D16" s="6">
        <v>170.04</v>
      </c>
      <c r="E16" s="12">
        <f t="shared" si="0"/>
        <v>1.3620679217869469E-3</v>
      </c>
      <c r="F16" s="12">
        <f t="shared" si="0"/>
        <v>-2.3039356506751041E-2</v>
      </c>
      <c r="I16" s="13">
        <f t="shared" si="1"/>
        <v>9.4910511411484821E-3</v>
      </c>
    </row>
    <row r="17" spans="2:9" x14ac:dyDescent="0.25">
      <c r="B17" s="5">
        <v>46057</v>
      </c>
      <c r="C17" s="3">
        <v>330.38</v>
      </c>
      <c r="D17" s="3">
        <v>174.05</v>
      </c>
      <c r="E17" s="12">
        <f t="shared" si="0"/>
        <v>-4.4149982640897978E-2</v>
      </c>
      <c r="F17" s="12">
        <f t="shared" si="0"/>
        <v>1.4384349827387677E-3</v>
      </c>
      <c r="I17" s="13">
        <f t="shared" si="1"/>
        <v>-2.8133152269088274E-2</v>
      </c>
    </row>
    <row r="18" spans="2:9" x14ac:dyDescent="0.25">
      <c r="B18" s="8">
        <v>46056</v>
      </c>
      <c r="C18" s="6">
        <v>345.64</v>
      </c>
      <c r="D18" s="6">
        <v>173.8</v>
      </c>
      <c r="E18" s="12">
        <f t="shared" si="0"/>
        <v>-1.9989225665598687E-2</v>
      </c>
      <c r="F18" s="12">
        <f t="shared" si="0"/>
        <v>-1.952452050074549E-3</v>
      </c>
      <c r="I18" s="13">
        <f t="shared" si="1"/>
        <v>-1.1761096522221223E-2</v>
      </c>
    </row>
    <row r="19" spans="2:9" x14ac:dyDescent="0.25">
      <c r="B19" s="5">
        <v>46055</v>
      </c>
      <c r="C19" s="3">
        <v>352.69</v>
      </c>
      <c r="D19" s="3">
        <v>174.14</v>
      </c>
      <c r="E19" s="12">
        <f t="shared" si="0"/>
        <v>1.8452209067282732E-2</v>
      </c>
      <c r="F19" s="12">
        <f t="shared" si="0"/>
        <v>9.9170677956270659E-3</v>
      </c>
      <c r="I19" s="13">
        <f t="shared" si="1"/>
        <v>7.8137302436915579E-3</v>
      </c>
    </row>
    <row r="20" spans="2:9" x14ac:dyDescent="0.25">
      <c r="B20" s="8">
        <v>46052</v>
      </c>
      <c r="C20" s="6">
        <v>346.3</v>
      </c>
      <c r="D20" s="6">
        <v>172.43</v>
      </c>
      <c r="E20" s="12">
        <f t="shared" si="0"/>
        <v>-4.106554426383846E-2</v>
      </c>
      <c r="F20" s="12">
        <f t="shared" si="0"/>
        <v>-1.0444763271162061E-2</v>
      </c>
      <c r="I20" s="13">
        <f t="shared" si="1"/>
        <v>-2.1749178938213265E-2</v>
      </c>
    </row>
    <row r="21" spans="2:9" x14ac:dyDescent="0.25">
      <c r="B21" s="5">
        <v>46051</v>
      </c>
      <c r="C21" s="3">
        <v>361.13</v>
      </c>
      <c r="D21" s="3">
        <v>174.25</v>
      </c>
      <c r="E21" s="12">
        <f t="shared" si="0"/>
        <v>1.8587360594795044E-3</v>
      </c>
      <c r="F21" s="12">
        <f t="shared" si="0"/>
        <v>1.2641498592196321E-3</v>
      </c>
      <c r="I21" s="13">
        <f t="shared" si="1"/>
        <v>6.8765383996732821E-4</v>
      </c>
    </row>
    <row r="22" spans="2:9" x14ac:dyDescent="0.25">
      <c r="B22" s="8">
        <v>46050</v>
      </c>
      <c r="C22" s="6">
        <v>360.46</v>
      </c>
      <c r="D22" s="6">
        <v>174.03</v>
      </c>
      <c r="E22" s="12">
        <f t="shared" si="0"/>
        <v>2.6717557251908275E-2</v>
      </c>
      <c r="F22" s="12">
        <f t="shared" si="0"/>
        <v>-1.6223855285471989E-2</v>
      </c>
      <c r="I22" s="13">
        <f t="shared" si="1"/>
        <v>2.2782419014494668E-2</v>
      </c>
    </row>
    <row r="23" spans="2:9" x14ac:dyDescent="0.25">
      <c r="B23" s="5">
        <v>46049</v>
      </c>
      <c r="C23" s="3">
        <v>351.08</v>
      </c>
      <c r="D23" s="3">
        <v>176.9</v>
      </c>
      <c r="E23" s="12">
        <f t="shared" si="0"/>
        <v>2.3348004780365583E-2</v>
      </c>
      <c r="F23" s="12">
        <f t="shared" si="0"/>
        <v>5.9709980096673831E-3</v>
      </c>
      <c r="I23" s="13">
        <f t="shared" si="1"/>
        <v>1.2353378734103221E-2</v>
      </c>
    </row>
    <row r="24" spans="2:9" x14ac:dyDescent="0.25">
      <c r="B24" s="8">
        <v>46048</v>
      </c>
      <c r="C24" s="6">
        <v>343.07</v>
      </c>
      <c r="D24" s="6">
        <v>175.85</v>
      </c>
      <c r="E24" s="12">
        <f t="shared" si="0"/>
        <v>-4.7576223492210579E-3</v>
      </c>
      <c r="F24" s="12">
        <f t="shared" si="0"/>
        <v>2.9658358523925177E-3</v>
      </c>
      <c r="I24" s="13">
        <f t="shared" si="1"/>
        <v>-4.0857024129103553E-3</v>
      </c>
    </row>
    <row r="25" spans="2:9" x14ac:dyDescent="0.25">
      <c r="B25" s="5">
        <v>46045</v>
      </c>
      <c r="C25" s="3">
        <v>344.71</v>
      </c>
      <c r="D25" s="3">
        <v>175.33</v>
      </c>
      <c r="E25" s="12">
        <f t="shared" si="0"/>
        <v>-1.1357444001491523E-2</v>
      </c>
      <c r="F25" s="12">
        <f t="shared" si="0"/>
        <v>-1.3003827966673986E-2</v>
      </c>
      <c r="I25" s="13">
        <f t="shared" si="1"/>
        <v>-2.2219670134294572E-3</v>
      </c>
    </row>
    <row r="26" spans="2:9" x14ac:dyDescent="0.25">
      <c r="B26" s="8">
        <v>46044</v>
      </c>
      <c r="C26" s="6">
        <v>348.67</v>
      </c>
      <c r="D26" s="6">
        <v>177.64</v>
      </c>
      <c r="E26" s="12">
        <f t="shared" si="0"/>
        <v>1.5223760556097865E-3</v>
      </c>
      <c r="F26" s="12">
        <f t="shared" si="0"/>
        <v>1.4158483672071176E-2</v>
      </c>
      <c r="I26" s="13">
        <f t="shared" si="1"/>
        <v>-4.3579463422705744E-3</v>
      </c>
    </row>
    <row r="27" spans="2:9" x14ac:dyDescent="0.25">
      <c r="B27" s="5">
        <v>46043</v>
      </c>
      <c r="C27" s="3">
        <v>348.14</v>
      </c>
      <c r="D27" s="3">
        <v>175.16</v>
      </c>
      <c r="E27" s="12">
        <f t="shared" si="0"/>
        <v>3.1984585741811067E-2</v>
      </c>
      <c r="F27" s="12">
        <f t="shared" si="0"/>
        <v>2.6007497656982181E-2</v>
      </c>
      <c r="I27" s="13">
        <f t="shared" si="1"/>
        <v>1.0237554467263599E-2</v>
      </c>
    </row>
    <row r="28" spans="2:9" x14ac:dyDescent="0.25">
      <c r="B28" s="8">
        <v>46042</v>
      </c>
      <c r="C28" s="6">
        <v>337.35</v>
      </c>
      <c r="D28" s="6">
        <v>170.72</v>
      </c>
      <c r="E28" s="12">
        <f t="shared" si="0"/>
        <v>-1.4950214617338808E-2</v>
      </c>
      <c r="F28" s="12">
        <f t="shared" si="0"/>
        <v>4.4716403859730303E-3</v>
      </c>
      <c r="I28" s="13">
        <f t="shared" si="1"/>
        <v>-1.1020749280576642E-2</v>
      </c>
    </row>
    <row r="29" spans="2:9" x14ac:dyDescent="0.25">
      <c r="B29" s="5">
        <v>46038</v>
      </c>
      <c r="C29" s="3">
        <v>342.47</v>
      </c>
      <c r="D29" s="3">
        <v>169.96</v>
      </c>
      <c r="E29" s="12">
        <f t="shared" si="0"/>
        <v>1.5568471620900359E-2</v>
      </c>
      <c r="F29" s="12">
        <f t="shared" si="0"/>
        <v>-3.5178236397748197E-3</v>
      </c>
      <c r="I29" s="13">
        <f t="shared" si="1"/>
        <v>1.1049478627978282E-2</v>
      </c>
    </row>
    <row r="30" spans="2:9" x14ac:dyDescent="0.25">
      <c r="B30" s="8">
        <v>46037</v>
      </c>
      <c r="C30" s="6">
        <v>337.22</v>
      </c>
      <c r="D30" s="6">
        <v>170.56</v>
      </c>
      <c r="E30" s="12">
        <f t="shared" si="0"/>
        <v>1.6028924374811737E-2</v>
      </c>
      <c r="F30" s="12">
        <f t="shared" si="0"/>
        <v>-1.3134293814731302E-2</v>
      </c>
      <c r="I30" s="13">
        <f t="shared" si="1"/>
        <v>1.4943437914781574E-2</v>
      </c>
    </row>
    <row r="31" spans="2:9" x14ac:dyDescent="0.25">
      <c r="B31" s="5">
        <v>46036</v>
      </c>
      <c r="C31" s="3">
        <v>331.9</v>
      </c>
      <c r="D31" s="3">
        <v>172.83</v>
      </c>
      <c r="E31" s="12">
        <f t="shared" si="0"/>
        <v>-4.2004200420042714E-3</v>
      </c>
      <c r="F31" s="12">
        <f t="shared" si="0"/>
        <v>8.8139154798039243E-3</v>
      </c>
      <c r="I31" s="13">
        <f t="shared" si="1"/>
        <v>-5.9304808311791413E-3</v>
      </c>
    </row>
    <row r="32" spans="2:9" x14ac:dyDescent="0.25">
      <c r="B32" s="8">
        <v>46035</v>
      </c>
      <c r="C32" s="6">
        <v>333.3</v>
      </c>
      <c r="D32" s="6">
        <v>171.32</v>
      </c>
      <c r="E32" s="12">
        <f t="shared" si="0"/>
        <v>8.9299228091417326E-3</v>
      </c>
      <c r="F32" s="12">
        <f t="shared" si="0"/>
        <v>-4.6674445740968462E-4</v>
      </c>
      <c r="I32" s="13">
        <f t="shared" si="1"/>
        <v>5.7562309272422146E-3</v>
      </c>
    </row>
    <row r="33" spans="2:9" x14ac:dyDescent="0.25">
      <c r="B33" s="5">
        <v>46034</v>
      </c>
      <c r="C33" s="3">
        <v>330.35</v>
      </c>
      <c r="D33" s="3">
        <v>171.4</v>
      </c>
      <c r="E33" s="12">
        <f t="shared" si="0"/>
        <v>4.7752296368392955E-3</v>
      </c>
      <c r="F33" s="12">
        <f t="shared" si="0"/>
        <v>-5.7427925053655793E-3</v>
      </c>
      <c r="I33" s="13">
        <f t="shared" si="1"/>
        <v>5.1380657125366519E-3</v>
      </c>
    </row>
    <row r="34" spans="2:9" x14ac:dyDescent="0.25">
      <c r="B34" s="8">
        <v>46031</v>
      </c>
      <c r="C34" s="6">
        <v>328.78</v>
      </c>
      <c r="D34" s="6">
        <v>172.39</v>
      </c>
      <c r="E34" s="12">
        <f t="shared" si="0"/>
        <v>2.8787783966455871E-2</v>
      </c>
      <c r="F34" s="12">
        <f t="shared" si="0"/>
        <v>7.5467316846622445E-4</v>
      </c>
      <c r="I34" s="13">
        <f t="shared" si="1"/>
        <v>1.7709362540860085E-2</v>
      </c>
    </row>
    <row r="35" spans="2:9" x14ac:dyDescent="0.25">
      <c r="B35" s="5">
        <v>46030</v>
      </c>
      <c r="C35" s="3">
        <v>319.58</v>
      </c>
      <c r="D35" s="3">
        <v>172.26</v>
      </c>
      <c r="E35" s="12">
        <f t="shared" si="0"/>
        <v>-1.6343993351595976E-2</v>
      </c>
      <c r="F35" s="12">
        <f t="shared" si="0"/>
        <v>-2.5347968767681417E-2</v>
      </c>
      <c r="I35" s="13">
        <f t="shared" si="1"/>
        <v>-7.0950755686695344E-4</v>
      </c>
    </row>
    <row r="36" spans="2:9" x14ac:dyDescent="0.25">
      <c r="B36" s="8">
        <v>46029</v>
      </c>
      <c r="C36" s="6">
        <v>324.89</v>
      </c>
      <c r="D36" s="6">
        <v>176.74</v>
      </c>
      <c r="E36" s="12">
        <f t="shared" si="0"/>
        <v>-1.0537536165676986E-2</v>
      </c>
      <c r="F36" s="12">
        <f t="shared" si="0"/>
        <v>3.2118663863583308E-2</v>
      </c>
      <c r="I36" s="13">
        <f t="shared" si="1"/>
        <v>-1.8630459052391857E-2</v>
      </c>
    </row>
    <row r="37" spans="2:9" x14ac:dyDescent="0.25">
      <c r="B37" s="5">
        <v>46028</v>
      </c>
      <c r="C37" s="3">
        <v>328.35</v>
      </c>
      <c r="D37" s="3">
        <v>171.24</v>
      </c>
      <c r="E37" s="12">
        <f t="shared" si="0"/>
        <v>3.2352386342199724E-2</v>
      </c>
      <c r="F37" s="12">
        <f t="shared" si="0"/>
        <v>2.3305844388669783E-2</v>
      </c>
      <c r="I37" s="13">
        <f t="shared" si="1"/>
        <v>1.1480549818123659E-2</v>
      </c>
    </row>
    <row r="38" spans="2:9" x14ac:dyDescent="0.25">
      <c r="B38" s="8">
        <v>46027</v>
      </c>
      <c r="C38" s="6">
        <v>318.06</v>
      </c>
      <c r="D38" s="6">
        <v>167.34</v>
      </c>
      <c r="E38" s="12">
        <f t="shared" si="0"/>
        <v>1.3930950938825015E-2</v>
      </c>
      <c r="F38" s="12">
        <f t="shared" si="0"/>
        <v>-9.8224852071006064E-3</v>
      </c>
      <c r="I38" s="13">
        <f t="shared" si="1"/>
        <v>1.2390276289428362E-2</v>
      </c>
    </row>
    <row r="39" spans="2:9" x14ac:dyDescent="0.25">
      <c r="B39" s="5">
        <v>46024</v>
      </c>
      <c r="C39" s="3">
        <v>313.69</v>
      </c>
      <c r="D39" s="3">
        <v>169</v>
      </c>
      <c r="E39" s="12">
        <f t="shared" si="0"/>
        <v>4.1640378548895907E-2</v>
      </c>
      <c r="F39" s="12">
        <f t="shared" si="0"/>
        <v>1.3628014457545135E-3</v>
      </c>
      <c r="I39" s="13">
        <f t="shared" si="1"/>
        <v>2.5514186050901999E-2</v>
      </c>
    </row>
    <row r="40" spans="2:9" x14ac:dyDescent="0.25">
      <c r="B40" s="8">
        <v>46022</v>
      </c>
      <c r="C40" s="6">
        <v>301.14999999999998</v>
      </c>
      <c r="D40" s="6">
        <v>168.77</v>
      </c>
      <c r="E40" s="12">
        <f t="shared" si="0"/>
        <v>-1.2363898727535183E-2</v>
      </c>
      <c r="F40" s="12">
        <f t="shared" si="0"/>
        <v>-7.1052164130480655E-4</v>
      </c>
      <c r="I40" s="13">
        <f t="shared" si="1"/>
        <v>-7.4609910892201869E-3</v>
      </c>
    </row>
    <row r="41" spans="2:9" x14ac:dyDescent="0.25">
      <c r="B41" s="5">
        <v>46021</v>
      </c>
      <c r="C41" s="3">
        <v>304.92</v>
      </c>
      <c r="D41" s="3">
        <v>168.89</v>
      </c>
      <c r="E41" s="12">
        <f t="shared" si="0"/>
        <v>-1.3101008777675061E-3</v>
      </c>
      <c r="F41" s="12">
        <f t="shared" si="0"/>
        <v>-1.0951042398688271E-2</v>
      </c>
      <c r="I41" s="13">
        <f t="shared" si="1"/>
        <v>3.2878278509034103E-3</v>
      </c>
    </row>
    <row r="42" spans="2:9" x14ac:dyDescent="0.25">
      <c r="B42" s="8">
        <v>46020</v>
      </c>
      <c r="C42" s="6">
        <v>305.32</v>
      </c>
      <c r="D42" s="6">
        <v>170.76</v>
      </c>
      <c r="E42" s="12">
        <f t="shared" si="0"/>
        <v>-2.3526336426611394E-3</v>
      </c>
      <c r="F42" s="12">
        <f t="shared" si="0"/>
        <v>-7.3824332965181094E-3</v>
      </c>
      <c r="I42" s="13">
        <f t="shared" si="1"/>
        <v>1.2980164595310789E-3</v>
      </c>
    </row>
    <row r="43" spans="2:9" x14ac:dyDescent="0.25">
      <c r="B43" s="5">
        <v>46017</v>
      </c>
      <c r="C43" s="3">
        <v>306.04000000000002</v>
      </c>
      <c r="D43" s="3">
        <v>172.03</v>
      </c>
      <c r="E43" s="12">
        <f t="shared" si="0"/>
        <v>-3.2664793885139876E-4</v>
      </c>
      <c r="F43" s="12">
        <f t="shared" si="0"/>
        <v>-7.0418470418470713E-3</v>
      </c>
      <c r="I43" s="13">
        <f t="shared" si="1"/>
        <v>2.4365376789105275E-3</v>
      </c>
    </row>
    <row r="44" spans="2:9" x14ac:dyDescent="0.25">
      <c r="B44" s="8">
        <v>46015</v>
      </c>
      <c r="C44" s="6">
        <v>306.14</v>
      </c>
      <c r="D44" s="6">
        <v>173.25</v>
      </c>
      <c r="E44" s="12">
        <f t="shared" si="0"/>
        <v>3.8693599160546377E-3</v>
      </c>
      <c r="F44" s="12">
        <f t="shared" si="0"/>
        <v>6.682161533991815E-3</v>
      </c>
      <c r="I44" s="13">
        <f t="shared" si="1"/>
        <v>-8.7460627712782069E-5</v>
      </c>
    </row>
    <row r="45" spans="2:9" x14ac:dyDescent="0.25">
      <c r="B45" s="5">
        <v>46014</v>
      </c>
      <c r="C45" s="3">
        <v>304.95999999999998</v>
      </c>
      <c r="D45" s="3">
        <v>172.1</v>
      </c>
      <c r="E45" s="12">
        <f t="shared" si="0"/>
        <v>3.6861506055818616E-3</v>
      </c>
      <c r="F45" s="12">
        <f t="shared" si="0"/>
        <v>-3.8779880766337538E-3</v>
      </c>
      <c r="I45" s="13">
        <f t="shared" si="1"/>
        <v>3.7580896572263212E-3</v>
      </c>
    </row>
    <row r="46" spans="2:9" x14ac:dyDescent="0.25">
      <c r="B46" s="8">
        <v>46013</v>
      </c>
      <c r="C46" s="6">
        <v>303.83999999999997</v>
      </c>
      <c r="D46" s="6">
        <v>172.77</v>
      </c>
      <c r="E46" s="12">
        <f t="shared" si="0"/>
        <v>1.3441846502785015E-2</v>
      </c>
      <c r="F46" s="12">
        <f t="shared" si="0"/>
        <v>1.5099882491186989E-2</v>
      </c>
      <c r="I46" s="13">
        <f t="shared" si="1"/>
        <v>2.7386981300455138E-3</v>
      </c>
    </row>
    <row r="47" spans="2:9" x14ac:dyDescent="0.25">
      <c r="B47" s="5">
        <v>46010</v>
      </c>
      <c r="C47" s="3">
        <v>299.81</v>
      </c>
      <c r="D47" s="3">
        <v>170.2</v>
      </c>
      <c r="E47" s="12">
        <f t="shared" si="0"/>
        <v>2.6605944391179248E-2</v>
      </c>
      <c r="F47" s="12">
        <f t="shared" si="0"/>
        <v>2.412900896564163E-2</v>
      </c>
      <c r="I47" s="13">
        <f t="shared" si="1"/>
        <v>7.580336882371419E-3</v>
      </c>
    </row>
    <row r="48" spans="2:9" x14ac:dyDescent="0.25">
      <c r="B48" s="8">
        <v>46009</v>
      </c>
      <c r="C48" s="6">
        <v>292.04000000000002</v>
      </c>
      <c r="D48" s="6">
        <v>166.19</v>
      </c>
      <c r="E48" s="12">
        <f t="shared" si="0"/>
        <v>2.3875468919819065E-2</v>
      </c>
      <c r="F48" s="12">
        <f t="shared" si="0"/>
        <v>-7.9985674207604385E-3</v>
      </c>
      <c r="I48" s="13">
        <f t="shared" si="1"/>
        <v>1.792163085767208E-2</v>
      </c>
    </row>
    <row r="49" spans="2:9" x14ac:dyDescent="0.25">
      <c r="B49" s="5">
        <v>46008</v>
      </c>
      <c r="C49" s="3">
        <v>285.23</v>
      </c>
      <c r="D49" s="3">
        <v>167.53</v>
      </c>
      <c r="E49" s="12">
        <f t="shared" si="0"/>
        <v>-3.7035786630654877E-2</v>
      </c>
      <c r="F49" s="12">
        <f t="shared" si="0"/>
        <v>-3.450121943965323E-3</v>
      </c>
      <c r="I49" s="13">
        <f t="shared" si="1"/>
        <v>-2.1853570915172302E-2</v>
      </c>
    </row>
    <row r="50" spans="2:9" x14ac:dyDescent="0.25">
      <c r="B50" s="8">
        <v>46007</v>
      </c>
      <c r="C50" s="6">
        <v>296.2</v>
      </c>
      <c r="D50" s="6">
        <v>168.11</v>
      </c>
      <c r="E50" s="12">
        <f t="shared" si="0"/>
        <v>-6.0736216905472595E-3</v>
      </c>
      <c r="F50" s="12">
        <f t="shared" si="0"/>
        <v>-7.4979336403352415E-3</v>
      </c>
      <c r="I50" s="13">
        <f t="shared" si="1"/>
        <v>-9.8428844146632166E-4</v>
      </c>
    </row>
    <row r="51" spans="2:9" x14ac:dyDescent="0.25">
      <c r="B51" s="5">
        <v>46006</v>
      </c>
      <c r="C51" s="3">
        <v>298.01</v>
      </c>
      <c r="D51" s="3">
        <v>169.38</v>
      </c>
      <c r="E51" s="12">
        <f t="shared" si="0"/>
        <v>-4.908508080673224E-3</v>
      </c>
      <c r="F51" s="12">
        <f t="shared" si="0"/>
        <v>-2.3609963404547241E-4</v>
      </c>
      <c r="I51" s="13">
        <f t="shared" si="1"/>
        <v>-2.9792801876537128E-3</v>
      </c>
    </row>
    <row r="52" spans="2:9" x14ac:dyDescent="0.25">
      <c r="B52" s="8">
        <v>46003</v>
      </c>
      <c r="C52" s="6">
        <v>299.48</v>
      </c>
      <c r="D52" s="6">
        <v>169.42</v>
      </c>
      <c r="E52" s="12">
        <f t="shared" si="0"/>
        <v>-4.7818898639196084E-2</v>
      </c>
      <c r="F52" s="12">
        <f t="shared" si="0"/>
        <v>-5.050505050505083E-3</v>
      </c>
      <c r="I52" s="13">
        <f t="shared" si="1"/>
        <v>-2.7992872255558146E-2</v>
      </c>
    </row>
    <row r="53" spans="2:9" x14ac:dyDescent="0.25">
      <c r="B53" s="5">
        <v>46002</v>
      </c>
      <c r="C53" s="3">
        <v>314.52</v>
      </c>
      <c r="D53" s="3">
        <v>170.28</v>
      </c>
      <c r="E53" s="12">
        <f t="shared" si="0"/>
        <v>-5.7218727278475212E-3</v>
      </c>
      <c r="F53" s="12">
        <f t="shared" si="0"/>
        <v>7.9914757591901253E-3</v>
      </c>
      <c r="I53" s="13">
        <f t="shared" si="1"/>
        <v>-6.5729738646009978E-3</v>
      </c>
    </row>
    <row r="54" spans="2:9" x14ac:dyDescent="0.25">
      <c r="B54" s="8">
        <v>46001</v>
      </c>
      <c r="C54" s="6">
        <v>316.33</v>
      </c>
      <c r="D54" s="6">
        <v>168.93</v>
      </c>
      <c r="E54" s="12">
        <f t="shared" si="0"/>
        <v>1.3293612659363019E-2</v>
      </c>
      <c r="F54" s="12">
        <f t="shared" si="0"/>
        <v>1.1012029445209182E-2</v>
      </c>
      <c r="I54" s="13">
        <f t="shared" si="1"/>
        <v>4.1789968701484437E-3</v>
      </c>
    </row>
    <row r="55" spans="2:9" x14ac:dyDescent="0.25">
      <c r="B55" s="5">
        <v>46000</v>
      </c>
      <c r="C55" s="3">
        <v>312.18</v>
      </c>
      <c r="D55" s="3">
        <v>167.09</v>
      </c>
      <c r="E55" s="12">
        <f t="shared" si="0"/>
        <v>-1.8544570916996239E-3</v>
      </c>
      <c r="F55" s="12">
        <f t="shared" si="0"/>
        <v>-1.6828478964401206E-2</v>
      </c>
      <c r="I55" s="13">
        <f t="shared" si="1"/>
        <v>5.1516439293381872E-3</v>
      </c>
    </row>
    <row r="56" spans="2:9" x14ac:dyDescent="0.25">
      <c r="B56" s="8">
        <v>45999</v>
      </c>
      <c r="C56" s="6">
        <v>312.76</v>
      </c>
      <c r="D56" s="6">
        <v>169.95</v>
      </c>
      <c r="E56" s="12">
        <f t="shared" si="0"/>
        <v>1.0859728506787292E-2</v>
      </c>
      <c r="F56" s="12">
        <f t="shared" si="0"/>
        <v>-7.0694087403599948E-3</v>
      </c>
      <c r="I56" s="13">
        <f t="shared" si="1"/>
        <v>9.4383585943770554E-3</v>
      </c>
    </row>
    <row r="57" spans="2:9" x14ac:dyDescent="0.25">
      <c r="B57" s="5">
        <v>45996</v>
      </c>
      <c r="C57" s="3">
        <v>309.39999999999998</v>
      </c>
      <c r="D57" s="3">
        <v>171.16</v>
      </c>
      <c r="E57" s="12">
        <f t="shared" si="0"/>
        <v>1.0186757215619791E-2</v>
      </c>
      <c r="F57" s="12">
        <f t="shared" si="0"/>
        <v>-5.5197257567835001E-3</v>
      </c>
      <c r="I57" s="13">
        <f t="shared" si="1"/>
        <v>8.4366204185561816E-3</v>
      </c>
    </row>
    <row r="58" spans="2:9" x14ac:dyDescent="0.25">
      <c r="B58" s="8">
        <v>45995</v>
      </c>
      <c r="C58" s="6">
        <v>306.27999999999997</v>
      </c>
      <c r="D58" s="6">
        <v>172.11</v>
      </c>
      <c r="E58" s="12">
        <f t="shared" si="0"/>
        <v>-9.9560382725628616E-3</v>
      </c>
      <c r="F58" s="12">
        <f t="shared" si="0"/>
        <v>-6.9674272774766788E-4</v>
      </c>
      <c r="I58" s="13">
        <f t="shared" si="1"/>
        <v>-5.961245397446413E-3</v>
      </c>
    </row>
    <row r="59" spans="2:9" x14ac:dyDescent="0.25">
      <c r="B59" s="5">
        <v>45994</v>
      </c>
      <c r="C59" s="3">
        <v>309.36</v>
      </c>
      <c r="D59" s="3">
        <v>172.23</v>
      </c>
      <c r="E59" s="12">
        <f t="shared" si="0"/>
        <v>2.1529520538898561E-2</v>
      </c>
      <c r="F59" s="12">
        <f t="shared" si="0"/>
        <v>1.7787495567899825E-2</v>
      </c>
      <c r="I59" s="13">
        <f t="shared" si="1"/>
        <v>6.7856394988491664E-3</v>
      </c>
    </row>
    <row r="60" spans="2:9" x14ac:dyDescent="0.25">
      <c r="B60" s="8">
        <v>45993</v>
      </c>
      <c r="C60" s="6">
        <v>302.83999999999997</v>
      </c>
      <c r="D60" s="6">
        <v>169.22</v>
      </c>
      <c r="E60" s="12">
        <f t="shared" si="0"/>
        <v>1.9938030445911137E-2</v>
      </c>
      <c r="F60" s="12">
        <f t="shared" si="0"/>
        <v>-5.2319087649168594E-3</v>
      </c>
      <c r="I60" s="13">
        <f t="shared" si="1"/>
        <v>1.4423234815538283E-2</v>
      </c>
    </row>
    <row r="61" spans="2:9" x14ac:dyDescent="0.25">
      <c r="B61" s="5">
        <v>45992</v>
      </c>
      <c r="C61" s="3">
        <v>296.92</v>
      </c>
      <c r="D61" s="3">
        <v>170.11</v>
      </c>
      <c r="E61" s="12">
        <f t="shared" si="0"/>
        <v>6.0659162903564656E-4</v>
      </c>
      <c r="F61" s="12">
        <f t="shared" si="0"/>
        <v>-2.140021860438357E-2</v>
      </c>
      <c r="I61" s="13">
        <f t="shared" si="1"/>
        <v>8.4042017447911177E-3</v>
      </c>
    </row>
    <row r="62" spans="2:9" x14ac:dyDescent="0.25">
      <c r="B62" s="8">
        <v>45989</v>
      </c>
      <c r="C62" s="6">
        <v>296.74</v>
      </c>
      <c r="D62" s="6">
        <v>173.83</v>
      </c>
      <c r="E62" s="12">
        <f t="shared" si="0"/>
        <v>1.8360273173410269E-2</v>
      </c>
      <c r="F62" s="12">
        <f t="shared" si="0"/>
        <v>9.7892433490742725E-4</v>
      </c>
      <c r="I62" s="13">
        <f t="shared" si="1"/>
        <v>1.1108074107791133E-2</v>
      </c>
    </row>
    <row r="63" spans="2:9" x14ac:dyDescent="0.25">
      <c r="B63" s="5">
        <v>45987</v>
      </c>
      <c r="C63" s="3">
        <v>291.39</v>
      </c>
      <c r="D63" s="3">
        <v>173.66</v>
      </c>
      <c r="E63" s="12">
        <f t="shared" si="0"/>
        <v>2.7540729247478746E-2</v>
      </c>
      <c r="F63" s="12">
        <f t="shared" si="0"/>
        <v>7.717750826901737E-3</v>
      </c>
      <c r="I63" s="13">
        <f t="shared" si="1"/>
        <v>1.4318799219586065E-2</v>
      </c>
    </row>
    <row r="64" spans="2:9" x14ac:dyDescent="0.25">
      <c r="B64" s="8">
        <v>45986</v>
      </c>
      <c r="C64" s="6">
        <v>283.58</v>
      </c>
      <c r="D64" s="6">
        <v>172.33</v>
      </c>
      <c r="E64" s="12">
        <f t="shared" si="0"/>
        <v>3.112840466926059E-3</v>
      </c>
      <c r="F64" s="12">
        <f t="shared" si="0"/>
        <v>1.543810028872783E-2</v>
      </c>
      <c r="I64" s="13">
        <f t="shared" si="1"/>
        <v>-3.8437623164441492E-3</v>
      </c>
    </row>
    <row r="65" spans="2:9" x14ac:dyDescent="0.25">
      <c r="B65" s="5">
        <v>45985</v>
      </c>
      <c r="C65" s="3">
        <v>282.7</v>
      </c>
      <c r="D65" s="3">
        <v>169.71</v>
      </c>
      <c r="E65" s="12">
        <f t="shared" si="0"/>
        <v>4.3828231732082834E-2</v>
      </c>
      <c r="F65" s="12">
        <f t="shared" si="0"/>
        <v>1.307306590257884E-2</v>
      </c>
      <c r="I65" s="13">
        <f t="shared" si="1"/>
        <v>2.2490245119084706E-2</v>
      </c>
    </row>
    <row r="66" spans="2:9" x14ac:dyDescent="0.25">
      <c r="B66" s="8">
        <v>45982</v>
      </c>
      <c r="C66" s="6">
        <v>270.83</v>
      </c>
      <c r="D66" s="6">
        <v>167.52</v>
      </c>
      <c r="E66" s="12">
        <f t="shared" si="0"/>
        <v>1.0182767624020705E-2</v>
      </c>
      <c r="F66" s="12">
        <f t="shared" si="0"/>
        <v>1.9970774476375963E-2</v>
      </c>
      <c r="I66" s="13">
        <f t="shared" si="1"/>
        <v>-1.1248106636280453E-3</v>
      </c>
    </row>
    <row r="67" spans="2:9" x14ac:dyDescent="0.25">
      <c r="B67" s="5">
        <v>45981</v>
      </c>
      <c r="C67" s="3">
        <v>268.10000000000002</v>
      </c>
      <c r="D67" s="3">
        <v>164.24</v>
      </c>
      <c r="E67" s="12">
        <f t="shared" si="0"/>
        <v>-4.7974148645289594E-2</v>
      </c>
      <c r="F67" s="12">
        <f t="shared" si="0"/>
        <v>-5.9314852923374461E-3</v>
      </c>
      <c r="I67" s="13">
        <f t="shared" si="1"/>
        <v>-2.7759535918679454E-2</v>
      </c>
    </row>
    <row r="68" spans="2:9" x14ac:dyDescent="0.25">
      <c r="B68" s="8">
        <v>45980</v>
      </c>
      <c r="C68" s="6">
        <v>281.61</v>
      </c>
      <c r="D68" s="6">
        <v>165.22</v>
      </c>
      <c r="E68" s="12">
        <f t="shared" si="0"/>
        <v>1.6716008376056024E-2</v>
      </c>
      <c r="F68" s="12">
        <f t="shared" si="0"/>
        <v>-7.508860455337274E-3</v>
      </c>
      <c r="I68" s="13">
        <f t="shared" si="1"/>
        <v>1.3263327905786493E-2</v>
      </c>
    </row>
    <row r="69" spans="2:9" x14ac:dyDescent="0.25">
      <c r="B69" s="5">
        <v>45979</v>
      </c>
      <c r="C69" s="3">
        <v>276.98</v>
      </c>
      <c r="D69" s="3">
        <v>166.47</v>
      </c>
      <c r="E69" s="12">
        <f t="shared" si="0"/>
        <v>-2.3204965439413083E-2</v>
      </c>
      <c r="F69" s="12">
        <f t="shared" si="0"/>
        <v>7.3217959578846248E-3</v>
      </c>
      <c r="I69" s="13">
        <f t="shared" si="1"/>
        <v>-1.7248776883839911E-2</v>
      </c>
    </row>
    <row r="70" spans="2:9" x14ac:dyDescent="0.25">
      <c r="B70" s="8">
        <v>45978</v>
      </c>
      <c r="C70" s="6">
        <v>283.56</v>
      </c>
      <c r="D70" s="6">
        <v>165.26</v>
      </c>
      <c r="E70" s="12">
        <f t="shared" si="0"/>
        <v>-1.719118258699559E-2</v>
      </c>
      <c r="F70" s="12">
        <f t="shared" si="0"/>
        <v>6.5168402460562547E-3</v>
      </c>
      <c r="I70" s="13">
        <f t="shared" si="1"/>
        <v>-1.3188304209143339E-2</v>
      </c>
    </row>
    <row r="71" spans="2:9" x14ac:dyDescent="0.25">
      <c r="B71" s="5">
        <v>45975</v>
      </c>
      <c r="C71" s="3">
        <v>288.52</v>
      </c>
      <c r="D71" s="3">
        <v>164.19</v>
      </c>
      <c r="E71" s="12">
        <f t="shared" si="0"/>
        <v>-2.9718708963992757E-3</v>
      </c>
      <c r="F71" s="12">
        <f t="shared" si="0"/>
        <v>5.3269654665686339E-3</v>
      </c>
      <c r="I71" s="13">
        <f t="shared" si="1"/>
        <v>-3.855031360212785E-3</v>
      </c>
    </row>
    <row r="72" spans="2:9" x14ac:dyDescent="0.25">
      <c r="B72" s="8">
        <v>45974</v>
      </c>
      <c r="C72" s="6">
        <v>289.38</v>
      </c>
      <c r="D72" s="6">
        <v>163.32</v>
      </c>
      <c r="E72" s="12">
        <f t="shared" si="0"/>
        <v>-3.4337771548703655E-2</v>
      </c>
      <c r="F72" s="12">
        <f t="shared" si="0"/>
        <v>-9.9418040737149216E-3</v>
      </c>
      <c r="I72" s="13">
        <f t="shared" si="1"/>
        <v>-1.7732930690296689E-2</v>
      </c>
    </row>
    <row r="73" spans="2:9" x14ac:dyDescent="0.25">
      <c r="B73" s="5">
        <v>45973</v>
      </c>
      <c r="C73" s="3">
        <v>299.67</v>
      </c>
      <c r="D73" s="3">
        <v>164.96</v>
      </c>
      <c r="E73" s="12">
        <f t="shared" si="0"/>
        <v>1.5314246993054503E-2</v>
      </c>
      <c r="F73" s="12">
        <f t="shared" si="0"/>
        <v>4.9957353478740085E-3</v>
      </c>
      <c r="I73" s="13">
        <f t="shared" si="1"/>
        <v>7.6980036152063114E-3</v>
      </c>
    </row>
    <row r="74" spans="2:9" x14ac:dyDescent="0.25">
      <c r="B74" s="8">
        <v>45972</v>
      </c>
      <c r="C74" s="6">
        <v>295.14999999999998</v>
      </c>
      <c r="D74" s="6">
        <v>164.14</v>
      </c>
      <c r="E74" s="12">
        <f t="shared" si="0"/>
        <v>-2.2682119205298057E-2</v>
      </c>
      <c r="F74" s="12">
        <f t="shared" si="0"/>
        <v>2.8832894571894085E-2</v>
      </c>
      <c r="I74" s="13">
        <f t="shared" si="1"/>
        <v>-2.4988659967771568E-2</v>
      </c>
    </row>
    <row r="75" spans="2:9" x14ac:dyDescent="0.25">
      <c r="B75" s="5">
        <v>45971</v>
      </c>
      <c r="C75" s="3">
        <v>302</v>
      </c>
      <c r="D75" s="3">
        <v>159.54</v>
      </c>
      <c r="E75" s="12">
        <f t="shared" si="0"/>
        <v>2.5884910659691673E-2</v>
      </c>
      <c r="F75" s="12">
        <f t="shared" si="0"/>
        <v>1.1539436976921058E-2</v>
      </c>
      <c r="I75" s="13">
        <f t="shared" si="1"/>
        <v>1.1850780295961899E-2</v>
      </c>
    </row>
    <row r="76" spans="2:9" x14ac:dyDescent="0.25">
      <c r="B76" s="8">
        <v>45968</v>
      </c>
      <c r="C76" s="6">
        <v>294.38</v>
      </c>
      <c r="D76" s="6">
        <v>157.72</v>
      </c>
      <c r="E76" s="12">
        <f t="shared" si="0"/>
        <v>-1.0487394957983232E-2</v>
      </c>
      <c r="F76" s="12">
        <f t="shared" si="0"/>
        <v>-4.4814744682194485E-3</v>
      </c>
      <c r="I76" s="13">
        <f t="shared" si="1"/>
        <v>-4.8740689231572265E-3</v>
      </c>
    </row>
    <row r="77" spans="2:9" x14ac:dyDescent="0.25">
      <c r="B77" s="5">
        <v>45967</v>
      </c>
      <c r="C77" s="3">
        <v>297.5</v>
      </c>
      <c r="D77" s="3">
        <v>158.43</v>
      </c>
      <c r="E77" s="12">
        <f t="shared" si="0"/>
        <v>-2.6090941827348058E-2</v>
      </c>
      <c r="F77" s="12">
        <f t="shared" si="0"/>
        <v>7.5800644305479281E-4</v>
      </c>
      <c r="I77" s="13">
        <f t="shared" si="1"/>
        <v>-1.6591091058238083E-2</v>
      </c>
    </row>
    <row r="78" spans="2:9" x14ac:dyDescent="0.25">
      <c r="B78" s="8">
        <v>45966</v>
      </c>
      <c r="C78" s="6">
        <v>305.47000000000003</v>
      </c>
      <c r="D78" s="6">
        <v>158.31</v>
      </c>
      <c r="E78" s="12">
        <f t="shared" si="0"/>
        <v>3.1087558225882717E-2</v>
      </c>
      <c r="F78" s="12">
        <f t="shared" si="0"/>
        <v>1.4287544848795353E-2</v>
      </c>
      <c r="I78" s="13">
        <f t="shared" si="1"/>
        <v>1.4071894572878441E-2</v>
      </c>
    </row>
    <row r="79" spans="2:9" x14ac:dyDescent="0.25">
      <c r="B79" s="5">
        <v>45965</v>
      </c>
      <c r="C79" s="3">
        <v>296.26</v>
      </c>
      <c r="D79" s="3">
        <v>156.08000000000001</v>
      </c>
      <c r="E79" s="12">
        <f t="shared" ref="E79:F142" si="2">C79/C80-1</f>
        <v>-3.9302159673130554E-2</v>
      </c>
      <c r="F79" s="12">
        <f t="shared" si="2"/>
        <v>-8.7641305728438645E-3</v>
      </c>
      <c r="I79" s="13">
        <f t="shared" ref="I79:I142" si="3">E79*$G$14+F79*$H$14</f>
        <v>-2.1277300830890147E-2</v>
      </c>
    </row>
    <row r="80" spans="2:9" x14ac:dyDescent="0.25">
      <c r="B80" s="8">
        <v>45964</v>
      </c>
      <c r="C80" s="6">
        <v>308.38</v>
      </c>
      <c r="D80" s="6">
        <v>157.46</v>
      </c>
      <c r="E80" s="12">
        <f t="shared" si="2"/>
        <v>5.9696623715543851E-3</v>
      </c>
      <c r="F80" s="12">
        <f t="shared" si="2"/>
        <v>-1.2046680888442629E-2</v>
      </c>
      <c r="I80" s="13">
        <f t="shared" si="3"/>
        <v>8.2485443153874766E-3</v>
      </c>
    </row>
    <row r="81" spans="2:9" x14ac:dyDescent="0.25">
      <c r="B81" s="5">
        <v>45961</v>
      </c>
      <c r="C81" s="3">
        <v>306.55</v>
      </c>
      <c r="D81" s="3">
        <v>159.38</v>
      </c>
      <c r="E81" s="12">
        <f t="shared" si="2"/>
        <v>3.732687207360641E-3</v>
      </c>
      <c r="F81" s="12">
        <f t="shared" si="2"/>
        <v>1.3158731167757898E-2</v>
      </c>
      <c r="I81" s="13">
        <f t="shared" si="3"/>
        <v>-2.6015946833088111E-3</v>
      </c>
    </row>
    <row r="82" spans="2:9" x14ac:dyDescent="0.25">
      <c r="B82" s="8">
        <v>45960</v>
      </c>
      <c r="C82" s="6">
        <v>305.41000000000003</v>
      </c>
      <c r="D82" s="6">
        <v>157.31</v>
      </c>
      <c r="E82" s="12">
        <f t="shared" si="2"/>
        <v>-1.3533591731266115E-2</v>
      </c>
      <c r="F82" s="12">
        <f t="shared" si="2"/>
        <v>2.1660189845194022E-3</v>
      </c>
      <c r="I82" s="13">
        <f t="shared" si="3"/>
        <v>-9.2707519512360975E-3</v>
      </c>
    </row>
    <row r="83" spans="2:9" x14ac:dyDescent="0.25">
      <c r="B83" s="5">
        <v>45959</v>
      </c>
      <c r="C83" s="3">
        <v>309.60000000000002</v>
      </c>
      <c r="D83" s="3">
        <v>156.97</v>
      </c>
      <c r="E83" s="12">
        <f t="shared" si="2"/>
        <v>1.6915749712596684E-2</v>
      </c>
      <c r="F83" s="12">
        <f t="shared" si="2"/>
        <v>-4.3765064061904724E-3</v>
      </c>
      <c r="I83" s="13">
        <f t="shared" si="3"/>
        <v>1.2213533472694355E-2</v>
      </c>
    </row>
    <row r="84" spans="2:9" x14ac:dyDescent="0.25">
      <c r="B84" s="8">
        <v>45958</v>
      </c>
      <c r="C84" s="6">
        <v>304.45</v>
      </c>
      <c r="D84" s="6">
        <v>157.66</v>
      </c>
      <c r="E84" s="12">
        <f t="shared" si="2"/>
        <v>1.2167850565640848E-3</v>
      </c>
      <c r="F84" s="12">
        <f t="shared" si="2"/>
        <v>3.500731971230131E-3</v>
      </c>
      <c r="I84" s="13">
        <f t="shared" si="3"/>
        <v>-5.5228382885874616E-4</v>
      </c>
    </row>
    <row r="85" spans="2:9" x14ac:dyDescent="0.25">
      <c r="B85" s="5">
        <v>45957</v>
      </c>
      <c r="C85" s="3">
        <v>304.08</v>
      </c>
      <c r="D85" s="3">
        <v>157.11000000000001</v>
      </c>
      <c r="E85" s="12">
        <f t="shared" si="2"/>
        <v>2.7783411072804576E-2</v>
      </c>
      <c r="F85" s="12">
        <f t="shared" si="2"/>
        <v>1.2567672080433301E-2</v>
      </c>
      <c r="I85" s="13">
        <f t="shared" si="3"/>
        <v>1.2651754890340372E-2</v>
      </c>
    </row>
    <row r="86" spans="2:9" x14ac:dyDescent="0.25">
      <c r="B86" s="8">
        <v>45954</v>
      </c>
      <c r="C86" s="6">
        <v>295.86</v>
      </c>
      <c r="D86" s="6">
        <v>155.16</v>
      </c>
      <c r="E86" s="12">
        <f t="shared" si="2"/>
        <v>1.64914450628737E-2</v>
      </c>
      <c r="F86" s="12">
        <f t="shared" si="2"/>
        <v>3.7521024712121598E-3</v>
      </c>
      <c r="I86" s="13">
        <f t="shared" si="3"/>
        <v>8.9001147375915024E-3</v>
      </c>
    </row>
    <row r="87" spans="2:9" x14ac:dyDescent="0.25">
      <c r="B87" s="5">
        <v>45953</v>
      </c>
      <c r="C87" s="3">
        <v>291.06</v>
      </c>
      <c r="D87" s="3">
        <v>154.58000000000001</v>
      </c>
      <c r="E87" s="12">
        <f t="shared" si="2"/>
        <v>2.4390243902439046E-2</v>
      </c>
      <c r="F87" s="12">
        <f t="shared" si="2"/>
        <v>4.2879417879420068E-3</v>
      </c>
      <c r="I87" s="13">
        <f t="shared" si="3"/>
        <v>1.3635924268546151E-2</v>
      </c>
    </row>
    <row r="88" spans="2:9" x14ac:dyDescent="0.25">
      <c r="B88" s="8">
        <v>45952</v>
      </c>
      <c r="C88" s="6">
        <v>284.13</v>
      </c>
      <c r="D88" s="6">
        <v>153.91999999999999</v>
      </c>
      <c r="E88" s="12">
        <f t="shared" si="2"/>
        <v>-2.4714241581711427E-2</v>
      </c>
      <c r="F88" s="12">
        <f t="shared" si="2"/>
        <v>-1.3523040440940881E-2</v>
      </c>
      <c r="I88" s="13">
        <f t="shared" si="3"/>
        <v>-1.0375260823216811E-2</v>
      </c>
    </row>
    <row r="89" spans="2:9" x14ac:dyDescent="0.25">
      <c r="B89" s="5">
        <v>45951</v>
      </c>
      <c r="C89" s="3">
        <v>291.33</v>
      </c>
      <c r="D89" s="3">
        <v>156.03</v>
      </c>
      <c r="E89" s="12">
        <f t="shared" si="2"/>
        <v>-5.5978427825376098E-3</v>
      </c>
      <c r="F89" s="12">
        <f t="shared" si="2"/>
        <v>-2.9394849511151788E-3</v>
      </c>
      <c r="I89" s="13">
        <f t="shared" si="3"/>
        <v>-2.3963448824178141E-3</v>
      </c>
    </row>
    <row r="90" spans="2:9" x14ac:dyDescent="0.25">
      <c r="B90" s="8">
        <v>45950</v>
      </c>
      <c r="C90" s="6">
        <v>292.97000000000003</v>
      </c>
      <c r="D90" s="6">
        <v>156.49</v>
      </c>
      <c r="E90" s="12">
        <f t="shared" si="2"/>
        <v>1.6656834507408957E-2</v>
      </c>
      <c r="F90" s="12">
        <f t="shared" si="2"/>
        <v>1.4916661262079245E-2</v>
      </c>
      <c r="I90" s="13">
        <f t="shared" si="3"/>
        <v>4.8167735938508816E-3</v>
      </c>
    </row>
    <row r="91" spans="2:9" x14ac:dyDescent="0.25">
      <c r="B91" s="5">
        <v>45947</v>
      </c>
      <c r="C91" s="3">
        <v>288.17</v>
      </c>
      <c r="D91" s="3">
        <v>154.19</v>
      </c>
      <c r="E91" s="12">
        <f t="shared" si="2"/>
        <v>-2.8029621427088092E-3</v>
      </c>
      <c r="F91" s="12">
        <f t="shared" si="2"/>
        <v>5.0189023595359483E-3</v>
      </c>
      <c r="I91" s="13">
        <f t="shared" si="3"/>
        <v>-3.6339397240189864E-3</v>
      </c>
    </row>
    <row r="92" spans="2:9" x14ac:dyDescent="0.25">
      <c r="B92" s="8">
        <v>45946</v>
      </c>
      <c r="C92" s="6">
        <v>288.98</v>
      </c>
      <c r="D92" s="6">
        <v>153.41999999999999</v>
      </c>
      <c r="E92" s="12">
        <f t="shared" si="2"/>
        <v>4.6586010290641244E-3</v>
      </c>
      <c r="F92" s="12">
        <f t="shared" si="2"/>
        <v>1.9557989438689916E-4</v>
      </c>
      <c r="I92" s="13">
        <f t="shared" si="3"/>
        <v>2.8382831827699906E-3</v>
      </c>
    </row>
    <row r="93" spans="2:9" x14ac:dyDescent="0.25">
      <c r="B93" s="5">
        <v>45945</v>
      </c>
      <c r="C93" s="3">
        <v>287.64</v>
      </c>
      <c r="D93" s="3">
        <v>153.38999999999999</v>
      </c>
      <c r="E93" s="12">
        <f t="shared" si="2"/>
        <v>3.0856897107838011E-2</v>
      </c>
      <c r="F93" s="12">
        <f t="shared" si="2"/>
        <v>1.3679619349722394E-2</v>
      </c>
      <c r="I93" s="13">
        <f t="shared" si="3"/>
        <v>1.4155703436252859E-2</v>
      </c>
    </row>
    <row r="94" spans="2:9" x14ac:dyDescent="0.25">
      <c r="B94" s="8">
        <v>45944</v>
      </c>
      <c r="C94" s="6">
        <v>279.02999999999997</v>
      </c>
      <c r="D94" s="6">
        <v>151.32</v>
      </c>
      <c r="E94" s="12">
        <f t="shared" si="2"/>
        <v>-2.0500579211570336E-2</v>
      </c>
      <c r="F94" s="12">
        <f t="shared" si="2"/>
        <v>2.5175566450243991E-3</v>
      </c>
      <c r="I94" s="13">
        <f t="shared" si="3"/>
        <v>-1.3756945749115609E-2</v>
      </c>
    </row>
    <row r="95" spans="2:9" x14ac:dyDescent="0.25">
      <c r="B95" s="5">
        <v>45943</v>
      </c>
      <c r="C95" s="3">
        <v>284.87</v>
      </c>
      <c r="D95" s="3">
        <v>150.94</v>
      </c>
      <c r="E95" s="12">
        <f t="shared" si="2"/>
        <v>4.7354682157432215E-2</v>
      </c>
      <c r="F95" s="12">
        <f t="shared" si="2"/>
        <v>6.6022007335779787E-3</v>
      </c>
      <c r="I95" s="13">
        <f t="shared" si="3"/>
        <v>2.7120851073303393E-2</v>
      </c>
    </row>
    <row r="96" spans="2:9" x14ac:dyDescent="0.25">
      <c r="B96" s="8">
        <v>45940</v>
      </c>
      <c r="C96" s="6">
        <v>271.99</v>
      </c>
      <c r="D96" s="6">
        <v>149.94999999999999</v>
      </c>
      <c r="E96" s="12">
        <f t="shared" si="2"/>
        <v>-6.2717529894207202E-2</v>
      </c>
      <c r="F96" s="12">
        <f t="shared" si="2"/>
        <v>-1.3811246300559188E-2</v>
      </c>
      <c r="I96" s="13">
        <f t="shared" si="3"/>
        <v>-3.4019238821169806E-2</v>
      </c>
    </row>
    <row r="97" spans="2:9" x14ac:dyDescent="0.25">
      <c r="B97" s="5">
        <v>45939</v>
      </c>
      <c r="C97" s="3">
        <v>290.19</v>
      </c>
      <c r="D97" s="3">
        <v>152.05000000000001</v>
      </c>
      <c r="E97" s="12">
        <f t="shared" si="2"/>
        <v>-4.6305824243672022E-3</v>
      </c>
      <c r="F97" s="12">
        <f t="shared" si="2"/>
        <v>3.947628133429415E-4</v>
      </c>
      <c r="I97" s="13">
        <f t="shared" si="3"/>
        <v>-3.0421500702331045E-3</v>
      </c>
    </row>
    <row r="98" spans="2:9" x14ac:dyDescent="0.25">
      <c r="B98" s="8">
        <v>45938</v>
      </c>
      <c r="C98" s="6">
        <v>291.54000000000002</v>
      </c>
      <c r="D98" s="6">
        <v>151.99</v>
      </c>
      <c r="E98" s="12">
        <f t="shared" si="2"/>
        <v>3.4159838246248686E-2</v>
      </c>
      <c r="F98" s="12">
        <f t="shared" si="2"/>
        <v>1.0034556087187729E-2</v>
      </c>
      <c r="I98" s="13">
        <f t="shared" si="3"/>
        <v>1.758694037121003E-2</v>
      </c>
    </row>
    <row r="99" spans="2:9" x14ac:dyDescent="0.25">
      <c r="B99" s="5">
        <v>45937</v>
      </c>
      <c r="C99" s="3">
        <v>281.91000000000003</v>
      </c>
      <c r="D99" s="3">
        <v>150.47999999999999</v>
      </c>
      <c r="E99" s="12">
        <f t="shared" si="2"/>
        <v>-2.2367873491468959E-2</v>
      </c>
      <c r="F99" s="12">
        <f t="shared" si="2"/>
        <v>-2.6574541589174938E-4</v>
      </c>
      <c r="I99" s="13">
        <f t="shared" si="3"/>
        <v>-1.3880266401208693E-2</v>
      </c>
    </row>
    <row r="100" spans="2:9" x14ac:dyDescent="0.25">
      <c r="B100" s="8">
        <v>45936</v>
      </c>
      <c r="C100" s="6">
        <v>288.36</v>
      </c>
      <c r="D100" s="6">
        <v>150.52000000000001</v>
      </c>
      <c r="E100" s="12">
        <f t="shared" si="2"/>
        <v>3.0004286326618113E-2</v>
      </c>
      <c r="F100" s="12">
        <f t="shared" si="2"/>
        <v>-3.1788079470197461E-3</v>
      </c>
      <c r="I100" s="13">
        <f t="shared" si="3"/>
        <v>1.9944731934268725E-2</v>
      </c>
    </row>
    <row r="101" spans="2:9" x14ac:dyDescent="0.25">
      <c r="B101" s="5">
        <v>45933</v>
      </c>
      <c r="C101" s="3">
        <v>279.95999999999998</v>
      </c>
      <c r="D101" s="3">
        <v>151</v>
      </c>
      <c r="E101" s="12">
        <f t="shared" si="2"/>
        <v>-6.1415030707515639E-3</v>
      </c>
      <c r="F101" s="12">
        <f t="shared" si="2"/>
        <v>9.2233658601790225E-3</v>
      </c>
      <c r="I101" s="13">
        <f t="shared" si="3"/>
        <v>-7.2972016167868609E-3</v>
      </c>
    </row>
    <row r="102" spans="2:9" x14ac:dyDescent="0.25">
      <c r="B102" s="8">
        <v>45932</v>
      </c>
      <c r="C102" s="6">
        <v>281.69</v>
      </c>
      <c r="D102" s="6">
        <v>149.62</v>
      </c>
      <c r="E102" s="12">
        <f t="shared" si="2"/>
        <v>1.9360208438879756E-2</v>
      </c>
      <c r="F102" s="12">
        <f t="shared" si="2"/>
        <v>7.4742441586426178E-3</v>
      </c>
      <c r="I102" s="13">
        <f t="shared" si="3"/>
        <v>9.2972887148088657E-3</v>
      </c>
    </row>
    <row r="103" spans="2:9" x14ac:dyDescent="0.25">
      <c r="B103" s="5">
        <v>45931</v>
      </c>
      <c r="C103" s="3">
        <v>276.33999999999997</v>
      </c>
      <c r="D103" s="3">
        <v>148.51</v>
      </c>
      <c r="E103" s="12">
        <f t="shared" si="2"/>
        <v>1.9253467099439314E-2</v>
      </c>
      <c r="F103" s="12">
        <f t="shared" si="2"/>
        <v>2.8676317794555484E-2</v>
      </c>
      <c r="I103" s="13">
        <f t="shared" si="3"/>
        <v>1.279797764191265E-3</v>
      </c>
    </row>
    <row r="104" spans="2:9" x14ac:dyDescent="0.25">
      <c r="B104" s="8">
        <v>45930</v>
      </c>
      <c r="C104" s="6">
        <v>271.12</v>
      </c>
      <c r="D104" s="6">
        <v>144.37</v>
      </c>
      <c r="E104" s="12">
        <f t="shared" si="2"/>
        <v>8.1433830364778803E-3</v>
      </c>
      <c r="F104" s="12">
        <f t="shared" si="2"/>
        <v>1.3763078435503173E-2</v>
      </c>
      <c r="I104" s="13">
        <f t="shared" si="3"/>
        <v>-7.1540015515014765E-5</v>
      </c>
    </row>
    <row r="105" spans="2:9" x14ac:dyDescent="0.25">
      <c r="B105" s="5">
        <v>45929</v>
      </c>
      <c r="C105" s="3">
        <v>268.93</v>
      </c>
      <c r="D105" s="3">
        <v>142.41</v>
      </c>
      <c r="E105" s="12">
        <f t="shared" si="2"/>
        <v>3.7198229364299173E-4</v>
      </c>
      <c r="F105" s="12">
        <f t="shared" si="2"/>
        <v>1.0286606129398246E-2</v>
      </c>
      <c r="I105" s="13">
        <f t="shared" si="3"/>
        <v>-3.6249883649974723E-3</v>
      </c>
    </row>
    <row r="106" spans="2:9" x14ac:dyDescent="0.25">
      <c r="B106" s="8">
        <v>45926</v>
      </c>
      <c r="C106" s="6">
        <v>268.83</v>
      </c>
      <c r="D106" s="6">
        <v>140.96</v>
      </c>
      <c r="E106" s="12">
        <f t="shared" si="2"/>
        <v>2.1995228153890434E-3</v>
      </c>
      <c r="F106" s="12">
        <f t="shared" si="2"/>
        <v>1.3590278277126666E-2</v>
      </c>
      <c r="I106" s="13">
        <f t="shared" si="3"/>
        <v>-3.7216525943043477E-3</v>
      </c>
    </row>
    <row r="107" spans="2:9" x14ac:dyDescent="0.25">
      <c r="B107" s="5">
        <v>45925</v>
      </c>
      <c r="C107" s="3">
        <v>268.24</v>
      </c>
      <c r="D107" s="3">
        <v>139.07</v>
      </c>
      <c r="E107" s="12">
        <f t="shared" si="2"/>
        <v>-3.1958379784466917E-3</v>
      </c>
      <c r="F107" s="12">
        <f t="shared" si="2"/>
        <v>-1.8144591923185516E-2</v>
      </c>
      <c r="I107" s="13">
        <f t="shared" si="3"/>
        <v>4.8068232346653861E-3</v>
      </c>
    </row>
    <row r="108" spans="2:9" x14ac:dyDescent="0.25">
      <c r="B108" s="8">
        <v>45924</v>
      </c>
      <c r="C108" s="6">
        <v>269.10000000000002</v>
      </c>
      <c r="D108" s="6">
        <v>141.63999999999999</v>
      </c>
      <c r="E108" s="12">
        <f t="shared" si="2"/>
        <v>-1.5212793588362805E-3</v>
      </c>
      <c r="F108" s="12">
        <f t="shared" si="2"/>
        <v>-5.9653309004141786E-3</v>
      </c>
      <c r="I108" s="13">
        <f t="shared" si="3"/>
        <v>1.2861994883826416E-3</v>
      </c>
    </row>
    <row r="109" spans="2:9" x14ac:dyDescent="0.25">
      <c r="B109" s="5">
        <v>45923</v>
      </c>
      <c r="C109" s="3">
        <v>269.51</v>
      </c>
      <c r="D109" s="3">
        <v>142.49</v>
      </c>
      <c r="E109" s="12">
        <f t="shared" si="2"/>
        <v>-1.1859318830373944E-3</v>
      </c>
      <c r="F109" s="12">
        <f t="shared" si="2"/>
        <v>-6.4151732794085481E-3</v>
      </c>
      <c r="I109" s="13">
        <f t="shared" si="3"/>
        <v>1.664482552879834E-3</v>
      </c>
    </row>
    <row r="110" spans="2:9" x14ac:dyDescent="0.25">
      <c r="B110" s="8">
        <v>45922</v>
      </c>
      <c r="C110" s="6">
        <v>269.83</v>
      </c>
      <c r="D110" s="6">
        <v>143.41</v>
      </c>
      <c r="E110" s="12">
        <f t="shared" si="2"/>
        <v>1.4932671330775582E-2</v>
      </c>
      <c r="F110" s="12">
        <f t="shared" si="2"/>
        <v>4.8346412556052876E-3</v>
      </c>
      <c r="I110" s="13">
        <f t="shared" si="3"/>
        <v>7.519929110882756E-3</v>
      </c>
    </row>
    <row r="111" spans="2:9" x14ac:dyDescent="0.25">
      <c r="B111" s="5">
        <v>45919</v>
      </c>
      <c r="C111" s="3">
        <v>265.86</v>
      </c>
      <c r="D111" s="3">
        <v>142.72</v>
      </c>
      <c r="E111" s="12">
        <f t="shared" si="2"/>
        <v>-6.3908509922636636E-3</v>
      </c>
      <c r="F111" s="12">
        <f t="shared" si="2"/>
        <v>-6.3357237345957884E-3</v>
      </c>
      <c r="I111" s="13">
        <f t="shared" si="3"/>
        <v>-1.6183854696913691E-3</v>
      </c>
    </row>
    <row r="112" spans="2:9" x14ac:dyDescent="0.25">
      <c r="B112" s="8">
        <v>45918</v>
      </c>
      <c r="C112" s="6">
        <v>267.57</v>
      </c>
      <c r="D112" s="6">
        <v>143.63</v>
      </c>
      <c r="E112" s="12">
        <f t="shared" si="2"/>
        <v>3.4966928402893283E-2</v>
      </c>
      <c r="F112" s="12">
        <f t="shared" si="2"/>
        <v>1.8652482269503556E-2</v>
      </c>
      <c r="I112" s="13">
        <f t="shared" si="3"/>
        <v>1.4859649400744468E-2</v>
      </c>
    </row>
    <row r="113" spans="2:9" x14ac:dyDescent="0.25">
      <c r="B113" s="5">
        <v>45917</v>
      </c>
      <c r="C113" s="3">
        <v>258.52999999999997</v>
      </c>
      <c r="D113" s="3">
        <v>141</v>
      </c>
      <c r="E113" s="12">
        <f t="shared" si="2"/>
        <v>-1.9336375589762422E-4</v>
      </c>
      <c r="F113" s="12">
        <f t="shared" si="2"/>
        <v>4.2571306939120923E-4</v>
      </c>
      <c r="I113" s="13">
        <f t="shared" si="3"/>
        <v>-2.804947484577186E-4</v>
      </c>
    </row>
    <row r="114" spans="2:9" x14ac:dyDescent="0.25">
      <c r="B114" s="8">
        <v>45916</v>
      </c>
      <c r="C114" s="6">
        <v>258.58</v>
      </c>
      <c r="D114" s="6">
        <v>140.94</v>
      </c>
      <c r="E114" s="12">
        <f t="shared" si="2"/>
        <v>3.0256012412721578E-3</v>
      </c>
      <c r="F114" s="12">
        <f t="shared" si="2"/>
        <v>1.5633882888004269E-3</v>
      </c>
      <c r="I114" s="13">
        <f t="shared" si="3"/>
        <v>1.3047301674949385E-3</v>
      </c>
    </row>
    <row r="115" spans="2:9" x14ac:dyDescent="0.25">
      <c r="B115" s="5">
        <v>45915</v>
      </c>
      <c r="C115" s="3">
        <v>257.8</v>
      </c>
      <c r="D115" s="3">
        <v>140.72</v>
      </c>
      <c r="E115" s="12">
        <f t="shared" si="2"/>
        <v>8.4493819433579809E-3</v>
      </c>
      <c r="F115" s="12">
        <f t="shared" si="2"/>
        <v>-1.8442332245708348E-3</v>
      </c>
      <c r="I115" s="13">
        <f t="shared" si="3"/>
        <v>5.9724511738128011E-3</v>
      </c>
    </row>
    <row r="116" spans="2:9" x14ac:dyDescent="0.25">
      <c r="B116" s="8">
        <v>45912</v>
      </c>
      <c r="C116" s="6">
        <v>255.64</v>
      </c>
      <c r="D116" s="6">
        <v>140.97999999999999</v>
      </c>
      <c r="E116" s="12">
        <f t="shared" si="2"/>
        <v>1.7633919824444622E-3</v>
      </c>
      <c r="F116" s="12">
        <f t="shared" si="2"/>
        <v>-1.9610570236439639E-2</v>
      </c>
      <c r="I116" s="13">
        <f t="shared" si="3"/>
        <v>8.4560838276926537E-3</v>
      </c>
    </row>
    <row r="117" spans="2:9" x14ac:dyDescent="0.25">
      <c r="B117" s="5">
        <v>45911</v>
      </c>
      <c r="C117" s="3">
        <v>255.19</v>
      </c>
      <c r="D117" s="3">
        <v>143.80000000000001</v>
      </c>
      <c r="E117" s="12">
        <f t="shared" si="2"/>
        <v>6.865259420004044E-3</v>
      </c>
      <c r="F117" s="12">
        <f t="shared" si="2"/>
        <v>2.2396018485602687E-2</v>
      </c>
      <c r="I117" s="13">
        <f t="shared" si="3"/>
        <v>-4.10771979459848E-3</v>
      </c>
    </row>
    <row r="118" spans="2:9" x14ac:dyDescent="0.25">
      <c r="B118" s="8">
        <v>45910</v>
      </c>
      <c r="C118" s="6">
        <v>253.45</v>
      </c>
      <c r="D118" s="6">
        <v>140.65</v>
      </c>
      <c r="E118" s="12">
        <f t="shared" si="2"/>
        <v>1.7626274793222541E-2</v>
      </c>
      <c r="F118" s="12">
        <f t="shared" si="2"/>
        <v>-1.6020707989366167E-2</v>
      </c>
      <c r="I118" s="13">
        <f t="shared" si="3"/>
        <v>1.7024187241776401E-2</v>
      </c>
    </row>
    <row r="119" spans="2:9" x14ac:dyDescent="0.25">
      <c r="B119" s="5">
        <v>45909</v>
      </c>
      <c r="C119" s="3">
        <v>249.06</v>
      </c>
      <c r="D119" s="3">
        <v>142.94</v>
      </c>
      <c r="E119" s="12">
        <f t="shared" si="2"/>
        <v>8.438818565401629E-4</v>
      </c>
      <c r="F119" s="12">
        <f t="shared" si="2"/>
        <v>5.1332536389845362E-3</v>
      </c>
      <c r="I119" s="13">
        <f t="shared" si="3"/>
        <v>-1.3975439542815993E-3</v>
      </c>
    </row>
    <row r="120" spans="2:9" x14ac:dyDescent="0.25">
      <c r="B120" s="8">
        <v>45908</v>
      </c>
      <c r="C120" s="6">
        <v>248.85</v>
      </c>
      <c r="D120" s="6">
        <v>142.21</v>
      </c>
      <c r="E120" s="12">
        <f t="shared" si="2"/>
        <v>7.2859744990891873E-3</v>
      </c>
      <c r="F120" s="12">
        <f t="shared" si="2"/>
        <v>-6.3583007266628799E-3</v>
      </c>
      <c r="I120" s="13">
        <f t="shared" si="3"/>
        <v>6.938096834429322E-3</v>
      </c>
    </row>
    <row r="121" spans="2:9" x14ac:dyDescent="0.25">
      <c r="B121" s="5">
        <v>45905</v>
      </c>
      <c r="C121" s="3">
        <v>247.05</v>
      </c>
      <c r="D121" s="3">
        <v>143.12</v>
      </c>
      <c r="E121" s="12">
        <f t="shared" si="2"/>
        <v>1.179506081828241E-2</v>
      </c>
      <c r="F121" s="12">
        <f t="shared" si="2"/>
        <v>1.9736373352333469E-2</v>
      </c>
      <c r="I121" s="13">
        <f t="shared" si="3"/>
        <v>-2.92269956985447E-5</v>
      </c>
    </row>
    <row r="122" spans="2:9" x14ac:dyDescent="0.25">
      <c r="B122" s="8">
        <v>45904</v>
      </c>
      <c r="C122" s="6">
        <v>244.17</v>
      </c>
      <c r="D122" s="6">
        <v>140.35</v>
      </c>
      <c r="E122" s="12">
        <f t="shared" si="2"/>
        <v>1.0302879841112222E-2</v>
      </c>
      <c r="F122" s="12">
        <f t="shared" si="2"/>
        <v>-7.1245369051120555E-5</v>
      </c>
      <c r="I122" s="13">
        <f t="shared" si="3"/>
        <v>6.4660169140893092E-3</v>
      </c>
    </row>
    <row r="123" spans="2:9" x14ac:dyDescent="0.25">
      <c r="B123" s="5">
        <v>45903</v>
      </c>
      <c r="C123" s="3">
        <v>241.68</v>
      </c>
      <c r="D123" s="3">
        <v>140.36000000000001</v>
      </c>
      <c r="E123" s="12">
        <f t="shared" si="2"/>
        <v>-4.7358234155582268E-3</v>
      </c>
      <c r="F123" s="12">
        <f t="shared" si="2"/>
        <v>-3.5609999287788963E-4</v>
      </c>
      <c r="I123" s="13">
        <f t="shared" si="3"/>
        <v>-2.8263521373946832E-3</v>
      </c>
    </row>
    <row r="124" spans="2:9" x14ac:dyDescent="0.25">
      <c r="B124" s="8">
        <v>45902</v>
      </c>
      <c r="C124" s="6">
        <v>242.83</v>
      </c>
      <c r="D124" s="6">
        <v>140.41</v>
      </c>
      <c r="E124" s="12">
        <f t="shared" si="2"/>
        <v>-1.0150008152616907E-2</v>
      </c>
      <c r="F124" s="12">
        <f t="shared" si="2"/>
        <v>1.5844306178555811E-2</v>
      </c>
      <c r="I124" s="13">
        <f t="shared" si="3"/>
        <v>-1.2285369912343996E-2</v>
      </c>
    </row>
    <row r="125" spans="2:9" x14ac:dyDescent="0.25">
      <c r="B125" s="5">
        <v>45898</v>
      </c>
      <c r="C125" s="3">
        <v>245.32</v>
      </c>
      <c r="D125" s="3">
        <v>138.22</v>
      </c>
      <c r="E125" s="12">
        <f t="shared" si="2"/>
        <v>-2.8627994456543293E-2</v>
      </c>
      <c r="F125" s="12">
        <f t="shared" si="2"/>
        <v>7.2353664713142862E-5</v>
      </c>
      <c r="I125" s="13">
        <f t="shared" si="3"/>
        <v>-1.7919629159606987E-2</v>
      </c>
    </row>
    <row r="126" spans="2:9" x14ac:dyDescent="0.25">
      <c r="B126" s="8">
        <v>45897</v>
      </c>
      <c r="C126" s="6">
        <v>252.55</v>
      </c>
      <c r="D126" s="6">
        <v>138.21</v>
      </c>
      <c r="E126" s="12">
        <f t="shared" si="2"/>
        <v>4.8141959099228249E-3</v>
      </c>
      <c r="F126" s="12">
        <f t="shared" si="2"/>
        <v>-2.7419005700266563E-3</v>
      </c>
      <c r="I126" s="13">
        <f t="shared" si="3"/>
        <v>4.0370851574617617E-3</v>
      </c>
    </row>
    <row r="127" spans="2:9" x14ac:dyDescent="0.25">
      <c r="B127" s="5">
        <v>45896</v>
      </c>
      <c r="C127" s="3">
        <v>251.34</v>
      </c>
      <c r="D127" s="3">
        <v>138.59</v>
      </c>
      <c r="E127" s="12">
        <f t="shared" si="2"/>
        <v>1.9533585808251264E-3</v>
      </c>
      <c r="F127" s="12">
        <f t="shared" si="2"/>
        <v>8.6661370694018913E-4</v>
      </c>
      <c r="I127" s="13">
        <f t="shared" si="3"/>
        <v>8.9586897291313305E-4</v>
      </c>
    </row>
    <row r="128" spans="2:9" x14ac:dyDescent="0.25">
      <c r="B128" s="8">
        <v>45895</v>
      </c>
      <c r="C128" s="6">
        <v>250.85</v>
      </c>
      <c r="D128" s="6">
        <v>138.47</v>
      </c>
      <c r="E128" s="12">
        <f t="shared" si="2"/>
        <v>9.4161200756508467E-3</v>
      </c>
      <c r="F128" s="12">
        <f t="shared" si="2"/>
        <v>1.0213759393010946E-2</v>
      </c>
      <c r="I128" s="13">
        <f t="shared" si="3"/>
        <v>2.0549152749026744E-3</v>
      </c>
    </row>
    <row r="129" spans="2:9" x14ac:dyDescent="0.25">
      <c r="B129" s="5">
        <v>45894</v>
      </c>
      <c r="C129" s="3">
        <v>248.51</v>
      </c>
      <c r="D129" s="3">
        <v>137.07</v>
      </c>
      <c r="E129" s="12">
        <f t="shared" si="2"/>
        <v>-2.3284756513710647E-3</v>
      </c>
      <c r="F129" s="12">
        <f t="shared" si="2"/>
        <v>-1.9808352402746032E-2</v>
      </c>
      <c r="I129" s="13">
        <f t="shared" si="3"/>
        <v>5.9728348689228467E-3</v>
      </c>
    </row>
    <row r="130" spans="2:9" x14ac:dyDescent="0.25">
      <c r="B130" s="8">
        <v>45891</v>
      </c>
      <c r="C130" s="6">
        <v>249.09</v>
      </c>
      <c r="D130" s="6">
        <v>139.84</v>
      </c>
      <c r="E130" s="12">
        <f t="shared" si="2"/>
        <v>2.7768608681300488E-2</v>
      </c>
      <c r="F130" s="12">
        <f t="shared" si="2"/>
        <v>7.7832228307870288E-3</v>
      </c>
      <c r="I130" s="13">
        <f t="shared" si="3"/>
        <v>1.4436671864267669E-2</v>
      </c>
    </row>
    <row r="131" spans="2:9" x14ac:dyDescent="0.25">
      <c r="B131" s="5">
        <v>45890</v>
      </c>
      <c r="C131" s="3">
        <v>242.36</v>
      </c>
      <c r="D131" s="3">
        <v>138.76</v>
      </c>
      <c r="E131" s="12">
        <f t="shared" si="2"/>
        <v>-5.6617707393123995E-3</v>
      </c>
      <c r="F131" s="12">
        <f t="shared" si="2"/>
        <v>2.4562924432884881E-3</v>
      </c>
      <c r="I131" s="13">
        <f t="shared" si="3"/>
        <v>-4.4597163783034327E-3</v>
      </c>
    </row>
    <row r="132" spans="2:9" x14ac:dyDescent="0.25">
      <c r="B132" s="8">
        <v>45889</v>
      </c>
      <c r="C132" s="6">
        <v>243.74</v>
      </c>
      <c r="D132" s="6">
        <v>138.41999999999999</v>
      </c>
      <c r="E132" s="12">
        <f t="shared" si="2"/>
        <v>-5.7515806648990031E-3</v>
      </c>
      <c r="F132" s="12">
        <f t="shared" si="2"/>
        <v>3.8436434839363987E-3</v>
      </c>
      <c r="I132" s="13">
        <f t="shared" si="3"/>
        <v>-5.0361042220380264E-3</v>
      </c>
    </row>
    <row r="133" spans="2:9" x14ac:dyDescent="0.25">
      <c r="B133" s="5">
        <v>45888</v>
      </c>
      <c r="C133" s="3">
        <v>245.15</v>
      </c>
      <c r="D133" s="3">
        <v>137.88999999999999</v>
      </c>
      <c r="E133" s="12">
        <f t="shared" si="2"/>
        <v>-1.5659506123268496E-2</v>
      </c>
      <c r="F133" s="12">
        <f t="shared" si="2"/>
        <v>-3.5409741292095065E-3</v>
      </c>
      <c r="I133" s="13">
        <f t="shared" si="3"/>
        <v>-8.4593260285892452E-3</v>
      </c>
    </row>
    <row r="134" spans="2:9" x14ac:dyDescent="0.25">
      <c r="B134" s="8">
        <v>45887</v>
      </c>
      <c r="C134" s="6">
        <v>249.05</v>
      </c>
      <c r="D134" s="6">
        <v>138.38</v>
      </c>
      <c r="E134" s="12">
        <f t="shared" si="2"/>
        <v>2.9397551546392897E-3</v>
      </c>
      <c r="F134" s="12">
        <f t="shared" si="2"/>
        <v>-2.7385413663879588E-3</v>
      </c>
      <c r="I134" s="13">
        <f t="shared" si="3"/>
        <v>2.8642999840450406E-3</v>
      </c>
    </row>
    <row r="135" spans="2:9" x14ac:dyDescent="0.25">
      <c r="B135" s="5">
        <v>45884</v>
      </c>
      <c r="C135" s="3">
        <v>248.32</v>
      </c>
      <c r="D135" s="3">
        <v>138.76</v>
      </c>
      <c r="E135" s="12">
        <f t="shared" si="2"/>
        <v>-2.2900763358778553E-2</v>
      </c>
      <c r="F135" s="12">
        <f t="shared" si="2"/>
        <v>1.0854520288482439E-2</v>
      </c>
      <c r="I135" s="13">
        <f t="shared" si="3"/>
        <v>-1.838342220741751E-2</v>
      </c>
    </row>
    <row r="136" spans="2:9" x14ac:dyDescent="0.25">
      <c r="B136" s="8">
        <v>45883</v>
      </c>
      <c r="C136" s="6">
        <v>254.14</v>
      </c>
      <c r="D136" s="6">
        <v>137.27000000000001</v>
      </c>
      <c r="E136" s="12">
        <f t="shared" si="2"/>
        <v>1.0241058767921363E-3</v>
      </c>
      <c r="F136" s="12">
        <f t="shared" si="2"/>
        <v>1.2399708242161189E-3</v>
      </c>
      <c r="I136" s="13">
        <f t="shared" si="3"/>
        <v>1.7507711391404057E-4</v>
      </c>
    </row>
    <row r="137" spans="2:9" x14ac:dyDescent="0.25">
      <c r="B137" s="5">
        <v>45882</v>
      </c>
      <c r="C137" s="3">
        <v>253.88</v>
      </c>
      <c r="D137" s="3">
        <v>137.1</v>
      </c>
      <c r="E137" s="12">
        <f t="shared" si="2"/>
        <v>1.4870482890949832E-2</v>
      </c>
      <c r="F137" s="12">
        <f t="shared" si="2"/>
        <v>2.3134328358208833E-2</v>
      </c>
      <c r="I137" s="13">
        <f t="shared" si="3"/>
        <v>6.1867867251533259E-4</v>
      </c>
    </row>
    <row r="138" spans="2:9" x14ac:dyDescent="0.25">
      <c r="B138" s="8">
        <v>45881</v>
      </c>
      <c r="C138" s="6">
        <v>250.16</v>
      </c>
      <c r="D138" s="6">
        <v>134</v>
      </c>
      <c r="E138" s="12">
        <f t="shared" si="2"/>
        <v>3.1970628274411217E-2</v>
      </c>
      <c r="F138" s="12">
        <f t="shared" si="2"/>
        <v>1.7155002277212672E-2</v>
      </c>
      <c r="I138" s="13">
        <f t="shared" si="3"/>
        <v>1.3548516817552259E-2</v>
      </c>
    </row>
    <row r="139" spans="2:9" x14ac:dyDescent="0.25">
      <c r="B139" s="5">
        <v>45880</v>
      </c>
      <c r="C139" s="3">
        <v>242.41</v>
      </c>
      <c r="D139" s="3">
        <v>131.74</v>
      </c>
      <c r="E139" s="12">
        <f t="shared" si="2"/>
        <v>-1.8940173755507272E-3</v>
      </c>
      <c r="F139" s="12">
        <f t="shared" si="2"/>
        <v>-2.27203877612836E-3</v>
      </c>
      <c r="I139" s="13">
        <f t="shared" si="3"/>
        <v>-3.3174631867106952E-4</v>
      </c>
    </row>
    <row r="140" spans="2:9" x14ac:dyDescent="0.25">
      <c r="B140" s="8">
        <v>45877</v>
      </c>
      <c r="C140" s="6">
        <v>242.87</v>
      </c>
      <c r="D140" s="6">
        <v>132.04</v>
      </c>
      <c r="E140" s="12">
        <f t="shared" si="2"/>
        <v>8.4288324198638076E-3</v>
      </c>
      <c r="F140" s="12">
        <f t="shared" si="2"/>
        <v>6.1723691229140787E-3</v>
      </c>
      <c r="I140" s="13">
        <f t="shared" si="3"/>
        <v>2.9533818413221002E-3</v>
      </c>
    </row>
    <row r="141" spans="2:9" x14ac:dyDescent="0.25">
      <c r="B141" s="5">
        <v>45876</v>
      </c>
      <c r="C141" s="3">
        <v>240.84</v>
      </c>
      <c r="D141" s="3">
        <v>131.22999999999999</v>
      </c>
      <c r="E141" s="12">
        <f t="shared" si="2"/>
        <v>1.6502764529607861E-2</v>
      </c>
      <c r="F141" s="12">
        <f t="shared" si="2"/>
        <v>-1.9773366795955427E-3</v>
      </c>
      <c r="I141" s="13">
        <f t="shared" si="3"/>
        <v>1.1055729085853241E-2</v>
      </c>
    </row>
    <row r="142" spans="2:9" x14ac:dyDescent="0.25">
      <c r="B142" s="8">
        <v>45875</v>
      </c>
      <c r="C142" s="6">
        <v>236.93</v>
      </c>
      <c r="D142" s="6">
        <v>131.49</v>
      </c>
      <c r="E142" s="12">
        <f t="shared" si="2"/>
        <v>-7.539898630251729E-3</v>
      </c>
      <c r="F142" s="12">
        <f t="shared" si="2"/>
        <v>-1.4391724758263891E-2</v>
      </c>
      <c r="I142" s="13">
        <f t="shared" si="3"/>
        <v>6.844601404416284E-4</v>
      </c>
    </row>
    <row r="143" spans="2:9" x14ac:dyDescent="0.25">
      <c r="B143" s="5">
        <v>45874</v>
      </c>
      <c r="C143" s="3">
        <v>238.73</v>
      </c>
      <c r="D143" s="3">
        <v>133.41</v>
      </c>
      <c r="E143" s="12">
        <f t="shared" ref="E143:F206" si="4">C143/C144-1</f>
        <v>-6.9467554076539928E-3</v>
      </c>
      <c r="F143" s="12">
        <f t="shared" si="4"/>
        <v>-1.4478835783408472E-2</v>
      </c>
      <c r="I143" s="13">
        <f t="shared" ref="I143:I206" si="5">E143*$G$14+F143*$H$14</f>
        <v>1.0878412889944317E-3</v>
      </c>
    </row>
    <row r="144" spans="2:9" x14ac:dyDescent="0.25">
      <c r="B144" s="8">
        <v>45873</v>
      </c>
      <c r="C144" s="6">
        <v>240.4</v>
      </c>
      <c r="D144" s="6">
        <v>135.37</v>
      </c>
      <c r="E144" s="12">
        <f t="shared" si="4"/>
        <v>1.3319844882819121E-2</v>
      </c>
      <c r="F144" s="12">
        <f t="shared" si="4"/>
        <v>1.7513529765484259E-2</v>
      </c>
      <c r="I144" s="13">
        <f t="shared" si="5"/>
        <v>1.7573293897053532E-3</v>
      </c>
    </row>
    <row r="145" spans="2:9" x14ac:dyDescent="0.25">
      <c r="B145" s="5">
        <v>45870</v>
      </c>
      <c r="C145" s="3">
        <v>237.24</v>
      </c>
      <c r="D145" s="3">
        <v>133.04</v>
      </c>
      <c r="E145" s="12">
        <f t="shared" si="4"/>
        <v>-1.1623547056617944E-2</v>
      </c>
      <c r="F145" s="12">
        <f t="shared" si="4"/>
        <v>2.1090689966858367E-3</v>
      </c>
      <c r="I145" s="13">
        <f t="shared" si="5"/>
        <v>-8.055617784143404E-3</v>
      </c>
    </row>
    <row r="146" spans="2:9" x14ac:dyDescent="0.25">
      <c r="B146" s="8">
        <v>45869</v>
      </c>
      <c r="C146" s="6">
        <v>240.03</v>
      </c>
      <c r="D146" s="6">
        <v>132.76</v>
      </c>
      <c r="E146" s="12">
        <f t="shared" si="4"/>
        <v>-3.1941923774954528E-2</v>
      </c>
      <c r="F146" s="12">
        <f t="shared" si="4"/>
        <v>-7.0306656694091307E-3</v>
      </c>
      <c r="I146" s="13">
        <f t="shared" si="5"/>
        <v>-1.7327202733318156E-2</v>
      </c>
    </row>
    <row r="147" spans="2:9" x14ac:dyDescent="0.25">
      <c r="B147" s="5">
        <v>45868</v>
      </c>
      <c r="C147" s="3">
        <v>247.95</v>
      </c>
      <c r="D147" s="3">
        <v>133.69999999999999</v>
      </c>
      <c r="E147" s="12">
        <f t="shared" si="4"/>
        <v>7.1489499979691118E-3</v>
      </c>
      <c r="F147" s="12">
        <f t="shared" si="4"/>
        <v>-1.1952786493353296E-3</v>
      </c>
      <c r="I147" s="13">
        <f t="shared" si="5"/>
        <v>4.9163232422314435E-3</v>
      </c>
    </row>
    <row r="148" spans="2:9" x14ac:dyDescent="0.25">
      <c r="B148" s="8">
        <v>45867</v>
      </c>
      <c r="C148" s="6">
        <v>246.19</v>
      </c>
      <c r="D148" s="6">
        <v>133.86000000000001</v>
      </c>
      <c r="E148" s="12">
        <f t="shared" si="4"/>
        <v>1.7904374364190456E-3</v>
      </c>
      <c r="F148" s="12">
        <f t="shared" si="4"/>
        <v>-1.8641413764819426E-3</v>
      </c>
      <c r="I148" s="13">
        <f t="shared" si="5"/>
        <v>1.818076413942632E-3</v>
      </c>
    </row>
    <row r="149" spans="2:9" x14ac:dyDescent="0.25">
      <c r="B149" s="5">
        <v>45866</v>
      </c>
      <c r="C149" s="3">
        <v>245.75</v>
      </c>
      <c r="D149" s="3">
        <v>134.11000000000001</v>
      </c>
      <c r="E149" s="12">
        <f t="shared" si="4"/>
        <v>1.7429825287736955E-2</v>
      </c>
      <c r="F149" s="12">
        <f t="shared" si="4"/>
        <v>-1.0258302583025736E-2</v>
      </c>
      <c r="I149" s="13">
        <f t="shared" si="5"/>
        <v>1.4740504273470248E-2</v>
      </c>
    </row>
    <row r="150" spans="2:9" x14ac:dyDescent="0.25">
      <c r="B150" s="8">
        <v>45863</v>
      </c>
      <c r="C150" s="6">
        <v>241.54</v>
      </c>
      <c r="D150" s="6">
        <v>135.5</v>
      </c>
      <c r="E150" s="12">
        <f t="shared" si="4"/>
        <v>-8.2795164762394791E-5</v>
      </c>
      <c r="F150" s="12">
        <f t="shared" si="4"/>
        <v>5.1687218489249176E-4</v>
      </c>
      <c r="I150" s="13">
        <f t="shared" si="5"/>
        <v>-2.4557404731118115E-4</v>
      </c>
    </row>
    <row r="151" spans="2:9" x14ac:dyDescent="0.25">
      <c r="B151" s="5">
        <v>45862</v>
      </c>
      <c r="C151" s="3">
        <v>241.56</v>
      </c>
      <c r="D151" s="3">
        <v>135.43</v>
      </c>
      <c r="E151" s="12">
        <f t="shared" si="4"/>
        <v>-2.0656035693629171E-3</v>
      </c>
      <c r="F151" s="12">
        <f t="shared" si="4"/>
        <v>1.4769957905635955E-4</v>
      </c>
      <c r="I151" s="13">
        <f t="shared" si="5"/>
        <v>-1.346389572997958E-3</v>
      </c>
    </row>
    <row r="152" spans="2:9" x14ac:dyDescent="0.25">
      <c r="B152" s="8">
        <v>45861</v>
      </c>
      <c r="C152" s="6">
        <v>242.06</v>
      </c>
      <c r="D152" s="6">
        <v>135.41</v>
      </c>
      <c r="E152" s="12">
        <f t="shared" si="4"/>
        <v>-6.0770304672743691E-3</v>
      </c>
      <c r="F152" s="12">
        <f t="shared" si="4"/>
        <v>1.9346582354712316E-2</v>
      </c>
      <c r="I152" s="13">
        <f t="shared" si="5"/>
        <v>-1.1053112425063599E-2</v>
      </c>
    </row>
    <row r="153" spans="2:9" x14ac:dyDescent="0.25">
      <c r="B153" s="5">
        <v>45860</v>
      </c>
      <c r="C153" s="3">
        <v>243.54</v>
      </c>
      <c r="D153" s="3">
        <v>132.84</v>
      </c>
      <c r="E153" s="12">
        <f t="shared" si="4"/>
        <v>-1.38084632516704E-2</v>
      </c>
      <c r="F153" s="12">
        <f t="shared" si="4"/>
        <v>2.8730736467126317E-2</v>
      </c>
      <c r="I153" s="13">
        <f t="shared" si="5"/>
        <v>-1.9404315707466369E-2</v>
      </c>
    </row>
    <row r="154" spans="2:9" x14ac:dyDescent="0.25">
      <c r="B154" s="8">
        <v>45859</v>
      </c>
      <c r="C154" s="6">
        <v>246.95</v>
      </c>
      <c r="D154" s="6">
        <v>129.13</v>
      </c>
      <c r="E154" s="12">
        <f t="shared" si="4"/>
        <v>8.9166295140441498E-4</v>
      </c>
      <c r="F154" s="12">
        <f t="shared" si="4"/>
        <v>-4.6249903646033985E-3</v>
      </c>
      <c r="I154" s="13">
        <f t="shared" si="5"/>
        <v>2.2916607313540338E-3</v>
      </c>
    </row>
    <row r="155" spans="2:9" x14ac:dyDescent="0.25">
      <c r="B155" s="5">
        <v>45856</v>
      </c>
      <c r="C155" s="3">
        <v>246.73</v>
      </c>
      <c r="D155" s="3">
        <v>129.72999999999999</v>
      </c>
      <c r="E155" s="12">
        <f t="shared" si="4"/>
        <v>8.1126029286493484E-4</v>
      </c>
      <c r="F155" s="12">
        <f t="shared" si="4"/>
        <v>-1.5257325034158331E-2</v>
      </c>
      <c r="I155" s="13">
        <f t="shared" si="5"/>
        <v>6.2285345708499584E-3</v>
      </c>
    </row>
    <row r="156" spans="2:9" x14ac:dyDescent="0.25">
      <c r="B156" s="8">
        <v>45855</v>
      </c>
      <c r="C156" s="6">
        <v>246.53</v>
      </c>
      <c r="D156" s="6">
        <v>131.74</v>
      </c>
      <c r="E156" s="12">
        <f t="shared" si="4"/>
        <v>3.8275174070605544E-3</v>
      </c>
      <c r="F156" s="12">
        <f t="shared" si="4"/>
        <v>4.2689434364995282E-3</v>
      </c>
      <c r="I156" s="13">
        <f t="shared" si="5"/>
        <v>7.9134459072552343E-4</v>
      </c>
    </row>
    <row r="157" spans="2:9" x14ac:dyDescent="0.25">
      <c r="B157" s="5">
        <v>45854</v>
      </c>
      <c r="C157" s="3">
        <v>245.59</v>
      </c>
      <c r="D157" s="3">
        <v>131.18</v>
      </c>
      <c r="E157" s="12">
        <f t="shared" si="4"/>
        <v>-2.7207016973929132E-3</v>
      </c>
      <c r="F157" s="12">
        <f t="shared" si="4"/>
        <v>1.6505230530801995E-2</v>
      </c>
      <c r="I157" s="13">
        <f t="shared" si="5"/>
        <v>-7.889900009921319E-3</v>
      </c>
    </row>
    <row r="158" spans="2:9" x14ac:dyDescent="0.25">
      <c r="B158" s="8">
        <v>45853</v>
      </c>
      <c r="C158" s="6">
        <v>246.26</v>
      </c>
      <c r="D158" s="6">
        <v>129.05000000000001</v>
      </c>
      <c r="E158" s="12">
        <f t="shared" si="4"/>
        <v>9.9659598900871949E-3</v>
      </c>
      <c r="F158" s="12">
        <f t="shared" si="4"/>
        <v>-2.1533095761619325E-2</v>
      </c>
      <c r="I158" s="13">
        <f t="shared" si="5"/>
        <v>1.4303635841911744E-2</v>
      </c>
    </row>
    <row r="159" spans="2:9" x14ac:dyDescent="0.25">
      <c r="B159" s="5">
        <v>45852</v>
      </c>
      <c r="C159" s="3">
        <v>243.83</v>
      </c>
      <c r="D159" s="3">
        <v>131.88999999999999</v>
      </c>
      <c r="E159" s="12">
        <f t="shared" si="4"/>
        <v>-9.5056261932809916E-3</v>
      </c>
      <c r="F159" s="12">
        <f t="shared" si="4"/>
        <v>2.2798084960862219E-3</v>
      </c>
      <c r="I159" s="13">
        <f t="shared" si="5"/>
        <v>-6.795944556832953E-3</v>
      </c>
    </row>
    <row r="160" spans="2:9" x14ac:dyDescent="0.25">
      <c r="B160" s="8">
        <v>45849</v>
      </c>
      <c r="C160" s="6">
        <v>246.17</v>
      </c>
      <c r="D160" s="6">
        <v>131.59</v>
      </c>
      <c r="E160" s="12">
        <f t="shared" si="4"/>
        <v>-1.5412695193673942E-3</v>
      </c>
      <c r="F160" s="12">
        <f t="shared" si="4"/>
        <v>-1.5413393191170965E-2</v>
      </c>
      <c r="I160" s="13">
        <f t="shared" si="5"/>
        <v>4.8167289970844906E-3</v>
      </c>
    </row>
    <row r="161" spans="2:9" x14ac:dyDescent="0.25">
      <c r="B161" s="5">
        <v>45848</v>
      </c>
      <c r="C161" s="3">
        <v>246.55</v>
      </c>
      <c r="D161" s="3">
        <v>133.65</v>
      </c>
      <c r="E161" s="12">
        <f t="shared" si="4"/>
        <v>9.9541209241356121E-3</v>
      </c>
      <c r="F161" s="12">
        <f t="shared" si="4"/>
        <v>1.0280444478040662E-2</v>
      </c>
      <c r="I161" s="13">
        <f t="shared" si="5"/>
        <v>2.3661588983195092E-3</v>
      </c>
    </row>
    <row r="162" spans="2:9" x14ac:dyDescent="0.25">
      <c r="B162" s="8">
        <v>45847</v>
      </c>
      <c r="C162" s="6">
        <v>244.12</v>
      </c>
      <c r="D162" s="6">
        <v>132.29</v>
      </c>
      <c r="E162" s="12">
        <f t="shared" si="4"/>
        <v>3.2053916331058474E-3</v>
      </c>
      <c r="F162" s="12">
        <f t="shared" si="4"/>
        <v>2.2887187814118803E-2</v>
      </c>
      <c r="I162" s="13">
        <f t="shared" si="5"/>
        <v>-6.5793256596033967E-3</v>
      </c>
    </row>
    <row r="163" spans="2:9" x14ac:dyDescent="0.25">
      <c r="B163" s="5">
        <v>45846</v>
      </c>
      <c r="C163" s="3">
        <v>243.34</v>
      </c>
      <c r="D163" s="3">
        <v>129.33000000000001</v>
      </c>
      <c r="E163" s="12">
        <f t="shared" si="4"/>
        <v>1.909707680710282E-2</v>
      </c>
      <c r="F163" s="12">
        <f t="shared" si="4"/>
        <v>9.4442709959414728E-3</v>
      </c>
      <c r="I163" s="13">
        <f t="shared" si="5"/>
        <v>8.39407138096121E-3</v>
      </c>
    </row>
    <row r="164" spans="2:9" x14ac:dyDescent="0.25">
      <c r="B164" s="8">
        <v>45845</v>
      </c>
      <c r="C164" s="6">
        <v>238.78</v>
      </c>
      <c r="D164" s="6">
        <v>128.12</v>
      </c>
      <c r="E164" s="12">
        <f t="shared" si="4"/>
        <v>-1.8739212624311663E-2</v>
      </c>
      <c r="F164" s="12">
        <f t="shared" si="4"/>
        <v>-1.4461538461538415E-2</v>
      </c>
      <c r="I164" s="13">
        <f t="shared" si="5"/>
        <v>-6.2889309671178839E-3</v>
      </c>
    </row>
    <row r="165" spans="2:9" x14ac:dyDescent="0.25">
      <c r="B165" s="5">
        <v>45841</v>
      </c>
      <c r="C165" s="3">
        <v>243.34</v>
      </c>
      <c r="D165" s="3">
        <v>130</v>
      </c>
      <c r="E165" s="12">
        <f t="shared" si="4"/>
        <v>4.9558106880318586E-3</v>
      </c>
      <c r="F165" s="12">
        <f t="shared" si="4"/>
        <v>3.4735623311461516E-3</v>
      </c>
      <c r="I165" s="13">
        <f t="shared" si="5"/>
        <v>1.7947958058401048E-3</v>
      </c>
    </row>
    <row r="166" spans="2:9" x14ac:dyDescent="0.25">
      <c r="B166" s="8">
        <v>45840</v>
      </c>
      <c r="C166" s="6">
        <v>242.14</v>
      </c>
      <c r="D166" s="6">
        <v>129.55000000000001</v>
      </c>
      <c r="E166" s="12">
        <f t="shared" si="4"/>
        <v>1.9021967847824284E-2</v>
      </c>
      <c r="F166" s="12">
        <f t="shared" si="4"/>
        <v>1.5043485074042184E-2</v>
      </c>
      <c r="I166" s="13">
        <f t="shared" si="5"/>
        <v>6.2474230021243582E-3</v>
      </c>
    </row>
    <row r="167" spans="2:9" x14ac:dyDescent="0.25">
      <c r="B167" s="5">
        <v>45839</v>
      </c>
      <c r="C167" s="3">
        <v>237.62</v>
      </c>
      <c r="D167" s="3">
        <v>127.63</v>
      </c>
      <c r="E167" s="12">
        <f t="shared" si="4"/>
        <v>-4.5245077503140996E-3</v>
      </c>
      <c r="F167" s="12">
        <f t="shared" si="4"/>
        <v>8.8530550944587727E-3</v>
      </c>
      <c r="I167" s="13">
        <f t="shared" si="5"/>
        <v>-6.147713004368352E-3</v>
      </c>
    </row>
    <row r="168" spans="2:9" x14ac:dyDescent="0.25">
      <c r="B168" s="8">
        <v>45838</v>
      </c>
      <c r="C168" s="6">
        <v>238.7</v>
      </c>
      <c r="D168" s="6">
        <v>126.51</v>
      </c>
      <c r="E168" s="12">
        <f t="shared" si="4"/>
        <v>-6.698484467889676E-4</v>
      </c>
      <c r="F168" s="12">
        <f t="shared" si="4"/>
        <v>3.16280540839875E-4</v>
      </c>
      <c r="I168" s="13">
        <f t="shared" si="5"/>
        <v>-5.3726048205805788E-4</v>
      </c>
    </row>
    <row r="169" spans="2:9" x14ac:dyDescent="0.25">
      <c r="B169" s="5">
        <v>45835</v>
      </c>
      <c r="C169" s="3">
        <v>238.86</v>
      </c>
      <c r="D169" s="3">
        <v>126.47</v>
      </c>
      <c r="E169" s="12">
        <f t="shared" si="4"/>
        <v>-8.7840381478221374E-4</v>
      </c>
      <c r="F169" s="12">
        <f t="shared" si="4"/>
        <v>-4.2516337296276685E-3</v>
      </c>
      <c r="I169" s="13">
        <f t="shared" si="5"/>
        <v>1.0453602643714921E-3</v>
      </c>
    </row>
    <row r="170" spans="2:9" x14ac:dyDescent="0.25">
      <c r="B170" s="8">
        <v>45834</v>
      </c>
      <c r="C170" s="6">
        <v>239.07</v>
      </c>
      <c r="D170" s="6">
        <v>127.01</v>
      </c>
      <c r="E170" s="12">
        <f t="shared" si="4"/>
        <v>7.8411534083722145E-3</v>
      </c>
      <c r="F170" s="12">
        <f t="shared" si="4"/>
        <v>2.5258505012235588E-3</v>
      </c>
      <c r="I170" s="13">
        <f t="shared" si="5"/>
        <v>3.9535269422737995E-3</v>
      </c>
    </row>
    <row r="171" spans="2:9" x14ac:dyDescent="0.25">
      <c r="B171" s="5">
        <v>45833</v>
      </c>
      <c r="C171" s="3">
        <v>237.21</v>
      </c>
      <c r="D171" s="3">
        <v>126.69</v>
      </c>
      <c r="E171" s="12">
        <f t="shared" si="4"/>
        <v>8.974904296044306E-3</v>
      </c>
      <c r="F171" s="12">
        <f t="shared" si="4"/>
        <v>-5.6510477984459406E-3</v>
      </c>
      <c r="I171" s="13">
        <f t="shared" si="5"/>
        <v>7.728458109444919E-3</v>
      </c>
    </row>
    <row r="172" spans="2:9" x14ac:dyDescent="0.25">
      <c r="B172" s="8">
        <v>45832</v>
      </c>
      <c r="C172" s="6">
        <v>235.1</v>
      </c>
      <c r="D172" s="6">
        <v>127.41</v>
      </c>
      <c r="E172" s="12">
        <f t="shared" si="4"/>
        <v>3.7923270495783923E-2</v>
      </c>
      <c r="F172" s="12">
        <f t="shared" si="4"/>
        <v>1.9769489354890313E-2</v>
      </c>
      <c r="I172" s="13">
        <f t="shared" si="5"/>
        <v>1.6288485551781084E-2</v>
      </c>
    </row>
    <row r="173" spans="2:9" x14ac:dyDescent="0.25">
      <c r="B173" s="5">
        <v>45831</v>
      </c>
      <c r="C173" s="3">
        <v>226.51</v>
      </c>
      <c r="D173" s="3">
        <v>124.94</v>
      </c>
      <c r="E173" s="12">
        <f t="shared" si="4"/>
        <v>6.2191817333747679E-3</v>
      </c>
      <c r="F173" s="12">
        <f t="shared" si="4"/>
        <v>-4.5414707991395797E-3</v>
      </c>
      <c r="I173" s="13">
        <f t="shared" si="5"/>
        <v>5.5900401330365723E-3</v>
      </c>
    </row>
    <row r="174" spans="2:9" x14ac:dyDescent="0.25">
      <c r="B174" s="8">
        <v>45828</v>
      </c>
      <c r="C174" s="6">
        <v>225.11</v>
      </c>
      <c r="D174" s="6">
        <v>125.51</v>
      </c>
      <c r="E174" s="12">
        <f t="shared" si="4"/>
        <v>-6.4000706214688563E-3</v>
      </c>
      <c r="F174" s="12">
        <f t="shared" si="4"/>
        <v>-2.06726564363513E-3</v>
      </c>
      <c r="I174" s="13">
        <f t="shared" si="5"/>
        <v>-3.2248195220548614E-3</v>
      </c>
    </row>
    <row r="175" spans="2:9" x14ac:dyDescent="0.25">
      <c r="B175" s="5">
        <v>45826</v>
      </c>
      <c r="C175" s="3">
        <v>226.56</v>
      </c>
      <c r="D175" s="3">
        <v>125.77</v>
      </c>
      <c r="E175" s="12">
        <f t="shared" si="4"/>
        <v>4.0772912604147837E-3</v>
      </c>
      <c r="F175" s="12">
        <f t="shared" si="4"/>
        <v>3.5908075327162337E-3</v>
      </c>
      <c r="I175" s="13">
        <f t="shared" si="5"/>
        <v>1.2017542129906522E-3</v>
      </c>
    </row>
    <row r="176" spans="2:9" x14ac:dyDescent="0.25">
      <c r="B176" s="8">
        <v>45825</v>
      </c>
      <c r="C176" s="6">
        <v>225.64</v>
      </c>
      <c r="D176" s="6">
        <v>125.32</v>
      </c>
      <c r="E176" s="12">
        <f t="shared" si="4"/>
        <v>-7.9141751670770422E-3</v>
      </c>
      <c r="F176" s="12">
        <f t="shared" si="4"/>
        <v>-1.9788815017598771E-2</v>
      </c>
      <c r="I176" s="13">
        <f t="shared" si="5"/>
        <v>2.4744461521763877E-3</v>
      </c>
    </row>
    <row r="177" spans="2:9" x14ac:dyDescent="0.25">
      <c r="B177" s="5">
        <v>45824</v>
      </c>
      <c r="C177" s="3">
        <v>227.44</v>
      </c>
      <c r="D177" s="3">
        <v>127.85</v>
      </c>
      <c r="E177" s="12">
        <f t="shared" si="4"/>
        <v>2.9326574945691464E-2</v>
      </c>
      <c r="F177" s="12">
        <f t="shared" si="4"/>
        <v>-1.1718750000000444E-3</v>
      </c>
      <c r="I177" s="13">
        <f t="shared" si="5"/>
        <v>1.8768562466057181E-2</v>
      </c>
    </row>
    <row r="178" spans="2:9" x14ac:dyDescent="0.25">
      <c r="B178" s="8">
        <v>45821</v>
      </c>
      <c r="C178" s="6">
        <v>220.96</v>
      </c>
      <c r="D178" s="6">
        <v>128</v>
      </c>
      <c r="E178" s="12">
        <f t="shared" si="4"/>
        <v>-2.605016088508838E-2</v>
      </c>
      <c r="F178" s="12">
        <f t="shared" si="4"/>
        <v>-7.7519379844961378E-3</v>
      </c>
      <c r="I178" s="13">
        <f t="shared" si="5"/>
        <v>-1.3374373808994186E-2</v>
      </c>
    </row>
    <row r="179" spans="2:9" x14ac:dyDescent="0.25">
      <c r="B179" s="5">
        <v>45820</v>
      </c>
      <c r="C179" s="3">
        <v>226.87</v>
      </c>
      <c r="D179" s="3">
        <v>129</v>
      </c>
      <c r="E179" s="12">
        <f t="shared" si="4"/>
        <v>1.3682909604519899E-3</v>
      </c>
      <c r="F179" s="12">
        <f t="shared" si="4"/>
        <v>8.9160018770531035E-3</v>
      </c>
      <c r="I179" s="13">
        <f t="shared" si="5"/>
        <v>-2.4883188536124201E-3</v>
      </c>
    </row>
    <row r="180" spans="2:9" x14ac:dyDescent="0.25">
      <c r="B180" s="8">
        <v>45819</v>
      </c>
      <c r="C180" s="6">
        <v>226.56</v>
      </c>
      <c r="D180" s="6">
        <v>127.86</v>
      </c>
      <c r="E180" s="12">
        <f t="shared" si="4"/>
        <v>-3.343304592644647E-3</v>
      </c>
      <c r="F180" s="12">
        <f t="shared" si="4"/>
        <v>-7.2210575355229345E-3</v>
      </c>
      <c r="I180" s="13">
        <f t="shared" si="5"/>
        <v>6.1833120541819608E-4</v>
      </c>
    </row>
    <row r="181" spans="2:9" x14ac:dyDescent="0.25">
      <c r="B181" s="5">
        <v>45818</v>
      </c>
      <c r="C181" s="3">
        <v>227.32</v>
      </c>
      <c r="D181" s="3">
        <v>128.79</v>
      </c>
      <c r="E181" s="12">
        <f t="shared" si="4"/>
        <v>2.1846624112199953E-2</v>
      </c>
      <c r="F181" s="12">
        <f t="shared" si="4"/>
        <v>9.4051257935574561E-3</v>
      </c>
      <c r="I181" s="13">
        <f t="shared" si="5"/>
        <v>1.0127217897540924E-2</v>
      </c>
    </row>
    <row r="182" spans="2:9" x14ac:dyDescent="0.25">
      <c r="B182" s="8">
        <v>45817</v>
      </c>
      <c r="C182" s="6">
        <v>222.46</v>
      </c>
      <c r="D182" s="6">
        <v>127.59</v>
      </c>
      <c r="E182" s="12">
        <f t="shared" si="4"/>
        <v>2.3557559584061805E-2</v>
      </c>
      <c r="F182" s="12">
        <f t="shared" si="4"/>
        <v>4.9621928166352358E-3</v>
      </c>
      <c r="I182" s="13">
        <f t="shared" si="5"/>
        <v>1.2862652433800414E-2</v>
      </c>
    </row>
    <row r="183" spans="2:9" x14ac:dyDescent="0.25">
      <c r="B183" s="5">
        <v>45814</v>
      </c>
      <c r="C183" s="3">
        <v>217.34</v>
      </c>
      <c r="D183" s="3">
        <v>126.96</v>
      </c>
      <c r="E183" s="12">
        <f t="shared" si="4"/>
        <v>6.7163833433694364E-3</v>
      </c>
      <c r="F183" s="12">
        <f t="shared" si="4"/>
        <v>1.5192707500399694E-2</v>
      </c>
      <c r="I183" s="13">
        <f t="shared" si="5"/>
        <v>-1.4995257230439873E-3</v>
      </c>
    </row>
    <row r="184" spans="2:9" x14ac:dyDescent="0.25">
      <c r="B184" s="8">
        <v>45813</v>
      </c>
      <c r="C184" s="6">
        <v>215.89</v>
      </c>
      <c r="D184" s="6">
        <v>125.06</v>
      </c>
      <c r="E184" s="12">
        <f t="shared" si="4"/>
        <v>-4.1974169741698653E-3</v>
      </c>
      <c r="F184" s="12">
        <f t="shared" si="4"/>
        <v>-4.7953964194380472E-4</v>
      </c>
      <c r="I184" s="13">
        <f t="shared" si="5"/>
        <v>-2.443558243127239E-3</v>
      </c>
    </row>
    <row r="185" spans="2:9" x14ac:dyDescent="0.25">
      <c r="B185" s="5">
        <v>45812</v>
      </c>
      <c r="C185" s="3">
        <v>216.8</v>
      </c>
      <c r="D185" s="3">
        <v>125.12</v>
      </c>
      <c r="E185" s="12">
        <f t="shared" si="4"/>
        <v>1.4886246606123033E-2</v>
      </c>
      <c r="F185" s="12">
        <f t="shared" si="4"/>
        <v>2.3231594969157499E-3</v>
      </c>
      <c r="I185" s="13">
        <f t="shared" si="5"/>
        <v>8.4327193174834891E-3</v>
      </c>
    </row>
    <row r="186" spans="2:9" x14ac:dyDescent="0.25">
      <c r="B186" s="8">
        <v>45811</v>
      </c>
      <c r="C186" s="6">
        <v>213.62</v>
      </c>
      <c r="D186" s="6">
        <v>124.83</v>
      </c>
      <c r="E186" s="12">
        <f t="shared" si="4"/>
        <v>2.6871124357063847E-2</v>
      </c>
      <c r="F186" s="12">
        <f t="shared" si="4"/>
        <v>9.0534314121737403E-3</v>
      </c>
      <c r="I186" s="13">
        <f t="shared" si="5"/>
        <v>1.3399415943599752E-2</v>
      </c>
    </row>
    <row r="187" spans="2:9" x14ac:dyDescent="0.25">
      <c r="B187" s="5">
        <v>45810</v>
      </c>
      <c r="C187" s="3">
        <v>208.03</v>
      </c>
      <c r="D187" s="3">
        <v>123.71</v>
      </c>
      <c r="E187" s="12">
        <f t="shared" si="4"/>
        <v>1.507758368302925E-2</v>
      </c>
      <c r="F187" s="12">
        <f t="shared" si="4"/>
        <v>1.634899769963849E-2</v>
      </c>
      <c r="I187" s="13">
        <f t="shared" si="5"/>
        <v>3.2926156645288474E-3</v>
      </c>
    </row>
    <row r="188" spans="2:9" x14ac:dyDescent="0.25">
      <c r="B188" s="8">
        <v>45807</v>
      </c>
      <c r="C188" s="6">
        <v>204.94</v>
      </c>
      <c r="D188" s="6">
        <v>121.72</v>
      </c>
      <c r="E188" s="12">
        <f t="shared" si="4"/>
        <v>-1.9847912382227828E-2</v>
      </c>
      <c r="F188" s="12">
        <f t="shared" si="4"/>
        <v>-2.0283322601416631E-2</v>
      </c>
      <c r="I188" s="13">
        <f t="shared" si="5"/>
        <v>-4.7986992633611558E-3</v>
      </c>
    </row>
    <row r="189" spans="2:9" x14ac:dyDescent="0.25">
      <c r="B189" s="5">
        <v>45806</v>
      </c>
      <c r="C189" s="3">
        <v>209.09</v>
      </c>
      <c r="D189" s="3">
        <v>124.24</v>
      </c>
      <c r="E189" s="12">
        <f t="shared" si="4"/>
        <v>4.0818286592392283E-3</v>
      </c>
      <c r="F189" s="12">
        <f t="shared" si="4"/>
        <v>1.9112460011483812E-2</v>
      </c>
      <c r="I189" s="13">
        <f t="shared" si="5"/>
        <v>-4.6160295922819117E-3</v>
      </c>
    </row>
    <row r="190" spans="2:9" x14ac:dyDescent="0.25">
      <c r="B190" s="8">
        <v>45805</v>
      </c>
      <c r="C190" s="6">
        <v>208.24</v>
      </c>
      <c r="D190" s="6">
        <v>121.91</v>
      </c>
      <c r="E190" s="12">
        <f t="shared" si="4"/>
        <v>-5.0169621099908079E-3</v>
      </c>
      <c r="F190" s="12">
        <f t="shared" si="4"/>
        <v>-7.6516076516076614E-3</v>
      </c>
      <c r="I190" s="13">
        <f t="shared" si="5"/>
        <v>-2.6624844939138193E-4</v>
      </c>
    </row>
    <row r="191" spans="2:9" x14ac:dyDescent="0.25">
      <c r="B191" s="5">
        <v>45804</v>
      </c>
      <c r="C191" s="3">
        <v>209.29</v>
      </c>
      <c r="D191" s="3">
        <v>122.85</v>
      </c>
      <c r="E191" s="12">
        <f t="shared" si="4"/>
        <v>3.3224723538704426E-2</v>
      </c>
      <c r="F191" s="12">
        <f t="shared" si="4"/>
        <v>1.3195876288659703E-2</v>
      </c>
      <c r="I191" s="13">
        <f t="shared" si="5"/>
        <v>1.5816998603442878E-2</v>
      </c>
    </row>
    <row r="192" spans="2:9" x14ac:dyDescent="0.25">
      <c r="B192" s="8">
        <v>45800</v>
      </c>
      <c r="C192" s="6">
        <v>202.56</v>
      </c>
      <c r="D192" s="6">
        <v>121.25</v>
      </c>
      <c r="E192" s="12">
        <f t="shared" si="4"/>
        <v>-1.5504252733900326E-2</v>
      </c>
      <c r="F192" s="12">
        <f t="shared" si="4"/>
        <v>-1.400098830505736E-3</v>
      </c>
      <c r="I192" s="13">
        <f t="shared" si="5"/>
        <v>-9.1651208972480525E-3</v>
      </c>
    </row>
    <row r="193" spans="2:9" x14ac:dyDescent="0.25">
      <c r="B193" s="5">
        <v>45799</v>
      </c>
      <c r="C193" s="3">
        <v>205.75</v>
      </c>
      <c r="D193" s="3">
        <v>121.42</v>
      </c>
      <c r="E193" s="12">
        <f t="shared" si="4"/>
        <v>-9.2454374729137312E-3</v>
      </c>
      <c r="F193" s="12">
        <f t="shared" si="4"/>
        <v>-2.218752568000637E-3</v>
      </c>
      <c r="I193" s="13">
        <f t="shared" si="5"/>
        <v>-4.9463662075708431E-3</v>
      </c>
    </row>
    <row r="194" spans="2:9" x14ac:dyDescent="0.25">
      <c r="B194" s="8">
        <v>45798</v>
      </c>
      <c r="C194" s="6">
        <v>207.67</v>
      </c>
      <c r="D194" s="6">
        <v>121.69</v>
      </c>
      <c r="E194" s="12">
        <f t="shared" si="4"/>
        <v>-1.829441240427343E-2</v>
      </c>
      <c r="F194" s="12">
        <f t="shared" si="4"/>
        <v>-2.390310419507502E-2</v>
      </c>
      <c r="I194" s="13">
        <f t="shared" si="5"/>
        <v>-2.4703436795177613E-3</v>
      </c>
    </row>
    <row r="195" spans="2:9" x14ac:dyDescent="0.25">
      <c r="B195" s="5">
        <v>45797</v>
      </c>
      <c r="C195" s="3">
        <v>211.54</v>
      </c>
      <c r="D195" s="3">
        <v>124.67</v>
      </c>
      <c r="E195" s="12">
        <f t="shared" si="4"/>
        <v>-1.4632995043663E-3</v>
      </c>
      <c r="F195" s="12">
        <f t="shared" si="4"/>
        <v>1.7631213778467103E-2</v>
      </c>
      <c r="I195" s="13">
        <f t="shared" si="5"/>
        <v>-7.5262673571541011E-3</v>
      </c>
    </row>
    <row r="196" spans="2:9" x14ac:dyDescent="0.25">
      <c r="B196" s="8">
        <v>45796</v>
      </c>
      <c r="C196" s="6">
        <v>211.85</v>
      </c>
      <c r="D196" s="6">
        <v>122.51</v>
      </c>
      <c r="E196" s="12">
        <f t="shared" si="4"/>
        <v>-6.0057242058837446E-3</v>
      </c>
      <c r="F196" s="12">
        <f t="shared" si="4"/>
        <v>1.1142291185209707E-2</v>
      </c>
      <c r="I196" s="13">
        <f t="shared" si="5"/>
        <v>-7.9319368231309806E-3</v>
      </c>
    </row>
    <row r="197" spans="2:9" x14ac:dyDescent="0.25">
      <c r="B197" s="5">
        <v>45793</v>
      </c>
      <c r="C197" s="3">
        <v>213.13</v>
      </c>
      <c r="D197" s="3">
        <v>121.16</v>
      </c>
      <c r="E197" s="12">
        <f t="shared" si="4"/>
        <v>-1.3120284897615297E-3</v>
      </c>
      <c r="F197" s="12">
        <f t="shared" si="4"/>
        <v>1.6101979201610161E-2</v>
      </c>
      <c r="I197" s="13">
        <f t="shared" si="5"/>
        <v>-6.8582600067047667E-3</v>
      </c>
    </row>
    <row r="198" spans="2:9" x14ac:dyDescent="0.25">
      <c r="B198" s="8">
        <v>45792</v>
      </c>
      <c r="C198" s="6">
        <v>213.41</v>
      </c>
      <c r="D198" s="6">
        <v>119.24</v>
      </c>
      <c r="E198" s="12">
        <f t="shared" si="4"/>
        <v>-6.4248801154616064E-3</v>
      </c>
      <c r="F198" s="12">
        <f t="shared" si="4"/>
        <v>1.9842627437564042E-2</v>
      </c>
      <c r="I198" s="13">
        <f t="shared" si="5"/>
        <v>-1.145653536125002E-2</v>
      </c>
    </row>
    <row r="199" spans="2:9" x14ac:dyDescent="0.25">
      <c r="B199" s="5">
        <v>45791</v>
      </c>
      <c r="C199" s="3">
        <v>214.79</v>
      </c>
      <c r="D199" s="3">
        <v>116.92</v>
      </c>
      <c r="E199" s="12">
        <f t="shared" si="4"/>
        <v>4.8184880239521277E-3</v>
      </c>
      <c r="F199" s="12">
        <f t="shared" si="4"/>
        <v>-2.1835522462980039E-2</v>
      </c>
      <c r="I199" s="13">
        <f t="shared" si="5"/>
        <v>1.1199875938587595E-2</v>
      </c>
    </row>
    <row r="200" spans="2:9" x14ac:dyDescent="0.25">
      <c r="B200" s="8">
        <v>45790</v>
      </c>
      <c r="C200" s="6">
        <v>213.76</v>
      </c>
      <c r="D200" s="6">
        <v>119.53</v>
      </c>
      <c r="E200" s="12">
        <f t="shared" si="4"/>
        <v>2.8335017077981473E-2</v>
      </c>
      <c r="F200" s="12">
        <f t="shared" si="4"/>
        <v>-2.064727570667757E-2</v>
      </c>
      <c r="I200" s="13">
        <f t="shared" si="5"/>
        <v>2.5452114063742509E-2</v>
      </c>
    </row>
    <row r="201" spans="2:9" x14ac:dyDescent="0.25">
      <c r="B201" s="5">
        <v>45789</v>
      </c>
      <c r="C201" s="3">
        <v>207.87</v>
      </c>
      <c r="D201" s="3">
        <v>122.05</v>
      </c>
      <c r="E201" s="12">
        <f t="shared" si="4"/>
        <v>7.182633804269356E-2</v>
      </c>
      <c r="F201" s="12">
        <f t="shared" si="4"/>
        <v>4.6471748263740009E-2</v>
      </c>
      <c r="I201" s="13">
        <f t="shared" si="5"/>
        <v>2.7464555677780972E-2</v>
      </c>
    </row>
    <row r="202" spans="2:9" x14ac:dyDescent="0.25">
      <c r="B202" s="8">
        <v>45786</v>
      </c>
      <c r="C202" s="6">
        <v>193.94</v>
      </c>
      <c r="D202" s="6">
        <v>116.63</v>
      </c>
      <c r="E202" s="12">
        <f t="shared" si="4"/>
        <v>1.1473870866798741E-2</v>
      </c>
      <c r="F202" s="12">
        <f t="shared" si="4"/>
        <v>-2.1396207417352042E-2</v>
      </c>
      <c r="I202" s="13">
        <f t="shared" si="5"/>
        <v>1.5194747073256229E-2</v>
      </c>
    </row>
    <row r="203" spans="2:9" x14ac:dyDescent="0.25">
      <c r="B203" s="5">
        <v>45785</v>
      </c>
      <c r="C203" s="3">
        <v>191.74</v>
      </c>
      <c r="D203" s="3">
        <v>119.18</v>
      </c>
      <c r="E203" s="12">
        <f t="shared" si="4"/>
        <v>8.9454851610188957E-3</v>
      </c>
      <c r="F203" s="12">
        <f t="shared" si="4"/>
        <v>-1.842546063651529E-3</v>
      </c>
      <c r="I203" s="13">
        <f t="shared" si="5"/>
        <v>6.2818829995061332E-3</v>
      </c>
    </row>
    <row r="204" spans="2:9" x14ac:dyDescent="0.25">
      <c r="B204" s="8">
        <v>45784</v>
      </c>
      <c r="C204" s="6">
        <v>190.04</v>
      </c>
      <c r="D204" s="6">
        <v>119.4</v>
      </c>
      <c r="E204" s="12">
        <f t="shared" si="4"/>
        <v>1.7508165122878339E-2</v>
      </c>
      <c r="F204" s="12">
        <f t="shared" si="4"/>
        <v>6.7453625632378778E-3</v>
      </c>
      <c r="I204" s="13">
        <f t="shared" si="5"/>
        <v>8.4130922405847575E-3</v>
      </c>
    </row>
    <row r="205" spans="2:9" x14ac:dyDescent="0.25">
      <c r="B205" s="5">
        <v>45783</v>
      </c>
      <c r="C205" s="3">
        <v>186.77</v>
      </c>
      <c r="D205" s="3">
        <v>118.6</v>
      </c>
      <c r="E205" s="12">
        <f t="shared" si="4"/>
        <v>-9.5455268600518339E-3</v>
      </c>
      <c r="F205" s="12">
        <f t="shared" si="4"/>
        <v>-5.7683139996821953E-2</v>
      </c>
      <c r="I205" s="13">
        <f t="shared" si="5"/>
        <v>1.5665223211275836E-2</v>
      </c>
    </row>
    <row r="206" spans="2:9" x14ac:dyDescent="0.25">
      <c r="B206" s="8">
        <v>45782</v>
      </c>
      <c r="C206" s="6">
        <v>188.57</v>
      </c>
      <c r="D206" s="6">
        <v>125.86</v>
      </c>
      <c r="E206" s="12">
        <f t="shared" si="4"/>
        <v>-7.6829974214598362E-3</v>
      </c>
      <c r="F206" s="12">
        <f t="shared" si="4"/>
        <v>-5.8451816745654916E-3</v>
      </c>
      <c r="I206" s="13">
        <f t="shared" si="5"/>
        <v>-2.6099302604503383E-3</v>
      </c>
    </row>
    <row r="207" spans="2:9" x14ac:dyDescent="0.25">
      <c r="B207" s="5">
        <v>45779</v>
      </c>
      <c r="C207" s="3">
        <v>190.03</v>
      </c>
      <c r="D207" s="3">
        <v>126.6</v>
      </c>
      <c r="E207" s="12">
        <f t="shared" ref="E207:F264" si="6">C207/C208-1</f>
        <v>3.5078163298654541E-2</v>
      </c>
      <c r="F207" s="12">
        <f t="shared" si="6"/>
        <v>1.3773222293401721E-2</v>
      </c>
      <c r="I207" s="13">
        <f t="shared" ref="I207:I264" si="7">E207*$G$14+F207*$H$14</f>
        <v>1.6758893701633443E-2</v>
      </c>
    </row>
    <row r="208" spans="2:9" x14ac:dyDescent="0.25">
      <c r="B208" s="8">
        <v>45778</v>
      </c>
      <c r="C208" s="6">
        <v>183.59</v>
      </c>
      <c r="D208" s="6">
        <v>124.88</v>
      </c>
      <c r="E208" s="12">
        <f t="shared" si="6"/>
        <v>-1.3598781549173378E-3</v>
      </c>
      <c r="F208" s="12">
        <f t="shared" si="6"/>
        <v>-1.3430241744351368E-2</v>
      </c>
      <c r="I208" s="13">
        <f t="shared" si="7"/>
        <v>4.1864168073084268E-3</v>
      </c>
    </row>
    <row r="209" spans="2:9" x14ac:dyDescent="0.25">
      <c r="B209" s="5">
        <v>45777</v>
      </c>
      <c r="C209" s="3">
        <v>183.84</v>
      </c>
      <c r="D209" s="3">
        <v>126.58</v>
      </c>
      <c r="E209" s="12">
        <f t="shared" si="6"/>
        <v>7.2872719303052058E-3</v>
      </c>
      <c r="F209" s="12">
        <f t="shared" si="6"/>
        <v>1.4669338677354649E-2</v>
      </c>
      <c r="I209" s="13">
        <f t="shared" si="7"/>
        <v>-9.4645704756723958E-4</v>
      </c>
    </row>
    <row r="210" spans="2:9" x14ac:dyDescent="0.25">
      <c r="B210" s="8">
        <v>45776</v>
      </c>
      <c r="C210" s="6">
        <v>182.51</v>
      </c>
      <c r="D210" s="6">
        <v>124.75</v>
      </c>
      <c r="E210" s="12">
        <f t="shared" si="6"/>
        <v>-1.0678664353859446E-2</v>
      </c>
      <c r="F210" s="12">
        <f t="shared" si="6"/>
        <v>1.0431712405714055E-3</v>
      </c>
      <c r="I210" s="13">
        <f t="shared" si="7"/>
        <v>-7.0653544363764309E-3</v>
      </c>
    </row>
    <row r="211" spans="2:9" x14ac:dyDescent="0.25">
      <c r="B211" s="5">
        <v>45775</v>
      </c>
      <c r="C211" s="3">
        <v>184.48</v>
      </c>
      <c r="D211" s="3">
        <v>124.62</v>
      </c>
      <c r="E211" s="12">
        <f t="shared" si="6"/>
        <v>-1.7856176613820773E-3</v>
      </c>
      <c r="F211" s="12">
        <f t="shared" si="6"/>
        <v>1.136179191689668E-2</v>
      </c>
      <c r="I211" s="13">
        <f t="shared" si="7"/>
        <v>-5.3766830072000532E-3</v>
      </c>
    </row>
    <row r="212" spans="2:9" x14ac:dyDescent="0.25">
      <c r="B212" s="8">
        <v>45772</v>
      </c>
      <c r="C212" s="6">
        <v>184.81</v>
      </c>
      <c r="D212" s="6">
        <v>123.22</v>
      </c>
      <c r="E212" s="12">
        <f t="shared" si="6"/>
        <v>9.7251816642081046E-3</v>
      </c>
      <c r="F212" s="12">
        <f t="shared" si="6"/>
        <v>-7.8904991948470782E-3</v>
      </c>
      <c r="I212" s="13">
        <f t="shared" si="7"/>
        <v>9.0371757381977197E-3</v>
      </c>
    </row>
    <row r="213" spans="2:9" x14ac:dyDescent="0.25">
      <c r="B213" s="5">
        <v>45771</v>
      </c>
      <c r="C213" s="3">
        <v>183.03</v>
      </c>
      <c r="D213" s="3">
        <v>124.2</v>
      </c>
      <c r="E213" s="12">
        <f t="shared" si="6"/>
        <v>5.7548968625411812E-2</v>
      </c>
      <c r="F213" s="12">
        <f t="shared" si="6"/>
        <v>1.8032786885245899E-2</v>
      </c>
      <c r="I213" s="13">
        <f t="shared" si="7"/>
        <v>2.920581030891517E-2</v>
      </c>
    </row>
    <row r="214" spans="2:9" x14ac:dyDescent="0.25">
      <c r="B214" s="8">
        <v>45770</v>
      </c>
      <c r="C214" s="6">
        <v>173.07</v>
      </c>
      <c r="D214" s="6">
        <v>122</v>
      </c>
      <c r="E214" s="12">
        <f t="shared" si="6"/>
        <v>3.7465531710826117E-2</v>
      </c>
      <c r="F214" s="12">
        <f t="shared" si="6"/>
        <v>1.3036618782695353E-2</v>
      </c>
      <c r="I214" s="13">
        <f t="shared" si="7"/>
        <v>1.8527225275755566E-2</v>
      </c>
    </row>
    <row r="215" spans="2:9" x14ac:dyDescent="0.25">
      <c r="B215" s="5">
        <v>45769</v>
      </c>
      <c r="C215" s="3">
        <v>166.82</v>
      </c>
      <c r="D215" s="3">
        <v>120.43</v>
      </c>
      <c r="E215" s="12">
        <f t="shared" si="6"/>
        <v>1.9432901491078125E-2</v>
      </c>
      <c r="F215" s="12">
        <f t="shared" si="6"/>
        <v>2.7209143636984123E-2</v>
      </c>
      <c r="I215" s="13">
        <f t="shared" si="7"/>
        <v>1.9421345680547819E-3</v>
      </c>
    </row>
    <row r="216" spans="2:9" x14ac:dyDescent="0.25">
      <c r="B216" s="8">
        <v>45768</v>
      </c>
      <c r="C216" s="6">
        <v>163.63999999999999</v>
      </c>
      <c r="D216" s="6">
        <v>117.24</v>
      </c>
      <c r="E216" s="12">
        <f t="shared" si="6"/>
        <v>-1.7472230561393132E-2</v>
      </c>
      <c r="F216" s="12">
        <f t="shared" si="6"/>
        <v>-8.8764899822471044E-3</v>
      </c>
      <c r="I216" s="13">
        <f t="shared" si="7"/>
        <v>-7.5914603575280432E-3</v>
      </c>
    </row>
    <row r="217" spans="2:9" x14ac:dyDescent="0.25">
      <c r="B217" s="5">
        <v>45764</v>
      </c>
      <c r="C217" s="3">
        <v>166.55</v>
      </c>
      <c r="D217" s="3">
        <v>118.29</v>
      </c>
      <c r="E217" s="12">
        <f t="shared" si="6"/>
        <v>-5.0182209212018547E-3</v>
      </c>
      <c r="F217" s="12">
        <f t="shared" si="6"/>
        <v>4.2448425163426062E-3</v>
      </c>
      <c r="I217" s="13">
        <f t="shared" si="7"/>
        <v>-4.7282040193796365E-3</v>
      </c>
    </row>
    <row r="218" spans="2:9" x14ac:dyDescent="0.25">
      <c r="B218" s="8">
        <v>45763</v>
      </c>
      <c r="C218" s="6">
        <v>167.39</v>
      </c>
      <c r="D218" s="6">
        <v>117.79</v>
      </c>
      <c r="E218" s="12">
        <f t="shared" si="6"/>
        <v>-3.8596289701912756E-2</v>
      </c>
      <c r="F218" s="12">
        <f t="shared" si="6"/>
        <v>-1.7188151856487144E-2</v>
      </c>
      <c r="I218" s="13">
        <f t="shared" si="7"/>
        <v>-1.7677124117512794E-2</v>
      </c>
    </row>
    <row r="219" spans="2:9" x14ac:dyDescent="0.25">
      <c r="B219" s="5">
        <v>45762</v>
      </c>
      <c r="C219" s="3">
        <v>174.11</v>
      </c>
      <c r="D219" s="3">
        <v>119.85</v>
      </c>
      <c r="E219" s="12">
        <f t="shared" si="6"/>
        <v>4.094579008073973E-3</v>
      </c>
      <c r="F219" s="12">
        <f t="shared" si="6"/>
        <v>-3.7406483790524137E-3</v>
      </c>
      <c r="I219" s="13">
        <f t="shared" si="7"/>
        <v>3.9618550221908883E-3</v>
      </c>
    </row>
    <row r="220" spans="2:9" x14ac:dyDescent="0.25">
      <c r="B220" s="8">
        <v>45761</v>
      </c>
      <c r="C220" s="6">
        <v>173.4</v>
      </c>
      <c r="D220" s="6">
        <v>120.3</v>
      </c>
      <c r="E220" s="12">
        <f t="shared" si="6"/>
        <v>6.6179031696274038E-3</v>
      </c>
      <c r="F220" s="12">
        <f t="shared" si="6"/>
        <v>2.8556771545827697E-2</v>
      </c>
      <c r="I220" s="13">
        <f t="shared" si="7"/>
        <v>-6.5725998486682591E-3</v>
      </c>
    </row>
    <row r="221" spans="2:9" x14ac:dyDescent="0.25">
      <c r="B221" s="5">
        <v>45758</v>
      </c>
      <c r="C221" s="3">
        <v>172.26</v>
      </c>
      <c r="D221" s="3">
        <v>116.96</v>
      </c>
      <c r="E221" s="12">
        <f t="shared" si="6"/>
        <v>2.1647589110965981E-2</v>
      </c>
      <c r="F221" s="12">
        <f t="shared" si="6"/>
        <v>3.3763478875729058E-2</v>
      </c>
      <c r="I221" s="13">
        <f t="shared" si="7"/>
        <v>8.6843861595534144E-4</v>
      </c>
    </row>
    <row r="222" spans="2:9" x14ac:dyDescent="0.25">
      <c r="B222" s="8">
        <v>45757</v>
      </c>
      <c r="C222" s="6">
        <v>168.61</v>
      </c>
      <c r="D222" s="6">
        <v>113.14</v>
      </c>
      <c r="E222" s="12">
        <f t="shared" si="6"/>
        <v>-8.1744907962095548E-2</v>
      </c>
      <c r="F222" s="12">
        <f t="shared" si="6"/>
        <v>-4.6278344432268304E-2</v>
      </c>
      <c r="I222" s="13">
        <f t="shared" si="7"/>
        <v>-3.3736188314209103E-2</v>
      </c>
    </row>
    <row r="223" spans="2:9" x14ac:dyDescent="0.25">
      <c r="B223" s="5">
        <v>45756</v>
      </c>
      <c r="C223" s="3">
        <v>183.62</v>
      </c>
      <c r="D223" s="3">
        <v>118.63</v>
      </c>
      <c r="E223" s="12">
        <f t="shared" si="6"/>
        <v>0.18571613069869541</v>
      </c>
      <c r="F223" s="12">
        <f t="shared" si="6"/>
        <v>5.900732012140697E-2</v>
      </c>
      <c r="I223" s="13">
        <f t="shared" si="7"/>
        <v>9.394483664115702E-2</v>
      </c>
    </row>
    <row r="224" spans="2:9" x14ac:dyDescent="0.25">
      <c r="B224" s="8">
        <v>45755</v>
      </c>
      <c r="C224" s="6">
        <v>154.86000000000001</v>
      </c>
      <c r="D224" s="6">
        <v>112.02</v>
      </c>
      <c r="E224" s="12">
        <f t="shared" si="6"/>
        <v>-3.9747008123023453E-2</v>
      </c>
      <c r="F224" s="12">
        <f t="shared" si="6"/>
        <v>-3.6055416917649019E-2</v>
      </c>
      <c r="I224" s="13">
        <f t="shared" si="7"/>
        <v>-1.1321098732771276E-2</v>
      </c>
    </row>
    <row r="225" spans="2:9" x14ac:dyDescent="0.25">
      <c r="B225" s="5">
        <v>45754</v>
      </c>
      <c r="C225" s="3">
        <v>161.27000000000001</v>
      </c>
      <c r="D225" s="3">
        <v>116.21</v>
      </c>
      <c r="E225" s="12">
        <f t="shared" si="6"/>
        <v>2.3092051005519254E-2</v>
      </c>
      <c r="F225" s="12">
        <f t="shared" si="6"/>
        <v>-8.108569477637495E-3</v>
      </c>
      <c r="I225" s="13">
        <f t="shared" si="7"/>
        <v>1.7473245432563594E-2</v>
      </c>
    </row>
    <row r="226" spans="2:9" x14ac:dyDescent="0.25">
      <c r="B226" s="8">
        <v>45751</v>
      </c>
      <c r="C226" s="6">
        <v>157.63</v>
      </c>
      <c r="D226" s="6">
        <v>117.16</v>
      </c>
      <c r="E226" s="12">
        <f t="shared" si="6"/>
        <v>-7.4724113641700063E-2</v>
      </c>
      <c r="F226" s="12">
        <f t="shared" si="6"/>
        <v>-5.3558445754907535E-2</v>
      </c>
      <c r="I226" s="13">
        <f t="shared" si="7"/>
        <v>-2.6618153867972213E-2</v>
      </c>
    </row>
    <row r="227" spans="2:9" x14ac:dyDescent="0.25">
      <c r="B227" s="5">
        <v>45750</v>
      </c>
      <c r="C227" s="3">
        <v>170.36</v>
      </c>
      <c r="D227" s="3">
        <v>123.79</v>
      </c>
      <c r="E227" s="12">
        <f t="shared" si="6"/>
        <v>-0.10090774751952702</v>
      </c>
      <c r="F227" s="12">
        <f t="shared" si="6"/>
        <v>-2.3661172016720577E-2</v>
      </c>
      <c r="I227" s="13">
        <f t="shared" si="7"/>
        <v>-5.4194402693434174E-2</v>
      </c>
    </row>
    <row r="228" spans="2:9" x14ac:dyDescent="0.25">
      <c r="B228" s="8">
        <v>45749</v>
      </c>
      <c r="C228" s="6">
        <v>189.48</v>
      </c>
      <c r="D228" s="6">
        <v>126.79</v>
      </c>
      <c r="E228" s="12">
        <f t="shared" si="6"/>
        <v>6.4269400329313164E-3</v>
      </c>
      <c r="F228" s="12">
        <f t="shared" si="6"/>
        <v>1.8884603021536606E-2</v>
      </c>
      <c r="I228" s="13">
        <f t="shared" si="7"/>
        <v>-3.0648886124941543E-3</v>
      </c>
    </row>
    <row r="229" spans="2:9" x14ac:dyDescent="0.25">
      <c r="B229" s="5">
        <v>45748</v>
      </c>
      <c r="C229" s="3">
        <v>188.27</v>
      </c>
      <c r="D229" s="3">
        <v>124.44</v>
      </c>
      <c r="E229" s="12">
        <f t="shared" si="6"/>
        <v>5.31434341287218E-4</v>
      </c>
      <c r="F229" s="12">
        <f t="shared" si="6"/>
        <v>-2.7052384675527841E-2</v>
      </c>
      <c r="I229" s="13">
        <f t="shared" si="7"/>
        <v>1.0476790716627452E-2</v>
      </c>
    </row>
    <row r="230" spans="2:9" x14ac:dyDescent="0.25">
      <c r="B230" s="8">
        <v>45747</v>
      </c>
      <c r="C230" s="6">
        <v>188.17</v>
      </c>
      <c r="D230" s="6">
        <v>127.9</v>
      </c>
      <c r="E230" s="12">
        <f t="shared" si="6"/>
        <v>-2.7029891880433476E-3</v>
      </c>
      <c r="F230" s="12">
        <f t="shared" si="6"/>
        <v>-1.8343694834599633E-2</v>
      </c>
      <c r="I230" s="13">
        <f t="shared" si="7"/>
        <v>5.1895173204477701E-3</v>
      </c>
    </row>
    <row r="231" spans="2:9" x14ac:dyDescent="0.25">
      <c r="B231" s="5">
        <v>45744</v>
      </c>
      <c r="C231" s="3">
        <v>188.68</v>
      </c>
      <c r="D231" s="3">
        <v>130.29</v>
      </c>
      <c r="E231" s="12">
        <f t="shared" si="6"/>
        <v>-3.0222039473684181E-2</v>
      </c>
      <c r="F231" s="12">
        <f t="shared" si="6"/>
        <v>-9.8039215686276382E-3</v>
      </c>
      <c r="I231" s="13">
        <f t="shared" si="7"/>
        <v>-1.5212304082817249E-2</v>
      </c>
    </row>
    <row r="232" spans="2:9" x14ac:dyDescent="0.25">
      <c r="B232" s="8">
        <v>45743</v>
      </c>
      <c r="C232" s="6">
        <v>194.56</v>
      </c>
      <c r="D232" s="6">
        <v>131.58000000000001</v>
      </c>
      <c r="E232" s="12">
        <f t="shared" si="6"/>
        <v>-1.9700710434826352E-2</v>
      </c>
      <c r="F232" s="12">
        <f t="shared" si="6"/>
        <v>3.3551929235933198E-3</v>
      </c>
      <c r="I232" s="13">
        <f t="shared" si="7"/>
        <v>-1.3571141368113965E-2</v>
      </c>
    </row>
    <row r="233" spans="2:9" x14ac:dyDescent="0.25">
      <c r="B233" s="5">
        <v>45742</v>
      </c>
      <c r="C233" s="3">
        <v>198.47</v>
      </c>
      <c r="D233" s="3">
        <v>131.13999999999999</v>
      </c>
      <c r="E233" s="12">
        <f t="shared" si="6"/>
        <v>-2.801312503060871E-2</v>
      </c>
      <c r="F233" s="12">
        <f t="shared" si="6"/>
        <v>-1.3762502820185096E-2</v>
      </c>
      <c r="I233" s="13">
        <f t="shared" si="7"/>
        <v>-1.2347264586561033E-2</v>
      </c>
    </row>
    <row r="234" spans="2:9" x14ac:dyDescent="0.25">
      <c r="B234" s="8">
        <v>45741</v>
      </c>
      <c r="C234" s="6">
        <v>204.19</v>
      </c>
      <c r="D234" s="6">
        <v>132.97</v>
      </c>
      <c r="E234" s="12">
        <f t="shared" si="6"/>
        <v>-5.4067218704335618E-3</v>
      </c>
      <c r="F234" s="12">
        <f t="shared" si="6"/>
        <v>-1.7293622053063396E-2</v>
      </c>
      <c r="I234" s="13">
        <f t="shared" si="7"/>
        <v>3.1059071008777972E-3</v>
      </c>
    </row>
    <row r="235" spans="2:9" x14ac:dyDescent="0.25">
      <c r="B235" s="5">
        <v>45740</v>
      </c>
      <c r="C235" s="3">
        <v>205.3</v>
      </c>
      <c r="D235" s="3">
        <v>135.31</v>
      </c>
      <c r="E235" s="12">
        <f t="shared" si="6"/>
        <v>2.9692045340555806E-2</v>
      </c>
      <c r="F235" s="12">
        <f t="shared" si="6"/>
        <v>1.2951040574936235E-2</v>
      </c>
      <c r="I235" s="13">
        <f t="shared" si="7"/>
        <v>1.3700888122246291E-2</v>
      </c>
    </row>
    <row r="236" spans="2:9" x14ac:dyDescent="0.25">
      <c r="B236" s="8">
        <v>45737</v>
      </c>
      <c r="C236" s="6">
        <v>199.38</v>
      </c>
      <c r="D236" s="6">
        <v>133.58000000000001</v>
      </c>
      <c r="E236" s="12">
        <f t="shared" si="6"/>
        <v>-1.0471983721276557E-2</v>
      </c>
      <c r="F236" s="12">
        <f t="shared" si="6"/>
        <v>6.3281603133946707E-3</v>
      </c>
      <c r="I236" s="13">
        <f t="shared" si="7"/>
        <v>-8.9180499433208493E-3</v>
      </c>
    </row>
    <row r="237" spans="2:9" x14ac:dyDescent="0.25">
      <c r="B237" s="5">
        <v>45736</v>
      </c>
      <c r="C237" s="3">
        <v>201.49</v>
      </c>
      <c r="D237" s="3">
        <v>132.74</v>
      </c>
      <c r="E237" s="12">
        <f t="shared" si="6"/>
        <v>-7.9759736103589551E-3</v>
      </c>
      <c r="F237" s="12">
        <f t="shared" si="6"/>
        <v>-1.3598870476331903E-2</v>
      </c>
      <c r="I237" s="13">
        <f t="shared" si="7"/>
        <v>1.1459292215011685E-4</v>
      </c>
    </row>
    <row r="238" spans="2:9" x14ac:dyDescent="0.25">
      <c r="B238" s="8">
        <v>45735</v>
      </c>
      <c r="C238" s="6">
        <v>203.11</v>
      </c>
      <c r="D238" s="6">
        <v>134.57</v>
      </c>
      <c r="E238" s="12">
        <f t="shared" si="6"/>
        <v>8.1401697523204586E-3</v>
      </c>
      <c r="F238" s="12">
        <f t="shared" si="6"/>
        <v>3.5796852860019435E-3</v>
      </c>
      <c r="I238" s="13">
        <f t="shared" si="7"/>
        <v>3.7452241129495578E-3</v>
      </c>
    </row>
    <row r="239" spans="2:9" x14ac:dyDescent="0.25">
      <c r="B239" s="5">
        <v>45734</v>
      </c>
      <c r="C239" s="3">
        <v>201.47</v>
      </c>
      <c r="D239" s="3">
        <v>134.09</v>
      </c>
      <c r="E239" s="12">
        <f t="shared" si="6"/>
        <v>-1.4527489728037524E-2</v>
      </c>
      <c r="F239" s="12">
        <f t="shared" si="6"/>
        <v>-1.4768552534900725E-2</v>
      </c>
      <c r="I239" s="13">
        <f t="shared" si="7"/>
        <v>-3.5414738794356804E-3</v>
      </c>
    </row>
    <row r="240" spans="2:9" x14ac:dyDescent="0.25">
      <c r="B240" s="8">
        <v>45733</v>
      </c>
      <c r="C240" s="6">
        <v>204.44</v>
      </c>
      <c r="D240" s="6">
        <v>136.1</v>
      </c>
      <c r="E240" s="12">
        <f t="shared" si="6"/>
        <v>1.6507557677008622E-2</v>
      </c>
      <c r="F240" s="12">
        <f t="shared" si="6"/>
        <v>1.4233549444816918E-2</v>
      </c>
      <c r="I240" s="13">
        <f t="shared" si="7"/>
        <v>4.9796425063240446E-3</v>
      </c>
    </row>
    <row r="241" spans="2:9" x14ac:dyDescent="0.25">
      <c r="B241" s="5">
        <v>45730</v>
      </c>
      <c r="C241" s="3">
        <v>201.12</v>
      </c>
      <c r="D241" s="3">
        <v>134.19</v>
      </c>
      <c r="E241" s="12">
        <f t="shared" si="6"/>
        <v>3.0855971296770868E-2</v>
      </c>
      <c r="F241" s="12">
        <f t="shared" si="6"/>
        <v>7.8864353312304569E-3</v>
      </c>
      <c r="I241" s="13">
        <f t="shared" si="7"/>
        <v>1.6327568811270371E-2</v>
      </c>
    </row>
    <row r="242" spans="2:9" x14ac:dyDescent="0.25">
      <c r="B242" s="8">
        <v>45729</v>
      </c>
      <c r="C242" s="6">
        <v>195.1</v>
      </c>
      <c r="D242" s="6">
        <v>133.13999999999999</v>
      </c>
      <c r="E242" s="12">
        <f t="shared" si="6"/>
        <v>-4.9979600163199134E-3</v>
      </c>
      <c r="F242" s="12">
        <f t="shared" si="6"/>
        <v>-8.268156424581119E-3</v>
      </c>
      <c r="I242" s="13">
        <f t="shared" si="7"/>
        <v>-2.316635098202624E-5</v>
      </c>
    </row>
    <row r="243" spans="2:9" x14ac:dyDescent="0.25">
      <c r="B243" s="5">
        <v>45728</v>
      </c>
      <c r="C243" s="3">
        <v>196.08</v>
      </c>
      <c r="D243" s="3">
        <v>134.25</v>
      </c>
      <c r="E243" s="12">
        <f t="shared" si="6"/>
        <v>2.0612117426608512E-2</v>
      </c>
      <c r="F243" s="12">
        <f t="shared" si="6"/>
        <v>1.94044331666543E-3</v>
      </c>
      <c r="I243" s="13">
        <f t="shared" si="7"/>
        <v>1.2154907147880784E-2</v>
      </c>
    </row>
    <row r="244" spans="2:9" x14ac:dyDescent="0.25">
      <c r="B244" s="8">
        <v>45727</v>
      </c>
      <c r="C244" s="6">
        <v>192.12</v>
      </c>
      <c r="D244" s="6">
        <v>133.99</v>
      </c>
      <c r="E244" s="12">
        <f t="shared" si="6"/>
        <v>-1.1830058635942664E-2</v>
      </c>
      <c r="F244" s="12">
        <f t="shared" si="6"/>
        <v>-1.3618963486454638E-2</v>
      </c>
      <c r="I244" s="13">
        <f t="shared" si="7"/>
        <v>-2.2866753400436757E-3</v>
      </c>
    </row>
    <row r="245" spans="2:9" x14ac:dyDescent="0.25">
      <c r="B245" s="5">
        <v>45726</v>
      </c>
      <c r="C245" s="3">
        <v>194.42</v>
      </c>
      <c r="D245" s="3">
        <v>135.84</v>
      </c>
      <c r="E245" s="12">
        <f t="shared" si="6"/>
        <v>-4.6259504537650264E-2</v>
      </c>
      <c r="F245" s="12">
        <f t="shared" si="6"/>
        <v>-8.1051478641839259E-3</v>
      </c>
      <c r="I245" s="13">
        <f t="shared" si="7"/>
        <v>-2.5872759886962443E-2</v>
      </c>
    </row>
    <row r="246" spans="2:9" x14ac:dyDescent="0.25">
      <c r="B246" s="8">
        <v>45723</v>
      </c>
      <c r="C246" s="6">
        <v>203.85</v>
      </c>
      <c r="D246" s="6">
        <v>136.94999999999999</v>
      </c>
      <c r="E246" s="12">
        <f t="shared" si="6"/>
        <v>2.9337507574227484E-2</v>
      </c>
      <c r="F246" s="12">
        <f t="shared" si="6"/>
        <v>5.4327876073707593E-3</v>
      </c>
      <c r="I246" s="13">
        <f t="shared" si="7"/>
        <v>1.6298646881128143E-2</v>
      </c>
    </row>
    <row r="247" spans="2:9" x14ac:dyDescent="0.25">
      <c r="B247" s="5">
        <v>45722</v>
      </c>
      <c r="C247" s="3">
        <v>198.04</v>
      </c>
      <c r="D247" s="3">
        <v>136.21</v>
      </c>
      <c r="E247" s="12">
        <f t="shared" si="6"/>
        <v>-4.1571891787252624E-2</v>
      </c>
      <c r="F247" s="12">
        <f t="shared" si="6"/>
        <v>-4.24007602894938E-3</v>
      </c>
      <c r="I247" s="13">
        <f t="shared" si="7"/>
        <v>-2.4392403856176872E-2</v>
      </c>
    </row>
    <row r="248" spans="2:9" x14ac:dyDescent="0.25">
      <c r="B248" s="8">
        <v>45721</v>
      </c>
      <c r="C248" s="6">
        <v>206.63</v>
      </c>
      <c r="D248" s="6">
        <v>136.79</v>
      </c>
      <c r="E248" s="12">
        <f t="shared" si="6"/>
        <v>2.1555346813664888E-2</v>
      </c>
      <c r="F248" s="12">
        <f t="shared" si="6"/>
        <v>1.8085739803512801E-2</v>
      </c>
      <c r="I248" s="13">
        <f t="shared" si="7"/>
        <v>6.6899393322232548E-3</v>
      </c>
    </row>
    <row r="249" spans="2:9" x14ac:dyDescent="0.25">
      <c r="B249" s="5">
        <v>45720</v>
      </c>
      <c r="C249" s="3">
        <v>202.27</v>
      </c>
      <c r="D249" s="3">
        <v>134.36000000000001</v>
      </c>
      <c r="E249" s="12">
        <f t="shared" si="6"/>
        <v>5.5679840914739653E-3</v>
      </c>
      <c r="F249" s="12">
        <f t="shared" si="6"/>
        <v>8.9392133492260939E-4</v>
      </c>
      <c r="I249" s="13">
        <f t="shared" si="7"/>
        <v>3.1447695565752498E-3</v>
      </c>
    </row>
    <row r="250" spans="2:9" x14ac:dyDescent="0.25">
      <c r="B250" s="8">
        <v>45719</v>
      </c>
      <c r="C250" s="6">
        <v>201.15</v>
      </c>
      <c r="D250" s="6">
        <v>134.24</v>
      </c>
      <c r="E250" s="12">
        <f t="shared" si="6"/>
        <v>-3.534433147899485E-2</v>
      </c>
      <c r="F250" s="12">
        <f t="shared" si="6"/>
        <v>-2.0360504998905293E-2</v>
      </c>
      <c r="I250" s="13">
        <f t="shared" si="7"/>
        <v>-1.4455017799782297E-2</v>
      </c>
    </row>
    <row r="251" spans="2:9" x14ac:dyDescent="0.25">
      <c r="B251" s="5">
        <v>45716</v>
      </c>
      <c r="C251" s="3">
        <v>208.52</v>
      </c>
      <c r="D251" s="3">
        <v>137.03</v>
      </c>
      <c r="E251" s="12">
        <f t="shared" si="6"/>
        <v>1.5931790499390974E-2</v>
      </c>
      <c r="F251" s="12">
        <f t="shared" si="6"/>
        <v>1.1440803070563943E-2</v>
      </c>
      <c r="I251" s="13">
        <f t="shared" si="7"/>
        <v>5.6670679106578803E-3</v>
      </c>
    </row>
    <row r="252" spans="2:9" x14ac:dyDescent="0.25">
      <c r="B252" s="8">
        <v>45715</v>
      </c>
      <c r="C252" s="6">
        <v>205.25</v>
      </c>
      <c r="D252" s="6">
        <v>135.47999999999999</v>
      </c>
      <c r="E252" s="12">
        <f t="shared" si="6"/>
        <v>-5.8227034963751478E-2</v>
      </c>
      <c r="F252" s="12">
        <f t="shared" si="6"/>
        <v>-1.1383537653239961E-2</v>
      </c>
      <c r="I252" s="13">
        <f t="shared" si="7"/>
        <v>-3.2123070232379689E-2</v>
      </c>
    </row>
    <row r="253" spans="2:9" x14ac:dyDescent="0.25">
      <c r="B253" s="5">
        <v>45714</v>
      </c>
      <c r="C253" s="3">
        <v>217.94</v>
      </c>
      <c r="D253" s="3">
        <v>137.04</v>
      </c>
      <c r="E253" s="12">
        <f t="shared" si="6"/>
        <v>1.7412819196115814E-2</v>
      </c>
      <c r="F253" s="12">
        <f t="shared" si="6"/>
        <v>-5.9480632525752419E-3</v>
      </c>
      <c r="I253" s="13">
        <f t="shared" si="7"/>
        <v>1.31135357172881E-2</v>
      </c>
    </row>
    <row r="254" spans="2:9" x14ac:dyDescent="0.25">
      <c r="B254" s="8">
        <v>45713</v>
      </c>
      <c r="C254" s="6">
        <v>214.21</v>
      </c>
      <c r="D254" s="6">
        <v>137.86000000000001</v>
      </c>
      <c r="E254" s="12">
        <f t="shared" si="6"/>
        <v>-2.061997073884414E-2</v>
      </c>
      <c r="F254" s="12">
        <f t="shared" si="6"/>
        <v>-6.3427994810436594E-3</v>
      </c>
      <c r="I254" s="13">
        <f t="shared" si="7"/>
        <v>-1.0508931906386215E-2</v>
      </c>
    </row>
    <row r="255" spans="2:9" x14ac:dyDescent="0.25">
      <c r="B255" s="5">
        <v>45712</v>
      </c>
      <c r="C255" s="3">
        <v>218.72</v>
      </c>
      <c r="D255" s="3">
        <v>138.74</v>
      </c>
      <c r="E255" s="12">
        <f t="shared" si="6"/>
        <v>-2.3484239664255724E-2</v>
      </c>
      <c r="F255" s="12">
        <f t="shared" si="6"/>
        <v>-1.2238139802749348E-3</v>
      </c>
      <c r="I255" s="13">
        <f t="shared" si="7"/>
        <v>-1.4218719547556727E-2</v>
      </c>
    </row>
    <row r="256" spans="2:9" x14ac:dyDescent="0.25">
      <c r="B256" s="8">
        <v>45709</v>
      </c>
      <c r="C256" s="6">
        <v>223.98</v>
      </c>
      <c r="D256" s="6">
        <v>138.91</v>
      </c>
      <c r="E256" s="12">
        <f t="shared" si="6"/>
        <v>-3.0683342710001282E-2</v>
      </c>
      <c r="F256" s="12">
        <f t="shared" si="6"/>
        <v>-3.7294699849387269E-3</v>
      </c>
      <c r="I256" s="13">
        <f t="shared" si="7"/>
        <v>-1.7778537949398779E-2</v>
      </c>
    </row>
    <row r="257" spans="2:9" x14ac:dyDescent="0.25">
      <c r="B257" s="5">
        <v>45708</v>
      </c>
      <c r="C257" s="3">
        <v>231.07</v>
      </c>
      <c r="D257" s="3">
        <v>139.43</v>
      </c>
      <c r="E257" s="12">
        <f t="shared" si="6"/>
        <v>2.3424283173556493E-3</v>
      </c>
      <c r="F257" s="12">
        <f t="shared" si="6"/>
        <v>4.9733314112727633E-3</v>
      </c>
      <c r="I257" s="13">
        <f t="shared" si="7"/>
        <v>-4.0098158088000546E-4</v>
      </c>
    </row>
    <row r="258" spans="2:9" x14ac:dyDescent="0.25">
      <c r="B258" s="8">
        <v>45707</v>
      </c>
      <c r="C258" s="6">
        <v>230.53</v>
      </c>
      <c r="D258" s="6">
        <v>138.74</v>
      </c>
      <c r="E258" s="12">
        <f t="shared" si="6"/>
        <v>1.6625507144117257E-2</v>
      </c>
      <c r="F258" s="12">
        <f t="shared" si="6"/>
        <v>1.1888264896798173E-2</v>
      </c>
      <c r="I258" s="13">
        <f t="shared" si="7"/>
        <v>5.9328426287739711E-3</v>
      </c>
    </row>
    <row r="259" spans="2:9" x14ac:dyDescent="0.25">
      <c r="B259" s="5">
        <v>45706</v>
      </c>
      <c r="C259" s="3">
        <v>226.76</v>
      </c>
      <c r="D259" s="3">
        <v>137.11000000000001</v>
      </c>
      <c r="E259" s="12">
        <f t="shared" si="6"/>
        <v>1.6541892679428072E-2</v>
      </c>
      <c r="F259" s="12">
        <f t="shared" si="6"/>
        <v>4.10106188209447E-3</v>
      </c>
      <c r="I259" s="13">
        <f t="shared" si="7"/>
        <v>8.8007847188571187E-3</v>
      </c>
    </row>
    <row r="260" spans="2:9" x14ac:dyDescent="0.25">
      <c r="B260" s="8">
        <v>45702</v>
      </c>
      <c r="C260" s="6">
        <v>223.07</v>
      </c>
      <c r="D260" s="6">
        <v>136.55000000000001</v>
      </c>
      <c r="E260" s="12">
        <f t="shared" si="6"/>
        <v>1.0321306767187011E-3</v>
      </c>
      <c r="F260" s="12">
        <f t="shared" si="6"/>
        <v>-3.5755983654406354E-3</v>
      </c>
      <c r="I260" s="13">
        <f t="shared" si="7"/>
        <v>1.9859310599894264E-3</v>
      </c>
    </row>
    <row r="261" spans="2:9" x14ac:dyDescent="0.25">
      <c r="B261" s="5">
        <v>45701</v>
      </c>
      <c r="C261" s="3">
        <v>222.84</v>
      </c>
      <c r="D261" s="3">
        <v>137.04</v>
      </c>
      <c r="E261" s="12">
        <f t="shared" si="6"/>
        <v>1.22649223221587E-2</v>
      </c>
      <c r="F261" s="12">
        <f t="shared" si="6"/>
        <v>1.1589281759799119E-2</v>
      </c>
      <c r="I261" s="13">
        <f t="shared" si="7"/>
        <v>3.3195957914245178E-3</v>
      </c>
    </row>
    <row r="262" spans="2:9" x14ac:dyDescent="0.25">
      <c r="B262" s="8">
        <v>45700</v>
      </c>
      <c r="C262" s="6">
        <v>220.14</v>
      </c>
      <c r="D262" s="6">
        <v>135.47</v>
      </c>
      <c r="E262" s="12">
        <f t="shared" si="6"/>
        <v>1.0914051841746097E-3</v>
      </c>
      <c r="F262" s="12">
        <f t="shared" si="6"/>
        <v>9.1626936829558581E-3</v>
      </c>
      <c r="I262" s="13">
        <f t="shared" si="7"/>
        <v>-2.7538818909993157E-3</v>
      </c>
    </row>
    <row r="263" spans="2:9" x14ac:dyDescent="0.25">
      <c r="B263" s="5">
        <v>45699</v>
      </c>
      <c r="C263" s="3">
        <v>219.9</v>
      </c>
      <c r="D263" s="3">
        <v>134.24</v>
      </c>
      <c r="E263" s="12">
        <f t="shared" si="6"/>
        <v>9.1033227127912397E-4</v>
      </c>
      <c r="F263" s="12">
        <f t="shared" si="6"/>
        <v>-1.4028644876973861E-2</v>
      </c>
      <c r="I263" s="13">
        <f t="shared" si="7"/>
        <v>5.8296994984146505E-3</v>
      </c>
    </row>
    <row r="264" spans="2:9" x14ac:dyDescent="0.25">
      <c r="B264" s="8">
        <v>45698</v>
      </c>
      <c r="C264" s="6">
        <v>219.7</v>
      </c>
      <c r="D264" s="6">
        <v>136.15</v>
      </c>
      <c r="E264" s="12">
        <f t="shared" si="6"/>
        <v>1.3049292202701901E-2</v>
      </c>
      <c r="F264" s="12">
        <f t="shared" si="6"/>
        <v>-1.1040894893585951E-2</v>
      </c>
      <c r="I264" s="13">
        <f t="shared" si="7"/>
        <v>1.229614321178342E-2</v>
      </c>
    </row>
    <row r="265" spans="2:9" x14ac:dyDescent="0.25">
      <c r="B265" s="5">
        <v>45695</v>
      </c>
      <c r="C265" s="3">
        <v>216.87</v>
      </c>
      <c r="D265" s="3">
        <v>137.66999999999999</v>
      </c>
      <c r="E265" s="12"/>
      <c r="F265" s="12"/>
      <c r="I2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6ED9-DF88-43E5-8F54-ED390BD51D6D}">
  <dimension ref="B3:J265"/>
  <sheetViews>
    <sheetView zoomScale="140" zoomScaleNormal="140" workbookViewId="0">
      <selection activeCell="K6" sqref="K6"/>
    </sheetView>
  </sheetViews>
  <sheetFormatPr baseColWidth="10" defaultRowHeight="15" x14ac:dyDescent="0.25"/>
  <cols>
    <col min="6" max="6" width="13.28515625" bestFit="1" customWidth="1"/>
    <col min="9" max="9" width="8.85546875" bestFit="1" customWidth="1"/>
  </cols>
  <sheetData>
    <row r="3" spans="2:10" x14ac:dyDescent="0.25">
      <c r="B3" t="s">
        <v>0</v>
      </c>
    </row>
    <row r="5" spans="2:10" x14ac:dyDescent="0.25">
      <c r="B5" t="s">
        <v>1</v>
      </c>
      <c r="C5" t="s">
        <v>3</v>
      </c>
      <c r="E5" t="s">
        <v>27</v>
      </c>
    </row>
    <row r="6" spans="2:10" x14ac:dyDescent="0.25">
      <c r="B6" t="s">
        <v>2</v>
      </c>
      <c r="C6" t="s">
        <v>4</v>
      </c>
    </row>
    <row r="8" spans="2:10" x14ac:dyDescent="0.25">
      <c r="B8" t="s">
        <v>26</v>
      </c>
    </row>
    <row r="9" spans="2:10" x14ac:dyDescent="0.25">
      <c r="B9" s="11" t="s">
        <v>25</v>
      </c>
    </row>
    <row r="10" spans="2:10" x14ac:dyDescent="0.25">
      <c r="B10" t="s">
        <v>5</v>
      </c>
    </row>
    <row r="11" spans="2:10" x14ac:dyDescent="0.25">
      <c r="B11" s="14" t="s">
        <v>6</v>
      </c>
      <c r="C11" s="14"/>
      <c r="D11" s="14"/>
      <c r="E11" s="15">
        <f>PERCENTILE(I14:I264,0.05)</f>
        <v>-1.6835237083487636E-2</v>
      </c>
      <c r="F11" s="16">
        <f>E11*16000000</f>
        <v>-269363.79333580215</v>
      </c>
      <c r="G11" s="14"/>
    </row>
    <row r="12" spans="2:10" x14ac:dyDescent="0.25">
      <c r="G12" s="14" t="s">
        <v>28</v>
      </c>
      <c r="H12" s="14"/>
    </row>
    <row r="13" spans="2:10" x14ac:dyDescent="0.25">
      <c r="B13" s="9" t="s">
        <v>17</v>
      </c>
      <c r="C13" s="9" t="s">
        <v>1</v>
      </c>
      <c r="D13" s="9" t="s">
        <v>2</v>
      </c>
      <c r="E13" s="9" t="s">
        <v>20</v>
      </c>
      <c r="F13" s="9" t="s">
        <v>21</v>
      </c>
      <c r="G13" s="9" t="s">
        <v>22</v>
      </c>
      <c r="H13" s="9" t="s">
        <v>23</v>
      </c>
      <c r="I13" s="9" t="s">
        <v>24</v>
      </c>
    </row>
    <row r="14" spans="2:10" x14ac:dyDescent="0.25">
      <c r="B14" s="8">
        <v>46062</v>
      </c>
      <c r="C14" s="6">
        <v>352.77</v>
      </c>
      <c r="D14" s="6">
        <v>174.37</v>
      </c>
      <c r="E14" s="12">
        <f>C14/C15-1</f>
        <v>1.2223465610742945E-2</v>
      </c>
      <c r="F14" s="12">
        <f>D14/D15-1</f>
        <v>-3.4861126985940016E-3</v>
      </c>
      <c r="G14" s="12">
        <v>0.5</v>
      </c>
      <c r="H14" s="12">
        <v>-0.5</v>
      </c>
      <c r="I14" s="13">
        <f>E14*$G$14+F14*$H$14</f>
        <v>7.8547891546684734E-3</v>
      </c>
      <c r="J14" s="1"/>
    </row>
    <row r="15" spans="2:10" x14ac:dyDescent="0.25">
      <c r="B15" s="5">
        <v>46059</v>
      </c>
      <c r="C15" s="3">
        <v>348.51</v>
      </c>
      <c r="D15" s="3">
        <v>174.98</v>
      </c>
      <c r="E15" s="12">
        <f t="shared" ref="E15:F78" si="0">C15/C16-1</f>
        <v>5.3441344497173748E-2</v>
      </c>
      <c r="F15" s="12">
        <f t="shared" si="0"/>
        <v>2.9051987767584109E-2</v>
      </c>
      <c r="I15" s="13">
        <f t="shared" ref="I15:I78" si="1">E15*$G$14+F15*$H$14</f>
        <v>1.219467836479482E-2</v>
      </c>
    </row>
    <row r="16" spans="2:10" x14ac:dyDescent="0.25">
      <c r="B16" s="8">
        <v>46058</v>
      </c>
      <c r="C16" s="6">
        <v>330.83</v>
      </c>
      <c r="D16" s="6">
        <v>170.04</v>
      </c>
      <c r="E16" s="12">
        <f t="shared" si="0"/>
        <v>1.3620679217869469E-3</v>
      </c>
      <c r="F16" s="12">
        <f t="shared" si="0"/>
        <v>-2.3039356506751041E-2</v>
      </c>
      <c r="I16" s="13">
        <f t="shared" si="1"/>
        <v>1.2200712214268994E-2</v>
      </c>
    </row>
    <row r="17" spans="2:9" x14ac:dyDescent="0.25">
      <c r="B17" s="5">
        <v>46057</v>
      </c>
      <c r="C17" s="3">
        <v>330.38</v>
      </c>
      <c r="D17" s="3">
        <v>174.05</v>
      </c>
      <c r="E17" s="12">
        <f t="shared" si="0"/>
        <v>-4.4149982640897978E-2</v>
      </c>
      <c r="F17" s="12">
        <f t="shared" si="0"/>
        <v>1.4384349827387677E-3</v>
      </c>
      <c r="I17" s="13">
        <f t="shared" si="1"/>
        <v>-2.2794208811818373E-2</v>
      </c>
    </row>
    <row r="18" spans="2:9" x14ac:dyDescent="0.25">
      <c r="B18" s="8">
        <v>46056</v>
      </c>
      <c r="C18" s="6">
        <v>345.64</v>
      </c>
      <c r="D18" s="6">
        <v>173.8</v>
      </c>
      <c r="E18" s="12">
        <f t="shared" si="0"/>
        <v>-1.9989225665598687E-2</v>
      </c>
      <c r="F18" s="12">
        <f t="shared" si="0"/>
        <v>-1.952452050074549E-3</v>
      </c>
      <c r="I18" s="13">
        <f t="shared" si="1"/>
        <v>-9.0183868077620688E-3</v>
      </c>
    </row>
    <row r="19" spans="2:9" x14ac:dyDescent="0.25">
      <c r="B19" s="5">
        <v>46055</v>
      </c>
      <c r="C19" s="3">
        <v>352.69</v>
      </c>
      <c r="D19" s="3">
        <v>174.14</v>
      </c>
      <c r="E19" s="12">
        <f t="shared" si="0"/>
        <v>1.8452209067282732E-2</v>
      </c>
      <c r="F19" s="12">
        <f t="shared" si="0"/>
        <v>9.9170677956270659E-3</v>
      </c>
      <c r="I19" s="13">
        <f t="shared" si="1"/>
        <v>4.2675706358278331E-3</v>
      </c>
    </row>
    <row r="20" spans="2:9" x14ac:dyDescent="0.25">
      <c r="B20" s="8">
        <v>46052</v>
      </c>
      <c r="C20" s="6">
        <v>346.3</v>
      </c>
      <c r="D20" s="6">
        <v>172.43</v>
      </c>
      <c r="E20" s="12">
        <f t="shared" si="0"/>
        <v>-4.106554426383846E-2</v>
      </c>
      <c r="F20" s="12">
        <f t="shared" si="0"/>
        <v>-1.0444763271162061E-2</v>
      </c>
      <c r="I20" s="13">
        <f t="shared" si="1"/>
        <v>-1.53103904963382E-2</v>
      </c>
    </row>
    <row r="21" spans="2:9" x14ac:dyDescent="0.25">
      <c r="B21" s="5">
        <v>46051</v>
      </c>
      <c r="C21" s="3">
        <v>361.13</v>
      </c>
      <c r="D21" s="3">
        <v>174.25</v>
      </c>
      <c r="E21" s="12">
        <f t="shared" si="0"/>
        <v>1.8587360594795044E-3</v>
      </c>
      <c r="F21" s="12">
        <f t="shared" si="0"/>
        <v>1.2641498592196321E-3</v>
      </c>
      <c r="I21" s="13">
        <f t="shared" si="1"/>
        <v>2.9729310012993615E-4</v>
      </c>
    </row>
    <row r="22" spans="2:9" x14ac:dyDescent="0.25">
      <c r="B22" s="8">
        <v>46050</v>
      </c>
      <c r="C22" s="6">
        <v>360.46</v>
      </c>
      <c r="D22" s="6">
        <v>174.03</v>
      </c>
      <c r="E22" s="12">
        <f t="shared" si="0"/>
        <v>2.6717557251908275E-2</v>
      </c>
      <c r="F22" s="12">
        <f t="shared" si="0"/>
        <v>-1.6223855285471989E-2</v>
      </c>
      <c r="I22" s="13">
        <f t="shared" si="1"/>
        <v>2.1470706268690132E-2</v>
      </c>
    </row>
    <row r="23" spans="2:9" x14ac:dyDescent="0.25">
      <c r="B23" s="5">
        <v>46049</v>
      </c>
      <c r="C23" s="3">
        <v>351.08</v>
      </c>
      <c r="D23" s="3">
        <v>176.9</v>
      </c>
      <c r="E23" s="12">
        <f t="shared" si="0"/>
        <v>2.3348004780365583E-2</v>
      </c>
      <c r="F23" s="12">
        <f t="shared" si="0"/>
        <v>5.9709980096673831E-3</v>
      </c>
      <c r="I23" s="13">
        <f t="shared" si="1"/>
        <v>8.6885033853491E-3</v>
      </c>
    </row>
    <row r="24" spans="2:9" x14ac:dyDescent="0.25">
      <c r="B24" s="8">
        <v>46048</v>
      </c>
      <c r="C24" s="6">
        <v>343.07</v>
      </c>
      <c r="D24" s="6">
        <v>175.85</v>
      </c>
      <c r="E24" s="12">
        <f t="shared" si="0"/>
        <v>-4.7576223492210579E-3</v>
      </c>
      <c r="F24" s="12">
        <f t="shared" si="0"/>
        <v>2.9658358523925177E-3</v>
      </c>
      <c r="I24" s="13">
        <f t="shared" si="1"/>
        <v>-3.8617291008067878E-3</v>
      </c>
    </row>
    <row r="25" spans="2:9" x14ac:dyDescent="0.25">
      <c r="B25" s="5">
        <v>46045</v>
      </c>
      <c r="C25" s="3">
        <v>344.71</v>
      </c>
      <c r="D25" s="3">
        <v>175.33</v>
      </c>
      <c r="E25" s="12">
        <f t="shared" si="0"/>
        <v>-1.1357444001491523E-2</v>
      </c>
      <c r="F25" s="12">
        <f t="shared" si="0"/>
        <v>-1.3003827966673986E-2</v>
      </c>
      <c r="I25" s="13">
        <f t="shared" si="1"/>
        <v>8.231919825912315E-4</v>
      </c>
    </row>
    <row r="26" spans="2:9" x14ac:dyDescent="0.25">
      <c r="B26" s="8">
        <v>46044</v>
      </c>
      <c r="C26" s="6">
        <v>348.67</v>
      </c>
      <c r="D26" s="6">
        <v>177.64</v>
      </c>
      <c r="E26" s="12">
        <f t="shared" si="0"/>
        <v>1.5223760556097865E-3</v>
      </c>
      <c r="F26" s="12">
        <f t="shared" si="0"/>
        <v>1.4158483672071176E-2</v>
      </c>
      <c r="I26" s="13">
        <f t="shared" si="1"/>
        <v>-6.3180538082306947E-3</v>
      </c>
    </row>
    <row r="27" spans="2:9" x14ac:dyDescent="0.25">
      <c r="B27" s="5">
        <v>46043</v>
      </c>
      <c r="C27" s="3">
        <v>348.14</v>
      </c>
      <c r="D27" s="3">
        <v>175.16</v>
      </c>
      <c r="E27" s="12">
        <f t="shared" si="0"/>
        <v>3.1984585741811067E-2</v>
      </c>
      <c r="F27" s="12">
        <f t="shared" si="0"/>
        <v>2.6007497656982181E-2</v>
      </c>
      <c r="I27" s="13">
        <f t="shared" si="1"/>
        <v>2.9885440424144427E-3</v>
      </c>
    </row>
    <row r="28" spans="2:9" x14ac:dyDescent="0.25">
      <c r="B28" s="8">
        <v>46042</v>
      </c>
      <c r="C28" s="6">
        <v>337.35</v>
      </c>
      <c r="D28" s="6">
        <v>170.72</v>
      </c>
      <c r="E28" s="12">
        <f t="shared" si="0"/>
        <v>-1.4950214617338808E-2</v>
      </c>
      <c r="F28" s="12">
        <f t="shared" si="0"/>
        <v>4.4716403859730303E-3</v>
      </c>
      <c r="I28" s="13">
        <f t="shared" si="1"/>
        <v>-9.7109275016559193E-3</v>
      </c>
    </row>
    <row r="29" spans="2:9" x14ac:dyDescent="0.25">
      <c r="B29" s="5">
        <v>46038</v>
      </c>
      <c r="C29" s="3">
        <v>342.47</v>
      </c>
      <c r="D29" s="3">
        <v>169.96</v>
      </c>
      <c r="E29" s="12">
        <f t="shared" si="0"/>
        <v>1.5568471620900359E-2</v>
      </c>
      <c r="F29" s="12">
        <f t="shared" si="0"/>
        <v>-3.5178236397748197E-3</v>
      </c>
      <c r="I29" s="13">
        <f t="shared" si="1"/>
        <v>9.5431476303375895E-3</v>
      </c>
    </row>
    <row r="30" spans="2:9" x14ac:dyDescent="0.25">
      <c r="B30" s="8">
        <v>46037</v>
      </c>
      <c r="C30" s="6">
        <v>337.22</v>
      </c>
      <c r="D30" s="6">
        <v>170.56</v>
      </c>
      <c r="E30" s="12">
        <f t="shared" si="0"/>
        <v>1.6028924374811737E-2</v>
      </c>
      <c r="F30" s="12">
        <f t="shared" si="0"/>
        <v>-1.3134293814731302E-2</v>
      </c>
      <c r="I30" s="13">
        <f t="shared" si="1"/>
        <v>1.4581609094771519E-2</v>
      </c>
    </row>
    <row r="31" spans="2:9" x14ac:dyDescent="0.25">
      <c r="B31" s="5">
        <v>46036</v>
      </c>
      <c r="C31" s="3">
        <v>331.9</v>
      </c>
      <c r="D31" s="3">
        <v>172.83</v>
      </c>
      <c r="E31" s="12">
        <f t="shared" si="0"/>
        <v>-4.2004200420042714E-3</v>
      </c>
      <c r="F31" s="12">
        <f t="shared" si="0"/>
        <v>8.8139154798039243E-3</v>
      </c>
      <c r="I31" s="13">
        <f t="shared" si="1"/>
        <v>-6.5071677609040979E-3</v>
      </c>
    </row>
    <row r="32" spans="2:9" x14ac:dyDescent="0.25">
      <c r="B32" s="8">
        <v>46035</v>
      </c>
      <c r="C32" s="6">
        <v>333.3</v>
      </c>
      <c r="D32" s="6">
        <v>171.32</v>
      </c>
      <c r="E32" s="12">
        <f t="shared" si="0"/>
        <v>8.9299228091417326E-3</v>
      </c>
      <c r="F32" s="12">
        <f t="shared" si="0"/>
        <v>-4.6674445740968462E-4</v>
      </c>
      <c r="I32" s="13">
        <f t="shared" si="1"/>
        <v>4.6983336332757086E-3</v>
      </c>
    </row>
    <row r="33" spans="2:9" x14ac:dyDescent="0.25">
      <c r="B33" s="5">
        <v>46034</v>
      </c>
      <c r="C33" s="3">
        <v>330.35</v>
      </c>
      <c r="D33" s="3">
        <v>171.4</v>
      </c>
      <c r="E33" s="12">
        <f t="shared" si="0"/>
        <v>4.7752296368392955E-3</v>
      </c>
      <c r="F33" s="12">
        <f t="shared" si="0"/>
        <v>-5.7427925053655793E-3</v>
      </c>
      <c r="I33" s="13">
        <f t="shared" si="1"/>
        <v>5.2590110711024374E-3</v>
      </c>
    </row>
    <row r="34" spans="2:9" x14ac:dyDescent="0.25">
      <c r="B34" s="8">
        <v>46031</v>
      </c>
      <c r="C34" s="6">
        <v>328.78</v>
      </c>
      <c r="D34" s="6">
        <v>172.39</v>
      </c>
      <c r="E34" s="12">
        <f t="shared" si="0"/>
        <v>2.8787783966455871E-2</v>
      </c>
      <c r="F34" s="12">
        <f t="shared" si="0"/>
        <v>7.5467316846622445E-4</v>
      </c>
      <c r="I34" s="13">
        <f t="shared" si="1"/>
        <v>1.4016555398994823E-2</v>
      </c>
    </row>
    <row r="35" spans="2:9" x14ac:dyDescent="0.25">
      <c r="B35" s="5">
        <v>46030</v>
      </c>
      <c r="C35" s="3">
        <v>319.58</v>
      </c>
      <c r="D35" s="3">
        <v>172.26</v>
      </c>
      <c r="E35" s="12">
        <f t="shared" si="0"/>
        <v>-1.6343993351595976E-2</v>
      </c>
      <c r="F35" s="12">
        <f t="shared" si="0"/>
        <v>-2.5347968767681417E-2</v>
      </c>
      <c r="I35" s="13">
        <f t="shared" si="1"/>
        <v>4.5019877080427206E-3</v>
      </c>
    </row>
    <row r="36" spans="2:9" x14ac:dyDescent="0.25">
      <c r="B36" s="8">
        <v>46029</v>
      </c>
      <c r="C36" s="6">
        <v>324.89</v>
      </c>
      <c r="D36" s="6">
        <v>176.74</v>
      </c>
      <c r="E36" s="12">
        <f t="shared" si="0"/>
        <v>-1.0537536165676986E-2</v>
      </c>
      <c r="F36" s="12">
        <f t="shared" si="0"/>
        <v>3.2118663863583308E-2</v>
      </c>
      <c r="I36" s="13">
        <f t="shared" si="1"/>
        <v>-2.1328100014630147E-2</v>
      </c>
    </row>
    <row r="37" spans="2:9" x14ac:dyDescent="0.25">
      <c r="B37" s="5">
        <v>46028</v>
      </c>
      <c r="C37" s="3">
        <v>328.35</v>
      </c>
      <c r="D37" s="3">
        <v>171.24</v>
      </c>
      <c r="E37" s="12">
        <f t="shared" si="0"/>
        <v>3.2352386342199724E-2</v>
      </c>
      <c r="F37" s="12">
        <f t="shared" si="0"/>
        <v>2.3305844388669783E-2</v>
      </c>
      <c r="I37" s="13">
        <f t="shared" si="1"/>
        <v>4.5232709767649704E-3</v>
      </c>
    </row>
    <row r="38" spans="2:9" x14ac:dyDescent="0.25">
      <c r="B38" s="8">
        <v>46027</v>
      </c>
      <c r="C38" s="6">
        <v>318.06</v>
      </c>
      <c r="D38" s="6">
        <v>167.34</v>
      </c>
      <c r="E38" s="12">
        <f t="shared" si="0"/>
        <v>1.3930950938825015E-2</v>
      </c>
      <c r="F38" s="12">
        <f t="shared" si="0"/>
        <v>-9.8224852071006064E-3</v>
      </c>
      <c r="I38" s="13">
        <f t="shared" si="1"/>
        <v>1.1876718072962811E-2</v>
      </c>
    </row>
    <row r="39" spans="2:9" x14ac:dyDescent="0.25">
      <c r="B39" s="5">
        <v>46024</v>
      </c>
      <c r="C39" s="3">
        <v>313.69</v>
      </c>
      <c r="D39" s="3">
        <v>169</v>
      </c>
      <c r="E39" s="12">
        <f t="shared" si="0"/>
        <v>4.1640378548895907E-2</v>
      </c>
      <c r="F39" s="12">
        <f t="shared" si="0"/>
        <v>1.3628014457545135E-3</v>
      </c>
      <c r="I39" s="13">
        <f t="shared" si="1"/>
        <v>2.0138788551570697E-2</v>
      </c>
    </row>
    <row r="40" spans="2:9" x14ac:dyDescent="0.25">
      <c r="B40" s="8">
        <v>46022</v>
      </c>
      <c r="C40" s="6">
        <v>301.14999999999998</v>
      </c>
      <c r="D40" s="6">
        <v>168.77</v>
      </c>
      <c r="E40" s="12">
        <f t="shared" si="0"/>
        <v>-1.2363898727535183E-2</v>
      </c>
      <c r="F40" s="12">
        <f t="shared" si="0"/>
        <v>-7.1052164130480655E-4</v>
      </c>
      <c r="I40" s="13">
        <f t="shared" si="1"/>
        <v>-5.8266885431151882E-3</v>
      </c>
    </row>
    <row r="41" spans="2:9" x14ac:dyDescent="0.25">
      <c r="B41" s="5">
        <v>46021</v>
      </c>
      <c r="C41" s="3">
        <v>304.92</v>
      </c>
      <c r="D41" s="3">
        <v>168.89</v>
      </c>
      <c r="E41" s="12">
        <f t="shared" si="0"/>
        <v>-1.3101008777675061E-3</v>
      </c>
      <c r="F41" s="12">
        <f t="shared" si="0"/>
        <v>-1.0951042398688271E-2</v>
      </c>
      <c r="I41" s="13">
        <f t="shared" si="1"/>
        <v>4.8204707604603825E-3</v>
      </c>
    </row>
    <row r="42" spans="2:9" x14ac:dyDescent="0.25">
      <c r="B42" s="8">
        <v>46020</v>
      </c>
      <c r="C42" s="6">
        <v>305.32</v>
      </c>
      <c r="D42" s="6">
        <v>170.76</v>
      </c>
      <c r="E42" s="12">
        <f t="shared" si="0"/>
        <v>-2.3526336426611394E-3</v>
      </c>
      <c r="F42" s="12">
        <f t="shared" si="0"/>
        <v>-7.3824332965181094E-3</v>
      </c>
      <c r="I42" s="13">
        <f t="shared" si="1"/>
        <v>2.514899826928485E-3</v>
      </c>
    </row>
    <row r="43" spans="2:9" x14ac:dyDescent="0.25">
      <c r="B43" s="5">
        <v>46017</v>
      </c>
      <c r="C43" s="3">
        <v>306.04000000000002</v>
      </c>
      <c r="D43" s="3">
        <v>172.03</v>
      </c>
      <c r="E43" s="12">
        <f t="shared" si="0"/>
        <v>-3.2664793885139876E-4</v>
      </c>
      <c r="F43" s="12">
        <f t="shared" si="0"/>
        <v>-7.0418470418470713E-3</v>
      </c>
      <c r="I43" s="13">
        <f t="shared" si="1"/>
        <v>3.3575995514978363E-3</v>
      </c>
    </row>
    <row r="44" spans="2:9" x14ac:dyDescent="0.25">
      <c r="B44" s="8">
        <v>46015</v>
      </c>
      <c r="C44" s="6">
        <v>306.14</v>
      </c>
      <c r="D44" s="6">
        <v>173.25</v>
      </c>
      <c r="E44" s="12">
        <f t="shared" si="0"/>
        <v>3.8693599160546377E-3</v>
      </c>
      <c r="F44" s="12">
        <f t="shared" si="0"/>
        <v>6.682161533991815E-3</v>
      </c>
      <c r="I44" s="13">
        <f t="shared" si="1"/>
        <v>-1.4064008089685887E-3</v>
      </c>
    </row>
    <row r="45" spans="2:9" x14ac:dyDescent="0.25">
      <c r="B45" s="5">
        <v>46014</v>
      </c>
      <c r="C45" s="3">
        <v>304.95999999999998</v>
      </c>
      <c r="D45" s="3">
        <v>172.1</v>
      </c>
      <c r="E45" s="12">
        <f t="shared" si="0"/>
        <v>3.6861506055818616E-3</v>
      </c>
      <c r="F45" s="12">
        <f t="shared" si="0"/>
        <v>-3.8779880766337538E-3</v>
      </c>
      <c r="I45" s="13">
        <f t="shared" si="1"/>
        <v>3.7820693411078077E-3</v>
      </c>
    </row>
    <row r="46" spans="2:9" x14ac:dyDescent="0.25">
      <c r="B46" s="8">
        <v>46013</v>
      </c>
      <c r="C46" s="6">
        <v>303.83999999999997</v>
      </c>
      <c r="D46" s="6">
        <v>172.77</v>
      </c>
      <c r="E46" s="12">
        <f t="shared" si="0"/>
        <v>1.3441846502785015E-2</v>
      </c>
      <c r="F46" s="12">
        <f t="shared" si="0"/>
        <v>1.5099882491186989E-2</v>
      </c>
      <c r="I46" s="13">
        <f t="shared" si="1"/>
        <v>-8.2901799420098676E-4</v>
      </c>
    </row>
    <row r="47" spans="2:9" x14ac:dyDescent="0.25">
      <c r="B47" s="5">
        <v>46010</v>
      </c>
      <c r="C47" s="3">
        <v>299.81</v>
      </c>
      <c r="D47" s="3">
        <v>170.2</v>
      </c>
      <c r="E47" s="12">
        <f t="shared" si="0"/>
        <v>2.6605944391179248E-2</v>
      </c>
      <c r="F47" s="12">
        <f t="shared" si="0"/>
        <v>2.412900896564163E-2</v>
      </c>
      <c r="I47" s="13">
        <f t="shared" si="1"/>
        <v>1.2384677127688093E-3</v>
      </c>
    </row>
    <row r="48" spans="2:9" x14ac:dyDescent="0.25">
      <c r="B48" s="8">
        <v>46009</v>
      </c>
      <c r="C48" s="6">
        <v>292.04000000000002</v>
      </c>
      <c r="D48" s="6">
        <v>166.19</v>
      </c>
      <c r="E48" s="12">
        <f t="shared" si="0"/>
        <v>2.3875468919819065E-2</v>
      </c>
      <c r="F48" s="12">
        <f t="shared" si="0"/>
        <v>-7.9985674207604385E-3</v>
      </c>
      <c r="I48" s="13">
        <f t="shared" si="1"/>
        <v>1.5937018170289752E-2</v>
      </c>
    </row>
    <row r="49" spans="2:9" x14ac:dyDescent="0.25">
      <c r="B49" s="5">
        <v>46008</v>
      </c>
      <c r="C49" s="3">
        <v>285.23</v>
      </c>
      <c r="D49" s="3">
        <v>167.53</v>
      </c>
      <c r="E49" s="12">
        <f t="shared" si="0"/>
        <v>-3.7035786630654877E-2</v>
      </c>
      <c r="F49" s="12">
        <f t="shared" si="0"/>
        <v>-3.450121943965323E-3</v>
      </c>
      <c r="I49" s="13">
        <f t="shared" si="1"/>
        <v>-1.6792832343344777E-2</v>
      </c>
    </row>
    <row r="50" spans="2:9" x14ac:dyDescent="0.25">
      <c r="B50" s="8">
        <v>46007</v>
      </c>
      <c r="C50" s="6">
        <v>296.2</v>
      </c>
      <c r="D50" s="6">
        <v>168.11</v>
      </c>
      <c r="E50" s="12">
        <f t="shared" si="0"/>
        <v>-6.0736216905472595E-3</v>
      </c>
      <c r="F50" s="12">
        <f t="shared" si="0"/>
        <v>-7.4979336403352415E-3</v>
      </c>
      <c r="I50" s="13">
        <f t="shared" si="1"/>
        <v>7.1215597489399096E-4</v>
      </c>
    </row>
    <row r="51" spans="2:9" x14ac:dyDescent="0.25">
      <c r="B51" s="5">
        <v>46006</v>
      </c>
      <c r="C51" s="3">
        <v>298.01</v>
      </c>
      <c r="D51" s="3">
        <v>169.38</v>
      </c>
      <c r="E51" s="12">
        <f t="shared" si="0"/>
        <v>-4.908508080673224E-3</v>
      </c>
      <c r="F51" s="12">
        <f t="shared" si="0"/>
        <v>-2.3609963404547241E-4</v>
      </c>
      <c r="I51" s="13">
        <f t="shared" si="1"/>
        <v>-2.3362042233138758E-3</v>
      </c>
    </row>
    <row r="52" spans="2:9" x14ac:dyDescent="0.25">
      <c r="B52" s="8">
        <v>46003</v>
      </c>
      <c r="C52" s="6">
        <v>299.48</v>
      </c>
      <c r="D52" s="6">
        <v>169.42</v>
      </c>
      <c r="E52" s="12">
        <f t="shared" si="0"/>
        <v>-4.7818898639196084E-2</v>
      </c>
      <c r="F52" s="12">
        <f t="shared" si="0"/>
        <v>-5.050505050505083E-3</v>
      </c>
      <c r="I52" s="13">
        <f t="shared" si="1"/>
        <v>-2.13841967943455E-2</v>
      </c>
    </row>
    <row r="53" spans="2:9" x14ac:dyDescent="0.25">
      <c r="B53" s="5">
        <v>46002</v>
      </c>
      <c r="C53" s="3">
        <v>314.52</v>
      </c>
      <c r="D53" s="3">
        <v>170.28</v>
      </c>
      <c r="E53" s="12">
        <f t="shared" si="0"/>
        <v>-5.7218727278475212E-3</v>
      </c>
      <c r="F53" s="12">
        <f t="shared" si="0"/>
        <v>7.9914757591901253E-3</v>
      </c>
      <c r="I53" s="13">
        <f t="shared" si="1"/>
        <v>-6.8566742435188233E-3</v>
      </c>
    </row>
    <row r="54" spans="2:9" x14ac:dyDescent="0.25">
      <c r="B54" s="8">
        <v>46001</v>
      </c>
      <c r="C54" s="6">
        <v>316.33</v>
      </c>
      <c r="D54" s="6">
        <v>168.93</v>
      </c>
      <c r="E54" s="12">
        <f t="shared" si="0"/>
        <v>1.3293612659363019E-2</v>
      </c>
      <c r="F54" s="12">
        <f t="shared" si="0"/>
        <v>1.1012029445209182E-2</v>
      </c>
      <c r="I54" s="13">
        <f t="shared" si="1"/>
        <v>1.1407916070769186E-3</v>
      </c>
    </row>
    <row r="55" spans="2:9" x14ac:dyDescent="0.25">
      <c r="B55" s="5">
        <v>46000</v>
      </c>
      <c r="C55" s="3">
        <v>312.18</v>
      </c>
      <c r="D55" s="3">
        <v>167.09</v>
      </c>
      <c r="E55" s="12">
        <f t="shared" si="0"/>
        <v>-1.8544570916996239E-3</v>
      </c>
      <c r="F55" s="12">
        <f t="shared" si="0"/>
        <v>-1.6828478964401206E-2</v>
      </c>
      <c r="I55" s="13">
        <f t="shared" si="1"/>
        <v>7.4870109363507908E-3</v>
      </c>
    </row>
    <row r="56" spans="2:9" x14ac:dyDescent="0.25">
      <c r="B56" s="8">
        <v>45999</v>
      </c>
      <c r="C56" s="6">
        <v>312.76</v>
      </c>
      <c r="D56" s="6">
        <v>169.95</v>
      </c>
      <c r="E56" s="12">
        <f t="shared" si="0"/>
        <v>1.0859728506787292E-2</v>
      </c>
      <c r="F56" s="12">
        <f t="shared" si="0"/>
        <v>-7.0694087403599948E-3</v>
      </c>
      <c r="I56" s="13">
        <f t="shared" si="1"/>
        <v>8.9645686235736433E-3</v>
      </c>
    </row>
    <row r="57" spans="2:9" x14ac:dyDescent="0.25">
      <c r="B57" s="5">
        <v>45996</v>
      </c>
      <c r="C57" s="3">
        <v>309.39999999999998</v>
      </c>
      <c r="D57" s="3">
        <v>171.16</v>
      </c>
      <c r="E57" s="12">
        <f t="shared" si="0"/>
        <v>1.0186757215619791E-2</v>
      </c>
      <c r="F57" s="12">
        <f t="shared" si="0"/>
        <v>-5.5197257567835001E-3</v>
      </c>
      <c r="I57" s="13">
        <f t="shared" si="1"/>
        <v>7.8532414862016453E-3</v>
      </c>
    </row>
    <row r="58" spans="2:9" x14ac:dyDescent="0.25">
      <c r="B58" s="8">
        <v>45995</v>
      </c>
      <c r="C58" s="6">
        <v>306.27999999999997</v>
      </c>
      <c r="D58" s="6">
        <v>172.11</v>
      </c>
      <c r="E58" s="12">
        <f t="shared" si="0"/>
        <v>-9.9560382725628616E-3</v>
      </c>
      <c r="F58" s="12">
        <f t="shared" si="0"/>
        <v>-6.9674272774766788E-4</v>
      </c>
      <c r="I58" s="13">
        <f t="shared" si="1"/>
        <v>-4.6296477724075968E-3</v>
      </c>
    </row>
    <row r="59" spans="2:9" x14ac:dyDescent="0.25">
      <c r="B59" s="5">
        <v>45994</v>
      </c>
      <c r="C59" s="3">
        <v>309.36</v>
      </c>
      <c r="D59" s="3">
        <v>172.23</v>
      </c>
      <c r="E59" s="12">
        <f t="shared" si="0"/>
        <v>2.1529520538898561E-2</v>
      </c>
      <c r="F59" s="12">
        <f t="shared" si="0"/>
        <v>1.7787495567899825E-2</v>
      </c>
      <c r="I59" s="13">
        <f t="shared" si="1"/>
        <v>1.8710124854993682E-3</v>
      </c>
    </row>
    <row r="60" spans="2:9" x14ac:dyDescent="0.25">
      <c r="B60" s="8">
        <v>45993</v>
      </c>
      <c r="C60" s="6">
        <v>302.83999999999997</v>
      </c>
      <c r="D60" s="6">
        <v>169.22</v>
      </c>
      <c r="E60" s="12">
        <f t="shared" si="0"/>
        <v>1.9938030445911137E-2</v>
      </c>
      <c r="F60" s="12">
        <f t="shared" si="0"/>
        <v>-5.2319087649168594E-3</v>
      </c>
      <c r="I60" s="13">
        <f t="shared" si="1"/>
        <v>1.2584969605413998E-2</v>
      </c>
    </row>
    <row r="61" spans="2:9" x14ac:dyDescent="0.25">
      <c r="B61" s="5">
        <v>45992</v>
      </c>
      <c r="C61" s="3">
        <v>296.92</v>
      </c>
      <c r="D61" s="3">
        <v>170.11</v>
      </c>
      <c r="E61" s="12">
        <f t="shared" si="0"/>
        <v>6.0659162903564656E-4</v>
      </c>
      <c r="F61" s="12">
        <f t="shared" si="0"/>
        <v>-2.140021860438357E-2</v>
      </c>
      <c r="I61" s="13">
        <f t="shared" si="1"/>
        <v>1.1003405116709608E-2</v>
      </c>
    </row>
    <row r="62" spans="2:9" x14ac:dyDescent="0.25">
      <c r="B62" s="8">
        <v>45989</v>
      </c>
      <c r="C62" s="6">
        <v>296.74</v>
      </c>
      <c r="D62" s="6">
        <v>173.83</v>
      </c>
      <c r="E62" s="12">
        <f t="shared" si="0"/>
        <v>1.8360273173410269E-2</v>
      </c>
      <c r="F62" s="12">
        <f t="shared" si="0"/>
        <v>9.7892433490742725E-4</v>
      </c>
      <c r="I62" s="13">
        <f t="shared" si="1"/>
        <v>8.6906744192514207E-3</v>
      </c>
    </row>
    <row r="63" spans="2:9" x14ac:dyDescent="0.25">
      <c r="B63" s="5">
        <v>45987</v>
      </c>
      <c r="C63" s="3">
        <v>291.39</v>
      </c>
      <c r="D63" s="3">
        <v>173.66</v>
      </c>
      <c r="E63" s="12">
        <f t="shared" si="0"/>
        <v>2.7540729247478746E-2</v>
      </c>
      <c r="F63" s="12">
        <f t="shared" si="0"/>
        <v>7.717750826901737E-3</v>
      </c>
      <c r="I63" s="13">
        <f t="shared" si="1"/>
        <v>9.9114892102885044E-3</v>
      </c>
    </row>
    <row r="64" spans="2:9" x14ac:dyDescent="0.25">
      <c r="B64" s="8">
        <v>45986</v>
      </c>
      <c r="C64" s="6">
        <v>283.58</v>
      </c>
      <c r="D64" s="6">
        <v>172.33</v>
      </c>
      <c r="E64" s="12">
        <f t="shared" si="0"/>
        <v>3.112840466926059E-3</v>
      </c>
      <c r="F64" s="12">
        <f t="shared" si="0"/>
        <v>1.543810028872783E-2</v>
      </c>
      <c r="I64" s="13">
        <f t="shared" si="1"/>
        <v>-6.1626299109008853E-3</v>
      </c>
    </row>
    <row r="65" spans="2:9" x14ac:dyDescent="0.25">
      <c r="B65" s="5">
        <v>45985</v>
      </c>
      <c r="C65" s="3">
        <v>282.7</v>
      </c>
      <c r="D65" s="3">
        <v>169.71</v>
      </c>
      <c r="E65" s="12">
        <f t="shared" si="0"/>
        <v>4.3828231732082834E-2</v>
      </c>
      <c r="F65" s="12">
        <f t="shared" si="0"/>
        <v>1.307306590257884E-2</v>
      </c>
      <c r="I65" s="13">
        <f t="shared" si="1"/>
        <v>1.5377582914751997E-2</v>
      </c>
    </row>
    <row r="66" spans="2:9" x14ac:dyDescent="0.25">
      <c r="B66" s="8">
        <v>45982</v>
      </c>
      <c r="C66" s="6">
        <v>270.83</v>
      </c>
      <c r="D66" s="6">
        <v>167.52</v>
      </c>
      <c r="E66" s="12">
        <f t="shared" si="0"/>
        <v>1.0182767624020705E-2</v>
      </c>
      <c r="F66" s="12">
        <f t="shared" si="0"/>
        <v>1.9970774476375963E-2</v>
      </c>
      <c r="I66" s="13">
        <f t="shared" si="1"/>
        <v>-4.8940034261776288E-3</v>
      </c>
    </row>
    <row r="67" spans="2:9" x14ac:dyDescent="0.25">
      <c r="B67" s="5">
        <v>45981</v>
      </c>
      <c r="C67" s="3">
        <v>268.10000000000002</v>
      </c>
      <c r="D67" s="3">
        <v>164.24</v>
      </c>
      <c r="E67" s="12">
        <f t="shared" si="0"/>
        <v>-4.7974148645289594E-2</v>
      </c>
      <c r="F67" s="12">
        <f t="shared" si="0"/>
        <v>-5.9314852923374461E-3</v>
      </c>
      <c r="I67" s="13">
        <f t="shared" si="1"/>
        <v>-2.1021331676476074E-2</v>
      </c>
    </row>
    <row r="68" spans="2:9" x14ac:dyDescent="0.25">
      <c r="B68" s="8">
        <v>45980</v>
      </c>
      <c r="C68" s="6">
        <v>281.61</v>
      </c>
      <c r="D68" s="6">
        <v>165.22</v>
      </c>
      <c r="E68" s="12">
        <f t="shared" si="0"/>
        <v>1.6716008376056024E-2</v>
      </c>
      <c r="F68" s="12">
        <f t="shared" si="0"/>
        <v>-7.508860455337274E-3</v>
      </c>
      <c r="I68" s="13">
        <f t="shared" si="1"/>
        <v>1.2112434415696649E-2</v>
      </c>
    </row>
    <row r="69" spans="2:9" x14ac:dyDescent="0.25">
      <c r="B69" s="5">
        <v>45979</v>
      </c>
      <c r="C69" s="3">
        <v>276.98</v>
      </c>
      <c r="D69" s="3">
        <v>166.47</v>
      </c>
      <c r="E69" s="12">
        <f t="shared" si="0"/>
        <v>-2.3204965439413083E-2</v>
      </c>
      <c r="F69" s="12">
        <f t="shared" si="0"/>
        <v>7.3217959578846248E-3</v>
      </c>
      <c r="I69" s="13">
        <f t="shared" si="1"/>
        <v>-1.5263380698648854E-2</v>
      </c>
    </row>
    <row r="70" spans="2:9" x14ac:dyDescent="0.25">
      <c r="B70" s="8">
        <v>45978</v>
      </c>
      <c r="C70" s="6">
        <v>283.56</v>
      </c>
      <c r="D70" s="6">
        <v>165.26</v>
      </c>
      <c r="E70" s="12">
        <f t="shared" si="0"/>
        <v>-1.719118258699559E-2</v>
      </c>
      <c r="F70" s="12">
        <f t="shared" si="0"/>
        <v>6.5168402460562547E-3</v>
      </c>
      <c r="I70" s="13">
        <f t="shared" si="1"/>
        <v>-1.1854011416525922E-2</v>
      </c>
    </row>
    <row r="71" spans="2:9" x14ac:dyDescent="0.25">
      <c r="B71" s="5">
        <v>45975</v>
      </c>
      <c r="C71" s="3">
        <v>288.52</v>
      </c>
      <c r="D71" s="3">
        <v>164.19</v>
      </c>
      <c r="E71" s="12">
        <f t="shared" si="0"/>
        <v>-2.9718708963992757E-3</v>
      </c>
      <c r="F71" s="12">
        <f t="shared" si="0"/>
        <v>5.3269654665686339E-3</v>
      </c>
      <c r="I71" s="13">
        <f t="shared" si="1"/>
        <v>-4.1494181814839548E-3</v>
      </c>
    </row>
    <row r="72" spans="2:9" x14ac:dyDescent="0.25">
      <c r="B72" s="8">
        <v>45974</v>
      </c>
      <c r="C72" s="6">
        <v>289.38</v>
      </c>
      <c r="D72" s="6">
        <v>163.32</v>
      </c>
      <c r="E72" s="12">
        <f t="shared" si="0"/>
        <v>-3.4337771548703655E-2</v>
      </c>
      <c r="F72" s="12">
        <f t="shared" si="0"/>
        <v>-9.9418040737149216E-3</v>
      </c>
      <c r="I72" s="13">
        <f t="shared" si="1"/>
        <v>-1.2197983737494367E-2</v>
      </c>
    </row>
    <row r="73" spans="2:9" x14ac:dyDescent="0.25">
      <c r="B73" s="5">
        <v>45973</v>
      </c>
      <c r="C73" s="3">
        <v>299.67</v>
      </c>
      <c r="D73" s="3">
        <v>164.96</v>
      </c>
      <c r="E73" s="12">
        <f t="shared" si="0"/>
        <v>1.5314246993054503E-2</v>
      </c>
      <c r="F73" s="12">
        <f t="shared" si="0"/>
        <v>4.9957353478740085E-3</v>
      </c>
      <c r="I73" s="13">
        <f t="shared" si="1"/>
        <v>5.1592558225902474E-3</v>
      </c>
    </row>
    <row r="74" spans="2:9" x14ac:dyDescent="0.25">
      <c r="B74" s="8">
        <v>45972</v>
      </c>
      <c r="C74" s="6">
        <v>295.14999999999998</v>
      </c>
      <c r="D74" s="6">
        <v>164.14</v>
      </c>
      <c r="E74" s="12">
        <f t="shared" si="0"/>
        <v>-2.2682119205298057E-2</v>
      </c>
      <c r="F74" s="12">
        <f t="shared" si="0"/>
        <v>2.8832894571894085E-2</v>
      </c>
      <c r="I74" s="13">
        <f t="shared" si="1"/>
        <v>-2.5757506888596071E-2</v>
      </c>
    </row>
    <row r="75" spans="2:9" x14ac:dyDescent="0.25">
      <c r="B75" s="5">
        <v>45971</v>
      </c>
      <c r="C75" s="3">
        <v>302</v>
      </c>
      <c r="D75" s="3">
        <v>159.54</v>
      </c>
      <c r="E75" s="12">
        <f t="shared" si="0"/>
        <v>2.5884910659691673E-2</v>
      </c>
      <c r="F75" s="12">
        <f t="shared" si="0"/>
        <v>1.1539436976921058E-2</v>
      </c>
      <c r="I75" s="13">
        <f t="shared" si="1"/>
        <v>7.1727368413853076E-3</v>
      </c>
    </row>
    <row r="76" spans="2:9" x14ac:dyDescent="0.25">
      <c r="B76" s="8">
        <v>45968</v>
      </c>
      <c r="C76" s="6">
        <v>294.38</v>
      </c>
      <c r="D76" s="6">
        <v>157.72</v>
      </c>
      <c r="E76" s="12">
        <f t="shared" si="0"/>
        <v>-1.0487394957983232E-2</v>
      </c>
      <c r="F76" s="12">
        <f t="shared" si="0"/>
        <v>-4.4814744682194485E-3</v>
      </c>
      <c r="I76" s="13">
        <f t="shared" si="1"/>
        <v>-3.0029602448818915E-3</v>
      </c>
    </row>
    <row r="77" spans="2:9" x14ac:dyDescent="0.25">
      <c r="B77" s="5">
        <v>45967</v>
      </c>
      <c r="C77" s="3">
        <v>297.5</v>
      </c>
      <c r="D77" s="3">
        <v>158.43</v>
      </c>
      <c r="E77" s="12">
        <f t="shared" si="0"/>
        <v>-2.6090941827348058E-2</v>
      </c>
      <c r="F77" s="12">
        <f t="shared" si="0"/>
        <v>7.5800644305479281E-4</v>
      </c>
      <c r="I77" s="13">
        <f t="shared" si="1"/>
        <v>-1.3424474135201425E-2</v>
      </c>
    </row>
    <row r="78" spans="2:9" x14ac:dyDescent="0.25">
      <c r="B78" s="8">
        <v>45966</v>
      </c>
      <c r="C78" s="6">
        <v>305.47000000000003</v>
      </c>
      <c r="D78" s="6">
        <v>158.31</v>
      </c>
      <c r="E78" s="12">
        <f t="shared" si="0"/>
        <v>3.1087558225882717E-2</v>
      </c>
      <c r="F78" s="12">
        <f t="shared" si="0"/>
        <v>1.4287544848795353E-2</v>
      </c>
      <c r="I78" s="13">
        <f t="shared" si="1"/>
        <v>8.4000066885436819E-3</v>
      </c>
    </row>
    <row r="79" spans="2:9" x14ac:dyDescent="0.25">
      <c r="B79" s="5">
        <v>45965</v>
      </c>
      <c r="C79" s="3">
        <v>296.26</v>
      </c>
      <c r="D79" s="3">
        <v>156.08000000000001</v>
      </c>
      <c r="E79" s="12">
        <f t="shared" ref="E79:F142" si="2">C79/C80-1</f>
        <v>-3.9302159673130554E-2</v>
      </c>
      <c r="F79" s="12">
        <f t="shared" si="2"/>
        <v>-8.7641305728438645E-3</v>
      </c>
      <c r="I79" s="13">
        <f t="shared" ref="I79:I142" si="3">E79*$G$14+F79*$H$14</f>
        <v>-1.5269014550143345E-2</v>
      </c>
    </row>
    <row r="80" spans="2:9" x14ac:dyDescent="0.25">
      <c r="B80" s="8">
        <v>45964</v>
      </c>
      <c r="C80" s="6">
        <v>308.38</v>
      </c>
      <c r="D80" s="6">
        <v>157.46</v>
      </c>
      <c r="E80" s="12">
        <f t="shared" si="2"/>
        <v>5.9696623715543851E-3</v>
      </c>
      <c r="F80" s="12">
        <f t="shared" si="2"/>
        <v>-1.2046680888442629E-2</v>
      </c>
      <c r="I80" s="13">
        <f t="shared" si="3"/>
        <v>9.0081716299985071E-3</v>
      </c>
    </row>
    <row r="81" spans="2:9" x14ac:dyDescent="0.25">
      <c r="B81" s="5">
        <v>45961</v>
      </c>
      <c r="C81" s="3">
        <v>306.55</v>
      </c>
      <c r="D81" s="3">
        <v>159.38</v>
      </c>
      <c r="E81" s="12">
        <f t="shared" si="2"/>
        <v>3.732687207360641E-3</v>
      </c>
      <c r="F81" s="12">
        <f t="shared" si="2"/>
        <v>1.3158731167757898E-2</v>
      </c>
      <c r="I81" s="13">
        <f t="shared" si="3"/>
        <v>-4.7130219801986284E-3</v>
      </c>
    </row>
    <row r="82" spans="2:9" x14ac:dyDescent="0.25">
      <c r="B82" s="8">
        <v>45960</v>
      </c>
      <c r="C82" s="6">
        <v>305.41000000000003</v>
      </c>
      <c r="D82" s="6">
        <v>157.31</v>
      </c>
      <c r="E82" s="12">
        <f t="shared" si="2"/>
        <v>-1.3533591731266115E-2</v>
      </c>
      <c r="F82" s="12">
        <f t="shared" si="2"/>
        <v>2.1660189845194022E-3</v>
      </c>
      <c r="I82" s="13">
        <f t="shared" si="3"/>
        <v>-7.8498053578927585E-3</v>
      </c>
    </row>
    <row r="83" spans="2:9" x14ac:dyDescent="0.25">
      <c r="B83" s="5">
        <v>45959</v>
      </c>
      <c r="C83" s="3">
        <v>309.60000000000002</v>
      </c>
      <c r="D83" s="3">
        <v>156.97</v>
      </c>
      <c r="E83" s="12">
        <f t="shared" si="2"/>
        <v>1.6915749712596684E-2</v>
      </c>
      <c r="F83" s="12">
        <f t="shared" si="2"/>
        <v>-4.3765064061904724E-3</v>
      </c>
      <c r="I83" s="13">
        <f t="shared" si="3"/>
        <v>1.0646128059393578E-2</v>
      </c>
    </row>
    <row r="84" spans="2:9" x14ac:dyDescent="0.25">
      <c r="B84" s="8">
        <v>45958</v>
      </c>
      <c r="C84" s="6">
        <v>304.45</v>
      </c>
      <c r="D84" s="6">
        <v>157.66</v>
      </c>
      <c r="E84" s="12">
        <f t="shared" si="2"/>
        <v>1.2167850565640848E-3</v>
      </c>
      <c r="F84" s="12">
        <f t="shared" si="2"/>
        <v>3.500731971230131E-3</v>
      </c>
      <c r="I84" s="13">
        <f t="shared" si="3"/>
        <v>-1.1419734573330231E-3</v>
      </c>
    </row>
    <row r="85" spans="2:9" x14ac:dyDescent="0.25">
      <c r="B85" s="5">
        <v>45957</v>
      </c>
      <c r="C85" s="3">
        <v>304.08</v>
      </c>
      <c r="D85" s="3">
        <v>157.11000000000001</v>
      </c>
      <c r="E85" s="12">
        <f t="shared" si="2"/>
        <v>2.7783411072804576E-2</v>
      </c>
      <c r="F85" s="12">
        <f t="shared" si="2"/>
        <v>1.2567672080433301E-2</v>
      </c>
      <c r="I85" s="13">
        <f t="shared" si="3"/>
        <v>7.6078694961856375E-3</v>
      </c>
    </row>
    <row r="86" spans="2:9" x14ac:dyDescent="0.25">
      <c r="B86" s="8">
        <v>45954</v>
      </c>
      <c r="C86" s="6">
        <v>295.86</v>
      </c>
      <c r="D86" s="6">
        <v>155.16</v>
      </c>
      <c r="E86" s="12">
        <f t="shared" si="2"/>
        <v>1.64914450628737E-2</v>
      </c>
      <c r="F86" s="12">
        <f t="shared" si="2"/>
        <v>3.7521024712121598E-3</v>
      </c>
      <c r="I86" s="13">
        <f t="shared" si="3"/>
        <v>6.36967129583077E-3</v>
      </c>
    </row>
    <row r="87" spans="2:9" x14ac:dyDescent="0.25">
      <c r="B87" s="5">
        <v>45953</v>
      </c>
      <c r="C87" s="3">
        <v>291.06</v>
      </c>
      <c r="D87" s="3">
        <v>154.58000000000001</v>
      </c>
      <c r="E87" s="12">
        <f t="shared" si="2"/>
        <v>2.4390243902439046E-2</v>
      </c>
      <c r="F87" s="12">
        <f t="shared" si="2"/>
        <v>4.2879417879420068E-3</v>
      </c>
      <c r="I87" s="13">
        <f t="shared" si="3"/>
        <v>1.005115105724852E-2</v>
      </c>
    </row>
    <row r="88" spans="2:9" x14ac:dyDescent="0.25">
      <c r="B88" s="8">
        <v>45952</v>
      </c>
      <c r="C88" s="6">
        <v>284.13</v>
      </c>
      <c r="D88" s="6">
        <v>153.91999999999999</v>
      </c>
      <c r="E88" s="12">
        <f t="shared" si="2"/>
        <v>-2.4714241581711427E-2</v>
      </c>
      <c r="F88" s="12">
        <f t="shared" si="2"/>
        <v>-1.3523040440940881E-2</v>
      </c>
      <c r="I88" s="13">
        <f t="shared" si="3"/>
        <v>-5.5956005703852729E-3</v>
      </c>
    </row>
    <row r="89" spans="2:9" x14ac:dyDescent="0.25">
      <c r="B89" s="5">
        <v>45951</v>
      </c>
      <c r="C89" s="3">
        <v>291.33</v>
      </c>
      <c r="D89" s="3">
        <v>156.03</v>
      </c>
      <c r="E89" s="12">
        <f t="shared" si="2"/>
        <v>-5.5978427825376098E-3</v>
      </c>
      <c r="F89" s="12">
        <f t="shared" si="2"/>
        <v>-2.9394849511151788E-3</v>
      </c>
      <c r="I89" s="13">
        <f t="shared" si="3"/>
        <v>-1.3291789157112155E-3</v>
      </c>
    </row>
    <row r="90" spans="2:9" x14ac:dyDescent="0.25">
      <c r="B90" s="8">
        <v>45950</v>
      </c>
      <c r="C90" s="6">
        <v>292.97000000000003</v>
      </c>
      <c r="D90" s="6">
        <v>156.49</v>
      </c>
      <c r="E90" s="12">
        <f t="shared" si="2"/>
        <v>1.6656834507408957E-2</v>
      </c>
      <c r="F90" s="12">
        <f t="shared" si="2"/>
        <v>1.4916661262079245E-2</v>
      </c>
      <c r="I90" s="13">
        <f t="shared" si="3"/>
        <v>8.7008662266485626E-4</v>
      </c>
    </row>
    <row r="91" spans="2:9" x14ac:dyDescent="0.25">
      <c r="B91" s="5">
        <v>45947</v>
      </c>
      <c r="C91" s="3">
        <v>288.17</v>
      </c>
      <c r="D91" s="3">
        <v>154.19</v>
      </c>
      <c r="E91" s="12">
        <f t="shared" si="2"/>
        <v>-2.8029621427088092E-3</v>
      </c>
      <c r="F91" s="12">
        <f t="shared" si="2"/>
        <v>5.0189023595359483E-3</v>
      </c>
      <c r="I91" s="13">
        <f t="shared" si="3"/>
        <v>-3.9109322511223787E-3</v>
      </c>
    </row>
    <row r="92" spans="2:9" x14ac:dyDescent="0.25">
      <c r="B92" s="8">
        <v>45946</v>
      </c>
      <c r="C92" s="6">
        <v>288.98</v>
      </c>
      <c r="D92" s="6">
        <v>153.41999999999999</v>
      </c>
      <c r="E92" s="12">
        <f t="shared" si="2"/>
        <v>4.6586010290641244E-3</v>
      </c>
      <c r="F92" s="12">
        <f t="shared" si="2"/>
        <v>1.9557989438689916E-4</v>
      </c>
      <c r="I92" s="13">
        <f t="shared" si="3"/>
        <v>2.2315105673386126E-3</v>
      </c>
    </row>
    <row r="93" spans="2:9" x14ac:dyDescent="0.25">
      <c r="B93" s="5">
        <v>45945</v>
      </c>
      <c r="C93" s="3">
        <v>287.64</v>
      </c>
      <c r="D93" s="3">
        <v>153.38999999999999</v>
      </c>
      <c r="E93" s="12">
        <f t="shared" si="2"/>
        <v>3.0856897107838011E-2</v>
      </c>
      <c r="F93" s="12">
        <f t="shared" si="2"/>
        <v>1.3679619349722394E-2</v>
      </c>
      <c r="I93" s="13">
        <f t="shared" si="3"/>
        <v>8.5886388790578083E-3</v>
      </c>
    </row>
    <row r="94" spans="2:9" x14ac:dyDescent="0.25">
      <c r="B94" s="8">
        <v>45944</v>
      </c>
      <c r="C94" s="6">
        <v>279.02999999999997</v>
      </c>
      <c r="D94" s="6">
        <v>151.32</v>
      </c>
      <c r="E94" s="12">
        <f t="shared" si="2"/>
        <v>-2.0500579211570336E-2</v>
      </c>
      <c r="F94" s="12">
        <f t="shared" si="2"/>
        <v>2.5175566450243991E-3</v>
      </c>
      <c r="I94" s="13">
        <f t="shared" si="3"/>
        <v>-1.1509067928297367E-2</v>
      </c>
    </row>
    <row r="95" spans="2:9" x14ac:dyDescent="0.25">
      <c r="B95" s="5">
        <v>45943</v>
      </c>
      <c r="C95" s="3">
        <v>284.87</v>
      </c>
      <c r="D95" s="3">
        <v>150.94</v>
      </c>
      <c r="E95" s="12">
        <f t="shared" si="2"/>
        <v>4.7354682157432215E-2</v>
      </c>
      <c r="F95" s="12">
        <f t="shared" si="2"/>
        <v>6.6022007335779787E-3</v>
      </c>
      <c r="I95" s="13">
        <f t="shared" si="3"/>
        <v>2.0376240711927118E-2</v>
      </c>
    </row>
    <row r="96" spans="2:9" x14ac:dyDescent="0.25">
      <c r="B96" s="8">
        <v>45940</v>
      </c>
      <c r="C96" s="6">
        <v>271.99</v>
      </c>
      <c r="D96" s="6">
        <v>149.94999999999999</v>
      </c>
      <c r="E96" s="12">
        <f t="shared" si="2"/>
        <v>-6.2717529894207202E-2</v>
      </c>
      <c r="F96" s="12">
        <f t="shared" si="2"/>
        <v>-1.3811246300559188E-2</v>
      </c>
      <c r="I96" s="13">
        <f t="shared" si="3"/>
        <v>-2.4453141796824007E-2</v>
      </c>
    </row>
    <row r="97" spans="2:9" x14ac:dyDescent="0.25">
      <c r="B97" s="5">
        <v>45939</v>
      </c>
      <c r="C97" s="3">
        <v>290.19</v>
      </c>
      <c r="D97" s="3">
        <v>152.05000000000001</v>
      </c>
      <c r="E97" s="12">
        <f t="shared" si="2"/>
        <v>-4.6305824243672022E-3</v>
      </c>
      <c r="F97" s="12">
        <f t="shared" si="2"/>
        <v>3.947628133429415E-4</v>
      </c>
      <c r="I97" s="13">
        <f t="shared" si="3"/>
        <v>-2.5126726188550719E-3</v>
      </c>
    </row>
    <row r="98" spans="2:9" x14ac:dyDescent="0.25">
      <c r="B98" s="8">
        <v>45938</v>
      </c>
      <c r="C98" s="6">
        <v>291.54000000000002</v>
      </c>
      <c r="D98" s="6">
        <v>151.99</v>
      </c>
      <c r="E98" s="12">
        <f t="shared" si="2"/>
        <v>3.4159838246248686E-2</v>
      </c>
      <c r="F98" s="12">
        <f t="shared" si="2"/>
        <v>1.0034556087187729E-2</v>
      </c>
      <c r="I98" s="13">
        <f t="shared" si="3"/>
        <v>1.2062641079530478E-2</v>
      </c>
    </row>
    <row r="99" spans="2:9" x14ac:dyDescent="0.25">
      <c r="B99" s="5">
        <v>45937</v>
      </c>
      <c r="C99" s="3">
        <v>281.91000000000003</v>
      </c>
      <c r="D99" s="3">
        <v>150.47999999999999</v>
      </c>
      <c r="E99" s="12">
        <f t="shared" si="2"/>
        <v>-2.2367873491468959E-2</v>
      </c>
      <c r="F99" s="12">
        <f t="shared" si="2"/>
        <v>-2.6574541589174938E-4</v>
      </c>
      <c r="I99" s="13">
        <f t="shared" si="3"/>
        <v>-1.1051064037788605E-2</v>
      </c>
    </row>
    <row r="100" spans="2:9" x14ac:dyDescent="0.25">
      <c r="B100" s="8">
        <v>45936</v>
      </c>
      <c r="C100" s="6">
        <v>288.36</v>
      </c>
      <c r="D100" s="6">
        <v>150.52000000000001</v>
      </c>
      <c r="E100" s="12">
        <f t="shared" si="2"/>
        <v>3.0004286326618113E-2</v>
      </c>
      <c r="F100" s="12">
        <f t="shared" si="2"/>
        <v>-3.1788079470197461E-3</v>
      </c>
      <c r="I100" s="13">
        <f t="shared" si="3"/>
        <v>1.6591547136818929E-2</v>
      </c>
    </row>
    <row r="101" spans="2:9" x14ac:dyDescent="0.25">
      <c r="B101" s="5">
        <v>45933</v>
      </c>
      <c r="C101" s="3">
        <v>279.95999999999998</v>
      </c>
      <c r="D101" s="3">
        <v>151</v>
      </c>
      <c r="E101" s="12">
        <f t="shared" si="2"/>
        <v>-6.1415030707515639E-3</v>
      </c>
      <c r="F101" s="12">
        <f t="shared" si="2"/>
        <v>9.2233658601790225E-3</v>
      </c>
      <c r="I101" s="13">
        <f t="shared" si="3"/>
        <v>-7.6824344654652932E-3</v>
      </c>
    </row>
    <row r="102" spans="2:9" x14ac:dyDescent="0.25">
      <c r="B102" s="8">
        <v>45932</v>
      </c>
      <c r="C102" s="6">
        <v>281.69</v>
      </c>
      <c r="D102" s="6">
        <v>149.62</v>
      </c>
      <c r="E102" s="12">
        <f t="shared" si="2"/>
        <v>1.9360208438879756E-2</v>
      </c>
      <c r="F102" s="12">
        <f t="shared" si="2"/>
        <v>7.4742441586426178E-3</v>
      </c>
      <c r="I102" s="13">
        <f t="shared" si="3"/>
        <v>5.942982140118569E-3</v>
      </c>
    </row>
    <row r="103" spans="2:9" x14ac:dyDescent="0.25">
      <c r="B103" s="5">
        <v>45931</v>
      </c>
      <c r="C103" s="3">
        <v>276.33999999999997</v>
      </c>
      <c r="D103" s="3">
        <v>148.51</v>
      </c>
      <c r="E103" s="12">
        <f t="shared" si="2"/>
        <v>1.9253467099439314E-2</v>
      </c>
      <c r="F103" s="12">
        <f t="shared" si="2"/>
        <v>2.8676317794555484E-2</v>
      </c>
      <c r="I103" s="13">
        <f t="shared" si="3"/>
        <v>-4.7114253475580847E-3</v>
      </c>
    </row>
    <row r="104" spans="2:9" x14ac:dyDescent="0.25">
      <c r="B104" s="8">
        <v>45930</v>
      </c>
      <c r="C104" s="6">
        <v>271.12</v>
      </c>
      <c r="D104" s="6">
        <v>144.37</v>
      </c>
      <c r="E104" s="12">
        <f t="shared" si="2"/>
        <v>8.1433830364778803E-3</v>
      </c>
      <c r="F104" s="12">
        <f t="shared" si="2"/>
        <v>1.3763078435503173E-2</v>
      </c>
      <c r="I104" s="13">
        <f t="shared" si="3"/>
        <v>-2.8098476995126465E-3</v>
      </c>
    </row>
    <row r="105" spans="2:9" x14ac:dyDescent="0.25">
      <c r="B105" s="5">
        <v>45929</v>
      </c>
      <c r="C105" s="3">
        <v>268.93</v>
      </c>
      <c r="D105" s="3">
        <v>142.41</v>
      </c>
      <c r="E105" s="12">
        <f t="shared" si="2"/>
        <v>3.7198229364299173E-4</v>
      </c>
      <c r="F105" s="12">
        <f t="shared" si="2"/>
        <v>1.0286606129398246E-2</v>
      </c>
      <c r="I105" s="13">
        <f t="shared" si="3"/>
        <v>-4.957311917877627E-3</v>
      </c>
    </row>
    <row r="106" spans="2:9" x14ac:dyDescent="0.25">
      <c r="B106" s="8">
        <v>45926</v>
      </c>
      <c r="C106" s="6">
        <v>268.83</v>
      </c>
      <c r="D106" s="6">
        <v>140.96</v>
      </c>
      <c r="E106" s="12">
        <f t="shared" si="2"/>
        <v>2.1995228153890434E-3</v>
      </c>
      <c r="F106" s="12">
        <f t="shared" si="2"/>
        <v>1.3590278277126666E-2</v>
      </c>
      <c r="I106" s="13">
        <f t="shared" si="3"/>
        <v>-5.6953777308688114E-3</v>
      </c>
    </row>
    <row r="107" spans="2:9" x14ac:dyDescent="0.25">
      <c r="B107" s="5">
        <v>45925</v>
      </c>
      <c r="C107" s="3">
        <v>268.24</v>
      </c>
      <c r="D107" s="3">
        <v>139.07</v>
      </c>
      <c r="E107" s="12">
        <f t="shared" si="2"/>
        <v>-3.1958379784466917E-3</v>
      </c>
      <c r="F107" s="12">
        <f t="shared" si="2"/>
        <v>-1.8144591923185516E-2</v>
      </c>
      <c r="I107" s="13">
        <f t="shared" si="3"/>
        <v>7.474376972369412E-3</v>
      </c>
    </row>
    <row r="108" spans="2:9" x14ac:dyDescent="0.25">
      <c r="B108" s="8">
        <v>45924</v>
      </c>
      <c r="C108" s="6">
        <v>269.10000000000002</v>
      </c>
      <c r="D108" s="6">
        <v>141.63999999999999</v>
      </c>
      <c r="E108" s="12">
        <f t="shared" si="2"/>
        <v>-1.5212793588362805E-3</v>
      </c>
      <c r="F108" s="12">
        <f t="shared" si="2"/>
        <v>-5.9653309004141786E-3</v>
      </c>
      <c r="I108" s="13">
        <f t="shared" si="3"/>
        <v>2.222025770788949E-3</v>
      </c>
    </row>
    <row r="109" spans="2:9" x14ac:dyDescent="0.25">
      <c r="B109" s="5">
        <v>45923</v>
      </c>
      <c r="C109" s="3">
        <v>269.51</v>
      </c>
      <c r="D109" s="3">
        <v>142.49</v>
      </c>
      <c r="E109" s="12">
        <f t="shared" si="2"/>
        <v>-1.1859318830373944E-3</v>
      </c>
      <c r="F109" s="12">
        <f t="shared" si="2"/>
        <v>-6.4151732794085481E-3</v>
      </c>
      <c r="I109" s="13">
        <f t="shared" si="3"/>
        <v>2.6146206981855769E-3</v>
      </c>
    </row>
    <row r="110" spans="2:9" x14ac:dyDescent="0.25">
      <c r="B110" s="8">
        <v>45922</v>
      </c>
      <c r="C110" s="6">
        <v>269.83</v>
      </c>
      <c r="D110" s="6">
        <v>143.41</v>
      </c>
      <c r="E110" s="12">
        <f t="shared" si="2"/>
        <v>1.4932671330775582E-2</v>
      </c>
      <c r="F110" s="12">
        <f t="shared" si="2"/>
        <v>4.8346412556052876E-3</v>
      </c>
      <c r="I110" s="13">
        <f t="shared" si="3"/>
        <v>5.0490150375851472E-3</v>
      </c>
    </row>
    <row r="111" spans="2:9" x14ac:dyDescent="0.25">
      <c r="B111" s="5">
        <v>45919</v>
      </c>
      <c r="C111" s="3">
        <v>265.86</v>
      </c>
      <c r="D111" s="3">
        <v>142.72</v>
      </c>
      <c r="E111" s="12">
        <f t="shared" si="2"/>
        <v>-6.3908509922636636E-3</v>
      </c>
      <c r="F111" s="12">
        <f t="shared" si="2"/>
        <v>-6.3357237345957884E-3</v>
      </c>
      <c r="I111" s="13">
        <f t="shared" si="3"/>
        <v>-2.7563628833937592E-5</v>
      </c>
    </row>
    <row r="112" spans="2:9" x14ac:dyDescent="0.25">
      <c r="B112" s="8">
        <v>45918</v>
      </c>
      <c r="C112" s="6">
        <v>267.57</v>
      </c>
      <c r="D112" s="6">
        <v>143.63</v>
      </c>
      <c r="E112" s="12">
        <f t="shared" si="2"/>
        <v>3.4966928402893283E-2</v>
      </c>
      <c r="F112" s="12">
        <f t="shared" si="2"/>
        <v>1.8652482269503556E-2</v>
      </c>
      <c r="I112" s="13">
        <f t="shared" si="3"/>
        <v>8.1572230666948631E-3</v>
      </c>
    </row>
    <row r="113" spans="2:9" x14ac:dyDescent="0.25">
      <c r="B113" s="5">
        <v>45917</v>
      </c>
      <c r="C113" s="3">
        <v>258.52999999999997</v>
      </c>
      <c r="D113" s="3">
        <v>141</v>
      </c>
      <c r="E113" s="12">
        <f t="shared" si="2"/>
        <v>-1.9336375589762422E-4</v>
      </c>
      <c r="F113" s="12">
        <f t="shared" si="2"/>
        <v>4.2571306939120923E-4</v>
      </c>
      <c r="I113" s="13">
        <f t="shared" si="3"/>
        <v>-3.0953841264441673E-4</v>
      </c>
    </row>
    <row r="114" spans="2:9" x14ac:dyDescent="0.25">
      <c r="B114" s="8">
        <v>45916</v>
      </c>
      <c r="C114" s="6">
        <v>258.58</v>
      </c>
      <c r="D114" s="6">
        <v>140.94</v>
      </c>
      <c r="E114" s="12">
        <f t="shared" si="2"/>
        <v>3.0256012412721578E-3</v>
      </c>
      <c r="F114" s="12">
        <f t="shared" si="2"/>
        <v>1.5633882888004269E-3</v>
      </c>
      <c r="I114" s="13">
        <f t="shared" si="3"/>
        <v>7.3110647623586544E-4</v>
      </c>
    </row>
    <row r="115" spans="2:9" x14ac:dyDescent="0.25">
      <c r="B115" s="5">
        <v>45915</v>
      </c>
      <c r="C115" s="3">
        <v>257.8</v>
      </c>
      <c r="D115" s="3">
        <v>140.72</v>
      </c>
      <c r="E115" s="12">
        <f t="shared" si="2"/>
        <v>8.4493819433579809E-3</v>
      </c>
      <c r="F115" s="12">
        <f t="shared" si="2"/>
        <v>-1.8442332245708348E-3</v>
      </c>
      <c r="I115" s="13">
        <f t="shared" si="3"/>
        <v>5.1468075839644079E-3</v>
      </c>
    </row>
    <row r="116" spans="2:9" x14ac:dyDescent="0.25">
      <c r="B116" s="8">
        <v>45912</v>
      </c>
      <c r="C116" s="6">
        <v>255.64</v>
      </c>
      <c r="D116" s="6">
        <v>140.97999999999999</v>
      </c>
      <c r="E116" s="12">
        <f t="shared" si="2"/>
        <v>1.7633919824444622E-3</v>
      </c>
      <c r="F116" s="12">
        <f t="shared" si="2"/>
        <v>-1.9610570236439639E-2</v>
      </c>
      <c r="I116" s="13">
        <f t="shared" si="3"/>
        <v>1.0686981109442051E-2</v>
      </c>
    </row>
    <row r="117" spans="2:9" x14ac:dyDescent="0.25">
      <c r="B117" s="5">
        <v>45911</v>
      </c>
      <c r="C117" s="3">
        <v>255.19</v>
      </c>
      <c r="D117" s="3">
        <v>143.80000000000001</v>
      </c>
      <c r="E117" s="12">
        <f t="shared" si="2"/>
        <v>6.865259420004044E-3</v>
      </c>
      <c r="F117" s="12">
        <f t="shared" si="2"/>
        <v>2.2396018485602687E-2</v>
      </c>
      <c r="I117" s="13">
        <f t="shared" si="3"/>
        <v>-7.7653795327993214E-3</v>
      </c>
    </row>
    <row r="118" spans="2:9" x14ac:dyDescent="0.25">
      <c r="B118" s="8">
        <v>45910</v>
      </c>
      <c r="C118" s="6">
        <v>253.45</v>
      </c>
      <c r="D118" s="6">
        <v>140.65</v>
      </c>
      <c r="E118" s="12">
        <f t="shared" si="2"/>
        <v>1.7626274793222541E-2</v>
      </c>
      <c r="F118" s="12">
        <f t="shared" si="2"/>
        <v>-1.6020707989366167E-2</v>
      </c>
      <c r="I118" s="13">
        <f t="shared" si="3"/>
        <v>1.6823491391294354E-2</v>
      </c>
    </row>
    <row r="119" spans="2:9" x14ac:dyDescent="0.25">
      <c r="B119" s="5">
        <v>45909</v>
      </c>
      <c r="C119" s="3">
        <v>249.06</v>
      </c>
      <c r="D119" s="3">
        <v>142.94</v>
      </c>
      <c r="E119" s="12">
        <f t="shared" si="2"/>
        <v>8.438818565401629E-4</v>
      </c>
      <c r="F119" s="12">
        <f t="shared" si="2"/>
        <v>5.1332536389845362E-3</v>
      </c>
      <c r="I119" s="13">
        <f t="shared" si="3"/>
        <v>-2.1446858912221867E-3</v>
      </c>
    </row>
    <row r="120" spans="2:9" x14ac:dyDescent="0.25">
      <c r="B120" s="8">
        <v>45908</v>
      </c>
      <c r="C120" s="6">
        <v>248.85</v>
      </c>
      <c r="D120" s="6">
        <v>142.21</v>
      </c>
      <c r="E120" s="12">
        <f t="shared" si="2"/>
        <v>7.2859744990891873E-3</v>
      </c>
      <c r="F120" s="12">
        <f t="shared" si="2"/>
        <v>-6.3583007266628799E-3</v>
      </c>
      <c r="I120" s="13">
        <f t="shared" si="3"/>
        <v>6.8221376128760336E-3</v>
      </c>
    </row>
    <row r="121" spans="2:9" x14ac:dyDescent="0.25">
      <c r="B121" s="5">
        <v>45905</v>
      </c>
      <c r="C121" s="3">
        <v>247.05</v>
      </c>
      <c r="D121" s="3">
        <v>143.12</v>
      </c>
      <c r="E121" s="12">
        <f t="shared" si="2"/>
        <v>1.179506081828241E-2</v>
      </c>
      <c r="F121" s="12">
        <f t="shared" si="2"/>
        <v>1.9736373352333469E-2</v>
      </c>
      <c r="I121" s="13">
        <f t="shared" si="3"/>
        <v>-3.9706562670255297E-3</v>
      </c>
    </row>
    <row r="122" spans="2:9" x14ac:dyDescent="0.25">
      <c r="B122" s="8">
        <v>45904</v>
      </c>
      <c r="C122" s="6">
        <v>244.17</v>
      </c>
      <c r="D122" s="6">
        <v>140.35</v>
      </c>
      <c r="E122" s="12">
        <f t="shared" si="2"/>
        <v>1.0302879841112222E-2</v>
      </c>
      <c r="F122" s="12">
        <f t="shared" si="2"/>
        <v>-7.1245369051120555E-5</v>
      </c>
      <c r="I122" s="13">
        <f t="shared" si="3"/>
        <v>5.1870626050816715E-3</v>
      </c>
    </row>
    <row r="123" spans="2:9" x14ac:dyDescent="0.25">
      <c r="B123" s="5">
        <v>45903</v>
      </c>
      <c r="C123" s="3">
        <v>241.68</v>
      </c>
      <c r="D123" s="3">
        <v>140.36000000000001</v>
      </c>
      <c r="E123" s="12">
        <f t="shared" si="2"/>
        <v>-4.7358234155582268E-3</v>
      </c>
      <c r="F123" s="12">
        <f t="shared" si="2"/>
        <v>-3.5609999287788963E-4</v>
      </c>
      <c r="I123" s="13">
        <f t="shared" si="3"/>
        <v>-2.1898617113401686E-3</v>
      </c>
    </row>
    <row r="124" spans="2:9" x14ac:dyDescent="0.25">
      <c r="B124" s="8">
        <v>45902</v>
      </c>
      <c r="C124" s="6">
        <v>242.83</v>
      </c>
      <c r="D124" s="6">
        <v>140.41</v>
      </c>
      <c r="E124" s="12">
        <f t="shared" si="2"/>
        <v>-1.0150008152616907E-2</v>
      </c>
      <c r="F124" s="12">
        <f t="shared" si="2"/>
        <v>1.5844306178555811E-2</v>
      </c>
      <c r="I124" s="13">
        <f t="shared" si="3"/>
        <v>-1.2997157165586359E-2</v>
      </c>
    </row>
    <row r="125" spans="2:9" x14ac:dyDescent="0.25">
      <c r="B125" s="5">
        <v>45898</v>
      </c>
      <c r="C125" s="3">
        <v>245.32</v>
      </c>
      <c r="D125" s="3">
        <v>138.22</v>
      </c>
      <c r="E125" s="12">
        <f t="shared" si="2"/>
        <v>-2.8627994456543293E-2</v>
      </c>
      <c r="F125" s="12">
        <f t="shared" si="2"/>
        <v>7.2353664713142862E-5</v>
      </c>
      <c r="I125" s="13">
        <f t="shared" si="3"/>
        <v>-1.4350174060628218E-2</v>
      </c>
    </row>
    <row r="126" spans="2:9" x14ac:dyDescent="0.25">
      <c r="B126" s="8">
        <v>45897</v>
      </c>
      <c r="C126" s="6">
        <v>252.55</v>
      </c>
      <c r="D126" s="6">
        <v>138.21</v>
      </c>
      <c r="E126" s="12">
        <f t="shared" si="2"/>
        <v>4.8141959099228249E-3</v>
      </c>
      <c r="F126" s="12">
        <f t="shared" si="2"/>
        <v>-2.7419005700266563E-3</v>
      </c>
      <c r="I126" s="13">
        <f t="shared" si="3"/>
        <v>3.7780482399747406E-3</v>
      </c>
    </row>
    <row r="127" spans="2:9" x14ac:dyDescent="0.25">
      <c r="B127" s="5">
        <v>45896</v>
      </c>
      <c r="C127" s="3">
        <v>251.34</v>
      </c>
      <c r="D127" s="3">
        <v>138.59</v>
      </c>
      <c r="E127" s="12">
        <f t="shared" si="2"/>
        <v>1.9533585808251264E-3</v>
      </c>
      <c r="F127" s="12">
        <f t="shared" si="2"/>
        <v>8.6661370694018913E-4</v>
      </c>
      <c r="I127" s="13">
        <f t="shared" si="3"/>
        <v>5.4337243694246862E-4</v>
      </c>
    </row>
    <row r="128" spans="2:9" x14ac:dyDescent="0.25">
      <c r="B128" s="8">
        <v>45895</v>
      </c>
      <c r="C128" s="6">
        <v>250.85</v>
      </c>
      <c r="D128" s="6">
        <v>138.47</v>
      </c>
      <c r="E128" s="12">
        <f t="shared" si="2"/>
        <v>9.4161200756508467E-3</v>
      </c>
      <c r="F128" s="12">
        <f t="shared" si="2"/>
        <v>1.0213759393010946E-2</v>
      </c>
      <c r="I128" s="13">
        <f t="shared" si="3"/>
        <v>-3.9881965868004965E-4</v>
      </c>
    </row>
    <row r="129" spans="2:9" x14ac:dyDescent="0.25">
      <c r="B129" s="5">
        <v>45894</v>
      </c>
      <c r="C129" s="3">
        <v>248.51</v>
      </c>
      <c r="D129" s="3">
        <v>137.07</v>
      </c>
      <c r="E129" s="12">
        <f t="shared" si="2"/>
        <v>-2.3284756513710647E-3</v>
      </c>
      <c r="F129" s="12">
        <f t="shared" si="2"/>
        <v>-1.9808352402746032E-2</v>
      </c>
      <c r="I129" s="13">
        <f t="shared" si="3"/>
        <v>8.7399383756874838E-3</v>
      </c>
    </row>
    <row r="130" spans="2:9" x14ac:dyDescent="0.25">
      <c r="B130" s="8">
        <v>45891</v>
      </c>
      <c r="C130" s="6">
        <v>249.09</v>
      </c>
      <c r="D130" s="6">
        <v>139.84</v>
      </c>
      <c r="E130" s="12">
        <f t="shared" si="2"/>
        <v>2.7768608681300488E-2</v>
      </c>
      <c r="F130" s="12">
        <f t="shared" si="2"/>
        <v>7.7832228307870288E-3</v>
      </c>
      <c r="I130" s="13">
        <f t="shared" si="3"/>
        <v>9.9926929252567298E-3</v>
      </c>
    </row>
    <row r="131" spans="2:9" x14ac:dyDescent="0.25">
      <c r="B131" s="5">
        <v>45890</v>
      </c>
      <c r="C131" s="3">
        <v>242.36</v>
      </c>
      <c r="D131" s="3">
        <v>138.76</v>
      </c>
      <c r="E131" s="12">
        <f t="shared" si="2"/>
        <v>-5.6617707393123995E-3</v>
      </c>
      <c r="F131" s="12">
        <f t="shared" si="2"/>
        <v>2.4562924432884881E-3</v>
      </c>
      <c r="I131" s="13">
        <f t="shared" si="3"/>
        <v>-4.0590315913004438E-3</v>
      </c>
    </row>
    <row r="132" spans="2:9" x14ac:dyDescent="0.25">
      <c r="B132" s="8">
        <v>45889</v>
      </c>
      <c r="C132" s="6">
        <v>243.74</v>
      </c>
      <c r="D132" s="6">
        <v>138.41999999999999</v>
      </c>
      <c r="E132" s="12">
        <f t="shared" si="2"/>
        <v>-5.7515806648990031E-3</v>
      </c>
      <c r="F132" s="12">
        <f t="shared" si="2"/>
        <v>3.8436434839363987E-3</v>
      </c>
      <c r="I132" s="13">
        <f t="shared" si="3"/>
        <v>-4.7976120744177009E-3</v>
      </c>
    </row>
    <row r="133" spans="2:9" x14ac:dyDescent="0.25">
      <c r="B133" s="5">
        <v>45888</v>
      </c>
      <c r="C133" s="3">
        <v>245.15</v>
      </c>
      <c r="D133" s="3">
        <v>137.88999999999999</v>
      </c>
      <c r="E133" s="12">
        <f t="shared" si="2"/>
        <v>-1.5659506123268496E-2</v>
      </c>
      <c r="F133" s="12">
        <f t="shared" si="2"/>
        <v>-3.5409741292095065E-3</v>
      </c>
      <c r="I133" s="13">
        <f t="shared" si="3"/>
        <v>-6.0592659970294949E-3</v>
      </c>
    </row>
    <row r="134" spans="2:9" x14ac:dyDescent="0.25">
      <c r="B134" s="8">
        <v>45887</v>
      </c>
      <c r="C134" s="6">
        <v>249.05</v>
      </c>
      <c r="D134" s="6">
        <v>138.38</v>
      </c>
      <c r="E134" s="12">
        <f t="shared" si="2"/>
        <v>2.9397551546392897E-3</v>
      </c>
      <c r="F134" s="12">
        <f t="shared" si="2"/>
        <v>-2.7385413663879588E-3</v>
      </c>
      <c r="I134" s="13">
        <f t="shared" si="3"/>
        <v>2.8391482605136242E-3</v>
      </c>
    </row>
    <row r="135" spans="2:9" x14ac:dyDescent="0.25">
      <c r="B135" s="5">
        <v>45884</v>
      </c>
      <c r="C135" s="3">
        <v>248.32</v>
      </c>
      <c r="D135" s="3">
        <v>138.76</v>
      </c>
      <c r="E135" s="12">
        <f t="shared" si="2"/>
        <v>-2.2900763358778553E-2</v>
      </c>
      <c r="F135" s="12">
        <f t="shared" si="2"/>
        <v>1.0854520288482439E-2</v>
      </c>
      <c r="I135" s="13">
        <f t="shared" si="3"/>
        <v>-1.6877641823630496E-2</v>
      </c>
    </row>
    <row r="136" spans="2:9" x14ac:dyDescent="0.25">
      <c r="B136" s="8">
        <v>45883</v>
      </c>
      <c r="C136" s="6">
        <v>254.14</v>
      </c>
      <c r="D136" s="6">
        <v>137.27000000000001</v>
      </c>
      <c r="E136" s="12">
        <f t="shared" si="2"/>
        <v>1.0241058767921363E-3</v>
      </c>
      <c r="F136" s="12">
        <f t="shared" si="2"/>
        <v>1.2399708242161189E-3</v>
      </c>
      <c r="I136" s="13">
        <f t="shared" si="3"/>
        <v>-1.0793247371199133E-4</v>
      </c>
    </row>
    <row r="137" spans="2:9" x14ac:dyDescent="0.25">
      <c r="B137" s="5">
        <v>45882</v>
      </c>
      <c r="C137" s="3">
        <v>253.88</v>
      </c>
      <c r="D137" s="3">
        <v>137.1</v>
      </c>
      <c r="E137" s="12">
        <f t="shared" si="2"/>
        <v>1.4870482890949832E-2</v>
      </c>
      <c r="F137" s="12">
        <f t="shared" si="2"/>
        <v>2.3134328358208833E-2</v>
      </c>
      <c r="I137" s="13">
        <f t="shared" si="3"/>
        <v>-4.1319227336295006E-3</v>
      </c>
    </row>
    <row r="138" spans="2:9" x14ac:dyDescent="0.25">
      <c r="B138" s="8">
        <v>45881</v>
      </c>
      <c r="C138" s="6">
        <v>250.16</v>
      </c>
      <c r="D138" s="6">
        <v>134</v>
      </c>
      <c r="E138" s="12">
        <f t="shared" si="2"/>
        <v>3.1970628274411217E-2</v>
      </c>
      <c r="F138" s="12">
        <f t="shared" si="2"/>
        <v>1.7155002277212672E-2</v>
      </c>
      <c r="I138" s="13">
        <f t="shared" si="3"/>
        <v>7.4078129985992724E-3</v>
      </c>
    </row>
    <row r="139" spans="2:9" x14ac:dyDescent="0.25">
      <c r="B139" s="5">
        <v>45880</v>
      </c>
      <c r="C139" s="3">
        <v>242.41</v>
      </c>
      <c r="D139" s="3">
        <v>131.74</v>
      </c>
      <c r="E139" s="12">
        <f t="shared" si="2"/>
        <v>-1.8940173755507272E-3</v>
      </c>
      <c r="F139" s="12">
        <f t="shared" si="2"/>
        <v>-2.27203877612836E-3</v>
      </c>
      <c r="I139" s="13">
        <f t="shared" si="3"/>
        <v>1.8901070028881639E-4</v>
      </c>
    </row>
    <row r="140" spans="2:9" x14ac:dyDescent="0.25">
      <c r="B140" s="8">
        <v>45877</v>
      </c>
      <c r="C140" s="6">
        <v>242.87</v>
      </c>
      <c r="D140" s="6">
        <v>132.04</v>
      </c>
      <c r="E140" s="12">
        <f t="shared" si="2"/>
        <v>8.4288324198638076E-3</v>
      </c>
      <c r="F140" s="12">
        <f t="shared" si="2"/>
        <v>6.1723691229140787E-3</v>
      </c>
      <c r="I140" s="13">
        <f t="shared" si="3"/>
        <v>1.1282316484748645E-3</v>
      </c>
    </row>
    <row r="141" spans="2:9" x14ac:dyDescent="0.25">
      <c r="B141" s="5">
        <v>45876</v>
      </c>
      <c r="C141" s="3">
        <v>240.84</v>
      </c>
      <c r="D141" s="3">
        <v>131.22999999999999</v>
      </c>
      <c r="E141" s="12">
        <f t="shared" si="2"/>
        <v>1.6502764529607861E-2</v>
      </c>
      <c r="F141" s="12">
        <f t="shared" si="2"/>
        <v>-1.9773366795955427E-3</v>
      </c>
      <c r="I141" s="13">
        <f t="shared" si="3"/>
        <v>9.2400506046017017E-3</v>
      </c>
    </row>
    <row r="142" spans="2:9" x14ac:dyDescent="0.25">
      <c r="B142" s="8">
        <v>45875</v>
      </c>
      <c r="C142" s="6">
        <v>236.93</v>
      </c>
      <c r="D142" s="6">
        <v>131.49</v>
      </c>
      <c r="E142" s="12">
        <f t="shared" si="2"/>
        <v>-7.539898630251729E-3</v>
      </c>
      <c r="F142" s="12">
        <f t="shared" si="2"/>
        <v>-1.4391724758263891E-2</v>
      </c>
      <c r="I142" s="13">
        <f t="shared" si="3"/>
        <v>3.4259130640060809E-3</v>
      </c>
    </row>
    <row r="143" spans="2:9" x14ac:dyDescent="0.25">
      <c r="B143" s="5">
        <v>45874</v>
      </c>
      <c r="C143" s="3">
        <v>238.73</v>
      </c>
      <c r="D143" s="3">
        <v>133.41</v>
      </c>
      <c r="E143" s="12">
        <f t="shared" ref="E143:F206" si="4">C143/C144-1</f>
        <v>-6.9467554076539928E-3</v>
      </c>
      <c r="F143" s="12">
        <f t="shared" si="4"/>
        <v>-1.4478835783408472E-2</v>
      </c>
      <c r="I143" s="13">
        <f t="shared" ref="I143:I206" si="5">E143*$G$14+F143*$H$14</f>
        <v>3.7660401878772398E-3</v>
      </c>
    </row>
    <row r="144" spans="2:9" x14ac:dyDescent="0.25">
      <c r="B144" s="8">
        <v>45873</v>
      </c>
      <c r="C144" s="6">
        <v>240.4</v>
      </c>
      <c r="D144" s="6">
        <v>135.37</v>
      </c>
      <c r="E144" s="12">
        <f t="shared" si="4"/>
        <v>1.3319844882819121E-2</v>
      </c>
      <c r="F144" s="12">
        <f t="shared" si="4"/>
        <v>1.7513529765484259E-2</v>
      </c>
      <c r="I144" s="13">
        <f t="shared" si="5"/>
        <v>-2.0968424413325693E-3</v>
      </c>
    </row>
    <row r="145" spans="2:9" x14ac:dyDescent="0.25">
      <c r="B145" s="5">
        <v>45870</v>
      </c>
      <c r="C145" s="3">
        <v>237.24</v>
      </c>
      <c r="D145" s="3">
        <v>133.04</v>
      </c>
      <c r="E145" s="12">
        <f t="shared" si="4"/>
        <v>-1.1623547056617944E-2</v>
      </c>
      <c r="F145" s="12">
        <f t="shared" si="4"/>
        <v>2.1090689966858367E-3</v>
      </c>
      <c r="I145" s="13">
        <f t="shared" si="5"/>
        <v>-6.8663080266518906E-3</v>
      </c>
    </row>
    <row r="146" spans="2:9" x14ac:dyDescent="0.25">
      <c r="B146" s="8">
        <v>45869</v>
      </c>
      <c r="C146" s="6">
        <v>240.03</v>
      </c>
      <c r="D146" s="6">
        <v>132.76</v>
      </c>
      <c r="E146" s="12">
        <f t="shared" si="4"/>
        <v>-3.1941923774954528E-2</v>
      </c>
      <c r="F146" s="12">
        <f t="shared" si="4"/>
        <v>-7.0306656694091307E-3</v>
      </c>
      <c r="I146" s="13">
        <f t="shared" si="5"/>
        <v>-1.2455629052772699E-2</v>
      </c>
    </row>
    <row r="147" spans="2:9" x14ac:dyDescent="0.25">
      <c r="B147" s="5">
        <v>45868</v>
      </c>
      <c r="C147" s="3">
        <v>247.95</v>
      </c>
      <c r="D147" s="3">
        <v>133.69999999999999</v>
      </c>
      <c r="E147" s="12">
        <f t="shared" si="4"/>
        <v>7.1489499979691118E-3</v>
      </c>
      <c r="F147" s="12">
        <f t="shared" si="4"/>
        <v>-1.1952786493353296E-3</v>
      </c>
      <c r="I147" s="13">
        <f t="shared" si="5"/>
        <v>4.1721143236522207E-3</v>
      </c>
    </row>
    <row r="148" spans="2:9" x14ac:dyDescent="0.25">
      <c r="B148" s="8">
        <v>45867</v>
      </c>
      <c r="C148" s="6">
        <v>246.19</v>
      </c>
      <c r="D148" s="6">
        <v>133.86000000000001</v>
      </c>
      <c r="E148" s="12">
        <f t="shared" si="4"/>
        <v>1.7904374364190456E-3</v>
      </c>
      <c r="F148" s="12">
        <f t="shared" si="4"/>
        <v>-1.8641413764819426E-3</v>
      </c>
      <c r="I148" s="13">
        <f t="shared" si="5"/>
        <v>1.8272894064504941E-3</v>
      </c>
    </row>
    <row r="149" spans="2:9" x14ac:dyDescent="0.25">
      <c r="B149" s="5">
        <v>45866</v>
      </c>
      <c r="C149" s="3">
        <v>245.75</v>
      </c>
      <c r="D149" s="3">
        <v>134.11000000000001</v>
      </c>
      <c r="E149" s="12">
        <f t="shared" si="4"/>
        <v>1.7429825287736955E-2</v>
      </c>
      <c r="F149" s="12">
        <f t="shared" si="4"/>
        <v>-1.0258302583025736E-2</v>
      </c>
      <c r="I149" s="13">
        <f t="shared" si="5"/>
        <v>1.3844063935381345E-2</v>
      </c>
    </row>
    <row r="150" spans="2:9" x14ac:dyDescent="0.25">
      <c r="B150" s="8">
        <v>45863</v>
      </c>
      <c r="C150" s="6">
        <v>241.54</v>
      </c>
      <c r="D150" s="6">
        <v>135.5</v>
      </c>
      <c r="E150" s="12">
        <f t="shared" si="4"/>
        <v>-8.2795164762394791E-5</v>
      </c>
      <c r="F150" s="12">
        <f t="shared" si="4"/>
        <v>5.1687218489249176E-4</v>
      </c>
      <c r="I150" s="13">
        <f t="shared" si="5"/>
        <v>-2.9983367482744328E-4</v>
      </c>
    </row>
    <row r="151" spans="2:9" x14ac:dyDescent="0.25">
      <c r="B151" s="5">
        <v>45862</v>
      </c>
      <c r="C151" s="3">
        <v>241.56</v>
      </c>
      <c r="D151" s="3">
        <v>135.43</v>
      </c>
      <c r="E151" s="12">
        <f t="shared" si="4"/>
        <v>-2.0656035693629171E-3</v>
      </c>
      <c r="F151" s="12">
        <f t="shared" si="4"/>
        <v>1.4769957905635955E-4</v>
      </c>
      <c r="I151" s="13">
        <f t="shared" si="5"/>
        <v>-1.1066515742096383E-3</v>
      </c>
    </row>
    <row r="152" spans="2:9" x14ac:dyDescent="0.25">
      <c r="B152" s="8">
        <v>45861</v>
      </c>
      <c r="C152" s="6">
        <v>242.06</v>
      </c>
      <c r="D152" s="6">
        <v>135.41</v>
      </c>
      <c r="E152" s="12">
        <f t="shared" si="4"/>
        <v>-6.0770304672743691E-3</v>
      </c>
      <c r="F152" s="12">
        <f t="shared" si="4"/>
        <v>1.9346582354712316E-2</v>
      </c>
      <c r="I152" s="13">
        <f t="shared" si="5"/>
        <v>-1.2711806410993343E-2</v>
      </c>
    </row>
    <row r="153" spans="2:9" x14ac:dyDescent="0.25">
      <c r="B153" s="5">
        <v>45860</v>
      </c>
      <c r="C153" s="3">
        <v>243.54</v>
      </c>
      <c r="D153" s="3">
        <v>132.84</v>
      </c>
      <c r="E153" s="12">
        <f t="shared" si="4"/>
        <v>-1.38084632516704E-2</v>
      </c>
      <c r="F153" s="12">
        <f t="shared" si="4"/>
        <v>2.8730736467126317E-2</v>
      </c>
      <c r="I153" s="13">
        <f t="shared" si="5"/>
        <v>-2.1269599859398358E-2</v>
      </c>
    </row>
    <row r="154" spans="2:9" x14ac:dyDescent="0.25">
      <c r="B154" s="8">
        <v>45859</v>
      </c>
      <c r="C154" s="6">
        <v>246.95</v>
      </c>
      <c r="D154" s="6">
        <v>129.13</v>
      </c>
      <c r="E154" s="12">
        <f t="shared" si="4"/>
        <v>8.9166295140441498E-4</v>
      </c>
      <c r="F154" s="12">
        <f t="shared" si="4"/>
        <v>-4.6249903646033985E-3</v>
      </c>
      <c r="I154" s="13">
        <f t="shared" si="5"/>
        <v>2.7583266580039068E-3</v>
      </c>
    </row>
    <row r="155" spans="2:9" x14ac:dyDescent="0.25">
      <c r="B155" s="5">
        <v>45856</v>
      </c>
      <c r="C155" s="3">
        <v>246.73</v>
      </c>
      <c r="D155" s="3">
        <v>129.72999999999999</v>
      </c>
      <c r="E155" s="12">
        <f t="shared" si="4"/>
        <v>8.1126029286493484E-4</v>
      </c>
      <c r="F155" s="12">
        <f t="shared" si="4"/>
        <v>-1.5257325034158331E-2</v>
      </c>
      <c r="I155" s="13">
        <f t="shared" si="5"/>
        <v>8.034292663511633E-3</v>
      </c>
    </row>
    <row r="156" spans="2:9" x14ac:dyDescent="0.25">
      <c r="B156" s="8">
        <v>45855</v>
      </c>
      <c r="C156" s="6">
        <v>246.53</v>
      </c>
      <c r="D156" s="6">
        <v>131.74</v>
      </c>
      <c r="E156" s="12">
        <f t="shared" si="4"/>
        <v>3.8275174070605544E-3</v>
      </c>
      <c r="F156" s="12">
        <f t="shared" si="4"/>
        <v>4.2689434364995282E-3</v>
      </c>
      <c r="I156" s="13">
        <f t="shared" si="5"/>
        <v>-2.207130147194869E-4</v>
      </c>
    </row>
    <row r="157" spans="2:9" x14ac:dyDescent="0.25">
      <c r="B157" s="5">
        <v>45854</v>
      </c>
      <c r="C157" s="3">
        <v>245.59</v>
      </c>
      <c r="D157" s="3">
        <v>131.18</v>
      </c>
      <c r="E157" s="12">
        <f t="shared" si="4"/>
        <v>-2.7207016973929132E-3</v>
      </c>
      <c r="F157" s="12">
        <f t="shared" si="4"/>
        <v>1.6505230530801995E-2</v>
      </c>
      <c r="I157" s="13">
        <f t="shared" si="5"/>
        <v>-9.6129661140974543E-3</v>
      </c>
    </row>
    <row r="158" spans="2:9" x14ac:dyDescent="0.25">
      <c r="B158" s="8">
        <v>45853</v>
      </c>
      <c r="C158" s="6">
        <v>246.26</v>
      </c>
      <c r="D158" s="6">
        <v>129.05000000000001</v>
      </c>
      <c r="E158" s="12">
        <f t="shared" si="4"/>
        <v>9.9659598900871949E-3</v>
      </c>
      <c r="F158" s="12">
        <f t="shared" si="4"/>
        <v>-2.1533095761619325E-2</v>
      </c>
      <c r="I158" s="13">
        <f t="shared" si="5"/>
        <v>1.574952782585326E-2</v>
      </c>
    </row>
    <row r="159" spans="2:9" x14ac:dyDescent="0.25">
      <c r="B159" s="5">
        <v>45852</v>
      </c>
      <c r="C159" s="3">
        <v>243.83</v>
      </c>
      <c r="D159" s="3">
        <v>131.88999999999999</v>
      </c>
      <c r="E159" s="12">
        <f t="shared" si="4"/>
        <v>-9.5056261932809916E-3</v>
      </c>
      <c r="F159" s="12">
        <f t="shared" si="4"/>
        <v>2.2798084960862219E-3</v>
      </c>
      <c r="I159" s="13">
        <f t="shared" si="5"/>
        <v>-5.8927173446836068E-3</v>
      </c>
    </row>
    <row r="160" spans="2:9" x14ac:dyDescent="0.25">
      <c r="B160" s="8">
        <v>45849</v>
      </c>
      <c r="C160" s="6">
        <v>246.17</v>
      </c>
      <c r="D160" s="6">
        <v>131.59</v>
      </c>
      <c r="E160" s="12">
        <f t="shared" si="4"/>
        <v>-1.5412695193673942E-3</v>
      </c>
      <c r="F160" s="12">
        <f t="shared" si="4"/>
        <v>-1.5413393191170965E-2</v>
      </c>
      <c r="I160" s="13">
        <f t="shared" si="5"/>
        <v>6.9360618359017856E-3</v>
      </c>
    </row>
    <row r="161" spans="2:9" x14ac:dyDescent="0.25">
      <c r="B161" s="5">
        <v>45848</v>
      </c>
      <c r="C161" s="3">
        <v>246.55</v>
      </c>
      <c r="D161" s="3">
        <v>133.65</v>
      </c>
      <c r="E161" s="12">
        <f t="shared" si="4"/>
        <v>9.9541209241356121E-3</v>
      </c>
      <c r="F161" s="12">
        <f t="shared" si="4"/>
        <v>1.0280444478040662E-2</v>
      </c>
      <c r="I161" s="13">
        <f t="shared" si="5"/>
        <v>-1.6316177695252509E-4</v>
      </c>
    </row>
    <row r="162" spans="2:9" x14ac:dyDescent="0.25">
      <c r="B162" s="8">
        <v>45847</v>
      </c>
      <c r="C162" s="6">
        <v>244.12</v>
      </c>
      <c r="D162" s="6">
        <v>132.29</v>
      </c>
      <c r="E162" s="12">
        <f t="shared" si="4"/>
        <v>3.2053916331058474E-3</v>
      </c>
      <c r="F162" s="12">
        <f t="shared" si="4"/>
        <v>2.2887187814118803E-2</v>
      </c>
      <c r="I162" s="13">
        <f t="shared" si="5"/>
        <v>-9.840898090506478E-3</v>
      </c>
    </row>
    <row r="163" spans="2:9" x14ac:dyDescent="0.25">
      <c r="B163" s="5">
        <v>45846</v>
      </c>
      <c r="C163" s="3">
        <v>243.34</v>
      </c>
      <c r="D163" s="3">
        <v>129.33000000000001</v>
      </c>
      <c r="E163" s="12">
        <f t="shared" si="4"/>
        <v>1.909707680710282E-2</v>
      </c>
      <c r="F163" s="12">
        <f t="shared" si="4"/>
        <v>9.4442709959414728E-3</v>
      </c>
      <c r="I163" s="13">
        <f t="shared" si="5"/>
        <v>4.8264029055806734E-3</v>
      </c>
    </row>
    <row r="164" spans="2:9" x14ac:dyDescent="0.25">
      <c r="B164" s="8">
        <v>45845</v>
      </c>
      <c r="C164" s="6">
        <v>238.78</v>
      </c>
      <c r="D164" s="6">
        <v>128.12</v>
      </c>
      <c r="E164" s="12">
        <f t="shared" si="4"/>
        <v>-1.8739212624311663E-2</v>
      </c>
      <c r="F164" s="12">
        <f t="shared" si="4"/>
        <v>-1.4461538461538415E-2</v>
      </c>
      <c r="I164" s="13">
        <f t="shared" si="5"/>
        <v>-2.1388370813866242E-3</v>
      </c>
    </row>
    <row r="165" spans="2:9" x14ac:dyDescent="0.25">
      <c r="B165" s="5">
        <v>45841</v>
      </c>
      <c r="C165" s="3">
        <v>243.34</v>
      </c>
      <c r="D165" s="3">
        <v>130</v>
      </c>
      <c r="E165" s="12">
        <f t="shared" si="4"/>
        <v>4.9558106880318586E-3</v>
      </c>
      <c r="F165" s="12">
        <f t="shared" si="4"/>
        <v>3.4735623311461516E-3</v>
      </c>
      <c r="I165" s="13">
        <f t="shared" si="5"/>
        <v>7.411241784428535E-4</v>
      </c>
    </row>
    <row r="166" spans="2:9" x14ac:dyDescent="0.25">
      <c r="B166" s="8">
        <v>45840</v>
      </c>
      <c r="C166" s="6">
        <v>242.14</v>
      </c>
      <c r="D166" s="6">
        <v>129.55000000000001</v>
      </c>
      <c r="E166" s="12">
        <f t="shared" si="4"/>
        <v>1.9021967847824284E-2</v>
      </c>
      <c r="F166" s="12">
        <f t="shared" si="4"/>
        <v>1.5043485074042184E-2</v>
      </c>
      <c r="I166" s="13">
        <f t="shared" si="5"/>
        <v>1.9892413868910497E-3</v>
      </c>
    </row>
    <row r="167" spans="2:9" x14ac:dyDescent="0.25">
      <c r="B167" s="5">
        <v>45839</v>
      </c>
      <c r="C167" s="3">
        <v>237.62</v>
      </c>
      <c r="D167" s="3">
        <v>127.63</v>
      </c>
      <c r="E167" s="12">
        <f t="shared" si="4"/>
        <v>-4.5245077503140996E-3</v>
      </c>
      <c r="F167" s="12">
        <f t="shared" si="4"/>
        <v>8.8530550944587727E-3</v>
      </c>
      <c r="I167" s="13">
        <f t="shared" si="5"/>
        <v>-6.6887814223864361E-3</v>
      </c>
    </row>
    <row r="168" spans="2:9" x14ac:dyDescent="0.25">
      <c r="B168" s="8">
        <v>45838</v>
      </c>
      <c r="C168" s="6">
        <v>238.7</v>
      </c>
      <c r="D168" s="6">
        <v>126.51</v>
      </c>
      <c r="E168" s="12">
        <f t="shared" si="4"/>
        <v>-6.698484467889676E-4</v>
      </c>
      <c r="F168" s="12">
        <f t="shared" si="4"/>
        <v>3.16280540839875E-4</v>
      </c>
      <c r="I168" s="13">
        <f t="shared" si="5"/>
        <v>-4.930644938144213E-4</v>
      </c>
    </row>
    <row r="169" spans="2:9" x14ac:dyDescent="0.25">
      <c r="B169" s="5">
        <v>45835</v>
      </c>
      <c r="C169" s="3">
        <v>238.86</v>
      </c>
      <c r="D169" s="3">
        <v>126.47</v>
      </c>
      <c r="E169" s="12">
        <f t="shared" si="4"/>
        <v>-8.7840381478221374E-4</v>
      </c>
      <c r="F169" s="12">
        <f t="shared" si="4"/>
        <v>-4.2516337296276685E-3</v>
      </c>
      <c r="I169" s="13">
        <f t="shared" si="5"/>
        <v>1.6866149574227274E-3</v>
      </c>
    </row>
    <row r="170" spans="2:9" x14ac:dyDescent="0.25">
      <c r="B170" s="8">
        <v>45834</v>
      </c>
      <c r="C170" s="6">
        <v>239.07</v>
      </c>
      <c r="D170" s="6">
        <v>127.01</v>
      </c>
      <c r="E170" s="12">
        <f t="shared" si="4"/>
        <v>7.8411534083722145E-3</v>
      </c>
      <c r="F170" s="12">
        <f t="shared" si="4"/>
        <v>2.5258505012235588E-3</v>
      </c>
      <c r="I170" s="13">
        <f t="shared" si="5"/>
        <v>2.6576514535743279E-3</v>
      </c>
    </row>
    <row r="171" spans="2:9" x14ac:dyDescent="0.25">
      <c r="B171" s="5">
        <v>45833</v>
      </c>
      <c r="C171" s="3">
        <v>237.21</v>
      </c>
      <c r="D171" s="3">
        <v>126.69</v>
      </c>
      <c r="E171" s="12">
        <f t="shared" si="4"/>
        <v>8.974904296044306E-3</v>
      </c>
      <c r="F171" s="12">
        <f t="shared" si="4"/>
        <v>-5.6510477984459406E-3</v>
      </c>
      <c r="I171" s="13">
        <f t="shared" si="5"/>
        <v>7.3129760472451233E-3</v>
      </c>
    </row>
    <row r="172" spans="2:9" x14ac:dyDescent="0.25">
      <c r="B172" s="8">
        <v>45832</v>
      </c>
      <c r="C172" s="6">
        <v>235.1</v>
      </c>
      <c r="D172" s="6">
        <v>127.41</v>
      </c>
      <c r="E172" s="12">
        <f t="shared" si="4"/>
        <v>3.7923270495783923E-2</v>
      </c>
      <c r="F172" s="12">
        <f t="shared" si="4"/>
        <v>1.9769489354890313E-2</v>
      </c>
      <c r="I172" s="13">
        <f t="shared" si="5"/>
        <v>9.076890570446805E-3</v>
      </c>
    </row>
    <row r="173" spans="2:9" x14ac:dyDescent="0.25">
      <c r="B173" s="5">
        <v>45831</v>
      </c>
      <c r="C173" s="3">
        <v>226.51</v>
      </c>
      <c r="D173" s="3">
        <v>124.94</v>
      </c>
      <c r="E173" s="12">
        <f t="shared" si="4"/>
        <v>6.2191817333747679E-3</v>
      </c>
      <c r="F173" s="12">
        <f t="shared" si="4"/>
        <v>-4.5414707991395797E-3</v>
      </c>
      <c r="I173" s="13">
        <f t="shared" si="5"/>
        <v>5.3803262662571738E-3</v>
      </c>
    </row>
    <row r="174" spans="2:9" x14ac:dyDescent="0.25">
      <c r="B174" s="8">
        <v>45828</v>
      </c>
      <c r="C174" s="6">
        <v>225.11</v>
      </c>
      <c r="D174" s="6">
        <v>125.51</v>
      </c>
      <c r="E174" s="12">
        <f t="shared" si="4"/>
        <v>-6.4000706214688563E-3</v>
      </c>
      <c r="F174" s="12">
        <f t="shared" si="4"/>
        <v>-2.06726564363513E-3</v>
      </c>
      <c r="I174" s="13">
        <f t="shared" si="5"/>
        <v>-2.1664024889168632E-3</v>
      </c>
    </row>
    <row r="175" spans="2:9" x14ac:dyDescent="0.25">
      <c r="B175" s="5">
        <v>45826</v>
      </c>
      <c r="C175" s="3">
        <v>226.56</v>
      </c>
      <c r="D175" s="3">
        <v>125.77</v>
      </c>
      <c r="E175" s="12">
        <f t="shared" si="4"/>
        <v>4.0772912604147837E-3</v>
      </c>
      <c r="F175" s="12">
        <f t="shared" si="4"/>
        <v>3.5908075327162337E-3</v>
      </c>
      <c r="I175" s="13">
        <f t="shared" si="5"/>
        <v>2.4324186384927504E-4</v>
      </c>
    </row>
    <row r="176" spans="2:9" x14ac:dyDescent="0.25">
      <c r="B176" s="8">
        <v>45825</v>
      </c>
      <c r="C176" s="6">
        <v>225.64</v>
      </c>
      <c r="D176" s="6">
        <v>125.32</v>
      </c>
      <c r="E176" s="12">
        <f t="shared" si="4"/>
        <v>-7.9141751670770422E-3</v>
      </c>
      <c r="F176" s="12">
        <f t="shared" si="4"/>
        <v>-1.9788815017598771E-2</v>
      </c>
      <c r="I176" s="13">
        <f t="shared" si="5"/>
        <v>5.9373199252608644E-3</v>
      </c>
    </row>
    <row r="177" spans="2:9" x14ac:dyDescent="0.25">
      <c r="B177" s="5">
        <v>45824</v>
      </c>
      <c r="C177" s="3">
        <v>227.44</v>
      </c>
      <c r="D177" s="3">
        <v>127.85</v>
      </c>
      <c r="E177" s="12">
        <f t="shared" si="4"/>
        <v>2.9326574945691464E-2</v>
      </c>
      <c r="F177" s="12">
        <f t="shared" si="4"/>
        <v>-1.1718750000000444E-3</v>
      </c>
      <c r="I177" s="13">
        <f t="shared" si="5"/>
        <v>1.5249224972845754E-2</v>
      </c>
    </row>
    <row r="178" spans="2:9" x14ac:dyDescent="0.25">
      <c r="B178" s="8">
        <v>45821</v>
      </c>
      <c r="C178" s="6">
        <v>220.96</v>
      </c>
      <c r="D178" s="6">
        <v>128</v>
      </c>
      <c r="E178" s="12">
        <f t="shared" si="4"/>
        <v>-2.605016088508838E-2</v>
      </c>
      <c r="F178" s="12">
        <f t="shared" si="4"/>
        <v>-7.7519379844961378E-3</v>
      </c>
      <c r="I178" s="13">
        <f t="shared" si="5"/>
        <v>-9.1491114502961213E-3</v>
      </c>
    </row>
    <row r="179" spans="2:9" x14ac:dyDescent="0.25">
      <c r="B179" s="5">
        <v>45820</v>
      </c>
      <c r="C179" s="3">
        <v>226.87</v>
      </c>
      <c r="D179" s="3">
        <v>129</v>
      </c>
      <c r="E179" s="12">
        <f t="shared" si="4"/>
        <v>1.3682909604519899E-3</v>
      </c>
      <c r="F179" s="12">
        <f t="shared" si="4"/>
        <v>8.9160018770531035E-3</v>
      </c>
      <c r="I179" s="13">
        <f t="shared" si="5"/>
        <v>-3.7738554583005568E-3</v>
      </c>
    </row>
    <row r="180" spans="2:9" x14ac:dyDescent="0.25">
      <c r="B180" s="8">
        <v>45819</v>
      </c>
      <c r="C180" s="6">
        <v>226.56</v>
      </c>
      <c r="D180" s="6">
        <v>127.86</v>
      </c>
      <c r="E180" s="12">
        <f t="shared" si="4"/>
        <v>-3.343304592644647E-3</v>
      </c>
      <c r="F180" s="12">
        <f t="shared" si="4"/>
        <v>-7.2210575355229345E-3</v>
      </c>
      <c r="I180" s="13">
        <f t="shared" si="5"/>
        <v>1.9388764714391438E-3</v>
      </c>
    </row>
    <row r="181" spans="2:9" x14ac:dyDescent="0.25">
      <c r="B181" s="5">
        <v>45818</v>
      </c>
      <c r="C181" s="3">
        <v>227.32</v>
      </c>
      <c r="D181" s="3">
        <v>128.79</v>
      </c>
      <c r="E181" s="12">
        <f t="shared" si="4"/>
        <v>2.1846624112199953E-2</v>
      </c>
      <c r="F181" s="12">
        <f t="shared" si="4"/>
        <v>9.4051257935574561E-3</v>
      </c>
      <c r="I181" s="13">
        <f t="shared" si="5"/>
        <v>6.2207491593212483E-3</v>
      </c>
    </row>
    <row r="182" spans="2:9" x14ac:dyDescent="0.25">
      <c r="B182" s="8">
        <v>45817</v>
      </c>
      <c r="C182" s="6">
        <v>222.46</v>
      </c>
      <c r="D182" s="6">
        <v>127.59</v>
      </c>
      <c r="E182" s="12">
        <f t="shared" si="4"/>
        <v>2.3557559584061805E-2</v>
      </c>
      <c r="F182" s="12">
        <f t="shared" si="4"/>
        <v>4.9621928166352358E-3</v>
      </c>
      <c r="I182" s="13">
        <f t="shared" si="5"/>
        <v>9.2976833837132844E-3</v>
      </c>
    </row>
    <row r="183" spans="2:9" x14ac:dyDescent="0.25">
      <c r="B183" s="5">
        <v>45814</v>
      </c>
      <c r="C183" s="3">
        <v>217.34</v>
      </c>
      <c r="D183" s="3">
        <v>126.96</v>
      </c>
      <c r="E183" s="12">
        <f t="shared" si="4"/>
        <v>6.7163833433694364E-3</v>
      </c>
      <c r="F183" s="12">
        <f t="shared" si="4"/>
        <v>1.5192707500399694E-2</v>
      </c>
      <c r="I183" s="13">
        <f t="shared" si="5"/>
        <v>-4.2381620785151286E-3</v>
      </c>
    </row>
    <row r="184" spans="2:9" x14ac:dyDescent="0.25">
      <c r="B184" s="8">
        <v>45813</v>
      </c>
      <c r="C184" s="6">
        <v>215.89</v>
      </c>
      <c r="D184" s="6">
        <v>125.06</v>
      </c>
      <c r="E184" s="12">
        <f t="shared" si="4"/>
        <v>-4.1974169741698653E-3</v>
      </c>
      <c r="F184" s="12">
        <f t="shared" si="4"/>
        <v>-4.7953964194380472E-4</v>
      </c>
      <c r="I184" s="13">
        <f t="shared" si="5"/>
        <v>-1.8589386661130303E-3</v>
      </c>
    </row>
    <row r="185" spans="2:9" x14ac:dyDescent="0.25">
      <c r="B185" s="5">
        <v>45812</v>
      </c>
      <c r="C185" s="3">
        <v>216.8</v>
      </c>
      <c r="D185" s="3">
        <v>125.12</v>
      </c>
      <c r="E185" s="12">
        <f t="shared" si="4"/>
        <v>1.4886246606123033E-2</v>
      </c>
      <c r="F185" s="12">
        <f t="shared" si="4"/>
        <v>2.3231594969157499E-3</v>
      </c>
      <c r="I185" s="13">
        <f t="shared" si="5"/>
        <v>6.2815435546036413E-3</v>
      </c>
    </row>
    <row r="186" spans="2:9" x14ac:dyDescent="0.25">
      <c r="B186" s="8">
        <v>45811</v>
      </c>
      <c r="C186" s="6">
        <v>213.62</v>
      </c>
      <c r="D186" s="6">
        <v>124.83</v>
      </c>
      <c r="E186" s="12">
        <f t="shared" si="4"/>
        <v>2.6871124357063847E-2</v>
      </c>
      <c r="F186" s="12">
        <f t="shared" si="4"/>
        <v>9.0534314121737403E-3</v>
      </c>
      <c r="I186" s="13">
        <f t="shared" si="5"/>
        <v>8.9088464724450533E-3</v>
      </c>
    </row>
    <row r="187" spans="2:9" x14ac:dyDescent="0.25">
      <c r="B187" s="5">
        <v>45810</v>
      </c>
      <c r="C187" s="3">
        <v>208.03</v>
      </c>
      <c r="D187" s="3">
        <v>123.71</v>
      </c>
      <c r="E187" s="12">
        <f t="shared" si="4"/>
        <v>1.507758368302925E-2</v>
      </c>
      <c r="F187" s="12">
        <f t="shared" si="4"/>
        <v>1.634899769963849E-2</v>
      </c>
      <c r="I187" s="13">
        <f t="shared" si="5"/>
        <v>-6.3570700830462012E-4</v>
      </c>
    </row>
    <row r="188" spans="2:9" x14ac:dyDescent="0.25">
      <c r="B188" s="8">
        <v>45807</v>
      </c>
      <c r="C188" s="6">
        <v>204.94</v>
      </c>
      <c r="D188" s="6">
        <v>121.72</v>
      </c>
      <c r="E188" s="12">
        <f t="shared" si="4"/>
        <v>-1.9847912382227828E-2</v>
      </c>
      <c r="F188" s="12">
        <f t="shared" si="4"/>
        <v>-2.0283322601416631E-2</v>
      </c>
      <c r="I188" s="13">
        <f t="shared" si="5"/>
        <v>2.1770510959440159E-4</v>
      </c>
    </row>
    <row r="189" spans="2:9" x14ac:dyDescent="0.25">
      <c r="B189" s="5">
        <v>45806</v>
      </c>
      <c r="C189" s="3">
        <v>209.09</v>
      </c>
      <c r="D189" s="3">
        <v>124.24</v>
      </c>
      <c r="E189" s="12">
        <f t="shared" si="4"/>
        <v>4.0818286592392283E-3</v>
      </c>
      <c r="F189" s="12">
        <f t="shared" si="4"/>
        <v>1.9112460011483812E-2</v>
      </c>
      <c r="I189" s="13">
        <f t="shared" si="5"/>
        <v>-7.5153156761222917E-3</v>
      </c>
    </row>
    <row r="190" spans="2:9" x14ac:dyDescent="0.25">
      <c r="B190" s="8">
        <v>45805</v>
      </c>
      <c r="C190" s="6">
        <v>208.24</v>
      </c>
      <c r="D190" s="6">
        <v>121.91</v>
      </c>
      <c r="E190" s="12">
        <f t="shared" si="4"/>
        <v>-5.0169621099908079E-3</v>
      </c>
      <c r="F190" s="12">
        <f t="shared" si="4"/>
        <v>-7.6516076516076614E-3</v>
      </c>
      <c r="I190" s="13">
        <f t="shared" si="5"/>
        <v>1.3173227708084267E-3</v>
      </c>
    </row>
    <row r="191" spans="2:9" x14ac:dyDescent="0.25">
      <c r="B191" s="5">
        <v>45804</v>
      </c>
      <c r="C191" s="3">
        <v>209.29</v>
      </c>
      <c r="D191" s="3">
        <v>122.85</v>
      </c>
      <c r="E191" s="12">
        <f t="shared" si="4"/>
        <v>3.3224723538704426E-2</v>
      </c>
      <c r="F191" s="12">
        <f t="shared" si="4"/>
        <v>1.3195876288659703E-2</v>
      </c>
      <c r="I191" s="13">
        <f t="shared" si="5"/>
        <v>1.0014423625022362E-2</v>
      </c>
    </row>
    <row r="192" spans="2:9" x14ac:dyDescent="0.25">
      <c r="B192" s="8">
        <v>45800</v>
      </c>
      <c r="C192" s="6">
        <v>202.56</v>
      </c>
      <c r="D192" s="6">
        <v>121.25</v>
      </c>
      <c r="E192" s="12">
        <f t="shared" si="4"/>
        <v>-1.5504252733900326E-2</v>
      </c>
      <c r="F192" s="12">
        <f t="shared" si="4"/>
        <v>-1.400098830505736E-3</v>
      </c>
      <c r="I192" s="13">
        <f t="shared" si="5"/>
        <v>-7.0520769516972948E-3</v>
      </c>
    </row>
    <row r="193" spans="2:9" x14ac:dyDescent="0.25">
      <c r="B193" s="5">
        <v>45799</v>
      </c>
      <c r="C193" s="3">
        <v>205.75</v>
      </c>
      <c r="D193" s="3">
        <v>121.42</v>
      </c>
      <c r="E193" s="12">
        <f t="shared" si="4"/>
        <v>-9.2454374729137312E-3</v>
      </c>
      <c r="F193" s="12">
        <f t="shared" si="4"/>
        <v>-2.218752568000637E-3</v>
      </c>
      <c r="I193" s="13">
        <f t="shared" si="5"/>
        <v>-3.5133424524565471E-3</v>
      </c>
    </row>
    <row r="194" spans="2:9" x14ac:dyDescent="0.25">
      <c r="B194" s="8">
        <v>45798</v>
      </c>
      <c r="C194" s="6">
        <v>207.67</v>
      </c>
      <c r="D194" s="6">
        <v>121.69</v>
      </c>
      <c r="E194" s="12">
        <f t="shared" si="4"/>
        <v>-1.829441240427343E-2</v>
      </c>
      <c r="F194" s="12">
        <f t="shared" si="4"/>
        <v>-2.390310419507502E-2</v>
      </c>
      <c r="I194" s="13">
        <f t="shared" si="5"/>
        <v>2.8043458954007949E-3</v>
      </c>
    </row>
    <row r="195" spans="2:9" x14ac:dyDescent="0.25">
      <c r="B195" s="5">
        <v>45797</v>
      </c>
      <c r="C195" s="3">
        <v>211.54</v>
      </c>
      <c r="D195" s="3">
        <v>124.67</v>
      </c>
      <c r="E195" s="12">
        <f t="shared" si="4"/>
        <v>-1.4632995043663E-3</v>
      </c>
      <c r="F195" s="12">
        <f t="shared" si="4"/>
        <v>1.7631213778467103E-2</v>
      </c>
      <c r="I195" s="13">
        <f t="shared" si="5"/>
        <v>-9.5472566414167015E-3</v>
      </c>
    </row>
    <row r="196" spans="2:9" x14ac:dyDescent="0.25">
      <c r="B196" s="8">
        <v>45796</v>
      </c>
      <c r="C196" s="6">
        <v>211.85</v>
      </c>
      <c r="D196" s="6">
        <v>122.51</v>
      </c>
      <c r="E196" s="12">
        <f t="shared" si="4"/>
        <v>-6.0057242058837446E-3</v>
      </c>
      <c r="F196" s="12">
        <f t="shared" si="4"/>
        <v>1.1142291185209707E-2</v>
      </c>
      <c r="I196" s="13">
        <f t="shared" si="5"/>
        <v>-8.5740076955467259E-3</v>
      </c>
    </row>
    <row r="197" spans="2:9" x14ac:dyDescent="0.25">
      <c r="B197" s="5">
        <v>45793</v>
      </c>
      <c r="C197" s="3">
        <v>213.13</v>
      </c>
      <c r="D197" s="3">
        <v>121.16</v>
      </c>
      <c r="E197" s="12">
        <f t="shared" si="4"/>
        <v>-1.3120284897615297E-3</v>
      </c>
      <c r="F197" s="12">
        <f t="shared" si="4"/>
        <v>1.6101979201610161E-2</v>
      </c>
      <c r="I197" s="13">
        <f t="shared" si="5"/>
        <v>-8.7070038456858456E-3</v>
      </c>
    </row>
    <row r="198" spans="2:9" x14ac:dyDescent="0.25">
      <c r="B198" s="8">
        <v>45792</v>
      </c>
      <c r="C198" s="6">
        <v>213.41</v>
      </c>
      <c r="D198" s="6">
        <v>119.24</v>
      </c>
      <c r="E198" s="12">
        <f t="shared" si="4"/>
        <v>-6.4248801154616064E-3</v>
      </c>
      <c r="F198" s="12">
        <f t="shared" si="4"/>
        <v>1.9842627437564042E-2</v>
      </c>
      <c r="I198" s="13">
        <f t="shared" si="5"/>
        <v>-1.3133753776512824E-2</v>
      </c>
    </row>
    <row r="199" spans="2:9" x14ac:dyDescent="0.25">
      <c r="B199" s="5">
        <v>45791</v>
      </c>
      <c r="C199" s="3">
        <v>214.79</v>
      </c>
      <c r="D199" s="3">
        <v>116.92</v>
      </c>
      <c r="E199" s="12">
        <f t="shared" si="4"/>
        <v>4.8184880239521277E-3</v>
      </c>
      <c r="F199" s="12">
        <f t="shared" si="4"/>
        <v>-2.1835522462980039E-2</v>
      </c>
      <c r="I199" s="13">
        <f t="shared" si="5"/>
        <v>1.3327005243466084E-2</v>
      </c>
    </row>
    <row r="200" spans="2:9" x14ac:dyDescent="0.25">
      <c r="B200" s="8">
        <v>45790</v>
      </c>
      <c r="C200" s="6">
        <v>213.76</v>
      </c>
      <c r="D200" s="6">
        <v>119.53</v>
      </c>
      <c r="E200" s="12">
        <f t="shared" si="4"/>
        <v>2.8335017077981473E-2</v>
      </c>
      <c r="F200" s="12">
        <f t="shared" si="4"/>
        <v>-2.064727570667757E-2</v>
      </c>
      <c r="I200" s="13">
        <f t="shared" si="5"/>
        <v>2.4491146392329521E-2</v>
      </c>
    </row>
    <row r="201" spans="2:9" x14ac:dyDescent="0.25">
      <c r="B201" s="5">
        <v>45789</v>
      </c>
      <c r="C201" s="3">
        <v>207.87</v>
      </c>
      <c r="D201" s="3">
        <v>122.05</v>
      </c>
      <c r="E201" s="12">
        <f t="shared" si="4"/>
        <v>7.182633804269356E-2</v>
      </c>
      <c r="F201" s="12">
        <f t="shared" si="4"/>
        <v>4.6471748263740009E-2</v>
      </c>
      <c r="I201" s="13">
        <f t="shared" si="5"/>
        <v>1.2677294889476776E-2</v>
      </c>
    </row>
    <row r="202" spans="2:9" x14ac:dyDescent="0.25">
      <c r="B202" s="8">
        <v>45786</v>
      </c>
      <c r="C202" s="6">
        <v>193.94</v>
      </c>
      <c r="D202" s="6">
        <v>116.63</v>
      </c>
      <c r="E202" s="12">
        <f t="shared" si="4"/>
        <v>1.1473870866798741E-2</v>
      </c>
      <c r="F202" s="12">
        <f t="shared" si="4"/>
        <v>-2.1396207417352042E-2</v>
      </c>
      <c r="I202" s="13">
        <f t="shared" si="5"/>
        <v>1.6435039142075392E-2</v>
      </c>
    </row>
    <row r="203" spans="2:9" x14ac:dyDescent="0.25">
      <c r="B203" s="5">
        <v>45785</v>
      </c>
      <c r="C203" s="3">
        <v>191.74</v>
      </c>
      <c r="D203" s="3">
        <v>119.18</v>
      </c>
      <c r="E203" s="12">
        <f t="shared" si="4"/>
        <v>8.9454851610188957E-3</v>
      </c>
      <c r="F203" s="12">
        <f t="shared" si="4"/>
        <v>-1.842546063651529E-3</v>
      </c>
      <c r="I203" s="13">
        <f t="shared" si="5"/>
        <v>5.3940156123352123E-3</v>
      </c>
    </row>
    <row r="204" spans="2:9" x14ac:dyDescent="0.25">
      <c r="B204" s="8">
        <v>45784</v>
      </c>
      <c r="C204" s="6">
        <v>190.04</v>
      </c>
      <c r="D204" s="6">
        <v>119.4</v>
      </c>
      <c r="E204" s="12">
        <f t="shared" si="4"/>
        <v>1.7508165122878339E-2</v>
      </c>
      <c r="F204" s="12">
        <f t="shared" si="4"/>
        <v>6.7453625632378778E-3</v>
      </c>
      <c r="I204" s="13">
        <f t="shared" si="5"/>
        <v>5.3814012798202304E-3</v>
      </c>
    </row>
    <row r="205" spans="2:9" x14ac:dyDescent="0.25">
      <c r="B205" s="5">
        <v>45783</v>
      </c>
      <c r="C205" s="3">
        <v>186.77</v>
      </c>
      <c r="D205" s="3">
        <v>118.6</v>
      </c>
      <c r="E205" s="12">
        <f t="shared" si="4"/>
        <v>-9.5455268600518339E-3</v>
      </c>
      <c r="F205" s="12">
        <f t="shared" si="4"/>
        <v>-5.7683139996821953E-2</v>
      </c>
      <c r="I205" s="13">
        <f t="shared" si="5"/>
        <v>2.4068806568385059E-2</v>
      </c>
    </row>
    <row r="206" spans="2:9" x14ac:dyDescent="0.25">
      <c r="B206" s="8">
        <v>45782</v>
      </c>
      <c r="C206" s="6">
        <v>188.57</v>
      </c>
      <c r="D206" s="6">
        <v>125.86</v>
      </c>
      <c r="E206" s="12">
        <f t="shared" si="4"/>
        <v>-7.6829974214598362E-3</v>
      </c>
      <c r="F206" s="12">
        <f t="shared" si="4"/>
        <v>-5.8451816745654916E-3</v>
      </c>
      <c r="I206" s="13">
        <f t="shared" si="5"/>
        <v>-9.1890787344717229E-4</v>
      </c>
    </row>
    <row r="207" spans="2:9" x14ac:dyDescent="0.25">
      <c r="B207" s="5">
        <v>45779</v>
      </c>
      <c r="C207" s="3">
        <v>190.03</v>
      </c>
      <c r="D207" s="3">
        <v>126.6</v>
      </c>
      <c r="E207" s="12">
        <f t="shared" ref="E207:F264" si="6">C207/C208-1</f>
        <v>3.5078163298654541E-2</v>
      </c>
      <c r="F207" s="12">
        <f t="shared" si="6"/>
        <v>1.3773222293401721E-2</v>
      </c>
      <c r="I207" s="13">
        <f t="shared" ref="I207:I264" si="7">E207*$G$14+F207*$H$14</f>
        <v>1.065247050262641E-2</v>
      </c>
    </row>
    <row r="208" spans="2:9" x14ac:dyDescent="0.25">
      <c r="B208" s="8">
        <v>45778</v>
      </c>
      <c r="C208" s="6">
        <v>183.59</v>
      </c>
      <c r="D208" s="6">
        <v>124.88</v>
      </c>
      <c r="E208" s="12">
        <f t="shared" si="6"/>
        <v>-1.3598781549173378E-3</v>
      </c>
      <c r="F208" s="12">
        <f t="shared" si="6"/>
        <v>-1.3430241744351368E-2</v>
      </c>
      <c r="I208" s="13">
        <f t="shared" si="7"/>
        <v>6.035181794717015E-3</v>
      </c>
    </row>
    <row r="209" spans="2:9" x14ac:dyDescent="0.25">
      <c r="B209" s="5">
        <v>45777</v>
      </c>
      <c r="C209" s="3">
        <v>183.84</v>
      </c>
      <c r="D209" s="3">
        <v>126.58</v>
      </c>
      <c r="E209" s="12">
        <f t="shared" si="6"/>
        <v>7.2872719303052058E-3</v>
      </c>
      <c r="F209" s="12">
        <f t="shared" si="6"/>
        <v>1.4669338677354649E-2</v>
      </c>
      <c r="I209" s="13">
        <f t="shared" si="7"/>
        <v>-3.6910333735247214E-3</v>
      </c>
    </row>
    <row r="210" spans="2:9" x14ac:dyDescent="0.25">
      <c r="B210" s="8">
        <v>45776</v>
      </c>
      <c r="C210" s="6">
        <v>182.51</v>
      </c>
      <c r="D210" s="6">
        <v>124.75</v>
      </c>
      <c r="E210" s="12">
        <f t="shared" si="6"/>
        <v>-1.0678664353859446E-2</v>
      </c>
      <c r="F210" s="12">
        <f t="shared" si="6"/>
        <v>1.0431712405714055E-3</v>
      </c>
      <c r="I210" s="13">
        <f t="shared" si="7"/>
        <v>-5.8609177972154258E-3</v>
      </c>
    </row>
    <row r="211" spans="2:9" x14ac:dyDescent="0.25">
      <c r="B211" s="5">
        <v>45775</v>
      </c>
      <c r="C211" s="3">
        <v>184.48</v>
      </c>
      <c r="D211" s="3">
        <v>124.62</v>
      </c>
      <c r="E211" s="12">
        <f t="shared" si="6"/>
        <v>-1.7856176613820773E-3</v>
      </c>
      <c r="F211" s="12">
        <f t="shared" si="6"/>
        <v>1.136179191689668E-2</v>
      </c>
      <c r="I211" s="13">
        <f t="shared" si="7"/>
        <v>-6.5737047891393785E-3</v>
      </c>
    </row>
    <row r="212" spans="2:9" x14ac:dyDescent="0.25">
      <c r="B212" s="8">
        <v>45772</v>
      </c>
      <c r="C212" s="6">
        <v>184.81</v>
      </c>
      <c r="D212" s="6">
        <v>123.22</v>
      </c>
      <c r="E212" s="12">
        <f t="shared" si="6"/>
        <v>9.7251816642081046E-3</v>
      </c>
      <c r="F212" s="12">
        <f t="shared" si="6"/>
        <v>-7.8904991948470782E-3</v>
      </c>
      <c r="I212" s="13">
        <f t="shared" si="7"/>
        <v>8.8078404295275914E-3</v>
      </c>
    </row>
    <row r="213" spans="2:9" x14ac:dyDescent="0.25">
      <c r="B213" s="5">
        <v>45771</v>
      </c>
      <c r="C213" s="3">
        <v>183.03</v>
      </c>
      <c r="D213" s="3">
        <v>124.2</v>
      </c>
      <c r="E213" s="12">
        <f t="shared" si="6"/>
        <v>5.7548968625411812E-2</v>
      </c>
      <c r="F213" s="12">
        <f t="shared" si="6"/>
        <v>1.8032786885245899E-2</v>
      </c>
      <c r="I213" s="13">
        <f t="shared" si="7"/>
        <v>1.9758090870082956E-2</v>
      </c>
    </row>
    <row r="214" spans="2:9" x14ac:dyDescent="0.25">
      <c r="B214" s="8">
        <v>45770</v>
      </c>
      <c r="C214" s="6">
        <v>173.07</v>
      </c>
      <c r="D214" s="6">
        <v>122</v>
      </c>
      <c r="E214" s="12">
        <f t="shared" si="6"/>
        <v>3.7465531710826117E-2</v>
      </c>
      <c r="F214" s="12">
        <f t="shared" si="6"/>
        <v>1.3036618782695353E-2</v>
      </c>
      <c r="I214" s="13">
        <f t="shared" si="7"/>
        <v>1.2214456464065382E-2</v>
      </c>
    </row>
    <row r="215" spans="2:9" x14ac:dyDescent="0.25">
      <c r="B215" s="5">
        <v>45769</v>
      </c>
      <c r="C215" s="3">
        <v>166.82</v>
      </c>
      <c r="D215" s="3">
        <v>120.43</v>
      </c>
      <c r="E215" s="12">
        <f t="shared" si="6"/>
        <v>1.9432901491078125E-2</v>
      </c>
      <c r="F215" s="12">
        <f t="shared" si="6"/>
        <v>2.7209143636984123E-2</v>
      </c>
      <c r="I215" s="13">
        <f t="shared" si="7"/>
        <v>-3.8881210729529991E-3</v>
      </c>
    </row>
    <row r="216" spans="2:9" x14ac:dyDescent="0.25">
      <c r="B216" s="8">
        <v>45768</v>
      </c>
      <c r="C216" s="6">
        <v>163.63999999999999</v>
      </c>
      <c r="D216" s="6">
        <v>117.24</v>
      </c>
      <c r="E216" s="12">
        <f t="shared" si="6"/>
        <v>-1.7472230561393132E-2</v>
      </c>
      <c r="F216" s="12">
        <f t="shared" si="6"/>
        <v>-8.8764899822471044E-3</v>
      </c>
      <c r="I216" s="13">
        <f t="shared" si="7"/>
        <v>-4.2978702895730136E-3</v>
      </c>
    </row>
    <row r="217" spans="2:9" x14ac:dyDescent="0.25">
      <c r="B217" s="5">
        <v>45764</v>
      </c>
      <c r="C217" s="3">
        <v>166.55</v>
      </c>
      <c r="D217" s="3">
        <v>118.29</v>
      </c>
      <c r="E217" s="12">
        <f t="shared" si="6"/>
        <v>-5.0182209212018547E-3</v>
      </c>
      <c r="F217" s="12">
        <f t="shared" si="6"/>
        <v>4.2448425163426062E-3</v>
      </c>
      <c r="I217" s="13">
        <f t="shared" si="7"/>
        <v>-4.6315317187722305E-3</v>
      </c>
    </row>
    <row r="218" spans="2:9" x14ac:dyDescent="0.25">
      <c r="B218" s="8">
        <v>45763</v>
      </c>
      <c r="C218" s="6">
        <v>167.39</v>
      </c>
      <c r="D218" s="6">
        <v>117.79</v>
      </c>
      <c r="E218" s="12">
        <f t="shared" si="6"/>
        <v>-3.8596289701912756E-2</v>
      </c>
      <c r="F218" s="12">
        <f t="shared" si="6"/>
        <v>-1.7188151856487144E-2</v>
      </c>
      <c r="I218" s="13">
        <f t="shared" si="7"/>
        <v>-1.0704068922712806E-2</v>
      </c>
    </row>
    <row r="219" spans="2:9" x14ac:dyDescent="0.25">
      <c r="B219" s="5">
        <v>45762</v>
      </c>
      <c r="C219" s="3">
        <v>174.11</v>
      </c>
      <c r="D219" s="3">
        <v>119.85</v>
      </c>
      <c r="E219" s="12">
        <f t="shared" si="6"/>
        <v>4.094579008073973E-3</v>
      </c>
      <c r="F219" s="12">
        <f t="shared" si="6"/>
        <v>-3.7406483790524137E-3</v>
      </c>
      <c r="I219" s="13">
        <f t="shared" si="7"/>
        <v>3.9176136935631933E-3</v>
      </c>
    </row>
    <row r="220" spans="2:9" x14ac:dyDescent="0.25">
      <c r="B220" s="8">
        <v>45761</v>
      </c>
      <c r="C220" s="6">
        <v>173.4</v>
      </c>
      <c r="D220" s="6">
        <v>120.3</v>
      </c>
      <c r="E220" s="12">
        <f t="shared" si="6"/>
        <v>6.6179031696274038E-3</v>
      </c>
      <c r="F220" s="12">
        <f t="shared" si="6"/>
        <v>2.8556771545827697E-2</v>
      </c>
      <c r="I220" s="13">
        <f t="shared" si="7"/>
        <v>-1.0969434188100147E-2</v>
      </c>
    </row>
    <row r="221" spans="2:9" x14ac:dyDescent="0.25">
      <c r="B221" s="5">
        <v>45758</v>
      </c>
      <c r="C221" s="3">
        <v>172.26</v>
      </c>
      <c r="D221" s="3">
        <v>116.96</v>
      </c>
      <c r="E221" s="12">
        <f t="shared" si="6"/>
        <v>2.1647589110965981E-2</v>
      </c>
      <c r="F221" s="12">
        <f t="shared" si="6"/>
        <v>3.3763478875729058E-2</v>
      </c>
      <c r="I221" s="13">
        <f t="shared" si="7"/>
        <v>-6.0579448823815385E-3</v>
      </c>
    </row>
    <row r="222" spans="2:9" x14ac:dyDescent="0.25">
      <c r="B222" s="8">
        <v>45757</v>
      </c>
      <c r="C222" s="6">
        <v>168.61</v>
      </c>
      <c r="D222" s="6">
        <v>113.14</v>
      </c>
      <c r="E222" s="12">
        <f t="shared" si="6"/>
        <v>-8.1744907962095548E-2</v>
      </c>
      <c r="F222" s="12">
        <f t="shared" si="6"/>
        <v>-4.6278344432268304E-2</v>
      </c>
      <c r="I222" s="13">
        <f t="shared" si="7"/>
        <v>-1.7733281764913622E-2</v>
      </c>
    </row>
    <row r="223" spans="2:9" x14ac:dyDescent="0.25">
      <c r="B223" s="5">
        <v>45756</v>
      </c>
      <c r="C223" s="3">
        <v>183.62</v>
      </c>
      <c r="D223" s="3">
        <v>118.63</v>
      </c>
      <c r="E223" s="12">
        <f t="shared" si="6"/>
        <v>0.18571613069869541</v>
      </c>
      <c r="F223" s="12">
        <f t="shared" si="6"/>
        <v>5.900732012140697E-2</v>
      </c>
      <c r="I223" s="13">
        <f t="shared" si="7"/>
        <v>6.3354405288644222E-2</v>
      </c>
    </row>
    <row r="224" spans="2:9" x14ac:dyDescent="0.25">
      <c r="B224" s="8">
        <v>45755</v>
      </c>
      <c r="C224" s="6">
        <v>154.86000000000001</v>
      </c>
      <c r="D224" s="6">
        <v>112.02</v>
      </c>
      <c r="E224" s="12">
        <f t="shared" si="6"/>
        <v>-3.9747008123023453E-2</v>
      </c>
      <c r="F224" s="12">
        <f t="shared" si="6"/>
        <v>-3.6055416917649019E-2</v>
      </c>
      <c r="I224" s="13">
        <f t="shared" si="7"/>
        <v>-1.8457956026872169E-3</v>
      </c>
    </row>
    <row r="225" spans="2:9" x14ac:dyDescent="0.25">
      <c r="B225" s="5">
        <v>45754</v>
      </c>
      <c r="C225" s="3">
        <v>161.27000000000001</v>
      </c>
      <c r="D225" s="3">
        <v>116.21</v>
      </c>
      <c r="E225" s="12">
        <f t="shared" si="6"/>
        <v>2.3092051005519254E-2</v>
      </c>
      <c r="F225" s="12">
        <f t="shared" si="6"/>
        <v>-8.108569477637495E-3</v>
      </c>
      <c r="I225" s="13">
        <f t="shared" si="7"/>
        <v>1.5600310241578375E-2</v>
      </c>
    </row>
    <row r="226" spans="2:9" x14ac:dyDescent="0.25">
      <c r="B226" s="8">
        <v>45751</v>
      </c>
      <c r="C226" s="6">
        <v>157.63</v>
      </c>
      <c r="D226" s="6">
        <v>117.16</v>
      </c>
      <c r="E226" s="12">
        <f t="shared" si="6"/>
        <v>-7.4724113641700063E-2</v>
      </c>
      <c r="F226" s="12">
        <f t="shared" si="6"/>
        <v>-5.3558445754907535E-2</v>
      </c>
      <c r="I226" s="13">
        <f t="shared" si="7"/>
        <v>-1.0582833943396264E-2</v>
      </c>
    </row>
    <row r="227" spans="2:9" x14ac:dyDescent="0.25">
      <c r="B227" s="5">
        <v>45750</v>
      </c>
      <c r="C227" s="3">
        <v>170.36</v>
      </c>
      <c r="D227" s="3">
        <v>123.79</v>
      </c>
      <c r="E227" s="12">
        <f t="shared" si="6"/>
        <v>-0.10090774751952702</v>
      </c>
      <c r="F227" s="12">
        <f t="shared" si="6"/>
        <v>-2.3661172016720577E-2</v>
      </c>
      <c r="I227" s="13">
        <f t="shared" si="7"/>
        <v>-3.8623287751403224E-2</v>
      </c>
    </row>
    <row r="228" spans="2:9" x14ac:dyDescent="0.25">
      <c r="B228" s="8">
        <v>45749</v>
      </c>
      <c r="C228" s="6">
        <v>189.48</v>
      </c>
      <c r="D228" s="6">
        <v>126.79</v>
      </c>
      <c r="E228" s="12">
        <f t="shared" si="6"/>
        <v>6.4269400329313164E-3</v>
      </c>
      <c r="F228" s="12">
        <f t="shared" si="6"/>
        <v>1.8884603021536606E-2</v>
      </c>
      <c r="I228" s="13">
        <f t="shared" si="7"/>
        <v>-6.2288314943026446E-3</v>
      </c>
    </row>
    <row r="229" spans="2:9" x14ac:dyDescent="0.25">
      <c r="B229" s="5">
        <v>45748</v>
      </c>
      <c r="C229" s="3">
        <v>188.27</v>
      </c>
      <c r="D229" s="3">
        <v>124.44</v>
      </c>
      <c r="E229" s="12">
        <f t="shared" si="6"/>
        <v>5.31434341287218E-4</v>
      </c>
      <c r="F229" s="12">
        <f t="shared" si="6"/>
        <v>-2.7052384675527841E-2</v>
      </c>
      <c r="I229" s="13">
        <f t="shared" si="7"/>
        <v>1.3791909508407529E-2</v>
      </c>
    </row>
    <row r="230" spans="2:9" x14ac:dyDescent="0.25">
      <c r="B230" s="8">
        <v>45747</v>
      </c>
      <c r="C230" s="6">
        <v>188.17</v>
      </c>
      <c r="D230" s="6">
        <v>127.9</v>
      </c>
      <c r="E230" s="12">
        <f t="shared" si="6"/>
        <v>-2.7029891880433476E-3</v>
      </c>
      <c r="F230" s="12">
        <f t="shared" si="6"/>
        <v>-1.8343694834599633E-2</v>
      </c>
      <c r="I230" s="13">
        <f t="shared" si="7"/>
        <v>7.8203528232781427E-3</v>
      </c>
    </row>
    <row r="231" spans="2:9" x14ac:dyDescent="0.25">
      <c r="B231" s="5">
        <v>45744</v>
      </c>
      <c r="C231" s="3">
        <v>188.68</v>
      </c>
      <c r="D231" s="3">
        <v>130.29</v>
      </c>
      <c r="E231" s="12">
        <f t="shared" si="6"/>
        <v>-3.0222039473684181E-2</v>
      </c>
      <c r="F231" s="12">
        <f t="shared" si="6"/>
        <v>-9.8039215686276382E-3</v>
      </c>
      <c r="I231" s="13">
        <f t="shared" si="7"/>
        <v>-1.0209058952528272E-2</v>
      </c>
    </row>
    <row r="232" spans="2:9" x14ac:dyDescent="0.25">
      <c r="B232" s="8">
        <v>45743</v>
      </c>
      <c r="C232" s="6">
        <v>194.56</v>
      </c>
      <c r="D232" s="6">
        <v>131.58000000000001</v>
      </c>
      <c r="E232" s="12">
        <f t="shared" si="6"/>
        <v>-1.9700710434826352E-2</v>
      </c>
      <c r="F232" s="12">
        <f t="shared" si="6"/>
        <v>3.3551929235933198E-3</v>
      </c>
      <c r="I232" s="13">
        <f t="shared" si="7"/>
        <v>-1.1527951679209836E-2</v>
      </c>
    </row>
    <row r="233" spans="2:9" x14ac:dyDescent="0.25">
      <c r="B233" s="5">
        <v>45742</v>
      </c>
      <c r="C233" s="3">
        <v>198.47</v>
      </c>
      <c r="D233" s="3">
        <v>131.13999999999999</v>
      </c>
      <c r="E233" s="12">
        <f t="shared" si="6"/>
        <v>-2.801312503060871E-2</v>
      </c>
      <c r="F233" s="12">
        <f t="shared" si="6"/>
        <v>-1.3762502820185096E-2</v>
      </c>
      <c r="I233" s="13">
        <f t="shared" si="7"/>
        <v>-7.1253111052118068E-3</v>
      </c>
    </row>
    <row r="234" spans="2:9" x14ac:dyDescent="0.25">
      <c r="B234" s="8">
        <v>45741</v>
      </c>
      <c r="C234" s="6">
        <v>204.19</v>
      </c>
      <c r="D234" s="6">
        <v>132.97</v>
      </c>
      <c r="E234" s="12">
        <f t="shared" si="6"/>
        <v>-5.4067218704335618E-3</v>
      </c>
      <c r="F234" s="12">
        <f t="shared" si="6"/>
        <v>-1.7293622053063396E-2</v>
      </c>
      <c r="I234" s="13">
        <f t="shared" si="7"/>
        <v>5.9434500913149169E-3</v>
      </c>
    </row>
    <row r="235" spans="2:9" x14ac:dyDescent="0.25">
      <c r="B235" s="5">
        <v>45740</v>
      </c>
      <c r="C235" s="3">
        <v>205.3</v>
      </c>
      <c r="D235" s="3">
        <v>135.31</v>
      </c>
      <c r="E235" s="12">
        <f t="shared" si="6"/>
        <v>2.9692045340555806E-2</v>
      </c>
      <c r="F235" s="12">
        <f t="shared" si="6"/>
        <v>1.2951040574936235E-2</v>
      </c>
      <c r="I235" s="13">
        <f t="shared" si="7"/>
        <v>8.3705023828097858E-3</v>
      </c>
    </row>
    <row r="236" spans="2:9" x14ac:dyDescent="0.25">
      <c r="B236" s="8">
        <v>45737</v>
      </c>
      <c r="C236" s="6">
        <v>199.38</v>
      </c>
      <c r="D236" s="6">
        <v>133.58000000000001</v>
      </c>
      <c r="E236" s="12">
        <f t="shared" si="6"/>
        <v>-1.0471983721276557E-2</v>
      </c>
      <c r="F236" s="12">
        <f t="shared" si="6"/>
        <v>6.3281603133946707E-3</v>
      </c>
      <c r="I236" s="13">
        <f t="shared" si="7"/>
        <v>-8.4000720173356136E-3</v>
      </c>
    </row>
    <row r="237" spans="2:9" x14ac:dyDescent="0.25">
      <c r="B237" s="5">
        <v>45736</v>
      </c>
      <c r="C237" s="3">
        <v>201.49</v>
      </c>
      <c r="D237" s="3">
        <v>132.74</v>
      </c>
      <c r="E237" s="12">
        <f t="shared" si="6"/>
        <v>-7.9759736103589551E-3</v>
      </c>
      <c r="F237" s="12">
        <f t="shared" si="6"/>
        <v>-1.3598870476331903E-2</v>
      </c>
      <c r="I237" s="13">
        <f t="shared" si="7"/>
        <v>2.8114484329864742E-3</v>
      </c>
    </row>
    <row r="238" spans="2:9" x14ac:dyDescent="0.25">
      <c r="B238" s="8">
        <v>45735</v>
      </c>
      <c r="C238" s="6">
        <v>203.11</v>
      </c>
      <c r="D238" s="6">
        <v>134.57</v>
      </c>
      <c r="E238" s="12">
        <f t="shared" si="6"/>
        <v>8.1401697523204586E-3</v>
      </c>
      <c r="F238" s="12">
        <f t="shared" si="6"/>
        <v>3.5796852860019435E-3</v>
      </c>
      <c r="I238" s="13">
        <f t="shared" si="7"/>
        <v>2.2802422331592576E-3</v>
      </c>
    </row>
    <row r="239" spans="2:9" x14ac:dyDescent="0.25">
      <c r="B239" s="5">
        <v>45734</v>
      </c>
      <c r="C239" s="3">
        <v>201.47</v>
      </c>
      <c r="D239" s="3">
        <v>134.09</v>
      </c>
      <c r="E239" s="12">
        <f t="shared" si="6"/>
        <v>-1.4527489728037524E-2</v>
      </c>
      <c r="F239" s="12">
        <f t="shared" si="6"/>
        <v>-1.4768552534900725E-2</v>
      </c>
      <c r="I239" s="13">
        <f t="shared" si="7"/>
        <v>1.2053140343160074E-4</v>
      </c>
    </row>
    <row r="240" spans="2:9" x14ac:dyDescent="0.25">
      <c r="B240" s="8">
        <v>45733</v>
      </c>
      <c r="C240" s="6">
        <v>204.44</v>
      </c>
      <c r="D240" s="6">
        <v>136.1</v>
      </c>
      <c r="E240" s="12">
        <f t="shared" si="6"/>
        <v>1.6507557677008622E-2</v>
      </c>
      <c r="F240" s="12">
        <f t="shared" si="6"/>
        <v>1.4233549444816918E-2</v>
      </c>
      <c r="I240" s="13">
        <f t="shared" si="7"/>
        <v>1.1370041160958522E-3</v>
      </c>
    </row>
    <row r="241" spans="2:9" x14ac:dyDescent="0.25">
      <c r="B241" s="5">
        <v>45730</v>
      </c>
      <c r="C241" s="3">
        <v>201.12</v>
      </c>
      <c r="D241" s="3">
        <v>134.19</v>
      </c>
      <c r="E241" s="12">
        <f t="shared" si="6"/>
        <v>3.0855971296770868E-2</v>
      </c>
      <c r="F241" s="12">
        <f t="shared" si="6"/>
        <v>7.8864353312304569E-3</v>
      </c>
      <c r="I241" s="13">
        <f t="shared" si="7"/>
        <v>1.1484767982770205E-2</v>
      </c>
    </row>
    <row r="242" spans="2:9" x14ac:dyDescent="0.25">
      <c r="B242" s="8">
        <v>45729</v>
      </c>
      <c r="C242" s="6">
        <v>195.1</v>
      </c>
      <c r="D242" s="6">
        <v>133.13999999999999</v>
      </c>
      <c r="E242" s="12">
        <f t="shared" si="6"/>
        <v>-4.9979600163199134E-3</v>
      </c>
      <c r="F242" s="12">
        <f t="shared" si="6"/>
        <v>-8.268156424581119E-3</v>
      </c>
      <c r="I242" s="13">
        <f t="shared" si="7"/>
        <v>1.6350982041306028E-3</v>
      </c>
    </row>
    <row r="243" spans="2:9" x14ac:dyDescent="0.25">
      <c r="B243" s="5">
        <v>45728</v>
      </c>
      <c r="C243" s="3">
        <v>196.08</v>
      </c>
      <c r="D243" s="3">
        <v>134.25</v>
      </c>
      <c r="E243" s="12">
        <f t="shared" si="6"/>
        <v>2.0612117426608512E-2</v>
      </c>
      <c r="F243" s="12">
        <f t="shared" si="6"/>
        <v>1.94044331666543E-3</v>
      </c>
      <c r="I243" s="13">
        <f t="shared" si="7"/>
        <v>9.3358370549715408E-3</v>
      </c>
    </row>
    <row r="244" spans="2:9" x14ac:dyDescent="0.25">
      <c r="B244" s="8">
        <v>45727</v>
      </c>
      <c r="C244" s="6">
        <v>192.12</v>
      </c>
      <c r="D244" s="6">
        <v>133.99</v>
      </c>
      <c r="E244" s="12">
        <f t="shared" si="6"/>
        <v>-1.1830058635942664E-2</v>
      </c>
      <c r="F244" s="12">
        <f t="shared" si="6"/>
        <v>-1.3618963486454638E-2</v>
      </c>
      <c r="I244" s="13">
        <f t="shared" si="7"/>
        <v>8.9445242525598712E-4</v>
      </c>
    </row>
    <row r="245" spans="2:9" x14ac:dyDescent="0.25">
      <c r="B245" s="5">
        <v>45726</v>
      </c>
      <c r="C245" s="3">
        <v>194.42</v>
      </c>
      <c r="D245" s="3">
        <v>135.84</v>
      </c>
      <c r="E245" s="12">
        <f t="shared" si="6"/>
        <v>-4.6259504537650264E-2</v>
      </c>
      <c r="F245" s="12">
        <f t="shared" si="6"/>
        <v>-8.1051478641839259E-3</v>
      </c>
      <c r="I245" s="13">
        <f t="shared" si="7"/>
        <v>-1.9077178336733169E-2</v>
      </c>
    </row>
    <row r="246" spans="2:9" x14ac:dyDescent="0.25">
      <c r="B246" s="8">
        <v>45723</v>
      </c>
      <c r="C246" s="6">
        <v>203.85</v>
      </c>
      <c r="D246" s="6">
        <v>136.94999999999999</v>
      </c>
      <c r="E246" s="12">
        <f t="shared" si="6"/>
        <v>2.9337507574227484E-2</v>
      </c>
      <c r="F246" s="12">
        <f t="shared" si="6"/>
        <v>5.4327876073707593E-3</v>
      </c>
      <c r="I246" s="13">
        <f t="shared" si="7"/>
        <v>1.1952359983428362E-2</v>
      </c>
    </row>
    <row r="247" spans="2:9" x14ac:dyDescent="0.25">
      <c r="B247" s="5">
        <v>45722</v>
      </c>
      <c r="C247" s="3">
        <v>198.04</v>
      </c>
      <c r="D247" s="3">
        <v>136.21</v>
      </c>
      <c r="E247" s="12">
        <f t="shared" si="6"/>
        <v>-4.1571891787252624E-2</v>
      </c>
      <c r="F247" s="12">
        <f t="shared" si="6"/>
        <v>-4.24007602894938E-3</v>
      </c>
      <c r="I247" s="13">
        <f t="shared" si="7"/>
        <v>-1.8665907879151622E-2</v>
      </c>
    </row>
    <row r="248" spans="2:9" x14ac:dyDescent="0.25">
      <c r="B248" s="8">
        <v>45721</v>
      </c>
      <c r="C248" s="6">
        <v>206.63</v>
      </c>
      <c r="D248" s="6">
        <v>136.79</v>
      </c>
      <c r="E248" s="12">
        <f t="shared" si="6"/>
        <v>2.1555346813664888E-2</v>
      </c>
      <c r="F248" s="12">
        <f t="shared" si="6"/>
        <v>1.8085739803512801E-2</v>
      </c>
      <c r="I248" s="13">
        <f t="shared" si="7"/>
        <v>1.7348035050760435E-3</v>
      </c>
    </row>
    <row r="249" spans="2:9" x14ac:dyDescent="0.25">
      <c r="B249" s="5">
        <v>45720</v>
      </c>
      <c r="C249" s="3">
        <v>202.27</v>
      </c>
      <c r="D249" s="3">
        <v>134.36000000000001</v>
      </c>
      <c r="E249" s="12">
        <f t="shared" si="6"/>
        <v>5.5679840914739653E-3</v>
      </c>
      <c r="F249" s="12">
        <f t="shared" si="6"/>
        <v>8.9392133492260939E-4</v>
      </c>
      <c r="I249" s="13">
        <f t="shared" si="7"/>
        <v>2.337031378275678E-3</v>
      </c>
    </row>
    <row r="250" spans="2:9" x14ac:dyDescent="0.25">
      <c r="B250" s="8">
        <v>45719</v>
      </c>
      <c r="C250" s="6">
        <v>201.15</v>
      </c>
      <c r="D250" s="6">
        <v>134.24</v>
      </c>
      <c r="E250" s="12">
        <f t="shared" si="6"/>
        <v>-3.534433147899485E-2</v>
      </c>
      <c r="F250" s="12">
        <f t="shared" si="6"/>
        <v>-2.0360504998905293E-2</v>
      </c>
      <c r="I250" s="13">
        <f t="shared" si="7"/>
        <v>-7.4919132400447785E-3</v>
      </c>
    </row>
    <row r="251" spans="2:9" x14ac:dyDescent="0.25">
      <c r="B251" s="5">
        <v>45716</v>
      </c>
      <c r="C251" s="3">
        <v>208.52</v>
      </c>
      <c r="D251" s="3">
        <v>137.03</v>
      </c>
      <c r="E251" s="12">
        <f t="shared" si="6"/>
        <v>1.5931790499390974E-2</v>
      </c>
      <c r="F251" s="12">
        <f t="shared" si="6"/>
        <v>1.1440803070563943E-2</v>
      </c>
      <c r="I251" s="13">
        <f t="shared" si="7"/>
        <v>2.2454937144135156E-3</v>
      </c>
    </row>
    <row r="252" spans="2:9" x14ac:dyDescent="0.25">
      <c r="B252" s="8">
        <v>45715</v>
      </c>
      <c r="C252" s="6">
        <v>205.25</v>
      </c>
      <c r="D252" s="6">
        <v>135.47999999999999</v>
      </c>
      <c r="E252" s="12">
        <f t="shared" si="6"/>
        <v>-5.8227034963751478E-2</v>
      </c>
      <c r="F252" s="12">
        <f t="shared" si="6"/>
        <v>-1.1383537653239961E-2</v>
      </c>
      <c r="I252" s="13">
        <f t="shared" si="7"/>
        <v>-2.3421748655255759E-2</v>
      </c>
    </row>
    <row r="253" spans="2:9" x14ac:dyDescent="0.25">
      <c r="B253" s="5">
        <v>45714</v>
      </c>
      <c r="C253" s="3">
        <v>217.94</v>
      </c>
      <c r="D253" s="3">
        <v>137.04</v>
      </c>
      <c r="E253" s="12">
        <f t="shared" si="6"/>
        <v>1.7412819196115814E-2</v>
      </c>
      <c r="F253" s="12">
        <f t="shared" si="6"/>
        <v>-5.9480632525752419E-3</v>
      </c>
      <c r="I253" s="13">
        <f t="shared" si="7"/>
        <v>1.1680441224345528E-2</v>
      </c>
    </row>
    <row r="254" spans="2:9" x14ac:dyDescent="0.25">
      <c r="B254" s="8">
        <v>45713</v>
      </c>
      <c r="C254" s="6">
        <v>214.21</v>
      </c>
      <c r="D254" s="6">
        <v>137.86000000000001</v>
      </c>
      <c r="E254" s="12">
        <f t="shared" si="6"/>
        <v>-2.061997073884414E-2</v>
      </c>
      <c r="F254" s="12">
        <f t="shared" si="6"/>
        <v>-6.3427994810436594E-3</v>
      </c>
      <c r="I254" s="13">
        <f t="shared" si="7"/>
        <v>-7.1385856289002403E-3</v>
      </c>
    </row>
    <row r="255" spans="2:9" x14ac:dyDescent="0.25">
      <c r="B255" s="5">
        <v>45712</v>
      </c>
      <c r="C255" s="3">
        <v>218.72</v>
      </c>
      <c r="D255" s="3">
        <v>138.74</v>
      </c>
      <c r="E255" s="12">
        <f t="shared" si="6"/>
        <v>-2.3484239664255724E-2</v>
      </c>
      <c r="F255" s="12">
        <f t="shared" si="6"/>
        <v>-1.2238139802749348E-3</v>
      </c>
      <c r="I255" s="13">
        <f t="shared" si="7"/>
        <v>-1.1130212841990395E-2</v>
      </c>
    </row>
    <row r="256" spans="2:9" x14ac:dyDescent="0.25">
      <c r="B256" s="8">
        <v>45709</v>
      </c>
      <c r="C256" s="6">
        <v>223.98</v>
      </c>
      <c r="D256" s="6">
        <v>138.91</v>
      </c>
      <c r="E256" s="12">
        <f t="shared" si="6"/>
        <v>-3.0683342710001282E-2</v>
      </c>
      <c r="F256" s="12">
        <f t="shared" si="6"/>
        <v>-3.7294699849387269E-3</v>
      </c>
      <c r="I256" s="13">
        <f t="shared" si="7"/>
        <v>-1.3476936362531278E-2</v>
      </c>
    </row>
    <row r="257" spans="2:9" x14ac:dyDescent="0.25">
      <c r="B257" s="5">
        <v>45708</v>
      </c>
      <c r="C257" s="3">
        <v>231.07</v>
      </c>
      <c r="D257" s="3">
        <v>139.43</v>
      </c>
      <c r="E257" s="12">
        <f t="shared" si="6"/>
        <v>2.3424283173556493E-3</v>
      </c>
      <c r="F257" s="12">
        <f t="shared" si="6"/>
        <v>4.9733314112727633E-3</v>
      </c>
      <c r="I257" s="13">
        <f t="shared" si="7"/>
        <v>-1.315451546958557E-3</v>
      </c>
    </row>
    <row r="258" spans="2:9" x14ac:dyDescent="0.25">
      <c r="B258" s="8">
        <v>45707</v>
      </c>
      <c r="C258" s="6">
        <v>230.53</v>
      </c>
      <c r="D258" s="6">
        <v>138.74</v>
      </c>
      <c r="E258" s="12">
        <f t="shared" si="6"/>
        <v>1.6625507144117257E-2</v>
      </c>
      <c r="F258" s="12">
        <f t="shared" si="6"/>
        <v>1.1888264896798173E-2</v>
      </c>
      <c r="I258" s="13">
        <f t="shared" si="7"/>
        <v>2.3686211236595422E-3</v>
      </c>
    </row>
    <row r="259" spans="2:9" x14ac:dyDescent="0.25">
      <c r="B259" s="5">
        <v>45706</v>
      </c>
      <c r="C259" s="3">
        <v>226.76</v>
      </c>
      <c r="D259" s="3">
        <v>137.11000000000001</v>
      </c>
      <c r="E259" s="12">
        <f t="shared" si="6"/>
        <v>1.6541892679428072E-2</v>
      </c>
      <c r="F259" s="12">
        <f t="shared" si="6"/>
        <v>4.10106188209447E-3</v>
      </c>
      <c r="I259" s="13">
        <f t="shared" si="7"/>
        <v>6.2204153986668009E-3</v>
      </c>
    </row>
    <row r="260" spans="2:9" x14ac:dyDescent="0.25">
      <c r="B260" s="8">
        <v>45702</v>
      </c>
      <c r="C260" s="6">
        <v>223.07</v>
      </c>
      <c r="D260" s="6">
        <v>136.55000000000001</v>
      </c>
      <c r="E260" s="12">
        <f t="shared" si="6"/>
        <v>1.0321306767187011E-3</v>
      </c>
      <c r="F260" s="12">
        <f t="shared" si="6"/>
        <v>-3.5755983654406354E-3</v>
      </c>
      <c r="I260" s="13">
        <f t="shared" si="7"/>
        <v>2.3038645210796682E-3</v>
      </c>
    </row>
    <row r="261" spans="2:9" x14ac:dyDescent="0.25">
      <c r="B261" s="5">
        <v>45701</v>
      </c>
      <c r="C261" s="3">
        <v>222.84</v>
      </c>
      <c r="D261" s="3">
        <v>137.04</v>
      </c>
      <c r="E261" s="12">
        <f t="shared" si="6"/>
        <v>1.22649223221587E-2</v>
      </c>
      <c r="F261" s="12">
        <f t="shared" si="6"/>
        <v>1.1589281759799119E-2</v>
      </c>
      <c r="I261" s="13">
        <f t="shared" si="7"/>
        <v>3.3782028117979035E-4</v>
      </c>
    </row>
    <row r="262" spans="2:9" x14ac:dyDescent="0.25">
      <c r="B262" s="8">
        <v>45700</v>
      </c>
      <c r="C262" s="6">
        <v>220.14</v>
      </c>
      <c r="D262" s="6">
        <v>135.47</v>
      </c>
      <c r="E262" s="12">
        <f t="shared" si="6"/>
        <v>1.0914051841746097E-3</v>
      </c>
      <c r="F262" s="12">
        <f t="shared" si="6"/>
        <v>9.1626936829558581E-3</v>
      </c>
      <c r="I262" s="13">
        <f t="shared" si="7"/>
        <v>-4.0356442493906242E-3</v>
      </c>
    </row>
    <row r="263" spans="2:9" x14ac:dyDescent="0.25">
      <c r="B263" s="5">
        <v>45699</v>
      </c>
      <c r="C263" s="3">
        <v>219.9</v>
      </c>
      <c r="D263" s="3">
        <v>134.24</v>
      </c>
      <c r="E263" s="12">
        <f t="shared" si="6"/>
        <v>9.1033227127912397E-4</v>
      </c>
      <c r="F263" s="12">
        <f t="shared" si="6"/>
        <v>-1.4028644876973861E-2</v>
      </c>
      <c r="I263" s="13">
        <f t="shared" si="7"/>
        <v>7.4694885741264927E-3</v>
      </c>
    </row>
    <row r="264" spans="2:9" x14ac:dyDescent="0.25">
      <c r="B264" s="8">
        <v>45698</v>
      </c>
      <c r="C264" s="6">
        <v>219.7</v>
      </c>
      <c r="D264" s="6">
        <v>136.15</v>
      </c>
      <c r="E264" s="12">
        <f t="shared" si="6"/>
        <v>1.3049292202701901E-2</v>
      </c>
      <c r="F264" s="12">
        <f t="shared" si="6"/>
        <v>-1.1040894893585951E-2</v>
      </c>
      <c r="I264" s="13">
        <f t="shared" si="7"/>
        <v>1.2045093548143926E-2</v>
      </c>
    </row>
    <row r="265" spans="2:9" x14ac:dyDescent="0.25">
      <c r="B265" s="5">
        <v>45695</v>
      </c>
      <c r="C265" s="3">
        <v>216.87</v>
      </c>
      <c r="D265" s="3">
        <v>137.66999999999999</v>
      </c>
      <c r="E265" s="12"/>
      <c r="F265" s="12"/>
      <c r="I26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C9E3-0445-4633-BDFD-72D72CE5FA93}">
  <sheetPr>
    <outlinePr summaryBelow="0" summaryRight="0"/>
  </sheetPr>
  <dimension ref="A1:K255"/>
  <sheetViews>
    <sheetView workbookViewId="0">
      <pane ySplit="3" topLeftCell="A4" activePane="bottomLeft" state="frozen"/>
      <selection pane="bottomLeft" activeCell="Q7" sqref="Q7"/>
    </sheetView>
  </sheetViews>
  <sheetFormatPr baseColWidth="10" defaultColWidth="9.140625" defaultRowHeight="15" customHeight="1" x14ac:dyDescent="0.2"/>
  <cols>
    <col min="1" max="1" width="8.42578125" style="2" customWidth="1"/>
    <col min="2" max="2" width="6.85546875" style="2" customWidth="1"/>
    <col min="3" max="3" width="9.28515625" style="2" customWidth="1"/>
    <col min="4" max="4" width="10.28515625" style="2" customWidth="1"/>
    <col min="5" max="8" width="6.85546875" style="2" customWidth="1"/>
    <col min="9" max="9" width="19.140625" style="2" customWidth="1"/>
    <col min="10" max="10" width="9.28515625" style="2" customWidth="1"/>
    <col min="11" max="11" width="20.140625" style="2" customWidth="1"/>
    <col min="12" max="16384" width="9.140625" style="2"/>
  </cols>
  <sheetData>
    <row r="1" spans="1:11" ht="15" customHeight="1" x14ac:dyDescent="0.2">
      <c r="A1" s="10" t="s">
        <v>18</v>
      </c>
    </row>
    <row r="3" spans="1:11" ht="15" customHeight="1" x14ac:dyDescent="0.2">
      <c r="A3" s="9" t="s">
        <v>17</v>
      </c>
      <c r="B3" s="9" t="s">
        <v>16</v>
      </c>
      <c r="C3" s="9" t="s">
        <v>15</v>
      </c>
      <c r="D3" s="9" t="s">
        <v>14</v>
      </c>
      <c r="E3" s="9" t="s">
        <v>13</v>
      </c>
      <c r="F3" s="9" t="s">
        <v>12</v>
      </c>
      <c r="G3" s="9" t="s">
        <v>11</v>
      </c>
      <c r="H3" s="9" t="s">
        <v>10</v>
      </c>
      <c r="I3" s="9" t="s">
        <v>9</v>
      </c>
      <c r="J3" s="9" t="s">
        <v>8</v>
      </c>
      <c r="K3" s="9" t="s">
        <v>7</v>
      </c>
    </row>
    <row r="4" spans="1:11" ht="15" customHeight="1" x14ac:dyDescent="0.2">
      <c r="A4" s="8">
        <v>46062</v>
      </c>
      <c r="B4" s="6">
        <v>352.77</v>
      </c>
      <c r="C4" s="7">
        <v>7090817</v>
      </c>
      <c r="D4" s="6">
        <v>1.2223465610742801</v>
      </c>
      <c r="E4" s="6">
        <v>344.84</v>
      </c>
      <c r="F4" s="6">
        <v>343.88</v>
      </c>
      <c r="G4" s="6">
        <v>354.74</v>
      </c>
      <c r="H4" s="6"/>
      <c r="I4" s="6">
        <v>355.24047999999999</v>
      </c>
      <c r="J4" s="6">
        <v>1.2223456488825499</v>
      </c>
      <c r="K4" s="6">
        <v>63.803421404528002</v>
      </c>
    </row>
    <row r="5" spans="1:11" ht="15" customHeight="1" x14ac:dyDescent="0.2">
      <c r="A5" s="5">
        <v>46059</v>
      </c>
      <c r="B5" s="3">
        <v>348.51</v>
      </c>
      <c r="C5" s="4">
        <v>9096100</v>
      </c>
      <c r="D5" s="3">
        <v>5.3441344497173704</v>
      </c>
      <c r="E5" s="3">
        <v>337.39499999999998</v>
      </c>
      <c r="F5" s="3">
        <v>335.87</v>
      </c>
      <c r="G5" s="3">
        <v>349.56</v>
      </c>
      <c r="H5" s="3">
        <v>348.68103000000002</v>
      </c>
      <c r="I5" s="3">
        <v>350.95065</v>
      </c>
      <c r="J5" s="3">
        <v>5.3441392596813504</v>
      </c>
      <c r="K5" s="3">
        <v>61.825356204177602</v>
      </c>
    </row>
    <row r="6" spans="1:11" ht="15" customHeight="1" x14ac:dyDescent="0.2">
      <c r="A6" s="8">
        <v>46058</v>
      </c>
      <c r="B6" s="6">
        <v>330.83</v>
      </c>
      <c r="C6" s="7">
        <v>10406540</v>
      </c>
      <c r="D6" s="6">
        <v>0.136206792178694</v>
      </c>
      <c r="E6" s="6">
        <v>326.54000000000002</v>
      </c>
      <c r="F6" s="6">
        <v>324.04000000000002</v>
      </c>
      <c r="G6" s="6">
        <v>335.47</v>
      </c>
      <c r="H6" s="6">
        <v>330.77840300000003</v>
      </c>
      <c r="I6" s="6">
        <v>333.14681999999999</v>
      </c>
      <c r="J6" s="6">
        <v>0.13619734909318101</v>
      </c>
      <c r="K6" s="6">
        <v>53.615908147738203</v>
      </c>
    </row>
    <row r="7" spans="1:11" ht="15" customHeight="1" x14ac:dyDescent="0.2">
      <c r="A7" s="5">
        <v>46057</v>
      </c>
      <c r="B7" s="3">
        <v>330.38</v>
      </c>
      <c r="C7" s="4">
        <v>15231370</v>
      </c>
      <c r="D7" s="3">
        <v>-4.4149982640897898</v>
      </c>
      <c r="E7" s="3">
        <v>342.18</v>
      </c>
      <c r="F7" s="3">
        <v>323.33</v>
      </c>
      <c r="G7" s="3">
        <v>345.39</v>
      </c>
      <c r="H7" s="3">
        <v>330.40126800000002</v>
      </c>
      <c r="I7" s="3">
        <v>332.69369999999998</v>
      </c>
      <c r="J7" s="3">
        <v>-4.4150015494429304</v>
      </c>
      <c r="K7" s="3">
        <v>53.406971918660901</v>
      </c>
    </row>
    <row r="8" spans="1:11" ht="15" customHeight="1" x14ac:dyDescent="0.2">
      <c r="A8" s="8">
        <v>46056</v>
      </c>
      <c r="B8" s="6">
        <v>345.64</v>
      </c>
      <c r="C8" s="7">
        <v>8371172</v>
      </c>
      <c r="D8" s="6">
        <v>-1.99892256655986</v>
      </c>
      <c r="E8" s="6">
        <v>355.90499999999997</v>
      </c>
      <c r="F8" s="6">
        <v>338.09</v>
      </c>
      <c r="G8" s="6">
        <v>357.12</v>
      </c>
      <c r="H8" s="6">
        <v>345.55155600000001</v>
      </c>
      <c r="I8" s="6">
        <v>348.06058000000002</v>
      </c>
      <c r="J8" s="6">
        <v>-1.9989191348551201</v>
      </c>
      <c r="K8" s="6">
        <v>60.492728362613498</v>
      </c>
    </row>
    <row r="9" spans="1:11" ht="15" customHeight="1" x14ac:dyDescent="0.2">
      <c r="A9" s="5">
        <v>46055</v>
      </c>
      <c r="B9" s="3">
        <v>352.69</v>
      </c>
      <c r="C9" s="4">
        <v>7758021</v>
      </c>
      <c r="D9" s="3">
        <v>1.8452209067282701</v>
      </c>
      <c r="E9" s="3">
        <v>342.37</v>
      </c>
      <c r="F9" s="3">
        <v>341.9</v>
      </c>
      <c r="G9" s="3">
        <v>356.11</v>
      </c>
      <c r="H9" s="3">
        <v>352.91097100000002</v>
      </c>
      <c r="I9" s="3">
        <v>355.15994000000001</v>
      </c>
      <c r="J9" s="3">
        <v>1.8452296358542</v>
      </c>
      <c r="K9" s="3">
        <v>63.766283948909397</v>
      </c>
    </row>
    <row r="10" spans="1:11" ht="15" customHeight="1" x14ac:dyDescent="0.2">
      <c r="A10" s="8">
        <v>46052</v>
      </c>
      <c r="B10" s="6">
        <v>346.3</v>
      </c>
      <c r="C10" s="7">
        <v>8719085</v>
      </c>
      <c r="D10" s="6">
        <v>-4.1065544263838403</v>
      </c>
      <c r="E10" s="6">
        <v>356</v>
      </c>
      <c r="F10" s="6">
        <v>343.71</v>
      </c>
      <c r="G10" s="6">
        <v>360.19</v>
      </c>
      <c r="H10" s="6">
        <v>346.06845199999998</v>
      </c>
      <c r="I10" s="6">
        <v>348.72516000000002</v>
      </c>
      <c r="J10" s="6">
        <v>-4.1065582779561201</v>
      </c>
      <c r="K10" s="6">
        <v>60.799170009683202</v>
      </c>
    </row>
    <row r="11" spans="1:11" ht="15" customHeight="1" x14ac:dyDescent="0.2">
      <c r="A11" s="5">
        <v>46051</v>
      </c>
      <c r="B11" s="3">
        <v>361.13</v>
      </c>
      <c r="C11" s="4">
        <v>8446174</v>
      </c>
      <c r="D11" s="3">
        <v>0.18587360594794999</v>
      </c>
      <c r="E11" s="3">
        <v>361.18</v>
      </c>
      <c r="F11" s="3">
        <v>347.72</v>
      </c>
      <c r="G11" s="3">
        <v>363.8</v>
      </c>
      <c r="H11" s="3">
        <v>361.05343199999999</v>
      </c>
      <c r="I11" s="3">
        <v>363.65902999999997</v>
      </c>
      <c r="J11" s="3">
        <v>0.185873032428895</v>
      </c>
      <c r="K11" s="3">
        <v>67.685263060819807</v>
      </c>
    </row>
    <row r="12" spans="1:11" ht="15" customHeight="1" x14ac:dyDescent="0.2">
      <c r="A12" s="8">
        <v>46050</v>
      </c>
      <c r="B12" s="6">
        <v>360.46</v>
      </c>
      <c r="C12" s="7">
        <v>5364042</v>
      </c>
      <c r="D12" s="6">
        <v>2.6717557251908199</v>
      </c>
      <c r="E12" s="6">
        <v>358.53</v>
      </c>
      <c r="F12" s="6">
        <v>356.71499999999997</v>
      </c>
      <c r="G12" s="6">
        <v>362.04</v>
      </c>
      <c r="H12" s="6">
        <v>360.52645899999999</v>
      </c>
      <c r="I12" s="6">
        <v>362.98433999999997</v>
      </c>
      <c r="J12" s="6">
        <v>2.6717588776151899</v>
      </c>
      <c r="K12" s="6">
        <v>67.374159634804201</v>
      </c>
    </row>
    <row r="13" spans="1:11" ht="15" customHeight="1" x14ac:dyDescent="0.2">
      <c r="A13" s="5">
        <v>46049</v>
      </c>
      <c r="B13" s="3">
        <v>351.08</v>
      </c>
      <c r="C13" s="4">
        <v>5293550</v>
      </c>
      <c r="D13" s="3">
        <v>2.3348004780365499</v>
      </c>
      <c r="E13" s="3">
        <v>348.16</v>
      </c>
      <c r="F13" s="3">
        <v>346.65</v>
      </c>
      <c r="G13" s="3">
        <v>353.2</v>
      </c>
      <c r="H13" s="3">
        <v>351.31875200000002</v>
      </c>
      <c r="I13" s="3">
        <v>353.53863999999999</v>
      </c>
      <c r="J13" s="3">
        <v>2.33479614126228</v>
      </c>
      <c r="K13" s="3">
        <v>63.018693226356703</v>
      </c>
    </row>
    <row r="14" spans="1:11" ht="15" customHeight="1" x14ac:dyDescent="0.2">
      <c r="A14" s="8">
        <v>46048</v>
      </c>
      <c r="B14" s="6">
        <v>343.07</v>
      </c>
      <c r="C14" s="7">
        <v>4458743</v>
      </c>
      <c r="D14" s="6">
        <v>-0.47576223492210501</v>
      </c>
      <c r="E14" s="6">
        <v>343.29</v>
      </c>
      <c r="F14" s="6">
        <v>341.13</v>
      </c>
      <c r="G14" s="6">
        <v>345.5</v>
      </c>
      <c r="H14" s="6">
        <v>343.02524</v>
      </c>
      <c r="I14" s="6">
        <v>345.47255999999999</v>
      </c>
      <c r="J14" s="6">
        <v>-0.47575503418058002</v>
      </c>
      <c r="K14" s="6">
        <v>59.299377507262399</v>
      </c>
    </row>
    <row r="15" spans="1:11" ht="15" customHeight="1" x14ac:dyDescent="0.2">
      <c r="A15" s="5">
        <v>46045</v>
      </c>
      <c r="B15" s="3">
        <v>344.71</v>
      </c>
      <c r="C15" s="4">
        <v>4335863</v>
      </c>
      <c r="D15" s="3">
        <v>-1.1357444001491499</v>
      </c>
      <c r="E15" s="3">
        <v>346.39</v>
      </c>
      <c r="F15" s="3">
        <v>342.17</v>
      </c>
      <c r="G15" s="3">
        <v>348.03</v>
      </c>
      <c r="H15" s="3">
        <v>344.67546399999998</v>
      </c>
      <c r="I15" s="3">
        <v>347.12401999999997</v>
      </c>
      <c r="J15" s="3">
        <v>-1.1357578981965399</v>
      </c>
      <c r="K15" s="3">
        <v>60.060875178678401</v>
      </c>
    </row>
    <row r="16" spans="1:11" ht="15" customHeight="1" x14ac:dyDescent="0.2">
      <c r="A16" s="8">
        <v>46044</v>
      </c>
      <c r="B16" s="6">
        <v>348.67</v>
      </c>
      <c r="C16" s="7">
        <v>4661976</v>
      </c>
      <c r="D16" s="6">
        <v>0.15223760556097801</v>
      </c>
      <c r="E16" s="6">
        <v>354.35500000000002</v>
      </c>
      <c r="F16" s="6">
        <v>347.37</v>
      </c>
      <c r="G16" s="6">
        <v>354.6</v>
      </c>
      <c r="H16" s="6">
        <v>348.60319900000002</v>
      </c>
      <c r="I16" s="6">
        <v>351.11180000000002</v>
      </c>
      <c r="J16" s="6">
        <v>0.15223426677251001</v>
      </c>
      <c r="K16" s="6">
        <v>61.899663392815903</v>
      </c>
    </row>
    <row r="17" spans="1:11" ht="15" customHeight="1" x14ac:dyDescent="0.2">
      <c r="A17" s="5">
        <v>46043</v>
      </c>
      <c r="B17" s="3">
        <v>348.14</v>
      </c>
      <c r="C17" s="4">
        <v>7204178</v>
      </c>
      <c r="D17" s="3">
        <v>3.1984585741811</v>
      </c>
      <c r="E17" s="3">
        <v>341.84</v>
      </c>
      <c r="F17" s="3">
        <v>340.3</v>
      </c>
      <c r="G17" s="3">
        <v>351.33</v>
      </c>
      <c r="H17" s="3">
        <v>348.22570999999999</v>
      </c>
      <c r="I17" s="3">
        <v>350.57810000000001</v>
      </c>
      <c r="J17" s="3">
        <v>3.1984692938882202</v>
      </c>
      <c r="K17" s="3">
        <v>61.653571263890797</v>
      </c>
    </row>
    <row r="18" spans="1:11" ht="15" customHeight="1" x14ac:dyDescent="0.2">
      <c r="A18" s="8">
        <v>46042</v>
      </c>
      <c r="B18" s="6">
        <v>337.35</v>
      </c>
      <c r="C18" s="7">
        <v>6232583</v>
      </c>
      <c r="D18" s="6">
        <v>-1.49502146173388</v>
      </c>
      <c r="E18" s="6">
        <v>336.2</v>
      </c>
      <c r="F18" s="6">
        <v>335.96</v>
      </c>
      <c r="G18" s="6">
        <v>343.19</v>
      </c>
      <c r="H18" s="6">
        <v>337.30667999999997</v>
      </c>
      <c r="I18" s="6">
        <v>339.71249999999998</v>
      </c>
      <c r="J18" s="6">
        <v>-1.49501976623834</v>
      </c>
      <c r="K18" s="6">
        <v>56.643380827223602</v>
      </c>
    </row>
    <row r="19" spans="1:11" ht="15" customHeight="1" x14ac:dyDescent="0.2">
      <c r="A19" s="5">
        <v>46038</v>
      </c>
      <c r="B19" s="3">
        <v>342.47</v>
      </c>
      <c r="C19" s="4">
        <v>5127307</v>
      </c>
      <c r="D19" s="3">
        <v>1.5568471620900299</v>
      </c>
      <c r="E19" s="3">
        <v>343.505</v>
      </c>
      <c r="F19" s="3">
        <v>340.22</v>
      </c>
      <c r="G19" s="3">
        <v>345.41</v>
      </c>
      <c r="H19" s="3">
        <v>342.52637700000002</v>
      </c>
      <c r="I19" s="3">
        <v>344.86835000000002</v>
      </c>
      <c r="J19" s="3">
        <v>1.5568423024097999</v>
      </c>
      <c r="K19" s="3">
        <v>59.020772813206001</v>
      </c>
    </row>
    <row r="20" spans="1:11" ht="15" customHeight="1" x14ac:dyDescent="0.2">
      <c r="A20" s="8">
        <v>46037</v>
      </c>
      <c r="B20" s="6">
        <v>337.22</v>
      </c>
      <c r="C20" s="7">
        <v>6531451</v>
      </c>
      <c r="D20" s="6">
        <v>1.6028924374811699</v>
      </c>
      <c r="E20" s="6">
        <v>343.1</v>
      </c>
      <c r="F20" s="6">
        <v>337.22</v>
      </c>
      <c r="G20" s="6">
        <v>344.55</v>
      </c>
      <c r="H20" s="6">
        <v>337.441394</v>
      </c>
      <c r="I20" s="6">
        <v>339.58159999999998</v>
      </c>
      <c r="J20" s="6">
        <v>1.6028964737546001</v>
      </c>
      <c r="K20" s="6">
        <v>56.583022086964498</v>
      </c>
    </row>
    <row r="21" spans="1:11" ht="15" customHeight="1" x14ac:dyDescent="0.2">
      <c r="A21" s="5">
        <v>46036</v>
      </c>
      <c r="B21" s="3">
        <v>331.9</v>
      </c>
      <c r="C21" s="4">
        <v>5468927</v>
      </c>
      <c r="D21" s="3">
        <v>-0.42004200420042698</v>
      </c>
      <c r="E21" s="3">
        <v>331.03</v>
      </c>
      <c r="F21" s="3">
        <v>327.17500000000001</v>
      </c>
      <c r="G21" s="3">
        <v>331.99</v>
      </c>
      <c r="H21" s="3">
        <v>331.85998799999999</v>
      </c>
      <c r="I21" s="3">
        <v>334.22433000000001</v>
      </c>
      <c r="J21" s="3">
        <v>-0.420037748248003</v>
      </c>
      <c r="K21" s="3">
        <v>54.112754184534502</v>
      </c>
    </row>
    <row r="22" spans="1:11" ht="15" customHeight="1" x14ac:dyDescent="0.2">
      <c r="A22" s="8">
        <v>46035</v>
      </c>
      <c r="B22" s="6">
        <v>333.3</v>
      </c>
      <c r="C22" s="7">
        <v>3835882</v>
      </c>
      <c r="D22" s="6">
        <v>0.89299228091417304</v>
      </c>
      <c r="E22" s="6">
        <v>332.85</v>
      </c>
      <c r="F22" s="6">
        <v>331.89</v>
      </c>
      <c r="G22" s="6">
        <v>336.42</v>
      </c>
      <c r="H22" s="6">
        <v>333.27963299999999</v>
      </c>
      <c r="I22" s="6">
        <v>335.63412</v>
      </c>
      <c r="J22" s="6">
        <v>0.89298650997098306</v>
      </c>
      <c r="K22" s="6">
        <v>54.762816433808197</v>
      </c>
    </row>
    <row r="23" spans="1:11" ht="15" customHeight="1" x14ac:dyDescent="0.2">
      <c r="A23" s="5">
        <v>46034</v>
      </c>
      <c r="B23" s="3">
        <v>330.35</v>
      </c>
      <c r="C23" s="4">
        <v>5159571</v>
      </c>
      <c r="D23" s="3">
        <v>0.47752296368392899</v>
      </c>
      <c r="E23" s="3">
        <v>325.69499999999999</v>
      </c>
      <c r="F23" s="3">
        <v>325.52999999999997</v>
      </c>
      <c r="G23" s="3">
        <v>331.38</v>
      </c>
      <c r="H23" s="3">
        <v>330.389139</v>
      </c>
      <c r="I23" s="3">
        <v>332.66347999999999</v>
      </c>
      <c r="J23" s="3">
        <v>0.477518443288316</v>
      </c>
      <c r="K23" s="3">
        <v>53.393037303453603</v>
      </c>
    </row>
    <row r="24" spans="1:11" ht="15" customHeight="1" x14ac:dyDescent="0.2">
      <c r="A24" s="8">
        <v>46031</v>
      </c>
      <c r="B24" s="6">
        <v>328.78</v>
      </c>
      <c r="C24" s="7">
        <v>7323053</v>
      </c>
      <c r="D24" s="6">
        <v>2.87877839664558</v>
      </c>
      <c r="E24" s="6">
        <v>322.8</v>
      </c>
      <c r="F24" s="6">
        <v>321.11</v>
      </c>
      <c r="G24" s="6">
        <v>330.67</v>
      </c>
      <c r="H24" s="6">
        <v>328.93059799999997</v>
      </c>
      <c r="I24" s="6">
        <v>331.08249999999998</v>
      </c>
      <c r="J24" s="6">
        <v>2.8787850774684598</v>
      </c>
      <c r="K24" s="6">
        <v>52.664038363996802</v>
      </c>
    </row>
    <row r="25" spans="1:11" ht="15" customHeight="1" x14ac:dyDescent="0.2">
      <c r="A25" s="5">
        <v>46030</v>
      </c>
      <c r="B25" s="3">
        <v>319.58</v>
      </c>
      <c r="C25" s="4">
        <v>5408327</v>
      </c>
      <c r="D25" s="3">
        <v>-1.63439933515959</v>
      </c>
      <c r="E25" s="3">
        <v>324.19</v>
      </c>
      <c r="F25" s="3">
        <v>316.39999999999998</v>
      </c>
      <c r="G25" s="3">
        <v>324.19</v>
      </c>
      <c r="H25" s="3">
        <v>319.44933500000002</v>
      </c>
      <c r="I25" s="3">
        <v>321.81805000000003</v>
      </c>
      <c r="J25" s="3">
        <v>-1.63440340928627</v>
      </c>
      <c r="K25" s="3">
        <v>48.3921473693918</v>
      </c>
    </row>
    <row r="26" spans="1:11" ht="15" customHeight="1" x14ac:dyDescent="0.2">
      <c r="A26" s="8">
        <v>46029</v>
      </c>
      <c r="B26" s="6">
        <v>324.89</v>
      </c>
      <c r="C26" s="7">
        <v>4528460</v>
      </c>
      <c r="D26" s="6">
        <v>-1.05375361656769</v>
      </c>
      <c r="E26" s="6">
        <v>325.05</v>
      </c>
      <c r="F26" s="6">
        <v>322.11</v>
      </c>
      <c r="G26" s="6">
        <v>325.95</v>
      </c>
      <c r="H26" s="6">
        <v>324.87393400000002</v>
      </c>
      <c r="I26" s="6">
        <v>327.16525000000001</v>
      </c>
      <c r="J26" s="6">
        <v>-1.0537533583902701</v>
      </c>
      <c r="K26" s="6">
        <v>50.857771937105099</v>
      </c>
    </row>
    <row r="27" spans="1:11" ht="15" customHeight="1" x14ac:dyDescent="0.2">
      <c r="A27" s="5">
        <v>46028</v>
      </c>
      <c r="B27" s="3">
        <v>328.35</v>
      </c>
      <c r="C27" s="4">
        <v>7579894</v>
      </c>
      <c r="D27" s="3">
        <v>3.2352386342199702</v>
      </c>
      <c r="E27" s="3">
        <v>322.07</v>
      </c>
      <c r="F27" s="3">
        <v>322</v>
      </c>
      <c r="G27" s="3">
        <v>329.15</v>
      </c>
      <c r="H27" s="3">
        <v>328.48264999999998</v>
      </c>
      <c r="I27" s="3">
        <v>330.64947999999998</v>
      </c>
      <c r="J27" s="3">
        <v>3.2352443461715898</v>
      </c>
      <c r="K27" s="3">
        <v>52.464370360123503</v>
      </c>
    </row>
    <row r="28" spans="1:11" ht="15" customHeight="1" x14ac:dyDescent="0.2">
      <c r="A28" s="8">
        <v>46027</v>
      </c>
      <c r="B28" s="6">
        <v>318.06</v>
      </c>
      <c r="C28" s="7">
        <v>7923201</v>
      </c>
      <c r="D28" s="6">
        <v>1.3930950938825</v>
      </c>
      <c r="E28" s="6">
        <v>320.7</v>
      </c>
      <c r="F28" s="6">
        <v>316.88</v>
      </c>
      <c r="G28" s="6">
        <v>322.64</v>
      </c>
      <c r="H28" s="6">
        <v>318.24325299999998</v>
      </c>
      <c r="I28" s="6">
        <v>320.28739999999999</v>
      </c>
      <c r="J28" s="6">
        <v>1.39309398176814</v>
      </c>
      <c r="K28" s="6">
        <v>47.6863558814035</v>
      </c>
    </row>
    <row r="29" spans="1:11" ht="15" customHeight="1" x14ac:dyDescent="0.2">
      <c r="A29" s="5">
        <v>46024</v>
      </c>
      <c r="B29" s="3">
        <v>313.69</v>
      </c>
      <c r="C29" s="4">
        <v>8491325</v>
      </c>
      <c r="D29" s="3">
        <v>4.1640378548895898</v>
      </c>
      <c r="E29" s="3">
        <v>308.56</v>
      </c>
      <c r="F29" s="3">
        <v>308.56</v>
      </c>
      <c r="G29" s="3">
        <v>315.81</v>
      </c>
      <c r="H29" s="3">
        <v>313.96540800000002</v>
      </c>
      <c r="I29" s="3">
        <v>315.88679999999999</v>
      </c>
      <c r="J29" s="3">
        <v>4.16404170996163</v>
      </c>
      <c r="K29" s="3">
        <v>45.657213999169997</v>
      </c>
    </row>
    <row r="30" spans="1:11" ht="15" customHeight="1" x14ac:dyDescent="0.2">
      <c r="A30" s="8">
        <v>46022</v>
      </c>
      <c r="B30" s="6">
        <v>301.14999999999998</v>
      </c>
      <c r="C30" s="7">
        <v>2954235</v>
      </c>
      <c r="D30" s="6">
        <v>-1.2363898727535101</v>
      </c>
      <c r="E30" s="6">
        <v>305.63499999999999</v>
      </c>
      <c r="F30" s="6">
        <v>301.11</v>
      </c>
      <c r="G30" s="6">
        <v>306.12</v>
      </c>
      <c r="H30" s="6">
        <v>301.09660300000002</v>
      </c>
      <c r="I30" s="6">
        <v>303.25896999999998</v>
      </c>
      <c r="J30" s="6">
        <v>-1.23639903418081</v>
      </c>
      <c r="K30" s="6">
        <v>39.834449209203598</v>
      </c>
    </row>
    <row r="31" spans="1:11" ht="15" customHeight="1" x14ac:dyDescent="0.2">
      <c r="A31" s="5">
        <v>46021</v>
      </c>
      <c r="B31" s="3">
        <v>304.92</v>
      </c>
      <c r="C31" s="4">
        <v>2984846</v>
      </c>
      <c r="D31" s="3">
        <v>-0.13101008777674999</v>
      </c>
      <c r="E31" s="3">
        <v>306.08</v>
      </c>
      <c r="F31" s="3">
        <v>304.7</v>
      </c>
      <c r="G31" s="3">
        <v>307.48</v>
      </c>
      <c r="H31" s="3">
        <v>304.84958999999998</v>
      </c>
      <c r="I31" s="3">
        <v>307.05540000000002</v>
      </c>
      <c r="J31" s="3">
        <v>-0.13100967871403299</v>
      </c>
      <c r="K31" s="3">
        <v>41.5850048416101</v>
      </c>
    </row>
    <row r="32" spans="1:11" ht="15" customHeight="1" x14ac:dyDescent="0.2">
      <c r="A32" s="8">
        <v>46020</v>
      </c>
      <c r="B32" s="6">
        <v>305.32</v>
      </c>
      <c r="C32" s="7">
        <v>3620720</v>
      </c>
      <c r="D32" s="6">
        <v>-0.235263364266113</v>
      </c>
      <c r="E32" s="6">
        <v>303.37</v>
      </c>
      <c r="F32" s="6">
        <v>301.88499999999999</v>
      </c>
      <c r="G32" s="6">
        <v>306.45999999999998</v>
      </c>
      <c r="H32" s="6">
        <v>305.25634200000002</v>
      </c>
      <c r="I32" s="6">
        <v>307.45819999999998</v>
      </c>
      <c r="J32" s="6">
        <v>-0.23525939422466199</v>
      </c>
      <c r="K32" s="6">
        <v>41.770738230276102</v>
      </c>
    </row>
    <row r="33" spans="1:11" ht="15" customHeight="1" x14ac:dyDescent="0.2">
      <c r="A33" s="5">
        <v>46017</v>
      </c>
      <c r="B33" s="3">
        <v>306.04000000000002</v>
      </c>
      <c r="C33" s="4">
        <v>1860929</v>
      </c>
      <c r="D33" s="3">
        <v>-3.2664793885139799E-2</v>
      </c>
      <c r="E33" s="3">
        <v>307.39999999999998</v>
      </c>
      <c r="F33" s="3">
        <v>305.29000000000002</v>
      </c>
      <c r="G33" s="3">
        <v>307.53989999999999</v>
      </c>
      <c r="H33" s="3">
        <v>306.03589699999998</v>
      </c>
      <c r="I33" s="3">
        <v>308.18322999999998</v>
      </c>
      <c r="J33" s="3">
        <v>-3.2667935929453398E-2</v>
      </c>
      <c r="K33" s="3">
        <v>42.1050537188177</v>
      </c>
    </row>
    <row r="34" spans="1:11" ht="15" customHeight="1" x14ac:dyDescent="0.2">
      <c r="A34" s="8">
        <v>46015</v>
      </c>
      <c r="B34" s="6">
        <v>306.14</v>
      </c>
      <c r="C34" s="7">
        <v>1723245</v>
      </c>
      <c r="D34" s="6">
        <v>0.38693599160546299</v>
      </c>
      <c r="E34" s="6">
        <v>304.995</v>
      </c>
      <c r="F34" s="6">
        <v>304.70999999999998</v>
      </c>
      <c r="G34" s="6">
        <v>306.5</v>
      </c>
      <c r="H34" s="6">
        <v>306.17458800000003</v>
      </c>
      <c r="I34" s="6">
        <v>308.28393999999997</v>
      </c>
      <c r="J34" s="6">
        <v>0.38693805093377098</v>
      </c>
      <c r="K34" s="6">
        <v>42.151491677041498</v>
      </c>
    </row>
    <row r="35" spans="1:11" ht="15" customHeight="1" x14ac:dyDescent="0.2">
      <c r="A35" s="5">
        <v>46014</v>
      </c>
      <c r="B35" s="3">
        <v>304.95999999999998</v>
      </c>
      <c r="C35" s="4">
        <v>2708577</v>
      </c>
      <c r="D35" s="3">
        <v>0.36861506055818599</v>
      </c>
      <c r="E35" s="3">
        <v>302.20999999999998</v>
      </c>
      <c r="F35" s="3">
        <v>301.37</v>
      </c>
      <c r="G35" s="3">
        <v>305.12</v>
      </c>
      <c r="H35" s="3">
        <v>304.97874200000001</v>
      </c>
      <c r="I35" s="3">
        <v>307.09566999999998</v>
      </c>
      <c r="J35" s="3">
        <v>0.36861391604470201</v>
      </c>
      <c r="K35" s="3">
        <v>41.603573569419403</v>
      </c>
    </row>
    <row r="36" spans="1:11" ht="15" customHeight="1" x14ac:dyDescent="0.2">
      <c r="A36" s="8">
        <v>46013</v>
      </c>
      <c r="B36" s="6">
        <v>303.83999999999997</v>
      </c>
      <c r="C36" s="7">
        <v>4018973</v>
      </c>
      <c r="D36" s="6">
        <v>1.3441846502785</v>
      </c>
      <c r="E36" s="6">
        <v>306.72500000000002</v>
      </c>
      <c r="F36" s="6">
        <v>302.55</v>
      </c>
      <c r="G36" s="6">
        <v>306.93799999999999</v>
      </c>
      <c r="H36" s="6">
        <v>303.85402399999998</v>
      </c>
      <c r="I36" s="6">
        <v>305.96782999999999</v>
      </c>
      <c r="J36" s="6">
        <v>1.344187134162</v>
      </c>
      <c r="K36" s="6">
        <v>41.083520081154603</v>
      </c>
    </row>
    <row r="37" spans="1:11" ht="15" customHeight="1" x14ac:dyDescent="0.2">
      <c r="A37" s="5">
        <v>46010</v>
      </c>
      <c r="B37" s="3">
        <v>299.81</v>
      </c>
      <c r="C37" s="4">
        <v>5074953</v>
      </c>
      <c r="D37" s="3">
        <v>2.6605944391179199</v>
      </c>
      <c r="E37" s="3">
        <v>294.67</v>
      </c>
      <c r="F37" s="3">
        <v>294.5</v>
      </c>
      <c r="G37" s="3">
        <v>301.69</v>
      </c>
      <c r="H37" s="3">
        <v>300.33399200000002</v>
      </c>
      <c r="I37" s="3">
        <v>301.90960000000001</v>
      </c>
      <c r="J37" s="3">
        <v>2.66058951623544</v>
      </c>
      <c r="K37" s="3">
        <v>39.212246968229799</v>
      </c>
    </row>
    <row r="38" spans="1:11" ht="15" customHeight="1" x14ac:dyDescent="0.2">
      <c r="A38" s="8">
        <v>46009</v>
      </c>
      <c r="B38" s="6">
        <v>292.04000000000002</v>
      </c>
      <c r="C38" s="7">
        <v>6740393</v>
      </c>
      <c r="D38" s="6">
        <v>2.3875468919818998</v>
      </c>
      <c r="E38" s="6">
        <v>295.72000000000003</v>
      </c>
      <c r="F38" s="6">
        <v>290.83499999999998</v>
      </c>
      <c r="G38" s="6">
        <v>296.95999999999998</v>
      </c>
      <c r="H38" s="6">
        <v>292.153549</v>
      </c>
      <c r="I38" s="6">
        <v>294.08519999999999</v>
      </c>
      <c r="J38" s="6">
        <v>2.3875499386374699</v>
      </c>
      <c r="K38" s="6">
        <v>35.604371282335002</v>
      </c>
    </row>
    <row r="39" spans="1:11" ht="15" customHeight="1" x14ac:dyDescent="0.2">
      <c r="A39" s="5">
        <v>46008</v>
      </c>
      <c r="B39" s="3">
        <v>285.23</v>
      </c>
      <c r="C39" s="4">
        <v>10422050</v>
      </c>
      <c r="D39" s="3">
        <v>-3.7035786630654801</v>
      </c>
      <c r="E39" s="3">
        <v>297.32</v>
      </c>
      <c r="F39" s="3">
        <v>284.43</v>
      </c>
      <c r="G39" s="3">
        <v>298.18</v>
      </c>
      <c r="H39" s="3">
        <v>285.00746600000002</v>
      </c>
      <c r="I39" s="3">
        <v>287.22750000000002</v>
      </c>
      <c r="J39" s="3">
        <v>-3.7035772975695602</v>
      </c>
      <c r="K39" s="3">
        <v>32.442246507123997</v>
      </c>
    </row>
    <row r="40" spans="1:11" ht="15" customHeight="1" x14ac:dyDescent="0.2">
      <c r="A40" s="8">
        <v>46007</v>
      </c>
      <c r="B40" s="6">
        <v>296.2</v>
      </c>
      <c r="C40" s="7">
        <v>5850416</v>
      </c>
      <c r="D40" s="6">
        <v>-0.60736216905472595</v>
      </c>
      <c r="E40" s="6">
        <v>296.70499999999998</v>
      </c>
      <c r="F40" s="6">
        <v>293.08</v>
      </c>
      <c r="G40" s="6">
        <v>298.92</v>
      </c>
      <c r="H40" s="6">
        <v>295.95085</v>
      </c>
      <c r="I40" s="6">
        <v>298.27431999999999</v>
      </c>
      <c r="J40" s="6">
        <v>-0.46096913109995302</v>
      </c>
      <c r="K40" s="6">
        <v>37.535998524461597</v>
      </c>
    </row>
    <row r="41" spans="1:11" ht="15" customHeight="1" x14ac:dyDescent="0.2">
      <c r="A41" s="5">
        <v>46006</v>
      </c>
      <c r="B41" s="3">
        <v>298.01</v>
      </c>
      <c r="C41" s="4">
        <v>5241792</v>
      </c>
      <c r="D41" s="3">
        <v>-0.49085080806732201</v>
      </c>
      <c r="E41" s="3">
        <v>302.59500000000003</v>
      </c>
      <c r="F41" s="3">
        <v>297.23</v>
      </c>
      <c r="G41" s="3">
        <v>303.5</v>
      </c>
      <c r="H41" s="3">
        <v>297.95905499999998</v>
      </c>
      <c r="I41" s="3">
        <v>299.65564000000001</v>
      </c>
      <c r="J41" s="3">
        <v>-0.49085164014821497</v>
      </c>
      <c r="K41" s="3">
        <v>38.172933093558299</v>
      </c>
    </row>
    <row r="42" spans="1:11" ht="15" customHeight="1" x14ac:dyDescent="0.2">
      <c r="A42" s="8">
        <v>46003</v>
      </c>
      <c r="B42" s="6">
        <v>299.48</v>
      </c>
      <c r="C42" s="7">
        <v>13813630</v>
      </c>
      <c r="D42" s="6">
        <v>-4.7818898639196004</v>
      </c>
      <c r="E42" s="6">
        <v>310.8</v>
      </c>
      <c r="F42" s="6">
        <v>297.95999999999998</v>
      </c>
      <c r="G42" s="6">
        <v>311.60000000000002</v>
      </c>
      <c r="H42" s="6">
        <v>299.31719700000002</v>
      </c>
      <c r="I42" s="6">
        <v>301.13376</v>
      </c>
      <c r="J42" s="6">
        <v>-4.7818770804495303</v>
      </c>
      <c r="K42" s="6">
        <v>38.854502697468497</v>
      </c>
    </row>
    <row r="43" spans="1:11" ht="15" customHeight="1" x14ac:dyDescent="0.2">
      <c r="A43" s="5">
        <v>46002</v>
      </c>
      <c r="B43" s="3">
        <v>314.52</v>
      </c>
      <c r="C43" s="4">
        <v>6504706</v>
      </c>
      <c r="D43" s="3">
        <v>-0.57218727278475201</v>
      </c>
      <c r="E43" s="3">
        <v>312.8</v>
      </c>
      <c r="F43" s="3">
        <v>305.79000000000002</v>
      </c>
      <c r="G43" s="3">
        <v>314.77499999999998</v>
      </c>
      <c r="H43" s="3">
        <v>314.40405199999998</v>
      </c>
      <c r="I43" s="3">
        <v>316.25677000000002</v>
      </c>
      <c r="J43" s="3">
        <v>-0.57219203489169401</v>
      </c>
      <c r="K43" s="3">
        <v>45.8278092866694</v>
      </c>
    </row>
    <row r="44" spans="1:11" ht="15" customHeight="1" x14ac:dyDescent="0.2">
      <c r="A44" s="8">
        <v>46001</v>
      </c>
      <c r="B44" s="6">
        <v>316.33</v>
      </c>
      <c r="C44" s="7">
        <v>5093809</v>
      </c>
      <c r="D44" s="6">
        <v>1.3293612659363001</v>
      </c>
      <c r="E44" s="6">
        <v>312.005</v>
      </c>
      <c r="F44" s="6">
        <v>310.56</v>
      </c>
      <c r="G44" s="6">
        <v>317.35000000000002</v>
      </c>
      <c r="H44" s="6">
        <v>316.35831100000001</v>
      </c>
      <c r="I44" s="6">
        <v>318.07677999999999</v>
      </c>
      <c r="J44" s="6">
        <v>1.3293592079638801</v>
      </c>
      <c r="K44" s="6">
        <v>46.667026329137201</v>
      </c>
    </row>
    <row r="45" spans="1:11" ht="15" customHeight="1" x14ac:dyDescent="0.2">
      <c r="A45" s="5">
        <v>46000</v>
      </c>
      <c r="B45" s="3">
        <v>312.18</v>
      </c>
      <c r="C45" s="4">
        <v>2775282</v>
      </c>
      <c r="D45" s="3">
        <v>-0.185445709169962</v>
      </c>
      <c r="E45" s="3">
        <v>310.77999999999997</v>
      </c>
      <c r="F45" s="3">
        <v>309.435</v>
      </c>
      <c r="G45" s="3">
        <v>312.85000000000002</v>
      </c>
      <c r="H45" s="3">
        <v>312.155798</v>
      </c>
      <c r="I45" s="3">
        <v>313.90386999999998</v>
      </c>
      <c r="J45" s="3">
        <v>-0.18545434773000699</v>
      </c>
      <c r="K45" s="3">
        <v>44.742873610918899</v>
      </c>
    </row>
    <row r="46" spans="1:11" ht="15" customHeight="1" x14ac:dyDescent="0.2">
      <c r="A46" s="8">
        <v>45999</v>
      </c>
      <c r="B46" s="6">
        <v>312.76</v>
      </c>
      <c r="C46" s="7">
        <v>3620859</v>
      </c>
      <c r="D46" s="6">
        <v>1.0859728506787201</v>
      </c>
      <c r="E46" s="6">
        <v>311.92500000000001</v>
      </c>
      <c r="F46" s="6">
        <v>309.86500000000001</v>
      </c>
      <c r="G46" s="6">
        <v>314.07990000000001</v>
      </c>
      <c r="H46" s="6">
        <v>312.68838899999997</v>
      </c>
      <c r="I46" s="6">
        <v>314.4871</v>
      </c>
      <c r="J46" s="6">
        <v>1.08598118752902</v>
      </c>
      <c r="K46" s="6">
        <v>45.011804306727498</v>
      </c>
    </row>
    <row r="47" spans="1:11" ht="15" customHeight="1" x14ac:dyDescent="0.2">
      <c r="A47" s="5">
        <v>45996</v>
      </c>
      <c r="B47" s="3">
        <v>309.39999999999998</v>
      </c>
      <c r="C47" s="4">
        <v>4338106</v>
      </c>
      <c r="D47" s="3">
        <v>1.0186757215619699</v>
      </c>
      <c r="E47" s="3">
        <v>309.29500000000002</v>
      </c>
      <c r="F47" s="3">
        <v>308.93</v>
      </c>
      <c r="G47" s="3">
        <v>312.83</v>
      </c>
      <c r="H47" s="3">
        <v>309.451819</v>
      </c>
      <c r="I47" s="3">
        <v>311.10852</v>
      </c>
      <c r="J47" s="3">
        <v>1.01867940413145</v>
      </c>
      <c r="K47" s="3">
        <v>43.453921704246703</v>
      </c>
    </row>
    <row r="48" spans="1:11" ht="15" customHeight="1" x14ac:dyDescent="0.2">
      <c r="A48" s="8">
        <v>45995</v>
      </c>
      <c r="B48" s="6">
        <v>306.27999999999997</v>
      </c>
      <c r="C48" s="7">
        <v>4639662</v>
      </c>
      <c r="D48" s="6">
        <v>-0.99560382725628604</v>
      </c>
      <c r="E48" s="6">
        <v>307.83999999999997</v>
      </c>
      <c r="F48" s="6">
        <v>304.59190000000001</v>
      </c>
      <c r="G48" s="6">
        <v>308.27</v>
      </c>
      <c r="H48" s="6">
        <v>306.26065299999999</v>
      </c>
      <c r="I48" s="6">
        <v>307.97127999999998</v>
      </c>
      <c r="J48" s="6">
        <v>-0.99559816885212904</v>
      </c>
      <c r="K48" s="6">
        <v>42.007322359016896</v>
      </c>
    </row>
    <row r="49" spans="1:11" ht="15" customHeight="1" x14ac:dyDescent="0.2">
      <c r="A49" s="5">
        <v>45994</v>
      </c>
      <c r="B49" s="3">
        <v>309.36</v>
      </c>
      <c r="C49" s="4">
        <v>3867116</v>
      </c>
      <c r="D49" s="3">
        <v>2.1529520538898499</v>
      </c>
      <c r="E49" s="3">
        <v>304.5</v>
      </c>
      <c r="F49" s="3">
        <v>301.46499999999997</v>
      </c>
      <c r="G49" s="3">
        <v>309.57</v>
      </c>
      <c r="H49" s="3">
        <v>309.36997700000001</v>
      </c>
      <c r="I49" s="3">
        <v>311.06826999999998</v>
      </c>
      <c r="J49" s="3">
        <v>2.1529409485265298</v>
      </c>
      <c r="K49" s="3">
        <v>43.435362198552099</v>
      </c>
    </row>
    <row r="50" spans="1:11" ht="15" customHeight="1" x14ac:dyDescent="0.2">
      <c r="A50" s="8">
        <v>45993</v>
      </c>
      <c r="B50" s="6">
        <v>302.83999999999997</v>
      </c>
      <c r="C50" s="7">
        <v>5086879</v>
      </c>
      <c r="D50" s="6">
        <v>1.9938030445911099</v>
      </c>
      <c r="E50" s="6">
        <v>300.44499999999999</v>
      </c>
      <c r="F50" s="6">
        <v>298.69</v>
      </c>
      <c r="G50" s="6">
        <v>304.83999999999997</v>
      </c>
      <c r="H50" s="6">
        <v>302.92065200000002</v>
      </c>
      <c r="I50" s="6">
        <v>304.51229999999998</v>
      </c>
      <c r="J50" s="6">
        <v>1.9938062617982999</v>
      </c>
      <c r="K50" s="6">
        <v>40.412366855720002</v>
      </c>
    </row>
    <row r="51" spans="1:11" ht="15" customHeight="1" x14ac:dyDescent="0.2">
      <c r="A51" s="5">
        <v>45992</v>
      </c>
      <c r="B51" s="3">
        <v>296.92</v>
      </c>
      <c r="C51" s="4">
        <v>3932993</v>
      </c>
      <c r="D51" s="3">
        <v>6.0659162903564601E-2</v>
      </c>
      <c r="E51" s="3">
        <v>292.87</v>
      </c>
      <c r="F51" s="3">
        <v>292.52999999999997</v>
      </c>
      <c r="G51" s="3">
        <v>299.42</v>
      </c>
      <c r="H51" s="3">
        <v>296.80877600000002</v>
      </c>
      <c r="I51" s="3">
        <v>298.55959999999999</v>
      </c>
      <c r="J51" s="3">
        <v>6.0661186827726199E-2</v>
      </c>
      <c r="K51" s="3">
        <v>37.667542767556498</v>
      </c>
    </row>
    <row r="52" spans="1:11" ht="15" customHeight="1" x14ac:dyDescent="0.2">
      <c r="A52" s="8">
        <v>45989</v>
      </c>
      <c r="B52" s="6">
        <v>296.74</v>
      </c>
      <c r="C52" s="7">
        <v>3037957</v>
      </c>
      <c r="D52" s="6">
        <v>1.83602731734102</v>
      </c>
      <c r="E52" s="6">
        <v>293.25</v>
      </c>
      <c r="F52" s="6">
        <v>291.83</v>
      </c>
      <c r="G52" s="6">
        <v>296.99</v>
      </c>
      <c r="H52" s="6">
        <v>296.96733699999999</v>
      </c>
      <c r="I52" s="6">
        <v>298.37860000000001</v>
      </c>
      <c r="J52" s="6">
        <v>1.8360194168527799</v>
      </c>
      <c r="K52" s="6">
        <v>37.584082630147002</v>
      </c>
    </row>
    <row r="53" spans="1:11" ht="15" customHeight="1" x14ac:dyDescent="0.2">
      <c r="A53" s="5">
        <v>45987</v>
      </c>
      <c r="B53" s="3">
        <v>291.39</v>
      </c>
      <c r="C53" s="4">
        <v>5818259</v>
      </c>
      <c r="D53" s="3">
        <v>2.7540729247478701</v>
      </c>
      <c r="E53" s="3">
        <v>286.72000000000003</v>
      </c>
      <c r="F53" s="3">
        <v>286.61</v>
      </c>
      <c r="G53" s="3">
        <v>294.08</v>
      </c>
      <c r="H53" s="3">
        <v>291.46783199999999</v>
      </c>
      <c r="I53" s="3">
        <v>292.99907999999999</v>
      </c>
      <c r="J53" s="3">
        <v>2.7540774383811999</v>
      </c>
      <c r="K53" s="3">
        <v>35.103555125190198</v>
      </c>
    </row>
    <row r="54" spans="1:11" ht="15" customHeight="1" x14ac:dyDescent="0.2">
      <c r="A54" s="8">
        <v>45986</v>
      </c>
      <c r="B54" s="6">
        <v>283.58</v>
      </c>
      <c r="C54" s="7">
        <v>5942820</v>
      </c>
      <c r="D54" s="6">
        <v>0.31128404669260501</v>
      </c>
      <c r="E54" s="6">
        <v>278.95499999999998</v>
      </c>
      <c r="F54" s="6">
        <v>272.76</v>
      </c>
      <c r="G54" s="6">
        <v>284.33999999999997</v>
      </c>
      <c r="H54" s="6">
        <v>283.596001</v>
      </c>
      <c r="I54" s="6">
        <v>285.14594</v>
      </c>
      <c r="J54" s="6">
        <v>0.31128426023006001</v>
      </c>
      <c r="K54" s="6">
        <v>31.482427260570802</v>
      </c>
    </row>
    <row r="55" spans="1:11" ht="15" customHeight="1" x14ac:dyDescent="0.2">
      <c r="A55" s="5">
        <v>45985</v>
      </c>
      <c r="B55" s="3">
        <v>282.7</v>
      </c>
      <c r="C55" s="4">
        <v>6424802</v>
      </c>
      <c r="D55" s="3">
        <v>4.3828231732082799</v>
      </c>
      <c r="E55" s="3">
        <v>273.77999999999997</v>
      </c>
      <c r="F55" s="3">
        <v>273.61500000000001</v>
      </c>
      <c r="G55" s="3">
        <v>284.05</v>
      </c>
      <c r="H55" s="3">
        <v>282.796289</v>
      </c>
      <c r="I55" s="3">
        <v>284.26107999999999</v>
      </c>
      <c r="J55" s="3">
        <v>4.3828244821555797</v>
      </c>
      <c r="K55" s="3">
        <v>31.074413242956599</v>
      </c>
    </row>
    <row r="56" spans="1:11" ht="15" customHeight="1" x14ac:dyDescent="0.2">
      <c r="A56" s="8">
        <v>45982</v>
      </c>
      <c r="B56" s="6">
        <v>270.83</v>
      </c>
      <c r="C56" s="7">
        <v>15355860</v>
      </c>
      <c r="D56" s="6">
        <v>1.0182767624020701</v>
      </c>
      <c r="E56" s="6">
        <v>268.26499999999999</v>
      </c>
      <c r="F56" s="6">
        <v>260.44</v>
      </c>
      <c r="G56" s="6">
        <v>274.76</v>
      </c>
      <c r="H56" s="6">
        <v>270.824836</v>
      </c>
      <c r="I56" s="6">
        <v>272.32553000000001</v>
      </c>
      <c r="J56" s="6">
        <v>1.01827109359962</v>
      </c>
      <c r="K56" s="6">
        <v>25.570862728823698</v>
      </c>
    </row>
    <row r="57" spans="1:11" ht="15" customHeight="1" x14ac:dyDescent="0.2">
      <c r="A57" s="5">
        <v>45981</v>
      </c>
      <c r="B57" s="3">
        <v>268.10000000000002</v>
      </c>
      <c r="C57" s="4">
        <v>13398330</v>
      </c>
      <c r="D57" s="3">
        <v>-4.7974148645289496</v>
      </c>
      <c r="E57" s="3">
        <v>288.89999999999998</v>
      </c>
      <c r="F57" s="3">
        <v>267</v>
      </c>
      <c r="G57" s="3">
        <v>289.99</v>
      </c>
      <c r="H57" s="3">
        <v>268.01115800000002</v>
      </c>
      <c r="I57" s="3">
        <v>269.58046999999999</v>
      </c>
      <c r="J57" s="3">
        <v>-4.7974036625425196</v>
      </c>
      <c r="K57" s="3">
        <v>24.305099829390802</v>
      </c>
    </row>
    <row r="58" spans="1:11" ht="15" customHeight="1" x14ac:dyDescent="0.2">
      <c r="A58" s="8">
        <v>45980</v>
      </c>
      <c r="B58" s="6">
        <v>281.61</v>
      </c>
      <c r="C58" s="7">
        <v>5108056</v>
      </c>
      <c r="D58" s="6">
        <v>1.6716008376056</v>
      </c>
      <c r="E58" s="6">
        <v>278.14</v>
      </c>
      <c r="F58" s="6">
        <v>276.82</v>
      </c>
      <c r="G58" s="6">
        <v>285.14</v>
      </c>
      <c r="H58" s="6">
        <v>281.60030399999999</v>
      </c>
      <c r="I58" s="6">
        <v>283.16503999999998</v>
      </c>
      <c r="J58" s="6">
        <v>1.67159109473822</v>
      </c>
      <c r="K58" s="6">
        <v>30.5690229169548</v>
      </c>
    </row>
    <row r="59" spans="1:11" ht="15" customHeight="1" x14ac:dyDescent="0.2">
      <c r="A59" s="5">
        <v>45979</v>
      </c>
      <c r="B59" s="3">
        <v>276.98</v>
      </c>
      <c r="C59" s="4">
        <v>11103070</v>
      </c>
      <c r="D59" s="3">
        <v>-2.3204965439412999</v>
      </c>
      <c r="E59" s="3">
        <v>279.54000000000002</v>
      </c>
      <c r="F59" s="3">
        <v>274.08999999999997</v>
      </c>
      <c r="G59" s="3">
        <v>281.40499999999997</v>
      </c>
      <c r="H59" s="3">
        <v>276.99014199999999</v>
      </c>
      <c r="I59" s="3">
        <v>278.5095</v>
      </c>
      <c r="J59" s="3">
        <v>-2.3204913536066201</v>
      </c>
      <c r="K59" s="3">
        <v>28.422326739521299</v>
      </c>
    </row>
    <row r="60" spans="1:11" ht="15" customHeight="1" x14ac:dyDescent="0.2">
      <c r="A60" s="8">
        <v>45978</v>
      </c>
      <c r="B60" s="6">
        <v>283.56</v>
      </c>
      <c r="C60" s="7">
        <v>8188737</v>
      </c>
      <c r="D60" s="6">
        <v>-1.7191182586995499</v>
      </c>
      <c r="E60" s="6">
        <v>286.07</v>
      </c>
      <c r="F60" s="6">
        <v>280.24</v>
      </c>
      <c r="G60" s="6">
        <v>291.52999999999997</v>
      </c>
      <c r="H60" s="6">
        <v>283.45236599999998</v>
      </c>
      <c r="I60" s="6">
        <v>285.12581999999998</v>
      </c>
      <c r="J60" s="6">
        <v>-1.71912193453301</v>
      </c>
      <c r="K60" s="6">
        <v>31.4731498132521</v>
      </c>
    </row>
    <row r="61" spans="1:11" ht="15" customHeight="1" x14ac:dyDescent="0.2">
      <c r="A61" s="5">
        <v>45975</v>
      </c>
      <c r="B61" s="3">
        <v>288.52</v>
      </c>
      <c r="C61" s="4">
        <v>7141995</v>
      </c>
      <c r="D61" s="3">
        <v>-0.29718708963992702</v>
      </c>
      <c r="E61" s="3">
        <v>280.62</v>
      </c>
      <c r="F61" s="3">
        <v>279.41000000000003</v>
      </c>
      <c r="G61" s="3">
        <v>292.8</v>
      </c>
      <c r="H61" s="3">
        <v>288.40219400000001</v>
      </c>
      <c r="I61" s="3">
        <v>290.11322000000001</v>
      </c>
      <c r="J61" s="3">
        <v>-0.29718744687098297</v>
      </c>
      <c r="K61" s="3">
        <v>33.772868538755901</v>
      </c>
    </row>
    <row r="62" spans="1:11" ht="15" customHeight="1" x14ac:dyDescent="0.2">
      <c r="A62" s="8">
        <v>45974</v>
      </c>
      <c r="B62" s="6">
        <v>289.38</v>
      </c>
      <c r="C62" s="7">
        <v>10980640</v>
      </c>
      <c r="D62" s="6">
        <v>-3.4337771548703602</v>
      </c>
      <c r="E62" s="6">
        <v>295.94</v>
      </c>
      <c r="F62" s="6">
        <v>286.45</v>
      </c>
      <c r="G62" s="6">
        <v>297.13</v>
      </c>
      <c r="H62" s="6">
        <v>289.14462500000002</v>
      </c>
      <c r="I62" s="6">
        <v>290.97797000000003</v>
      </c>
      <c r="J62" s="6">
        <v>-3.4337797619047401</v>
      </c>
      <c r="K62" s="6">
        <v>34.171609720108798</v>
      </c>
    </row>
    <row r="63" spans="1:11" ht="15" customHeight="1" x14ac:dyDescent="0.2">
      <c r="A63" s="5">
        <v>45973</v>
      </c>
      <c r="B63" s="3">
        <v>299.67</v>
      </c>
      <c r="C63" s="4">
        <v>4144965</v>
      </c>
      <c r="D63" s="3">
        <v>1.5314246993054501</v>
      </c>
      <c r="E63" s="3">
        <v>300.22000000000003</v>
      </c>
      <c r="F63" s="3">
        <v>297.5</v>
      </c>
      <c r="G63" s="3">
        <v>301.69</v>
      </c>
      <c r="H63" s="3">
        <v>299.66780299999999</v>
      </c>
      <c r="I63" s="3">
        <v>301.32479999999998</v>
      </c>
      <c r="J63" s="3">
        <v>1.5314316182279499</v>
      </c>
      <c r="K63" s="3">
        <v>38.942592336422699</v>
      </c>
    </row>
    <row r="64" spans="1:11" ht="15" customHeight="1" x14ac:dyDescent="0.2">
      <c r="A64" s="8">
        <v>45972</v>
      </c>
      <c r="B64" s="6">
        <v>295.14999999999998</v>
      </c>
      <c r="C64" s="7">
        <v>5877863</v>
      </c>
      <c r="D64" s="6">
        <v>-2.2682119205297999</v>
      </c>
      <c r="E64" s="6">
        <v>299.04000000000002</v>
      </c>
      <c r="F64" s="6">
        <v>294.69</v>
      </c>
      <c r="G64" s="6">
        <v>300.02</v>
      </c>
      <c r="H64" s="6">
        <v>295.04978899999998</v>
      </c>
      <c r="I64" s="6">
        <v>296.77981999999997</v>
      </c>
      <c r="J64" s="6">
        <v>-2.26821651011505</v>
      </c>
      <c r="K64" s="6">
        <v>36.846876008668701</v>
      </c>
    </row>
    <row r="65" spans="1:11" ht="15" customHeight="1" x14ac:dyDescent="0.2">
      <c r="A65" s="5">
        <v>45971</v>
      </c>
      <c r="B65" s="3">
        <v>302</v>
      </c>
      <c r="C65" s="4">
        <v>6030840</v>
      </c>
      <c r="D65" s="3">
        <v>2.5884910659691598</v>
      </c>
      <c r="E65" s="3">
        <v>302.44</v>
      </c>
      <c r="F65" s="3">
        <v>298.54000000000002</v>
      </c>
      <c r="G65" s="3">
        <v>303.36</v>
      </c>
      <c r="H65" s="3">
        <v>302.229175</v>
      </c>
      <c r="I65" s="3">
        <v>303.66766000000001</v>
      </c>
      <c r="J65" s="3">
        <v>2.58849174397319</v>
      </c>
      <c r="K65" s="3">
        <v>40.022898510628401</v>
      </c>
    </row>
    <row r="66" spans="1:11" ht="15" customHeight="1" x14ac:dyDescent="0.2">
      <c r="A66" s="8">
        <v>45968</v>
      </c>
      <c r="B66" s="6">
        <v>294.38</v>
      </c>
      <c r="C66" s="7">
        <v>13798570</v>
      </c>
      <c r="D66" s="6">
        <v>-1.04873949579832</v>
      </c>
      <c r="E66" s="6">
        <v>292.64</v>
      </c>
      <c r="F66" s="6">
        <v>283.58999999999997</v>
      </c>
      <c r="G66" s="6">
        <v>294.45</v>
      </c>
      <c r="H66" s="6">
        <v>294.31118800000002</v>
      </c>
      <c r="I66" s="6">
        <v>296.00558000000001</v>
      </c>
      <c r="J66" s="6">
        <v>-1.04873659001654</v>
      </c>
      <c r="K66" s="6">
        <v>36.489869507077898</v>
      </c>
    </row>
    <row r="67" spans="1:11" ht="15" customHeight="1" x14ac:dyDescent="0.2">
      <c r="A67" s="5">
        <v>45967</v>
      </c>
      <c r="B67" s="3">
        <v>297.5</v>
      </c>
      <c r="C67" s="4">
        <v>8548311</v>
      </c>
      <c r="D67" s="3">
        <v>-2.6090941827348</v>
      </c>
      <c r="E67" s="3">
        <v>305</v>
      </c>
      <c r="F67" s="3">
        <v>295.35000000000002</v>
      </c>
      <c r="G67" s="3">
        <v>305.89</v>
      </c>
      <c r="H67" s="3">
        <v>297.23531400000002</v>
      </c>
      <c r="I67" s="3">
        <v>299.14280000000002</v>
      </c>
      <c r="J67" s="3">
        <v>-2.6091003739034502</v>
      </c>
      <c r="K67" s="3">
        <v>37.936459630193198</v>
      </c>
    </row>
    <row r="68" spans="1:11" ht="15" customHeight="1" x14ac:dyDescent="0.2">
      <c r="A68" s="8">
        <v>45966</v>
      </c>
      <c r="B68" s="6">
        <v>305.47000000000003</v>
      </c>
      <c r="C68" s="7">
        <v>4949353</v>
      </c>
      <c r="D68" s="6">
        <v>3.1087558225882699</v>
      </c>
      <c r="E68" s="6">
        <v>297.20999999999998</v>
      </c>
      <c r="F68" s="6">
        <v>296.89</v>
      </c>
      <c r="G68" s="6">
        <v>309.17</v>
      </c>
      <c r="H68" s="6">
        <v>305.53154699999999</v>
      </c>
      <c r="I68" s="6">
        <v>307.15683000000001</v>
      </c>
      <c r="J68" s="6">
        <v>3.1087563890172798</v>
      </c>
      <c r="K68" s="6">
        <v>41.631774795960702</v>
      </c>
    </row>
    <row r="69" spans="1:11" ht="15" customHeight="1" x14ac:dyDescent="0.2">
      <c r="A69" s="5">
        <v>45965</v>
      </c>
      <c r="B69" s="3">
        <v>296.26</v>
      </c>
      <c r="C69" s="4">
        <v>5288819</v>
      </c>
      <c r="D69" s="3">
        <v>-3.9302159673130501</v>
      </c>
      <c r="E69" s="3">
        <v>300.33999999999997</v>
      </c>
      <c r="F69" s="3">
        <v>295.55</v>
      </c>
      <c r="G69" s="3">
        <v>304.745</v>
      </c>
      <c r="H69" s="3">
        <v>295.82268399999998</v>
      </c>
      <c r="I69" s="3">
        <v>297.89596999999998</v>
      </c>
      <c r="J69" s="3">
        <v>-3.9302167259142702</v>
      </c>
      <c r="K69" s="3">
        <v>37.361539170931799</v>
      </c>
    </row>
    <row r="70" spans="1:11" ht="15" customHeight="1" x14ac:dyDescent="0.2">
      <c r="A70" s="8">
        <v>45964</v>
      </c>
      <c r="B70" s="6">
        <v>308.38</v>
      </c>
      <c r="C70" s="7">
        <v>3750762</v>
      </c>
      <c r="D70" s="6">
        <v>0.59696623715543795</v>
      </c>
      <c r="E70" s="6">
        <v>310.39999999999998</v>
      </c>
      <c r="F70" s="6">
        <v>307.13</v>
      </c>
      <c r="G70" s="6">
        <v>311.7525</v>
      </c>
      <c r="H70" s="6">
        <v>308.34495399999997</v>
      </c>
      <c r="I70" s="6">
        <v>310.0829</v>
      </c>
      <c r="J70" s="6">
        <v>0.59697426155365096</v>
      </c>
      <c r="K70" s="6">
        <v>42.981002443860298</v>
      </c>
    </row>
    <row r="71" spans="1:11" ht="15" customHeight="1" x14ac:dyDescent="0.2">
      <c r="A71" s="5">
        <v>45961</v>
      </c>
      <c r="B71" s="3">
        <v>306.55</v>
      </c>
      <c r="C71" s="4">
        <v>5164275</v>
      </c>
      <c r="D71" s="3">
        <v>0.37326872073606399</v>
      </c>
      <c r="E71" s="3">
        <v>308.7</v>
      </c>
      <c r="F71" s="3">
        <v>304.26</v>
      </c>
      <c r="G71" s="3">
        <v>311.32249999999999</v>
      </c>
      <c r="H71" s="3">
        <v>306.59512000000001</v>
      </c>
      <c r="I71" s="3">
        <v>308.24277000000001</v>
      </c>
      <c r="J71" s="3">
        <v>0.37326052234396501</v>
      </c>
      <c r="K71" s="3">
        <v>42.132507954073802</v>
      </c>
    </row>
    <row r="72" spans="1:11" ht="15" customHeight="1" x14ac:dyDescent="0.2">
      <c r="A72" s="8">
        <v>45960</v>
      </c>
      <c r="B72" s="6">
        <v>305.41000000000003</v>
      </c>
      <c r="C72" s="7">
        <v>4630695</v>
      </c>
      <c r="D72" s="6">
        <v>-1.3533591731266099</v>
      </c>
      <c r="E72" s="6">
        <v>307.94</v>
      </c>
      <c r="F72" s="6">
        <v>305.38</v>
      </c>
      <c r="G72" s="6">
        <v>311.12</v>
      </c>
      <c r="H72" s="6">
        <v>305.45587</v>
      </c>
      <c r="I72" s="6">
        <v>307.09649999999999</v>
      </c>
      <c r="J72" s="6">
        <v>-1.35335678501177</v>
      </c>
      <c r="K72" s="6">
        <v>41.603956287176601</v>
      </c>
    </row>
    <row r="73" spans="1:11" ht="15" customHeight="1" x14ac:dyDescent="0.2">
      <c r="A73" s="5">
        <v>45959</v>
      </c>
      <c r="B73" s="3">
        <v>309.60000000000002</v>
      </c>
      <c r="C73" s="4">
        <v>4503069</v>
      </c>
      <c r="D73" s="3">
        <v>1.6915749712596599</v>
      </c>
      <c r="E73" s="3">
        <v>309.86500000000001</v>
      </c>
      <c r="F73" s="3">
        <v>306.97000000000003</v>
      </c>
      <c r="G73" s="3">
        <v>312.78969999999998</v>
      </c>
      <c r="H73" s="3">
        <v>309.92027899999999</v>
      </c>
      <c r="I73" s="3">
        <v>311.30963000000003</v>
      </c>
      <c r="J73" s="3">
        <v>1.6915721102586301</v>
      </c>
      <c r="K73" s="3">
        <v>43.546654677917601</v>
      </c>
    </row>
    <row r="74" spans="1:11" ht="15" customHeight="1" x14ac:dyDescent="0.2">
      <c r="A74" s="8">
        <v>45958</v>
      </c>
      <c r="B74" s="6">
        <v>304.45</v>
      </c>
      <c r="C74" s="7">
        <v>4156442</v>
      </c>
      <c r="D74" s="6">
        <v>0.121678505656408</v>
      </c>
      <c r="E74" s="6">
        <v>303.45999999999998</v>
      </c>
      <c r="F74" s="6">
        <v>302.38</v>
      </c>
      <c r="G74" s="6">
        <v>305.97000000000003</v>
      </c>
      <c r="H74" s="6">
        <v>304.42022900000001</v>
      </c>
      <c r="I74" s="6">
        <v>306.13119999999998</v>
      </c>
      <c r="J74" s="6">
        <v>0.12169056478184</v>
      </c>
      <c r="K74" s="6">
        <v>41.158850924516898</v>
      </c>
    </row>
    <row r="75" spans="1:11" ht="15" customHeight="1" x14ac:dyDescent="0.2">
      <c r="A75" s="5">
        <v>45957</v>
      </c>
      <c r="B75" s="3">
        <v>304.08</v>
      </c>
      <c r="C75" s="4">
        <v>5165020</v>
      </c>
      <c r="D75" s="3">
        <v>2.77834110728045</v>
      </c>
      <c r="E75" s="3">
        <v>301.43</v>
      </c>
      <c r="F75" s="3">
        <v>300.40499999999997</v>
      </c>
      <c r="G75" s="3">
        <v>305.01</v>
      </c>
      <c r="H75" s="3">
        <v>304.33083299999998</v>
      </c>
      <c r="I75" s="3">
        <v>305.75912</v>
      </c>
      <c r="J75" s="3">
        <v>2.7783374534200198</v>
      </c>
      <c r="K75" s="3">
        <v>40.987282703924002</v>
      </c>
    </row>
    <row r="76" spans="1:11" ht="15" customHeight="1" x14ac:dyDescent="0.2">
      <c r="A76" s="8">
        <v>45954</v>
      </c>
      <c r="B76" s="6">
        <v>295.86</v>
      </c>
      <c r="C76" s="7">
        <v>4621169</v>
      </c>
      <c r="D76" s="6">
        <v>1.64914450628737</v>
      </c>
      <c r="E76" s="6">
        <v>296.33</v>
      </c>
      <c r="F76" s="6">
        <v>295.44</v>
      </c>
      <c r="G76" s="6">
        <v>298.22000000000003</v>
      </c>
      <c r="H76" s="6">
        <v>295.94270799999998</v>
      </c>
      <c r="I76" s="6">
        <v>297.49374</v>
      </c>
      <c r="J76" s="6">
        <v>1.6491425552104899</v>
      </c>
      <c r="K76" s="6">
        <v>37.176068612532802</v>
      </c>
    </row>
    <row r="77" spans="1:11" ht="15" customHeight="1" x14ac:dyDescent="0.2">
      <c r="A77" s="5">
        <v>45953</v>
      </c>
      <c r="B77" s="3">
        <v>291.06</v>
      </c>
      <c r="C77" s="4">
        <v>5374810</v>
      </c>
      <c r="D77" s="3">
        <v>2.4390243902439002</v>
      </c>
      <c r="E77" s="3">
        <v>282.49</v>
      </c>
      <c r="F77" s="3">
        <v>282.25</v>
      </c>
      <c r="G77" s="3">
        <v>291.86</v>
      </c>
      <c r="H77" s="3">
        <v>291.215506</v>
      </c>
      <c r="I77" s="3">
        <v>292.66723999999999</v>
      </c>
      <c r="J77" s="3">
        <v>2.4390252439482101</v>
      </c>
      <c r="K77" s="3">
        <v>34.9505417992345</v>
      </c>
    </row>
    <row r="78" spans="1:11" ht="15" customHeight="1" x14ac:dyDescent="0.2">
      <c r="A78" s="8">
        <v>45952</v>
      </c>
      <c r="B78" s="6">
        <v>284.13</v>
      </c>
      <c r="C78" s="7">
        <v>7875302</v>
      </c>
      <c r="D78" s="6">
        <v>-2.47142415817114</v>
      </c>
      <c r="E78" s="6">
        <v>288.11</v>
      </c>
      <c r="F78" s="6">
        <v>278.45999999999998</v>
      </c>
      <c r="G78" s="6">
        <v>289.82499999999999</v>
      </c>
      <c r="H78" s="6">
        <v>284.038588</v>
      </c>
      <c r="I78" s="6">
        <v>285.69896999999997</v>
      </c>
      <c r="J78" s="6">
        <v>-2.4714213266173899</v>
      </c>
      <c r="K78" s="6">
        <v>31.737432563286699</v>
      </c>
    </row>
    <row r="79" spans="1:11" ht="15" customHeight="1" x14ac:dyDescent="0.2">
      <c r="A79" s="5">
        <v>45951</v>
      </c>
      <c r="B79" s="3">
        <v>291.33</v>
      </c>
      <c r="C79" s="4">
        <v>3965223</v>
      </c>
      <c r="D79" s="3">
        <v>-0.55978427825376098</v>
      </c>
      <c r="E79" s="3">
        <v>292.5</v>
      </c>
      <c r="F79" s="3">
        <v>289.22000000000003</v>
      </c>
      <c r="G79" s="3">
        <v>292.7</v>
      </c>
      <c r="H79" s="3">
        <v>291.28982000000002</v>
      </c>
      <c r="I79" s="3">
        <v>292.93871999999999</v>
      </c>
      <c r="J79" s="3">
        <v>-0.55979236071556004</v>
      </c>
      <c r="K79" s="3">
        <v>35.075722783234099</v>
      </c>
    </row>
    <row r="80" spans="1:11" ht="15" customHeight="1" x14ac:dyDescent="0.2">
      <c r="A80" s="8">
        <v>45950</v>
      </c>
      <c r="B80" s="6">
        <v>292.97000000000003</v>
      </c>
      <c r="C80" s="7">
        <v>5832300</v>
      </c>
      <c r="D80" s="6">
        <v>1.66568345074089</v>
      </c>
      <c r="E80" s="6">
        <v>290.61</v>
      </c>
      <c r="F80" s="6">
        <v>290.495</v>
      </c>
      <c r="G80" s="6">
        <v>295</v>
      </c>
      <c r="H80" s="6">
        <v>292.984219</v>
      </c>
      <c r="I80" s="6">
        <v>294.58780000000002</v>
      </c>
      <c r="J80" s="6">
        <v>1.66568137290936</v>
      </c>
      <c r="K80" s="6">
        <v>35.836123023009101</v>
      </c>
    </row>
    <row r="81" spans="1:11" ht="15" customHeight="1" x14ac:dyDescent="0.2">
      <c r="A81" s="5">
        <v>45947</v>
      </c>
      <c r="B81" s="3">
        <v>288.17</v>
      </c>
      <c r="C81" s="4">
        <v>6261510</v>
      </c>
      <c r="D81" s="3">
        <v>-0.28029621427087997</v>
      </c>
      <c r="E81" s="3">
        <v>286.89</v>
      </c>
      <c r="F81" s="3">
        <v>283.71929999999998</v>
      </c>
      <c r="G81" s="3">
        <v>289.63499999999999</v>
      </c>
      <c r="H81" s="3">
        <v>288.12812200000002</v>
      </c>
      <c r="I81" s="3">
        <v>289.76130000000001</v>
      </c>
      <c r="J81" s="3">
        <v>-0.280298653934618</v>
      </c>
      <c r="K81" s="3">
        <v>33.610596209710799</v>
      </c>
    </row>
    <row r="82" spans="1:11" ht="15" customHeight="1" x14ac:dyDescent="0.2">
      <c r="A82" s="8">
        <v>45946</v>
      </c>
      <c r="B82" s="6">
        <v>288.98</v>
      </c>
      <c r="C82" s="7">
        <v>7410391</v>
      </c>
      <c r="D82" s="6">
        <v>0.465860102906412</v>
      </c>
      <c r="E82" s="6">
        <v>291.07499999999999</v>
      </c>
      <c r="F82" s="6">
        <v>285.94</v>
      </c>
      <c r="G82" s="6">
        <v>292.26</v>
      </c>
      <c r="H82" s="6">
        <v>289.03127000000001</v>
      </c>
      <c r="I82" s="6">
        <v>290.57578000000001</v>
      </c>
      <c r="J82" s="6">
        <v>0.46586717844681003</v>
      </c>
      <c r="K82" s="6">
        <v>33.986157605938999</v>
      </c>
    </row>
    <row r="83" spans="1:11" ht="15" customHeight="1" x14ac:dyDescent="0.2">
      <c r="A83" s="5">
        <v>45945</v>
      </c>
      <c r="B83" s="3">
        <v>287.64</v>
      </c>
      <c r="C83" s="4">
        <v>7595239</v>
      </c>
      <c r="D83" s="3">
        <v>3.0856897107838002</v>
      </c>
      <c r="E83" s="3">
        <v>286.25</v>
      </c>
      <c r="F83" s="3">
        <v>281.83999999999997</v>
      </c>
      <c r="G83" s="3">
        <v>288.01499999999999</v>
      </c>
      <c r="H83" s="3">
        <v>287.65580799999998</v>
      </c>
      <c r="I83" s="3">
        <v>289.22836000000001</v>
      </c>
      <c r="J83" s="3">
        <v>3.0856953040016899</v>
      </c>
      <c r="K83" s="3">
        <v>33.364854521141702</v>
      </c>
    </row>
    <row r="84" spans="1:11" ht="15" customHeight="1" x14ac:dyDescent="0.2">
      <c r="A84" s="8">
        <v>45944</v>
      </c>
      <c r="B84" s="6">
        <v>279.02999999999997</v>
      </c>
      <c r="C84" s="7">
        <v>8476042</v>
      </c>
      <c r="D84" s="6">
        <v>-2.05005792115703</v>
      </c>
      <c r="E84" s="6">
        <v>278.5</v>
      </c>
      <c r="F84" s="6">
        <v>277.36</v>
      </c>
      <c r="G84" s="6">
        <v>284.77</v>
      </c>
      <c r="H84" s="6">
        <v>278.98591299999998</v>
      </c>
      <c r="I84" s="6">
        <v>280.57080000000002</v>
      </c>
      <c r="J84" s="6">
        <v>-2.05005846711938</v>
      </c>
      <c r="K84" s="6">
        <v>29.372803983953499</v>
      </c>
    </row>
    <row r="85" spans="1:11" ht="15" customHeight="1" x14ac:dyDescent="0.2">
      <c r="A85" s="5">
        <v>45943</v>
      </c>
      <c r="B85" s="3">
        <v>284.87</v>
      </c>
      <c r="C85" s="4">
        <v>8703376</v>
      </c>
      <c r="D85" s="3">
        <v>4.7354682157432197</v>
      </c>
      <c r="E85" s="3">
        <v>282.77999999999997</v>
      </c>
      <c r="F85" s="3">
        <v>280.33999999999997</v>
      </c>
      <c r="G85" s="3">
        <v>285.95</v>
      </c>
      <c r="H85" s="3">
        <v>285.16722800000002</v>
      </c>
      <c r="I85" s="3">
        <v>286.44305000000003</v>
      </c>
      <c r="J85" s="3">
        <v>4.7354784547549897</v>
      </c>
      <c r="K85" s="3">
        <v>32.080532116014197</v>
      </c>
    </row>
    <row r="86" spans="1:11" ht="15" customHeight="1" x14ac:dyDescent="0.2">
      <c r="A86" s="8">
        <v>45940</v>
      </c>
      <c r="B86" s="6">
        <v>271.99</v>
      </c>
      <c r="C86" s="7">
        <v>26691230</v>
      </c>
      <c r="D86" s="6">
        <v>-6.2717529894207198</v>
      </c>
      <c r="E86" s="6">
        <v>290.82</v>
      </c>
      <c r="F86" s="6">
        <v>271.45999999999998</v>
      </c>
      <c r="G86" s="6">
        <v>291.63</v>
      </c>
      <c r="H86" s="6">
        <v>271.707965</v>
      </c>
      <c r="I86" s="6">
        <v>273.49189999999999</v>
      </c>
      <c r="J86" s="6">
        <v>-6.27176954030167</v>
      </c>
      <c r="K86" s="6">
        <v>26.108682620924899</v>
      </c>
    </row>
    <row r="87" spans="1:11" ht="15" customHeight="1" x14ac:dyDescent="0.2">
      <c r="A87" s="5">
        <v>45939</v>
      </c>
      <c r="B87" s="3">
        <v>290.19</v>
      </c>
      <c r="C87" s="4">
        <v>7603525</v>
      </c>
      <c r="D87" s="3">
        <v>-0.46305824243672</v>
      </c>
      <c r="E87" s="3">
        <v>291.08499999999998</v>
      </c>
      <c r="F87" s="3">
        <v>287.47000000000003</v>
      </c>
      <c r="G87" s="3">
        <v>291.61250000000001</v>
      </c>
      <c r="H87" s="3">
        <v>290.18632000000002</v>
      </c>
      <c r="I87" s="3">
        <v>291.79244999999997</v>
      </c>
      <c r="J87" s="3">
        <v>-0.46305661369832002</v>
      </c>
      <c r="K87" s="3">
        <v>34.547171116336898</v>
      </c>
    </row>
    <row r="88" spans="1:11" ht="15" customHeight="1" x14ac:dyDescent="0.2">
      <c r="A88" s="8">
        <v>45938</v>
      </c>
      <c r="B88" s="6">
        <v>291.54000000000002</v>
      </c>
      <c r="C88" s="7">
        <v>9301739</v>
      </c>
      <c r="D88" s="6">
        <v>3.4159838246248602</v>
      </c>
      <c r="E88" s="6">
        <v>281.995</v>
      </c>
      <c r="F88" s="6">
        <v>281.48</v>
      </c>
      <c r="G88" s="6">
        <v>291.86</v>
      </c>
      <c r="H88" s="6">
        <v>291.599718</v>
      </c>
      <c r="I88" s="6">
        <v>293.1499</v>
      </c>
      <c r="J88" s="6">
        <v>3.41599207243743</v>
      </c>
      <c r="K88" s="6">
        <v>35.173099091621701</v>
      </c>
    </row>
    <row r="89" spans="1:11" ht="15" customHeight="1" x14ac:dyDescent="0.2">
      <c r="A89" s="5">
        <v>45937</v>
      </c>
      <c r="B89" s="3">
        <v>281.91000000000003</v>
      </c>
      <c r="C89" s="4">
        <v>9952035</v>
      </c>
      <c r="D89" s="3">
        <v>-2.2367873491468901</v>
      </c>
      <c r="E89" s="3">
        <v>290.97500000000002</v>
      </c>
      <c r="F89" s="3">
        <v>281.52999999999997</v>
      </c>
      <c r="G89" s="3">
        <v>291.48</v>
      </c>
      <c r="H89" s="3">
        <v>281.87396000000001</v>
      </c>
      <c r="I89" s="3">
        <v>283.4667</v>
      </c>
      <c r="J89" s="3">
        <v>-2.2367918202278299</v>
      </c>
      <c r="K89" s="3">
        <v>30.708120071932399</v>
      </c>
    </row>
    <row r="90" spans="1:11" ht="15" customHeight="1" x14ac:dyDescent="0.2">
      <c r="A90" s="8">
        <v>45936</v>
      </c>
      <c r="B90" s="6">
        <v>288.36</v>
      </c>
      <c r="C90" s="7">
        <v>11274980</v>
      </c>
      <c r="D90" s="6">
        <v>3.0004286326618099</v>
      </c>
      <c r="E90" s="6">
        <v>290.99</v>
      </c>
      <c r="F90" s="6">
        <v>288.35000000000002</v>
      </c>
      <c r="G90" s="6">
        <v>292.51</v>
      </c>
      <c r="H90" s="6">
        <v>288.45126599999998</v>
      </c>
      <c r="I90" s="6">
        <v>289.95233000000002</v>
      </c>
      <c r="J90" s="6">
        <v>3.0004268115824999</v>
      </c>
      <c r="K90" s="6">
        <v>33.698681237607701</v>
      </c>
    </row>
    <row r="91" spans="1:11" ht="15" customHeight="1" x14ac:dyDescent="0.2">
      <c r="A91" s="5">
        <v>45933</v>
      </c>
      <c r="B91" s="3">
        <v>279.95999999999998</v>
      </c>
      <c r="C91" s="4">
        <v>8629281</v>
      </c>
      <c r="D91" s="3">
        <v>-0.61415030707515605</v>
      </c>
      <c r="E91" s="3">
        <v>282.95</v>
      </c>
      <c r="F91" s="3">
        <v>278.48</v>
      </c>
      <c r="G91" s="3">
        <v>284.33999999999997</v>
      </c>
      <c r="H91" s="3">
        <v>279.88025699999997</v>
      </c>
      <c r="I91" s="3">
        <v>281.50594999999998</v>
      </c>
      <c r="J91" s="3">
        <v>-0.61414920978444199</v>
      </c>
      <c r="K91" s="3">
        <v>29.804007008807101</v>
      </c>
    </row>
    <row r="92" spans="1:11" ht="15" customHeight="1" x14ac:dyDescent="0.2">
      <c r="A92" s="8">
        <v>45932</v>
      </c>
      <c r="B92" s="6">
        <v>281.69</v>
      </c>
      <c r="C92" s="7">
        <v>7250026</v>
      </c>
      <c r="D92" s="6">
        <v>1.93602084388797</v>
      </c>
      <c r="E92" s="6">
        <v>281.5</v>
      </c>
      <c r="F92" s="6">
        <v>279.61</v>
      </c>
      <c r="G92" s="6">
        <v>282.54000000000002</v>
      </c>
      <c r="H92" s="6">
        <v>281.836051</v>
      </c>
      <c r="I92" s="6">
        <v>283.24549999999999</v>
      </c>
      <c r="J92" s="6">
        <v>1.93601613036673</v>
      </c>
      <c r="K92" s="6">
        <v>30.606123484114899</v>
      </c>
    </row>
    <row r="93" spans="1:11" ht="15" customHeight="1" x14ac:dyDescent="0.2">
      <c r="A93" s="5">
        <v>45931</v>
      </c>
      <c r="B93" s="3">
        <v>276.33999999999997</v>
      </c>
      <c r="C93" s="4">
        <v>9339556</v>
      </c>
      <c r="D93" s="3">
        <v>1.9253467099439301</v>
      </c>
      <c r="E93" s="3">
        <v>269.38</v>
      </c>
      <c r="F93" s="3">
        <v>268.88</v>
      </c>
      <c r="G93" s="3">
        <v>276.69499999999999</v>
      </c>
      <c r="H93" s="3">
        <v>276.378488</v>
      </c>
      <c r="I93" s="3">
        <v>277.86597</v>
      </c>
      <c r="J93" s="3">
        <v>1.9253522330016499</v>
      </c>
      <c r="K93" s="3">
        <v>28.1255913681007</v>
      </c>
    </row>
    <row r="94" spans="1:11" ht="15" customHeight="1" x14ac:dyDescent="0.2">
      <c r="A94" s="8">
        <v>45930</v>
      </c>
      <c r="B94" s="6">
        <v>271.12</v>
      </c>
      <c r="C94" s="7">
        <v>7091836</v>
      </c>
      <c r="D94" s="6">
        <v>0.81433830364778803</v>
      </c>
      <c r="E94" s="6">
        <v>268.85000000000002</v>
      </c>
      <c r="F94" s="6">
        <v>267.76</v>
      </c>
      <c r="G94" s="6">
        <v>271.44499999999999</v>
      </c>
      <c r="H94" s="6">
        <v>271.23055699999998</v>
      </c>
      <c r="I94" s="6">
        <v>272.61712999999997</v>
      </c>
      <c r="J94" s="6">
        <v>0.81433710196001596</v>
      </c>
      <c r="K94" s="6">
        <v>25.705321160141999</v>
      </c>
    </row>
    <row r="95" spans="1:11" ht="15" customHeight="1" x14ac:dyDescent="0.2">
      <c r="A95" s="5">
        <v>45929</v>
      </c>
      <c r="B95" s="3">
        <v>268.93</v>
      </c>
      <c r="C95" s="4">
        <v>5954879</v>
      </c>
      <c r="D95" s="3">
        <v>3.7198229364299097E-2</v>
      </c>
      <c r="E95" s="3">
        <v>271.72000000000003</v>
      </c>
      <c r="F95" s="3">
        <v>268.86500000000001</v>
      </c>
      <c r="G95" s="3">
        <v>272.8</v>
      </c>
      <c r="H95" s="3">
        <v>268.93001099999998</v>
      </c>
      <c r="I95" s="3">
        <v>270.41503999999998</v>
      </c>
      <c r="J95" s="3">
        <v>3.7201114790441601E-2</v>
      </c>
      <c r="K95" s="3">
        <v>24.689924839765698</v>
      </c>
    </row>
    <row r="96" spans="1:11" ht="15" customHeight="1" x14ac:dyDescent="0.2">
      <c r="A96" s="8">
        <v>45926</v>
      </c>
      <c r="B96" s="6">
        <v>268.83</v>
      </c>
      <c r="C96" s="7">
        <v>7244460</v>
      </c>
      <c r="D96" s="6">
        <v>0.219952281538904</v>
      </c>
      <c r="E96" s="6">
        <v>268.52999999999997</v>
      </c>
      <c r="F96" s="6">
        <v>265.74</v>
      </c>
      <c r="G96" s="6">
        <v>269.42</v>
      </c>
      <c r="H96" s="6">
        <v>268.927706</v>
      </c>
      <c r="I96" s="6">
        <v>270.31448</v>
      </c>
      <c r="J96" s="6">
        <v>0.21995303150414899</v>
      </c>
      <c r="K96" s="6">
        <v>24.643556047401599</v>
      </c>
    </row>
    <row r="97" spans="1:11" ht="15" customHeight="1" x14ac:dyDescent="0.2">
      <c r="A97" s="5">
        <v>45925</v>
      </c>
      <c r="B97" s="3">
        <v>268.24</v>
      </c>
      <c r="C97" s="4">
        <v>11157770</v>
      </c>
      <c r="D97" s="3">
        <v>-0.319583797844669</v>
      </c>
      <c r="E97" s="3">
        <v>264.58</v>
      </c>
      <c r="F97" s="3">
        <v>261.8</v>
      </c>
      <c r="G97" s="3">
        <v>268.94</v>
      </c>
      <c r="H97" s="3">
        <v>268.28849400000001</v>
      </c>
      <c r="I97" s="3">
        <v>269.72122000000002</v>
      </c>
      <c r="J97" s="3">
        <v>-0.31959524883031698</v>
      </c>
      <c r="K97" s="3">
        <v>24.3700004611057</v>
      </c>
    </row>
    <row r="98" spans="1:11" ht="15" customHeight="1" x14ac:dyDescent="0.2">
      <c r="A98" s="8">
        <v>45924</v>
      </c>
      <c r="B98" s="6">
        <v>269.10000000000002</v>
      </c>
      <c r="C98" s="7">
        <v>7825458</v>
      </c>
      <c r="D98" s="6">
        <v>-0.152127935883628</v>
      </c>
      <c r="E98" s="6">
        <v>268.74</v>
      </c>
      <c r="F98" s="6">
        <v>265.61</v>
      </c>
      <c r="G98" s="6">
        <v>269.755</v>
      </c>
      <c r="H98" s="6">
        <v>269.135942</v>
      </c>
      <c r="I98" s="6">
        <v>270.58600000000001</v>
      </c>
      <c r="J98" s="6">
        <v>-0.15212643800739301</v>
      </c>
      <c r="K98" s="6">
        <v>24.768755475630499</v>
      </c>
    </row>
    <row r="99" spans="1:11" ht="15" customHeight="1" x14ac:dyDescent="0.2">
      <c r="A99" s="5">
        <v>45923</v>
      </c>
      <c r="B99" s="3">
        <v>269.51</v>
      </c>
      <c r="C99" s="4">
        <v>6068279</v>
      </c>
      <c r="D99" s="3">
        <v>-0.11859318830373899</v>
      </c>
      <c r="E99" s="3">
        <v>270.79000000000002</v>
      </c>
      <c r="F99" s="3">
        <v>267.91000000000003</v>
      </c>
      <c r="G99" s="3">
        <v>272.13</v>
      </c>
      <c r="H99" s="3">
        <v>269.44238000000001</v>
      </c>
      <c r="I99" s="3">
        <v>270.99826000000002</v>
      </c>
      <c r="J99" s="3">
        <v>-0.11858322276277999</v>
      </c>
      <c r="K99" s="3">
        <v>24.958850924516899</v>
      </c>
    </row>
    <row r="100" spans="1:11" ht="15" customHeight="1" x14ac:dyDescent="0.2">
      <c r="A100" s="8">
        <v>45922</v>
      </c>
      <c r="B100" s="6">
        <v>269.83</v>
      </c>
      <c r="C100" s="7">
        <v>5721424</v>
      </c>
      <c r="D100" s="6">
        <v>1.49326713307755</v>
      </c>
      <c r="E100" s="6">
        <v>266.64999999999998</v>
      </c>
      <c r="F100" s="6">
        <v>266.58</v>
      </c>
      <c r="G100" s="6">
        <v>270.66000000000003</v>
      </c>
      <c r="H100" s="6">
        <v>269.942341</v>
      </c>
      <c r="I100" s="6">
        <v>271.32</v>
      </c>
      <c r="J100" s="6">
        <v>1.49327384487809</v>
      </c>
      <c r="K100" s="6">
        <v>25.107207082584001</v>
      </c>
    </row>
    <row r="101" spans="1:11" ht="15" customHeight="1" x14ac:dyDescent="0.2">
      <c r="A101" s="5">
        <v>45919</v>
      </c>
      <c r="B101" s="3">
        <v>265.86</v>
      </c>
      <c r="C101" s="4">
        <v>5839134</v>
      </c>
      <c r="D101" s="3">
        <v>-0.63908509922636603</v>
      </c>
      <c r="E101" s="3">
        <v>267.29500000000002</v>
      </c>
      <c r="F101" s="3">
        <v>263.60000000000002</v>
      </c>
      <c r="G101" s="3">
        <v>267.39999999999998</v>
      </c>
      <c r="H101" s="3">
        <v>265.87246800000003</v>
      </c>
      <c r="I101" s="3">
        <v>267.32805999999999</v>
      </c>
      <c r="J101" s="3">
        <v>-0.639102641893596</v>
      </c>
      <c r="K101" s="3">
        <v>23.2665006686033</v>
      </c>
    </row>
    <row r="102" spans="1:11" ht="15" customHeight="1" x14ac:dyDescent="0.2">
      <c r="A102" s="8">
        <v>45918</v>
      </c>
      <c r="B102" s="6">
        <v>267.57</v>
      </c>
      <c r="C102" s="7">
        <v>12601560</v>
      </c>
      <c r="D102" s="6">
        <v>3.4966928402893198</v>
      </c>
      <c r="E102" s="6">
        <v>265.06</v>
      </c>
      <c r="F102" s="6">
        <v>264.14</v>
      </c>
      <c r="G102" s="6">
        <v>268.98</v>
      </c>
      <c r="H102" s="6">
        <v>267.68828400000001</v>
      </c>
      <c r="I102" s="6">
        <v>269.04755</v>
      </c>
      <c r="J102" s="6">
        <v>3.4967048472520101</v>
      </c>
      <c r="K102" s="6">
        <v>24.0593673629363</v>
      </c>
    </row>
    <row r="103" spans="1:11" ht="15" customHeight="1" x14ac:dyDescent="0.2">
      <c r="A103" s="5">
        <v>45917</v>
      </c>
      <c r="B103" s="3">
        <v>258.52999999999997</v>
      </c>
      <c r="C103" s="4">
        <v>6566882</v>
      </c>
      <c r="D103" s="3">
        <v>-1.9336375589762402E-2</v>
      </c>
      <c r="E103" s="3">
        <v>257.94</v>
      </c>
      <c r="F103" s="3">
        <v>254.83</v>
      </c>
      <c r="G103" s="3">
        <v>260.74</v>
      </c>
      <c r="H103" s="3">
        <v>258.47742799999997</v>
      </c>
      <c r="I103" s="3">
        <v>259.95760000000001</v>
      </c>
      <c r="J103" s="3">
        <v>-1.9334030158402099E-2</v>
      </c>
      <c r="K103" s="3">
        <v>19.8679393184857</v>
      </c>
    </row>
    <row r="104" spans="1:11" ht="15" customHeight="1" x14ac:dyDescent="0.2">
      <c r="A104" s="8">
        <v>45916</v>
      </c>
      <c r="B104" s="6">
        <v>258.58</v>
      </c>
      <c r="C104" s="7">
        <v>7543308</v>
      </c>
      <c r="D104" s="6">
        <v>0.302560124127215</v>
      </c>
      <c r="E104" s="6">
        <v>258.29000000000002</v>
      </c>
      <c r="F104" s="6">
        <v>256.58</v>
      </c>
      <c r="G104" s="6">
        <v>259.05</v>
      </c>
      <c r="H104" s="6">
        <v>258.62464999999997</v>
      </c>
      <c r="I104" s="6">
        <v>260.00787000000003</v>
      </c>
      <c r="J104" s="6">
        <v>0.51230732083973296</v>
      </c>
      <c r="K104" s="6">
        <v>19.8911191036104</v>
      </c>
    </row>
    <row r="105" spans="1:11" ht="15" customHeight="1" x14ac:dyDescent="0.2">
      <c r="A105" s="5">
        <v>45915</v>
      </c>
      <c r="B105" s="3">
        <v>257.8</v>
      </c>
      <c r="C105" s="4">
        <v>7239217</v>
      </c>
      <c r="D105" s="3">
        <v>0.84493819433579798</v>
      </c>
      <c r="E105" s="3">
        <v>255.2</v>
      </c>
      <c r="F105" s="3">
        <v>254.53</v>
      </c>
      <c r="G105" s="3">
        <v>257.83999999999997</v>
      </c>
      <c r="H105" s="3">
        <v>257.78200099999998</v>
      </c>
      <c r="I105" s="3">
        <v>258.68261999999999</v>
      </c>
      <c r="J105" s="3">
        <v>0.84493618566039397</v>
      </c>
      <c r="K105" s="3">
        <v>19.280038732881401</v>
      </c>
    </row>
    <row r="106" spans="1:11" ht="15" customHeight="1" x14ac:dyDescent="0.2">
      <c r="A106" s="8">
        <v>45912</v>
      </c>
      <c r="B106" s="6">
        <v>255.64</v>
      </c>
      <c r="C106" s="7">
        <v>7144393</v>
      </c>
      <c r="D106" s="6">
        <v>0.17633919824444599</v>
      </c>
      <c r="E106" s="6">
        <v>255.81</v>
      </c>
      <c r="F106" s="6">
        <v>254.16</v>
      </c>
      <c r="G106" s="6">
        <v>256.39999999999998</v>
      </c>
      <c r="H106" s="6">
        <v>255.588269</v>
      </c>
      <c r="I106" s="6">
        <v>256.51522999999997</v>
      </c>
      <c r="J106" s="6">
        <v>0.17633502913532101</v>
      </c>
      <c r="K106" s="6">
        <v>18.280642781389702</v>
      </c>
    </row>
    <row r="107" spans="1:11" ht="15" customHeight="1" x14ac:dyDescent="0.2">
      <c r="A107" s="5">
        <v>45911</v>
      </c>
      <c r="B107" s="3">
        <v>255.19</v>
      </c>
      <c r="C107" s="4">
        <v>10286200</v>
      </c>
      <c r="D107" s="3">
        <v>0.68652594200040395</v>
      </c>
      <c r="E107" s="3">
        <v>254.81</v>
      </c>
      <c r="F107" s="3">
        <v>254.62</v>
      </c>
      <c r="G107" s="3">
        <v>256.51</v>
      </c>
      <c r="H107" s="3">
        <v>255.23075900000001</v>
      </c>
      <c r="I107" s="3">
        <v>256.06369999999998</v>
      </c>
      <c r="J107" s="3">
        <v>0.68653097839461696</v>
      </c>
      <c r="K107" s="3">
        <v>18.072439710425499</v>
      </c>
    </row>
    <row r="108" spans="1:11" ht="15" customHeight="1" x14ac:dyDescent="0.2">
      <c r="A108" s="8">
        <v>45910</v>
      </c>
      <c r="B108" s="6">
        <v>253.45</v>
      </c>
      <c r="C108" s="7">
        <v>13398410</v>
      </c>
      <c r="D108" s="6">
        <v>1.7626274793222501</v>
      </c>
      <c r="E108" s="6">
        <v>253.03</v>
      </c>
      <c r="F108" s="6">
        <v>251.86</v>
      </c>
      <c r="G108" s="6">
        <v>254.21</v>
      </c>
      <c r="H108" s="6">
        <v>253.51880399999999</v>
      </c>
      <c r="I108" s="6">
        <v>254.31773000000001</v>
      </c>
      <c r="J108" s="6">
        <v>1.76262750952633</v>
      </c>
      <c r="K108" s="6">
        <v>17.267362936321302</v>
      </c>
    </row>
    <row r="109" spans="1:11" ht="15" customHeight="1" x14ac:dyDescent="0.2">
      <c r="A109" s="5">
        <v>45909</v>
      </c>
      <c r="B109" s="3">
        <v>249.06</v>
      </c>
      <c r="C109" s="4">
        <v>9305217</v>
      </c>
      <c r="D109" s="3">
        <v>8.4388185654016207E-2</v>
      </c>
      <c r="E109" s="3">
        <v>249.10499999999999</v>
      </c>
      <c r="F109" s="3">
        <v>247.23</v>
      </c>
      <c r="G109" s="3">
        <v>249.67500000000001</v>
      </c>
      <c r="H109" s="3">
        <v>249.09527700000001</v>
      </c>
      <c r="I109" s="3">
        <v>249.9127</v>
      </c>
      <c r="J109" s="3">
        <v>8.4380581653342696E-2</v>
      </c>
      <c r="K109" s="3">
        <v>15.2361783556969</v>
      </c>
    </row>
    <row r="110" spans="1:11" ht="15" customHeight="1" x14ac:dyDescent="0.2">
      <c r="A110" s="8">
        <v>45908</v>
      </c>
      <c r="B110" s="6">
        <v>248.85</v>
      </c>
      <c r="C110" s="7">
        <v>10290460</v>
      </c>
      <c r="D110" s="6">
        <v>0.72859744990891795</v>
      </c>
      <c r="E110" s="6">
        <v>248.405</v>
      </c>
      <c r="F110" s="6">
        <v>247.56</v>
      </c>
      <c r="G110" s="6">
        <v>249.92</v>
      </c>
      <c r="H110" s="6">
        <v>248.85270499999999</v>
      </c>
      <c r="I110" s="6">
        <v>249.702</v>
      </c>
      <c r="J110" s="6">
        <v>0.728600396384249</v>
      </c>
      <c r="K110" s="6">
        <v>15.1390233780605</v>
      </c>
    </row>
    <row r="111" spans="1:11" ht="15" customHeight="1" x14ac:dyDescent="0.2">
      <c r="A111" s="5">
        <v>45905</v>
      </c>
      <c r="B111" s="3">
        <v>247.05</v>
      </c>
      <c r="C111" s="4">
        <v>17105530</v>
      </c>
      <c r="D111" s="3">
        <v>1.1795060818282399</v>
      </c>
      <c r="E111" s="3">
        <v>247.85</v>
      </c>
      <c r="F111" s="3">
        <v>244.13</v>
      </c>
      <c r="G111" s="3">
        <v>248.5</v>
      </c>
      <c r="H111" s="3">
        <v>247.073747</v>
      </c>
      <c r="I111" s="3">
        <v>247.89582999999999</v>
      </c>
      <c r="J111" s="3">
        <v>1.1795059524467799</v>
      </c>
      <c r="K111" s="3">
        <v>14.3061880389173</v>
      </c>
    </row>
    <row r="112" spans="1:11" ht="15" customHeight="1" x14ac:dyDescent="0.2">
      <c r="A112" s="8">
        <v>45904</v>
      </c>
      <c r="B112" s="6">
        <v>244.17</v>
      </c>
      <c r="C112" s="7">
        <v>11842210</v>
      </c>
      <c r="D112" s="6">
        <v>1.03028798411122</v>
      </c>
      <c r="E112" s="6">
        <v>240.06</v>
      </c>
      <c r="F112" s="6">
        <v>238.75</v>
      </c>
      <c r="G112" s="6">
        <v>244.52</v>
      </c>
      <c r="H112" s="6">
        <v>244.298618</v>
      </c>
      <c r="I112" s="6">
        <v>245.00596999999999</v>
      </c>
      <c r="J112" s="6">
        <v>1.03029420583113</v>
      </c>
      <c r="K112" s="6">
        <v>12.973657029556801</v>
      </c>
    </row>
    <row r="113" spans="1:11" ht="15" customHeight="1" x14ac:dyDescent="0.2">
      <c r="A113" s="5">
        <v>45903</v>
      </c>
      <c r="B113" s="3">
        <v>241.68</v>
      </c>
      <c r="C113" s="4">
        <v>5473321</v>
      </c>
      <c r="D113" s="3">
        <v>-0.47358234155582202</v>
      </c>
      <c r="E113" s="3">
        <v>243.23</v>
      </c>
      <c r="F113" s="3">
        <v>239.23</v>
      </c>
      <c r="G113" s="3">
        <v>243.42</v>
      </c>
      <c r="H113" s="3">
        <v>241.67178000000001</v>
      </c>
      <c r="I113" s="3">
        <v>242.50743</v>
      </c>
      <c r="J113" s="3">
        <v>-0.473587566482636</v>
      </c>
      <c r="K113" s="3">
        <v>11.8215659150643</v>
      </c>
    </row>
    <row r="114" spans="1:11" ht="15" customHeight="1" x14ac:dyDescent="0.2">
      <c r="A114" s="8">
        <v>45902</v>
      </c>
      <c r="B114" s="6">
        <v>242.83</v>
      </c>
      <c r="C114" s="7">
        <v>6659245</v>
      </c>
      <c r="D114" s="6">
        <v>-1.0150008152616901</v>
      </c>
      <c r="E114" s="6">
        <v>238.67</v>
      </c>
      <c r="F114" s="6">
        <v>238.15</v>
      </c>
      <c r="G114" s="6">
        <v>242.93</v>
      </c>
      <c r="H114" s="6">
        <v>242.75312</v>
      </c>
      <c r="I114" s="6">
        <v>243.66138000000001</v>
      </c>
      <c r="J114" s="6">
        <v>-1.0150028085401801</v>
      </c>
      <c r="K114" s="6">
        <v>12.3536588739798</v>
      </c>
    </row>
    <row r="115" spans="1:11" ht="15" customHeight="1" x14ac:dyDescent="0.2">
      <c r="A115" s="5">
        <v>45898</v>
      </c>
      <c r="B115" s="3">
        <v>245.32</v>
      </c>
      <c r="C115" s="4">
        <v>8672580</v>
      </c>
      <c r="D115" s="3">
        <v>-2.86279944565432</v>
      </c>
      <c r="E115" s="3">
        <v>248.94</v>
      </c>
      <c r="F115" s="3">
        <v>244.17</v>
      </c>
      <c r="G115" s="3">
        <v>248.94</v>
      </c>
      <c r="H115" s="3">
        <v>245.18408299999999</v>
      </c>
      <c r="I115" s="3">
        <v>246.15991</v>
      </c>
      <c r="J115" s="3">
        <v>-2.8627980717453299</v>
      </c>
      <c r="K115" s="3">
        <v>13.505745377415</v>
      </c>
    </row>
    <row r="116" spans="1:11" ht="15" customHeight="1" x14ac:dyDescent="0.2">
      <c r="A116" s="8">
        <v>45897</v>
      </c>
      <c r="B116" s="6">
        <v>252.55</v>
      </c>
      <c r="C116" s="7">
        <v>5060161</v>
      </c>
      <c r="D116" s="6">
        <v>0.48141959099228199</v>
      </c>
      <c r="E116" s="6">
        <v>252.315</v>
      </c>
      <c r="F116" s="6">
        <v>250.9</v>
      </c>
      <c r="G116" s="6">
        <v>254.32</v>
      </c>
      <c r="H116" s="6">
        <v>252.552594</v>
      </c>
      <c r="I116" s="6">
        <v>253.41466</v>
      </c>
      <c r="J116" s="6">
        <v>0.48141851571121802</v>
      </c>
      <c r="K116" s="6">
        <v>16.8509521833356</v>
      </c>
    </row>
    <row r="117" spans="1:11" ht="15" customHeight="1" x14ac:dyDescent="0.2">
      <c r="A117" s="5">
        <v>45896</v>
      </c>
      <c r="B117" s="3">
        <v>251.34</v>
      </c>
      <c r="C117" s="4">
        <v>4195432</v>
      </c>
      <c r="D117" s="3">
        <v>0.195335858082512</v>
      </c>
      <c r="E117" s="3">
        <v>249.88</v>
      </c>
      <c r="F117" s="3">
        <v>248.82</v>
      </c>
      <c r="G117" s="3">
        <v>251.65989999999999</v>
      </c>
      <c r="H117" s="3">
        <v>251.41248899999999</v>
      </c>
      <c r="I117" s="3">
        <v>252.20052000000001</v>
      </c>
      <c r="J117" s="3">
        <v>0.19533282202830399</v>
      </c>
      <c r="K117" s="3">
        <v>16.2911052704385</v>
      </c>
    </row>
    <row r="118" spans="1:11" ht="15" customHeight="1" x14ac:dyDescent="0.2">
      <c r="A118" s="8">
        <v>45895</v>
      </c>
      <c r="B118" s="6">
        <v>250.85</v>
      </c>
      <c r="C118" s="7">
        <v>3762018</v>
      </c>
      <c r="D118" s="6">
        <v>0.94161200756508401</v>
      </c>
      <c r="E118" s="6">
        <v>249.57</v>
      </c>
      <c r="F118" s="6">
        <v>249.51</v>
      </c>
      <c r="G118" s="6">
        <v>251.61</v>
      </c>
      <c r="H118" s="6">
        <v>250.83902399999999</v>
      </c>
      <c r="I118" s="6">
        <v>251.70885000000001</v>
      </c>
      <c r="J118" s="6">
        <v>0.94161945729886998</v>
      </c>
      <c r="K118" s="6">
        <v>16.064393415410098</v>
      </c>
    </row>
    <row r="119" spans="1:11" ht="15" customHeight="1" x14ac:dyDescent="0.2">
      <c r="A119" s="5">
        <v>45894</v>
      </c>
      <c r="B119" s="3">
        <v>248.51</v>
      </c>
      <c r="C119" s="4">
        <v>3654369</v>
      </c>
      <c r="D119" s="3">
        <v>-0.232847565137106</v>
      </c>
      <c r="E119" s="3">
        <v>248.85</v>
      </c>
      <c r="F119" s="3">
        <v>247.27</v>
      </c>
      <c r="G119" s="3">
        <v>249.63</v>
      </c>
      <c r="H119" s="3">
        <v>248.58289500000001</v>
      </c>
      <c r="I119" s="3">
        <v>249.36081999999999</v>
      </c>
      <c r="J119" s="3">
        <v>-0.23284926659823399</v>
      </c>
      <c r="K119" s="3">
        <v>14.981703324572299</v>
      </c>
    </row>
    <row r="120" spans="1:11" ht="15" customHeight="1" x14ac:dyDescent="0.2">
      <c r="A120" s="8">
        <v>45891</v>
      </c>
      <c r="B120" s="6">
        <v>249.09</v>
      </c>
      <c r="C120" s="7">
        <v>6527739</v>
      </c>
      <c r="D120" s="6">
        <v>2.77686086813004</v>
      </c>
      <c r="E120" s="6">
        <v>243.12</v>
      </c>
      <c r="F120" s="6">
        <v>242.44</v>
      </c>
      <c r="G120" s="6">
        <v>251.99</v>
      </c>
      <c r="H120" s="6">
        <v>249.23048199999999</v>
      </c>
      <c r="I120" s="6">
        <v>249.94281000000001</v>
      </c>
      <c r="J120" s="6">
        <v>2.77686022730314</v>
      </c>
      <c r="K120" s="6">
        <v>15.2500622492737</v>
      </c>
    </row>
    <row r="121" spans="1:11" ht="15" customHeight="1" x14ac:dyDescent="0.2">
      <c r="A121" s="5">
        <v>45890</v>
      </c>
      <c r="B121" s="3">
        <v>242.36</v>
      </c>
      <c r="C121" s="4">
        <v>4581134</v>
      </c>
      <c r="D121" s="3">
        <v>-0.56617707393123995</v>
      </c>
      <c r="E121" s="3">
        <v>242.47</v>
      </c>
      <c r="F121" s="3">
        <v>241</v>
      </c>
      <c r="G121" s="3">
        <v>244.12</v>
      </c>
      <c r="H121" s="3">
        <v>242.35367400000001</v>
      </c>
      <c r="I121" s="3">
        <v>243.18977000000001</v>
      </c>
      <c r="J121" s="3">
        <v>-0.56617922146421296</v>
      </c>
      <c r="K121" s="3">
        <v>12.1361967999262</v>
      </c>
    </row>
    <row r="122" spans="1:11" ht="15" customHeight="1" x14ac:dyDescent="0.2">
      <c r="A122" s="8">
        <v>45889</v>
      </c>
      <c r="B122" s="6">
        <v>243.74</v>
      </c>
      <c r="C122" s="7">
        <v>9423054</v>
      </c>
      <c r="D122" s="6">
        <v>-0.57515806648989998</v>
      </c>
      <c r="E122" s="6">
        <v>244.63499999999999</v>
      </c>
      <c r="F122" s="6">
        <v>237.1</v>
      </c>
      <c r="G122" s="6">
        <v>244.63499999999999</v>
      </c>
      <c r="H122" s="6">
        <v>243.66927799999999</v>
      </c>
      <c r="I122" s="6">
        <v>244.5745</v>
      </c>
      <c r="J122" s="6">
        <v>-0.57515505144694001</v>
      </c>
      <c r="K122" s="6">
        <v>12.7747037395674</v>
      </c>
    </row>
    <row r="123" spans="1:11" ht="15" customHeight="1" x14ac:dyDescent="0.2">
      <c r="A123" s="5">
        <v>45888</v>
      </c>
      <c r="B123" s="3">
        <v>245.15</v>
      </c>
      <c r="C123" s="4">
        <v>3508013</v>
      </c>
      <c r="D123" s="3">
        <v>-1.5659506123268401</v>
      </c>
      <c r="E123" s="3">
        <v>249.07</v>
      </c>
      <c r="F123" s="3">
        <v>244.72</v>
      </c>
      <c r="G123" s="3">
        <v>250.04</v>
      </c>
      <c r="H123" s="3">
        <v>245.04628099999999</v>
      </c>
      <c r="I123" s="3">
        <v>245.98931999999999</v>
      </c>
      <c r="J123" s="3">
        <v>-1.5659535944152301</v>
      </c>
      <c r="K123" s="3">
        <v>13.4270853506709</v>
      </c>
    </row>
    <row r="124" spans="1:11" ht="15" customHeight="1" x14ac:dyDescent="0.2">
      <c r="A124" s="8">
        <v>45887</v>
      </c>
      <c r="B124" s="6">
        <v>249.05</v>
      </c>
      <c r="C124" s="7">
        <v>4978214</v>
      </c>
      <c r="D124" s="6">
        <v>0.29397551546392803</v>
      </c>
      <c r="E124" s="6">
        <v>247.54</v>
      </c>
      <c r="F124" s="6">
        <v>247.48</v>
      </c>
      <c r="G124" s="6">
        <v>249.34</v>
      </c>
      <c r="H124" s="6">
        <v>249.064235</v>
      </c>
      <c r="I124" s="6">
        <v>249.90268</v>
      </c>
      <c r="J124" s="6">
        <v>0.29397578795344798</v>
      </c>
      <c r="K124" s="6">
        <v>15.231558076266801</v>
      </c>
    </row>
    <row r="125" spans="1:11" ht="15" customHeight="1" x14ac:dyDescent="0.2">
      <c r="A125" s="5">
        <v>45884</v>
      </c>
      <c r="B125" s="3">
        <v>248.32</v>
      </c>
      <c r="C125" s="4">
        <v>6840108</v>
      </c>
      <c r="D125" s="3">
        <v>-2.29007633587785</v>
      </c>
      <c r="E125" s="3">
        <v>252.19</v>
      </c>
      <c r="F125" s="3">
        <v>247.62</v>
      </c>
      <c r="G125" s="3">
        <v>252.27</v>
      </c>
      <c r="H125" s="3">
        <v>248.28185099999999</v>
      </c>
      <c r="I125" s="3">
        <v>249.17017999999999</v>
      </c>
      <c r="J125" s="3">
        <v>-2.2900740009905398</v>
      </c>
      <c r="K125" s="3">
        <v>14.893798127910699</v>
      </c>
    </row>
    <row r="126" spans="1:11" ht="15" customHeight="1" x14ac:dyDescent="0.2">
      <c r="A126" s="8">
        <v>45883</v>
      </c>
      <c r="B126" s="6">
        <v>254.14</v>
      </c>
      <c r="C126" s="7">
        <v>5315659</v>
      </c>
      <c r="D126" s="6">
        <v>0.102410587679213</v>
      </c>
      <c r="E126" s="6">
        <v>250.36</v>
      </c>
      <c r="F126" s="6">
        <v>250.05</v>
      </c>
      <c r="G126" s="6">
        <v>255.06</v>
      </c>
      <c r="H126" s="6">
        <v>254.17176799999999</v>
      </c>
      <c r="I126" s="6">
        <v>255.01009999999999</v>
      </c>
      <c r="J126" s="6">
        <v>0.102406594218429</v>
      </c>
      <c r="K126" s="6">
        <v>17.5866187116705</v>
      </c>
    </row>
    <row r="127" spans="1:11" ht="15" customHeight="1" x14ac:dyDescent="0.2">
      <c r="A127" s="5">
        <v>45882</v>
      </c>
      <c r="B127" s="3">
        <v>253.88</v>
      </c>
      <c r="C127" s="4">
        <v>6022389</v>
      </c>
      <c r="D127" s="3">
        <v>1.4870482890949801</v>
      </c>
      <c r="E127" s="3">
        <v>252.13300000000001</v>
      </c>
      <c r="F127" s="3">
        <v>251.04</v>
      </c>
      <c r="G127" s="3">
        <v>254.1</v>
      </c>
      <c r="H127" s="3">
        <v>253.94323600000001</v>
      </c>
      <c r="I127" s="3">
        <v>254.74922000000001</v>
      </c>
      <c r="J127" s="3">
        <v>1.48704977458054</v>
      </c>
      <c r="K127" s="3">
        <v>17.466325448425302</v>
      </c>
    </row>
    <row r="128" spans="1:11" ht="15" customHeight="1" x14ac:dyDescent="0.2">
      <c r="A128" s="8">
        <v>45881</v>
      </c>
      <c r="B128" s="6">
        <v>250.16</v>
      </c>
      <c r="C128" s="7">
        <v>10096070</v>
      </c>
      <c r="D128" s="6">
        <v>3.1970628274411199</v>
      </c>
      <c r="E128" s="6">
        <v>244.24</v>
      </c>
      <c r="F128" s="6">
        <v>242.71</v>
      </c>
      <c r="G128" s="6">
        <v>250.38</v>
      </c>
      <c r="H128" s="6">
        <v>250.302254</v>
      </c>
      <c r="I128" s="6">
        <v>251.01648</v>
      </c>
      <c r="J128" s="6">
        <v>3.1970654161483401</v>
      </c>
      <c r="K128" s="6">
        <v>15.745137640060801</v>
      </c>
    </row>
    <row r="129" spans="1:11" ht="15" customHeight="1" x14ac:dyDescent="0.2">
      <c r="A129" s="5">
        <v>45880</v>
      </c>
      <c r="B129" s="3">
        <v>242.41</v>
      </c>
      <c r="C129" s="4">
        <v>4127866</v>
      </c>
      <c r="D129" s="3">
        <v>-0.189401737555072</v>
      </c>
      <c r="E129" s="3">
        <v>243.78</v>
      </c>
      <c r="F129" s="3">
        <v>241.95</v>
      </c>
      <c r="G129" s="3">
        <v>246.51</v>
      </c>
      <c r="H129" s="3">
        <v>242.35943399999999</v>
      </c>
      <c r="I129" s="3">
        <v>243.23993999999999</v>
      </c>
      <c r="J129" s="3">
        <v>-0.189395633592748</v>
      </c>
      <c r="K129" s="3">
        <v>12.1593304744777</v>
      </c>
    </row>
    <row r="130" spans="1:11" ht="15" customHeight="1" x14ac:dyDescent="0.2">
      <c r="A130" s="8">
        <v>45877</v>
      </c>
      <c r="B130" s="6">
        <v>242.87</v>
      </c>
      <c r="C130" s="7">
        <v>5301269</v>
      </c>
      <c r="D130" s="6">
        <v>0.84288324198637998</v>
      </c>
      <c r="E130" s="6">
        <v>241.005</v>
      </c>
      <c r="F130" s="6">
        <v>240.29</v>
      </c>
      <c r="G130" s="6">
        <v>243.18</v>
      </c>
      <c r="H130" s="6">
        <v>242.84527700000001</v>
      </c>
      <c r="I130" s="6">
        <v>243.70150000000001</v>
      </c>
      <c r="J130" s="6">
        <v>0.84287489887326905</v>
      </c>
      <c r="K130" s="6">
        <v>12.3721584359293</v>
      </c>
    </row>
    <row r="131" spans="1:11" ht="15" customHeight="1" x14ac:dyDescent="0.2">
      <c r="A131" s="5">
        <v>45876</v>
      </c>
      <c r="B131" s="3">
        <v>240.84</v>
      </c>
      <c r="C131" s="4">
        <v>6073447</v>
      </c>
      <c r="D131" s="3">
        <v>1.6502764529607801</v>
      </c>
      <c r="E131" s="3">
        <v>242.04</v>
      </c>
      <c r="F131" s="3">
        <v>238.89</v>
      </c>
      <c r="G131" s="3">
        <v>243.37</v>
      </c>
      <c r="H131" s="3">
        <v>240.897075</v>
      </c>
      <c r="I131" s="3">
        <v>241.66457</v>
      </c>
      <c r="J131" s="3">
        <v>1.6502821114239501</v>
      </c>
      <c r="K131" s="3">
        <v>11.4329183381749</v>
      </c>
    </row>
    <row r="132" spans="1:11" ht="15" customHeight="1" x14ac:dyDescent="0.2">
      <c r="A132" s="8">
        <v>45875</v>
      </c>
      <c r="B132" s="6">
        <v>236.93</v>
      </c>
      <c r="C132" s="7">
        <v>4966506</v>
      </c>
      <c r="D132" s="6">
        <v>-0.75398986302517201</v>
      </c>
      <c r="E132" s="6">
        <v>236.56</v>
      </c>
      <c r="F132" s="6">
        <v>233.67</v>
      </c>
      <c r="G132" s="6">
        <v>237.46</v>
      </c>
      <c r="H132" s="6">
        <v>236.94493199999999</v>
      </c>
      <c r="I132" s="6">
        <v>237.74117000000001</v>
      </c>
      <c r="J132" s="6">
        <v>-0.75398878376142697</v>
      </c>
      <c r="K132" s="6">
        <v>9.6238161110342606</v>
      </c>
    </row>
    <row r="133" spans="1:11" ht="15" customHeight="1" x14ac:dyDescent="0.2">
      <c r="A133" s="5">
        <v>45874</v>
      </c>
      <c r="B133" s="3">
        <v>238.73</v>
      </c>
      <c r="C133" s="4">
        <v>5149748</v>
      </c>
      <c r="D133" s="3">
        <v>-0.69467554076539895</v>
      </c>
      <c r="E133" s="3">
        <v>241.76</v>
      </c>
      <c r="F133" s="3">
        <v>235.88</v>
      </c>
      <c r="G133" s="3">
        <v>242.45</v>
      </c>
      <c r="H133" s="3">
        <v>238.65667199999999</v>
      </c>
      <c r="I133" s="3">
        <v>239.54732999999999</v>
      </c>
      <c r="J133" s="3">
        <v>-0.69467656594177596</v>
      </c>
      <c r="K133" s="3">
        <v>10.4566468391202</v>
      </c>
    </row>
    <row r="134" spans="1:11" ht="15" customHeight="1" x14ac:dyDescent="0.2">
      <c r="A134" s="8">
        <v>45873</v>
      </c>
      <c r="B134" s="6">
        <v>240.4</v>
      </c>
      <c r="C134" s="7">
        <v>6189549</v>
      </c>
      <c r="D134" s="6">
        <v>1.3319844882819101</v>
      </c>
      <c r="E134" s="6">
        <v>238.76</v>
      </c>
      <c r="F134" s="6">
        <v>237.77</v>
      </c>
      <c r="G134" s="6">
        <v>240.85499999999999</v>
      </c>
      <c r="H134" s="6">
        <v>240.506745</v>
      </c>
      <c r="I134" s="6">
        <v>241.22305</v>
      </c>
      <c r="J134" s="6">
        <v>1.3319764883549601</v>
      </c>
      <c r="K134" s="6">
        <v>11.2293309355835</v>
      </c>
    </row>
    <row r="135" spans="1:11" ht="15" customHeight="1" x14ac:dyDescent="0.2">
      <c r="A135" s="5">
        <v>45870</v>
      </c>
      <c r="B135" s="3">
        <v>237.24</v>
      </c>
      <c r="C135" s="4">
        <v>8549045</v>
      </c>
      <c r="D135" s="3">
        <v>-1.16235470566179</v>
      </c>
      <c r="E135" s="3">
        <v>235.505</v>
      </c>
      <c r="F135" s="3">
        <v>232.33</v>
      </c>
      <c r="G135" s="3">
        <v>239.61</v>
      </c>
      <c r="H135" s="3">
        <v>237.17960400000001</v>
      </c>
      <c r="I135" s="3">
        <v>238.05224999999999</v>
      </c>
      <c r="J135" s="3">
        <v>-1.1623496757072</v>
      </c>
      <c r="K135" s="3">
        <v>9.7672568820030303</v>
      </c>
    </row>
    <row r="136" spans="1:11" ht="15" customHeight="1" x14ac:dyDescent="0.2">
      <c r="A136" s="8">
        <v>45869</v>
      </c>
      <c r="B136" s="6">
        <v>240.03</v>
      </c>
      <c r="C136" s="7">
        <v>9419309</v>
      </c>
      <c r="D136" s="6">
        <v>-3.1941923774954502</v>
      </c>
      <c r="E136" s="6">
        <v>245.04</v>
      </c>
      <c r="F136" s="6">
        <v>237.66</v>
      </c>
      <c r="G136" s="6">
        <v>245.2946</v>
      </c>
      <c r="H136" s="6">
        <v>239.87082000000001</v>
      </c>
      <c r="I136" s="6">
        <v>240.85178999999999</v>
      </c>
      <c r="J136" s="6">
        <v>-3.1941901672394799</v>
      </c>
      <c r="K136" s="6">
        <v>11.058140821690399</v>
      </c>
    </row>
    <row r="137" spans="1:11" ht="15" customHeight="1" x14ac:dyDescent="0.2">
      <c r="A137" s="5">
        <v>45868</v>
      </c>
      <c r="B137" s="3">
        <v>247.95</v>
      </c>
      <c r="C137" s="4">
        <v>5300502</v>
      </c>
      <c r="D137" s="3">
        <v>0.71489499979691096</v>
      </c>
      <c r="E137" s="3">
        <v>248.36</v>
      </c>
      <c r="F137" s="3">
        <v>245.87</v>
      </c>
      <c r="G137" s="3">
        <v>249.5</v>
      </c>
      <c r="H137" s="3">
        <v>247.94923399999999</v>
      </c>
      <c r="I137" s="3">
        <v>248.7989</v>
      </c>
      <c r="J137" s="3">
        <v>0.71489268958853103</v>
      </c>
      <c r="K137" s="3">
        <v>14.7225987919029</v>
      </c>
    </row>
    <row r="138" spans="1:11" ht="15" customHeight="1" x14ac:dyDescent="0.2">
      <c r="A138" s="8">
        <v>45867</v>
      </c>
      <c r="B138" s="6">
        <v>246.19</v>
      </c>
      <c r="C138" s="7">
        <v>5299739</v>
      </c>
      <c r="D138" s="6">
        <v>0.17904374364190401</v>
      </c>
      <c r="E138" s="6">
        <v>247.29</v>
      </c>
      <c r="F138" s="6">
        <v>244.5</v>
      </c>
      <c r="G138" s="6">
        <v>249.53</v>
      </c>
      <c r="H138" s="6">
        <v>246.180756</v>
      </c>
      <c r="I138" s="6">
        <v>247.03288000000001</v>
      </c>
      <c r="J138" s="6">
        <v>0.179045195296168</v>
      </c>
      <c r="K138" s="6">
        <v>13.908276847881201</v>
      </c>
    </row>
    <row r="139" spans="1:11" ht="15" customHeight="1" x14ac:dyDescent="0.2">
      <c r="A139" s="5">
        <v>45866</v>
      </c>
      <c r="B139" s="3">
        <v>245.75</v>
      </c>
      <c r="C139" s="4">
        <v>6432959</v>
      </c>
      <c r="D139" s="3">
        <v>1.74298252877369</v>
      </c>
      <c r="E139" s="3">
        <v>244.21</v>
      </c>
      <c r="F139" s="3">
        <v>243.91</v>
      </c>
      <c r="G139" s="3">
        <v>246</v>
      </c>
      <c r="H139" s="3">
        <v>245.95412400000001</v>
      </c>
      <c r="I139" s="3">
        <v>246.59137000000001</v>
      </c>
      <c r="J139" s="3">
        <v>1.7429809739743301</v>
      </c>
      <c r="K139" s="3">
        <v>13.704694056347099</v>
      </c>
    </row>
    <row r="140" spans="1:11" ht="15" customHeight="1" x14ac:dyDescent="0.2">
      <c r="A140" s="8">
        <v>45863</v>
      </c>
      <c r="B140" s="6">
        <v>241.54</v>
      </c>
      <c r="C140" s="7">
        <v>3511499</v>
      </c>
      <c r="D140" s="6">
        <v>-8.2795164762394704E-3</v>
      </c>
      <c r="E140" s="6">
        <v>240.1</v>
      </c>
      <c r="F140" s="6">
        <v>239.09630000000001</v>
      </c>
      <c r="G140" s="6">
        <v>241.67</v>
      </c>
      <c r="H140" s="6">
        <v>241.51621</v>
      </c>
      <c r="I140" s="6">
        <v>242.36696000000001</v>
      </c>
      <c r="J140" s="6">
        <v>-8.2760207209098199E-3</v>
      </c>
      <c r="K140" s="6">
        <v>11.7567943929543</v>
      </c>
    </row>
    <row r="141" spans="1:11" ht="15" customHeight="1" x14ac:dyDescent="0.2">
      <c r="A141" s="5">
        <v>45862</v>
      </c>
      <c r="B141" s="3">
        <v>241.56</v>
      </c>
      <c r="C141" s="4">
        <v>4166836</v>
      </c>
      <c r="D141" s="3">
        <v>-0.20656035693629099</v>
      </c>
      <c r="E141" s="3">
        <v>241.59</v>
      </c>
      <c r="F141" s="3">
        <v>239.46</v>
      </c>
      <c r="G141" s="3">
        <v>242.09</v>
      </c>
      <c r="H141" s="3">
        <v>241.55108000000001</v>
      </c>
      <c r="I141" s="3">
        <v>242.38702000000001</v>
      </c>
      <c r="J141" s="3">
        <v>-0.20655960447403199</v>
      </c>
      <c r="K141" s="3">
        <v>11.766044173929</v>
      </c>
    </row>
    <row r="142" spans="1:11" ht="15" customHeight="1" x14ac:dyDescent="0.2">
      <c r="A142" s="8">
        <v>45861</v>
      </c>
      <c r="B142" s="6">
        <v>242.06</v>
      </c>
      <c r="C142" s="7">
        <v>5952646</v>
      </c>
      <c r="D142" s="6">
        <v>-0.60770304672743602</v>
      </c>
      <c r="E142" s="6">
        <v>241.715</v>
      </c>
      <c r="F142" s="6">
        <v>239.06</v>
      </c>
      <c r="G142" s="6">
        <v>242.4</v>
      </c>
      <c r="H142" s="6">
        <v>241.98326700000001</v>
      </c>
      <c r="I142" s="6">
        <v>242.88873000000001</v>
      </c>
      <c r="J142" s="6">
        <v>-0.60770426289560298</v>
      </c>
      <c r="K142" s="6">
        <v>11.9973855305021</v>
      </c>
    </row>
    <row r="143" spans="1:11" ht="15" customHeight="1" x14ac:dyDescent="0.2">
      <c r="A143" s="5">
        <v>45860</v>
      </c>
      <c r="B143" s="3">
        <v>243.54</v>
      </c>
      <c r="C143" s="4">
        <v>6870965</v>
      </c>
      <c r="D143" s="3">
        <v>-1.38084632516704</v>
      </c>
      <c r="E143" s="3">
        <v>246.04</v>
      </c>
      <c r="F143" s="3">
        <v>240.69</v>
      </c>
      <c r="G143" s="3">
        <v>246.5</v>
      </c>
      <c r="H143" s="3">
        <v>243.52532099999999</v>
      </c>
      <c r="I143" s="3">
        <v>244.37379999999999</v>
      </c>
      <c r="J143" s="3">
        <v>-1.3808524118013601</v>
      </c>
      <c r="K143" s="3">
        <v>12.6821598192465</v>
      </c>
    </row>
    <row r="144" spans="1:11" ht="15" customHeight="1" x14ac:dyDescent="0.2">
      <c r="A144" s="8">
        <v>45859</v>
      </c>
      <c r="B144" s="6">
        <v>246.95</v>
      </c>
      <c r="C144" s="7">
        <v>4672569</v>
      </c>
      <c r="D144" s="6">
        <v>8.9166295140441498E-2</v>
      </c>
      <c r="E144" s="6">
        <v>247.35499999999999</v>
      </c>
      <c r="F144" s="6">
        <v>246.95</v>
      </c>
      <c r="G144" s="6">
        <v>250.19</v>
      </c>
      <c r="H144" s="6">
        <v>247.007824</v>
      </c>
      <c r="I144" s="6">
        <v>247.79549</v>
      </c>
      <c r="J144" s="6">
        <v>8.9173078737592101E-2</v>
      </c>
      <c r="K144" s="6">
        <v>14.2599206898141</v>
      </c>
    </row>
    <row r="145" spans="1:11" ht="15" customHeight="1" x14ac:dyDescent="0.2">
      <c r="A145" s="5">
        <v>45856</v>
      </c>
      <c r="B145" s="3">
        <v>246.73</v>
      </c>
      <c r="C145" s="4">
        <v>3758820</v>
      </c>
      <c r="D145" s="3">
        <v>8.1126029286493401E-2</v>
      </c>
      <c r="E145" s="3">
        <v>247.95</v>
      </c>
      <c r="F145" s="3">
        <v>244.88</v>
      </c>
      <c r="G145" s="3">
        <v>248.37</v>
      </c>
      <c r="H145" s="3">
        <v>246.73343800000001</v>
      </c>
      <c r="I145" s="3">
        <v>247.57472000000001</v>
      </c>
      <c r="J145" s="3">
        <v>8.1124114721164903E-2</v>
      </c>
      <c r="K145" s="3">
        <v>14.158122377461099</v>
      </c>
    </row>
    <row r="146" spans="1:11" ht="15" customHeight="1" x14ac:dyDescent="0.2">
      <c r="A146" s="8">
        <v>45855</v>
      </c>
      <c r="B146" s="6">
        <v>246.53</v>
      </c>
      <c r="C146" s="7">
        <v>4801141</v>
      </c>
      <c r="D146" s="6">
        <v>0.382751740706055</v>
      </c>
      <c r="E146" s="6">
        <v>245.535</v>
      </c>
      <c r="F146" s="6">
        <v>243.905</v>
      </c>
      <c r="G146" s="6">
        <v>247.13</v>
      </c>
      <c r="H146" s="6">
        <v>246.57824600000001</v>
      </c>
      <c r="I146" s="6">
        <v>247.37404000000001</v>
      </c>
      <c r="J146" s="6">
        <v>0.38275244955157101</v>
      </c>
      <c r="K146" s="6">
        <v>14.065587679254801</v>
      </c>
    </row>
    <row r="147" spans="1:11" ht="15" customHeight="1" x14ac:dyDescent="0.2">
      <c r="A147" s="5">
        <v>45854</v>
      </c>
      <c r="B147" s="3">
        <v>245.59</v>
      </c>
      <c r="C147" s="4">
        <v>8348922</v>
      </c>
      <c r="D147" s="3">
        <v>-0.27207016973929099</v>
      </c>
      <c r="E147" s="3">
        <v>244.28</v>
      </c>
      <c r="F147" s="3">
        <v>239.215</v>
      </c>
      <c r="G147" s="3">
        <v>245.67</v>
      </c>
      <c r="H147" s="3">
        <v>245.56054900000001</v>
      </c>
      <c r="I147" s="3">
        <v>246.43082000000001</v>
      </c>
      <c r="J147" s="3">
        <v>-0.27207264724135</v>
      </c>
      <c r="K147" s="3">
        <v>13.630663531147601</v>
      </c>
    </row>
    <row r="148" spans="1:11" ht="15" customHeight="1" x14ac:dyDescent="0.2">
      <c r="A148" s="8">
        <v>45853</v>
      </c>
      <c r="B148" s="6">
        <v>246.26</v>
      </c>
      <c r="C148" s="7">
        <v>6042060</v>
      </c>
      <c r="D148" s="6">
        <v>0.99659598900871904</v>
      </c>
      <c r="E148" s="6">
        <v>248.79</v>
      </c>
      <c r="F148" s="6">
        <v>246.1</v>
      </c>
      <c r="G148" s="6">
        <v>249.96</v>
      </c>
      <c r="H148" s="6">
        <v>246.356628</v>
      </c>
      <c r="I148" s="6">
        <v>247.10311999999999</v>
      </c>
      <c r="J148" s="6">
        <v>0.99659203135915497</v>
      </c>
      <c r="K148" s="6">
        <v>13.940664914464801</v>
      </c>
    </row>
    <row r="149" spans="1:11" ht="15" customHeight="1" x14ac:dyDescent="0.2">
      <c r="A149" s="5">
        <v>45852</v>
      </c>
      <c r="B149" s="3">
        <v>243.83</v>
      </c>
      <c r="C149" s="4">
        <v>5522611</v>
      </c>
      <c r="D149" s="3">
        <v>-0.95056261932809905</v>
      </c>
      <c r="E149" s="3">
        <v>244.15</v>
      </c>
      <c r="F149" s="3">
        <v>240.35</v>
      </c>
      <c r="G149" s="3">
        <v>244.73500000000001</v>
      </c>
      <c r="H149" s="3">
        <v>243.744315</v>
      </c>
      <c r="I149" s="3">
        <v>244.66480999999999</v>
      </c>
      <c r="J149" s="3">
        <v>-0.95056199917074002</v>
      </c>
      <c r="K149" s="3">
        <v>12.816346198183201</v>
      </c>
    </row>
    <row r="150" spans="1:11" ht="15" customHeight="1" x14ac:dyDescent="0.2">
      <c r="A150" s="8">
        <v>45849</v>
      </c>
      <c r="B150" s="6">
        <v>246.17</v>
      </c>
      <c r="C150" s="7">
        <v>2649556</v>
      </c>
      <c r="D150" s="6">
        <v>-0.154126951936739</v>
      </c>
      <c r="E150" s="6">
        <v>245.01</v>
      </c>
      <c r="F150" s="6">
        <v>244.05500000000001</v>
      </c>
      <c r="G150" s="6">
        <v>247.06950000000001</v>
      </c>
      <c r="H150" s="6">
        <v>246.12003100000001</v>
      </c>
      <c r="I150" s="6">
        <v>247.01282</v>
      </c>
      <c r="J150" s="6">
        <v>-0.15412654108351001</v>
      </c>
      <c r="K150" s="6">
        <v>13.899027066906401</v>
      </c>
    </row>
    <row r="151" spans="1:11" ht="15" customHeight="1" x14ac:dyDescent="0.2">
      <c r="A151" s="5">
        <v>45848</v>
      </c>
      <c r="B151" s="3">
        <v>246.55</v>
      </c>
      <c r="C151" s="4">
        <v>4869235</v>
      </c>
      <c r="D151" s="3">
        <v>0.99541209241356099</v>
      </c>
      <c r="E151" s="3">
        <v>246.41499999999999</v>
      </c>
      <c r="F151" s="3">
        <v>244.27010000000001</v>
      </c>
      <c r="G151" s="3">
        <v>247.52</v>
      </c>
      <c r="H151" s="3">
        <v>246.64413099999999</v>
      </c>
      <c r="I151" s="3">
        <v>247.39411999999999</v>
      </c>
      <c r="J151" s="3">
        <v>0.99541223355397102</v>
      </c>
      <c r="K151" s="3">
        <v>14.0748466823442</v>
      </c>
    </row>
    <row r="152" spans="1:11" ht="15" customHeight="1" x14ac:dyDescent="0.2">
      <c r="A152" s="8">
        <v>45847</v>
      </c>
      <c r="B152" s="6">
        <v>244.12</v>
      </c>
      <c r="C152" s="7">
        <v>4415318</v>
      </c>
      <c r="D152" s="6">
        <v>0.32053916331058402</v>
      </c>
      <c r="E152" s="6">
        <v>244.01</v>
      </c>
      <c r="F152" s="6">
        <v>241.88</v>
      </c>
      <c r="G152" s="6">
        <v>246.53</v>
      </c>
      <c r="H152" s="6">
        <v>244.080962</v>
      </c>
      <c r="I152" s="6">
        <v>244.95580000000001</v>
      </c>
      <c r="J152" s="6">
        <v>0.32053895528964998</v>
      </c>
      <c r="K152" s="6">
        <v>12.9505233550053</v>
      </c>
    </row>
    <row r="153" spans="1:11" ht="15" customHeight="1" x14ac:dyDescent="0.2">
      <c r="A153" s="5">
        <v>45846</v>
      </c>
      <c r="B153" s="3">
        <v>243.34</v>
      </c>
      <c r="C153" s="4">
        <v>7276223</v>
      </c>
      <c r="D153" s="3">
        <v>1.90970768071028</v>
      </c>
      <c r="E153" s="3">
        <v>241.06</v>
      </c>
      <c r="F153" s="3">
        <v>240.11</v>
      </c>
      <c r="G153" s="3">
        <v>245.4</v>
      </c>
      <c r="H153" s="3">
        <v>243.41105300000001</v>
      </c>
      <c r="I153" s="3">
        <v>244.17312999999999</v>
      </c>
      <c r="J153" s="3">
        <v>1.9097152516198901</v>
      </c>
      <c r="K153" s="3">
        <v>12.589629732097499</v>
      </c>
    </row>
    <row r="154" spans="1:11" ht="15" customHeight="1" x14ac:dyDescent="0.2">
      <c r="A154" s="8">
        <v>45845</v>
      </c>
      <c r="B154" s="6">
        <v>238.78</v>
      </c>
      <c r="C154" s="7">
        <v>4859190</v>
      </c>
      <c r="D154" s="6">
        <v>-1.8739212624311601</v>
      </c>
      <c r="E154" s="6">
        <v>241.29</v>
      </c>
      <c r="F154" s="6">
        <v>237.75</v>
      </c>
      <c r="G154" s="6">
        <v>242.13</v>
      </c>
      <c r="H154" s="6">
        <v>238.67216400000001</v>
      </c>
      <c r="I154" s="6">
        <v>239.5975</v>
      </c>
      <c r="J154" s="6">
        <v>-1.87392855225306</v>
      </c>
      <c r="K154" s="6">
        <v>10.479780513671701</v>
      </c>
    </row>
    <row r="155" spans="1:11" ht="15" customHeight="1" x14ac:dyDescent="0.2">
      <c r="A155" s="5">
        <v>45841</v>
      </c>
      <c r="B155" s="3">
        <v>243.34</v>
      </c>
      <c r="C155" s="4">
        <v>3069405</v>
      </c>
      <c r="D155" s="3">
        <v>0.49558106880318498</v>
      </c>
      <c r="E155" s="3">
        <v>243.15</v>
      </c>
      <c r="F155" s="3">
        <v>242.7</v>
      </c>
      <c r="G155" s="3">
        <v>244.19800000000001</v>
      </c>
      <c r="H155" s="3">
        <v>243.38421500000001</v>
      </c>
      <c r="I155" s="3">
        <v>244.17312999999999</v>
      </c>
      <c r="J155" s="3">
        <v>0.49558583623483499</v>
      </c>
      <c r="K155" s="3">
        <v>12.589629732097499</v>
      </c>
    </row>
    <row r="156" spans="1:11" ht="15" customHeight="1" x14ac:dyDescent="0.2">
      <c r="A156" s="8">
        <v>45840</v>
      </c>
      <c r="B156" s="6">
        <v>242.14</v>
      </c>
      <c r="C156" s="7">
        <v>5978978</v>
      </c>
      <c r="D156" s="6">
        <v>1.9021967847824199</v>
      </c>
      <c r="E156" s="6">
        <v>237.09</v>
      </c>
      <c r="F156" s="6">
        <v>237</v>
      </c>
      <c r="G156" s="6">
        <v>243.12</v>
      </c>
      <c r="H156" s="6">
        <v>242.24190999999999</v>
      </c>
      <c r="I156" s="6">
        <v>242.96901</v>
      </c>
      <c r="J156" s="6">
        <v>1.90219890633671</v>
      </c>
      <c r="K156" s="6">
        <v>12.0344030986305</v>
      </c>
    </row>
    <row r="157" spans="1:11" ht="15" customHeight="1" x14ac:dyDescent="0.2">
      <c r="A157" s="5">
        <v>45839</v>
      </c>
      <c r="B157" s="3">
        <v>237.62</v>
      </c>
      <c r="C157" s="4">
        <v>10892950</v>
      </c>
      <c r="D157" s="3">
        <v>-0.45245077503140901</v>
      </c>
      <c r="E157" s="3">
        <v>236.7</v>
      </c>
      <c r="F157" s="3">
        <v>234.08</v>
      </c>
      <c r="G157" s="3">
        <v>239.18</v>
      </c>
      <c r="H157" s="3">
        <v>237.56953899999999</v>
      </c>
      <c r="I157" s="3">
        <v>238.43352999999999</v>
      </c>
      <c r="J157" s="3">
        <v>-0.45245594847368398</v>
      </c>
      <c r="K157" s="3">
        <v>9.9430672753262197</v>
      </c>
    </row>
    <row r="158" spans="1:11" ht="15" customHeight="1" x14ac:dyDescent="0.2">
      <c r="A158" s="8">
        <v>45838</v>
      </c>
      <c r="B158" s="6">
        <v>238.7</v>
      </c>
      <c r="C158" s="7">
        <v>4925307</v>
      </c>
      <c r="D158" s="6">
        <v>-6.6984844678896704E-2</v>
      </c>
      <c r="E158" s="6">
        <v>240.16499999999999</v>
      </c>
      <c r="F158" s="6">
        <v>237.56</v>
      </c>
      <c r="G158" s="6">
        <v>240.16499999999999</v>
      </c>
      <c r="H158" s="6">
        <v>238.736863</v>
      </c>
      <c r="I158" s="6">
        <v>239.51723999999999</v>
      </c>
      <c r="J158" s="6">
        <v>-6.6981595039816696E-2</v>
      </c>
      <c r="K158" s="6">
        <v>10.442772167657999</v>
      </c>
    </row>
    <row r="159" spans="1:11" ht="15" customHeight="1" x14ac:dyDescent="0.2">
      <c r="A159" s="5">
        <v>45835</v>
      </c>
      <c r="B159" s="3">
        <v>238.86</v>
      </c>
      <c r="C159" s="4">
        <v>4520463</v>
      </c>
      <c r="D159" s="3">
        <v>-8.7840381478221305E-2</v>
      </c>
      <c r="E159" s="3">
        <v>239.31</v>
      </c>
      <c r="F159" s="3">
        <v>236.37</v>
      </c>
      <c r="G159" s="3">
        <v>241.2338</v>
      </c>
      <c r="H159" s="3">
        <v>238.86621700000001</v>
      </c>
      <c r="I159" s="3">
        <v>239.67778000000001</v>
      </c>
      <c r="J159" s="3">
        <v>-8.7849139258511205E-2</v>
      </c>
      <c r="K159" s="3">
        <v>10.516798081800101</v>
      </c>
    </row>
    <row r="160" spans="1:11" ht="15" customHeight="1" x14ac:dyDescent="0.2">
      <c r="A160" s="8">
        <v>45834</v>
      </c>
      <c r="B160" s="6">
        <v>239.07</v>
      </c>
      <c r="C160" s="7">
        <v>4350082</v>
      </c>
      <c r="D160" s="6">
        <v>0.78411534083722101</v>
      </c>
      <c r="E160" s="6">
        <v>239.035</v>
      </c>
      <c r="F160" s="6">
        <v>237.18</v>
      </c>
      <c r="G160" s="6">
        <v>239.65</v>
      </c>
      <c r="H160" s="6">
        <v>239.07432</v>
      </c>
      <c r="I160" s="6">
        <v>239.88852</v>
      </c>
      <c r="J160" s="6">
        <v>0.78412033435208905</v>
      </c>
      <c r="K160" s="6">
        <v>10.613971503665701</v>
      </c>
    </row>
    <row r="161" spans="1:11" ht="15" customHeight="1" x14ac:dyDescent="0.2">
      <c r="A161" s="5">
        <v>45833</v>
      </c>
      <c r="B161" s="3">
        <v>237.21</v>
      </c>
      <c r="C161" s="4">
        <v>5252506</v>
      </c>
      <c r="D161" s="3">
        <v>0.89749042960443004</v>
      </c>
      <c r="E161" s="3">
        <v>236.66</v>
      </c>
      <c r="F161" s="3">
        <v>234.8</v>
      </c>
      <c r="G161" s="3">
        <v>237.24</v>
      </c>
      <c r="H161" s="3">
        <v>237.191813</v>
      </c>
      <c r="I161" s="3">
        <v>238.02214000000001</v>
      </c>
      <c r="J161" s="3">
        <v>0.89748870010850601</v>
      </c>
      <c r="K161" s="3">
        <v>9.7533729884262392</v>
      </c>
    </row>
    <row r="162" spans="1:11" ht="15" customHeight="1" x14ac:dyDescent="0.2">
      <c r="A162" s="8">
        <v>45832</v>
      </c>
      <c r="B162" s="6">
        <v>235.1</v>
      </c>
      <c r="C162" s="7">
        <v>7017460</v>
      </c>
      <c r="D162" s="6">
        <v>3.7923270495783901</v>
      </c>
      <c r="E162" s="6">
        <v>230.57</v>
      </c>
      <c r="F162" s="6">
        <v>230.46</v>
      </c>
      <c r="G162" s="6">
        <v>235.36</v>
      </c>
      <c r="H162" s="6">
        <v>235.23821000000001</v>
      </c>
      <c r="I162" s="6">
        <v>235.90492</v>
      </c>
      <c r="J162" s="6">
        <v>3.7923362375662202</v>
      </c>
      <c r="K162" s="6">
        <v>8.7771107114861397</v>
      </c>
    </row>
    <row r="163" spans="1:11" ht="15" customHeight="1" x14ac:dyDescent="0.2">
      <c r="A163" s="5">
        <v>45831</v>
      </c>
      <c r="B163" s="3">
        <v>226.51</v>
      </c>
      <c r="C163" s="4">
        <v>7115093</v>
      </c>
      <c r="D163" s="3">
        <v>0.62191817333747601</v>
      </c>
      <c r="E163" s="3">
        <v>225.01499999999999</v>
      </c>
      <c r="F163" s="3">
        <v>221.86</v>
      </c>
      <c r="G163" s="3">
        <v>227.89</v>
      </c>
      <c r="H163" s="3">
        <v>226.511382</v>
      </c>
      <c r="I163" s="3">
        <v>227.28549000000001</v>
      </c>
      <c r="J163" s="3">
        <v>0.62191679058902705</v>
      </c>
      <c r="K163" s="3">
        <v>4.8026421358417499</v>
      </c>
    </row>
    <row r="164" spans="1:11" ht="15" customHeight="1" x14ac:dyDescent="0.2">
      <c r="A164" s="8">
        <v>45828</v>
      </c>
      <c r="B164" s="6">
        <v>225.11</v>
      </c>
      <c r="C164" s="7">
        <v>8202267</v>
      </c>
      <c r="D164" s="6">
        <v>-0.64000706214688496</v>
      </c>
      <c r="E164" s="6">
        <v>228.79</v>
      </c>
      <c r="F164" s="6">
        <v>222.16</v>
      </c>
      <c r="G164" s="6">
        <v>229.08</v>
      </c>
      <c r="H164" s="6">
        <v>225.05722299999999</v>
      </c>
      <c r="I164" s="6">
        <v>225.88069999999999</v>
      </c>
      <c r="J164" s="6">
        <v>-0.64001392126392598</v>
      </c>
      <c r="K164" s="6">
        <v>4.1548854152257002</v>
      </c>
    </row>
    <row r="165" spans="1:11" ht="15" customHeight="1" x14ac:dyDescent="0.2">
      <c r="A165" s="5">
        <v>45826</v>
      </c>
      <c r="B165" s="3">
        <v>226.56</v>
      </c>
      <c r="C165" s="4">
        <v>6657644</v>
      </c>
      <c r="D165" s="3">
        <v>0.40772912604147798</v>
      </c>
      <c r="E165" s="3">
        <v>226.85</v>
      </c>
      <c r="F165" s="3">
        <v>225.1</v>
      </c>
      <c r="G165" s="3">
        <v>229.19</v>
      </c>
      <c r="H165" s="3">
        <v>226.547325</v>
      </c>
      <c r="I165" s="3">
        <v>227.33568</v>
      </c>
      <c r="J165" s="3">
        <v>0.40773363593142797</v>
      </c>
      <c r="K165" s="3">
        <v>4.8257850325079499</v>
      </c>
    </row>
    <row r="166" spans="1:11" ht="15" customHeight="1" x14ac:dyDescent="0.2">
      <c r="A166" s="8">
        <v>45825</v>
      </c>
      <c r="B166" s="6">
        <v>225.64</v>
      </c>
      <c r="C166" s="7">
        <v>7290018</v>
      </c>
      <c r="D166" s="6">
        <v>-0.79141751670770399</v>
      </c>
      <c r="E166" s="6">
        <v>226.45</v>
      </c>
      <c r="F166" s="6">
        <v>225.48</v>
      </c>
      <c r="G166" s="6">
        <v>229.64</v>
      </c>
      <c r="H166" s="6">
        <v>225.617152</v>
      </c>
      <c r="I166" s="6">
        <v>226.41252</v>
      </c>
      <c r="J166" s="6">
        <v>-0.79142072018729603</v>
      </c>
      <c r="K166" s="6">
        <v>4.4001106653755597</v>
      </c>
    </row>
    <row r="167" spans="1:11" ht="15" customHeight="1" x14ac:dyDescent="0.2">
      <c r="A167" s="5">
        <v>45824</v>
      </c>
      <c r="B167" s="3">
        <v>227.44</v>
      </c>
      <c r="C167" s="4">
        <v>5772471</v>
      </c>
      <c r="D167" s="3">
        <v>2.9326574945691402</v>
      </c>
      <c r="E167" s="3">
        <v>223.58500000000001</v>
      </c>
      <c r="F167" s="3">
        <v>223.24</v>
      </c>
      <c r="G167" s="3">
        <v>228.58</v>
      </c>
      <c r="H167" s="3">
        <v>227.59214499999999</v>
      </c>
      <c r="I167" s="3">
        <v>228.21869000000001</v>
      </c>
      <c r="J167" s="3">
        <v>3.1513781152035101</v>
      </c>
      <c r="K167" s="3">
        <v>5.2329460045188299</v>
      </c>
    </row>
    <row r="168" spans="1:11" ht="15" customHeight="1" x14ac:dyDescent="0.2">
      <c r="A168" s="8">
        <v>45821</v>
      </c>
      <c r="B168" s="6">
        <v>220.96</v>
      </c>
      <c r="C168" s="7">
        <v>10484580</v>
      </c>
      <c r="D168" s="6">
        <v>-2.60501608850883</v>
      </c>
      <c r="E168" s="6">
        <v>221.99</v>
      </c>
      <c r="F168" s="6">
        <v>220.3</v>
      </c>
      <c r="G168" s="6">
        <v>224.58</v>
      </c>
      <c r="H168" s="6">
        <v>220.87340399999999</v>
      </c>
      <c r="I168" s="6">
        <v>221.24637999999999</v>
      </c>
      <c r="J168" s="6">
        <v>-2.6050118938284399</v>
      </c>
      <c r="K168" s="6">
        <v>2.01797390141558</v>
      </c>
    </row>
    <row r="169" spans="1:11" ht="15" customHeight="1" x14ac:dyDescent="0.2">
      <c r="A169" s="5">
        <v>45820</v>
      </c>
      <c r="B169" s="3">
        <v>226.87</v>
      </c>
      <c r="C169" s="4">
        <v>5149168</v>
      </c>
      <c r="D169" s="3">
        <v>0.13682909604519899</v>
      </c>
      <c r="E169" s="3">
        <v>224.94</v>
      </c>
      <c r="F169" s="3">
        <v>224.6</v>
      </c>
      <c r="G169" s="3">
        <v>228</v>
      </c>
      <c r="H169" s="3">
        <v>226.90276800000001</v>
      </c>
      <c r="I169" s="3">
        <v>227.16403</v>
      </c>
      <c r="J169" s="3">
        <v>0.13683272940496699</v>
      </c>
      <c r="K169" s="3">
        <v>4.7466362336883803</v>
      </c>
    </row>
    <row r="170" spans="1:11" ht="15" customHeight="1" x14ac:dyDescent="0.2">
      <c r="A170" s="8">
        <v>45819</v>
      </c>
      <c r="B170" s="6">
        <v>226.56</v>
      </c>
      <c r="C170" s="7">
        <v>10405610</v>
      </c>
      <c r="D170" s="6">
        <v>-0.33433045926446397</v>
      </c>
      <c r="E170" s="6">
        <v>228.9</v>
      </c>
      <c r="F170" s="6">
        <v>224.27</v>
      </c>
      <c r="G170" s="6">
        <v>229.8</v>
      </c>
      <c r="H170" s="6">
        <v>226.50165799999999</v>
      </c>
      <c r="I170" s="6">
        <v>226.85362000000001</v>
      </c>
      <c r="J170" s="6">
        <v>-0.33433704741813097</v>
      </c>
      <c r="K170" s="6">
        <v>4.6035044035597297</v>
      </c>
    </row>
    <row r="171" spans="1:11" ht="15" customHeight="1" x14ac:dyDescent="0.2">
      <c r="A171" s="5">
        <v>45818</v>
      </c>
      <c r="B171" s="3">
        <v>227.32</v>
      </c>
      <c r="C171" s="4">
        <v>7676150</v>
      </c>
      <c r="D171" s="3">
        <v>2.1846624112199899</v>
      </c>
      <c r="E171" s="3">
        <v>223.54</v>
      </c>
      <c r="F171" s="3">
        <v>222.99</v>
      </c>
      <c r="G171" s="3">
        <v>228.08</v>
      </c>
      <c r="H171" s="3">
        <v>227.39727500000001</v>
      </c>
      <c r="I171" s="3">
        <v>227.61462</v>
      </c>
      <c r="J171" s="3">
        <v>2.1846629415656</v>
      </c>
      <c r="K171" s="3">
        <v>4.9544058652649001</v>
      </c>
    </row>
    <row r="172" spans="1:11" ht="15" customHeight="1" x14ac:dyDescent="0.2">
      <c r="A172" s="8">
        <v>45817</v>
      </c>
      <c r="B172" s="6">
        <v>222.46</v>
      </c>
      <c r="C172" s="7">
        <v>7712015</v>
      </c>
      <c r="D172" s="6">
        <v>2.35575595840618</v>
      </c>
      <c r="E172" s="6">
        <v>219.32499999999999</v>
      </c>
      <c r="F172" s="6">
        <v>219.13</v>
      </c>
      <c r="G172" s="6">
        <v>224.41</v>
      </c>
      <c r="H172" s="6">
        <v>222.643283</v>
      </c>
      <c r="I172" s="6">
        <v>222.74832000000001</v>
      </c>
      <c r="J172" s="6">
        <v>2.3557626407333299</v>
      </c>
      <c r="K172" s="6">
        <v>2.7105270438511502</v>
      </c>
    </row>
    <row r="173" spans="1:11" ht="15" customHeight="1" x14ac:dyDescent="0.2">
      <c r="A173" s="5">
        <v>45814</v>
      </c>
      <c r="B173" s="3">
        <v>217.34</v>
      </c>
      <c r="C173" s="4">
        <v>7582517</v>
      </c>
      <c r="D173" s="3">
        <v>0.67163833433694298</v>
      </c>
      <c r="E173" s="3">
        <v>218</v>
      </c>
      <c r="F173" s="3">
        <v>217.21</v>
      </c>
      <c r="G173" s="3">
        <v>220.23</v>
      </c>
      <c r="H173" s="3">
        <v>217.399427</v>
      </c>
      <c r="I173" s="3">
        <v>217.62166999999999</v>
      </c>
      <c r="J173" s="3">
        <v>0.67163405804140297</v>
      </c>
      <c r="K173" s="3">
        <v>0.34659934522985603</v>
      </c>
    </row>
    <row r="174" spans="1:11" ht="15" customHeight="1" x14ac:dyDescent="0.2">
      <c r="A174" s="8">
        <v>45813</v>
      </c>
      <c r="B174" s="6">
        <v>215.89</v>
      </c>
      <c r="C174" s="7">
        <v>10944230</v>
      </c>
      <c r="D174" s="6">
        <v>-0.41974169741698603</v>
      </c>
      <c r="E174" s="6">
        <v>218.47</v>
      </c>
      <c r="F174" s="6">
        <v>214.41</v>
      </c>
      <c r="G174" s="6">
        <v>220.28</v>
      </c>
      <c r="H174" s="6">
        <v>215.847982</v>
      </c>
      <c r="I174" s="6">
        <v>216.16980000000001</v>
      </c>
      <c r="J174" s="6">
        <v>-0.41974197831611199</v>
      </c>
      <c r="K174" s="6">
        <v>-0.32286623322727598</v>
      </c>
    </row>
    <row r="175" spans="1:11" ht="15" customHeight="1" x14ac:dyDescent="0.2">
      <c r="A175" s="5">
        <v>45812</v>
      </c>
      <c r="B175" s="3">
        <v>216.8</v>
      </c>
      <c r="C175" s="4">
        <v>7339525</v>
      </c>
      <c r="D175" s="3">
        <v>1.4886246606122999</v>
      </c>
      <c r="E175" s="3">
        <v>215.39</v>
      </c>
      <c r="F175" s="3">
        <v>213.54</v>
      </c>
      <c r="G175" s="3">
        <v>217.62</v>
      </c>
      <c r="H175" s="3">
        <v>216.901004</v>
      </c>
      <c r="I175" s="3">
        <v>217.08098000000001</v>
      </c>
      <c r="J175" s="3">
        <v>1.48862874792219</v>
      </c>
      <c r="K175" s="3">
        <v>9.7284087241207295E-2</v>
      </c>
    </row>
    <row r="176" spans="1:11" ht="15" customHeight="1" x14ac:dyDescent="0.2">
      <c r="A176" s="8">
        <v>45811</v>
      </c>
      <c r="B176" s="6">
        <v>213.62</v>
      </c>
      <c r="C176" s="7">
        <v>8905096</v>
      </c>
      <c r="D176" s="6">
        <v>2.6871124357063798</v>
      </c>
      <c r="E176" s="6">
        <v>208.14500000000001</v>
      </c>
      <c r="F176" s="6">
        <v>206.71</v>
      </c>
      <c r="G176" s="6">
        <v>214.14</v>
      </c>
      <c r="H176" s="6">
        <v>213.862008</v>
      </c>
      <c r="I176" s="6">
        <v>213.89685</v>
      </c>
      <c r="J176" s="6">
        <v>2.68710523811805</v>
      </c>
      <c r="K176" s="6">
        <v>-1.3709365057407601</v>
      </c>
    </row>
    <row r="177" spans="1:11" ht="15" customHeight="1" x14ac:dyDescent="0.2">
      <c r="A177" s="5">
        <v>45810</v>
      </c>
      <c r="B177" s="3">
        <v>208.03</v>
      </c>
      <c r="C177" s="4">
        <v>6034911</v>
      </c>
      <c r="D177" s="3">
        <v>1.5077583683029201</v>
      </c>
      <c r="E177" s="3">
        <v>204.42</v>
      </c>
      <c r="F177" s="3">
        <v>204.29</v>
      </c>
      <c r="G177" s="3">
        <v>208.83</v>
      </c>
      <c r="H177" s="3">
        <v>208.08622299999999</v>
      </c>
      <c r="I177" s="3">
        <v>208.29962</v>
      </c>
      <c r="J177" s="3">
        <v>1.50776092330029</v>
      </c>
      <c r="K177" s="3">
        <v>-3.95185133951215</v>
      </c>
    </row>
    <row r="178" spans="1:11" ht="15" customHeight="1" x14ac:dyDescent="0.2">
      <c r="A178" s="8">
        <v>45807</v>
      </c>
      <c r="B178" s="6">
        <v>204.94</v>
      </c>
      <c r="C178" s="7">
        <v>10781010</v>
      </c>
      <c r="D178" s="6">
        <v>-1.9847912382227799</v>
      </c>
      <c r="E178" s="6">
        <v>207.815</v>
      </c>
      <c r="F178" s="6">
        <v>201.11500000000001</v>
      </c>
      <c r="G178" s="6">
        <v>207.87</v>
      </c>
      <c r="H178" s="6">
        <v>204.84163599999999</v>
      </c>
      <c r="I178" s="6">
        <v>205.20561000000001</v>
      </c>
      <c r="J178" s="6">
        <v>-1.98479659535443</v>
      </c>
      <c r="K178" s="6">
        <v>-5.37851708396735</v>
      </c>
    </row>
    <row r="179" spans="1:11" ht="15" customHeight="1" x14ac:dyDescent="0.2">
      <c r="A179" s="5">
        <v>45806</v>
      </c>
      <c r="B179" s="3">
        <v>209.09</v>
      </c>
      <c r="C179" s="4">
        <v>8602757</v>
      </c>
      <c r="D179" s="3">
        <v>0.408182865923922</v>
      </c>
      <c r="E179" s="3">
        <v>213.02500000000001</v>
      </c>
      <c r="F179" s="3">
        <v>207.75</v>
      </c>
      <c r="G179" s="3">
        <v>213.17</v>
      </c>
      <c r="H179" s="3">
        <v>209.073463</v>
      </c>
      <c r="I179" s="3">
        <v>209.36099999999999</v>
      </c>
      <c r="J179" s="3">
        <v>0.40818687305430501</v>
      </c>
      <c r="K179" s="3">
        <v>-3.46244293816572</v>
      </c>
    </row>
    <row r="180" spans="1:11" ht="15" customHeight="1" x14ac:dyDescent="0.2">
      <c r="A180" s="8">
        <v>45805</v>
      </c>
      <c r="B180" s="6">
        <v>208.24</v>
      </c>
      <c r="C180" s="7">
        <v>6769206</v>
      </c>
      <c r="D180" s="6">
        <v>-0.50169621099908002</v>
      </c>
      <c r="E180" s="6">
        <v>209.84</v>
      </c>
      <c r="F180" s="6">
        <v>207.75</v>
      </c>
      <c r="G180" s="6">
        <v>210.46</v>
      </c>
      <c r="H180" s="6">
        <v>208.16904199999999</v>
      </c>
      <c r="I180" s="6">
        <v>208.50989000000001</v>
      </c>
      <c r="J180" s="6">
        <v>-0.50169580492576105</v>
      </c>
      <c r="K180" s="6">
        <v>-3.8548946373403301</v>
      </c>
    </row>
    <row r="181" spans="1:11" ht="15" customHeight="1" x14ac:dyDescent="0.2">
      <c r="A181" s="5">
        <v>45804</v>
      </c>
      <c r="B181" s="3">
        <v>209.29</v>
      </c>
      <c r="C181" s="4">
        <v>6057596</v>
      </c>
      <c r="D181" s="3">
        <v>3.3224723538704399</v>
      </c>
      <c r="E181" s="3">
        <v>206.96</v>
      </c>
      <c r="F181" s="3">
        <v>205.27</v>
      </c>
      <c r="G181" s="3">
        <v>210.23</v>
      </c>
      <c r="H181" s="3">
        <v>209.47146900000001</v>
      </c>
      <c r="I181" s="3">
        <v>209.56125</v>
      </c>
      <c r="J181" s="3">
        <v>3.3224711278377201</v>
      </c>
      <c r="K181" s="3">
        <v>-3.3701065154239802</v>
      </c>
    </row>
    <row r="182" spans="1:11" ht="15" customHeight="1" x14ac:dyDescent="0.2">
      <c r="A182" s="8">
        <v>45800</v>
      </c>
      <c r="B182" s="6">
        <v>202.56</v>
      </c>
      <c r="C182" s="7">
        <v>9527915</v>
      </c>
      <c r="D182" s="6">
        <v>-1.5504252733900299</v>
      </c>
      <c r="E182" s="6">
        <v>200.47</v>
      </c>
      <c r="F182" s="6">
        <v>199.93</v>
      </c>
      <c r="G182" s="6">
        <v>203.66</v>
      </c>
      <c r="H182" s="6">
        <v>202.46561</v>
      </c>
      <c r="I182" s="6">
        <v>202.82253</v>
      </c>
      <c r="J182" s="6">
        <v>-1.5504231550982299</v>
      </c>
      <c r="K182" s="6">
        <v>-6.4773689306957998</v>
      </c>
    </row>
    <row r="183" spans="1:11" ht="15" customHeight="1" x14ac:dyDescent="0.2">
      <c r="A183" s="5">
        <v>45799</v>
      </c>
      <c r="B183" s="3">
        <v>205.75</v>
      </c>
      <c r="C183" s="4">
        <v>5397309</v>
      </c>
      <c r="D183" s="3">
        <v>-0.92454374729137301</v>
      </c>
      <c r="E183" s="3">
        <v>207.52500000000001</v>
      </c>
      <c r="F183" s="3">
        <v>205.58</v>
      </c>
      <c r="G183" s="3">
        <v>209.47</v>
      </c>
      <c r="H183" s="3">
        <v>205.71155099999999</v>
      </c>
      <c r="I183" s="3">
        <v>206.01666</v>
      </c>
      <c r="J183" s="3">
        <v>-0.92454451218061395</v>
      </c>
      <c r="K183" s="3">
        <v>-5.0045372803983899</v>
      </c>
    </row>
    <row r="184" spans="1:11" ht="15" customHeight="1" x14ac:dyDescent="0.2">
      <c r="A184" s="8">
        <v>45798</v>
      </c>
      <c r="B184" s="6">
        <v>207.67</v>
      </c>
      <c r="C184" s="7">
        <v>5007748</v>
      </c>
      <c r="D184" s="6">
        <v>-1.8294412404273399</v>
      </c>
      <c r="E184" s="6">
        <v>209.75</v>
      </c>
      <c r="F184" s="6">
        <v>206.35</v>
      </c>
      <c r="G184" s="6">
        <v>213.9</v>
      </c>
      <c r="H184" s="6">
        <v>207.538794</v>
      </c>
      <c r="I184" s="6">
        <v>207.93915000000001</v>
      </c>
      <c r="J184" s="6">
        <v>-1.8294385984393</v>
      </c>
      <c r="K184" s="6">
        <v>-4.1180661225619</v>
      </c>
    </row>
    <row r="185" spans="1:11" ht="15" customHeight="1" x14ac:dyDescent="0.2">
      <c r="A185" s="5">
        <v>45797</v>
      </c>
      <c r="B185" s="3">
        <v>211.54</v>
      </c>
      <c r="C185" s="4">
        <v>2968043</v>
      </c>
      <c r="D185" s="3">
        <v>-0.14632995043663</v>
      </c>
      <c r="E185" s="3">
        <v>210.04</v>
      </c>
      <c r="F185" s="3">
        <v>209.41</v>
      </c>
      <c r="G185" s="3">
        <v>211.62</v>
      </c>
      <c r="H185" s="3">
        <v>211.55818400000001</v>
      </c>
      <c r="I185" s="3">
        <v>211.81415999999999</v>
      </c>
      <c r="J185" s="3">
        <v>-0.146333826392675</v>
      </c>
      <c r="K185" s="3">
        <v>-2.3312768017706502</v>
      </c>
    </row>
    <row r="186" spans="1:11" ht="15" customHeight="1" x14ac:dyDescent="0.2">
      <c r="A186" s="8">
        <v>45796</v>
      </c>
      <c r="B186" s="6">
        <v>211.85</v>
      </c>
      <c r="C186" s="7">
        <v>5334720</v>
      </c>
      <c r="D186" s="6">
        <v>-0.60057242058837401</v>
      </c>
      <c r="E186" s="6">
        <v>208.22</v>
      </c>
      <c r="F186" s="6">
        <v>208.17</v>
      </c>
      <c r="G186" s="6">
        <v>212.39</v>
      </c>
      <c r="H186" s="6">
        <v>211.83999</v>
      </c>
      <c r="I186" s="6">
        <v>212.12457000000001</v>
      </c>
      <c r="J186" s="6">
        <v>-0.60057290736076296</v>
      </c>
      <c r="K186" s="6">
        <v>-2.1881449716419898</v>
      </c>
    </row>
    <row r="187" spans="1:11" ht="15" customHeight="1" x14ac:dyDescent="0.2">
      <c r="A187" s="5">
        <v>45793</v>
      </c>
      <c r="B187" s="3">
        <v>213.13</v>
      </c>
      <c r="C187" s="4">
        <v>2521507</v>
      </c>
      <c r="D187" s="3">
        <v>-0.131202848976152</v>
      </c>
      <c r="E187" s="3">
        <v>213.56</v>
      </c>
      <c r="F187" s="3">
        <v>210.68</v>
      </c>
      <c r="G187" s="3">
        <v>213.56</v>
      </c>
      <c r="H187" s="3">
        <v>213.10259400000001</v>
      </c>
      <c r="I187" s="3">
        <v>213.40622999999999</v>
      </c>
      <c r="J187" s="3">
        <v>-0.131206168285702</v>
      </c>
      <c r="K187" s="3">
        <v>-1.597164199751</v>
      </c>
    </row>
    <row r="188" spans="1:11" ht="15" customHeight="1" x14ac:dyDescent="0.2">
      <c r="A188" s="8">
        <v>45792</v>
      </c>
      <c r="B188" s="6">
        <v>213.41</v>
      </c>
      <c r="C188" s="7">
        <v>4216879</v>
      </c>
      <c r="D188" s="6">
        <v>-0.64248801154615998</v>
      </c>
      <c r="E188" s="6">
        <v>212.69</v>
      </c>
      <c r="F188" s="6">
        <v>210.91</v>
      </c>
      <c r="G188" s="6">
        <v>215</v>
      </c>
      <c r="H188" s="6">
        <v>213.35704899999999</v>
      </c>
      <c r="I188" s="6">
        <v>213.6866</v>
      </c>
      <c r="J188" s="6">
        <v>-0.64247941247705898</v>
      </c>
      <c r="K188" s="6">
        <v>-1.46788398579794</v>
      </c>
    </row>
    <row r="189" spans="1:11" ht="15" customHeight="1" x14ac:dyDescent="0.2">
      <c r="A189" s="5">
        <v>45791</v>
      </c>
      <c r="B189" s="3">
        <v>214.79</v>
      </c>
      <c r="C189" s="4">
        <v>4162837</v>
      </c>
      <c r="D189" s="3">
        <v>0.48184880239521199</v>
      </c>
      <c r="E189" s="3">
        <v>215.21</v>
      </c>
      <c r="F189" s="3">
        <v>213.21</v>
      </c>
      <c r="G189" s="3">
        <v>216.7</v>
      </c>
      <c r="H189" s="3">
        <v>214.74343400000001</v>
      </c>
      <c r="I189" s="3">
        <v>215.06836999999999</v>
      </c>
      <c r="J189" s="3">
        <v>0.48185120116832603</v>
      </c>
      <c r="K189" s="3">
        <v>-0.83074191912206197</v>
      </c>
    </row>
    <row r="190" spans="1:11" ht="15" customHeight="1" x14ac:dyDescent="0.2">
      <c r="A190" s="8">
        <v>45790</v>
      </c>
      <c r="B190" s="6">
        <v>213.76</v>
      </c>
      <c r="C190" s="7">
        <v>5693582</v>
      </c>
      <c r="D190" s="6">
        <v>2.8335017077981401</v>
      </c>
      <c r="E190" s="6">
        <v>208.7</v>
      </c>
      <c r="F190" s="6">
        <v>208.41</v>
      </c>
      <c r="G190" s="6">
        <v>214.82</v>
      </c>
      <c r="H190" s="6">
        <v>213.87927400000001</v>
      </c>
      <c r="I190" s="6">
        <v>214.03702999999999</v>
      </c>
      <c r="J190" s="6">
        <v>2.8335000485251598</v>
      </c>
      <c r="K190" s="6">
        <v>-1.3062987042929</v>
      </c>
    </row>
    <row r="191" spans="1:11" ht="15" customHeight="1" x14ac:dyDescent="0.2">
      <c r="A191" s="5">
        <v>45789</v>
      </c>
      <c r="B191" s="3">
        <v>207.87</v>
      </c>
      <c r="C191" s="4">
        <v>10675630</v>
      </c>
      <c r="D191" s="3">
        <v>7.1826338042693498</v>
      </c>
      <c r="E191" s="3">
        <v>206.8</v>
      </c>
      <c r="F191" s="3">
        <v>204.99</v>
      </c>
      <c r="G191" s="3">
        <v>209.39</v>
      </c>
      <c r="H191" s="3">
        <v>208.00747899999999</v>
      </c>
      <c r="I191" s="3">
        <v>208.13939999999999</v>
      </c>
      <c r="J191" s="3">
        <v>7.1826264567074398</v>
      </c>
      <c r="K191" s="3">
        <v>-4.0257296998201699</v>
      </c>
    </row>
    <row r="192" spans="1:11" ht="15" customHeight="1" x14ac:dyDescent="0.2">
      <c r="A192" s="8">
        <v>45786</v>
      </c>
      <c r="B192" s="6">
        <v>193.94</v>
      </c>
      <c r="C192" s="7">
        <v>2808480</v>
      </c>
      <c r="D192" s="6">
        <v>1.1473870866798701</v>
      </c>
      <c r="E192" s="6">
        <v>194.47499999999999</v>
      </c>
      <c r="F192" s="6">
        <v>192.28</v>
      </c>
      <c r="G192" s="6">
        <v>195.63</v>
      </c>
      <c r="H192" s="6">
        <v>193.99674200000001</v>
      </c>
      <c r="I192" s="6">
        <v>194.19136</v>
      </c>
      <c r="J192" s="6">
        <v>1.1473863722365401</v>
      </c>
      <c r="K192" s="6">
        <v>-10.457250887628501</v>
      </c>
    </row>
    <row r="193" spans="1:11" ht="15" customHeight="1" x14ac:dyDescent="0.2">
      <c r="A193" s="5">
        <v>45785</v>
      </c>
      <c r="B193" s="3">
        <v>191.74</v>
      </c>
      <c r="C193" s="4">
        <v>3457666</v>
      </c>
      <c r="D193" s="3">
        <v>0.89454851610188901</v>
      </c>
      <c r="E193" s="3">
        <v>192.51</v>
      </c>
      <c r="F193" s="3">
        <v>190.47</v>
      </c>
      <c r="G193" s="3">
        <v>195.035</v>
      </c>
      <c r="H193" s="3">
        <v>191.91811000000001</v>
      </c>
      <c r="I193" s="3">
        <v>191.98850999999999</v>
      </c>
      <c r="J193" s="3">
        <v>0.89455205130373106</v>
      </c>
      <c r="K193" s="3">
        <v>-11.4729976483607</v>
      </c>
    </row>
    <row r="194" spans="1:11" ht="15" customHeight="1" x14ac:dyDescent="0.2">
      <c r="A194" s="8">
        <v>45784</v>
      </c>
      <c r="B194" s="6">
        <v>190.04</v>
      </c>
      <c r="C194" s="7">
        <v>3002722</v>
      </c>
      <c r="D194" s="6">
        <v>1.7508165122878301</v>
      </c>
      <c r="E194" s="6">
        <v>186.58</v>
      </c>
      <c r="F194" s="6">
        <v>184.81</v>
      </c>
      <c r="G194" s="6">
        <v>190.58</v>
      </c>
      <c r="H194" s="6">
        <v>189.95246499999999</v>
      </c>
      <c r="I194" s="6">
        <v>190.28630000000001</v>
      </c>
      <c r="J194" s="6">
        <v>1.7508121267252901</v>
      </c>
      <c r="K194" s="6">
        <v>-12.257896435652601</v>
      </c>
    </row>
    <row r="195" spans="1:11" ht="15" customHeight="1" x14ac:dyDescent="0.2">
      <c r="A195" s="5">
        <v>45783</v>
      </c>
      <c r="B195" s="3">
        <v>186.77</v>
      </c>
      <c r="C195" s="4">
        <v>2844559</v>
      </c>
      <c r="D195" s="3">
        <v>-0.95455268600518295</v>
      </c>
      <c r="E195" s="3">
        <v>185.26</v>
      </c>
      <c r="F195" s="3">
        <v>184.268</v>
      </c>
      <c r="G195" s="3">
        <v>188.25</v>
      </c>
      <c r="H195" s="3">
        <v>186.65756500000001</v>
      </c>
      <c r="I195" s="3">
        <v>187.01206999999999</v>
      </c>
      <c r="J195" s="3">
        <v>-0.95455113593031404</v>
      </c>
      <c r="K195" s="3">
        <v>-13.7676626550468</v>
      </c>
    </row>
    <row r="196" spans="1:11" ht="15" customHeight="1" x14ac:dyDescent="0.2">
      <c r="A196" s="8">
        <v>45782</v>
      </c>
      <c r="B196" s="6">
        <v>188.57</v>
      </c>
      <c r="C196" s="7">
        <v>3323225</v>
      </c>
      <c r="D196" s="6">
        <v>-0.76829974214598296</v>
      </c>
      <c r="E196" s="6">
        <v>188.19</v>
      </c>
      <c r="F196" s="6">
        <v>187.92500000000001</v>
      </c>
      <c r="G196" s="6">
        <v>190.46</v>
      </c>
      <c r="H196" s="6">
        <v>188.52783500000001</v>
      </c>
      <c r="I196" s="6">
        <v>188.81440000000001</v>
      </c>
      <c r="J196" s="6">
        <v>-0.76829856205414804</v>
      </c>
      <c r="K196" s="6">
        <v>-12.9365979619126</v>
      </c>
    </row>
    <row r="197" spans="1:11" ht="15" customHeight="1" x14ac:dyDescent="0.2">
      <c r="A197" s="5">
        <v>45779</v>
      </c>
      <c r="B197" s="3">
        <v>190.03</v>
      </c>
      <c r="C197" s="4">
        <v>4581424</v>
      </c>
      <c r="D197" s="3">
        <v>3.5078163298654501</v>
      </c>
      <c r="E197" s="3">
        <v>187.95</v>
      </c>
      <c r="F197" s="3">
        <v>187.83</v>
      </c>
      <c r="G197" s="3">
        <v>191.87</v>
      </c>
      <c r="H197" s="3">
        <v>190.17023699999999</v>
      </c>
      <c r="I197" s="3">
        <v>190.27628999999999</v>
      </c>
      <c r="J197" s="3">
        <v>3.5078182348123801</v>
      </c>
      <c r="K197" s="3">
        <v>-12.262512104025401</v>
      </c>
    </row>
    <row r="198" spans="1:11" ht="15" customHeight="1" x14ac:dyDescent="0.2">
      <c r="A198" s="8">
        <v>45778</v>
      </c>
      <c r="B198" s="6">
        <v>183.59</v>
      </c>
      <c r="C198" s="7">
        <v>3997602</v>
      </c>
      <c r="D198" s="6">
        <v>-0.135987815491733</v>
      </c>
      <c r="E198" s="6">
        <v>186</v>
      </c>
      <c r="F198" s="6">
        <v>183.47</v>
      </c>
      <c r="G198" s="6">
        <v>187.35</v>
      </c>
      <c r="H198" s="6">
        <v>183.68594300000001</v>
      </c>
      <c r="I198" s="6">
        <v>183.82794000000001</v>
      </c>
      <c r="J198" s="6">
        <v>-0.13598564002070801</v>
      </c>
      <c r="K198" s="6">
        <v>-15.235883248028699</v>
      </c>
    </row>
    <row r="199" spans="1:11" ht="15" customHeight="1" x14ac:dyDescent="0.2">
      <c r="A199" s="5">
        <v>45777</v>
      </c>
      <c r="B199" s="3">
        <v>183.84</v>
      </c>
      <c r="C199" s="4">
        <v>3580528</v>
      </c>
      <c r="D199" s="3">
        <v>0.72872719303052003</v>
      </c>
      <c r="E199" s="3">
        <v>178</v>
      </c>
      <c r="F199" s="3">
        <v>176.76859999999999</v>
      </c>
      <c r="G199" s="3">
        <v>184.38</v>
      </c>
      <c r="H199" s="3">
        <v>184.04192900000001</v>
      </c>
      <c r="I199" s="3">
        <v>184.07826</v>
      </c>
      <c r="J199" s="3">
        <v>0.72872515123951698</v>
      </c>
      <c r="K199" s="3">
        <v>-15.1204592613086</v>
      </c>
    </row>
    <row r="200" spans="1:11" ht="15" customHeight="1" x14ac:dyDescent="0.2">
      <c r="A200" s="8">
        <v>45776</v>
      </c>
      <c r="B200" s="6">
        <v>182.51</v>
      </c>
      <c r="C200" s="7">
        <v>3526968</v>
      </c>
      <c r="D200" s="6">
        <v>-1.0678664353859399</v>
      </c>
      <c r="E200" s="6">
        <v>182.24</v>
      </c>
      <c r="F200" s="6">
        <v>181.2516</v>
      </c>
      <c r="G200" s="6">
        <v>184.54</v>
      </c>
      <c r="H200" s="6">
        <v>182.51062899999999</v>
      </c>
      <c r="I200" s="6">
        <v>182.74654000000001</v>
      </c>
      <c r="J200" s="6">
        <v>-1.0678647236731</v>
      </c>
      <c r="K200" s="6">
        <v>-15.7345229861207</v>
      </c>
    </row>
    <row r="201" spans="1:11" ht="15" customHeight="1" x14ac:dyDescent="0.2">
      <c r="A201" s="5">
        <v>45775</v>
      </c>
      <c r="B201" s="3">
        <v>184.48</v>
      </c>
      <c r="C201" s="4">
        <v>2875390</v>
      </c>
      <c r="D201" s="3">
        <v>-0.17856176613820701</v>
      </c>
      <c r="E201" s="3">
        <v>183.89</v>
      </c>
      <c r="F201" s="3">
        <v>180.44</v>
      </c>
      <c r="G201" s="3">
        <v>185.76</v>
      </c>
      <c r="H201" s="3">
        <v>184.460995</v>
      </c>
      <c r="I201" s="3">
        <v>184.71908999999999</v>
      </c>
      <c r="J201" s="3">
        <v>-0.178557619525721</v>
      </c>
      <c r="K201" s="3">
        <v>-14.824968875363099</v>
      </c>
    </row>
    <row r="202" spans="1:11" ht="15" customHeight="1" x14ac:dyDescent="0.2">
      <c r="A202" s="8">
        <v>45772</v>
      </c>
      <c r="B202" s="6">
        <v>184.81</v>
      </c>
      <c r="C202" s="7">
        <v>4224852</v>
      </c>
      <c r="D202" s="6">
        <v>0.97251816642081002</v>
      </c>
      <c r="E202" s="6">
        <v>181.2</v>
      </c>
      <c r="F202" s="6">
        <v>180.66</v>
      </c>
      <c r="G202" s="6">
        <v>186.12</v>
      </c>
      <c r="H202" s="6">
        <v>184.90079</v>
      </c>
      <c r="I202" s="6">
        <v>185.04951</v>
      </c>
      <c r="J202" s="6">
        <v>0.97251439578307497</v>
      </c>
      <c r="K202" s="6">
        <v>-14.6726103195462</v>
      </c>
    </row>
    <row r="203" spans="1:11" ht="15" customHeight="1" x14ac:dyDescent="0.2">
      <c r="A203" s="5">
        <v>45771</v>
      </c>
      <c r="B203" s="3">
        <v>183.03</v>
      </c>
      <c r="C203" s="4">
        <v>6873428</v>
      </c>
      <c r="D203" s="3">
        <v>5.7548968625411803</v>
      </c>
      <c r="E203" s="3">
        <v>177.8</v>
      </c>
      <c r="F203" s="3">
        <v>176.54</v>
      </c>
      <c r="G203" s="3">
        <v>183.56</v>
      </c>
      <c r="H203" s="3">
        <v>183.35811899999999</v>
      </c>
      <c r="I203" s="3">
        <v>183.26721000000001</v>
      </c>
      <c r="J203" s="3">
        <v>5.7548917791934304</v>
      </c>
      <c r="K203" s="3">
        <v>-15.494439064877501</v>
      </c>
    </row>
    <row r="204" spans="1:11" ht="15" customHeight="1" x14ac:dyDescent="0.2">
      <c r="A204" s="8">
        <v>45770</v>
      </c>
      <c r="B204" s="6">
        <v>173.07</v>
      </c>
      <c r="C204" s="7">
        <v>7323834</v>
      </c>
      <c r="D204" s="6">
        <v>3.7465531710826099</v>
      </c>
      <c r="E204" s="6">
        <v>175.25</v>
      </c>
      <c r="F204" s="6">
        <v>172.35</v>
      </c>
      <c r="G204" s="6">
        <v>177.14</v>
      </c>
      <c r="H204" s="6">
        <v>173.274067</v>
      </c>
      <c r="I204" s="6">
        <v>173.29431</v>
      </c>
      <c r="J204" s="6">
        <v>3.7465529180768602</v>
      </c>
      <c r="K204" s="6">
        <v>-20.0930004149951</v>
      </c>
    </row>
    <row r="205" spans="1:11" ht="15" customHeight="1" x14ac:dyDescent="0.2">
      <c r="A205" s="5">
        <v>45769</v>
      </c>
      <c r="B205" s="3">
        <v>166.82</v>
      </c>
      <c r="C205" s="4">
        <v>4995995</v>
      </c>
      <c r="D205" s="3">
        <v>1.9432901491078101</v>
      </c>
      <c r="E205" s="3">
        <v>165.23</v>
      </c>
      <c r="F205" s="3">
        <v>164.62</v>
      </c>
      <c r="G205" s="3">
        <v>168.02</v>
      </c>
      <c r="H205" s="3">
        <v>166.869394</v>
      </c>
      <c r="I205" s="3">
        <v>167.03621000000001</v>
      </c>
      <c r="J205" s="3">
        <v>1.9432954406193701</v>
      </c>
      <c r="K205" s="3">
        <v>-22.9786461935721</v>
      </c>
    </row>
    <row r="206" spans="1:11" ht="15" customHeight="1" x14ac:dyDescent="0.2">
      <c r="A206" s="8">
        <v>45768</v>
      </c>
      <c r="B206" s="6">
        <v>163.63999999999999</v>
      </c>
      <c r="C206" s="7">
        <v>4769663</v>
      </c>
      <c r="D206" s="6">
        <v>-1.7472230561393101</v>
      </c>
      <c r="E206" s="6">
        <v>163.13999999999999</v>
      </c>
      <c r="F206" s="6">
        <v>160.26</v>
      </c>
      <c r="G206" s="6">
        <v>163.9</v>
      </c>
      <c r="H206" s="6">
        <v>163.53247500000001</v>
      </c>
      <c r="I206" s="6">
        <v>163.85208</v>
      </c>
      <c r="J206" s="6">
        <v>-1.7472222280520799</v>
      </c>
      <c r="K206" s="6">
        <v>-24.4468667865541</v>
      </c>
    </row>
    <row r="207" spans="1:11" ht="15" customHeight="1" x14ac:dyDescent="0.2">
      <c r="A207" s="5">
        <v>45764</v>
      </c>
      <c r="B207" s="3">
        <v>166.55</v>
      </c>
      <c r="C207" s="4">
        <v>4920975</v>
      </c>
      <c r="D207" s="3">
        <v>-0.50182209212018503</v>
      </c>
      <c r="E207" s="3">
        <v>168.57</v>
      </c>
      <c r="F207" s="3">
        <v>164.81</v>
      </c>
      <c r="G207" s="3">
        <v>168.75</v>
      </c>
      <c r="H207" s="3">
        <v>166.57498699999999</v>
      </c>
      <c r="I207" s="3">
        <v>166.76585</v>
      </c>
      <c r="J207" s="3">
        <v>-0.50182883227695096</v>
      </c>
      <c r="K207" s="3">
        <v>-23.103310739152398</v>
      </c>
    </row>
    <row r="208" spans="1:11" ht="15" customHeight="1" x14ac:dyDescent="0.2">
      <c r="A208" s="8">
        <v>45763</v>
      </c>
      <c r="B208" s="6">
        <v>167.39</v>
      </c>
      <c r="C208" s="7">
        <v>10204990</v>
      </c>
      <c r="D208" s="6">
        <v>-3.8596289701912698</v>
      </c>
      <c r="E208" s="6">
        <v>166.33</v>
      </c>
      <c r="F208" s="6">
        <v>161.83000000000001</v>
      </c>
      <c r="G208" s="6">
        <v>169.58</v>
      </c>
      <c r="H208" s="6">
        <v>167.286373</v>
      </c>
      <c r="I208" s="6">
        <v>167.60695000000001</v>
      </c>
      <c r="J208" s="6">
        <v>-3.8596236627448102</v>
      </c>
      <c r="K208" s="6">
        <v>-22.715474708350602</v>
      </c>
    </row>
    <row r="209" spans="1:11" ht="15" customHeight="1" x14ac:dyDescent="0.2">
      <c r="A209" s="5">
        <v>45762</v>
      </c>
      <c r="B209" s="3">
        <v>174.11</v>
      </c>
      <c r="C209" s="4">
        <v>3201102</v>
      </c>
      <c r="D209" s="3">
        <v>0.40945790080739702</v>
      </c>
      <c r="E209" s="3">
        <v>174.32</v>
      </c>
      <c r="F209" s="3">
        <v>173.25</v>
      </c>
      <c r="G209" s="3">
        <v>176.625</v>
      </c>
      <c r="H209" s="3">
        <v>174.21503799999999</v>
      </c>
      <c r="I209" s="3">
        <v>174.33564999999999</v>
      </c>
      <c r="J209" s="3">
        <v>0.40945780016474698</v>
      </c>
      <c r="K209" s="3">
        <v>-19.6128325725088</v>
      </c>
    </row>
    <row r="210" spans="1:11" ht="15" customHeight="1" x14ac:dyDescent="0.2">
      <c r="A210" s="8">
        <v>45761</v>
      </c>
      <c r="B210" s="6">
        <v>173.4</v>
      </c>
      <c r="C210" s="7">
        <v>5657369</v>
      </c>
      <c r="D210" s="6">
        <v>0.66179031696274004</v>
      </c>
      <c r="E210" s="6">
        <v>177.55</v>
      </c>
      <c r="F210" s="6">
        <v>170.79</v>
      </c>
      <c r="G210" s="6">
        <v>177.55</v>
      </c>
      <c r="H210" s="6">
        <v>173.509356</v>
      </c>
      <c r="I210" s="6">
        <v>173.62473</v>
      </c>
      <c r="J210" s="6">
        <v>0.66179179717451497</v>
      </c>
      <c r="K210" s="6">
        <v>-19.940641859178299</v>
      </c>
    </row>
    <row r="211" spans="1:11" ht="15" customHeight="1" x14ac:dyDescent="0.2">
      <c r="A211" s="5">
        <v>45758</v>
      </c>
      <c r="B211" s="3">
        <v>172.26</v>
      </c>
      <c r="C211" s="4">
        <v>9890868</v>
      </c>
      <c r="D211" s="3">
        <v>2.1647589110965901</v>
      </c>
      <c r="E211" s="3">
        <v>166.97499999999999</v>
      </c>
      <c r="F211" s="3">
        <v>164.42</v>
      </c>
      <c r="G211" s="3">
        <v>173.11</v>
      </c>
      <c r="H211" s="3">
        <v>172.57662099999999</v>
      </c>
      <c r="I211" s="3">
        <v>172.48325</v>
      </c>
      <c r="J211" s="3">
        <v>2.1647586557057998</v>
      </c>
      <c r="K211" s="3">
        <v>-20.466984829621399</v>
      </c>
    </row>
    <row r="212" spans="1:11" ht="15" customHeight="1" x14ac:dyDescent="0.2">
      <c r="A212" s="8">
        <v>45757</v>
      </c>
      <c r="B212" s="6">
        <v>168.61</v>
      </c>
      <c r="C212" s="7">
        <v>14499040</v>
      </c>
      <c r="D212" s="6">
        <v>-8.1744907962095503</v>
      </c>
      <c r="E212" s="6">
        <v>174.56</v>
      </c>
      <c r="F212" s="6">
        <v>162.38999999999999</v>
      </c>
      <c r="G212" s="6">
        <v>175.65</v>
      </c>
      <c r="H212" s="6">
        <v>168.52526499999999</v>
      </c>
      <c r="I212" s="6">
        <v>168.82852</v>
      </c>
      <c r="J212" s="6">
        <v>-8.1744892538517497</v>
      </c>
      <c r="K212" s="6">
        <v>-22.152201779868101</v>
      </c>
    </row>
    <row r="213" spans="1:11" ht="15" customHeight="1" x14ac:dyDescent="0.2">
      <c r="A213" s="5">
        <v>45756</v>
      </c>
      <c r="B213" s="3">
        <v>183.62</v>
      </c>
      <c r="C213" s="4">
        <v>23539520</v>
      </c>
      <c r="D213" s="3">
        <v>18.5716130698695</v>
      </c>
      <c r="E213" s="3">
        <v>156.1</v>
      </c>
      <c r="F213" s="3">
        <v>154.94</v>
      </c>
      <c r="G213" s="3">
        <v>185.56</v>
      </c>
      <c r="H213" s="3">
        <v>184.03224800000001</v>
      </c>
      <c r="I213" s="3">
        <v>183.85796999999999</v>
      </c>
      <c r="J213" s="3">
        <v>18.571610988470901</v>
      </c>
      <c r="K213" s="3">
        <v>-15.2220362429105</v>
      </c>
    </row>
    <row r="214" spans="1:11" ht="15" customHeight="1" x14ac:dyDescent="0.2">
      <c r="A214" s="8">
        <v>45755</v>
      </c>
      <c r="B214" s="6">
        <v>154.86000000000001</v>
      </c>
      <c r="C214" s="7">
        <v>11023300</v>
      </c>
      <c r="D214" s="6">
        <v>-3.97470081230234</v>
      </c>
      <c r="E214" s="6">
        <v>167.64</v>
      </c>
      <c r="F214" s="6">
        <v>151.11000000000001</v>
      </c>
      <c r="G214" s="6">
        <v>169.85</v>
      </c>
      <c r="H214" s="6">
        <v>154.68972400000001</v>
      </c>
      <c r="I214" s="6">
        <v>155.0607</v>
      </c>
      <c r="J214" s="6">
        <v>-3.9747082933745701</v>
      </c>
      <c r="K214" s="6">
        <v>-28.500622492737499</v>
      </c>
    </row>
    <row r="215" spans="1:11" ht="15" customHeight="1" x14ac:dyDescent="0.2">
      <c r="A215" s="5">
        <v>45754</v>
      </c>
      <c r="B215" s="3">
        <v>161.27000000000001</v>
      </c>
      <c r="C215" s="4">
        <v>18686460</v>
      </c>
      <c r="D215" s="3">
        <v>2.3092051005519201</v>
      </c>
      <c r="E215" s="3">
        <v>152.03</v>
      </c>
      <c r="F215" s="3">
        <v>148.31</v>
      </c>
      <c r="G215" s="3">
        <v>170.42</v>
      </c>
      <c r="H215" s="3">
        <v>161.21863400000001</v>
      </c>
      <c r="I215" s="3">
        <v>161.47901999999999</v>
      </c>
      <c r="J215" s="3">
        <v>2.30920655396196</v>
      </c>
      <c r="K215" s="3">
        <v>-25.541098353852501</v>
      </c>
    </row>
    <row r="216" spans="1:11" ht="15" customHeight="1" x14ac:dyDescent="0.2">
      <c r="A216" s="8">
        <v>45751</v>
      </c>
      <c r="B216" s="6">
        <v>157.63</v>
      </c>
      <c r="C216" s="7">
        <v>13988420</v>
      </c>
      <c r="D216" s="6">
        <v>-7.4724113641700001</v>
      </c>
      <c r="E216" s="6">
        <v>163.92</v>
      </c>
      <c r="F216" s="6">
        <v>154.61000000000001</v>
      </c>
      <c r="G216" s="6">
        <v>165.76499999999999</v>
      </c>
      <c r="H216" s="6">
        <v>157.20012</v>
      </c>
      <c r="I216" s="6">
        <v>157.83430000000001</v>
      </c>
      <c r="J216" s="6">
        <v>-7.4724119009876802</v>
      </c>
      <c r="K216" s="6">
        <v>-27.221699635726399</v>
      </c>
    </row>
    <row r="217" spans="1:11" ht="15" customHeight="1" x14ac:dyDescent="0.2">
      <c r="A217" s="5">
        <v>45750</v>
      </c>
      <c r="B217" s="3">
        <v>170.36</v>
      </c>
      <c r="C217" s="4">
        <v>9982623</v>
      </c>
      <c r="D217" s="3">
        <v>-10.090774751952701</v>
      </c>
      <c r="E217" s="3">
        <v>179.75</v>
      </c>
      <c r="F217" s="3">
        <v>169.99</v>
      </c>
      <c r="G217" s="3">
        <v>181.14</v>
      </c>
      <c r="H217" s="3">
        <v>170.30205100000001</v>
      </c>
      <c r="I217" s="3">
        <v>170.58080000000001</v>
      </c>
      <c r="J217" s="3">
        <v>-10.090769525689099</v>
      </c>
      <c r="K217" s="3">
        <v>-21.3442154285977</v>
      </c>
    </row>
    <row r="218" spans="1:11" ht="15" customHeight="1" x14ac:dyDescent="0.2">
      <c r="A218" s="8">
        <v>45749</v>
      </c>
      <c r="B218" s="6">
        <v>189.48</v>
      </c>
      <c r="C218" s="7">
        <v>2784763</v>
      </c>
      <c r="D218" s="6">
        <v>0.64269400329313098</v>
      </c>
      <c r="E218" s="6">
        <v>185.39</v>
      </c>
      <c r="F218" s="6">
        <v>184.73</v>
      </c>
      <c r="G218" s="6">
        <v>192.02</v>
      </c>
      <c r="H218" s="6">
        <v>189.533332</v>
      </c>
      <c r="I218" s="6">
        <v>189.72557</v>
      </c>
      <c r="J218" s="6">
        <v>0.64269497225670702</v>
      </c>
      <c r="K218" s="6">
        <v>-12.5164522525015</v>
      </c>
    </row>
    <row r="219" spans="1:11" ht="15" customHeight="1" x14ac:dyDescent="0.2">
      <c r="A219" s="5">
        <v>45748</v>
      </c>
      <c r="B219" s="3">
        <v>188.27</v>
      </c>
      <c r="C219" s="4">
        <v>3108828</v>
      </c>
      <c r="D219" s="3">
        <v>5.31434341287218E-2</v>
      </c>
      <c r="E219" s="3">
        <v>187.45</v>
      </c>
      <c r="F219" s="3">
        <v>183.8</v>
      </c>
      <c r="G219" s="3">
        <v>188.34</v>
      </c>
      <c r="H219" s="3">
        <v>188.290808</v>
      </c>
      <c r="I219" s="3">
        <v>188.51400000000001</v>
      </c>
      <c r="J219" s="3">
        <v>5.3138335668267901E-2</v>
      </c>
      <c r="K219" s="3">
        <v>-13.0751141236685</v>
      </c>
    </row>
    <row r="220" spans="1:11" ht="15" customHeight="1" x14ac:dyDescent="0.2">
      <c r="A220" s="8">
        <v>45747</v>
      </c>
      <c r="B220" s="6">
        <v>188.17</v>
      </c>
      <c r="C220" s="7">
        <v>3843006</v>
      </c>
      <c r="D220" s="6">
        <v>-0.27029891880433399</v>
      </c>
      <c r="E220" s="6">
        <v>184.7</v>
      </c>
      <c r="F220" s="6">
        <v>182.12</v>
      </c>
      <c r="G220" s="6">
        <v>188.3</v>
      </c>
      <c r="H220" s="6">
        <v>188.032703</v>
      </c>
      <c r="I220" s="6">
        <v>188.41388000000001</v>
      </c>
      <c r="J220" s="6">
        <v>-0.270293116515885</v>
      </c>
      <c r="K220" s="6">
        <v>-13.1212800295107</v>
      </c>
    </row>
    <row r="221" spans="1:11" ht="15" customHeight="1" x14ac:dyDescent="0.2">
      <c r="A221" s="5">
        <v>45744</v>
      </c>
      <c r="B221" s="3">
        <v>188.68</v>
      </c>
      <c r="C221" s="4">
        <v>4122301</v>
      </c>
      <c r="D221" s="3">
        <v>-3.0222039473684101</v>
      </c>
      <c r="E221" s="3">
        <v>193.29</v>
      </c>
      <c r="F221" s="3">
        <v>187.44</v>
      </c>
      <c r="G221" s="3">
        <v>194.24</v>
      </c>
      <c r="H221" s="3">
        <v>188.417191</v>
      </c>
      <c r="I221" s="3">
        <v>188.92453</v>
      </c>
      <c r="J221" s="3">
        <v>-3.0222036972540001</v>
      </c>
      <c r="K221" s="3">
        <v>-12.8858163876976</v>
      </c>
    </row>
    <row r="222" spans="1:11" ht="15" customHeight="1" x14ac:dyDescent="0.2">
      <c r="A222" s="8">
        <v>45743</v>
      </c>
      <c r="B222" s="6">
        <v>194.56</v>
      </c>
      <c r="C222" s="7">
        <v>3545897</v>
      </c>
      <c r="D222" s="6">
        <v>-1.9700710434826301</v>
      </c>
      <c r="E222" s="6">
        <v>195.87</v>
      </c>
      <c r="F222" s="6">
        <v>193.38</v>
      </c>
      <c r="G222" s="6">
        <v>197.04</v>
      </c>
      <c r="H222" s="6">
        <v>194.54562000000001</v>
      </c>
      <c r="I222" s="6">
        <v>194.81215</v>
      </c>
      <c r="J222" s="6">
        <v>-1.9700772762746099</v>
      </c>
      <c r="K222" s="6">
        <v>-10.1710010605431</v>
      </c>
    </row>
    <row r="223" spans="1:11" ht="15" customHeight="1" x14ac:dyDescent="0.2">
      <c r="A223" s="5">
        <v>45742</v>
      </c>
      <c r="B223" s="3">
        <v>198.47</v>
      </c>
      <c r="C223" s="4">
        <v>3693809</v>
      </c>
      <c r="D223" s="3">
        <v>-2.8013125030608701</v>
      </c>
      <c r="E223" s="3">
        <v>203.22</v>
      </c>
      <c r="F223" s="3">
        <v>196.44</v>
      </c>
      <c r="G223" s="3">
        <v>204.06</v>
      </c>
      <c r="H223" s="3">
        <v>198.29340400000001</v>
      </c>
      <c r="I223" s="3">
        <v>198.72722999999999</v>
      </c>
      <c r="J223" s="3">
        <v>-2.8013108433244698</v>
      </c>
      <c r="K223" s="3">
        <v>-8.3657352330889498</v>
      </c>
    </row>
    <row r="224" spans="1:11" ht="15" customHeight="1" x14ac:dyDescent="0.2">
      <c r="A224" s="8">
        <v>45741</v>
      </c>
      <c r="B224" s="6">
        <v>204.19</v>
      </c>
      <c r="C224" s="7">
        <v>1419149</v>
      </c>
      <c r="D224" s="6">
        <v>-0.54067218704335596</v>
      </c>
      <c r="E224" s="6">
        <v>205.05</v>
      </c>
      <c r="F224" s="6">
        <v>203.56</v>
      </c>
      <c r="G224" s="6">
        <v>205.71</v>
      </c>
      <c r="H224" s="6">
        <v>204.10460499999999</v>
      </c>
      <c r="I224" s="6">
        <v>204.45464000000001</v>
      </c>
      <c r="J224" s="6">
        <v>-0.54067769640410102</v>
      </c>
      <c r="K224" s="6">
        <v>-5.7247936551851302</v>
      </c>
    </row>
    <row r="225" spans="1:11" ht="15" customHeight="1" x14ac:dyDescent="0.2">
      <c r="A225" s="5">
        <v>45740</v>
      </c>
      <c r="B225" s="3">
        <v>205.3</v>
      </c>
      <c r="C225" s="4">
        <v>3947023</v>
      </c>
      <c r="D225" s="3">
        <v>2.9692045340555802</v>
      </c>
      <c r="E225" s="3">
        <v>203.57</v>
      </c>
      <c r="F225" s="3">
        <v>203.33</v>
      </c>
      <c r="G225" s="3">
        <v>206.66</v>
      </c>
      <c r="H225" s="3">
        <v>205.46541500000001</v>
      </c>
      <c r="I225" s="3">
        <v>205.56609</v>
      </c>
      <c r="J225" s="3">
        <v>2.9692081799289101</v>
      </c>
      <c r="K225" s="3">
        <v>-5.2122976898602804</v>
      </c>
    </row>
    <row r="226" spans="1:11" ht="15" customHeight="1" x14ac:dyDescent="0.2">
      <c r="A226" s="8">
        <v>45737</v>
      </c>
      <c r="B226" s="6">
        <v>199.38</v>
      </c>
      <c r="C226" s="7">
        <v>2873367</v>
      </c>
      <c r="D226" s="6">
        <v>-1.0471983721276501</v>
      </c>
      <c r="E226" s="6">
        <v>197.94</v>
      </c>
      <c r="F226" s="6">
        <v>196.37</v>
      </c>
      <c r="G226" s="6">
        <v>200.14</v>
      </c>
      <c r="H226" s="6">
        <v>199.37384299999999</v>
      </c>
      <c r="I226" s="6">
        <v>199.63840999999999</v>
      </c>
      <c r="J226" s="6">
        <v>-1.04719606541008</v>
      </c>
      <c r="K226" s="6">
        <v>-7.9455849126204603</v>
      </c>
    </row>
    <row r="227" spans="1:11" ht="15" customHeight="1" x14ac:dyDescent="0.2">
      <c r="A227" s="5">
        <v>45736</v>
      </c>
      <c r="B227" s="3">
        <v>201.49</v>
      </c>
      <c r="C227" s="4">
        <v>2265887</v>
      </c>
      <c r="D227" s="3">
        <v>-0.79759736103589496</v>
      </c>
      <c r="E227" s="3">
        <v>200.52</v>
      </c>
      <c r="F227" s="3">
        <v>200.36</v>
      </c>
      <c r="G227" s="3">
        <v>203.72</v>
      </c>
      <c r="H227" s="3">
        <v>201.51320100000001</v>
      </c>
      <c r="I227" s="3">
        <v>201.75113999999999</v>
      </c>
      <c r="J227" s="3">
        <v>-0.79760243788208296</v>
      </c>
      <c r="K227" s="3">
        <v>-6.9713930004150004</v>
      </c>
    </row>
    <row r="228" spans="1:11" ht="15" customHeight="1" x14ac:dyDescent="0.2">
      <c r="A228" s="8">
        <v>45735</v>
      </c>
      <c r="B228" s="6">
        <v>203.11</v>
      </c>
      <c r="C228" s="7">
        <v>2330806</v>
      </c>
      <c r="D228" s="6">
        <v>0.81401697523204497</v>
      </c>
      <c r="E228" s="6">
        <v>201.495</v>
      </c>
      <c r="F228" s="6">
        <v>200</v>
      </c>
      <c r="G228" s="6">
        <v>206.43</v>
      </c>
      <c r="H228" s="6">
        <v>203.12529000000001</v>
      </c>
      <c r="I228" s="6">
        <v>203.37325000000001</v>
      </c>
      <c r="J228" s="6">
        <v>0.81402417306879404</v>
      </c>
      <c r="K228" s="6">
        <v>-6.2234287822197496</v>
      </c>
    </row>
    <row r="229" spans="1:11" ht="15" customHeight="1" x14ac:dyDescent="0.2">
      <c r="A229" s="5">
        <v>45734</v>
      </c>
      <c r="B229" s="3">
        <v>201.47</v>
      </c>
      <c r="C229" s="4">
        <v>2470833</v>
      </c>
      <c r="D229" s="3">
        <v>-1.4527489728037499</v>
      </c>
      <c r="E229" s="3">
        <v>202.11</v>
      </c>
      <c r="F229" s="3">
        <v>200.18</v>
      </c>
      <c r="G229" s="3">
        <v>203.05</v>
      </c>
      <c r="H229" s="3">
        <v>201.36619999999999</v>
      </c>
      <c r="I229" s="3">
        <v>201.73111</v>
      </c>
      <c r="J229" s="3">
        <v>-1.32502934846409</v>
      </c>
      <c r="K229" s="3">
        <v>-6.9806289482178201</v>
      </c>
    </row>
    <row r="230" spans="1:11" ht="15" customHeight="1" x14ac:dyDescent="0.2">
      <c r="A230" s="8">
        <v>45733</v>
      </c>
      <c r="B230" s="6">
        <v>204.44</v>
      </c>
      <c r="C230" s="7">
        <v>2743139</v>
      </c>
      <c r="D230" s="6">
        <v>1.65075576770086</v>
      </c>
      <c r="E230" s="6">
        <v>200.31</v>
      </c>
      <c r="F230" s="6">
        <v>200.21</v>
      </c>
      <c r="G230" s="6">
        <v>206.26</v>
      </c>
      <c r="H230" s="6">
        <v>204.521322</v>
      </c>
      <c r="I230" s="6">
        <v>204.44</v>
      </c>
      <c r="J230" s="6">
        <v>1.65075576770086</v>
      </c>
      <c r="K230" s="6">
        <v>-5.7315442430949401</v>
      </c>
    </row>
    <row r="231" spans="1:11" ht="15" customHeight="1" x14ac:dyDescent="0.2">
      <c r="A231" s="5">
        <v>45730</v>
      </c>
      <c r="B231" s="3">
        <v>201.12</v>
      </c>
      <c r="C231" s="4">
        <v>3696844</v>
      </c>
      <c r="D231" s="3">
        <v>3.0855971296770801</v>
      </c>
      <c r="E231" s="3">
        <v>198.5</v>
      </c>
      <c r="F231" s="3">
        <v>198.32</v>
      </c>
      <c r="G231" s="3">
        <v>201.70500000000001</v>
      </c>
      <c r="H231" s="3">
        <v>201.25391500000001</v>
      </c>
      <c r="I231" s="3">
        <v>201.12</v>
      </c>
      <c r="J231" s="3">
        <v>3.0855971296770801</v>
      </c>
      <c r="K231" s="3">
        <v>-7.26241527182182</v>
      </c>
    </row>
    <row r="232" spans="1:11" ht="15" customHeight="1" x14ac:dyDescent="0.2">
      <c r="A232" s="8">
        <v>45729</v>
      </c>
      <c r="B232" s="6">
        <v>195.1</v>
      </c>
      <c r="C232" s="7">
        <v>2504164</v>
      </c>
      <c r="D232" s="6">
        <v>-0.499796001631991</v>
      </c>
      <c r="E232" s="6">
        <v>196.07</v>
      </c>
      <c r="F232" s="6">
        <v>193.18</v>
      </c>
      <c r="G232" s="6">
        <v>199.24</v>
      </c>
      <c r="H232" s="6">
        <v>195.014242</v>
      </c>
      <c r="I232" s="6">
        <v>195.1</v>
      </c>
      <c r="J232" s="6">
        <v>-0.499796001631991</v>
      </c>
      <c r="K232" s="6">
        <v>-10.038271775718099</v>
      </c>
    </row>
    <row r="233" spans="1:11" ht="15" customHeight="1" x14ac:dyDescent="0.2">
      <c r="A233" s="5">
        <v>45728</v>
      </c>
      <c r="B233" s="3">
        <v>196.08</v>
      </c>
      <c r="C233" s="4">
        <v>3143006</v>
      </c>
      <c r="D233" s="3">
        <v>2.0612117426608498</v>
      </c>
      <c r="E233" s="3">
        <v>196.7</v>
      </c>
      <c r="F233" s="3">
        <v>194.32</v>
      </c>
      <c r="G233" s="3">
        <v>198.69</v>
      </c>
      <c r="H233" s="3">
        <v>196.15360000000001</v>
      </c>
      <c r="I233" s="3">
        <v>196.08</v>
      </c>
      <c r="J233" s="3">
        <v>2.0612117426608498</v>
      </c>
      <c r="K233" s="3">
        <v>-9.5863881588047999</v>
      </c>
    </row>
    <row r="234" spans="1:11" ht="15" customHeight="1" x14ac:dyDescent="0.2">
      <c r="A234" s="8">
        <v>45727</v>
      </c>
      <c r="B234" s="6">
        <v>192.12</v>
      </c>
      <c r="C234" s="7">
        <v>3776566</v>
      </c>
      <c r="D234" s="6">
        <v>-1.18300586359426</v>
      </c>
      <c r="E234" s="6">
        <v>194.52</v>
      </c>
      <c r="F234" s="6">
        <v>189.11</v>
      </c>
      <c r="G234" s="6">
        <v>196.31</v>
      </c>
      <c r="H234" s="6">
        <v>192.07495299999999</v>
      </c>
      <c r="I234" s="6">
        <v>192.12</v>
      </c>
      <c r="J234" s="6">
        <v>-1.18300586359426</v>
      </c>
      <c r="K234" s="6">
        <v>-11.41236685572</v>
      </c>
    </row>
    <row r="235" spans="1:11" ht="15" customHeight="1" x14ac:dyDescent="0.2">
      <c r="A235" s="5">
        <v>45726</v>
      </c>
      <c r="B235" s="3">
        <v>194.42</v>
      </c>
      <c r="C235" s="4">
        <v>5410827</v>
      </c>
      <c r="D235" s="3">
        <v>-4.6259504537650198</v>
      </c>
      <c r="E235" s="3">
        <v>198.82</v>
      </c>
      <c r="F235" s="3">
        <v>191.5608</v>
      </c>
      <c r="G235" s="3">
        <v>200.28</v>
      </c>
      <c r="H235" s="3">
        <v>194.280261</v>
      </c>
      <c r="I235" s="3">
        <v>194.42</v>
      </c>
      <c r="J235" s="3">
        <v>-4.6259504537650198</v>
      </c>
      <c r="K235" s="3">
        <v>-10.3518236731682</v>
      </c>
    </row>
    <row r="236" spans="1:11" ht="15" customHeight="1" x14ac:dyDescent="0.2">
      <c r="A236" s="8">
        <v>45723</v>
      </c>
      <c r="B236" s="6">
        <v>203.85</v>
      </c>
      <c r="C236" s="7">
        <v>3713680</v>
      </c>
      <c r="D236" s="6">
        <v>2.9337507574227399</v>
      </c>
      <c r="E236" s="6">
        <v>198.8</v>
      </c>
      <c r="F236" s="6">
        <v>196.48</v>
      </c>
      <c r="G236" s="6">
        <v>204.54</v>
      </c>
      <c r="H236" s="6">
        <v>203.953936</v>
      </c>
      <c r="I236" s="6">
        <v>203.85</v>
      </c>
      <c r="J236" s="6">
        <v>2.9337507574227399</v>
      </c>
      <c r="K236" s="6">
        <v>-6.0035966247060397</v>
      </c>
    </row>
    <row r="237" spans="1:11" ht="15" customHeight="1" x14ac:dyDescent="0.2">
      <c r="A237" s="5">
        <v>45722</v>
      </c>
      <c r="B237" s="3">
        <v>198.04</v>
      </c>
      <c r="C237" s="4">
        <v>5088703</v>
      </c>
      <c r="D237" s="3">
        <v>-4.1571891787252602</v>
      </c>
      <c r="E237" s="3">
        <v>199.58</v>
      </c>
      <c r="F237" s="3">
        <v>197.33</v>
      </c>
      <c r="G237" s="3">
        <v>203.72</v>
      </c>
      <c r="H237" s="3">
        <v>197.96666200000001</v>
      </c>
      <c r="I237" s="3">
        <v>198.04</v>
      </c>
      <c r="J237" s="3">
        <v>-4.1571891787252602</v>
      </c>
      <c r="K237" s="3">
        <v>-8.6826209249780995</v>
      </c>
    </row>
    <row r="238" spans="1:11" ht="15" customHeight="1" x14ac:dyDescent="0.2">
      <c r="A238" s="8">
        <v>45721</v>
      </c>
      <c r="B238" s="6">
        <v>206.63</v>
      </c>
      <c r="C238" s="7">
        <v>3312542</v>
      </c>
      <c r="D238" s="6">
        <v>2.15553468136648</v>
      </c>
      <c r="E238" s="6">
        <v>204.54</v>
      </c>
      <c r="F238" s="6">
        <v>200.57</v>
      </c>
      <c r="G238" s="6">
        <v>207.29</v>
      </c>
      <c r="H238" s="6">
        <v>206.68414200000001</v>
      </c>
      <c r="I238" s="6">
        <v>206.63</v>
      </c>
      <c r="J238" s="6">
        <v>2.15553468136648</v>
      </c>
      <c r="K238" s="6">
        <v>-4.7217226910130501</v>
      </c>
    </row>
    <row r="239" spans="1:11" ht="15" customHeight="1" x14ac:dyDescent="0.2">
      <c r="A239" s="5">
        <v>45720</v>
      </c>
      <c r="B239" s="3">
        <v>202.27</v>
      </c>
      <c r="C239" s="4">
        <v>5487928</v>
      </c>
      <c r="D239" s="3">
        <v>0.55679840914739598</v>
      </c>
      <c r="E239" s="3">
        <v>200.8</v>
      </c>
      <c r="F239" s="3">
        <v>196.7</v>
      </c>
      <c r="G239" s="3">
        <v>207.62</v>
      </c>
      <c r="H239" s="3">
        <v>202.244373</v>
      </c>
      <c r="I239" s="3">
        <v>202.27</v>
      </c>
      <c r="J239" s="3">
        <v>0.55679840914739598</v>
      </c>
      <c r="K239" s="3">
        <v>-6.7321436805459403</v>
      </c>
    </row>
    <row r="240" spans="1:11" ht="15" customHeight="1" x14ac:dyDescent="0.2">
      <c r="A240" s="8">
        <v>45719</v>
      </c>
      <c r="B240" s="6">
        <v>201.15</v>
      </c>
      <c r="C240" s="7">
        <v>5067773</v>
      </c>
      <c r="D240" s="6">
        <v>-3.5344331478994802</v>
      </c>
      <c r="E240" s="6">
        <v>211.51</v>
      </c>
      <c r="F240" s="6">
        <v>199.32</v>
      </c>
      <c r="G240" s="6">
        <v>211.65</v>
      </c>
      <c r="H240" s="6">
        <v>201.07620800000001</v>
      </c>
      <c r="I240" s="6">
        <v>201.15</v>
      </c>
      <c r="J240" s="6">
        <v>-3.5344331478994802</v>
      </c>
      <c r="K240" s="6">
        <v>-7.2485820998754997</v>
      </c>
    </row>
    <row r="241" spans="1:11" ht="15" customHeight="1" x14ac:dyDescent="0.2">
      <c r="A241" s="5">
        <v>45716</v>
      </c>
      <c r="B241" s="3">
        <v>208.52</v>
      </c>
      <c r="C241" s="4">
        <v>3722143</v>
      </c>
      <c r="D241" s="3">
        <v>1.5931790499390901</v>
      </c>
      <c r="E241" s="3">
        <v>205.37</v>
      </c>
      <c r="F241" s="3">
        <v>203.12</v>
      </c>
      <c r="G241" s="3">
        <v>210.05</v>
      </c>
      <c r="H241" s="3">
        <v>208.48029600000001</v>
      </c>
      <c r="I241" s="3">
        <v>208.52</v>
      </c>
      <c r="J241" s="3">
        <v>1.5931790499390901</v>
      </c>
      <c r="K241" s="3">
        <v>-3.8502328583944201</v>
      </c>
    </row>
    <row r="242" spans="1:11" ht="15" customHeight="1" x14ac:dyDescent="0.2">
      <c r="A242" s="8">
        <v>45715</v>
      </c>
      <c r="B242" s="6">
        <v>205.25</v>
      </c>
      <c r="C242" s="7">
        <v>4349108</v>
      </c>
      <c r="D242" s="6">
        <v>-5.8227034963751398</v>
      </c>
      <c r="E242" s="6">
        <v>219.18</v>
      </c>
      <c r="F242" s="6">
        <v>204.92</v>
      </c>
      <c r="G242" s="6">
        <v>219.5</v>
      </c>
      <c r="H242" s="6">
        <v>205.04564099999999</v>
      </c>
      <c r="I242" s="6">
        <v>205.25</v>
      </c>
      <c r="J242" s="6">
        <v>-5.8227034963751398</v>
      </c>
      <c r="K242" s="6">
        <v>-5.3580486005440999</v>
      </c>
    </row>
    <row r="243" spans="1:11" ht="15" customHeight="1" x14ac:dyDescent="0.2">
      <c r="A243" s="5">
        <v>45714</v>
      </c>
      <c r="B243" s="3">
        <v>217.94</v>
      </c>
      <c r="C243" s="4">
        <v>2562568</v>
      </c>
      <c r="D243" s="3">
        <v>1.7412819196115801</v>
      </c>
      <c r="E243" s="3">
        <v>216.95</v>
      </c>
      <c r="F243" s="3">
        <v>215.58</v>
      </c>
      <c r="G243" s="3">
        <v>219.8</v>
      </c>
      <c r="H243" s="3">
        <v>217.94355300000001</v>
      </c>
      <c r="I243" s="3">
        <v>217.94</v>
      </c>
      <c r="J243" s="3">
        <v>1.7412819196115801</v>
      </c>
      <c r="K243" s="3">
        <v>0.49338313275233697</v>
      </c>
    </row>
    <row r="244" spans="1:11" ht="15" customHeight="1" x14ac:dyDescent="0.2">
      <c r="A244" s="8">
        <v>45713</v>
      </c>
      <c r="B244" s="6">
        <v>214.21</v>
      </c>
      <c r="C244" s="7">
        <v>3514151</v>
      </c>
      <c r="D244" s="6">
        <v>-2.06199707388441</v>
      </c>
      <c r="E244" s="6">
        <v>218.45</v>
      </c>
      <c r="F244" s="6">
        <v>213.58</v>
      </c>
      <c r="G244" s="6">
        <v>219.2225</v>
      </c>
      <c r="H244" s="6">
        <v>214.12825900000001</v>
      </c>
      <c r="I244" s="6">
        <v>214.21</v>
      </c>
      <c r="J244" s="6">
        <v>-2.06199707388441</v>
      </c>
      <c r="K244" s="6">
        <v>-1.2265412459076801</v>
      </c>
    </row>
    <row r="245" spans="1:11" ht="15" customHeight="1" x14ac:dyDescent="0.2">
      <c r="A245" s="5">
        <v>45712</v>
      </c>
      <c r="B245" s="3">
        <v>218.72</v>
      </c>
      <c r="C245" s="4">
        <v>3372810</v>
      </c>
      <c r="D245" s="3">
        <v>-2.3484239664255702</v>
      </c>
      <c r="E245" s="3">
        <v>224.97</v>
      </c>
      <c r="F245" s="3">
        <v>218.54</v>
      </c>
      <c r="G245" s="3">
        <v>225.34</v>
      </c>
      <c r="H245" s="3">
        <v>218.68818300000001</v>
      </c>
      <c r="I245" s="3">
        <v>218.72</v>
      </c>
      <c r="J245" s="3">
        <v>-2.3484239664255702</v>
      </c>
      <c r="K245" s="3">
        <v>0.85304560335684698</v>
      </c>
    </row>
    <row r="246" spans="1:11" ht="15" customHeight="1" x14ac:dyDescent="0.2">
      <c r="A246" s="8">
        <v>45709</v>
      </c>
      <c r="B246" s="6">
        <v>223.98</v>
      </c>
      <c r="C246" s="7">
        <v>2946986</v>
      </c>
      <c r="D246" s="6">
        <v>-3.0683342710001198</v>
      </c>
      <c r="E246" s="6">
        <v>231.76</v>
      </c>
      <c r="F246" s="6">
        <v>223.13</v>
      </c>
      <c r="G246" s="6">
        <v>231.85</v>
      </c>
      <c r="H246" s="6">
        <v>223.93583699999999</v>
      </c>
      <c r="I246" s="6">
        <v>223.98</v>
      </c>
      <c r="J246" s="6">
        <v>-3.0683342710001198</v>
      </c>
      <c r="K246" s="6">
        <v>3.27846175127956</v>
      </c>
    </row>
    <row r="247" spans="1:11" ht="15" customHeight="1" x14ac:dyDescent="0.2">
      <c r="A247" s="5">
        <v>45708</v>
      </c>
      <c r="B247" s="3">
        <v>231.07</v>
      </c>
      <c r="C247" s="4">
        <v>2642349</v>
      </c>
      <c r="D247" s="3">
        <v>0.23424283173556401</v>
      </c>
      <c r="E247" s="3">
        <v>231.995</v>
      </c>
      <c r="F247" s="3">
        <v>228.75</v>
      </c>
      <c r="G247" s="3">
        <v>233.44</v>
      </c>
      <c r="H247" s="3">
        <v>231.110646</v>
      </c>
      <c r="I247" s="3">
        <v>231.07</v>
      </c>
      <c r="J247" s="3">
        <v>0.23424283173556401</v>
      </c>
      <c r="K247" s="3">
        <v>6.5477013879282397</v>
      </c>
    </row>
    <row r="248" spans="1:11" ht="15" customHeight="1" x14ac:dyDescent="0.2">
      <c r="A248" s="8">
        <v>45707</v>
      </c>
      <c r="B248" s="6">
        <v>230.53</v>
      </c>
      <c r="C248" s="7">
        <v>2635670</v>
      </c>
      <c r="D248" s="6">
        <v>1.66255071441172</v>
      </c>
      <c r="E248" s="6">
        <v>227.15</v>
      </c>
      <c r="F248" s="6">
        <v>226.26</v>
      </c>
      <c r="G248" s="6">
        <v>231.62</v>
      </c>
      <c r="H248" s="6">
        <v>230.60148799999999</v>
      </c>
      <c r="I248" s="6">
        <v>230.53</v>
      </c>
      <c r="J248" s="6">
        <v>1.66255071441172</v>
      </c>
      <c r="K248" s="6">
        <v>6.2987042928943504</v>
      </c>
    </row>
    <row r="249" spans="1:11" ht="15" customHeight="1" x14ac:dyDescent="0.2">
      <c r="A249" s="5">
        <v>45706</v>
      </c>
      <c r="B249" s="3">
        <v>226.76</v>
      </c>
      <c r="C249" s="4">
        <v>3605031</v>
      </c>
      <c r="D249" s="3">
        <v>1.6541892679428001</v>
      </c>
      <c r="E249" s="3">
        <v>224.7</v>
      </c>
      <c r="F249" s="3">
        <v>223.47</v>
      </c>
      <c r="G249" s="3">
        <v>227.47</v>
      </c>
      <c r="H249" s="3">
        <v>226.865948</v>
      </c>
      <c r="I249" s="3">
        <v>226.76</v>
      </c>
      <c r="J249" s="3">
        <v>1.6541892679428001</v>
      </c>
      <c r="K249" s="3">
        <v>4.56033568497255</v>
      </c>
    </row>
    <row r="250" spans="1:11" ht="15" customHeight="1" x14ac:dyDescent="0.2">
      <c r="A250" s="8">
        <v>45702</v>
      </c>
      <c r="B250" s="6">
        <v>223.07</v>
      </c>
      <c r="C250" s="7">
        <v>1566517</v>
      </c>
      <c r="D250" s="6">
        <v>0.10321306767187</v>
      </c>
      <c r="E250" s="6">
        <v>222.82</v>
      </c>
      <c r="F250" s="6">
        <v>221.92</v>
      </c>
      <c r="G250" s="6">
        <v>223.77</v>
      </c>
      <c r="H250" s="6">
        <v>223.051074</v>
      </c>
      <c r="I250" s="6">
        <v>223.07</v>
      </c>
      <c r="J250" s="6">
        <v>0.10321306767187</v>
      </c>
      <c r="K250" s="6">
        <v>2.8588555355743002</v>
      </c>
    </row>
    <row r="251" spans="1:11" ht="15" customHeight="1" x14ac:dyDescent="0.2">
      <c r="A251" s="5">
        <v>45701</v>
      </c>
      <c r="B251" s="3">
        <v>222.84</v>
      </c>
      <c r="C251" s="4">
        <v>2546770</v>
      </c>
      <c r="D251" s="3">
        <v>1.22649223221587</v>
      </c>
      <c r="E251" s="3">
        <v>219.95</v>
      </c>
      <c r="F251" s="3">
        <v>219.88499999999999</v>
      </c>
      <c r="G251" s="3">
        <v>222.99</v>
      </c>
      <c r="H251" s="3">
        <v>222.89999900000001</v>
      </c>
      <c r="I251" s="3">
        <v>222.84</v>
      </c>
      <c r="J251" s="3">
        <v>1.22649223221587</v>
      </c>
      <c r="K251" s="3">
        <v>2.7528012173191301</v>
      </c>
    </row>
    <row r="252" spans="1:11" ht="15" customHeight="1" x14ac:dyDescent="0.2">
      <c r="A252" s="8">
        <v>45700</v>
      </c>
      <c r="B252" s="6">
        <v>220.14</v>
      </c>
      <c r="C252" s="7">
        <v>2017516</v>
      </c>
      <c r="D252" s="6">
        <v>0.10914051841746</v>
      </c>
      <c r="E252" s="6">
        <v>216.44</v>
      </c>
      <c r="F252" s="6">
        <v>215.95</v>
      </c>
      <c r="G252" s="6">
        <v>220.22</v>
      </c>
      <c r="H252" s="6">
        <v>220.138622</v>
      </c>
      <c r="I252" s="6">
        <v>220.14</v>
      </c>
      <c r="J252" s="6">
        <v>0.10914051841746</v>
      </c>
      <c r="K252" s="6">
        <v>1.5078157421496601</v>
      </c>
    </row>
    <row r="253" spans="1:11" ht="15" customHeight="1" x14ac:dyDescent="0.2">
      <c r="A253" s="5">
        <v>45699</v>
      </c>
      <c r="B253" s="3">
        <v>219.9</v>
      </c>
      <c r="C253" s="4">
        <v>1550036</v>
      </c>
      <c r="D253" s="3">
        <v>9.1033227127912397E-2</v>
      </c>
      <c r="E253" s="3">
        <v>217.89</v>
      </c>
      <c r="F253" s="3">
        <v>217.89</v>
      </c>
      <c r="G253" s="3">
        <v>221.17</v>
      </c>
      <c r="H253" s="3">
        <v>219.817351</v>
      </c>
      <c r="I253" s="3">
        <v>219.9</v>
      </c>
      <c r="J253" s="3">
        <v>9.1033227127912397E-2</v>
      </c>
      <c r="K253" s="3">
        <v>1.3971503665790499</v>
      </c>
    </row>
    <row r="254" spans="1:11" ht="15" customHeight="1" x14ac:dyDescent="0.2">
      <c r="A254" s="8">
        <v>45698</v>
      </c>
      <c r="B254" s="6">
        <v>219.7</v>
      </c>
      <c r="C254" s="7">
        <v>2698566</v>
      </c>
      <c r="D254" s="6">
        <v>1.3049292202701901</v>
      </c>
      <c r="E254" s="6">
        <v>218.45</v>
      </c>
      <c r="F254" s="6">
        <v>218.42</v>
      </c>
      <c r="G254" s="6">
        <v>220.25</v>
      </c>
      <c r="H254" s="6">
        <v>219.775599</v>
      </c>
      <c r="I254" s="6">
        <v>219.7</v>
      </c>
      <c r="J254" s="6">
        <v>1.3049292202701901</v>
      </c>
      <c r="K254" s="6">
        <v>1.3049292202702001</v>
      </c>
    </row>
    <row r="255" spans="1:11" ht="15" customHeight="1" x14ac:dyDescent="0.2">
      <c r="A255" s="5">
        <v>45695</v>
      </c>
      <c r="B255" s="3">
        <v>216.87</v>
      </c>
      <c r="C255" s="4">
        <v>3297641</v>
      </c>
      <c r="D255" s="3"/>
      <c r="E255" s="3">
        <v>220.81</v>
      </c>
      <c r="F255" s="3">
        <v>215.39</v>
      </c>
      <c r="G255" s="3">
        <v>222.08</v>
      </c>
      <c r="H255" s="3">
        <v>216.79427999999999</v>
      </c>
      <c r="I255" s="3">
        <v>216.87</v>
      </c>
      <c r="J255" s="3"/>
      <c r="K255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264E-087E-47D0-AE70-BE485A111E8A}">
  <sheetPr>
    <outlinePr summaryBelow="0" summaryRight="0"/>
  </sheetPr>
  <dimension ref="A1:K255"/>
  <sheetViews>
    <sheetView workbookViewId="0">
      <pane ySplit="3" topLeftCell="A237" activePane="bottomLeft" state="frozen"/>
      <selection pane="bottomLeft" activeCell="I249" sqref="I249"/>
    </sheetView>
  </sheetViews>
  <sheetFormatPr baseColWidth="10" defaultColWidth="9.140625" defaultRowHeight="15" customHeight="1" x14ac:dyDescent="0.2"/>
  <cols>
    <col min="1" max="1" width="8.42578125" style="2" customWidth="1"/>
    <col min="2" max="2" width="6.85546875" style="2" customWidth="1"/>
    <col min="3" max="3" width="8.28515625" style="2" customWidth="1"/>
    <col min="4" max="4" width="10.28515625" style="2" customWidth="1"/>
    <col min="5" max="8" width="6.85546875" style="2" customWidth="1"/>
    <col min="9" max="9" width="19.140625" style="2" customWidth="1"/>
    <col min="10" max="10" width="9.28515625" style="2" customWidth="1"/>
    <col min="11" max="11" width="20.140625" style="2" customWidth="1"/>
    <col min="12" max="16384" width="9.140625" style="2"/>
  </cols>
  <sheetData>
    <row r="1" spans="1:11" ht="15" customHeight="1" x14ac:dyDescent="0.2">
      <c r="A1" s="10" t="s">
        <v>19</v>
      </c>
    </row>
    <row r="3" spans="1:11" ht="15" customHeight="1" x14ac:dyDescent="0.2">
      <c r="A3" s="9" t="s">
        <v>17</v>
      </c>
      <c r="B3" s="9" t="s">
        <v>16</v>
      </c>
      <c r="C3" s="9" t="s">
        <v>15</v>
      </c>
      <c r="D3" s="9" t="s">
        <v>14</v>
      </c>
      <c r="E3" s="9" t="s">
        <v>13</v>
      </c>
      <c r="F3" s="9" t="s">
        <v>12</v>
      </c>
      <c r="G3" s="9" t="s">
        <v>11</v>
      </c>
      <c r="H3" s="9" t="s">
        <v>10</v>
      </c>
      <c r="I3" s="9" t="s">
        <v>9</v>
      </c>
      <c r="J3" s="9" t="s">
        <v>8</v>
      </c>
      <c r="K3" s="9" t="s">
        <v>7</v>
      </c>
    </row>
    <row r="4" spans="1:11" ht="15" customHeight="1" x14ac:dyDescent="0.2">
      <c r="A4" s="8">
        <v>46062</v>
      </c>
      <c r="B4" s="6">
        <v>174.37</v>
      </c>
      <c r="C4" s="7">
        <v>1569991</v>
      </c>
      <c r="D4" s="6">
        <v>-0.34861126985940399</v>
      </c>
      <c r="E4" s="6">
        <v>175.02</v>
      </c>
      <c r="F4" s="6">
        <v>173.1138</v>
      </c>
      <c r="G4" s="6">
        <v>175.02</v>
      </c>
      <c r="H4" s="6"/>
      <c r="I4" s="6">
        <v>174.82035999999999</v>
      </c>
      <c r="J4" s="6">
        <v>-0.34860814676096402</v>
      </c>
      <c r="K4" s="6">
        <v>26.985080264400299</v>
      </c>
    </row>
    <row r="5" spans="1:11" ht="15" customHeight="1" x14ac:dyDescent="0.2">
      <c r="A5" s="5">
        <v>46059</v>
      </c>
      <c r="B5" s="3">
        <v>174.98</v>
      </c>
      <c r="C5" s="4">
        <v>2486423</v>
      </c>
      <c r="D5" s="3">
        <v>2.90519877675841</v>
      </c>
      <c r="E5" s="3">
        <v>171.785</v>
      </c>
      <c r="F5" s="3">
        <v>171.17</v>
      </c>
      <c r="G5" s="3">
        <v>175.16</v>
      </c>
      <c r="H5" s="3">
        <v>174.92981499999999</v>
      </c>
      <c r="I5" s="3">
        <v>175.43192999999999</v>
      </c>
      <c r="J5" s="3">
        <v>2.9051995032589502</v>
      </c>
      <c r="K5" s="3">
        <v>27.429309217694399</v>
      </c>
    </row>
    <row r="6" spans="1:11" ht="15" customHeight="1" x14ac:dyDescent="0.2">
      <c r="A6" s="8">
        <v>46058</v>
      </c>
      <c r="B6" s="6">
        <v>170.04</v>
      </c>
      <c r="C6" s="7">
        <v>2848925</v>
      </c>
      <c r="D6" s="6">
        <v>-2.3039356506751001</v>
      </c>
      <c r="E6" s="6">
        <v>173.59</v>
      </c>
      <c r="F6" s="6">
        <v>169.67</v>
      </c>
      <c r="G6" s="6">
        <v>176.28</v>
      </c>
      <c r="H6" s="6">
        <v>170.12471199999999</v>
      </c>
      <c r="I6" s="6">
        <v>170.47917000000001</v>
      </c>
      <c r="J6" s="6">
        <v>-2.30394303618221</v>
      </c>
      <c r="K6" s="6">
        <v>23.831749836565699</v>
      </c>
    </row>
    <row r="7" spans="1:11" ht="15" customHeight="1" x14ac:dyDescent="0.2">
      <c r="A7" s="5">
        <v>46057</v>
      </c>
      <c r="B7" s="3">
        <v>174.05</v>
      </c>
      <c r="C7" s="4">
        <v>2978111</v>
      </c>
      <c r="D7" s="3">
        <v>0.14384349827387599</v>
      </c>
      <c r="E7" s="3">
        <v>175.2</v>
      </c>
      <c r="F7" s="3">
        <v>172.48</v>
      </c>
      <c r="G7" s="3">
        <v>175.63</v>
      </c>
      <c r="H7" s="3">
        <v>174.02124499999999</v>
      </c>
      <c r="I7" s="3">
        <v>174.49954</v>
      </c>
      <c r="J7" s="3">
        <v>0.143845966536715</v>
      </c>
      <c r="K7" s="3">
        <v>26.752044744679299</v>
      </c>
    </row>
    <row r="8" spans="1:11" ht="15" customHeight="1" x14ac:dyDescent="0.2">
      <c r="A8" s="8">
        <v>46056</v>
      </c>
      <c r="B8" s="6">
        <v>173.8</v>
      </c>
      <c r="C8" s="7">
        <v>3664984</v>
      </c>
      <c r="D8" s="6">
        <v>-0.19524520500745399</v>
      </c>
      <c r="E8" s="6">
        <v>174.08</v>
      </c>
      <c r="F8" s="6">
        <v>172.71</v>
      </c>
      <c r="G8" s="6">
        <v>176.86</v>
      </c>
      <c r="H8" s="6">
        <v>173.87490399999999</v>
      </c>
      <c r="I8" s="6">
        <v>174.24888999999999</v>
      </c>
      <c r="J8" s="6">
        <v>-0.19524626213780399</v>
      </c>
      <c r="K8" s="6">
        <v>26.569978935134699</v>
      </c>
    </row>
    <row r="9" spans="1:11" ht="15" customHeight="1" x14ac:dyDescent="0.2">
      <c r="A9" s="5">
        <v>46055</v>
      </c>
      <c r="B9" s="3">
        <v>174.14</v>
      </c>
      <c r="C9" s="4">
        <v>1585092</v>
      </c>
      <c r="D9" s="3">
        <v>0.99170677956270603</v>
      </c>
      <c r="E9" s="3">
        <v>171.52</v>
      </c>
      <c r="F9" s="3">
        <v>171.21</v>
      </c>
      <c r="G9" s="3">
        <v>174.28</v>
      </c>
      <c r="H9" s="3">
        <v>174.190415</v>
      </c>
      <c r="I9" s="3">
        <v>174.58976999999999</v>
      </c>
      <c r="J9" s="3">
        <v>0.99170876588245904</v>
      </c>
      <c r="K9" s="3">
        <v>26.817585530616601</v>
      </c>
    </row>
    <row r="10" spans="1:11" ht="15" customHeight="1" x14ac:dyDescent="0.2">
      <c r="A10" s="8">
        <v>46052</v>
      </c>
      <c r="B10" s="6">
        <v>172.43</v>
      </c>
      <c r="C10" s="7">
        <v>1990919</v>
      </c>
      <c r="D10" s="6">
        <v>-1.0444763271162001</v>
      </c>
      <c r="E10" s="6">
        <v>173.24</v>
      </c>
      <c r="F10" s="6">
        <v>171.52</v>
      </c>
      <c r="G10" s="6">
        <v>175.24</v>
      </c>
      <c r="H10" s="6">
        <v>172.41183000000001</v>
      </c>
      <c r="I10" s="6">
        <v>172.87535</v>
      </c>
      <c r="J10" s="6">
        <v>-1.0444816103669401</v>
      </c>
      <c r="K10" s="6">
        <v>25.572274279073099</v>
      </c>
    </row>
    <row r="11" spans="1:11" ht="15" customHeight="1" x14ac:dyDescent="0.2">
      <c r="A11" s="5">
        <v>46051</v>
      </c>
      <c r="B11" s="3">
        <v>174.25</v>
      </c>
      <c r="C11" s="4">
        <v>1041768</v>
      </c>
      <c r="D11" s="3">
        <v>0.12641498592196301</v>
      </c>
      <c r="E11" s="3">
        <v>174.24</v>
      </c>
      <c r="F11" s="3">
        <v>173.18</v>
      </c>
      <c r="G11" s="3">
        <v>175.11</v>
      </c>
      <c r="H11" s="3">
        <v>174.31657000000001</v>
      </c>
      <c r="I11" s="3">
        <v>174.70006000000001</v>
      </c>
      <c r="J11" s="3">
        <v>0.126421743118454</v>
      </c>
      <c r="K11" s="3">
        <v>26.8976973923149</v>
      </c>
    </row>
    <row r="12" spans="1:11" ht="15" customHeight="1" x14ac:dyDescent="0.2">
      <c r="A12" s="8">
        <v>46050</v>
      </c>
      <c r="B12" s="6">
        <v>174.03</v>
      </c>
      <c r="C12" s="7">
        <v>1595291</v>
      </c>
      <c r="D12" s="6">
        <v>-1.62238552854719</v>
      </c>
      <c r="E12" s="6">
        <v>177.06</v>
      </c>
      <c r="F12" s="6">
        <v>173.70500000000001</v>
      </c>
      <c r="G12" s="6">
        <v>177.06</v>
      </c>
      <c r="H12" s="6">
        <v>174.02383</v>
      </c>
      <c r="I12" s="6">
        <v>174.47948</v>
      </c>
      <c r="J12" s="6">
        <v>-1.6223841092387099</v>
      </c>
      <c r="K12" s="6">
        <v>26.737473668918401</v>
      </c>
    </row>
    <row r="13" spans="1:11" ht="15" customHeight="1" x14ac:dyDescent="0.2">
      <c r="A13" s="5">
        <v>46049</v>
      </c>
      <c r="B13" s="3">
        <v>176.9</v>
      </c>
      <c r="C13" s="4">
        <v>999987</v>
      </c>
      <c r="D13" s="3">
        <v>0.59709980096673798</v>
      </c>
      <c r="E13" s="3">
        <v>176.17</v>
      </c>
      <c r="F13" s="3">
        <v>175.9401</v>
      </c>
      <c r="G13" s="3">
        <v>178.48</v>
      </c>
      <c r="H13" s="3">
        <v>176.93986000000001</v>
      </c>
      <c r="I13" s="3">
        <v>177.35688999999999</v>
      </c>
      <c r="J13" s="3">
        <v>0.59709871881652399</v>
      </c>
      <c r="K13" s="3">
        <v>28.8275513910074</v>
      </c>
    </row>
    <row r="14" spans="1:11" ht="15" customHeight="1" x14ac:dyDescent="0.2">
      <c r="A14" s="8">
        <v>46048</v>
      </c>
      <c r="B14" s="6">
        <v>175.85</v>
      </c>
      <c r="C14" s="7">
        <v>1044828</v>
      </c>
      <c r="D14" s="6">
        <v>0.29658358523925099</v>
      </c>
      <c r="E14" s="6">
        <v>174.35</v>
      </c>
      <c r="F14" s="6">
        <v>173.37</v>
      </c>
      <c r="G14" s="6">
        <v>176.41</v>
      </c>
      <c r="H14" s="6">
        <v>175.894892</v>
      </c>
      <c r="I14" s="6">
        <v>176.30418</v>
      </c>
      <c r="J14" s="6">
        <v>0.296581850651644</v>
      </c>
      <c r="K14" s="6">
        <v>28.062889518413598</v>
      </c>
    </row>
    <row r="15" spans="1:11" ht="15" customHeight="1" x14ac:dyDescent="0.2">
      <c r="A15" s="5">
        <v>46045</v>
      </c>
      <c r="B15" s="3">
        <v>175.33</v>
      </c>
      <c r="C15" s="4">
        <v>1651595</v>
      </c>
      <c r="D15" s="3">
        <v>-1.30038279666739</v>
      </c>
      <c r="E15" s="3">
        <v>177.43</v>
      </c>
      <c r="F15" s="3">
        <v>174.72</v>
      </c>
      <c r="G15" s="3">
        <v>177.88</v>
      </c>
      <c r="H15" s="3">
        <v>175.24053799999999</v>
      </c>
      <c r="I15" s="3">
        <v>175.78283999999999</v>
      </c>
      <c r="J15" s="3">
        <v>-1.30037934000679</v>
      </c>
      <c r="K15" s="3">
        <v>27.684201351056799</v>
      </c>
    </row>
    <row r="16" spans="1:11" ht="15" customHeight="1" x14ac:dyDescent="0.2">
      <c r="A16" s="8">
        <v>46044</v>
      </c>
      <c r="B16" s="6">
        <v>177.64</v>
      </c>
      <c r="C16" s="7">
        <v>1882074</v>
      </c>
      <c r="D16" s="6">
        <v>1.41584836720711</v>
      </c>
      <c r="E16" s="6">
        <v>175.39</v>
      </c>
      <c r="F16" s="6">
        <v>174.5</v>
      </c>
      <c r="G16" s="6">
        <v>178.74</v>
      </c>
      <c r="H16" s="6">
        <v>177.60590400000001</v>
      </c>
      <c r="I16" s="6">
        <v>178.09880000000001</v>
      </c>
      <c r="J16" s="6">
        <v>1.41583957534663</v>
      </c>
      <c r="K16" s="6">
        <v>29.366456018014102</v>
      </c>
    </row>
    <row r="17" spans="1:11" ht="15" customHeight="1" x14ac:dyDescent="0.2">
      <c r="A17" s="5">
        <v>46043</v>
      </c>
      <c r="B17" s="3">
        <v>175.16</v>
      </c>
      <c r="C17" s="4">
        <v>2378190</v>
      </c>
      <c r="D17" s="3">
        <v>2.6007497656982101</v>
      </c>
      <c r="E17" s="3">
        <v>170.625</v>
      </c>
      <c r="F17" s="3">
        <v>170.25</v>
      </c>
      <c r="G17" s="3">
        <v>175.25</v>
      </c>
      <c r="H17" s="3">
        <v>175.10142099999999</v>
      </c>
      <c r="I17" s="3">
        <v>175.61241000000001</v>
      </c>
      <c r="J17" s="3">
        <v>2.60075707698013</v>
      </c>
      <c r="K17" s="3">
        <v>27.5604053170625</v>
      </c>
    </row>
    <row r="18" spans="1:11" ht="15" customHeight="1" x14ac:dyDescent="0.2">
      <c r="A18" s="8">
        <v>46042</v>
      </c>
      <c r="B18" s="6">
        <v>170.72</v>
      </c>
      <c r="C18" s="7">
        <v>2476655</v>
      </c>
      <c r="D18" s="6">
        <v>0.44716403859730303</v>
      </c>
      <c r="E18" s="6">
        <v>167.6</v>
      </c>
      <c r="F18" s="6">
        <v>165.81</v>
      </c>
      <c r="G18" s="6">
        <v>170.88</v>
      </c>
      <c r="H18" s="6">
        <v>170.73026200000001</v>
      </c>
      <c r="I18" s="6">
        <v>171.16093000000001</v>
      </c>
      <c r="J18" s="6">
        <v>0.44715053768804502</v>
      </c>
      <c r="K18" s="6">
        <v>24.326963027529601</v>
      </c>
    </row>
    <row r="19" spans="1:11" ht="15" customHeight="1" x14ac:dyDescent="0.2">
      <c r="A19" s="5">
        <v>46038</v>
      </c>
      <c r="B19" s="3">
        <v>169.96</v>
      </c>
      <c r="C19" s="4">
        <v>1924953</v>
      </c>
      <c r="D19" s="3">
        <v>-0.35178236397748103</v>
      </c>
      <c r="E19" s="3">
        <v>171.73500000000001</v>
      </c>
      <c r="F19" s="3">
        <v>169.64</v>
      </c>
      <c r="G19" s="3">
        <v>171.84</v>
      </c>
      <c r="H19" s="3">
        <v>169.98034000000001</v>
      </c>
      <c r="I19" s="3">
        <v>170.39899</v>
      </c>
      <c r="J19" s="3">
        <v>-0.35177086011199898</v>
      </c>
      <c r="K19" s="3">
        <v>23.773509116002</v>
      </c>
    </row>
    <row r="20" spans="1:11" ht="15" customHeight="1" x14ac:dyDescent="0.2">
      <c r="A20" s="8">
        <v>46037</v>
      </c>
      <c r="B20" s="6">
        <v>170.56</v>
      </c>
      <c r="C20" s="7">
        <v>1519803</v>
      </c>
      <c r="D20" s="6">
        <v>-1.3134293814731299</v>
      </c>
      <c r="E20" s="6">
        <v>172.49</v>
      </c>
      <c r="F20" s="6">
        <v>170.31</v>
      </c>
      <c r="G20" s="6">
        <v>173.42</v>
      </c>
      <c r="H20" s="6">
        <v>170.511584</v>
      </c>
      <c r="I20" s="6">
        <v>171.00051999999999</v>
      </c>
      <c r="J20" s="6">
        <v>-1.31342771588371</v>
      </c>
      <c r="K20" s="6">
        <v>24.210445267669002</v>
      </c>
    </row>
    <row r="21" spans="1:11" ht="15" customHeight="1" x14ac:dyDescent="0.2">
      <c r="A21" s="5">
        <v>46036</v>
      </c>
      <c r="B21" s="3">
        <v>172.83</v>
      </c>
      <c r="C21" s="4">
        <v>1820512</v>
      </c>
      <c r="D21" s="3">
        <v>0.88139154798039199</v>
      </c>
      <c r="E21" s="3">
        <v>170.91</v>
      </c>
      <c r="F21" s="3">
        <v>170.63</v>
      </c>
      <c r="G21" s="3">
        <v>172.89</v>
      </c>
      <c r="H21" s="3">
        <v>172.83082200000001</v>
      </c>
      <c r="I21" s="3">
        <v>173.27637999999999</v>
      </c>
      <c r="J21" s="3">
        <v>0.88137981224074502</v>
      </c>
      <c r="K21" s="3">
        <v>25.863572310597799</v>
      </c>
    </row>
    <row r="22" spans="1:11" ht="15" customHeight="1" x14ac:dyDescent="0.2">
      <c r="A22" s="8">
        <v>46035</v>
      </c>
      <c r="B22" s="6">
        <v>171.32</v>
      </c>
      <c r="C22" s="7">
        <v>1207246</v>
      </c>
      <c r="D22" s="6">
        <v>-4.66744457409684E-2</v>
      </c>
      <c r="E22" s="6">
        <v>171.54</v>
      </c>
      <c r="F22" s="6">
        <v>170</v>
      </c>
      <c r="G22" s="6">
        <v>171.76</v>
      </c>
      <c r="H22" s="6">
        <v>171.28465</v>
      </c>
      <c r="I22" s="6">
        <v>171.76249999999999</v>
      </c>
      <c r="J22" s="6">
        <v>-4.6658955737899299E-2</v>
      </c>
      <c r="K22" s="6">
        <v>24.763928234183101</v>
      </c>
    </row>
    <row r="23" spans="1:11" ht="15" customHeight="1" x14ac:dyDescent="0.2">
      <c r="A23" s="5">
        <v>46034</v>
      </c>
      <c r="B23" s="3">
        <v>171.4</v>
      </c>
      <c r="C23" s="4">
        <v>1755689</v>
      </c>
      <c r="D23" s="3">
        <v>-0.57427925053655704</v>
      </c>
      <c r="E23" s="3">
        <v>172.03</v>
      </c>
      <c r="F23" s="3">
        <v>169.11500000000001</v>
      </c>
      <c r="G23" s="3">
        <v>172.38</v>
      </c>
      <c r="H23" s="3">
        <v>171.335902</v>
      </c>
      <c r="I23" s="3">
        <v>171.84268</v>
      </c>
      <c r="J23" s="3">
        <v>-0.57428678466922001</v>
      </c>
      <c r="K23" s="3">
        <v>24.8221689547468</v>
      </c>
    </row>
    <row r="24" spans="1:11" ht="15" customHeight="1" x14ac:dyDescent="0.2">
      <c r="A24" s="8">
        <v>46031</v>
      </c>
      <c r="B24" s="6">
        <v>172.39</v>
      </c>
      <c r="C24" s="7">
        <v>2505017</v>
      </c>
      <c r="D24" s="6">
        <v>7.5467316846622404E-2</v>
      </c>
      <c r="E24" s="6">
        <v>173.92</v>
      </c>
      <c r="F24" s="6">
        <v>172.17</v>
      </c>
      <c r="G24" s="6">
        <v>174.65880000000001</v>
      </c>
      <c r="H24" s="6">
        <v>172.39789999999999</v>
      </c>
      <c r="I24" s="6">
        <v>172.83525</v>
      </c>
      <c r="J24" s="6">
        <v>7.5469770952074605E-2</v>
      </c>
      <c r="K24" s="6">
        <v>25.543146655044598</v>
      </c>
    </row>
    <row r="25" spans="1:11" ht="15" customHeight="1" x14ac:dyDescent="0.2">
      <c r="A25" s="5">
        <v>46030</v>
      </c>
      <c r="B25" s="3">
        <v>172.26</v>
      </c>
      <c r="C25" s="4">
        <v>2482612</v>
      </c>
      <c r="D25" s="3">
        <v>-2.5347968767681399</v>
      </c>
      <c r="E25" s="3">
        <v>175.34</v>
      </c>
      <c r="F25" s="3">
        <v>170.61439999999999</v>
      </c>
      <c r="G25" s="3">
        <v>175.89500000000001</v>
      </c>
      <c r="H25" s="3">
        <v>172.18966800000001</v>
      </c>
      <c r="I25" s="3">
        <v>172.70491000000001</v>
      </c>
      <c r="J25" s="3">
        <v>-2.5348019026787698</v>
      </c>
      <c r="K25" s="3">
        <v>25.4484709813321</v>
      </c>
    </row>
    <row r="26" spans="1:11" ht="15" customHeight="1" x14ac:dyDescent="0.2">
      <c r="A26" s="8">
        <v>46029</v>
      </c>
      <c r="B26" s="6">
        <v>176.74</v>
      </c>
      <c r="C26" s="7">
        <v>3167442</v>
      </c>
      <c r="D26" s="6">
        <v>3.2118663863583299</v>
      </c>
      <c r="E26" s="6">
        <v>172.4</v>
      </c>
      <c r="F26" s="6">
        <v>172.26</v>
      </c>
      <c r="G26" s="6">
        <v>179.64</v>
      </c>
      <c r="H26" s="6">
        <v>176.70819499999999</v>
      </c>
      <c r="I26" s="6">
        <v>177.19649000000001</v>
      </c>
      <c r="J26" s="6">
        <v>3.21186904088179</v>
      </c>
      <c r="K26" s="6">
        <v>28.7110408948936</v>
      </c>
    </row>
    <row r="27" spans="1:11" ht="15" customHeight="1" x14ac:dyDescent="0.2">
      <c r="A27" s="5">
        <v>46028</v>
      </c>
      <c r="B27" s="3">
        <v>171.24</v>
      </c>
      <c r="C27" s="4">
        <v>1644270</v>
      </c>
      <c r="D27" s="3">
        <v>2.3305844388669699</v>
      </c>
      <c r="E27" s="3">
        <v>167.39</v>
      </c>
      <c r="F27" s="3">
        <v>167.39</v>
      </c>
      <c r="G27" s="3">
        <v>171.61</v>
      </c>
      <c r="H27" s="3">
        <v>171.22215600000001</v>
      </c>
      <c r="I27" s="3">
        <v>171.68227999999999</v>
      </c>
      <c r="J27" s="3">
        <v>2.33058873877793</v>
      </c>
      <c r="K27" s="3">
        <v>24.7056584586329</v>
      </c>
    </row>
    <row r="28" spans="1:11" ht="15" customHeight="1" x14ac:dyDescent="0.2">
      <c r="A28" s="8">
        <v>46027</v>
      </c>
      <c r="B28" s="6">
        <v>167.34</v>
      </c>
      <c r="C28" s="7">
        <v>2716509</v>
      </c>
      <c r="D28" s="6">
        <v>-0.98224852071005997</v>
      </c>
      <c r="E28" s="6">
        <v>168.5</v>
      </c>
      <c r="F28" s="6">
        <v>165.09</v>
      </c>
      <c r="G28" s="6">
        <v>168.99</v>
      </c>
      <c r="H28" s="6">
        <v>167.41910899999999</v>
      </c>
      <c r="I28" s="6">
        <v>167.7722</v>
      </c>
      <c r="J28" s="6">
        <v>-0.98225588937448305</v>
      </c>
      <c r="K28" s="6">
        <v>21.865475412217599</v>
      </c>
    </row>
    <row r="29" spans="1:11" ht="15" customHeight="1" x14ac:dyDescent="0.2">
      <c r="A29" s="5">
        <v>46024</v>
      </c>
      <c r="B29" s="3">
        <v>169</v>
      </c>
      <c r="C29" s="4">
        <v>1932939</v>
      </c>
      <c r="D29" s="3">
        <v>0.13628014457545101</v>
      </c>
      <c r="E29" s="3">
        <v>169.65</v>
      </c>
      <c r="F29" s="3">
        <v>167.47</v>
      </c>
      <c r="G29" s="3">
        <v>169.76499999999999</v>
      </c>
      <c r="H29" s="3">
        <v>169.030764</v>
      </c>
      <c r="I29" s="3">
        <v>169.4365</v>
      </c>
      <c r="J29" s="3">
        <v>0.13628366386750901</v>
      </c>
      <c r="K29" s="3">
        <v>23.0743807655989</v>
      </c>
    </row>
    <row r="30" spans="1:11" ht="15" customHeight="1" x14ac:dyDescent="0.2">
      <c r="A30" s="8">
        <v>46022</v>
      </c>
      <c r="B30" s="6">
        <v>168.77</v>
      </c>
      <c r="C30" s="7">
        <v>1761936</v>
      </c>
      <c r="D30" s="6">
        <v>-7.10521641304806E-2</v>
      </c>
      <c r="E30" s="6">
        <v>169.1</v>
      </c>
      <c r="F30" s="6">
        <v>168.14</v>
      </c>
      <c r="G30" s="6">
        <v>169.57499999999999</v>
      </c>
      <c r="H30" s="6">
        <v>168.794003</v>
      </c>
      <c r="I30" s="6">
        <v>169.20590000000001</v>
      </c>
      <c r="J30" s="6">
        <v>-7.1046299981925007E-2</v>
      </c>
      <c r="K30" s="6">
        <v>22.906878768068498</v>
      </c>
    </row>
    <row r="31" spans="1:11" ht="15" customHeight="1" x14ac:dyDescent="0.2">
      <c r="A31" s="5">
        <v>46021</v>
      </c>
      <c r="B31" s="3">
        <v>168.89</v>
      </c>
      <c r="C31" s="4">
        <v>1208859</v>
      </c>
      <c r="D31" s="3">
        <v>-1.09510423986882</v>
      </c>
      <c r="E31" s="3">
        <v>170.77</v>
      </c>
      <c r="F31" s="3">
        <v>168.31</v>
      </c>
      <c r="G31" s="3">
        <v>170.77</v>
      </c>
      <c r="H31" s="3">
        <v>168.86452299999999</v>
      </c>
      <c r="I31" s="3">
        <v>169.3262</v>
      </c>
      <c r="J31" s="3">
        <v>-1.0951043927714701</v>
      </c>
      <c r="K31" s="3">
        <v>22.994261640154001</v>
      </c>
    </row>
    <row r="32" spans="1:11" ht="15" customHeight="1" x14ac:dyDescent="0.2">
      <c r="A32" s="8">
        <v>46020</v>
      </c>
      <c r="B32" s="6">
        <v>170.76</v>
      </c>
      <c r="C32" s="7">
        <v>1793874</v>
      </c>
      <c r="D32" s="6">
        <v>-0.73824332965181005</v>
      </c>
      <c r="E32" s="6">
        <v>171.48</v>
      </c>
      <c r="F32" s="6">
        <v>170.35499999999999</v>
      </c>
      <c r="G32" s="6">
        <v>172.03</v>
      </c>
      <c r="H32" s="6">
        <v>170.73889700000001</v>
      </c>
      <c r="I32" s="6">
        <v>171.20103</v>
      </c>
      <c r="J32" s="6">
        <v>-0.738249033247384</v>
      </c>
      <c r="K32" s="6">
        <v>24.356090651557999</v>
      </c>
    </row>
    <row r="33" spans="1:11" ht="15" customHeight="1" x14ac:dyDescent="0.2">
      <c r="A33" s="5">
        <v>46017</v>
      </c>
      <c r="B33" s="3">
        <v>172.03</v>
      </c>
      <c r="C33" s="4">
        <v>963619</v>
      </c>
      <c r="D33" s="3">
        <v>-0.70418470418470702</v>
      </c>
      <c r="E33" s="3">
        <v>172.89</v>
      </c>
      <c r="F33" s="3">
        <v>171.4</v>
      </c>
      <c r="G33" s="3">
        <v>172.9</v>
      </c>
      <c r="H33" s="3">
        <v>172.045118</v>
      </c>
      <c r="I33" s="3">
        <v>172.47432000000001</v>
      </c>
      <c r="J33" s="3">
        <v>-0.70417840306933299</v>
      </c>
      <c r="K33" s="3">
        <v>25.280976247548399</v>
      </c>
    </row>
    <row r="34" spans="1:11" ht="15" customHeight="1" x14ac:dyDescent="0.2">
      <c r="A34" s="8">
        <v>46015</v>
      </c>
      <c r="B34" s="6">
        <v>173.25</v>
      </c>
      <c r="C34" s="7">
        <v>637926</v>
      </c>
      <c r="D34" s="6">
        <v>0.66821615339918095</v>
      </c>
      <c r="E34" s="6">
        <v>172.26</v>
      </c>
      <c r="F34" s="6">
        <v>172.25</v>
      </c>
      <c r="G34" s="6">
        <v>173.53</v>
      </c>
      <c r="H34" s="6">
        <v>173.14474100000001</v>
      </c>
      <c r="I34" s="6">
        <v>173.69746000000001</v>
      </c>
      <c r="J34" s="6">
        <v>0.668204395491933</v>
      </c>
      <c r="K34" s="6">
        <v>26.169434154136699</v>
      </c>
    </row>
    <row r="35" spans="1:11" ht="15" customHeight="1" x14ac:dyDescent="0.2">
      <c r="A35" s="5">
        <v>46014</v>
      </c>
      <c r="B35" s="3">
        <v>172.1</v>
      </c>
      <c r="C35" s="4">
        <v>1305108</v>
      </c>
      <c r="D35" s="3">
        <v>-0.38779880766337499</v>
      </c>
      <c r="E35" s="3">
        <v>172.44</v>
      </c>
      <c r="F35" s="3">
        <v>171.9</v>
      </c>
      <c r="G35" s="3">
        <v>173.6</v>
      </c>
      <c r="H35" s="3">
        <v>172.098342</v>
      </c>
      <c r="I35" s="3">
        <v>172.54451</v>
      </c>
      <c r="J35" s="3">
        <v>-0.387792760528271</v>
      </c>
      <c r="K35" s="3">
        <v>25.3319604852182</v>
      </c>
    </row>
    <row r="36" spans="1:11" ht="15" customHeight="1" x14ac:dyDescent="0.2">
      <c r="A36" s="8">
        <v>46013</v>
      </c>
      <c r="B36" s="6">
        <v>172.77</v>
      </c>
      <c r="C36" s="7">
        <v>1860771</v>
      </c>
      <c r="D36" s="6">
        <v>1.50998824911869</v>
      </c>
      <c r="E36" s="6">
        <v>170.45</v>
      </c>
      <c r="F36" s="6">
        <v>170.215</v>
      </c>
      <c r="G36" s="6">
        <v>173.16</v>
      </c>
      <c r="H36" s="6">
        <v>172.74088499999999</v>
      </c>
      <c r="I36" s="6">
        <v>173.21623</v>
      </c>
      <c r="J36" s="6">
        <v>1.5099895633832601</v>
      </c>
      <c r="K36" s="6">
        <v>25.8198808745551</v>
      </c>
    </row>
    <row r="37" spans="1:11" ht="15" customHeight="1" x14ac:dyDescent="0.2">
      <c r="A37" s="5">
        <v>46010</v>
      </c>
      <c r="B37" s="3">
        <v>170.2</v>
      </c>
      <c r="C37" s="4">
        <v>2095867</v>
      </c>
      <c r="D37" s="3">
        <v>2.4129008965641598</v>
      </c>
      <c r="E37" s="3">
        <v>166.93</v>
      </c>
      <c r="F37" s="3">
        <v>166.75</v>
      </c>
      <c r="G37" s="3">
        <v>170.74</v>
      </c>
      <c r="H37" s="3">
        <v>170.19480300000001</v>
      </c>
      <c r="I37" s="3">
        <v>170.63959</v>
      </c>
      <c r="J37" s="3">
        <v>2.4129027603836599</v>
      </c>
      <c r="K37" s="3">
        <v>23.948274860172798</v>
      </c>
    </row>
    <row r="38" spans="1:11" ht="15" customHeight="1" x14ac:dyDescent="0.2">
      <c r="A38" s="8">
        <v>46009</v>
      </c>
      <c r="B38" s="6">
        <v>166.19</v>
      </c>
      <c r="C38" s="7">
        <v>1597775</v>
      </c>
      <c r="D38" s="6">
        <v>-0.79985674207604296</v>
      </c>
      <c r="E38" s="6">
        <v>166.88</v>
      </c>
      <c r="F38" s="6">
        <v>165.7004</v>
      </c>
      <c r="G38" s="6">
        <v>168.33</v>
      </c>
      <c r="H38" s="6">
        <v>166.17218500000001</v>
      </c>
      <c r="I38" s="6">
        <v>166.61922999999999</v>
      </c>
      <c r="J38" s="6">
        <v>-0.79985620616103104</v>
      </c>
      <c r="K38" s="6">
        <v>21.027987215805901</v>
      </c>
    </row>
    <row r="39" spans="1:11" ht="15" customHeight="1" x14ac:dyDescent="0.2">
      <c r="A39" s="5">
        <v>46008</v>
      </c>
      <c r="B39" s="3">
        <v>167.53</v>
      </c>
      <c r="C39" s="4">
        <v>1407567</v>
      </c>
      <c r="D39" s="3">
        <v>-0.34501219439653202</v>
      </c>
      <c r="E39" s="3">
        <v>168.41</v>
      </c>
      <c r="F39" s="3">
        <v>167.41</v>
      </c>
      <c r="G39" s="3">
        <v>169.315</v>
      </c>
      <c r="H39" s="3">
        <v>167.465339</v>
      </c>
      <c r="I39" s="3">
        <v>167.96269000000001</v>
      </c>
      <c r="J39" s="3">
        <v>-0.345013376017278</v>
      </c>
      <c r="K39" s="3">
        <v>22.0038425219728</v>
      </c>
    </row>
    <row r="40" spans="1:11" ht="15" customHeight="1" x14ac:dyDescent="0.2">
      <c r="A40" s="8">
        <v>46007</v>
      </c>
      <c r="B40" s="6">
        <v>168.11</v>
      </c>
      <c r="C40" s="7">
        <v>856551</v>
      </c>
      <c r="D40" s="6">
        <v>-0.74979336403352403</v>
      </c>
      <c r="E40" s="6">
        <v>168.96</v>
      </c>
      <c r="F40" s="6">
        <v>167.29</v>
      </c>
      <c r="G40" s="6">
        <v>169.39</v>
      </c>
      <c r="H40" s="6">
        <v>168.13967700000001</v>
      </c>
      <c r="I40" s="6">
        <v>168.54418999999999</v>
      </c>
      <c r="J40" s="6">
        <v>-0.64168642013009403</v>
      </c>
      <c r="K40" s="6">
        <v>22.426229389118902</v>
      </c>
    </row>
    <row r="41" spans="1:11" ht="15" customHeight="1" x14ac:dyDescent="0.2">
      <c r="A41" s="5">
        <v>46006</v>
      </c>
      <c r="B41" s="3">
        <v>169.38</v>
      </c>
      <c r="C41" s="4">
        <v>1358282</v>
      </c>
      <c r="D41" s="3">
        <v>-2.3609963404547199E-2</v>
      </c>
      <c r="E41" s="3">
        <v>169.65</v>
      </c>
      <c r="F41" s="3">
        <v>168.58</v>
      </c>
      <c r="G41" s="3">
        <v>170.64</v>
      </c>
      <c r="H41" s="3">
        <v>169.42849000000001</v>
      </c>
      <c r="I41" s="3">
        <v>169.6327</v>
      </c>
      <c r="J41" s="3">
        <v>-2.36101540400546E-2</v>
      </c>
      <c r="K41" s="3">
        <v>23.216895474685799</v>
      </c>
    </row>
    <row r="42" spans="1:11" ht="15" customHeight="1" x14ac:dyDescent="0.2">
      <c r="A42" s="8">
        <v>46003</v>
      </c>
      <c r="B42" s="6">
        <v>169.42</v>
      </c>
      <c r="C42" s="7">
        <v>1621420</v>
      </c>
      <c r="D42" s="6">
        <v>-0.50505050505050797</v>
      </c>
      <c r="E42" s="6">
        <v>170.01</v>
      </c>
      <c r="F42" s="6">
        <v>168.52</v>
      </c>
      <c r="G42" s="6">
        <v>170.43</v>
      </c>
      <c r="H42" s="6">
        <v>169.36217199999999</v>
      </c>
      <c r="I42" s="6">
        <v>169.67276000000001</v>
      </c>
      <c r="J42" s="6">
        <v>-0.50504872810143098</v>
      </c>
      <c r="K42" s="6">
        <v>23.245994043727698</v>
      </c>
    </row>
    <row r="43" spans="1:11" ht="15" customHeight="1" x14ac:dyDescent="0.2">
      <c r="A43" s="5">
        <v>46002</v>
      </c>
      <c r="B43" s="3">
        <v>170.28</v>
      </c>
      <c r="C43" s="4">
        <v>1590353</v>
      </c>
      <c r="D43" s="3">
        <v>0.79914757591901198</v>
      </c>
      <c r="E43" s="3">
        <v>168.95500000000001</v>
      </c>
      <c r="F43" s="3">
        <v>168.62</v>
      </c>
      <c r="G43" s="3">
        <v>170.62</v>
      </c>
      <c r="H43" s="3">
        <v>170.25438700000001</v>
      </c>
      <c r="I43" s="3">
        <v>170.53404</v>
      </c>
      <c r="J43" s="3">
        <v>0.79915111546724404</v>
      </c>
      <c r="K43" s="3">
        <v>23.871606014382198</v>
      </c>
    </row>
    <row r="44" spans="1:11" ht="15" customHeight="1" x14ac:dyDescent="0.2">
      <c r="A44" s="8">
        <v>46001</v>
      </c>
      <c r="B44" s="6">
        <v>168.93</v>
      </c>
      <c r="C44" s="7">
        <v>1326703</v>
      </c>
      <c r="D44" s="6">
        <v>1.1012029445209099</v>
      </c>
      <c r="E44" s="6">
        <v>167.07</v>
      </c>
      <c r="F44" s="6">
        <v>166.91</v>
      </c>
      <c r="G44" s="6">
        <v>169.375</v>
      </c>
      <c r="H44" s="6">
        <v>168.83347900000001</v>
      </c>
      <c r="I44" s="6">
        <v>169.18201999999999</v>
      </c>
      <c r="J44" s="6">
        <v>1.1011878261711201</v>
      </c>
      <c r="K44" s="6">
        <v>22.889532941091002</v>
      </c>
    </row>
    <row r="45" spans="1:11" ht="15" customHeight="1" x14ac:dyDescent="0.2">
      <c r="A45" s="5">
        <v>46000</v>
      </c>
      <c r="B45" s="3">
        <v>167.09</v>
      </c>
      <c r="C45" s="4">
        <v>1546322</v>
      </c>
      <c r="D45" s="3">
        <v>-1.6828478964401199</v>
      </c>
      <c r="E45" s="3">
        <v>169.38</v>
      </c>
      <c r="F45" s="3">
        <v>166.94</v>
      </c>
      <c r="G45" s="3">
        <v>170.6892</v>
      </c>
      <c r="H45" s="3">
        <v>167.036788</v>
      </c>
      <c r="I45" s="3">
        <v>167.33930000000001</v>
      </c>
      <c r="J45" s="3">
        <v>-1.6828379901594199</v>
      </c>
      <c r="K45" s="3">
        <v>21.551027820149599</v>
      </c>
    </row>
    <row r="46" spans="1:11" ht="15" customHeight="1" x14ac:dyDescent="0.2">
      <c r="A46" s="8">
        <v>45999</v>
      </c>
      <c r="B46" s="6">
        <v>169.95</v>
      </c>
      <c r="C46" s="7">
        <v>1514645</v>
      </c>
      <c r="D46" s="6">
        <v>-0.70694087403599903</v>
      </c>
      <c r="E46" s="6">
        <v>172.47499999999999</v>
      </c>
      <c r="F46" s="6">
        <v>169.73</v>
      </c>
      <c r="G46" s="6">
        <v>172.6799</v>
      </c>
      <c r="H46" s="6">
        <v>169.91143</v>
      </c>
      <c r="I46" s="6">
        <v>170.20355000000001</v>
      </c>
      <c r="J46" s="6">
        <v>-0.70694944099819401</v>
      </c>
      <c r="K46" s="6">
        <v>23.631546451659698</v>
      </c>
    </row>
    <row r="47" spans="1:11" ht="15" customHeight="1" x14ac:dyDescent="0.2">
      <c r="A47" s="5">
        <v>45996</v>
      </c>
      <c r="B47" s="3">
        <v>171.16</v>
      </c>
      <c r="C47" s="4">
        <v>1139364</v>
      </c>
      <c r="D47" s="3">
        <v>-0.55197257567835001</v>
      </c>
      <c r="E47" s="3">
        <v>172.3</v>
      </c>
      <c r="F47" s="3">
        <v>170.49</v>
      </c>
      <c r="G47" s="3">
        <v>172.79</v>
      </c>
      <c r="H47" s="3">
        <v>171.17180200000001</v>
      </c>
      <c r="I47" s="3">
        <v>171.41537</v>
      </c>
      <c r="J47" s="3">
        <v>-0.55196830851049705</v>
      </c>
      <c r="K47" s="3">
        <v>24.511781797050901</v>
      </c>
    </row>
    <row r="48" spans="1:11" ht="15" customHeight="1" x14ac:dyDescent="0.2">
      <c r="A48" s="8">
        <v>45995</v>
      </c>
      <c r="B48" s="6">
        <v>172.11</v>
      </c>
      <c r="C48" s="7">
        <v>1711262</v>
      </c>
      <c r="D48" s="6">
        <v>-6.9674272774766705E-2</v>
      </c>
      <c r="E48" s="6">
        <v>172.14</v>
      </c>
      <c r="F48" s="6">
        <v>170.1</v>
      </c>
      <c r="G48" s="6">
        <v>172.81</v>
      </c>
      <c r="H48" s="6">
        <v>172.02438799999999</v>
      </c>
      <c r="I48" s="6">
        <v>172.36678000000001</v>
      </c>
      <c r="J48" s="6">
        <v>-6.96690387301801E-2</v>
      </c>
      <c r="K48" s="6">
        <v>25.2028619161763</v>
      </c>
    </row>
    <row r="49" spans="1:11" ht="15" customHeight="1" x14ac:dyDescent="0.2">
      <c r="A49" s="5">
        <v>45994</v>
      </c>
      <c r="B49" s="3">
        <v>172.23</v>
      </c>
      <c r="C49" s="4">
        <v>1866001</v>
      </c>
      <c r="D49" s="3">
        <v>1.77874955678998</v>
      </c>
      <c r="E49" s="3">
        <v>169.59</v>
      </c>
      <c r="F49" s="3">
        <v>169.55</v>
      </c>
      <c r="G49" s="3">
        <v>172.45</v>
      </c>
      <c r="H49" s="3">
        <v>172.23589799999999</v>
      </c>
      <c r="I49" s="3">
        <v>172.48695000000001</v>
      </c>
      <c r="J49" s="3">
        <v>1.7787431787593599</v>
      </c>
      <c r="K49" s="3">
        <v>25.290150359555401</v>
      </c>
    </row>
    <row r="50" spans="1:11" ht="15" customHeight="1" x14ac:dyDescent="0.2">
      <c r="A50" s="8">
        <v>45993</v>
      </c>
      <c r="B50" s="6">
        <v>169.22</v>
      </c>
      <c r="C50" s="7">
        <v>2899118</v>
      </c>
      <c r="D50" s="6">
        <v>-0.52319087649168505</v>
      </c>
      <c r="E50" s="6">
        <v>170.155</v>
      </c>
      <c r="F50" s="6">
        <v>168.79069999999999</v>
      </c>
      <c r="G50" s="6">
        <v>171.02</v>
      </c>
      <c r="H50" s="6">
        <v>169.19942</v>
      </c>
      <c r="I50" s="6">
        <v>169.47246999999999</v>
      </c>
      <c r="J50" s="6">
        <v>-0.52319213354011795</v>
      </c>
      <c r="K50" s="6">
        <v>23.100508462264798</v>
      </c>
    </row>
    <row r="51" spans="1:11" ht="15" customHeight="1" x14ac:dyDescent="0.2">
      <c r="A51" s="5">
        <v>45992</v>
      </c>
      <c r="B51" s="3">
        <v>170.11</v>
      </c>
      <c r="C51" s="4">
        <v>1834674</v>
      </c>
      <c r="D51" s="3">
        <v>-2.1400218604383499</v>
      </c>
      <c r="E51" s="3">
        <v>172.55</v>
      </c>
      <c r="F51" s="3">
        <v>169.9</v>
      </c>
      <c r="G51" s="3">
        <v>172.69</v>
      </c>
      <c r="H51" s="3">
        <v>170.114757</v>
      </c>
      <c r="I51" s="3">
        <v>170.3638</v>
      </c>
      <c r="J51" s="3">
        <v>-2.1400273974239399</v>
      </c>
      <c r="K51" s="3">
        <v>23.747947991574001</v>
      </c>
    </row>
    <row r="52" spans="1:11" ht="15" customHeight="1" x14ac:dyDescent="0.2">
      <c r="A52" s="8">
        <v>45989</v>
      </c>
      <c r="B52" s="6">
        <v>173.83</v>
      </c>
      <c r="C52" s="7">
        <v>1007053</v>
      </c>
      <c r="D52" s="6">
        <v>9.7892433490742697E-2</v>
      </c>
      <c r="E52" s="6">
        <v>174.14</v>
      </c>
      <c r="F52" s="6">
        <v>172.84010000000001</v>
      </c>
      <c r="G52" s="6">
        <v>174.4</v>
      </c>
      <c r="H52" s="6">
        <v>173.662623</v>
      </c>
      <c r="I52" s="6">
        <v>174.08936</v>
      </c>
      <c r="J52" s="6">
        <v>9.7896090768645402E-2</v>
      </c>
      <c r="K52" s="6">
        <v>26.454100384978499</v>
      </c>
    </row>
    <row r="53" spans="1:11" ht="15" customHeight="1" x14ac:dyDescent="0.2">
      <c r="A53" s="5">
        <v>45987</v>
      </c>
      <c r="B53" s="3">
        <v>173.66</v>
      </c>
      <c r="C53" s="4">
        <v>1759721</v>
      </c>
      <c r="D53" s="3">
        <v>0.77177508269017303</v>
      </c>
      <c r="E53" s="3">
        <v>172.54499999999999</v>
      </c>
      <c r="F53" s="3">
        <v>172.14</v>
      </c>
      <c r="G53" s="3">
        <v>174.22900000000001</v>
      </c>
      <c r="H53" s="3">
        <v>173.61489700000001</v>
      </c>
      <c r="I53" s="3">
        <v>173.91909999999999</v>
      </c>
      <c r="J53" s="3">
        <v>0.77177837904580604</v>
      </c>
      <c r="K53" s="3">
        <v>26.330427834677099</v>
      </c>
    </row>
    <row r="54" spans="1:11" ht="15" customHeight="1" x14ac:dyDescent="0.2">
      <c r="A54" s="8">
        <v>45986</v>
      </c>
      <c r="B54" s="6">
        <v>172.33</v>
      </c>
      <c r="C54" s="7">
        <v>1794737</v>
      </c>
      <c r="D54" s="6">
        <v>1.5438100288727801</v>
      </c>
      <c r="E54" s="6">
        <v>170.57</v>
      </c>
      <c r="F54" s="6">
        <v>170.07</v>
      </c>
      <c r="G54" s="6">
        <v>172.41</v>
      </c>
      <c r="H54" s="6">
        <v>172.32121900000001</v>
      </c>
      <c r="I54" s="6">
        <v>172.58711</v>
      </c>
      <c r="J54" s="6">
        <v>1.5438046857316901</v>
      </c>
      <c r="K54" s="6">
        <v>25.362904045906799</v>
      </c>
    </row>
    <row r="55" spans="1:11" ht="15" customHeight="1" x14ac:dyDescent="0.2">
      <c r="A55" s="5">
        <v>45985</v>
      </c>
      <c r="B55" s="3">
        <v>169.71</v>
      </c>
      <c r="C55" s="4">
        <v>3462889</v>
      </c>
      <c r="D55" s="3">
        <v>1.30730659025788</v>
      </c>
      <c r="E55" s="3">
        <v>167.84</v>
      </c>
      <c r="F55" s="3">
        <v>167.84</v>
      </c>
      <c r="G55" s="3">
        <v>170.28</v>
      </c>
      <c r="H55" s="3">
        <v>169.67189500000001</v>
      </c>
      <c r="I55" s="3">
        <v>169.96321</v>
      </c>
      <c r="J55" s="3">
        <v>1.3073080910680399</v>
      </c>
      <c r="K55" s="3">
        <v>23.456969564901499</v>
      </c>
    </row>
    <row r="56" spans="1:11" ht="15" customHeight="1" x14ac:dyDescent="0.2">
      <c r="A56" s="8">
        <v>45982</v>
      </c>
      <c r="B56" s="6">
        <v>167.52</v>
      </c>
      <c r="C56" s="7">
        <v>2873469</v>
      </c>
      <c r="D56" s="6">
        <v>1.9970774476375901</v>
      </c>
      <c r="E56" s="6">
        <v>164.38</v>
      </c>
      <c r="F56" s="6">
        <v>164.05</v>
      </c>
      <c r="G56" s="6">
        <v>168.73</v>
      </c>
      <c r="H56" s="6">
        <v>167.462344</v>
      </c>
      <c r="I56" s="6">
        <v>167.76993999999999</v>
      </c>
      <c r="J56" s="6">
        <v>1.9970751141212999</v>
      </c>
      <c r="K56" s="6">
        <v>21.863833805476801</v>
      </c>
    </row>
    <row r="57" spans="1:11" ht="15" customHeight="1" x14ac:dyDescent="0.2">
      <c r="A57" s="5">
        <v>45981</v>
      </c>
      <c r="B57" s="3">
        <v>164.24</v>
      </c>
      <c r="C57" s="4">
        <v>2595102</v>
      </c>
      <c r="D57" s="3">
        <v>-0.59314852923374395</v>
      </c>
      <c r="E57" s="3">
        <v>166.81</v>
      </c>
      <c r="F57" s="3">
        <v>164.11</v>
      </c>
      <c r="G57" s="3">
        <v>168.5</v>
      </c>
      <c r="H57" s="3">
        <v>164.20525499999999</v>
      </c>
      <c r="I57" s="3">
        <v>164.48505</v>
      </c>
      <c r="J57" s="3">
        <v>-0.59314120985214303</v>
      </c>
      <c r="K57" s="3">
        <v>19.477772935280001</v>
      </c>
    </row>
    <row r="58" spans="1:11" ht="15" customHeight="1" x14ac:dyDescent="0.2">
      <c r="A58" s="8">
        <v>45980</v>
      </c>
      <c r="B58" s="6">
        <v>165.22</v>
      </c>
      <c r="C58" s="7">
        <v>1945690</v>
      </c>
      <c r="D58" s="6">
        <v>-0.75088604553372695</v>
      </c>
      <c r="E58" s="6">
        <v>166.05</v>
      </c>
      <c r="F58" s="6">
        <v>164.39</v>
      </c>
      <c r="G58" s="6">
        <v>166.77</v>
      </c>
      <c r="H58" s="6">
        <v>165.22530599999999</v>
      </c>
      <c r="I58" s="6">
        <v>165.4665</v>
      </c>
      <c r="J58" s="6">
        <v>-0.75088905919605797</v>
      </c>
      <c r="K58" s="6">
        <v>20.190673349313499</v>
      </c>
    </row>
    <row r="59" spans="1:11" ht="15" customHeight="1" x14ac:dyDescent="0.2">
      <c r="A59" s="5">
        <v>45979</v>
      </c>
      <c r="B59" s="3">
        <v>166.47</v>
      </c>
      <c r="C59" s="4">
        <v>4622359</v>
      </c>
      <c r="D59" s="3">
        <v>0.73217959578846203</v>
      </c>
      <c r="E59" s="3">
        <v>164.76</v>
      </c>
      <c r="F59" s="3">
        <v>163.77500000000001</v>
      </c>
      <c r="G59" s="3">
        <v>167.14</v>
      </c>
      <c r="H59" s="3">
        <v>166.42739599999999</v>
      </c>
      <c r="I59" s="3">
        <v>166.71836999999999</v>
      </c>
      <c r="J59" s="3">
        <v>0.73218245850799002</v>
      </c>
      <c r="K59" s="3">
        <v>21.1</v>
      </c>
    </row>
    <row r="60" spans="1:11" ht="15" customHeight="1" x14ac:dyDescent="0.2">
      <c r="A60" s="8">
        <v>45978</v>
      </c>
      <c r="B60" s="6">
        <v>165.26</v>
      </c>
      <c r="C60" s="7">
        <v>5183754</v>
      </c>
      <c r="D60" s="6">
        <v>0.65168402460562502</v>
      </c>
      <c r="E60" s="6">
        <v>164.11</v>
      </c>
      <c r="F60" s="6">
        <v>163.38999999999999</v>
      </c>
      <c r="G60" s="6">
        <v>167.1499</v>
      </c>
      <c r="H60" s="6">
        <v>165.17496299999999</v>
      </c>
      <c r="I60" s="6">
        <v>165.50656000000001</v>
      </c>
      <c r="J60" s="6">
        <v>0.65168011402927295</v>
      </c>
      <c r="K60" s="6">
        <v>20.219771918355502</v>
      </c>
    </row>
    <row r="61" spans="1:11" ht="15" customHeight="1" x14ac:dyDescent="0.2">
      <c r="A61" s="5">
        <v>45975</v>
      </c>
      <c r="B61" s="3">
        <v>164.19</v>
      </c>
      <c r="C61" s="4">
        <v>2523295</v>
      </c>
      <c r="D61" s="3">
        <v>0.53269654665686295</v>
      </c>
      <c r="E61" s="3">
        <v>162.03</v>
      </c>
      <c r="F61" s="3">
        <v>161.66</v>
      </c>
      <c r="G61" s="3">
        <v>165.96</v>
      </c>
      <c r="H61" s="3">
        <v>164.134794</v>
      </c>
      <c r="I61" s="3">
        <v>164.43496999999999</v>
      </c>
      <c r="J61" s="3">
        <v>0.53269775617041903</v>
      </c>
      <c r="K61" s="3">
        <v>19.441396092104299</v>
      </c>
    </row>
    <row r="62" spans="1:11" ht="15" customHeight="1" x14ac:dyDescent="0.2">
      <c r="A62" s="8">
        <v>45974</v>
      </c>
      <c r="B62" s="6">
        <v>163.32</v>
      </c>
      <c r="C62" s="7">
        <v>3989675</v>
      </c>
      <c r="D62" s="6">
        <v>-0.99418040737149205</v>
      </c>
      <c r="E62" s="6">
        <v>164.215</v>
      </c>
      <c r="F62" s="6">
        <v>163.24</v>
      </c>
      <c r="G62" s="6">
        <v>166.29</v>
      </c>
      <c r="H62" s="6">
        <v>163.316475</v>
      </c>
      <c r="I62" s="6">
        <v>163.56367</v>
      </c>
      <c r="J62" s="6">
        <v>-0.99418229784707901</v>
      </c>
      <c r="K62" s="6">
        <v>18.808505847315999</v>
      </c>
    </row>
    <row r="63" spans="1:11" ht="15" customHeight="1" x14ac:dyDescent="0.2">
      <c r="A63" s="5">
        <v>45973</v>
      </c>
      <c r="B63" s="3">
        <v>164.96</v>
      </c>
      <c r="C63" s="4">
        <v>3101046</v>
      </c>
      <c r="D63" s="3">
        <v>0.49957353478740002</v>
      </c>
      <c r="E63" s="3">
        <v>164.45</v>
      </c>
      <c r="F63" s="3">
        <v>163.51</v>
      </c>
      <c r="G63" s="3">
        <v>165.8099</v>
      </c>
      <c r="H63" s="3">
        <v>164.87995599999999</v>
      </c>
      <c r="I63" s="3">
        <v>165.20612</v>
      </c>
      <c r="J63" s="3">
        <v>0.499577546330431</v>
      </c>
      <c r="K63" s="3">
        <v>20.0015399142878</v>
      </c>
    </row>
    <row r="64" spans="1:11" ht="15" customHeight="1" x14ac:dyDescent="0.2">
      <c r="A64" s="8">
        <v>45972</v>
      </c>
      <c r="B64" s="6">
        <v>164.14</v>
      </c>
      <c r="C64" s="7">
        <v>4016732</v>
      </c>
      <c r="D64" s="6">
        <v>2.8832894571894001</v>
      </c>
      <c r="E64" s="6">
        <v>159.83000000000001</v>
      </c>
      <c r="F64" s="6">
        <v>159.41999999999999</v>
      </c>
      <c r="G64" s="6">
        <v>164.33</v>
      </c>
      <c r="H64" s="6">
        <v>164.09772000000001</v>
      </c>
      <c r="I64" s="6">
        <v>164.38489000000001</v>
      </c>
      <c r="J64" s="6">
        <v>2.8832939599577001</v>
      </c>
      <c r="K64" s="6">
        <v>19.4050192489286</v>
      </c>
    </row>
    <row r="65" spans="1:11" ht="15" customHeight="1" x14ac:dyDescent="0.2">
      <c r="A65" s="5">
        <v>45971</v>
      </c>
      <c r="B65" s="3">
        <v>159.54</v>
      </c>
      <c r="C65" s="4">
        <v>1850034</v>
      </c>
      <c r="D65" s="3">
        <v>1.1539436976921</v>
      </c>
      <c r="E65" s="3">
        <v>158.99</v>
      </c>
      <c r="F65" s="3">
        <v>158.37</v>
      </c>
      <c r="G65" s="3">
        <v>159.94</v>
      </c>
      <c r="H65" s="3">
        <v>159.50172800000001</v>
      </c>
      <c r="I65" s="3">
        <v>159.77802</v>
      </c>
      <c r="J65" s="3">
        <v>1.15394671783726</v>
      </c>
      <c r="K65" s="3">
        <v>16.058705600348599</v>
      </c>
    </row>
    <row r="66" spans="1:11" ht="15" customHeight="1" x14ac:dyDescent="0.2">
      <c r="A66" s="8">
        <v>45968</v>
      </c>
      <c r="B66" s="6">
        <v>157.72</v>
      </c>
      <c r="C66" s="7">
        <v>2098773</v>
      </c>
      <c r="D66" s="6">
        <v>-0.44814744682194402</v>
      </c>
      <c r="E66" s="6">
        <v>157.38999999999999</v>
      </c>
      <c r="F66" s="6">
        <v>154.97999999999999</v>
      </c>
      <c r="G66" s="6">
        <v>157.72</v>
      </c>
      <c r="H66" s="6">
        <v>157.660212</v>
      </c>
      <c r="I66" s="6">
        <v>157.95529999999999</v>
      </c>
      <c r="J66" s="6">
        <v>-0.44815419927991501</v>
      </c>
      <c r="K66" s="6">
        <v>14.734727972688299</v>
      </c>
    </row>
    <row r="67" spans="1:11" ht="15" customHeight="1" x14ac:dyDescent="0.2">
      <c r="A67" s="5">
        <v>45967</v>
      </c>
      <c r="B67" s="3">
        <v>158.43</v>
      </c>
      <c r="C67" s="4">
        <v>1636693</v>
      </c>
      <c r="D67" s="3">
        <v>7.5800644305479198E-2</v>
      </c>
      <c r="E67" s="3">
        <v>157.68</v>
      </c>
      <c r="F67" s="3">
        <v>157.30000000000001</v>
      </c>
      <c r="G67" s="3">
        <v>159.05000000000001</v>
      </c>
      <c r="H67" s="3">
        <v>158.32033000000001</v>
      </c>
      <c r="I67" s="3">
        <v>158.66637</v>
      </c>
      <c r="J67" s="3">
        <v>7.5801253880647401E-2</v>
      </c>
      <c r="K67" s="3">
        <v>15.2512312050555</v>
      </c>
    </row>
    <row r="68" spans="1:11" ht="15" customHeight="1" x14ac:dyDescent="0.2">
      <c r="A68" s="8">
        <v>45966</v>
      </c>
      <c r="B68" s="6">
        <v>158.31</v>
      </c>
      <c r="C68" s="7">
        <v>2006383</v>
      </c>
      <c r="D68" s="6">
        <v>1.4287544848795299</v>
      </c>
      <c r="E68" s="6">
        <v>155.53</v>
      </c>
      <c r="F68" s="6">
        <v>155.1</v>
      </c>
      <c r="G68" s="6">
        <v>158.97999999999999</v>
      </c>
      <c r="H68" s="6">
        <v>158.32772199999999</v>
      </c>
      <c r="I68" s="6">
        <v>158.54619</v>
      </c>
      <c r="J68" s="6">
        <v>1.4287499167534801</v>
      </c>
      <c r="K68" s="6">
        <v>15.163935497929801</v>
      </c>
    </row>
    <row r="69" spans="1:11" ht="15" customHeight="1" x14ac:dyDescent="0.2">
      <c r="A69" s="5">
        <v>45965</v>
      </c>
      <c r="B69" s="3">
        <v>156.08000000000001</v>
      </c>
      <c r="C69" s="4">
        <v>2058185</v>
      </c>
      <c r="D69" s="3">
        <v>-0.87641305728438601</v>
      </c>
      <c r="E69" s="3">
        <v>155.81</v>
      </c>
      <c r="F69" s="3">
        <v>154.63</v>
      </c>
      <c r="G69" s="3">
        <v>158.05500000000001</v>
      </c>
      <c r="H69" s="3">
        <v>156.05946800000001</v>
      </c>
      <c r="I69" s="3">
        <v>156.31287</v>
      </c>
      <c r="J69" s="3">
        <v>-0.87641371856406103</v>
      </c>
      <c r="K69" s="3">
        <v>13.5417084332098</v>
      </c>
    </row>
    <row r="70" spans="1:11" ht="15" customHeight="1" x14ac:dyDescent="0.2">
      <c r="A70" s="8">
        <v>45964</v>
      </c>
      <c r="B70" s="6">
        <v>157.46</v>
      </c>
      <c r="C70" s="7">
        <v>2473841</v>
      </c>
      <c r="D70" s="6">
        <v>-1.20466808884426</v>
      </c>
      <c r="E70" s="6">
        <v>158.97999999999999</v>
      </c>
      <c r="F70" s="6">
        <v>154.62</v>
      </c>
      <c r="G70" s="6">
        <v>159.22999999999999</v>
      </c>
      <c r="H70" s="6">
        <v>157.44249099999999</v>
      </c>
      <c r="I70" s="6">
        <v>157.69493</v>
      </c>
      <c r="J70" s="6">
        <v>-1.2046714088278201</v>
      </c>
      <c r="K70" s="6">
        <v>14.5456018014091</v>
      </c>
    </row>
    <row r="71" spans="1:11" ht="15" customHeight="1" x14ac:dyDescent="0.2">
      <c r="A71" s="5">
        <v>45961</v>
      </c>
      <c r="B71" s="3">
        <v>159.38</v>
      </c>
      <c r="C71" s="4">
        <v>1999402</v>
      </c>
      <c r="D71" s="3">
        <v>1.31587311677578</v>
      </c>
      <c r="E71" s="3">
        <v>156.79</v>
      </c>
      <c r="F71" s="3">
        <v>156</v>
      </c>
      <c r="G71" s="3">
        <v>159.79</v>
      </c>
      <c r="H71" s="3">
        <v>159.43688</v>
      </c>
      <c r="I71" s="3">
        <v>159.61779999999999</v>
      </c>
      <c r="J71" s="3">
        <v>1.3158805088333501</v>
      </c>
      <c r="K71" s="3">
        <v>15.9423258516742</v>
      </c>
    </row>
    <row r="72" spans="1:11" ht="15" customHeight="1" x14ac:dyDescent="0.2">
      <c r="A72" s="8">
        <v>45960</v>
      </c>
      <c r="B72" s="6">
        <v>157.31</v>
      </c>
      <c r="C72" s="7">
        <v>2577387</v>
      </c>
      <c r="D72" s="6">
        <v>0.21660189845194</v>
      </c>
      <c r="E72" s="6">
        <v>156.53</v>
      </c>
      <c r="F72" s="6">
        <v>155</v>
      </c>
      <c r="G72" s="6">
        <v>158.62</v>
      </c>
      <c r="H72" s="6">
        <v>157.35966400000001</v>
      </c>
      <c r="I72" s="6">
        <v>157.54470000000001</v>
      </c>
      <c r="J72" s="6">
        <v>0.21659726648526301</v>
      </c>
      <c r="K72" s="6">
        <v>14.4364785356286</v>
      </c>
    </row>
    <row r="73" spans="1:11" ht="15" customHeight="1" x14ac:dyDescent="0.2">
      <c r="A73" s="5">
        <v>45959</v>
      </c>
      <c r="B73" s="3">
        <v>156.97</v>
      </c>
      <c r="C73" s="4">
        <v>1583035</v>
      </c>
      <c r="D73" s="3">
        <v>-0.43765064061904702</v>
      </c>
      <c r="E73" s="3">
        <v>157.52000000000001</v>
      </c>
      <c r="F73" s="3">
        <v>156.19</v>
      </c>
      <c r="G73" s="3">
        <v>158.63999999999999</v>
      </c>
      <c r="H73" s="3">
        <v>156.952009</v>
      </c>
      <c r="I73" s="3">
        <v>157.20419999999999</v>
      </c>
      <c r="J73" s="3">
        <v>-0.43765096640349099</v>
      </c>
      <c r="K73" s="3">
        <v>14.189147962519</v>
      </c>
    </row>
    <row r="74" spans="1:11" ht="15" customHeight="1" x14ac:dyDescent="0.2">
      <c r="A74" s="8">
        <v>45958</v>
      </c>
      <c r="B74" s="6">
        <v>157.66</v>
      </c>
      <c r="C74" s="7">
        <v>1133991</v>
      </c>
      <c r="D74" s="6">
        <v>0.35007319712301299</v>
      </c>
      <c r="E74" s="6">
        <v>156.71</v>
      </c>
      <c r="F74" s="6">
        <v>156.4</v>
      </c>
      <c r="G74" s="6">
        <v>158.285</v>
      </c>
      <c r="H74" s="6">
        <v>157.64691300000001</v>
      </c>
      <c r="I74" s="6">
        <v>157.89523</v>
      </c>
      <c r="J74" s="6">
        <v>0.35007918934515297</v>
      </c>
      <c r="K74" s="6">
        <v>14.6910946466187</v>
      </c>
    </row>
    <row r="75" spans="1:11" ht="15" customHeight="1" x14ac:dyDescent="0.2">
      <c r="A75" s="5">
        <v>45957</v>
      </c>
      <c r="B75" s="3">
        <v>157.11000000000001</v>
      </c>
      <c r="C75" s="4">
        <v>3044432</v>
      </c>
      <c r="D75" s="3">
        <v>1.2567672080433301</v>
      </c>
      <c r="E75" s="3">
        <v>156.66999999999999</v>
      </c>
      <c r="F75" s="3">
        <v>156</v>
      </c>
      <c r="G75" s="3">
        <v>157.44</v>
      </c>
      <c r="H75" s="3">
        <v>157.13907800000001</v>
      </c>
      <c r="I75" s="3">
        <v>157.34440000000001</v>
      </c>
      <c r="J75" s="3">
        <v>1.25676114845405</v>
      </c>
      <c r="K75" s="3">
        <v>14.290985690419101</v>
      </c>
    </row>
    <row r="76" spans="1:11" ht="15" customHeight="1" x14ac:dyDescent="0.2">
      <c r="A76" s="8">
        <v>45954</v>
      </c>
      <c r="B76" s="6">
        <v>155.16</v>
      </c>
      <c r="C76" s="7">
        <v>1745895</v>
      </c>
      <c r="D76" s="6">
        <v>0.37521024712121598</v>
      </c>
      <c r="E76" s="6">
        <v>155.72999999999999</v>
      </c>
      <c r="F76" s="6">
        <v>154.9</v>
      </c>
      <c r="G76" s="6">
        <v>155.93</v>
      </c>
      <c r="H76" s="6">
        <v>155.170582</v>
      </c>
      <c r="I76" s="6">
        <v>155.39150000000001</v>
      </c>
      <c r="J76" s="6">
        <v>0.37521973621705801</v>
      </c>
      <c r="K76" s="6">
        <v>12.872448608992499</v>
      </c>
    </row>
    <row r="77" spans="1:11" ht="15" customHeight="1" x14ac:dyDescent="0.2">
      <c r="A77" s="5">
        <v>45953</v>
      </c>
      <c r="B77" s="3">
        <v>154.58000000000001</v>
      </c>
      <c r="C77" s="4">
        <v>953942</v>
      </c>
      <c r="D77" s="3">
        <v>0.42879417879420001</v>
      </c>
      <c r="E77" s="3">
        <v>154.41</v>
      </c>
      <c r="F77" s="3">
        <v>153.5</v>
      </c>
      <c r="G77" s="3">
        <v>154.9</v>
      </c>
      <c r="H77" s="3">
        <v>154.57200800000001</v>
      </c>
      <c r="I77" s="3">
        <v>154.81062</v>
      </c>
      <c r="J77" s="3">
        <v>0.42879114086804498</v>
      </c>
      <c r="K77" s="3">
        <v>12.4505120941381</v>
      </c>
    </row>
    <row r="78" spans="1:11" ht="15" customHeight="1" x14ac:dyDescent="0.2">
      <c r="A78" s="8">
        <v>45952</v>
      </c>
      <c r="B78" s="6">
        <v>153.91999999999999</v>
      </c>
      <c r="C78" s="7">
        <v>1239744</v>
      </c>
      <c r="D78" s="6">
        <v>-1.3523040440940799</v>
      </c>
      <c r="E78" s="6">
        <v>155.72999999999999</v>
      </c>
      <c r="F78" s="6">
        <v>153.251</v>
      </c>
      <c r="G78" s="6">
        <v>156.36689999999999</v>
      </c>
      <c r="H78" s="6">
        <v>153.92600999999999</v>
      </c>
      <c r="I78" s="6">
        <v>154.14964000000001</v>
      </c>
      <c r="J78" s="6">
        <v>-1.3523053056968799</v>
      </c>
      <c r="K78" s="6">
        <v>11.970392968693201</v>
      </c>
    </row>
    <row r="79" spans="1:11" ht="15" customHeight="1" x14ac:dyDescent="0.2">
      <c r="A79" s="5">
        <v>45951</v>
      </c>
      <c r="B79" s="3">
        <v>156.03</v>
      </c>
      <c r="C79" s="4">
        <v>2281414</v>
      </c>
      <c r="D79" s="3">
        <v>-0.29394849511151699</v>
      </c>
      <c r="E79" s="3">
        <v>156.4</v>
      </c>
      <c r="F79" s="3">
        <v>155.17500000000001</v>
      </c>
      <c r="G79" s="3">
        <v>157.1893</v>
      </c>
      <c r="H79" s="3">
        <v>156.022606</v>
      </c>
      <c r="I79" s="3">
        <v>156.26279</v>
      </c>
      <c r="J79" s="3">
        <v>-0.29395084897297902</v>
      </c>
      <c r="K79" s="3">
        <v>13.5053315900341</v>
      </c>
    </row>
    <row r="80" spans="1:11" ht="15" customHeight="1" x14ac:dyDescent="0.2">
      <c r="A80" s="8">
        <v>45950</v>
      </c>
      <c r="B80" s="6">
        <v>156.49</v>
      </c>
      <c r="C80" s="7">
        <v>2520501</v>
      </c>
      <c r="D80" s="6">
        <v>1.4916661262079201</v>
      </c>
      <c r="E80" s="6">
        <v>155.03</v>
      </c>
      <c r="F80" s="6">
        <v>154.56</v>
      </c>
      <c r="G80" s="6">
        <v>157.01</v>
      </c>
      <c r="H80" s="6">
        <v>156.49095500000001</v>
      </c>
      <c r="I80" s="6">
        <v>156.72348</v>
      </c>
      <c r="J80" s="6">
        <v>1.49167167681085</v>
      </c>
      <c r="K80" s="6">
        <v>13.839965134016101</v>
      </c>
    </row>
    <row r="81" spans="1:11" ht="15" customHeight="1" x14ac:dyDescent="0.2">
      <c r="A81" s="5">
        <v>45947</v>
      </c>
      <c r="B81" s="3">
        <v>154.19</v>
      </c>
      <c r="C81" s="4">
        <v>2557342</v>
      </c>
      <c r="D81" s="3">
        <v>0.50189023595359405</v>
      </c>
      <c r="E81" s="3">
        <v>152.91</v>
      </c>
      <c r="F81" s="3">
        <v>152.16999999999999</v>
      </c>
      <c r="G81" s="3">
        <v>154.69</v>
      </c>
      <c r="H81" s="3">
        <v>154.16637900000001</v>
      </c>
      <c r="I81" s="3">
        <v>154.42004</v>
      </c>
      <c r="J81" s="3">
        <v>0.50188449120038803</v>
      </c>
      <c r="K81" s="3">
        <v>12.166804677852801</v>
      </c>
    </row>
    <row r="82" spans="1:11" ht="15" customHeight="1" x14ac:dyDescent="0.2">
      <c r="A82" s="8">
        <v>45946</v>
      </c>
      <c r="B82" s="6">
        <v>153.41999999999999</v>
      </c>
      <c r="C82" s="7">
        <v>2043356</v>
      </c>
      <c r="D82" s="6">
        <v>1.9557989438689902E-2</v>
      </c>
      <c r="E82" s="6">
        <v>154.09</v>
      </c>
      <c r="F82" s="6">
        <v>152.63999999999999</v>
      </c>
      <c r="G82" s="6">
        <v>156.36000000000001</v>
      </c>
      <c r="H82" s="6">
        <v>153.37603899999999</v>
      </c>
      <c r="I82" s="6">
        <v>153.6489</v>
      </c>
      <c r="J82" s="6">
        <v>1.9561401481649199E-2</v>
      </c>
      <c r="K82" s="6">
        <v>11.606668119416</v>
      </c>
    </row>
    <row r="83" spans="1:11" ht="15" customHeight="1" x14ac:dyDescent="0.2">
      <c r="A83" s="5">
        <v>45945</v>
      </c>
      <c r="B83" s="3">
        <v>153.38999999999999</v>
      </c>
      <c r="C83" s="4">
        <v>1652969</v>
      </c>
      <c r="D83" s="3">
        <v>1.3679619349722301</v>
      </c>
      <c r="E83" s="3">
        <v>151.155</v>
      </c>
      <c r="F83" s="3">
        <v>151.01</v>
      </c>
      <c r="G83" s="3">
        <v>153.84440000000001</v>
      </c>
      <c r="H83" s="3">
        <v>153.31395599999999</v>
      </c>
      <c r="I83" s="3">
        <v>153.61885000000001</v>
      </c>
      <c r="J83" s="3">
        <v>1.3679496717097599</v>
      </c>
      <c r="K83" s="3">
        <v>11.584840560761201</v>
      </c>
    </row>
    <row r="84" spans="1:11" ht="15" customHeight="1" x14ac:dyDescent="0.2">
      <c r="A84" s="8">
        <v>45944</v>
      </c>
      <c r="B84" s="6">
        <v>151.32</v>
      </c>
      <c r="C84" s="7">
        <v>1640138</v>
      </c>
      <c r="D84" s="6">
        <v>0.25175566450243902</v>
      </c>
      <c r="E84" s="6">
        <v>149.54</v>
      </c>
      <c r="F84" s="6">
        <v>149.0909</v>
      </c>
      <c r="G84" s="6">
        <v>152.41</v>
      </c>
      <c r="H84" s="6">
        <v>151.28270800000001</v>
      </c>
      <c r="I84" s="6">
        <v>151.54578000000001</v>
      </c>
      <c r="J84" s="6">
        <v>0.25177092689130298</v>
      </c>
      <c r="K84" s="6">
        <v>10.0790150359555</v>
      </c>
    </row>
    <row r="85" spans="1:11" ht="15" customHeight="1" x14ac:dyDescent="0.2">
      <c r="A85" s="5">
        <v>45943</v>
      </c>
      <c r="B85" s="3">
        <v>150.94</v>
      </c>
      <c r="C85" s="4">
        <v>2210767</v>
      </c>
      <c r="D85" s="3">
        <v>0.66022007335779698</v>
      </c>
      <c r="E85" s="3">
        <v>149.88</v>
      </c>
      <c r="F85" s="3">
        <v>149.19999999999999</v>
      </c>
      <c r="G85" s="3">
        <v>151.76</v>
      </c>
      <c r="H85" s="3">
        <v>150.901499</v>
      </c>
      <c r="I85" s="3">
        <v>151.16519</v>
      </c>
      <c r="J85" s="3">
        <v>0.66021538255827095</v>
      </c>
      <c r="K85" s="3">
        <v>9.8025641025640997</v>
      </c>
    </row>
    <row r="86" spans="1:11" ht="15" customHeight="1" x14ac:dyDescent="0.2">
      <c r="A86" s="8">
        <v>45940</v>
      </c>
      <c r="B86" s="6">
        <v>149.94999999999999</v>
      </c>
      <c r="C86" s="7">
        <v>2957879</v>
      </c>
      <c r="D86" s="6">
        <v>-1.3811246300559099</v>
      </c>
      <c r="E86" s="6">
        <v>152.63</v>
      </c>
      <c r="F86" s="6">
        <v>149.57</v>
      </c>
      <c r="G86" s="6">
        <v>152.63</v>
      </c>
      <c r="H86" s="6">
        <v>149.973274</v>
      </c>
      <c r="I86" s="6">
        <v>150.17372</v>
      </c>
      <c r="J86" s="6">
        <v>-1.38112908290859</v>
      </c>
      <c r="K86" s="6">
        <v>9.0823854143967502</v>
      </c>
    </row>
    <row r="87" spans="1:11" ht="15" customHeight="1" x14ac:dyDescent="0.2">
      <c r="A87" s="5">
        <v>45939</v>
      </c>
      <c r="B87" s="3">
        <v>152.05000000000001</v>
      </c>
      <c r="C87" s="4">
        <v>1216005</v>
      </c>
      <c r="D87" s="3">
        <v>3.9476281334294101E-2</v>
      </c>
      <c r="E87" s="3">
        <v>152.22999999999999</v>
      </c>
      <c r="F87" s="3">
        <v>151.77000000000001</v>
      </c>
      <c r="G87" s="3">
        <v>152.9</v>
      </c>
      <c r="H87" s="3">
        <v>152.05278200000001</v>
      </c>
      <c r="I87" s="3">
        <v>152.27686</v>
      </c>
      <c r="J87" s="3">
        <v>3.9476596435461503E-2</v>
      </c>
      <c r="K87" s="3">
        <v>10.6100530253504</v>
      </c>
    </row>
    <row r="88" spans="1:11" ht="15" customHeight="1" x14ac:dyDescent="0.2">
      <c r="A88" s="8">
        <v>45938</v>
      </c>
      <c r="B88" s="6">
        <v>151.99</v>
      </c>
      <c r="C88" s="7">
        <v>1831821</v>
      </c>
      <c r="D88" s="6">
        <v>1.00345560871877</v>
      </c>
      <c r="E88" s="6">
        <v>150.82</v>
      </c>
      <c r="F88" s="6">
        <v>150.43</v>
      </c>
      <c r="G88" s="6">
        <v>153.01</v>
      </c>
      <c r="H88" s="6">
        <v>151.96340699999999</v>
      </c>
      <c r="I88" s="6">
        <v>152.21677</v>
      </c>
      <c r="J88" s="6">
        <v>1.0034670497563101</v>
      </c>
      <c r="K88" s="6">
        <v>10.566405171787601</v>
      </c>
    </row>
    <row r="89" spans="1:11" ht="15" customHeight="1" x14ac:dyDescent="0.2">
      <c r="A89" s="5">
        <v>45937</v>
      </c>
      <c r="B89" s="3">
        <v>150.47999999999999</v>
      </c>
      <c r="C89" s="4">
        <v>1962168</v>
      </c>
      <c r="D89" s="3">
        <v>-2.65745415891749E-2</v>
      </c>
      <c r="E89" s="3">
        <v>150.49</v>
      </c>
      <c r="F89" s="3">
        <v>149.63999999999999</v>
      </c>
      <c r="G89" s="3">
        <v>150.9367</v>
      </c>
      <c r="H89" s="3">
        <v>150.509535</v>
      </c>
      <c r="I89" s="3">
        <v>150.7045</v>
      </c>
      <c r="J89" s="3">
        <v>-2.6581388636426301E-2</v>
      </c>
      <c r="K89" s="3">
        <v>9.4679305585821201</v>
      </c>
    </row>
    <row r="90" spans="1:11" ht="15" customHeight="1" x14ac:dyDescent="0.2">
      <c r="A90" s="8">
        <v>45936</v>
      </c>
      <c r="B90" s="6">
        <v>150.52000000000001</v>
      </c>
      <c r="C90" s="7">
        <v>2434699</v>
      </c>
      <c r="D90" s="6">
        <v>-0.317880794701974</v>
      </c>
      <c r="E90" s="6">
        <v>151.41</v>
      </c>
      <c r="F90" s="6">
        <v>150.32</v>
      </c>
      <c r="G90" s="6">
        <v>151.79</v>
      </c>
      <c r="H90" s="6">
        <v>150.536304</v>
      </c>
      <c r="I90" s="6">
        <v>150.74457000000001</v>
      </c>
      <c r="J90" s="6">
        <v>-0.317876746533374</v>
      </c>
      <c r="K90" s="6">
        <v>9.4970363913706795</v>
      </c>
    </row>
    <row r="91" spans="1:11" ht="15" customHeight="1" x14ac:dyDescent="0.2">
      <c r="A91" s="5">
        <v>45933</v>
      </c>
      <c r="B91" s="3">
        <v>151</v>
      </c>
      <c r="C91" s="4">
        <v>3416876</v>
      </c>
      <c r="D91" s="3">
        <v>0.92233658601790203</v>
      </c>
      <c r="E91" s="3">
        <v>150.32</v>
      </c>
      <c r="F91" s="3">
        <v>149.83000000000001</v>
      </c>
      <c r="G91" s="3">
        <v>151.62</v>
      </c>
      <c r="H91" s="3">
        <v>150.957436</v>
      </c>
      <c r="I91" s="3">
        <v>151.22528</v>
      </c>
      <c r="J91" s="3">
        <v>0.92233736034235103</v>
      </c>
      <c r="K91" s="3">
        <v>9.8462119561269699</v>
      </c>
    </row>
    <row r="92" spans="1:11" ht="15" customHeight="1" x14ac:dyDescent="0.2">
      <c r="A92" s="8">
        <v>45932</v>
      </c>
      <c r="B92" s="6">
        <v>149.62</v>
      </c>
      <c r="C92" s="7">
        <v>2213795</v>
      </c>
      <c r="D92" s="6">
        <v>0.747424415864261</v>
      </c>
      <c r="E92" s="6">
        <v>148.68</v>
      </c>
      <c r="F92" s="6">
        <v>147.94999999999999</v>
      </c>
      <c r="G92" s="6">
        <v>149.66999999999999</v>
      </c>
      <c r="H92" s="6">
        <v>149.63188600000001</v>
      </c>
      <c r="I92" s="6">
        <v>149.84322</v>
      </c>
      <c r="J92" s="6">
        <v>0.74742033584396195</v>
      </c>
      <c r="K92" s="6">
        <v>8.8423185879276591</v>
      </c>
    </row>
    <row r="93" spans="1:11" ht="15" customHeight="1" x14ac:dyDescent="0.2">
      <c r="A93" s="5">
        <v>45931</v>
      </c>
      <c r="B93" s="3">
        <v>148.51</v>
      </c>
      <c r="C93" s="4">
        <v>3771777</v>
      </c>
      <c r="D93" s="3">
        <v>2.8676317794555399</v>
      </c>
      <c r="E93" s="3">
        <v>144.65</v>
      </c>
      <c r="F93" s="3">
        <v>144.65</v>
      </c>
      <c r="G93" s="3">
        <v>149.31</v>
      </c>
      <c r="H93" s="3">
        <v>148.50022000000001</v>
      </c>
      <c r="I93" s="3">
        <v>148.73157</v>
      </c>
      <c r="J93" s="3">
        <v>2.8676341364781202</v>
      </c>
      <c r="K93" s="3">
        <v>8.0348441926345693</v>
      </c>
    </row>
    <row r="94" spans="1:11" ht="15" customHeight="1" x14ac:dyDescent="0.2">
      <c r="A94" s="8">
        <v>45930</v>
      </c>
      <c r="B94" s="6">
        <v>144.37</v>
      </c>
      <c r="C94" s="7">
        <v>3349973</v>
      </c>
      <c r="D94" s="6">
        <v>1.37630784355031</v>
      </c>
      <c r="E94" s="6">
        <v>142.22999999999999</v>
      </c>
      <c r="F94" s="6">
        <v>141.91999999999999</v>
      </c>
      <c r="G94" s="6">
        <v>144.86000000000001</v>
      </c>
      <c r="H94" s="6">
        <v>144.36892700000001</v>
      </c>
      <c r="I94" s="6">
        <v>144.58538999999999</v>
      </c>
      <c r="J94" s="6">
        <v>1.3763048697726199</v>
      </c>
      <c r="K94" s="6">
        <v>5.0231640880366104</v>
      </c>
    </row>
    <row r="95" spans="1:11" ht="15" customHeight="1" x14ac:dyDescent="0.2">
      <c r="A95" s="5">
        <v>45929</v>
      </c>
      <c r="B95" s="3">
        <v>142.41</v>
      </c>
      <c r="C95" s="4">
        <v>1829543</v>
      </c>
      <c r="D95" s="3">
        <v>1.0286606129398199</v>
      </c>
      <c r="E95" s="3">
        <v>141.56</v>
      </c>
      <c r="F95" s="3">
        <v>140.83000000000001</v>
      </c>
      <c r="G95" s="3">
        <v>142.79</v>
      </c>
      <c r="H95" s="3">
        <v>142.44977</v>
      </c>
      <c r="I95" s="3">
        <v>142.62246999999999</v>
      </c>
      <c r="J95" s="3">
        <v>1.02865106489804</v>
      </c>
      <c r="K95" s="3">
        <v>3.5973487324762101</v>
      </c>
    </row>
    <row r="96" spans="1:11" ht="15" customHeight="1" x14ac:dyDescent="0.2">
      <c r="A96" s="8">
        <v>45926</v>
      </c>
      <c r="B96" s="6">
        <v>140.96</v>
      </c>
      <c r="C96" s="7">
        <v>1936844</v>
      </c>
      <c r="D96" s="6">
        <v>1.35902782771266</v>
      </c>
      <c r="E96" s="6">
        <v>139.6</v>
      </c>
      <c r="F96" s="6">
        <v>139.19999999999999</v>
      </c>
      <c r="G96" s="6">
        <v>141.02000000000001</v>
      </c>
      <c r="H96" s="6">
        <v>141.00806700000001</v>
      </c>
      <c r="I96" s="6">
        <v>141.17032</v>
      </c>
      <c r="J96" s="6">
        <v>1.35902784010339</v>
      </c>
      <c r="K96" s="6">
        <v>2.5425437640735198</v>
      </c>
    </row>
    <row r="97" spans="1:11" ht="15" customHeight="1" x14ac:dyDescent="0.2">
      <c r="A97" s="5">
        <v>45925</v>
      </c>
      <c r="B97" s="3">
        <v>139.07</v>
      </c>
      <c r="C97" s="4">
        <v>2134098</v>
      </c>
      <c r="D97" s="3">
        <v>-1.81445919231855</v>
      </c>
      <c r="E97" s="3">
        <v>141.44</v>
      </c>
      <c r="F97" s="3">
        <v>138.785</v>
      </c>
      <c r="G97" s="3">
        <v>141.5</v>
      </c>
      <c r="H97" s="3">
        <v>139.06966700000001</v>
      </c>
      <c r="I97" s="3">
        <v>139.2775</v>
      </c>
      <c r="J97" s="3">
        <v>-1.81444910064988</v>
      </c>
      <c r="K97" s="3">
        <v>1.1676472724631399</v>
      </c>
    </row>
    <row r="98" spans="1:11" ht="15" customHeight="1" x14ac:dyDescent="0.2">
      <c r="A98" s="8">
        <v>45924</v>
      </c>
      <c r="B98" s="6">
        <v>141.63999999999999</v>
      </c>
      <c r="C98" s="7">
        <v>1852465</v>
      </c>
      <c r="D98" s="6">
        <v>-0.59653309004141697</v>
      </c>
      <c r="E98" s="6">
        <v>142.4</v>
      </c>
      <c r="F98" s="6">
        <v>141.19</v>
      </c>
      <c r="G98" s="6">
        <v>142.87</v>
      </c>
      <c r="H98" s="6">
        <v>141.674598</v>
      </c>
      <c r="I98" s="6">
        <v>141.85131999999999</v>
      </c>
      <c r="J98" s="6">
        <v>-0.59653437264173204</v>
      </c>
      <c r="K98" s="6">
        <v>3.0372049102927199</v>
      </c>
    </row>
    <row r="99" spans="1:11" ht="15" customHeight="1" x14ac:dyDescent="0.2">
      <c r="A99" s="5">
        <v>45923</v>
      </c>
      <c r="B99" s="3">
        <v>142.49</v>
      </c>
      <c r="C99" s="4">
        <v>1299661</v>
      </c>
      <c r="D99" s="3">
        <v>-0.64151732794085403</v>
      </c>
      <c r="E99" s="3">
        <v>142.97999999999999</v>
      </c>
      <c r="F99" s="3">
        <v>142.405</v>
      </c>
      <c r="G99" s="3">
        <v>143.58000000000001</v>
      </c>
      <c r="H99" s="3">
        <v>142.48946000000001</v>
      </c>
      <c r="I99" s="3">
        <v>142.70258999999999</v>
      </c>
      <c r="J99" s="3">
        <v>-0.64151552428997005</v>
      </c>
      <c r="K99" s="3">
        <v>3.6555458705600299</v>
      </c>
    </row>
    <row r="100" spans="1:11" ht="15" customHeight="1" x14ac:dyDescent="0.2">
      <c r="A100" s="8">
        <v>45922</v>
      </c>
      <c r="B100" s="6">
        <v>143.41</v>
      </c>
      <c r="C100" s="7">
        <v>2928572</v>
      </c>
      <c r="D100" s="6">
        <v>0.48346412556052798</v>
      </c>
      <c r="E100" s="6">
        <v>142.99</v>
      </c>
      <c r="F100" s="6">
        <v>142.04</v>
      </c>
      <c r="G100" s="6">
        <v>143.88</v>
      </c>
      <c r="H100" s="6">
        <v>143.383343</v>
      </c>
      <c r="I100" s="6">
        <v>143.62396000000001</v>
      </c>
      <c r="J100" s="6">
        <v>0.48345748712648101</v>
      </c>
      <c r="K100" s="6">
        <v>4.3248056947773801</v>
      </c>
    </row>
    <row r="101" spans="1:11" ht="15" customHeight="1" x14ac:dyDescent="0.2">
      <c r="A101" s="5">
        <v>45919</v>
      </c>
      <c r="B101" s="3">
        <v>142.72</v>
      </c>
      <c r="C101" s="4">
        <v>2476448</v>
      </c>
      <c r="D101" s="3">
        <v>-0.63357237345957795</v>
      </c>
      <c r="E101" s="3">
        <v>143.82</v>
      </c>
      <c r="F101" s="3">
        <v>142.61000000000001</v>
      </c>
      <c r="G101" s="3">
        <v>144.34</v>
      </c>
      <c r="H101" s="3">
        <v>142.829013</v>
      </c>
      <c r="I101" s="3">
        <v>142.93294</v>
      </c>
      <c r="J101" s="3">
        <v>-0.63357394071228401</v>
      </c>
      <c r="K101" s="3">
        <v>3.8228662744243498</v>
      </c>
    </row>
    <row r="102" spans="1:11" ht="15" customHeight="1" x14ac:dyDescent="0.2">
      <c r="A102" s="8">
        <v>45918</v>
      </c>
      <c r="B102" s="6">
        <v>143.63</v>
      </c>
      <c r="C102" s="7">
        <v>1067686</v>
      </c>
      <c r="D102" s="6">
        <v>1.8652482269503501</v>
      </c>
      <c r="E102" s="6">
        <v>141.82</v>
      </c>
      <c r="F102" s="6">
        <v>141.82</v>
      </c>
      <c r="G102" s="6">
        <v>143.79499999999999</v>
      </c>
      <c r="H102" s="6">
        <v>143.67272299999999</v>
      </c>
      <c r="I102" s="6">
        <v>143.8443</v>
      </c>
      <c r="J102" s="6">
        <v>1.8652525306746199</v>
      </c>
      <c r="K102" s="6">
        <v>4.4848550882545304</v>
      </c>
    </row>
    <row r="103" spans="1:11" ht="15" customHeight="1" x14ac:dyDescent="0.2">
      <c r="A103" s="5">
        <v>45917</v>
      </c>
      <c r="B103" s="3">
        <v>141</v>
      </c>
      <c r="C103" s="4">
        <v>2380895</v>
      </c>
      <c r="D103" s="3">
        <v>4.2571306939120902E-2</v>
      </c>
      <c r="E103" s="3">
        <v>141.37</v>
      </c>
      <c r="F103" s="3">
        <v>140.44999999999999</v>
      </c>
      <c r="G103" s="3">
        <v>143.38999999999999</v>
      </c>
      <c r="H103" s="3">
        <v>141.02551500000001</v>
      </c>
      <c r="I103" s="3">
        <v>141.21037000000001</v>
      </c>
      <c r="J103" s="3">
        <v>4.2571647750189102E-2</v>
      </c>
      <c r="K103" s="3">
        <v>2.5716350693687899</v>
      </c>
    </row>
    <row r="104" spans="1:11" ht="15" customHeight="1" x14ac:dyDescent="0.2">
      <c r="A104" s="8">
        <v>45916</v>
      </c>
      <c r="B104" s="6">
        <v>140.94</v>
      </c>
      <c r="C104" s="7">
        <v>1170213</v>
      </c>
      <c r="D104" s="6">
        <v>0.156338828880042</v>
      </c>
      <c r="E104" s="6">
        <v>140.6</v>
      </c>
      <c r="F104" s="6">
        <v>140.4</v>
      </c>
      <c r="G104" s="6">
        <v>141.5668</v>
      </c>
      <c r="H104" s="6">
        <v>140.98001099999999</v>
      </c>
      <c r="I104" s="6">
        <v>141.15028000000001</v>
      </c>
      <c r="J104" s="6">
        <v>0.21521912228965601</v>
      </c>
      <c r="K104" s="6">
        <v>2.5279872158059198</v>
      </c>
    </row>
    <row r="105" spans="1:11" ht="15" customHeight="1" x14ac:dyDescent="0.2">
      <c r="A105" s="5">
        <v>45915</v>
      </c>
      <c r="B105" s="3">
        <v>140.72</v>
      </c>
      <c r="C105" s="4">
        <v>1852626</v>
      </c>
      <c r="D105" s="3">
        <v>-0.18442332245708301</v>
      </c>
      <c r="E105" s="3">
        <v>141.43</v>
      </c>
      <c r="F105" s="3">
        <v>139.56</v>
      </c>
      <c r="G105" s="3">
        <v>141.54</v>
      </c>
      <c r="H105" s="3">
        <v>140.694638</v>
      </c>
      <c r="I105" s="3">
        <v>140.84715</v>
      </c>
      <c r="J105" s="3">
        <v>-0.18442691059625799</v>
      </c>
      <c r="K105" s="3">
        <v>2.3078012638919199</v>
      </c>
    </row>
    <row r="106" spans="1:11" ht="15" customHeight="1" x14ac:dyDescent="0.2">
      <c r="A106" s="8">
        <v>45912</v>
      </c>
      <c r="B106" s="6">
        <v>140.97999999999999</v>
      </c>
      <c r="C106" s="7">
        <v>1629605</v>
      </c>
      <c r="D106" s="6">
        <v>-1.96105702364396</v>
      </c>
      <c r="E106" s="6">
        <v>143.4</v>
      </c>
      <c r="F106" s="6">
        <v>140.935</v>
      </c>
      <c r="G106" s="6">
        <v>143.41999999999999</v>
      </c>
      <c r="H106" s="6">
        <v>140.95893100000001</v>
      </c>
      <c r="I106" s="6">
        <v>141.10739000000001</v>
      </c>
      <c r="J106" s="6">
        <v>-1.9610650875651501</v>
      </c>
      <c r="K106" s="6">
        <v>2.4968330064647501</v>
      </c>
    </row>
    <row r="107" spans="1:11" ht="15" customHeight="1" x14ac:dyDescent="0.2">
      <c r="A107" s="5">
        <v>45911</v>
      </c>
      <c r="B107" s="3">
        <v>143.80000000000001</v>
      </c>
      <c r="C107" s="4">
        <v>1596527</v>
      </c>
      <c r="D107" s="3">
        <v>2.2396018485602598</v>
      </c>
      <c r="E107" s="3">
        <v>140.81</v>
      </c>
      <c r="F107" s="3">
        <v>140.72499999999999</v>
      </c>
      <c r="G107" s="3">
        <v>143.85</v>
      </c>
      <c r="H107" s="3">
        <v>143.773098</v>
      </c>
      <c r="I107" s="3">
        <v>143.92994999999999</v>
      </c>
      <c r="J107" s="3">
        <v>2.2396188356797699</v>
      </c>
      <c r="K107" s="3">
        <v>4.5470690782305496</v>
      </c>
    </row>
    <row r="108" spans="1:11" ht="15" customHeight="1" x14ac:dyDescent="0.2">
      <c r="A108" s="8">
        <v>45910</v>
      </c>
      <c r="B108" s="6">
        <v>140.65</v>
      </c>
      <c r="C108" s="7">
        <v>1885275</v>
      </c>
      <c r="D108" s="6">
        <v>-1.6020707989366101</v>
      </c>
      <c r="E108" s="6">
        <v>142.72999999999999</v>
      </c>
      <c r="F108" s="6">
        <v>140.16499999999999</v>
      </c>
      <c r="G108" s="6">
        <v>142.74</v>
      </c>
      <c r="H108" s="6">
        <v>140.64652799999999</v>
      </c>
      <c r="I108" s="6">
        <v>140.77708000000001</v>
      </c>
      <c r="J108" s="6">
        <v>-1.60208520116528</v>
      </c>
      <c r="K108" s="6">
        <v>2.2569041911818299</v>
      </c>
    </row>
    <row r="109" spans="1:11" ht="15" customHeight="1" x14ac:dyDescent="0.2">
      <c r="A109" s="5">
        <v>45909</v>
      </c>
      <c r="B109" s="3">
        <v>142.94</v>
      </c>
      <c r="C109" s="4">
        <v>2018467</v>
      </c>
      <c r="D109" s="3">
        <v>0.51332536389845296</v>
      </c>
      <c r="E109" s="3">
        <v>142.71</v>
      </c>
      <c r="F109" s="3">
        <v>141.535</v>
      </c>
      <c r="G109" s="3">
        <v>143.22999999999999</v>
      </c>
      <c r="H109" s="3">
        <v>142.94096400000001</v>
      </c>
      <c r="I109" s="3">
        <v>143.06917000000001</v>
      </c>
      <c r="J109" s="3">
        <v>0.51333265420108098</v>
      </c>
      <c r="K109" s="3">
        <v>3.9218202949081302</v>
      </c>
    </row>
    <row r="110" spans="1:11" ht="15" customHeight="1" x14ac:dyDescent="0.2">
      <c r="A110" s="8">
        <v>45908</v>
      </c>
      <c r="B110" s="6">
        <v>142.21</v>
      </c>
      <c r="C110" s="7">
        <v>2216363</v>
      </c>
      <c r="D110" s="6">
        <v>-0.63583007266628799</v>
      </c>
      <c r="E110" s="6">
        <v>142.74</v>
      </c>
      <c r="F110" s="6">
        <v>141.04</v>
      </c>
      <c r="G110" s="6">
        <v>142.74</v>
      </c>
      <c r="H110" s="6">
        <v>142.204027</v>
      </c>
      <c r="I110" s="6">
        <v>142.33850000000001</v>
      </c>
      <c r="J110" s="6">
        <v>-0.63582156172340398</v>
      </c>
      <c r="K110" s="6">
        <v>3.3910801191254598</v>
      </c>
    </row>
    <row r="111" spans="1:11" ht="15" customHeight="1" x14ac:dyDescent="0.2">
      <c r="A111" s="5">
        <v>45905</v>
      </c>
      <c r="B111" s="3">
        <v>143.12</v>
      </c>
      <c r="C111" s="4">
        <v>3304621</v>
      </c>
      <c r="D111" s="3">
        <v>1.9736373352333401</v>
      </c>
      <c r="E111" s="3">
        <v>140.65</v>
      </c>
      <c r="F111" s="3">
        <v>140.65</v>
      </c>
      <c r="G111" s="3">
        <v>143.215</v>
      </c>
      <c r="H111" s="3">
        <v>143.05143200000001</v>
      </c>
      <c r="I111" s="3">
        <v>143.24931000000001</v>
      </c>
      <c r="J111" s="3">
        <v>1.9736281046225299</v>
      </c>
      <c r="K111" s="3">
        <v>4.0526694268904002</v>
      </c>
    </row>
    <row r="112" spans="1:11" ht="15" customHeight="1" x14ac:dyDescent="0.2">
      <c r="A112" s="8">
        <v>45904</v>
      </c>
      <c r="B112" s="6">
        <v>140.35</v>
      </c>
      <c r="C112" s="7">
        <v>1698500</v>
      </c>
      <c r="D112" s="6">
        <v>-7.1245369051120503E-3</v>
      </c>
      <c r="E112" s="6">
        <v>140.27000000000001</v>
      </c>
      <c r="F112" s="6">
        <v>139.24</v>
      </c>
      <c r="G112" s="6">
        <v>140.69999999999999</v>
      </c>
      <c r="H112" s="6">
        <v>140.33985999999999</v>
      </c>
      <c r="I112" s="6">
        <v>140.47682</v>
      </c>
      <c r="J112" s="6">
        <v>-7.1252230547158499E-3</v>
      </c>
      <c r="K112" s="6">
        <v>2.03880293455365</v>
      </c>
    </row>
    <row r="113" spans="1:11" ht="15" customHeight="1" x14ac:dyDescent="0.2">
      <c r="A113" s="5">
        <v>45903</v>
      </c>
      <c r="B113" s="3">
        <v>140.36000000000001</v>
      </c>
      <c r="C113" s="4">
        <v>1653046</v>
      </c>
      <c r="D113" s="3">
        <v>-3.56099992877889E-2</v>
      </c>
      <c r="E113" s="3">
        <v>140.38999999999999</v>
      </c>
      <c r="F113" s="3">
        <v>139.71</v>
      </c>
      <c r="G113" s="3">
        <v>141.97999999999999</v>
      </c>
      <c r="H113" s="3">
        <v>140.34997300000001</v>
      </c>
      <c r="I113" s="3">
        <v>140.48683</v>
      </c>
      <c r="J113" s="3">
        <v>-3.5613427592817701E-2</v>
      </c>
      <c r="K113" s="3">
        <v>2.0460739449408001</v>
      </c>
    </row>
    <row r="114" spans="1:11" ht="15" customHeight="1" x14ac:dyDescent="0.2">
      <c r="A114" s="8">
        <v>45902</v>
      </c>
      <c r="B114" s="6">
        <v>140.41</v>
      </c>
      <c r="C114" s="7">
        <v>1826325</v>
      </c>
      <c r="D114" s="6">
        <v>1.58443061785558</v>
      </c>
      <c r="E114" s="6">
        <v>139.19999999999999</v>
      </c>
      <c r="F114" s="6">
        <v>139.03</v>
      </c>
      <c r="G114" s="6">
        <v>141.1</v>
      </c>
      <c r="H114" s="6">
        <v>140.469549</v>
      </c>
      <c r="I114" s="6">
        <v>140.53688</v>
      </c>
      <c r="J114" s="6">
        <v>1.58443137405137</v>
      </c>
      <c r="K114" s="6">
        <v>2.0824289968765899</v>
      </c>
    </row>
    <row r="115" spans="1:11" ht="15" customHeight="1" x14ac:dyDescent="0.2">
      <c r="A115" s="5">
        <v>45898</v>
      </c>
      <c r="B115" s="3">
        <v>138.22</v>
      </c>
      <c r="C115" s="4">
        <v>1213425</v>
      </c>
      <c r="D115" s="3">
        <v>7.2353664713142802E-3</v>
      </c>
      <c r="E115" s="3">
        <v>138.13</v>
      </c>
      <c r="F115" s="3">
        <v>137.63499999999999</v>
      </c>
      <c r="G115" s="3">
        <v>138.86000000000001</v>
      </c>
      <c r="H115" s="3">
        <v>138.208348</v>
      </c>
      <c r="I115" s="3">
        <v>138.3449</v>
      </c>
      <c r="J115" s="3">
        <v>7.22883379391525E-3</v>
      </c>
      <c r="K115" s="3">
        <v>0.49023026076851001</v>
      </c>
    </row>
    <row r="116" spans="1:11" ht="15" customHeight="1" x14ac:dyDescent="0.2">
      <c r="A116" s="8">
        <v>45897</v>
      </c>
      <c r="B116" s="6">
        <v>138.21</v>
      </c>
      <c r="C116" s="7">
        <v>1239977</v>
      </c>
      <c r="D116" s="6">
        <v>-0.27419005700266502</v>
      </c>
      <c r="E116" s="6">
        <v>138.59</v>
      </c>
      <c r="F116" s="6">
        <v>137.83000000000001</v>
      </c>
      <c r="G116" s="6">
        <v>139</v>
      </c>
      <c r="H116" s="6">
        <v>138.21111400000001</v>
      </c>
      <c r="I116" s="6">
        <v>138.3349</v>
      </c>
      <c r="J116" s="6">
        <v>-0.27418041984286201</v>
      </c>
      <c r="K116" s="6">
        <v>0.48296651412799901</v>
      </c>
    </row>
    <row r="117" spans="1:11" ht="15" customHeight="1" x14ac:dyDescent="0.2">
      <c r="A117" s="5">
        <v>45896</v>
      </c>
      <c r="B117" s="3">
        <v>138.59</v>
      </c>
      <c r="C117" s="4">
        <v>1071543</v>
      </c>
      <c r="D117" s="3">
        <v>8.6661370694018899E-2</v>
      </c>
      <c r="E117" s="3">
        <v>138.06</v>
      </c>
      <c r="F117" s="3">
        <v>137.99</v>
      </c>
      <c r="G117" s="3">
        <v>138.96</v>
      </c>
      <c r="H117" s="3">
        <v>138.58620300000001</v>
      </c>
      <c r="I117" s="3">
        <v>138.71522999999999</v>
      </c>
      <c r="J117" s="3">
        <v>8.6662502979883899E-2</v>
      </c>
      <c r="K117" s="3">
        <v>0.75922859010677901</v>
      </c>
    </row>
    <row r="118" spans="1:11" ht="15" customHeight="1" x14ac:dyDescent="0.2">
      <c r="A118" s="8">
        <v>45895</v>
      </c>
      <c r="B118" s="6">
        <v>138.47</v>
      </c>
      <c r="C118" s="7">
        <v>1412130</v>
      </c>
      <c r="D118" s="6">
        <v>1.0213759393010899</v>
      </c>
      <c r="E118" s="6">
        <v>137.38999999999999</v>
      </c>
      <c r="F118" s="6">
        <v>137.09</v>
      </c>
      <c r="G118" s="6">
        <v>138.565</v>
      </c>
      <c r="H118" s="6">
        <v>138.53141199999999</v>
      </c>
      <c r="I118" s="6">
        <v>138.59512000000001</v>
      </c>
      <c r="J118" s="6">
        <v>1.02137223925327</v>
      </c>
      <c r="K118" s="6">
        <v>0.67198372920754001</v>
      </c>
    </row>
    <row r="119" spans="1:11" ht="15" customHeight="1" x14ac:dyDescent="0.2">
      <c r="A119" s="5">
        <v>45894</v>
      </c>
      <c r="B119" s="3">
        <v>137.07</v>
      </c>
      <c r="C119" s="4">
        <v>1575349</v>
      </c>
      <c r="D119" s="3">
        <v>-1.9808352402745999</v>
      </c>
      <c r="E119" s="3">
        <v>139.99</v>
      </c>
      <c r="F119" s="3">
        <v>136.88999999999999</v>
      </c>
      <c r="G119" s="3">
        <v>140.29</v>
      </c>
      <c r="H119" s="3">
        <v>137.11715100000001</v>
      </c>
      <c r="I119" s="3">
        <v>137.19386</v>
      </c>
      <c r="J119" s="3">
        <v>-1.9808261057032699</v>
      </c>
      <c r="K119" s="3">
        <v>-0.34585603254157499</v>
      </c>
    </row>
    <row r="120" spans="1:11" ht="15" customHeight="1" x14ac:dyDescent="0.2">
      <c r="A120" s="8">
        <v>45891</v>
      </c>
      <c r="B120" s="6">
        <v>139.84</v>
      </c>
      <c r="C120" s="7">
        <v>1313555</v>
      </c>
      <c r="D120" s="6">
        <v>0.77832228307870199</v>
      </c>
      <c r="E120" s="6">
        <v>139.61000000000001</v>
      </c>
      <c r="F120" s="6">
        <v>139.25</v>
      </c>
      <c r="G120" s="6">
        <v>141.66</v>
      </c>
      <c r="H120" s="6">
        <v>139.81360599999999</v>
      </c>
      <c r="I120" s="6">
        <v>139.96635000000001</v>
      </c>
      <c r="J120" s="6">
        <v>0.77831806342756304</v>
      </c>
      <c r="K120" s="6">
        <v>1.6680104597951699</v>
      </c>
    </row>
    <row r="121" spans="1:11" ht="15" customHeight="1" x14ac:dyDescent="0.2">
      <c r="A121" s="5">
        <v>45890</v>
      </c>
      <c r="B121" s="3">
        <v>138.76</v>
      </c>
      <c r="C121" s="4">
        <v>929850</v>
      </c>
      <c r="D121" s="3">
        <v>0.245629244328848</v>
      </c>
      <c r="E121" s="3">
        <v>138</v>
      </c>
      <c r="F121" s="3">
        <v>137.12</v>
      </c>
      <c r="G121" s="3">
        <v>139.32</v>
      </c>
      <c r="H121" s="3">
        <v>138.75854200000001</v>
      </c>
      <c r="I121" s="3">
        <v>138.88538</v>
      </c>
      <c r="J121" s="3">
        <v>0.24563125919960699</v>
      </c>
      <c r="K121" s="3">
        <v>0.88282123919518396</v>
      </c>
    </row>
    <row r="122" spans="1:11" ht="15" customHeight="1" x14ac:dyDescent="0.2">
      <c r="A122" s="8">
        <v>45889</v>
      </c>
      <c r="B122" s="6">
        <v>138.41999999999999</v>
      </c>
      <c r="C122" s="7">
        <v>1484398</v>
      </c>
      <c r="D122" s="6">
        <v>0.38436434839363898</v>
      </c>
      <c r="E122" s="6">
        <v>137.58000000000001</v>
      </c>
      <c r="F122" s="6">
        <v>137.3201</v>
      </c>
      <c r="G122" s="6">
        <v>138.79</v>
      </c>
      <c r="H122" s="6">
        <v>138.41819599999999</v>
      </c>
      <c r="I122" s="6">
        <v>138.54507000000001</v>
      </c>
      <c r="J122" s="6">
        <v>0.38435788677431099</v>
      </c>
      <c r="K122" s="6">
        <v>0.63562867727175298</v>
      </c>
    </row>
    <row r="123" spans="1:11" ht="15" customHeight="1" x14ac:dyDescent="0.2">
      <c r="A123" s="5">
        <v>45888</v>
      </c>
      <c r="B123" s="3">
        <v>137.88999999999999</v>
      </c>
      <c r="C123" s="4">
        <v>1142584</v>
      </c>
      <c r="D123" s="3">
        <v>-0.35409741292094998</v>
      </c>
      <c r="E123" s="3">
        <v>138.4</v>
      </c>
      <c r="F123" s="3">
        <v>137.69</v>
      </c>
      <c r="G123" s="3">
        <v>139.08500000000001</v>
      </c>
      <c r="H123" s="3">
        <v>137.888789</v>
      </c>
      <c r="I123" s="3">
        <v>138.0146</v>
      </c>
      <c r="J123" s="3">
        <v>-0.35410261214302502</v>
      </c>
      <c r="K123" s="3">
        <v>0.25030870923223197</v>
      </c>
    </row>
    <row r="124" spans="1:11" ht="15" customHeight="1" x14ac:dyDescent="0.2">
      <c r="A124" s="8">
        <v>45887</v>
      </c>
      <c r="B124" s="6">
        <v>138.38</v>
      </c>
      <c r="C124" s="7">
        <v>1143744</v>
      </c>
      <c r="D124" s="6">
        <v>-0.27385413663879499</v>
      </c>
      <c r="E124" s="6">
        <v>138.97</v>
      </c>
      <c r="F124" s="6">
        <v>138.28</v>
      </c>
      <c r="G124" s="6">
        <v>139.68</v>
      </c>
      <c r="H124" s="6">
        <v>138.40425400000001</v>
      </c>
      <c r="I124" s="6">
        <v>138.50505000000001</v>
      </c>
      <c r="J124" s="6">
        <v>-0.27384451840790602</v>
      </c>
      <c r="K124" s="6">
        <v>0.60655916321640402</v>
      </c>
    </row>
    <row r="125" spans="1:11" ht="15" customHeight="1" x14ac:dyDescent="0.2">
      <c r="A125" s="5">
        <v>45884</v>
      </c>
      <c r="B125" s="3">
        <v>138.76</v>
      </c>
      <c r="C125" s="4">
        <v>1627440</v>
      </c>
      <c r="D125" s="3">
        <v>1.0854520288482401</v>
      </c>
      <c r="E125" s="3">
        <v>137.94999999999999</v>
      </c>
      <c r="F125" s="3">
        <v>137.38499999999999</v>
      </c>
      <c r="G125" s="3">
        <v>138.87</v>
      </c>
      <c r="H125" s="3">
        <v>138.755731</v>
      </c>
      <c r="I125" s="3">
        <v>138.88538</v>
      </c>
      <c r="J125" s="3">
        <v>1.0854473745731601</v>
      </c>
      <c r="K125" s="3">
        <v>0.88282123919518396</v>
      </c>
    </row>
    <row r="126" spans="1:11" ht="15" customHeight="1" x14ac:dyDescent="0.2">
      <c r="A126" s="8">
        <v>45883</v>
      </c>
      <c r="B126" s="6">
        <v>137.27000000000001</v>
      </c>
      <c r="C126" s="7">
        <v>1944124</v>
      </c>
      <c r="D126" s="6">
        <v>0.123997082421611</v>
      </c>
      <c r="E126" s="6">
        <v>136.22999999999999</v>
      </c>
      <c r="F126" s="6">
        <v>135.6808</v>
      </c>
      <c r="G126" s="6">
        <v>137.51</v>
      </c>
      <c r="H126" s="6">
        <v>137.234893</v>
      </c>
      <c r="I126" s="6">
        <v>137.39403999999999</v>
      </c>
      <c r="J126" s="6">
        <v>0.12399444440758201</v>
      </c>
      <c r="K126" s="6">
        <v>-0.20045035229170999</v>
      </c>
    </row>
    <row r="127" spans="1:11" ht="15" customHeight="1" x14ac:dyDescent="0.2">
      <c r="A127" s="5">
        <v>45882</v>
      </c>
      <c r="B127" s="3">
        <v>137.1</v>
      </c>
      <c r="C127" s="4">
        <v>2027097</v>
      </c>
      <c r="D127" s="3">
        <v>2.3134328358208802</v>
      </c>
      <c r="E127" s="3">
        <v>134.54</v>
      </c>
      <c r="F127" s="3">
        <v>134.5</v>
      </c>
      <c r="G127" s="3">
        <v>137.31</v>
      </c>
      <c r="H127" s="3">
        <v>137.12741500000001</v>
      </c>
      <c r="I127" s="3">
        <v>137.22389000000001</v>
      </c>
      <c r="J127" s="3">
        <v>2.3134394682774602</v>
      </c>
      <c r="K127" s="3">
        <v>-0.32404300138009401</v>
      </c>
    </row>
    <row r="128" spans="1:11" ht="15" customHeight="1" x14ac:dyDescent="0.2">
      <c r="A128" s="8">
        <v>45881</v>
      </c>
      <c r="B128" s="6">
        <v>134</v>
      </c>
      <c r="C128" s="7">
        <v>2002159</v>
      </c>
      <c r="D128" s="6">
        <v>1.7155002277212601</v>
      </c>
      <c r="E128" s="6">
        <v>131.9</v>
      </c>
      <c r="F128" s="6">
        <v>131.82</v>
      </c>
      <c r="G128" s="6">
        <v>134.06</v>
      </c>
      <c r="H128" s="6">
        <v>134.057367</v>
      </c>
      <c r="I128" s="6">
        <v>134.12108000000001</v>
      </c>
      <c r="J128" s="6">
        <v>1.7154986112442701</v>
      </c>
      <c r="K128" s="6">
        <v>-2.5778455727464</v>
      </c>
    </row>
    <row r="129" spans="1:11" ht="15" customHeight="1" x14ac:dyDescent="0.2">
      <c r="A129" s="5">
        <v>45880</v>
      </c>
      <c r="B129" s="3">
        <v>131.74</v>
      </c>
      <c r="C129" s="4">
        <v>1507229</v>
      </c>
      <c r="D129" s="3">
        <v>-0.227203877612836</v>
      </c>
      <c r="E129" s="3">
        <v>131.68</v>
      </c>
      <c r="F129" s="3">
        <v>131.36000000000001</v>
      </c>
      <c r="G129" s="3">
        <v>132.72999999999999</v>
      </c>
      <c r="H129" s="3">
        <v>131.69589400000001</v>
      </c>
      <c r="I129" s="3">
        <v>131.85903999999999</v>
      </c>
      <c r="J129" s="3">
        <v>-0.22719551329343199</v>
      </c>
      <c r="K129" s="3">
        <v>-4.2209341178179596</v>
      </c>
    </row>
    <row r="130" spans="1:11" ht="15" customHeight="1" x14ac:dyDescent="0.2">
      <c r="A130" s="8">
        <v>45877</v>
      </c>
      <c r="B130" s="6">
        <v>132.04</v>
      </c>
      <c r="C130" s="7">
        <v>1306770</v>
      </c>
      <c r="D130" s="6">
        <v>0.61723691229140698</v>
      </c>
      <c r="E130" s="6">
        <v>132.02000000000001</v>
      </c>
      <c r="F130" s="6">
        <v>131.44399999999999</v>
      </c>
      <c r="G130" s="6">
        <v>132.94</v>
      </c>
      <c r="H130" s="6">
        <v>132.067305</v>
      </c>
      <c r="I130" s="6">
        <v>132.1593</v>
      </c>
      <c r="J130" s="6">
        <v>0.61723549788170695</v>
      </c>
      <c r="K130" s="6">
        <v>-4.0028328611897903</v>
      </c>
    </row>
    <row r="131" spans="1:11" ht="15" customHeight="1" x14ac:dyDescent="0.2">
      <c r="A131" s="5">
        <v>45876</v>
      </c>
      <c r="B131" s="3">
        <v>131.22999999999999</v>
      </c>
      <c r="C131" s="4">
        <v>1468351</v>
      </c>
      <c r="D131" s="3">
        <v>-0.19773366795955399</v>
      </c>
      <c r="E131" s="3">
        <v>131.65</v>
      </c>
      <c r="F131" s="3">
        <v>130.25</v>
      </c>
      <c r="G131" s="3">
        <v>132.01</v>
      </c>
      <c r="H131" s="3">
        <v>131.23991899999999</v>
      </c>
      <c r="I131" s="3">
        <v>131.34857</v>
      </c>
      <c r="J131" s="3">
        <v>-0.19775268878237101</v>
      </c>
      <c r="K131" s="3">
        <v>-4.5917265925764399</v>
      </c>
    </row>
    <row r="132" spans="1:11" ht="15" customHeight="1" x14ac:dyDescent="0.2">
      <c r="A132" s="8">
        <v>45875</v>
      </c>
      <c r="B132" s="6">
        <v>131.49</v>
      </c>
      <c r="C132" s="7">
        <v>2476979</v>
      </c>
      <c r="D132" s="6">
        <v>-1.43917247582638</v>
      </c>
      <c r="E132" s="6">
        <v>132.93</v>
      </c>
      <c r="F132" s="6">
        <v>130.55000000000001</v>
      </c>
      <c r="G132" s="6">
        <v>132.96</v>
      </c>
      <c r="H132" s="6">
        <v>131.48786100000001</v>
      </c>
      <c r="I132" s="6">
        <v>131.60883000000001</v>
      </c>
      <c r="J132" s="6">
        <v>-1.43916130054133</v>
      </c>
      <c r="K132" s="6">
        <v>-4.4026803225103297</v>
      </c>
    </row>
    <row r="133" spans="1:11" ht="15" customHeight="1" x14ac:dyDescent="0.2">
      <c r="A133" s="5">
        <v>45874</v>
      </c>
      <c r="B133" s="3">
        <v>133.41</v>
      </c>
      <c r="C133" s="4">
        <v>1642626</v>
      </c>
      <c r="D133" s="3">
        <v>-1.4478835783408399</v>
      </c>
      <c r="E133" s="3">
        <v>134.1</v>
      </c>
      <c r="F133" s="3">
        <v>132.82</v>
      </c>
      <c r="G133" s="3">
        <v>134.41999999999999</v>
      </c>
      <c r="H133" s="3">
        <v>133.36738500000001</v>
      </c>
      <c r="I133" s="3">
        <v>133.53055000000001</v>
      </c>
      <c r="J133" s="3">
        <v>-1.4478755288768701</v>
      </c>
      <c r="K133" s="3">
        <v>-3.0067916031088702</v>
      </c>
    </row>
    <row r="134" spans="1:11" ht="15" customHeight="1" x14ac:dyDescent="0.2">
      <c r="A134" s="8">
        <v>45873</v>
      </c>
      <c r="B134" s="6">
        <v>135.37</v>
      </c>
      <c r="C134" s="7">
        <v>960553</v>
      </c>
      <c r="D134" s="6">
        <v>1.7513529765484199</v>
      </c>
      <c r="E134" s="6">
        <v>133.61000000000001</v>
      </c>
      <c r="F134" s="6">
        <v>132.83000000000001</v>
      </c>
      <c r="G134" s="6">
        <v>135.71</v>
      </c>
      <c r="H134" s="6">
        <v>135.41285099999999</v>
      </c>
      <c r="I134" s="6">
        <v>135.49231</v>
      </c>
      <c r="J134" s="6">
        <v>1.7513566365926001</v>
      </c>
      <c r="K134" s="6">
        <v>-1.58181884215877</v>
      </c>
    </row>
    <row r="135" spans="1:11" ht="15" customHeight="1" x14ac:dyDescent="0.2">
      <c r="A135" s="5">
        <v>45870</v>
      </c>
      <c r="B135" s="3">
        <v>133.04</v>
      </c>
      <c r="C135" s="4">
        <v>1944752</v>
      </c>
      <c r="D135" s="3">
        <v>0.210906899668583</v>
      </c>
      <c r="E135" s="3">
        <v>132.08000000000001</v>
      </c>
      <c r="F135" s="3">
        <v>130.97999999999999</v>
      </c>
      <c r="G135" s="3">
        <v>133.38999999999999</v>
      </c>
      <c r="H135" s="3">
        <v>133.09199100000001</v>
      </c>
      <c r="I135" s="3">
        <v>133.1602</v>
      </c>
      <c r="J135" s="3">
        <v>0.21089711345487699</v>
      </c>
      <c r="K135" s="3">
        <v>-3.2758044599404199</v>
      </c>
    </row>
    <row r="136" spans="1:11" ht="15" customHeight="1" x14ac:dyDescent="0.2">
      <c r="A136" s="8">
        <v>45869</v>
      </c>
      <c r="B136" s="6">
        <v>132.76</v>
      </c>
      <c r="C136" s="7">
        <v>2140525</v>
      </c>
      <c r="D136" s="6">
        <v>-0.70306656694091296</v>
      </c>
      <c r="E136" s="6">
        <v>133.69999999999999</v>
      </c>
      <c r="F136" s="6">
        <v>132.43</v>
      </c>
      <c r="G136" s="6">
        <v>135.72</v>
      </c>
      <c r="H136" s="6">
        <v>132.77778699999999</v>
      </c>
      <c r="I136" s="6">
        <v>132.87996000000001</v>
      </c>
      <c r="J136" s="6">
        <v>-0.70307445433377402</v>
      </c>
      <c r="K136" s="6">
        <v>-3.47936369579427</v>
      </c>
    </row>
    <row r="137" spans="1:11" ht="15" customHeight="1" x14ac:dyDescent="0.2">
      <c r="A137" s="5">
        <v>45868</v>
      </c>
      <c r="B137" s="3">
        <v>133.69999999999999</v>
      </c>
      <c r="C137" s="4">
        <v>967733</v>
      </c>
      <c r="D137" s="3">
        <v>-0.119527864933532</v>
      </c>
      <c r="E137" s="3">
        <v>134.26</v>
      </c>
      <c r="F137" s="3">
        <v>132.88999999999999</v>
      </c>
      <c r="G137" s="3">
        <v>135.4</v>
      </c>
      <c r="H137" s="3">
        <v>133.718074</v>
      </c>
      <c r="I137" s="3">
        <v>133.82082</v>
      </c>
      <c r="J137" s="3">
        <v>-0.119524445861574</v>
      </c>
      <c r="K137" s="3">
        <v>-2.7959468293745799</v>
      </c>
    </row>
    <row r="138" spans="1:11" ht="15" customHeight="1" x14ac:dyDescent="0.2">
      <c r="A138" s="8">
        <v>45867</v>
      </c>
      <c r="B138" s="6">
        <v>133.86000000000001</v>
      </c>
      <c r="C138" s="7">
        <v>1284516</v>
      </c>
      <c r="D138" s="6">
        <v>-0.18641413764819401</v>
      </c>
      <c r="E138" s="6">
        <v>133.97</v>
      </c>
      <c r="F138" s="6">
        <v>133.08000000000001</v>
      </c>
      <c r="G138" s="6">
        <v>134.31</v>
      </c>
      <c r="H138" s="6">
        <v>133.80551800000001</v>
      </c>
      <c r="I138" s="6">
        <v>133.98096000000001</v>
      </c>
      <c r="J138" s="6">
        <v>-0.18641718068653701</v>
      </c>
      <c r="K138" s="6">
        <v>-2.6796251906733302</v>
      </c>
    </row>
    <row r="139" spans="1:11" ht="15" customHeight="1" x14ac:dyDescent="0.2">
      <c r="A139" s="5">
        <v>45866</v>
      </c>
      <c r="B139" s="3">
        <v>134.11000000000001</v>
      </c>
      <c r="C139" s="4">
        <v>2209848</v>
      </c>
      <c r="D139" s="3">
        <v>-1.02583025830257</v>
      </c>
      <c r="E139" s="3">
        <v>135.28</v>
      </c>
      <c r="F139" s="3">
        <v>133.62</v>
      </c>
      <c r="G139" s="3">
        <v>135.78</v>
      </c>
      <c r="H139" s="3">
        <v>133.92984000000001</v>
      </c>
      <c r="I139" s="3">
        <v>134.23119</v>
      </c>
      <c r="J139" s="3">
        <v>-1.0258258146660799</v>
      </c>
      <c r="K139" s="3">
        <v>-2.4978644584876801</v>
      </c>
    </row>
    <row r="140" spans="1:11" ht="15" customHeight="1" x14ac:dyDescent="0.2">
      <c r="A140" s="8">
        <v>45863</v>
      </c>
      <c r="B140" s="6">
        <v>135.5</v>
      </c>
      <c r="C140" s="7">
        <v>924511</v>
      </c>
      <c r="D140" s="6">
        <v>5.16872184892491E-2</v>
      </c>
      <c r="E140" s="6">
        <v>135.63999999999999</v>
      </c>
      <c r="F140" s="6">
        <v>134.33000000000001</v>
      </c>
      <c r="G140" s="6">
        <v>135.88</v>
      </c>
      <c r="H140" s="6">
        <v>135.46193299999999</v>
      </c>
      <c r="I140" s="6">
        <v>135.62244000000001</v>
      </c>
      <c r="J140" s="6">
        <v>5.1692198373220997E-2</v>
      </c>
      <c r="K140" s="6">
        <v>-1.48729570712571</v>
      </c>
    </row>
    <row r="141" spans="1:11" ht="15" customHeight="1" x14ac:dyDescent="0.2">
      <c r="A141" s="5">
        <v>45862</v>
      </c>
      <c r="B141" s="3">
        <v>135.43</v>
      </c>
      <c r="C141" s="4">
        <v>1073314</v>
      </c>
      <c r="D141" s="3">
        <v>1.47699579056359E-2</v>
      </c>
      <c r="E141" s="3">
        <v>135.44</v>
      </c>
      <c r="F141" s="3">
        <v>135.05000000000001</v>
      </c>
      <c r="G141" s="3">
        <v>136.36000000000001</v>
      </c>
      <c r="H141" s="3">
        <v>135.39775399999999</v>
      </c>
      <c r="I141" s="3">
        <v>135.55237</v>
      </c>
      <c r="J141" s="3">
        <v>1.4764001748357399E-2</v>
      </c>
      <c r="K141" s="3">
        <v>-1.5381927798358299</v>
      </c>
    </row>
    <row r="142" spans="1:11" ht="15" customHeight="1" x14ac:dyDescent="0.2">
      <c r="A142" s="8">
        <v>45861</v>
      </c>
      <c r="B142" s="6">
        <v>135.41</v>
      </c>
      <c r="C142" s="7">
        <v>1292739</v>
      </c>
      <c r="D142" s="6">
        <v>1.9346582354712301</v>
      </c>
      <c r="E142" s="6">
        <v>134.16</v>
      </c>
      <c r="F142" s="6">
        <v>133.49</v>
      </c>
      <c r="G142" s="6">
        <v>135.66</v>
      </c>
      <c r="H142" s="6">
        <v>135.389253</v>
      </c>
      <c r="I142" s="6">
        <v>135.53236000000001</v>
      </c>
      <c r="J142" s="6">
        <v>1.9346564576845999</v>
      </c>
      <c r="K142" s="6">
        <v>-1.5527275368634901</v>
      </c>
    </row>
    <row r="143" spans="1:11" ht="15" customHeight="1" x14ac:dyDescent="0.2">
      <c r="A143" s="5">
        <v>45860</v>
      </c>
      <c r="B143" s="3">
        <v>132.84</v>
      </c>
      <c r="C143" s="4">
        <v>1037637.99999999</v>
      </c>
      <c r="D143" s="3">
        <v>2.8730736467126299</v>
      </c>
      <c r="E143" s="3">
        <v>129.85</v>
      </c>
      <c r="F143" s="3">
        <v>129.85</v>
      </c>
      <c r="G143" s="3">
        <v>133.18</v>
      </c>
      <c r="H143" s="3">
        <v>132.895307</v>
      </c>
      <c r="I143" s="3">
        <v>132.96003999999999</v>
      </c>
      <c r="J143" s="3">
        <v>2.87307164307262</v>
      </c>
      <c r="K143" s="3">
        <v>-3.4211956126970202</v>
      </c>
    </row>
    <row r="144" spans="1:11" ht="15" customHeight="1" x14ac:dyDescent="0.2">
      <c r="A144" s="8">
        <v>45859</v>
      </c>
      <c r="B144" s="6">
        <v>129.13</v>
      </c>
      <c r="C144" s="7">
        <v>956630</v>
      </c>
      <c r="D144" s="6">
        <v>-0.46249903646033902</v>
      </c>
      <c r="E144" s="6">
        <v>130.30000000000001</v>
      </c>
      <c r="F144" s="6">
        <v>128.84</v>
      </c>
      <c r="G144" s="6">
        <v>130.9</v>
      </c>
      <c r="H144" s="6">
        <v>129.13914800000001</v>
      </c>
      <c r="I144" s="6">
        <v>129.24669</v>
      </c>
      <c r="J144" s="6">
        <v>-0.46248202021436002</v>
      </c>
      <c r="K144" s="6">
        <v>-6.1184789714534604</v>
      </c>
    </row>
    <row r="145" spans="1:11" ht="15" customHeight="1" x14ac:dyDescent="0.2">
      <c r="A145" s="5">
        <v>45856</v>
      </c>
      <c r="B145" s="3">
        <v>129.72999999999999</v>
      </c>
      <c r="C145" s="4">
        <v>1114309</v>
      </c>
      <c r="D145" s="3">
        <v>-1.52573250341583</v>
      </c>
      <c r="E145" s="3">
        <v>132.15</v>
      </c>
      <c r="F145" s="3">
        <v>129.44</v>
      </c>
      <c r="G145" s="3">
        <v>132.96</v>
      </c>
      <c r="H145" s="3">
        <v>129.755008</v>
      </c>
      <c r="I145" s="3">
        <v>129.84720999999999</v>
      </c>
      <c r="J145" s="3">
        <v>-1.52574294489024</v>
      </c>
      <c r="K145" s="3">
        <v>-5.6822764581971299</v>
      </c>
    </row>
    <row r="146" spans="1:11" ht="15" customHeight="1" x14ac:dyDescent="0.2">
      <c r="A146" s="8">
        <v>45855</v>
      </c>
      <c r="B146" s="6">
        <v>131.74</v>
      </c>
      <c r="C146" s="7">
        <v>1026082</v>
      </c>
      <c r="D146" s="6">
        <v>0.42689434364995199</v>
      </c>
      <c r="E146" s="6">
        <v>131.08000000000001</v>
      </c>
      <c r="F146" s="6">
        <v>130.88</v>
      </c>
      <c r="G146" s="6">
        <v>132.29</v>
      </c>
      <c r="H146" s="6">
        <v>131.71474000000001</v>
      </c>
      <c r="I146" s="6">
        <v>131.85903999999999</v>
      </c>
      <c r="J146" s="6">
        <v>0.42690504051379102</v>
      </c>
      <c r="K146" s="6">
        <v>-4.2209341178179596</v>
      </c>
    </row>
    <row r="147" spans="1:11" ht="15" customHeight="1" x14ac:dyDescent="0.2">
      <c r="A147" s="5">
        <v>45854</v>
      </c>
      <c r="B147" s="3">
        <v>131.18</v>
      </c>
      <c r="C147" s="4">
        <v>1051136</v>
      </c>
      <c r="D147" s="3">
        <v>1.65052305308019</v>
      </c>
      <c r="E147" s="3">
        <v>129.47999999999999</v>
      </c>
      <c r="F147" s="3">
        <v>129.47999999999999</v>
      </c>
      <c r="G147" s="3">
        <v>131.44999999999999</v>
      </c>
      <c r="H147" s="3">
        <v>131.19183699999999</v>
      </c>
      <c r="I147" s="3">
        <v>131.29852</v>
      </c>
      <c r="J147" s="3">
        <v>1.6505116918373799</v>
      </c>
      <c r="K147" s="3">
        <v>-4.6280816445122301</v>
      </c>
    </row>
    <row r="148" spans="1:11" ht="15" customHeight="1" x14ac:dyDescent="0.2">
      <c r="A148" s="8">
        <v>45853</v>
      </c>
      <c r="B148" s="6">
        <v>129.05000000000001</v>
      </c>
      <c r="C148" s="7">
        <v>1471812</v>
      </c>
      <c r="D148" s="6">
        <v>-2.1533095761619299</v>
      </c>
      <c r="E148" s="6">
        <v>132.5</v>
      </c>
      <c r="F148" s="6">
        <v>128.93</v>
      </c>
      <c r="G148" s="6">
        <v>132.82</v>
      </c>
      <c r="H148" s="6">
        <v>129.08149299999999</v>
      </c>
      <c r="I148" s="6">
        <v>129.16660999999999</v>
      </c>
      <c r="J148" s="6">
        <v>-2.1533049560117798</v>
      </c>
      <c r="K148" s="6">
        <v>-6.1766470545507302</v>
      </c>
    </row>
    <row r="149" spans="1:11" ht="15" customHeight="1" x14ac:dyDescent="0.2">
      <c r="A149" s="5">
        <v>45852</v>
      </c>
      <c r="B149" s="3">
        <v>131.88999999999999</v>
      </c>
      <c r="C149" s="4">
        <v>746049</v>
      </c>
      <c r="D149" s="3">
        <v>0.227980849608622</v>
      </c>
      <c r="E149" s="3">
        <v>131.13</v>
      </c>
      <c r="F149" s="3">
        <v>130.91</v>
      </c>
      <c r="G149" s="3">
        <v>132.529</v>
      </c>
      <c r="H149" s="3">
        <v>132.02698899999999</v>
      </c>
      <c r="I149" s="3">
        <v>132.00917000000001</v>
      </c>
      <c r="J149" s="3">
        <v>0.22797242798533399</v>
      </c>
      <c r="K149" s="3">
        <v>-4.1118834895038603</v>
      </c>
    </row>
    <row r="150" spans="1:11" ht="15" customHeight="1" x14ac:dyDescent="0.2">
      <c r="A150" s="8">
        <v>45849</v>
      </c>
      <c r="B150" s="6">
        <v>131.59</v>
      </c>
      <c r="C150" s="7">
        <v>1653153</v>
      </c>
      <c r="D150" s="6">
        <v>-1.5413393191170901</v>
      </c>
      <c r="E150" s="6">
        <v>132.77000000000001</v>
      </c>
      <c r="F150" s="6">
        <v>131.36000000000001</v>
      </c>
      <c r="G150" s="6">
        <v>133.03</v>
      </c>
      <c r="H150" s="6">
        <v>131.62573900000001</v>
      </c>
      <c r="I150" s="6">
        <v>131.70891</v>
      </c>
      <c r="J150" s="6">
        <v>-1.5413382161140201</v>
      </c>
      <c r="K150" s="6">
        <v>-4.3299847461320402</v>
      </c>
    </row>
    <row r="151" spans="1:11" ht="15" customHeight="1" x14ac:dyDescent="0.2">
      <c r="A151" s="5">
        <v>45848</v>
      </c>
      <c r="B151" s="3">
        <v>133.65</v>
      </c>
      <c r="C151" s="4">
        <v>1513966</v>
      </c>
      <c r="D151" s="3">
        <v>1.02804444780406</v>
      </c>
      <c r="E151" s="3">
        <v>132.44999999999999</v>
      </c>
      <c r="F151" s="3">
        <v>131.75</v>
      </c>
      <c r="G151" s="3">
        <v>134.16</v>
      </c>
      <c r="H151" s="3">
        <v>133.658129</v>
      </c>
      <c r="I151" s="3">
        <v>133.77077</v>
      </c>
      <c r="J151" s="3">
        <v>1.02805289015073</v>
      </c>
      <c r="K151" s="3">
        <v>-2.8323018813103702</v>
      </c>
    </row>
    <row r="152" spans="1:11" ht="15" customHeight="1" x14ac:dyDescent="0.2">
      <c r="A152" s="8">
        <v>45847</v>
      </c>
      <c r="B152" s="6">
        <v>132.29</v>
      </c>
      <c r="C152" s="7">
        <v>2454362</v>
      </c>
      <c r="D152" s="6">
        <v>2.2887187814118799</v>
      </c>
      <c r="E152" s="6">
        <v>130.65</v>
      </c>
      <c r="F152" s="6">
        <v>129.9879</v>
      </c>
      <c r="G152" s="6">
        <v>132.58000000000001</v>
      </c>
      <c r="H152" s="6">
        <v>132.335938</v>
      </c>
      <c r="I152" s="6">
        <v>132.40952999999999</v>
      </c>
      <c r="J152" s="6">
        <v>2.2887073283424901</v>
      </c>
      <c r="K152" s="6">
        <v>-3.8210721290041301</v>
      </c>
    </row>
    <row r="153" spans="1:11" ht="15" customHeight="1" x14ac:dyDescent="0.2">
      <c r="A153" s="5">
        <v>45846</v>
      </c>
      <c r="B153" s="3">
        <v>129.33000000000001</v>
      </c>
      <c r="C153" s="4">
        <v>2335797</v>
      </c>
      <c r="D153" s="3">
        <v>0.94442709959414695</v>
      </c>
      <c r="E153" s="3">
        <v>128.24</v>
      </c>
      <c r="F153" s="3">
        <v>128.06</v>
      </c>
      <c r="G153" s="3">
        <v>130.53</v>
      </c>
      <c r="H153" s="3">
        <v>129.35142099999999</v>
      </c>
      <c r="I153" s="3">
        <v>129.44686999999999</v>
      </c>
      <c r="J153" s="3">
        <v>0.94444014680459198</v>
      </c>
      <c r="K153" s="3">
        <v>-5.9730732912036002</v>
      </c>
    </row>
    <row r="154" spans="1:11" ht="15" customHeight="1" x14ac:dyDescent="0.2">
      <c r="A154" s="8">
        <v>45845</v>
      </c>
      <c r="B154" s="6">
        <v>128.12</v>
      </c>
      <c r="C154" s="7">
        <v>1987839</v>
      </c>
      <c r="D154" s="6">
        <v>-1.4461538461538399</v>
      </c>
      <c r="E154" s="6">
        <v>129.41</v>
      </c>
      <c r="F154" s="6">
        <v>127.11</v>
      </c>
      <c r="G154" s="6">
        <v>129.94999999999999</v>
      </c>
      <c r="H154" s="6">
        <v>128.123976</v>
      </c>
      <c r="I154" s="6">
        <v>128.23576</v>
      </c>
      <c r="J154" s="6">
        <v>-1.4461548819043899</v>
      </c>
      <c r="K154" s="6">
        <v>-6.8527929105832701</v>
      </c>
    </row>
    <row r="155" spans="1:11" ht="15" customHeight="1" x14ac:dyDescent="0.2">
      <c r="A155" s="5">
        <v>45841</v>
      </c>
      <c r="B155" s="3">
        <v>130</v>
      </c>
      <c r="C155" s="4">
        <v>658990</v>
      </c>
      <c r="D155" s="3">
        <v>0.347356233114615</v>
      </c>
      <c r="E155" s="3">
        <v>129.94999999999999</v>
      </c>
      <c r="F155" s="3">
        <v>129.21</v>
      </c>
      <c r="G155" s="3">
        <v>130.29</v>
      </c>
      <c r="H155" s="3">
        <v>130.073228</v>
      </c>
      <c r="I155" s="3">
        <v>130.11745999999999</v>
      </c>
      <c r="J155" s="3">
        <v>0.347343392582244</v>
      </c>
      <c r="K155" s="3">
        <v>-5.48597370523715</v>
      </c>
    </row>
    <row r="156" spans="1:11" ht="15" customHeight="1" x14ac:dyDescent="0.2">
      <c r="A156" s="8">
        <v>45840</v>
      </c>
      <c r="B156" s="6">
        <v>129.55000000000001</v>
      </c>
      <c r="C156" s="7">
        <v>1638475</v>
      </c>
      <c r="D156" s="6">
        <v>1.50434850740421</v>
      </c>
      <c r="E156" s="6">
        <v>127.56</v>
      </c>
      <c r="F156" s="6">
        <v>127.19</v>
      </c>
      <c r="G156" s="6">
        <v>129.94999999999999</v>
      </c>
      <c r="H156" s="6">
        <v>129.52126200000001</v>
      </c>
      <c r="I156" s="6">
        <v>129.66707</v>
      </c>
      <c r="J156" s="6">
        <v>1.5043603945725501</v>
      </c>
      <c r="K156" s="6">
        <v>-5.8131255901794097</v>
      </c>
    </row>
    <row r="157" spans="1:11" ht="15" customHeight="1" x14ac:dyDescent="0.2">
      <c r="A157" s="5">
        <v>45839</v>
      </c>
      <c r="B157" s="3">
        <v>127.63</v>
      </c>
      <c r="C157" s="4">
        <v>1766681</v>
      </c>
      <c r="D157" s="3">
        <v>0.88530550944587705</v>
      </c>
      <c r="E157" s="3">
        <v>126.39</v>
      </c>
      <c r="F157" s="3">
        <v>125.7</v>
      </c>
      <c r="G157" s="3">
        <v>129.94999999999999</v>
      </c>
      <c r="H157" s="3">
        <v>127.639573</v>
      </c>
      <c r="I157" s="3">
        <v>127.74532000000001</v>
      </c>
      <c r="J157" s="3">
        <v>0.88529596842061797</v>
      </c>
      <c r="K157" s="3">
        <v>-7.2090361008207804</v>
      </c>
    </row>
    <row r="158" spans="1:11" ht="15" customHeight="1" x14ac:dyDescent="0.2">
      <c r="A158" s="8">
        <v>45838</v>
      </c>
      <c r="B158" s="6">
        <v>126.51</v>
      </c>
      <c r="C158" s="7">
        <v>1516526</v>
      </c>
      <c r="D158" s="6">
        <v>3.16280540839875E-2</v>
      </c>
      <c r="E158" s="6">
        <v>126.74</v>
      </c>
      <c r="F158" s="6">
        <v>126.01</v>
      </c>
      <c r="G158" s="6">
        <v>127.29</v>
      </c>
      <c r="H158" s="6">
        <v>126.566214</v>
      </c>
      <c r="I158" s="6">
        <v>126.62432</v>
      </c>
      <c r="J158" s="6">
        <v>3.1631099849049799E-2</v>
      </c>
      <c r="K158" s="6">
        <v>-8.0233020992227697</v>
      </c>
    </row>
    <row r="159" spans="1:11" ht="15" customHeight="1" x14ac:dyDescent="0.2">
      <c r="A159" s="5">
        <v>45835</v>
      </c>
      <c r="B159" s="3">
        <v>126.47</v>
      </c>
      <c r="C159" s="4">
        <v>1513908</v>
      </c>
      <c r="D159" s="3">
        <v>-0.42516337296276602</v>
      </c>
      <c r="E159" s="3">
        <v>127.11</v>
      </c>
      <c r="F159" s="3">
        <v>125.895</v>
      </c>
      <c r="G159" s="3">
        <v>127.74</v>
      </c>
      <c r="H159" s="3">
        <v>126.515469</v>
      </c>
      <c r="I159" s="3">
        <v>126.58428000000001</v>
      </c>
      <c r="J159" s="3">
        <v>-0.42516497768294498</v>
      </c>
      <c r="K159" s="3">
        <v>-8.0523861407713895</v>
      </c>
    </row>
    <row r="160" spans="1:11" ht="15" customHeight="1" x14ac:dyDescent="0.2">
      <c r="A160" s="8">
        <v>45834</v>
      </c>
      <c r="B160" s="6">
        <v>127.01</v>
      </c>
      <c r="C160" s="7">
        <v>1728751</v>
      </c>
      <c r="D160" s="6">
        <v>0.25258505012235499</v>
      </c>
      <c r="E160" s="6">
        <v>127.06</v>
      </c>
      <c r="F160" s="6">
        <v>126.315</v>
      </c>
      <c r="G160" s="6">
        <v>127.52</v>
      </c>
      <c r="H160" s="6">
        <v>126.966786</v>
      </c>
      <c r="I160" s="6">
        <v>127.12477</v>
      </c>
      <c r="J160" s="6">
        <v>0.25258571305997102</v>
      </c>
      <c r="K160" s="6">
        <v>-7.6597878985980898</v>
      </c>
    </row>
    <row r="161" spans="1:11" ht="15" customHeight="1" x14ac:dyDescent="0.2">
      <c r="A161" s="5">
        <v>45833</v>
      </c>
      <c r="B161" s="3">
        <v>126.69</v>
      </c>
      <c r="C161" s="4">
        <v>1024862</v>
      </c>
      <c r="D161" s="3">
        <v>-0.56510477984459395</v>
      </c>
      <c r="E161" s="3">
        <v>127.07</v>
      </c>
      <c r="F161" s="3">
        <v>125.77</v>
      </c>
      <c r="G161" s="3">
        <v>127.17</v>
      </c>
      <c r="H161" s="3">
        <v>126.696853</v>
      </c>
      <c r="I161" s="3">
        <v>126.80448</v>
      </c>
      <c r="J161" s="3">
        <v>-0.56510430532398204</v>
      </c>
      <c r="K161" s="3">
        <v>-7.8924384397472096</v>
      </c>
    </row>
    <row r="162" spans="1:11" ht="15" customHeight="1" x14ac:dyDescent="0.2">
      <c r="A162" s="8">
        <v>45832</v>
      </c>
      <c r="B162" s="6">
        <v>127.41</v>
      </c>
      <c r="C162" s="7">
        <v>1584710</v>
      </c>
      <c r="D162" s="6">
        <v>1.9769489354890299</v>
      </c>
      <c r="E162" s="6">
        <v>125.92</v>
      </c>
      <c r="F162" s="6">
        <v>125.25</v>
      </c>
      <c r="G162" s="6">
        <v>127.72</v>
      </c>
      <c r="H162" s="6">
        <v>127.397357</v>
      </c>
      <c r="I162" s="6">
        <v>127.52513</v>
      </c>
      <c r="J162" s="6">
        <v>1.97694735587901</v>
      </c>
      <c r="K162" s="6">
        <v>-7.3689765380983303</v>
      </c>
    </row>
    <row r="163" spans="1:11" ht="15" customHeight="1" x14ac:dyDescent="0.2">
      <c r="A163" s="5">
        <v>45831</v>
      </c>
      <c r="B163" s="3">
        <v>124.94</v>
      </c>
      <c r="C163" s="4">
        <v>1782075</v>
      </c>
      <c r="D163" s="3">
        <v>-0.45414707991395797</v>
      </c>
      <c r="E163" s="3">
        <v>125.71</v>
      </c>
      <c r="F163" s="3">
        <v>123.61</v>
      </c>
      <c r="G163" s="3">
        <v>126.1</v>
      </c>
      <c r="H163" s="3">
        <v>124.89360000000001</v>
      </c>
      <c r="I163" s="3">
        <v>125.05289999999999</v>
      </c>
      <c r="J163" s="3">
        <v>-0.45414306139278598</v>
      </c>
      <c r="K163" s="3">
        <v>-9.1647417738069201</v>
      </c>
    </row>
    <row r="164" spans="1:11" ht="15" customHeight="1" x14ac:dyDescent="0.2">
      <c r="A164" s="8">
        <v>45828</v>
      </c>
      <c r="B164" s="6">
        <v>125.51</v>
      </c>
      <c r="C164" s="7">
        <v>1255920</v>
      </c>
      <c r="D164" s="6">
        <v>-0.206726564363513</v>
      </c>
      <c r="E164" s="6">
        <v>126.41</v>
      </c>
      <c r="F164" s="6">
        <v>124.77</v>
      </c>
      <c r="G164" s="6">
        <v>126.9</v>
      </c>
      <c r="H164" s="6">
        <v>125.520932</v>
      </c>
      <c r="I164" s="6">
        <v>125.62341000000001</v>
      </c>
      <c r="J164" s="6">
        <v>-0.20672582372972501</v>
      </c>
      <c r="K164" s="6">
        <v>-8.7503377642187701</v>
      </c>
    </row>
    <row r="165" spans="1:11" ht="15" customHeight="1" x14ac:dyDescent="0.2">
      <c r="A165" s="5">
        <v>45826</v>
      </c>
      <c r="B165" s="3">
        <v>125.77</v>
      </c>
      <c r="C165" s="4">
        <v>1426884</v>
      </c>
      <c r="D165" s="3">
        <v>0.35908075327162298</v>
      </c>
      <c r="E165" s="3">
        <v>125.38</v>
      </c>
      <c r="F165" s="3">
        <v>124.38</v>
      </c>
      <c r="G165" s="3">
        <v>126.77</v>
      </c>
      <c r="H165" s="3">
        <v>125.779033</v>
      </c>
      <c r="I165" s="3">
        <v>125.883644</v>
      </c>
      <c r="J165" s="3">
        <v>0.35907866208351102</v>
      </c>
      <c r="K165" s="3">
        <v>-8.5613103798939303</v>
      </c>
    </row>
    <row r="166" spans="1:11" ht="15" customHeight="1" x14ac:dyDescent="0.2">
      <c r="A166" s="8">
        <v>45825</v>
      </c>
      <c r="B166" s="6">
        <v>125.32</v>
      </c>
      <c r="C166" s="7">
        <v>2157117</v>
      </c>
      <c r="D166" s="6">
        <v>-1.97888150175987</v>
      </c>
      <c r="E166" s="6">
        <v>127.06</v>
      </c>
      <c r="F166" s="6">
        <v>125.15</v>
      </c>
      <c r="G166" s="6">
        <v>127.62</v>
      </c>
      <c r="H166" s="6">
        <v>125.30989599999999</v>
      </c>
      <c r="I166" s="6">
        <v>125.43324</v>
      </c>
      <c r="J166" s="6">
        <v>-1.9788768099406699</v>
      </c>
      <c r="K166" s="6">
        <v>-8.8884724340814891</v>
      </c>
    </row>
    <row r="167" spans="1:11" ht="15" customHeight="1" x14ac:dyDescent="0.2">
      <c r="A167" s="5">
        <v>45824</v>
      </c>
      <c r="B167" s="3">
        <v>127.85</v>
      </c>
      <c r="C167" s="4">
        <v>2295652</v>
      </c>
      <c r="D167" s="3">
        <v>-0.117187500000004</v>
      </c>
      <c r="E167" s="3">
        <v>128.44999999999999</v>
      </c>
      <c r="F167" s="3">
        <v>126.33</v>
      </c>
      <c r="G167" s="3">
        <v>128.49</v>
      </c>
      <c r="H167" s="3">
        <v>127.813851</v>
      </c>
      <c r="I167" s="3">
        <v>127.96552</v>
      </c>
      <c r="J167" s="3">
        <v>-0.11719098196113401</v>
      </c>
      <c r="K167" s="3">
        <v>-7.0490883997965996</v>
      </c>
    </row>
    <row r="168" spans="1:11" ht="15" customHeight="1" x14ac:dyDescent="0.2">
      <c r="A168" s="8">
        <v>45821</v>
      </c>
      <c r="B168" s="6">
        <v>128</v>
      </c>
      <c r="C168" s="7">
        <v>3170537</v>
      </c>
      <c r="D168" s="6">
        <v>-0.775193798449613</v>
      </c>
      <c r="E168" s="6">
        <v>127.47</v>
      </c>
      <c r="F168" s="6">
        <v>126.89</v>
      </c>
      <c r="G168" s="6">
        <v>128.72999999999999</v>
      </c>
      <c r="H168" s="6">
        <v>127.858109</v>
      </c>
      <c r="I168" s="6">
        <v>128.11565999999999</v>
      </c>
      <c r="J168" s="6">
        <v>-0.77519103668809397</v>
      </c>
      <c r="K168" s="6">
        <v>-6.9400305077358801</v>
      </c>
    </row>
    <row r="169" spans="1:11" ht="15" customHeight="1" x14ac:dyDescent="0.2">
      <c r="A169" s="5">
        <v>45820</v>
      </c>
      <c r="B169" s="3">
        <v>129</v>
      </c>
      <c r="C169" s="4">
        <v>2438030</v>
      </c>
      <c r="D169" s="3">
        <v>0.89160018770531002</v>
      </c>
      <c r="E169" s="3">
        <v>127.89</v>
      </c>
      <c r="F169" s="3">
        <v>127.31</v>
      </c>
      <c r="G169" s="3">
        <v>129.27000000000001</v>
      </c>
      <c r="H169" s="3">
        <v>128.94230899999999</v>
      </c>
      <c r="I169" s="3">
        <v>129.11655999999999</v>
      </c>
      <c r="J169" s="3">
        <v>0.89160013636981805</v>
      </c>
      <c r="K169" s="3">
        <v>-6.2130021064865204</v>
      </c>
    </row>
    <row r="170" spans="1:11" ht="15" customHeight="1" x14ac:dyDescent="0.2">
      <c r="A170" s="8">
        <v>45819</v>
      </c>
      <c r="B170" s="6">
        <v>127.86</v>
      </c>
      <c r="C170" s="7">
        <v>2652703</v>
      </c>
      <c r="D170" s="6">
        <v>-0.72210575355229301</v>
      </c>
      <c r="E170" s="6">
        <v>129.38</v>
      </c>
      <c r="F170" s="6">
        <v>127.82</v>
      </c>
      <c r="G170" s="6">
        <v>129.72</v>
      </c>
      <c r="H170" s="6">
        <v>127.887483</v>
      </c>
      <c r="I170" s="6">
        <v>127.97553000000001</v>
      </c>
      <c r="J170" s="6">
        <v>-0.72210550960359798</v>
      </c>
      <c r="K170" s="6">
        <v>-7.0418173894094398</v>
      </c>
    </row>
    <row r="171" spans="1:11" ht="15" customHeight="1" x14ac:dyDescent="0.2">
      <c r="A171" s="5">
        <v>45818</v>
      </c>
      <c r="B171" s="3">
        <v>128.79</v>
      </c>
      <c r="C171" s="4">
        <v>2771375</v>
      </c>
      <c r="D171" s="3">
        <v>0.94051257935574495</v>
      </c>
      <c r="E171" s="3">
        <v>128.02000000000001</v>
      </c>
      <c r="F171" s="3">
        <v>127.55</v>
      </c>
      <c r="G171" s="3">
        <v>129.54</v>
      </c>
      <c r="H171" s="3">
        <v>128.82950199999999</v>
      </c>
      <c r="I171" s="3">
        <v>128.90637000000001</v>
      </c>
      <c r="J171" s="3">
        <v>0.94051394145915301</v>
      </c>
      <c r="K171" s="3">
        <v>-6.3656787971235396</v>
      </c>
    </row>
    <row r="172" spans="1:11" ht="15" customHeight="1" x14ac:dyDescent="0.2">
      <c r="A172" s="8">
        <v>45817</v>
      </c>
      <c r="B172" s="6">
        <v>127.59</v>
      </c>
      <c r="C172" s="7">
        <v>2600560</v>
      </c>
      <c r="D172" s="6">
        <v>0.49621928166352303</v>
      </c>
      <c r="E172" s="6">
        <v>128.19</v>
      </c>
      <c r="F172" s="6">
        <v>126.21</v>
      </c>
      <c r="G172" s="6">
        <v>128.41999999999999</v>
      </c>
      <c r="H172" s="6">
        <v>127.61488799999999</v>
      </c>
      <c r="I172" s="6">
        <v>127.70528400000001</v>
      </c>
      <c r="J172" s="6">
        <v>0.49621514019468899</v>
      </c>
      <c r="K172" s="6">
        <v>-7.2381172368707603</v>
      </c>
    </row>
    <row r="173" spans="1:11" ht="15" customHeight="1" x14ac:dyDescent="0.2">
      <c r="A173" s="5">
        <v>45814</v>
      </c>
      <c r="B173" s="3">
        <v>126.96</v>
      </c>
      <c r="C173" s="4">
        <v>797382</v>
      </c>
      <c r="D173" s="3">
        <v>1.51927075003996</v>
      </c>
      <c r="E173" s="3">
        <v>126.16</v>
      </c>
      <c r="F173" s="3">
        <v>125.85</v>
      </c>
      <c r="G173" s="3">
        <v>127.395</v>
      </c>
      <c r="H173" s="3">
        <v>127.005273</v>
      </c>
      <c r="I173" s="3">
        <v>127.07472</v>
      </c>
      <c r="J173" s="3">
        <v>1.5192700815904201</v>
      </c>
      <c r="K173" s="3">
        <v>-7.6961429505338703</v>
      </c>
    </row>
    <row r="174" spans="1:11" ht="15" customHeight="1" x14ac:dyDescent="0.2">
      <c r="A174" s="8">
        <v>45813</v>
      </c>
      <c r="B174" s="6">
        <v>125.06</v>
      </c>
      <c r="C174" s="7">
        <v>1476126</v>
      </c>
      <c r="D174" s="6">
        <v>-4.7953964194380402E-2</v>
      </c>
      <c r="E174" s="6">
        <v>125.5</v>
      </c>
      <c r="F174" s="6">
        <v>123.91</v>
      </c>
      <c r="G174" s="6">
        <v>126.23</v>
      </c>
      <c r="H174" s="6">
        <v>124.946156</v>
      </c>
      <c r="I174" s="6">
        <v>125.17300400000001</v>
      </c>
      <c r="J174" s="6">
        <v>-4.7955388137910199E-2</v>
      </c>
      <c r="K174" s="6">
        <v>-9.07750127115564</v>
      </c>
    </row>
    <row r="175" spans="1:11" ht="15" customHeight="1" x14ac:dyDescent="0.2">
      <c r="A175" s="5">
        <v>45812</v>
      </c>
      <c r="B175" s="3">
        <v>125.12</v>
      </c>
      <c r="C175" s="4">
        <v>1723797</v>
      </c>
      <c r="D175" s="3">
        <v>0.23231594969157399</v>
      </c>
      <c r="E175" s="3">
        <v>125.55500000000001</v>
      </c>
      <c r="F175" s="3">
        <v>124.94</v>
      </c>
      <c r="G175" s="3">
        <v>126.77</v>
      </c>
      <c r="H175" s="3">
        <v>125.120414</v>
      </c>
      <c r="I175" s="3">
        <v>125.23305999999999</v>
      </c>
      <c r="J175" s="3">
        <v>0.232314307026881</v>
      </c>
      <c r="K175" s="3">
        <v>-9.03387811433136</v>
      </c>
    </row>
    <row r="176" spans="1:11" ht="15" customHeight="1" x14ac:dyDescent="0.2">
      <c r="A176" s="8">
        <v>45811</v>
      </c>
      <c r="B176" s="6">
        <v>124.83</v>
      </c>
      <c r="C176" s="7">
        <v>2045553</v>
      </c>
      <c r="D176" s="6">
        <v>0.90534314121737403</v>
      </c>
      <c r="E176" s="6">
        <v>123.63</v>
      </c>
      <c r="F176" s="6">
        <v>122.55</v>
      </c>
      <c r="G176" s="6">
        <v>125.61</v>
      </c>
      <c r="H176" s="6">
        <v>124.821898</v>
      </c>
      <c r="I176" s="6">
        <v>124.94280000000001</v>
      </c>
      <c r="J176" s="6">
        <v>0.90534553350203295</v>
      </c>
      <c r="K176" s="6">
        <v>-9.2447156243190101</v>
      </c>
    </row>
    <row r="177" spans="1:11" ht="15" customHeight="1" x14ac:dyDescent="0.2">
      <c r="A177" s="5">
        <v>45810</v>
      </c>
      <c r="B177" s="3">
        <v>123.71</v>
      </c>
      <c r="C177" s="4">
        <v>2234755</v>
      </c>
      <c r="D177" s="3">
        <v>1.6348997699638399</v>
      </c>
      <c r="E177" s="3">
        <v>122.3</v>
      </c>
      <c r="F177" s="3">
        <v>121.51</v>
      </c>
      <c r="G177" s="3">
        <v>124.12</v>
      </c>
      <c r="H177" s="3">
        <v>123.719266</v>
      </c>
      <c r="I177" s="3">
        <v>123.82178500000001</v>
      </c>
      <c r="J177" s="3">
        <v>1.6348971218006401</v>
      </c>
      <c r="K177" s="3">
        <v>-10.058992518340901</v>
      </c>
    </row>
    <row r="178" spans="1:11" ht="15" customHeight="1" x14ac:dyDescent="0.2">
      <c r="A178" s="8">
        <v>45807</v>
      </c>
      <c r="B178" s="6">
        <v>121.72</v>
      </c>
      <c r="C178" s="7">
        <v>2799728</v>
      </c>
      <c r="D178" s="6">
        <v>-2.02833226014166</v>
      </c>
      <c r="E178" s="6">
        <v>122.35</v>
      </c>
      <c r="F178" s="6">
        <v>120.33</v>
      </c>
      <c r="G178" s="6">
        <v>122.37</v>
      </c>
      <c r="H178" s="6">
        <v>121.76913500000001</v>
      </c>
      <c r="I178" s="6">
        <v>121.82999</v>
      </c>
      <c r="J178" s="6">
        <v>-2.0283297777352902</v>
      </c>
      <c r="K178" s="6">
        <v>-11.5057819423258</v>
      </c>
    </row>
    <row r="179" spans="1:11" ht="15" customHeight="1" x14ac:dyDescent="0.2">
      <c r="A179" s="5">
        <v>45806</v>
      </c>
      <c r="B179" s="3">
        <v>124.24</v>
      </c>
      <c r="C179" s="4">
        <v>2132424</v>
      </c>
      <c r="D179" s="3">
        <v>1.9112460011483801</v>
      </c>
      <c r="E179" s="3">
        <v>122.81</v>
      </c>
      <c r="F179" s="3">
        <v>121.61</v>
      </c>
      <c r="G179" s="3">
        <v>124.26</v>
      </c>
      <c r="H179" s="3">
        <v>124.234286</v>
      </c>
      <c r="I179" s="3">
        <v>124.35226400000001</v>
      </c>
      <c r="J179" s="3">
        <v>1.91124148956234</v>
      </c>
      <c r="K179" s="3">
        <v>-9.6736660129294503</v>
      </c>
    </row>
    <row r="180" spans="1:11" ht="15" customHeight="1" x14ac:dyDescent="0.2">
      <c r="A180" s="8">
        <v>45805</v>
      </c>
      <c r="B180" s="6">
        <v>121.91</v>
      </c>
      <c r="C180" s="7">
        <v>2203113</v>
      </c>
      <c r="D180" s="6">
        <v>-0.76516076516076603</v>
      </c>
      <c r="E180" s="6">
        <v>122.6</v>
      </c>
      <c r="F180" s="6">
        <v>121.68</v>
      </c>
      <c r="G180" s="6">
        <v>123.25</v>
      </c>
      <c r="H180" s="6">
        <v>121.921922</v>
      </c>
      <c r="I180" s="6">
        <v>122.02016399999999</v>
      </c>
      <c r="J180" s="6">
        <v>-0.76515476784567704</v>
      </c>
      <c r="K180" s="6">
        <v>-11.367644366964401</v>
      </c>
    </row>
    <row r="181" spans="1:11" ht="15" customHeight="1" x14ac:dyDescent="0.2">
      <c r="A181" s="5">
        <v>45804</v>
      </c>
      <c r="B181" s="3">
        <v>122.85</v>
      </c>
      <c r="C181" s="4">
        <v>2001072</v>
      </c>
      <c r="D181" s="3">
        <v>1.31958762886597</v>
      </c>
      <c r="E181" s="3">
        <v>123.17</v>
      </c>
      <c r="F181" s="3">
        <v>122.23</v>
      </c>
      <c r="G181" s="3">
        <v>123.6</v>
      </c>
      <c r="H181" s="3">
        <v>122.875247</v>
      </c>
      <c r="I181" s="3">
        <v>122.961006</v>
      </c>
      <c r="J181" s="3">
        <v>1.3195828337091999</v>
      </c>
      <c r="K181" s="3">
        <v>-10.684240575288699</v>
      </c>
    </row>
    <row r="182" spans="1:11" ht="15" customHeight="1" x14ac:dyDescent="0.2">
      <c r="A182" s="8">
        <v>45800</v>
      </c>
      <c r="B182" s="6">
        <v>121.25</v>
      </c>
      <c r="C182" s="7">
        <v>732654</v>
      </c>
      <c r="D182" s="6">
        <v>-0.14000988305057299</v>
      </c>
      <c r="E182" s="6">
        <v>120.758</v>
      </c>
      <c r="F182" s="6">
        <v>119.78</v>
      </c>
      <c r="G182" s="6">
        <v>121.62</v>
      </c>
      <c r="H182" s="6">
        <v>121.36604699999999</v>
      </c>
      <c r="I182" s="6">
        <v>121.359566</v>
      </c>
      <c r="J182" s="6">
        <v>-0.140010196682749</v>
      </c>
      <c r="K182" s="6">
        <v>-11.8474860172877</v>
      </c>
    </row>
    <row r="183" spans="1:11" ht="15" customHeight="1" x14ac:dyDescent="0.2">
      <c r="A183" s="5">
        <v>45799</v>
      </c>
      <c r="B183" s="3">
        <v>121.42</v>
      </c>
      <c r="C183" s="4">
        <v>1390198</v>
      </c>
      <c r="D183" s="3">
        <v>-0.22187525680006301</v>
      </c>
      <c r="E183" s="3">
        <v>121.64</v>
      </c>
      <c r="F183" s="3">
        <v>120.58</v>
      </c>
      <c r="G183" s="3">
        <v>121.9</v>
      </c>
      <c r="H183" s="3">
        <v>121.45415800000001</v>
      </c>
      <c r="I183" s="3">
        <v>121.52972</v>
      </c>
      <c r="J183" s="3">
        <v>-0.22187609003008199</v>
      </c>
      <c r="K183" s="3">
        <v>-11.7238904627006</v>
      </c>
    </row>
    <row r="184" spans="1:11" ht="15" customHeight="1" x14ac:dyDescent="0.2">
      <c r="A184" s="8">
        <v>45798</v>
      </c>
      <c r="B184" s="6">
        <v>121.69</v>
      </c>
      <c r="C184" s="7">
        <v>1904422</v>
      </c>
      <c r="D184" s="6">
        <v>-2.3903104195074998</v>
      </c>
      <c r="E184" s="6">
        <v>124.38</v>
      </c>
      <c r="F184" s="6">
        <v>121.26</v>
      </c>
      <c r="G184" s="6">
        <v>124.78</v>
      </c>
      <c r="H184" s="6">
        <v>121.707269</v>
      </c>
      <c r="I184" s="6">
        <v>121.799965</v>
      </c>
      <c r="J184" s="6">
        <v>-2.3903042610491099</v>
      </c>
      <c r="K184" s="6">
        <v>-11.527591341613901</v>
      </c>
    </row>
    <row r="185" spans="1:11" ht="15" customHeight="1" x14ac:dyDescent="0.2">
      <c r="A185" s="5">
        <v>45797</v>
      </c>
      <c r="B185" s="3">
        <v>124.67</v>
      </c>
      <c r="C185" s="4">
        <v>1532014</v>
      </c>
      <c r="D185" s="3">
        <v>1.7631213778467101</v>
      </c>
      <c r="E185" s="3">
        <v>122.77</v>
      </c>
      <c r="F185" s="3">
        <v>122.19</v>
      </c>
      <c r="G185" s="3">
        <v>125.05</v>
      </c>
      <c r="H185" s="3">
        <v>124.69161800000001</v>
      </c>
      <c r="I185" s="3">
        <v>124.78265</v>
      </c>
      <c r="J185" s="3">
        <v>1.76311578048748</v>
      </c>
      <c r="K185" s="3">
        <v>-9.3610445267668894</v>
      </c>
    </row>
    <row r="186" spans="1:11" ht="15" customHeight="1" x14ac:dyDescent="0.2">
      <c r="A186" s="8">
        <v>45796</v>
      </c>
      <c r="B186" s="6">
        <v>122.51</v>
      </c>
      <c r="C186" s="7">
        <v>1441021</v>
      </c>
      <c r="D186" s="6">
        <v>1.1142291185209701</v>
      </c>
      <c r="E186" s="6">
        <v>120.22</v>
      </c>
      <c r="F186" s="6">
        <v>120.22</v>
      </c>
      <c r="G186" s="6">
        <v>122.66</v>
      </c>
      <c r="H186" s="6">
        <v>122.611783</v>
      </c>
      <c r="I186" s="6">
        <v>122.620705</v>
      </c>
      <c r="J186" s="6">
        <v>1.1142291896432099</v>
      </c>
      <c r="K186" s="6">
        <v>-10.931426599840099</v>
      </c>
    </row>
    <row r="187" spans="1:11" ht="15" customHeight="1" x14ac:dyDescent="0.2">
      <c r="A187" s="5">
        <v>45793</v>
      </c>
      <c r="B187" s="3">
        <v>121.16</v>
      </c>
      <c r="C187" s="4">
        <v>1051794</v>
      </c>
      <c r="D187" s="3">
        <v>1.6101979201610099</v>
      </c>
      <c r="E187" s="3">
        <v>119.34</v>
      </c>
      <c r="F187" s="3">
        <v>118.515</v>
      </c>
      <c r="G187" s="3">
        <v>121.21</v>
      </c>
      <c r="H187" s="3">
        <v>121.16175200000001</v>
      </c>
      <c r="I187" s="3">
        <v>121.269485</v>
      </c>
      <c r="J187" s="3">
        <v>1.6102064437918999</v>
      </c>
      <c r="K187" s="3">
        <v>-11.9129185734001</v>
      </c>
    </row>
    <row r="188" spans="1:11" ht="15" customHeight="1" x14ac:dyDescent="0.2">
      <c r="A188" s="8">
        <v>45792</v>
      </c>
      <c r="B188" s="6">
        <v>119.24</v>
      </c>
      <c r="C188" s="7">
        <v>2018012</v>
      </c>
      <c r="D188" s="6">
        <v>1.9842627437564</v>
      </c>
      <c r="E188" s="6">
        <v>117.14</v>
      </c>
      <c r="F188" s="6">
        <v>116.49</v>
      </c>
      <c r="G188" s="6">
        <v>119.24</v>
      </c>
      <c r="H188" s="6">
        <v>119.238562</v>
      </c>
      <c r="I188" s="6">
        <v>119.34774</v>
      </c>
      <c r="J188" s="6">
        <v>1.9842572974386501</v>
      </c>
      <c r="K188" s="6">
        <v>-13.3088254521682</v>
      </c>
    </row>
    <row r="189" spans="1:11" ht="15" customHeight="1" x14ac:dyDescent="0.2">
      <c r="A189" s="5">
        <v>45791</v>
      </c>
      <c r="B189" s="3">
        <v>116.92</v>
      </c>
      <c r="C189" s="4">
        <v>2284847</v>
      </c>
      <c r="D189" s="3">
        <v>-2.1835522462979999</v>
      </c>
      <c r="E189" s="3">
        <v>119.7</v>
      </c>
      <c r="F189" s="3">
        <v>116.82</v>
      </c>
      <c r="G189" s="3">
        <v>120.32</v>
      </c>
      <c r="H189" s="3">
        <v>116.964673</v>
      </c>
      <c r="I189" s="3">
        <v>117.02565</v>
      </c>
      <c r="J189" s="3">
        <v>-2.1835535378764499</v>
      </c>
      <c r="K189" s="3">
        <v>-14.995532795816001</v>
      </c>
    </row>
    <row r="190" spans="1:11" ht="15" customHeight="1" x14ac:dyDescent="0.2">
      <c r="A190" s="8">
        <v>45790</v>
      </c>
      <c r="B190" s="6">
        <v>119.53</v>
      </c>
      <c r="C190" s="7">
        <v>2555002</v>
      </c>
      <c r="D190" s="6">
        <v>-2.0647275706677499</v>
      </c>
      <c r="E190" s="6">
        <v>121.28</v>
      </c>
      <c r="F190" s="6">
        <v>119.17</v>
      </c>
      <c r="G190" s="6">
        <v>121.75</v>
      </c>
      <c r="H190" s="6">
        <v>119.54489700000001</v>
      </c>
      <c r="I190" s="6">
        <v>119.63800999999999</v>
      </c>
      <c r="J190" s="6">
        <v>-2.06472666575125</v>
      </c>
      <c r="K190" s="6">
        <v>-13.097980678433901</v>
      </c>
    </row>
    <row r="191" spans="1:11" ht="15" customHeight="1" x14ac:dyDescent="0.2">
      <c r="A191" s="5">
        <v>45789</v>
      </c>
      <c r="B191" s="3">
        <v>122.05</v>
      </c>
      <c r="C191" s="4">
        <v>3268914</v>
      </c>
      <c r="D191" s="3">
        <v>4.647174826374</v>
      </c>
      <c r="E191" s="3">
        <v>117.96</v>
      </c>
      <c r="F191" s="3">
        <v>117.96</v>
      </c>
      <c r="G191" s="3">
        <v>122.53</v>
      </c>
      <c r="H191" s="3">
        <v>122.053844</v>
      </c>
      <c r="I191" s="3">
        <v>122.160286</v>
      </c>
      <c r="J191" s="3">
        <v>4.6471823709315796</v>
      </c>
      <c r="K191" s="3">
        <v>-11.265863296288201</v>
      </c>
    </row>
    <row r="192" spans="1:11" ht="15" customHeight="1" x14ac:dyDescent="0.2">
      <c r="A192" s="8">
        <v>45786</v>
      </c>
      <c r="B192" s="6">
        <v>116.63</v>
      </c>
      <c r="C192" s="7">
        <v>2304562</v>
      </c>
      <c r="D192" s="6">
        <v>-2.1396207417351998</v>
      </c>
      <c r="E192" s="6">
        <v>119.33</v>
      </c>
      <c r="F192" s="6">
        <v>116.49</v>
      </c>
      <c r="G192" s="6">
        <v>120.61</v>
      </c>
      <c r="H192" s="6">
        <v>116.532402</v>
      </c>
      <c r="I192" s="6">
        <v>116.73538000000001</v>
      </c>
      <c r="J192" s="6">
        <v>-2.13962563949389</v>
      </c>
      <c r="K192" s="6">
        <v>-15.2063775695503</v>
      </c>
    </row>
    <row r="193" spans="1:11" ht="15" customHeight="1" x14ac:dyDescent="0.2">
      <c r="A193" s="5">
        <v>45785</v>
      </c>
      <c r="B193" s="3">
        <v>119.18</v>
      </c>
      <c r="C193" s="4">
        <v>4415846</v>
      </c>
      <c r="D193" s="3">
        <v>-0.18425460636515201</v>
      </c>
      <c r="E193" s="3">
        <v>118.28</v>
      </c>
      <c r="F193" s="3">
        <v>116.25</v>
      </c>
      <c r="G193" s="3">
        <v>120.32</v>
      </c>
      <c r="H193" s="3">
        <v>119.167103</v>
      </c>
      <c r="I193" s="3">
        <v>119.28769</v>
      </c>
      <c r="J193" s="3">
        <v>-0.18425561693040601</v>
      </c>
      <c r="K193" s="3">
        <v>-13.352444250744499</v>
      </c>
    </row>
    <row r="194" spans="1:11" ht="15" customHeight="1" x14ac:dyDescent="0.2">
      <c r="A194" s="8">
        <v>45784</v>
      </c>
      <c r="B194" s="6">
        <v>119.4</v>
      </c>
      <c r="C194" s="7">
        <v>1383982</v>
      </c>
      <c r="D194" s="6">
        <v>0.674536256323787</v>
      </c>
      <c r="E194" s="6">
        <v>119.19</v>
      </c>
      <c r="F194" s="6">
        <v>118.33</v>
      </c>
      <c r="G194" s="6">
        <v>119.91</v>
      </c>
      <c r="H194" s="6">
        <v>119.47287900000001</v>
      </c>
      <c r="I194" s="6">
        <v>119.50789</v>
      </c>
      <c r="J194" s="6">
        <v>0.67453381291120396</v>
      </c>
      <c r="K194" s="6">
        <v>-13.1924965497203</v>
      </c>
    </row>
    <row r="195" spans="1:11" ht="15" customHeight="1" x14ac:dyDescent="0.2">
      <c r="A195" s="5">
        <v>45783</v>
      </c>
      <c r="B195" s="3">
        <v>118.6</v>
      </c>
      <c r="C195" s="4">
        <v>3506523</v>
      </c>
      <c r="D195" s="3">
        <v>-5.7683139996821904</v>
      </c>
      <c r="E195" s="3">
        <v>123.93</v>
      </c>
      <c r="F195" s="3">
        <v>118.27</v>
      </c>
      <c r="G195" s="3">
        <v>124.32</v>
      </c>
      <c r="H195" s="3">
        <v>118.547285</v>
      </c>
      <c r="I195" s="3">
        <v>118.70717</v>
      </c>
      <c r="J195" s="3">
        <v>-5.7683137587495397</v>
      </c>
      <c r="K195" s="3">
        <v>-13.774119270719799</v>
      </c>
    </row>
    <row r="196" spans="1:11" ht="15" customHeight="1" x14ac:dyDescent="0.2">
      <c r="A196" s="8">
        <v>45782</v>
      </c>
      <c r="B196" s="6">
        <v>125.86</v>
      </c>
      <c r="C196" s="7">
        <v>874805</v>
      </c>
      <c r="D196" s="6">
        <v>-0.58451816745654905</v>
      </c>
      <c r="E196" s="6">
        <v>126</v>
      </c>
      <c r="F196" s="6">
        <v>125.30500000000001</v>
      </c>
      <c r="G196" s="6">
        <v>126.76</v>
      </c>
      <c r="H196" s="6">
        <v>125.95944</v>
      </c>
      <c r="I196" s="6">
        <v>125.97373</v>
      </c>
      <c r="J196" s="6">
        <v>-0.58451135660282305</v>
      </c>
      <c r="K196" s="6">
        <v>-8.4958741919081699</v>
      </c>
    </row>
    <row r="197" spans="1:11" ht="15" customHeight="1" x14ac:dyDescent="0.2">
      <c r="A197" s="5">
        <v>45779</v>
      </c>
      <c r="B197" s="3">
        <v>126.6</v>
      </c>
      <c r="C197" s="4">
        <v>2470321</v>
      </c>
      <c r="D197" s="3">
        <v>1.3773222293401699</v>
      </c>
      <c r="E197" s="3">
        <v>126.7</v>
      </c>
      <c r="F197" s="3">
        <v>125.89</v>
      </c>
      <c r="G197" s="3">
        <v>128.07990000000001</v>
      </c>
      <c r="H197" s="3">
        <v>126.56377999999999</v>
      </c>
      <c r="I197" s="3">
        <v>126.71438999999999</v>
      </c>
      <c r="J197" s="3">
        <v>1.37732213708632</v>
      </c>
      <c r="K197" s="3">
        <v>-7.9578775332316303</v>
      </c>
    </row>
    <row r="198" spans="1:11" ht="15" customHeight="1" x14ac:dyDescent="0.2">
      <c r="A198" s="8">
        <v>45778</v>
      </c>
      <c r="B198" s="6">
        <v>124.88</v>
      </c>
      <c r="C198" s="7">
        <v>1757529</v>
      </c>
      <c r="D198" s="6">
        <v>-1.3430241744351299</v>
      </c>
      <c r="E198" s="6">
        <v>126.67</v>
      </c>
      <c r="F198" s="6">
        <v>123.23</v>
      </c>
      <c r="G198" s="6">
        <v>126.67</v>
      </c>
      <c r="H198" s="6">
        <v>124.93772199999999</v>
      </c>
      <c r="I198" s="6">
        <v>124.992836</v>
      </c>
      <c r="J198" s="6">
        <v>-1.3430303696185999</v>
      </c>
      <c r="K198" s="6">
        <v>-9.2083707416285208</v>
      </c>
    </row>
    <row r="199" spans="1:11" ht="15" customHeight="1" x14ac:dyDescent="0.2">
      <c r="A199" s="5">
        <v>45777</v>
      </c>
      <c r="B199" s="3">
        <v>126.58</v>
      </c>
      <c r="C199" s="4">
        <v>1150926</v>
      </c>
      <c r="D199" s="3">
        <v>1.46693386773546</v>
      </c>
      <c r="E199" s="3">
        <v>124.27</v>
      </c>
      <c r="F199" s="3">
        <v>123.68</v>
      </c>
      <c r="G199" s="3">
        <v>126.94</v>
      </c>
      <c r="H199" s="3">
        <v>126.72013699999999</v>
      </c>
      <c r="I199" s="3">
        <v>126.69438</v>
      </c>
      <c r="J199" s="3">
        <v>1.4669358006317299</v>
      </c>
      <c r="K199" s="3">
        <v>-7.9724122902593102</v>
      </c>
    </row>
    <row r="200" spans="1:11" ht="15" customHeight="1" x14ac:dyDescent="0.2">
      <c r="A200" s="8">
        <v>45776</v>
      </c>
      <c r="B200" s="6">
        <v>124.75</v>
      </c>
      <c r="C200" s="7">
        <v>2267354</v>
      </c>
      <c r="D200" s="6">
        <v>0.10431712405714</v>
      </c>
      <c r="E200" s="6">
        <v>123.78</v>
      </c>
      <c r="F200" s="6">
        <v>122.45</v>
      </c>
      <c r="G200" s="6">
        <v>125.61</v>
      </c>
      <c r="H200" s="6">
        <v>124.798078</v>
      </c>
      <c r="I200" s="6">
        <v>124.862724</v>
      </c>
      <c r="J200" s="6">
        <v>0.10431434089288499</v>
      </c>
      <c r="K200" s="6">
        <v>-9.3028808019176203</v>
      </c>
    </row>
    <row r="201" spans="1:11" ht="15" customHeight="1" x14ac:dyDescent="0.2">
      <c r="A201" s="5">
        <v>45775</v>
      </c>
      <c r="B201" s="3">
        <v>124.62</v>
      </c>
      <c r="C201" s="4">
        <v>1740942</v>
      </c>
      <c r="D201" s="3">
        <v>1.13617919168966</v>
      </c>
      <c r="E201" s="3">
        <v>123.57</v>
      </c>
      <c r="F201" s="3">
        <v>123.29</v>
      </c>
      <c r="G201" s="3">
        <v>125.26</v>
      </c>
      <c r="H201" s="3">
        <v>124.66707599999999</v>
      </c>
      <c r="I201" s="3">
        <v>124.73260999999999</v>
      </c>
      <c r="J201" s="3">
        <v>1.13617912786079</v>
      </c>
      <c r="K201" s="3">
        <v>-9.3973923149560505</v>
      </c>
    </row>
    <row r="202" spans="1:11" ht="15" customHeight="1" x14ac:dyDescent="0.2">
      <c r="A202" s="8">
        <v>45772</v>
      </c>
      <c r="B202" s="6">
        <v>123.22</v>
      </c>
      <c r="C202" s="7">
        <v>1243987</v>
      </c>
      <c r="D202" s="6">
        <v>-0.78904991948470704</v>
      </c>
      <c r="E202" s="6">
        <v>122.94</v>
      </c>
      <c r="F202" s="6">
        <v>121.66</v>
      </c>
      <c r="G202" s="6">
        <v>123.6</v>
      </c>
      <c r="H202" s="6">
        <v>123.281589</v>
      </c>
      <c r="I202" s="6">
        <v>123.331345</v>
      </c>
      <c r="J202" s="6">
        <v>-0.78904548607346903</v>
      </c>
      <c r="K202" s="6">
        <v>-10.4152357085784</v>
      </c>
    </row>
    <row r="203" spans="1:11" ht="15" customHeight="1" x14ac:dyDescent="0.2">
      <c r="A203" s="5">
        <v>45771</v>
      </c>
      <c r="B203" s="3">
        <v>124.2</v>
      </c>
      <c r="C203" s="4">
        <v>2728749</v>
      </c>
      <c r="D203" s="3">
        <v>1.8032786885245899</v>
      </c>
      <c r="E203" s="3">
        <v>122.18</v>
      </c>
      <c r="F203" s="3">
        <v>121.37</v>
      </c>
      <c r="G203" s="3">
        <v>124.28</v>
      </c>
      <c r="H203" s="3">
        <v>124.268541</v>
      </c>
      <c r="I203" s="3">
        <v>124.312225</v>
      </c>
      <c r="J203" s="3">
        <v>1.8032762854286399</v>
      </c>
      <c r="K203" s="3">
        <v>-9.7027493281034296</v>
      </c>
    </row>
    <row r="204" spans="1:11" ht="15" customHeight="1" x14ac:dyDescent="0.2">
      <c r="A204" s="8">
        <v>45770</v>
      </c>
      <c r="B204" s="6">
        <v>122</v>
      </c>
      <c r="C204" s="7">
        <v>2088909</v>
      </c>
      <c r="D204" s="6">
        <v>1.30366187826953</v>
      </c>
      <c r="E204" s="6">
        <v>122.45</v>
      </c>
      <c r="F204" s="6">
        <v>121.75</v>
      </c>
      <c r="G204" s="6">
        <v>124.7</v>
      </c>
      <c r="H204" s="6">
        <v>122.190715</v>
      </c>
      <c r="I204" s="6">
        <v>122.11024</v>
      </c>
      <c r="J204" s="6">
        <v>1.3036630025082301</v>
      </c>
      <c r="K204" s="6">
        <v>-11.3022154427253</v>
      </c>
    </row>
    <row r="205" spans="1:11" ht="15" customHeight="1" x14ac:dyDescent="0.2">
      <c r="A205" s="5">
        <v>45769</v>
      </c>
      <c r="B205" s="3">
        <v>120.43</v>
      </c>
      <c r="C205" s="4">
        <v>991109</v>
      </c>
      <c r="D205" s="3">
        <v>2.7209143636984101</v>
      </c>
      <c r="E205" s="3">
        <v>119.46</v>
      </c>
      <c r="F205" s="3">
        <v>118.23</v>
      </c>
      <c r="G205" s="3">
        <v>120.63</v>
      </c>
      <c r="H205" s="3">
        <v>120.46434600000001</v>
      </c>
      <c r="I205" s="3">
        <v>120.53882</v>
      </c>
      <c r="J205" s="3">
        <v>2.7209122019901102</v>
      </c>
      <c r="K205" s="3">
        <v>-12.443655117309399</v>
      </c>
    </row>
    <row r="206" spans="1:11" ht="15" customHeight="1" x14ac:dyDescent="0.2">
      <c r="A206" s="8">
        <v>45768</v>
      </c>
      <c r="B206" s="6">
        <v>117.24</v>
      </c>
      <c r="C206" s="7">
        <v>1343526</v>
      </c>
      <c r="D206" s="6">
        <v>-0.88764899822471</v>
      </c>
      <c r="E206" s="6">
        <v>117.18</v>
      </c>
      <c r="F206" s="6">
        <v>116.25</v>
      </c>
      <c r="G206" s="6">
        <v>119.1799</v>
      </c>
      <c r="H206" s="6">
        <v>117.24833700000001</v>
      </c>
      <c r="I206" s="6">
        <v>117.34594</v>
      </c>
      <c r="J206" s="6">
        <v>-0.88765000499590996</v>
      </c>
      <c r="K206" s="6">
        <v>-14.7628822546669</v>
      </c>
    </row>
    <row r="207" spans="1:11" ht="15" customHeight="1" x14ac:dyDescent="0.2">
      <c r="A207" s="5">
        <v>45764</v>
      </c>
      <c r="B207" s="3">
        <v>118.29</v>
      </c>
      <c r="C207" s="4">
        <v>1184573</v>
      </c>
      <c r="D207" s="3">
        <v>0.42448425163426001</v>
      </c>
      <c r="E207" s="3">
        <v>117.61</v>
      </c>
      <c r="F207" s="3">
        <v>116.92</v>
      </c>
      <c r="G207" s="3">
        <v>118.62</v>
      </c>
      <c r="H207" s="3">
        <v>118.276325</v>
      </c>
      <c r="I207" s="3">
        <v>118.39689</v>
      </c>
      <c r="J207" s="3">
        <v>0.424482707026618</v>
      </c>
      <c r="K207" s="3">
        <v>-13.9994988014817</v>
      </c>
    </row>
    <row r="208" spans="1:11" ht="15" customHeight="1" x14ac:dyDescent="0.2">
      <c r="A208" s="8">
        <v>45763</v>
      </c>
      <c r="B208" s="6">
        <v>117.79</v>
      </c>
      <c r="C208" s="7">
        <v>1243040</v>
      </c>
      <c r="D208" s="6">
        <v>-1.7188151856487099</v>
      </c>
      <c r="E208" s="6">
        <v>119.27</v>
      </c>
      <c r="F208" s="6">
        <v>116.66</v>
      </c>
      <c r="G208" s="6">
        <v>119.625</v>
      </c>
      <c r="H208" s="6">
        <v>117.68893799999999</v>
      </c>
      <c r="I208" s="6">
        <v>117.89644</v>
      </c>
      <c r="J208" s="6">
        <v>-1.7188139545158501</v>
      </c>
      <c r="K208" s="6">
        <v>-14.363013002106401</v>
      </c>
    </row>
    <row r="209" spans="1:11" ht="15" customHeight="1" x14ac:dyDescent="0.2">
      <c r="A209" s="5">
        <v>45762</v>
      </c>
      <c r="B209" s="3">
        <v>119.85</v>
      </c>
      <c r="C209" s="4">
        <v>1908313</v>
      </c>
      <c r="D209" s="3">
        <v>-0.37406483790524098</v>
      </c>
      <c r="E209" s="3">
        <v>120.13</v>
      </c>
      <c r="F209" s="3">
        <v>118.92</v>
      </c>
      <c r="G209" s="3">
        <v>121.09</v>
      </c>
      <c r="H209" s="3">
        <v>119.894937</v>
      </c>
      <c r="I209" s="3">
        <v>119.95829999999999</v>
      </c>
      <c r="J209" s="3">
        <v>-0.37406762351328499</v>
      </c>
      <c r="K209" s="3">
        <v>-12.865330137284801</v>
      </c>
    </row>
    <row r="210" spans="1:11" ht="15" customHeight="1" x14ac:dyDescent="0.2">
      <c r="A210" s="8">
        <v>45761</v>
      </c>
      <c r="B210" s="6">
        <v>120.3</v>
      </c>
      <c r="C210" s="7">
        <v>3415801</v>
      </c>
      <c r="D210" s="6">
        <v>2.8556771545827599</v>
      </c>
      <c r="E210" s="6">
        <v>119.11</v>
      </c>
      <c r="F210" s="6">
        <v>117.6</v>
      </c>
      <c r="G210" s="6">
        <v>120.98</v>
      </c>
      <c r="H210" s="6">
        <v>120.430031</v>
      </c>
      <c r="I210" s="6">
        <v>120.40871</v>
      </c>
      <c r="J210" s="6">
        <v>2.85568750807239</v>
      </c>
      <c r="K210" s="6">
        <v>-12.5381637248492</v>
      </c>
    </row>
    <row r="211" spans="1:11" ht="15" customHeight="1" x14ac:dyDescent="0.2">
      <c r="A211" s="5">
        <v>45758</v>
      </c>
      <c r="B211" s="3">
        <v>116.96</v>
      </c>
      <c r="C211" s="4">
        <v>2044169</v>
      </c>
      <c r="D211" s="3">
        <v>3.3763478875729001</v>
      </c>
      <c r="E211" s="3">
        <v>113.4</v>
      </c>
      <c r="F211" s="3">
        <v>112.41</v>
      </c>
      <c r="G211" s="3">
        <v>117.18</v>
      </c>
      <c r="H211" s="3">
        <v>116.957753</v>
      </c>
      <c r="I211" s="3">
        <v>117.06568</v>
      </c>
      <c r="J211" s="3">
        <v>3.3763464389565598</v>
      </c>
      <c r="K211" s="3">
        <v>-14.966456018014</v>
      </c>
    </row>
    <row r="212" spans="1:11" ht="15" customHeight="1" x14ac:dyDescent="0.2">
      <c r="A212" s="8">
        <v>45757</v>
      </c>
      <c r="B212" s="6">
        <v>113.14</v>
      </c>
      <c r="C212" s="7">
        <v>2173245</v>
      </c>
      <c r="D212" s="6">
        <v>-4.6278344432268304</v>
      </c>
      <c r="E212" s="6">
        <v>116.3</v>
      </c>
      <c r="F212" s="6">
        <v>109.68</v>
      </c>
      <c r="G212" s="6">
        <v>116.64</v>
      </c>
      <c r="H212" s="6">
        <v>113.094487</v>
      </c>
      <c r="I212" s="6">
        <v>113.24223000000001</v>
      </c>
      <c r="J212" s="6">
        <v>-4.6278339583410899</v>
      </c>
      <c r="K212" s="6">
        <v>-17.743713227282601</v>
      </c>
    </row>
    <row r="213" spans="1:11" ht="15" customHeight="1" x14ac:dyDescent="0.2">
      <c r="A213" s="5">
        <v>45756</v>
      </c>
      <c r="B213" s="3">
        <v>118.63</v>
      </c>
      <c r="C213" s="4">
        <v>3602539</v>
      </c>
      <c r="D213" s="3">
        <v>5.9007320121406899</v>
      </c>
      <c r="E213" s="3">
        <v>109.19</v>
      </c>
      <c r="F213" s="3">
        <v>107.43</v>
      </c>
      <c r="G213" s="3">
        <v>119.37</v>
      </c>
      <c r="H213" s="3">
        <v>118.624651</v>
      </c>
      <c r="I213" s="3">
        <v>118.73719</v>
      </c>
      <c r="J213" s="3">
        <v>5.9007333634340799</v>
      </c>
      <c r="K213" s="3">
        <v>-13.752313503304901</v>
      </c>
    </row>
    <row r="214" spans="1:11" ht="15" customHeight="1" x14ac:dyDescent="0.2">
      <c r="A214" s="8">
        <v>45755</v>
      </c>
      <c r="B214" s="6">
        <v>112.02</v>
      </c>
      <c r="C214" s="7">
        <v>2731718</v>
      </c>
      <c r="D214" s="6">
        <v>-3.6055416917649001</v>
      </c>
      <c r="E214" s="6">
        <v>118.5</v>
      </c>
      <c r="F214" s="6">
        <v>110.56</v>
      </c>
      <c r="G214" s="6">
        <v>118.79989999999999</v>
      </c>
      <c r="H214" s="6">
        <v>112.00645299999999</v>
      </c>
      <c r="I214" s="6">
        <v>112.121216</v>
      </c>
      <c r="J214" s="6">
        <v>-3.60554841546245</v>
      </c>
      <c r="K214" s="6">
        <v>-18.557989394929798</v>
      </c>
    </row>
    <row r="215" spans="1:11" ht="15" customHeight="1" x14ac:dyDescent="0.2">
      <c r="A215" s="5">
        <v>45754</v>
      </c>
      <c r="B215" s="3">
        <v>116.21</v>
      </c>
      <c r="C215" s="4">
        <v>2693991</v>
      </c>
      <c r="D215" s="3">
        <v>-0.81085694776374895</v>
      </c>
      <c r="E215" s="3">
        <v>113.41</v>
      </c>
      <c r="F215" s="3">
        <v>111.2296</v>
      </c>
      <c r="G215" s="3">
        <v>119.94</v>
      </c>
      <c r="H215" s="3">
        <v>116.110207</v>
      </c>
      <c r="I215" s="3">
        <v>116.31501</v>
      </c>
      <c r="J215" s="3">
        <v>-0.81085826592170995</v>
      </c>
      <c r="K215" s="3">
        <v>-15.5117236870777</v>
      </c>
    </row>
    <row r="216" spans="1:11" ht="15" customHeight="1" x14ac:dyDescent="0.2">
      <c r="A216" s="8">
        <v>45751</v>
      </c>
      <c r="B216" s="6">
        <v>117.16</v>
      </c>
      <c r="C216" s="7">
        <v>3214042</v>
      </c>
      <c r="D216" s="6">
        <v>-5.3558445754907504</v>
      </c>
      <c r="E216" s="6">
        <v>121.55</v>
      </c>
      <c r="F216" s="6">
        <v>117.02</v>
      </c>
      <c r="G216" s="6">
        <v>122.33</v>
      </c>
      <c r="H216" s="6">
        <v>117.122017</v>
      </c>
      <c r="I216" s="6">
        <v>117.26587000000001</v>
      </c>
      <c r="J216" s="6">
        <v>-5.3558399105485401</v>
      </c>
      <c r="K216" s="6">
        <v>-14.821043074017499</v>
      </c>
    </row>
    <row r="217" spans="1:11" ht="15" customHeight="1" x14ac:dyDescent="0.2">
      <c r="A217" s="5">
        <v>45750</v>
      </c>
      <c r="B217" s="3">
        <v>123.79</v>
      </c>
      <c r="C217" s="4">
        <v>1322952</v>
      </c>
      <c r="D217" s="3">
        <v>-2.3661172016720502</v>
      </c>
      <c r="E217" s="3">
        <v>123.94</v>
      </c>
      <c r="F217" s="3">
        <v>123.5</v>
      </c>
      <c r="G217" s="3">
        <v>126.1</v>
      </c>
      <c r="H217" s="3">
        <v>123.87701300000001</v>
      </c>
      <c r="I217" s="3">
        <v>123.901855</v>
      </c>
      <c r="J217" s="3">
        <v>-2.3661204635892998</v>
      </c>
      <c r="K217" s="3">
        <v>-10.0008316989903</v>
      </c>
    </row>
    <row r="218" spans="1:11" ht="15" customHeight="1" x14ac:dyDescent="0.2">
      <c r="A218" s="8">
        <v>45749</v>
      </c>
      <c r="B218" s="6">
        <v>126.79</v>
      </c>
      <c r="C218" s="7">
        <v>1659301</v>
      </c>
      <c r="D218" s="6">
        <v>1.8884603021536599</v>
      </c>
      <c r="E218" s="6">
        <v>123.28</v>
      </c>
      <c r="F218" s="6">
        <v>123.21</v>
      </c>
      <c r="G218" s="6">
        <v>126.88</v>
      </c>
      <c r="H218" s="6">
        <v>126.797009</v>
      </c>
      <c r="I218" s="6">
        <v>126.90457000000001</v>
      </c>
      <c r="J218" s="6">
        <v>1.88846234121267</v>
      </c>
      <c r="K218" s="6">
        <v>-7.8197355996222697</v>
      </c>
    </row>
    <row r="219" spans="1:11" ht="15" customHeight="1" x14ac:dyDescent="0.2">
      <c r="A219" s="5">
        <v>45748</v>
      </c>
      <c r="B219" s="3">
        <v>124.44</v>
      </c>
      <c r="C219" s="4">
        <v>2562004</v>
      </c>
      <c r="D219" s="3">
        <v>-2.7052384675527801</v>
      </c>
      <c r="E219" s="3">
        <v>127.75</v>
      </c>
      <c r="F219" s="3">
        <v>124.15</v>
      </c>
      <c r="G219" s="3">
        <v>128.06</v>
      </c>
      <c r="H219" s="3">
        <v>124.482579</v>
      </c>
      <c r="I219" s="3">
        <v>124.55244399999999</v>
      </c>
      <c r="J219" s="3">
        <v>-2.7052457208724099</v>
      </c>
      <c r="K219" s="3">
        <v>-9.5282603326795901</v>
      </c>
    </row>
    <row r="220" spans="1:11" ht="15" customHeight="1" x14ac:dyDescent="0.2">
      <c r="A220" s="8">
        <v>45747</v>
      </c>
      <c r="B220" s="6">
        <v>127.9</v>
      </c>
      <c r="C220" s="7">
        <v>1646795</v>
      </c>
      <c r="D220" s="6">
        <v>-1.83436948345996</v>
      </c>
      <c r="E220" s="6">
        <v>127.57</v>
      </c>
      <c r="F220" s="6">
        <v>124.98</v>
      </c>
      <c r="G220" s="6">
        <v>128.55000000000001</v>
      </c>
      <c r="H220" s="6">
        <v>127.896259</v>
      </c>
      <c r="I220" s="6">
        <v>128.01558</v>
      </c>
      <c r="J220" s="6">
        <v>-1.8343621194847699</v>
      </c>
      <c r="K220" s="6">
        <v>-7.0127260841141696</v>
      </c>
    </row>
    <row r="221" spans="1:11" ht="15" customHeight="1" x14ac:dyDescent="0.2">
      <c r="A221" s="5">
        <v>45744</v>
      </c>
      <c r="B221" s="3">
        <v>130.29</v>
      </c>
      <c r="C221" s="4">
        <v>1278023</v>
      </c>
      <c r="D221" s="3">
        <v>-0.98039215686276304</v>
      </c>
      <c r="E221" s="3">
        <v>131.41999999999999</v>
      </c>
      <c r="F221" s="3">
        <v>129.97</v>
      </c>
      <c r="G221" s="3">
        <v>131.845</v>
      </c>
      <c r="H221" s="3">
        <v>130.304419</v>
      </c>
      <c r="I221" s="3">
        <v>130.40772999999999</v>
      </c>
      <c r="J221" s="3">
        <v>-0.98039543230811199</v>
      </c>
      <c r="K221" s="3">
        <v>-5.27512893150287</v>
      </c>
    </row>
    <row r="222" spans="1:11" ht="15" customHeight="1" x14ac:dyDescent="0.2">
      <c r="A222" s="8">
        <v>45743</v>
      </c>
      <c r="B222" s="6">
        <v>131.58000000000001</v>
      </c>
      <c r="C222" s="7">
        <v>881602</v>
      </c>
      <c r="D222" s="6">
        <v>0.33551929235933198</v>
      </c>
      <c r="E222" s="6">
        <v>131.19</v>
      </c>
      <c r="F222" s="6">
        <v>131.16</v>
      </c>
      <c r="G222" s="6">
        <v>132.45959999999999</v>
      </c>
      <c r="H222" s="6">
        <v>131.63322299999999</v>
      </c>
      <c r="I222" s="6">
        <v>131.69890000000001</v>
      </c>
      <c r="J222" s="6">
        <v>0.33552112815551299</v>
      </c>
      <c r="K222" s="6">
        <v>-4.3372557565191903</v>
      </c>
    </row>
    <row r="223" spans="1:11" ht="15" customHeight="1" x14ac:dyDescent="0.2">
      <c r="A223" s="5">
        <v>45742</v>
      </c>
      <c r="B223" s="3">
        <v>131.13999999999999</v>
      </c>
      <c r="C223" s="4">
        <v>600637</v>
      </c>
      <c r="D223" s="3">
        <v>-1.3762502820185001</v>
      </c>
      <c r="E223" s="3">
        <v>132.94999999999999</v>
      </c>
      <c r="F223" s="3">
        <v>130.83189999999999</v>
      </c>
      <c r="G223" s="3">
        <v>132.96</v>
      </c>
      <c r="H223" s="3">
        <v>131.139816</v>
      </c>
      <c r="I223" s="3">
        <v>131.2585</v>
      </c>
      <c r="J223" s="3">
        <v>-1.37624760359801</v>
      </c>
      <c r="K223" s="3">
        <v>-4.6571511585675802</v>
      </c>
    </row>
    <row r="224" spans="1:11" ht="15" customHeight="1" x14ac:dyDescent="0.2">
      <c r="A224" s="8">
        <v>45741</v>
      </c>
      <c r="B224" s="6">
        <v>132.97</v>
      </c>
      <c r="C224" s="7">
        <v>915553</v>
      </c>
      <c r="D224" s="6">
        <v>-1.72936220530633</v>
      </c>
      <c r="E224" s="6">
        <v>135.38</v>
      </c>
      <c r="F224" s="6">
        <v>132.08000000000001</v>
      </c>
      <c r="G224" s="6">
        <v>135.5</v>
      </c>
      <c r="H224" s="6">
        <v>132.973071</v>
      </c>
      <c r="I224" s="6">
        <v>133.09014999999999</v>
      </c>
      <c r="J224" s="6">
        <v>-1.72936627289788</v>
      </c>
      <c r="K224" s="6">
        <v>-3.3266870051572499</v>
      </c>
    </row>
    <row r="225" spans="1:11" ht="15" customHeight="1" x14ac:dyDescent="0.2">
      <c r="A225" s="5">
        <v>45740</v>
      </c>
      <c r="B225" s="3">
        <v>135.31</v>
      </c>
      <c r="C225" s="4">
        <v>752821</v>
      </c>
      <c r="D225" s="3">
        <v>1.2951040574936199</v>
      </c>
      <c r="E225" s="3">
        <v>134.49</v>
      </c>
      <c r="F225" s="3">
        <v>134.02000000000001</v>
      </c>
      <c r="G225" s="3">
        <v>135.66999999999999</v>
      </c>
      <c r="H225" s="3">
        <v>135.374369</v>
      </c>
      <c r="I225" s="3">
        <v>135.43226999999999</v>
      </c>
      <c r="J225" s="3">
        <v>1.2951091505130199</v>
      </c>
      <c r="K225" s="3">
        <v>-1.6254303769884499</v>
      </c>
    </row>
    <row r="226" spans="1:11" ht="15" customHeight="1" x14ac:dyDescent="0.2">
      <c r="A226" s="8">
        <v>45737</v>
      </c>
      <c r="B226" s="6">
        <v>133.58000000000001</v>
      </c>
      <c r="C226" s="7">
        <v>1185179</v>
      </c>
      <c r="D226" s="6">
        <v>0.63281603133946696</v>
      </c>
      <c r="E226" s="6">
        <v>132.58000000000001</v>
      </c>
      <c r="F226" s="6">
        <v>131.97</v>
      </c>
      <c r="G226" s="6">
        <v>134.03</v>
      </c>
      <c r="H226" s="6">
        <v>133.758476</v>
      </c>
      <c r="I226" s="6">
        <v>133.70070000000001</v>
      </c>
      <c r="J226" s="6">
        <v>0.63280920999895196</v>
      </c>
      <c r="K226" s="6">
        <v>-2.8831989540204601</v>
      </c>
    </row>
    <row r="227" spans="1:11" ht="15" customHeight="1" x14ac:dyDescent="0.2">
      <c r="A227" s="5">
        <v>45736</v>
      </c>
      <c r="B227" s="3">
        <v>132.74</v>
      </c>
      <c r="C227" s="4">
        <v>1786324</v>
      </c>
      <c r="D227" s="3">
        <v>-1.3598870476331899</v>
      </c>
      <c r="E227" s="3">
        <v>133.76</v>
      </c>
      <c r="F227" s="3">
        <v>132.53</v>
      </c>
      <c r="G227" s="3">
        <v>134.78</v>
      </c>
      <c r="H227" s="3">
        <v>133.14275900000001</v>
      </c>
      <c r="I227" s="3">
        <v>132.85995</v>
      </c>
      <c r="J227" s="3">
        <v>-1.3598843580445901</v>
      </c>
      <c r="K227" s="3">
        <v>-3.4938984528219499</v>
      </c>
    </row>
    <row r="228" spans="1:11" ht="15" customHeight="1" x14ac:dyDescent="0.2">
      <c r="A228" s="8">
        <v>45735</v>
      </c>
      <c r="B228" s="6">
        <v>134.57</v>
      </c>
      <c r="C228" s="7">
        <v>891326</v>
      </c>
      <c r="D228" s="6">
        <v>0.35796852860019401</v>
      </c>
      <c r="E228" s="6">
        <v>133.74</v>
      </c>
      <c r="F228" s="6">
        <v>133.19999999999999</v>
      </c>
      <c r="G228" s="6">
        <v>134.96</v>
      </c>
      <c r="H228" s="6">
        <v>134.52975499999999</v>
      </c>
      <c r="I228" s="6">
        <v>134.69159999999999</v>
      </c>
      <c r="J228" s="6">
        <v>0.35796573414863497</v>
      </c>
      <c r="K228" s="6">
        <v>-2.1634342994116298</v>
      </c>
    </row>
    <row r="229" spans="1:11" ht="15" customHeight="1" x14ac:dyDescent="0.2">
      <c r="A229" s="5">
        <v>45734</v>
      </c>
      <c r="B229" s="3">
        <v>134.09</v>
      </c>
      <c r="C229" s="4">
        <v>509360</v>
      </c>
      <c r="D229" s="3">
        <v>-1.4768552534900701</v>
      </c>
      <c r="E229" s="3">
        <v>135.19999999999999</v>
      </c>
      <c r="F229" s="3">
        <v>133.94</v>
      </c>
      <c r="G229" s="3">
        <v>135.49</v>
      </c>
      <c r="H229" s="3">
        <v>134.03935999999999</v>
      </c>
      <c r="I229" s="3">
        <v>134.21117000000001</v>
      </c>
      <c r="J229" s="3">
        <v>-1.3878251285819001</v>
      </c>
      <c r="K229" s="3">
        <v>-2.5124064792619798</v>
      </c>
    </row>
    <row r="230" spans="1:11" ht="15" customHeight="1" x14ac:dyDescent="0.2">
      <c r="A230" s="8">
        <v>45733</v>
      </c>
      <c r="B230" s="6">
        <v>136.1</v>
      </c>
      <c r="C230" s="7">
        <v>739983</v>
      </c>
      <c r="D230" s="6">
        <v>1.42335494448169</v>
      </c>
      <c r="E230" s="6">
        <v>133.78</v>
      </c>
      <c r="F230" s="6">
        <v>133.78</v>
      </c>
      <c r="G230" s="6">
        <v>136.57</v>
      </c>
      <c r="H230" s="6">
        <v>136.156261</v>
      </c>
      <c r="I230" s="6">
        <v>136.1</v>
      </c>
      <c r="J230" s="6">
        <v>1.42335494448169</v>
      </c>
      <c r="K230" s="6">
        <v>-1.14040822256119</v>
      </c>
    </row>
    <row r="231" spans="1:11" ht="15" customHeight="1" x14ac:dyDescent="0.2">
      <c r="A231" s="5">
        <v>45730</v>
      </c>
      <c r="B231" s="3">
        <v>134.19</v>
      </c>
      <c r="C231" s="4">
        <v>989411</v>
      </c>
      <c r="D231" s="3">
        <v>0.78864353312304503</v>
      </c>
      <c r="E231" s="3">
        <v>133.9</v>
      </c>
      <c r="F231" s="3">
        <v>133.38</v>
      </c>
      <c r="G231" s="3">
        <v>135.01</v>
      </c>
      <c r="H231" s="3">
        <v>134.23012299999999</v>
      </c>
      <c r="I231" s="3">
        <v>134.19</v>
      </c>
      <c r="J231" s="3">
        <v>0.78864353312304503</v>
      </c>
      <c r="K231" s="3">
        <v>-2.5277838308999701</v>
      </c>
    </row>
    <row r="232" spans="1:11" ht="15" customHeight="1" x14ac:dyDescent="0.2">
      <c r="A232" s="8">
        <v>45729</v>
      </c>
      <c r="B232" s="6">
        <v>133.13999999999999</v>
      </c>
      <c r="C232" s="7">
        <v>1225539</v>
      </c>
      <c r="D232" s="6">
        <v>-0.82681564245811101</v>
      </c>
      <c r="E232" s="6">
        <v>134.22999999999999</v>
      </c>
      <c r="F232" s="6">
        <v>132.47999999999999</v>
      </c>
      <c r="G232" s="6">
        <v>135.47999999999999</v>
      </c>
      <c r="H232" s="6">
        <v>133.159346</v>
      </c>
      <c r="I232" s="6">
        <v>133.13999999999999</v>
      </c>
      <c r="J232" s="6">
        <v>-0.82681564245811101</v>
      </c>
      <c r="K232" s="6">
        <v>-3.29047722815428</v>
      </c>
    </row>
    <row r="233" spans="1:11" ht="15" customHeight="1" x14ac:dyDescent="0.2">
      <c r="A233" s="5">
        <v>45728</v>
      </c>
      <c r="B233" s="3">
        <v>134.25</v>
      </c>
      <c r="C233" s="4">
        <v>1190259</v>
      </c>
      <c r="D233" s="3">
        <v>0.194044331666543</v>
      </c>
      <c r="E233" s="3">
        <v>134.16999999999999</v>
      </c>
      <c r="F233" s="3">
        <v>133.16999999999999</v>
      </c>
      <c r="G233" s="3">
        <v>134.97999999999999</v>
      </c>
      <c r="H233" s="3">
        <v>134.30002300000001</v>
      </c>
      <c r="I233" s="3">
        <v>134.25</v>
      </c>
      <c r="J233" s="3">
        <v>0.194044331666543</v>
      </c>
      <c r="K233" s="3">
        <v>-2.4842013510568601</v>
      </c>
    </row>
    <row r="234" spans="1:11" ht="15" customHeight="1" x14ac:dyDescent="0.2">
      <c r="A234" s="8">
        <v>45727</v>
      </c>
      <c r="B234" s="6">
        <v>133.99</v>
      </c>
      <c r="C234" s="7">
        <v>1634431</v>
      </c>
      <c r="D234" s="6">
        <v>-1.3618963486454601</v>
      </c>
      <c r="E234" s="6">
        <v>135.58000000000001</v>
      </c>
      <c r="F234" s="6">
        <v>132.12</v>
      </c>
      <c r="G234" s="6">
        <v>135.69999999999999</v>
      </c>
      <c r="H234" s="6">
        <v>134.00175400000001</v>
      </c>
      <c r="I234" s="6">
        <v>133.99</v>
      </c>
      <c r="J234" s="6">
        <v>-1.3618963486454601</v>
      </c>
      <c r="K234" s="6">
        <v>-2.6730587637103</v>
      </c>
    </row>
    <row r="235" spans="1:11" ht="15" customHeight="1" x14ac:dyDescent="0.2">
      <c r="A235" s="5">
        <v>45726</v>
      </c>
      <c r="B235" s="3">
        <v>135.84</v>
      </c>
      <c r="C235" s="4">
        <v>1232416</v>
      </c>
      <c r="D235" s="3">
        <v>-0.81051478641839203</v>
      </c>
      <c r="E235" s="3">
        <v>135.33000000000001</v>
      </c>
      <c r="F235" s="3">
        <v>135.07</v>
      </c>
      <c r="G235" s="3">
        <v>137.57</v>
      </c>
      <c r="H235" s="3">
        <v>135.84870900000001</v>
      </c>
      <c r="I235" s="3">
        <v>135.84</v>
      </c>
      <c r="J235" s="3">
        <v>-0.81051478641839203</v>
      </c>
      <c r="K235" s="3">
        <v>-1.3292656352146299</v>
      </c>
    </row>
    <row r="236" spans="1:11" ht="15" customHeight="1" x14ac:dyDescent="0.2">
      <c r="A236" s="8">
        <v>45723</v>
      </c>
      <c r="B236" s="6">
        <v>136.94999999999999</v>
      </c>
      <c r="C236" s="7">
        <v>1054623</v>
      </c>
      <c r="D236" s="6">
        <v>0.54327876073707504</v>
      </c>
      <c r="E236" s="6">
        <v>135.82</v>
      </c>
      <c r="F236" s="6">
        <v>135.44999999999999</v>
      </c>
      <c r="G236" s="6">
        <v>138.29</v>
      </c>
      <c r="H236" s="6">
        <v>136.83161699999999</v>
      </c>
      <c r="I236" s="6">
        <v>136.94999999999999</v>
      </c>
      <c r="J236" s="6">
        <v>0.54327876073707504</v>
      </c>
      <c r="K236" s="6">
        <v>-0.52298975811723603</v>
      </c>
    </row>
    <row r="237" spans="1:11" ht="15" customHeight="1" x14ac:dyDescent="0.2">
      <c r="A237" s="5">
        <v>45722</v>
      </c>
      <c r="B237" s="3">
        <v>136.21</v>
      </c>
      <c r="C237" s="4">
        <v>801727</v>
      </c>
      <c r="D237" s="3">
        <v>-0.424007602894938</v>
      </c>
      <c r="E237" s="3">
        <v>135.36000000000001</v>
      </c>
      <c r="F237" s="3">
        <v>135.07</v>
      </c>
      <c r="G237" s="3">
        <v>137.26</v>
      </c>
      <c r="H237" s="3">
        <v>136.13872599999999</v>
      </c>
      <c r="I237" s="3">
        <v>136.21</v>
      </c>
      <c r="J237" s="3">
        <v>-0.424007602894938</v>
      </c>
      <c r="K237" s="3">
        <v>-1.06050700951549</v>
      </c>
    </row>
    <row r="238" spans="1:11" ht="15" customHeight="1" x14ac:dyDescent="0.2">
      <c r="A238" s="8">
        <v>45721</v>
      </c>
      <c r="B238" s="6">
        <v>136.79</v>
      </c>
      <c r="C238" s="7">
        <v>845672</v>
      </c>
      <c r="D238" s="6">
        <v>1.8085739803512799</v>
      </c>
      <c r="E238" s="6">
        <v>134.35</v>
      </c>
      <c r="F238" s="6">
        <v>134.30000000000001</v>
      </c>
      <c r="G238" s="6">
        <v>137.13</v>
      </c>
      <c r="H238" s="6">
        <v>136.80103099999999</v>
      </c>
      <c r="I238" s="6">
        <v>136.79</v>
      </c>
      <c r="J238" s="6">
        <v>1.8085739803512799</v>
      </c>
      <c r="K238" s="6">
        <v>-0.63920970436550795</v>
      </c>
    </row>
    <row r="239" spans="1:11" ht="15" customHeight="1" x14ac:dyDescent="0.2">
      <c r="A239" s="5">
        <v>45720</v>
      </c>
      <c r="B239" s="3">
        <v>134.36000000000001</v>
      </c>
      <c r="C239" s="4">
        <v>1871052</v>
      </c>
      <c r="D239" s="3">
        <v>8.9392133492260897E-2</v>
      </c>
      <c r="E239" s="3">
        <v>133.51</v>
      </c>
      <c r="F239" s="3">
        <v>132.74</v>
      </c>
      <c r="G239" s="3">
        <v>135.5</v>
      </c>
      <c r="H239" s="3">
        <v>134.279842</v>
      </c>
      <c r="I239" s="3">
        <v>134.36000000000001</v>
      </c>
      <c r="J239" s="3">
        <v>8.9392133492260897E-2</v>
      </c>
      <c r="K239" s="3">
        <v>-2.4043001380111599</v>
      </c>
    </row>
    <row r="240" spans="1:11" ht="15" customHeight="1" x14ac:dyDescent="0.2">
      <c r="A240" s="8">
        <v>45719</v>
      </c>
      <c r="B240" s="6">
        <v>134.24</v>
      </c>
      <c r="C240" s="7">
        <v>1599345</v>
      </c>
      <c r="D240" s="6">
        <v>-2.03605049989052</v>
      </c>
      <c r="E240" s="6">
        <v>137.26</v>
      </c>
      <c r="F240" s="6">
        <v>133.69999999999999</v>
      </c>
      <c r="G240" s="6">
        <v>137.94999999999999</v>
      </c>
      <c r="H240" s="6">
        <v>134.252961</v>
      </c>
      <c r="I240" s="6">
        <v>134.24</v>
      </c>
      <c r="J240" s="6">
        <v>-2.03605049989052</v>
      </c>
      <c r="K240" s="6">
        <v>-2.49146509769737</v>
      </c>
    </row>
    <row r="241" spans="1:11" ht="15" customHeight="1" x14ac:dyDescent="0.2">
      <c r="A241" s="5">
        <v>45716</v>
      </c>
      <c r="B241" s="3">
        <v>137.03</v>
      </c>
      <c r="C241" s="4">
        <v>1354141</v>
      </c>
      <c r="D241" s="3">
        <v>1.1440803070563901</v>
      </c>
      <c r="E241" s="3">
        <v>135.09200000000001</v>
      </c>
      <c r="F241" s="3">
        <v>134.93</v>
      </c>
      <c r="G241" s="3">
        <v>137.09</v>
      </c>
      <c r="H241" s="3">
        <v>137.03347099999999</v>
      </c>
      <c r="I241" s="3">
        <v>137.03</v>
      </c>
      <c r="J241" s="3">
        <v>1.1440803070563901</v>
      </c>
      <c r="K241" s="3">
        <v>-0.46487978499308902</v>
      </c>
    </row>
    <row r="242" spans="1:11" ht="15" customHeight="1" x14ac:dyDescent="0.2">
      <c r="A242" s="8">
        <v>45715</v>
      </c>
      <c r="B242" s="6">
        <v>135.47999999999999</v>
      </c>
      <c r="C242" s="7">
        <v>1234368</v>
      </c>
      <c r="D242" s="6">
        <v>-1.1383537653239899</v>
      </c>
      <c r="E242" s="6">
        <v>136.94999999999999</v>
      </c>
      <c r="F242" s="6">
        <v>135.41999999999999</v>
      </c>
      <c r="G242" s="6">
        <v>138.46</v>
      </c>
      <c r="H242" s="6">
        <v>135.44580999999999</v>
      </c>
      <c r="I242" s="6">
        <v>135.47999999999999</v>
      </c>
      <c r="J242" s="6">
        <v>-1.1383537653239899</v>
      </c>
      <c r="K242" s="6">
        <v>-1.5907605142732599</v>
      </c>
    </row>
    <row r="243" spans="1:11" ht="15" customHeight="1" x14ac:dyDescent="0.2">
      <c r="A243" s="5">
        <v>45714</v>
      </c>
      <c r="B243" s="3">
        <v>137.04</v>
      </c>
      <c r="C243" s="4">
        <v>649273</v>
      </c>
      <c r="D243" s="3">
        <v>-0.59480632525752397</v>
      </c>
      <c r="E243" s="3">
        <v>137.81</v>
      </c>
      <c r="F243" s="3">
        <v>136.6</v>
      </c>
      <c r="G243" s="3">
        <v>138.80000000000001</v>
      </c>
      <c r="H243" s="3">
        <v>137.00636</v>
      </c>
      <c r="I243" s="3">
        <v>137.04</v>
      </c>
      <c r="J243" s="3">
        <v>-0.59480632525752397</v>
      </c>
      <c r="K243" s="3">
        <v>-0.45761603835257902</v>
      </c>
    </row>
    <row r="244" spans="1:11" ht="15" customHeight="1" x14ac:dyDescent="0.2">
      <c r="A244" s="8">
        <v>45713</v>
      </c>
      <c r="B244" s="6">
        <v>137.86000000000001</v>
      </c>
      <c r="C244" s="7">
        <v>837485</v>
      </c>
      <c r="D244" s="6">
        <v>-0.63427994810436505</v>
      </c>
      <c r="E244" s="6">
        <v>138.78</v>
      </c>
      <c r="F244" s="6">
        <v>137.0001</v>
      </c>
      <c r="G244" s="6">
        <v>139.34</v>
      </c>
      <c r="H244" s="6">
        <v>137.800915</v>
      </c>
      <c r="I244" s="6">
        <v>137.86000000000001</v>
      </c>
      <c r="J244" s="6">
        <v>-0.63427994810436505</v>
      </c>
      <c r="K244" s="6">
        <v>0.13801118616984501</v>
      </c>
    </row>
    <row r="245" spans="1:11" ht="15" customHeight="1" x14ac:dyDescent="0.2">
      <c r="A245" s="5">
        <v>45712</v>
      </c>
      <c r="B245" s="3">
        <v>138.74</v>
      </c>
      <c r="C245" s="4">
        <v>798700</v>
      </c>
      <c r="D245" s="3">
        <v>-0.122381398027493</v>
      </c>
      <c r="E245" s="3">
        <v>139.06</v>
      </c>
      <c r="F245" s="3">
        <v>138.72</v>
      </c>
      <c r="G245" s="3">
        <v>140.185</v>
      </c>
      <c r="H245" s="3">
        <v>138.721386</v>
      </c>
      <c r="I245" s="3">
        <v>138.74</v>
      </c>
      <c r="J245" s="3">
        <v>-0.122381398027493</v>
      </c>
      <c r="K245" s="3">
        <v>0.77722089053535304</v>
      </c>
    </row>
    <row r="246" spans="1:11" ht="15" customHeight="1" x14ac:dyDescent="0.2">
      <c r="A246" s="8">
        <v>45709</v>
      </c>
      <c r="B246" s="6">
        <v>138.91</v>
      </c>
      <c r="C246" s="7">
        <v>1258990</v>
      </c>
      <c r="D246" s="6">
        <v>-0.37294699849387197</v>
      </c>
      <c r="E246" s="6">
        <v>140.03</v>
      </c>
      <c r="F246" s="6">
        <v>138.78</v>
      </c>
      <c r="G246" s="6">
        <v>140.72999999999999</v>
      </c>
      <c r="H246" s="6">
        <v>139.037813</v>
      </c>
      <c r="I246" s="6">
        <v>138.91</v>
      </c>
      <c r="J246" s="6">
        <v>-0.37294699849387197</v>
      </c>
      <c r="K246" s="6">
        <v>0.90070458342413595</v>
      </c>
    </row>
    <row r="247" spans="1:11" ht="15" customHeight="1" x14ac:dyDescent="0.2">
      <c r="A247" s="5">
        <v>45708</v>
      </c>
      <c r="B247" s="3">
        <v>139.43</v>
      </c>
      <c r="C247" s="4">
        <v>1439251</v>
      </c>
      <c r="D247" s="3">
        <v>0.497333141127276</v>
      </c>
      <c r="E247" s="3">
        <v>139.18</v>
      </c>
      <c r="F247" s="3">
        <v>138.38999999999999</v>
      </c>
      <c r="G247" s="3">
        <v>139.61000000000001</v>
      </c>
      <c r="H247" s="3">
        <v>139.44622899999999</v>
      </c>
      <c r="I247" s="3">
        <v>139.43</v>
      </c>
      <c r="J247" s="3">
        <v>0.497333141127276</v>
      </c>
      <c r="K247" s="3">
        <v>1.2784194087310301</v>
      </c>
    </row>
    <row r="248" spans="1:11" ht="15" customHeight="1" x14ac:dyDescent="0.2">
      <c r="A248" s="8">
        <v>45707</v>
      </c>
      <c r="B248" s="6">
        <v>138.74</v>
      </c>
      <c r="C248" s="7">
        <v>995996</v>
      </c>
      <c r="D248" s="6">
        <v>1.18882648967981</v>
      </c>
      <c r="E248" s="6">
        <v>137.05000000000001</v>
      </c>
      <c r="F248" s="6">
        <v>136.85499999999999</v>
      </c>
      <c r="G248" s="6">
        <v>138.83000000000001</v>
      </c>
      <c r="H248" s="6">
        <v>138.73578000000001</v>
      </c>
      <c r="I248" s="6">
        <v>138.74</v>
      </c>
      <c r="J248" s="6">
        <v>1.18882648967981</v>
      </c>
      <c r="K248" s="6">
        <v>0.77722089053535304</v>
      </c>
    </row>
    <row r="249" spans="1:11" ht="15" customHeight="1" x14ac:dyDescent="0.2">
      <c r="A249" s="5">
        <v>45706</v>
      </c>
      <c r="B249" s="3">
        <v>137.11000000000001</v>
      </c>
      <c r="C249" s="4">
        <v>1034199</v>
      </c>
      <c r="D249" s="3">
        <v>0.410106188209447</v>
      </c>
      <c r="E249" s="3">
        <v>136.94</v>
      </c>
      <c r="F249" s="3">
        <v>136.57</v>
      </c>
      <c r="G249" s="3">
        <v>138.41</v>
      </c>
      <c r="H249" s="3">
        <v>137.155382</v>
      </c>
      <c r="I249" s="3">
        <v>137.11000000000001</v>
      </c>
      <c r="J249" s="3">
        <v>0.410106188209447</v>
      </c>
      <c r="K249" s="3">
        <v>-0.40676981186894301</v>
      </c>
    </row>
    <row r="250" spans="1:11" ht="15" customHeight="1" x14ac:dyDescent="0.2">
      <c r="A250" s="8">
        <v>45702</v>
      </c>
      <c r="B250" s="6">
        <v>136.55000000000001</v>
      </c>
      <c r="C250" s="7">
        <v>1190781</v>
      </c>
      <c r="D250" s="6">
        <v>-0.35755983654406298</v>
      </c>
      <c r="E250" s="6">
        <v>137.29</v>
      </c>
      <c r="F250" s="6">
        <v>136.34</v>
      </c>
      <c r="G250" s="6">
        <v>138.57</v>
      </c>
      <c r="H250" s="6">
        <v>136.59599800000001</v>
      </c>
      <c r="I250" s="6">
        <v>136.55000000000001</v>
      </c>
      <c r="J250" s="6">
        <v>-0.35755983654406298</v>
      </c>
      <c r="K250" s="6">
        <v>-0.813539623737906</v>
      </c>
    </row>
    <row r="251" spans="1:11" ht="15" customHeight="1" x14ac:dyDescent="0.2">
      <c r="A251" s="5">
        <v>45701</v>
      </c>
      <c r="B251" s="3">
        <v>137.04</v>
      </c>
      <c r="C251" s="4">
        <v>1176608</v>
      </c>
      <c r="D251" s="3">
        <v>1.1589281759799099</v>
      </c>
      <c r="E251" s="3">
        <v>135.83000000000001</v>
      </c>
      <c r="F251" s="3">
        <v>134.94999999999999</v>
      </c>
      <c r="G251" s="3">
        <v>137.18</v>
      </c>
      <c r="H251" s="3">
        <v>137.045694</v>
      </c>
      <c r="I251" s="3">
        <v>137.04</v>
      </c>
      <c r="J251" s="3">
        <v>1.1589281759799099</v>
      </c>
      <c r="K251" s="3">
        <v>-0.45761603835257902</v>
      </c>
    </row>
    <row r="252" spans="1:11" ht="15" customHeight="1" x14ac:dyDescent="0.2">
      <c r="A252" s="8">
        <v>45700</v>
      </c>
      <c r="B252" s="6">
        <v>135.47</v>
      </c>
      <c r="C252" s="7">
        <v>1792373</v>
      </c>
      <c r="D252" s="6">
        <v>0.91626936829558503</v>
      </c>
      <c r="E252" s="6">
        <v>133.31</v>
      </c>
      <c r="F252" s="6">
        <v>133.04</v>
      </c>
      <c r="G252" s="6">
        <v>135.74</v>
      </c>
      <c r="H252" s="6">
        <v>135.409323</v>
      </c>
      <c r="I252" s="6">
        <v>135.47</v>
      </c>
      <c r="J252" s="6">
        <v>0.91626936829558503</v>
      </c>
      <c r="K252" s="6">
        <v>-1.59802426091377</v>
      </c>
    </row>
    <row r="253" spans="1:11" ht="15" customHeight="1" x14ac:dyDescent="0.2">
      <c r="A253" s="5">
        <v>45699</v>
      </c>
      <c r="B253" s="3">
        <v>134.24</v>
      </c>
      <c r="C253" s="4">
        <v>1331087</v>
      </c>
      <c r="D253" s="3">
        <v>-1.4028644876973799</v>
      </c>
      <c r="E253" s="3">
        <v>134.75</v>
      </c>
      <c r="F253" s="3">
        <v>133.89099999999999</v>
      </c>
      <c r="G253" s="3">
        <v>134.97</v>
      </c>
      <c r="H253" s="3">
        <v>134.222646</v>
      </c>
      <c r="I253" s="3">
        <v>134.24</v>
      </c>
      <c r="J253" s="3">
        <v>-1.4028644876973799</v>
      </c>
      <c r="K253" s="3">
        <v>-2.49146509769737</v>
      </c>
    </row>
    <row r="254" spans="1:11" ht="15" customHeight="1" x14ac:dyDescent="0.2">
      <c r="A254" s="8">
        <v>45698</v>
      </c>
      <c r="B254" s="6">
        <v>136.15</v>
      </c>
      <c r="C254" s="7">
        <v>1295815</v>
      </c>
      <c r="D254" s="6">
        <v>-1.10408948935859</v>
      </c>
      <c r="E254" s="6">
        <v>138.07</v>
      </c>
      <c r="F254" s="6">
        <v>135.84</v>
      </c>
      <c r="G254" s="6">
        <v>138.24</v>
      </c>
      <c r="H254" s="6">
        <v>136.15213700000001</v>
      </c>
      <c r="I254" s="6">
        <v>136.15</v>
      </c>
      <c r="J254" s="6">
        <v>-1.10408948935859</v>
      </c>
      <c r="K254" s="6">
        <v>-1.10408948935859</v>
      </c>
    </row>
    <row r="255" spans="1:11" ht="15" customHeight="1" x14ac:dyDescent="0.2">
      <c r="A255" s="5">
        <v>45695</v>
      </c>
      <c r="B255" s="3">
        <v>137.66999999999999</v>
      </c>
      <c r="C255" s="4">
        <v>2195028</v>
      </c>
      <c r="D255" s="3"/>
      <c r="E255" s="3">
        <v>140.33000000000001</v>
      </c>
      <c r="F255" s="3">
        <v>137.63</v>
      </c>
      <c r="G255" s="3">
        <v>140.66999999999999</v>
      </c>
      <c r="H255" s="3">
        <v>137.64966000000001</v>
      </c>
      <c r="I255" s="3">
        <v>137.66999999999999</v>
      </c>
      <c r="J255" s="3"/>
      <c r="K25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VaR port long only</vt:lpstr>
      <vt:lpstr>VaR port long &amp; short</vt:lpstr>
      <vt:lpstr>Correl 1.0</vt:lpstr>
      <vt:lpstr>SOXX</vt:lpstr>
      <vt:lpstr>IBB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2026-02-09T23:45:25Z</dcterms:created>
  <dcterms:modified xsi:type="dcterms:W3CDTF">2026-03-02T23:10:59Z</dcterms:modified>
</cp:coreProperties>
</file>