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06876cc2438bd37/Desktop/TRABAJO/UNI/8VO SEMESTRE/ADMINISTRACION_RIESGOS/Soluciones en Excel/"/>
    </mc:Choice>
  </mc:AlternateContent>
  <xr:revisionPtr revIDLastSave="13" documentId="13_ncr:1_{7FB457F6-E2CD-4EB1-A287-1187F93A0EA8}" xr6:coauthVersionLast="47" xr6:coauthVersionMax="47" xr10:uidLastSave="{CB72653C-AE08-48BA-AEA8-B418CABD2C1D}"/>
  <bookViews>
    <workbookView xWindow="-23148" yWindow="-108" windowWidth="23256" windowHeight="12456" xr2:uid="{00000000-000D-0000-FFFF-FFFF00000000}"/>
  </bookViews>
  <sheets>
    <sheet name="Nat Gas Henry Hub" sheetId="2" r:id="rId1"/>
    <sheet name="Volatilidad y liquidez-spread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2" l="1"/>
  <c r="J4" i="2"/>
  <c r="M5" i="2"/>
  <c r="J10" i="2"/>
  <c r="K4" i="3" l="1"/>
  <c r="M4" i="2"/>
  <c r="O9" i="2" s="1"/>
  <c r="J233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M11" i="2"/>
  <c r="M13" i="2"/>
  <c r="M12" i="2"/>
  <c r="J5" i="2"/>
  <c r="J6" i="2"/>
  <c r="J7" i="2"/>
  <c r="J8" i="2"/>
  <c r="J9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</calcChain>
</file>

<file path=xl/sharedStrings.xml><?xml version="1.0" encoding="utf-8"?>
<sst xmlns="http://schemas.openxmlformats.org/spreadsheetml/2006/main" count="36" uniqueCount="25">
  <si>
    <t>Price History: NG00-USA</t>
  </si>
  <si>
    <t>Date</t>
  </si>
  <si>
    <t>Last</t>
  </si>
  <si>
    <t>Settlement Price</t>
  </si>
  <si>
    <t>Change</t>
  </si>
  <si>
    <t>% Change</t>
  </si>
  <si>
    <t>Bid</t>
  </si>
  <si>
    <t>Ask</t>
  </si>
  <si>
    <t>Open Interest</t>
  </si>
  <si>
    <t>CVol</t>
  </si>
  <si>
    <t>spread en%</t>
  </si>
  <si>
    <t>promedio del spread</t>
  </si>
  <si>
    <t>desvest (sigma) del spread</t>
  </si>
  <si>
    <t>L-VaR = VaR + .5*(spreadpromedio + Z*sigma-del-spread)</t>
  </si>
  <si>
    <t>solo el costo de liquidez (riesgo de liquidez)</t>
  </si>
  <si>
    <t>Valor Z si nc del 99%</t>
  </si>
  <si>
    <t>Valor Z si nc del 97.5%</t>
  </si>
  <si>
    <t>Valor Z si nc del 95%</t>
  </si>
  <si>
    <t>No paramétrico sino empirico</t>
  </si>
  <si>
    <t>valor 99% más extremo de la dist</t>
  </si>
  <si>
    <t>volatilidad (sigma)</t>
  </si>
  <si>
    <t>en clase había usado 250 pero se usa 250 si uso la función k.esimo.menor</t>
  </si>
  <si>
    <t>si uso k.esimo.mayor uso 3</t>
  </si>
  <si>
    <t>el numero es la cantidad de datos que corresponde al nivel de confianza</t>
  </si>
  <si>
    <t>al total de datos saca el 1% o 5% o 99% o 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</si>
</sst>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/>
    </xf>
    <xf numFmtId="164" fontId="0" fillId="3" borderId="0" xfId="0" applyNumberFormat="1" applyFill="1"/>
    <xf numFmtId="4" fontId="0" fillId="3" borderId="0" xfId="0" applyNumberFormat="1" applyFill="1" applyAlignment="1">
      <alignment horizontal="right"/>
    </xf>
    <xf numFmtId="0" fontId="0" fillId="3" borderId="0" xfId="0" applyFill="1" applyAlignment="1">
      <alignment horizontal="right"/>
    </xf>
    <xf numFmtId="164" fontId="0" fillId="0" borderId="0" xfId="0" applyNumberFormat="1"/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0" fontId="0" fillId="0" borderId="0" xfId="1" applyNumberFormat="1" applyFont="1"/>
    <xf numFmtId="10" fontId="0" fillId="0" borderId="0" xfId="0" applyNumberFormat="1"/>
    <xf numFmtId="0" fontId="3" fillId="0" borderId="0" xfId="0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Volatilidad &amp; Liquidez (falta</a:t>
            </a:r>
            <a:r>
              <a:rPr lang="es-MX" baseline="0"/>
              <a:t> de)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'Volatilidad y liquidez-spread'!$K$3</c:f>
              <c:strCache>
                <c:ptCount val="1"/>
                <c:pt idx="0">
                  <c:v>volatilidad (sigma)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'Volatilidad y liquidez-spread'!$A$4:$A$234</c:f>
              <c:numCache>
                <c:formatCode>mm/dd/yy</c:formatCode>
                <c:ptCount val="231"/>
                <c:pt idx="0">
                  <c:v>46050</c:v>
                </c:pt>
                <c:pt idx="1">
                  <c:v>46049</c:v>
                </c:pt>
                <c:pt idx="2">
                  <c:v>46048</c:v>
                </c:pt>
                <c:pt idx="3">
                  <c:v>46045</c:v>
                </c:pt>
                <c:pt idx="4">
                  <c:v>46044</c:v>
                </c:pt>
                <c:pt idx="5">
                  <c:v>46043</c:v>
                </c:pt>
                <c:pt idx="6">
                  <c:v>46042</c:v>
                </c:pt>
                <c:pt idx="7">
                  <c:v>46038</c:v>
                </c:pt>
                <c:pt idx="8">
                  <c:v>46037</c:v>
                </c:pt>
                <c:pt idx="9">
                  <c:v>46036</c:v>
                </c:pt>
                <c:pt idx="10">
                  <c:v>46035</c:v>
                </c:pt>
                <c:pt idx="11">
                  <c:v>46034</c:v>
                </c:pt>
                <c:pt idx="12">
                  <c:v>46031</c:v>
                </c:pt>
                <c:pt idx="13">
                  <c:v>46030</c:v>
                </c:pt>
                <c:pt idx="14">
                  <c:v>46029</c:v>
                </c:pt>
                <c:pt idx="15">
                  <c:v>46028</c:v>
                </c:pt>
                <c:pt idx="16">
                  <c:v>46027</c:v>
                </c:pt>
                <c:pt idx="17">
                  <c:v>46024</c:v>
                </c:pt>
                <c:pt idx="18">
                  <c:v>46022</c:v>
                </c:pt>
                <c:pt idx="19">
                  <c:v>46021</c:v>
                </c:pt>
                <c:pt idx="20">
                  <c:v>46020</c:v>
                </c:pt>
                <c:pt idx="21">
                  <c:v>46017</c:v>
                </c:pt>
                <c:pt idx="22">
                  <c:v>46015</c:v>
                </c:pt>
                <c:pt idx="23">
                  <c:v>46014</c:v>
                </c:pt>
                <c:pt idx="24">
                  <c:v>46013</c:v>
                </c:pt>
                <c:pt idx="25">
                  <c:v>46010</c:v>
                </c:pt>
                <c:pt idx="26">
                  <c:v>46009</c:v>
                </c:pt>
                <c:pt idx="27">
                  <c:v>46008</c:v>
                </c:pt>
                <c:pt idx="28">
                  <c:v>46007</c:v>
                </c:pt>
                <c:pt idx="29">
                  <c:v>46006</c:v>
                </c:pt>
                <c:pt idx="30">
                  <c:v>46003</c:v>
                </c:pt>
                <c:pt idx="31">
                  <c:v>46002</c:v>
                </c:pt>
                <c:pt idx="32">
                  <c:v>46001</c:v>
                </c:pt>
                <c:pt idx="33">
                  <c:v>46000</c:v>
                </c:pt>
                <c:pt idx="34">
                  <c:v>45999</c:v>
                </c:pt>
                <c:pt idx="35">
                  <c:v>45996</c:v>
                </c:pt>
                <c:pt idx="36">
                  <c:v>45995</c:v>
                </c:pt>
                <c:pt idx="37">
                  <c:v>45994</c:v>
                </c:pt>
                <c:pt idx="38">
                  <c:v>45993</c:v>
                </c:pt>
                <c:pt idx="39">
                  <c:v>45992</c:v>
                </c:pt>
                <c:pt idx="40">
                  <c:v>45989</c:v>
                </c:pt>
                <c:pt idx="41">
                  <c:v>45987</c:v>
                </c:pt>
                <c:pt idx="42">
                  <c:v>45986</c:v>
                </c:pt>
                <c:pt idx="43">
                  <c:v>45985</c:v>
                </c:pt>
                <c:pt idx="44">
                  <c:v>45982</c:v>
                </c:pt>
                <c:pt idx="45">
                  <c:v>45981</c:v>
                </c:pt>
                <c:pt idx="46">
                  <c:v>45980</c:v>
                </c:pt>
                <c:pt idx="47">
                  <c:v>45979</c:v>
                </c:pt>
                <c:pt idx="48">
                  <c:v>45978</c:v>
                </c:pt>
                <c:pt idx="49">
                  <c:v>45975</c:v>
                </c:pt>
                <c:pt idx="50">
                  <c:v>45974</c:v>
                </c:pt>
                <c:pt idx="51">
                  <c:v>45973</c:v>
                </c:pt>
                <c:pt idx="52">
                  <c:v>45972</c:v>
                </c:pt>
                <c:pt idx="53">
                  <c:v>45971</c:v>
                </c:pt>
                <c:pt idx="54">
                  <c:v>45968</c:v>
                </c:pt>
                <c:pt idx="55">
                  <c:v>45967</c:v>
                </c:pt>
                <c:pt idx="56">
                  <c:v>45966</c:v>
                </c:pt>
                <c:pt idx="57">
                  <c:v>45965</c:v>
                </c:pt>
                <c:pt idx="58">
                  <c:v>45964</c:v>
                </c:pt>
                <c:pt idx="59">
                  <c:v>45961</c:v>
                </c:pt>
                <c:pt idx="60">
                  <c:v>45960</c:v>
                </c:pt>
                <c:pt idx="61">
                  <c:v>45959</c:v>
                </c:pt>
                <c:pt idx="62">
                  <c:v>45958</c:v>
                </c:pt>
                <c:pt idx="63">
                  <c:v>45957</c:v>
                </c:pt>
                <c:pt idx="64">
                  <c:v>45954</c:v>
                </c:pt>
                <c:pt idx="65">
                  <c:v>45953</c:v>
                </c:pt>
                <c:pt idx="66">
                  <c:v>45952</c:v>
                </c:pt>
                <c:pt idx="67">
                  <c:v>45951</c:v>
                </c:pt>
                <c:pt idx="68">
                  <c:v>45950</c:v>
                </c:pt>
                <c:pt idx="69">
                  <c:v>45947</c:v>
                </c:pt>
                <c:pt idx="70">
                  <c:v>45946</c:v>
                </c:pt>
                <c:pt idx="71">
                  <c:v>45945</c:v>
                </c:pt>
                <c:pt idx="72">
                  <c:v>45944</c:v>
                </c:pt>
                <c:pt idx="73">
                  <c:v>45943</c:v>
                </c:pt>
                <c:pt idx="74">
                  <c:v>45940</c:v>
                </c:pt>
                <c:pt idx="75">
                  <c:v>45939</c:v>
                </c:pt>
                <c:pt idx="76">
                  <c:v>45938</c:v>
                </c:pt>
                <c:pt idx="77">
                  <c:v>45937</c:v>
                </c:pt>
                <c:pt idx="78">
                  <c:v>45936</c:v>
                </c:pt>
                <c:pt idx="79">
                  <c:v>45933</c:v>
                </c:pt>
                <c:pt idx="80">
                  <c:v>45932</c:v>
                </c:pt>
                <c:pt idx="81">
                  <c:v>45931</c:v>
                </c:pt>
                <c:pt idx="82">
                  <c:v>45930</c:v>
                </c:pt>
                <c:pt idx="83">
                  <c:v>45929</c:v>
                </c:pt>
                <c:pt idx="84">
                  <c:v>45926</c:v>
                </c:pt>
                <c:pt idx="85">
                  <c:v>45925</c:v>
                </c:pt>
                <c:pt idx="86">
                  <c:v>45924</c:v>
                </c:pt>
                <c:pt idx="87">
                  <c:v>45923</c:v>
                </c:pt>
                <c:pt idx="88">
                  <c:v>45922</c:v>
                </c:pt>
                <c:pt idx="89">
                  <c:v>45919</c:v>
                </c:pt>
                <c:pt idx="90">
                  <c:v>45918</c:v>
                </c:pt>
                <c:pt idx="91">
                  <c:v>45917</c:v>
                </c:pt>
                <c:pt idx="92">
                  <c:v>45916</c:v>
                </c:pt>
                <c:pt idx="93">
                  <c:v>45915</c:v>
                </c:pt>
                <c:pt idx="94">
                  <c:v>45912</c:v>
                </c:pt>
                <c:pt idx="95">
                  <c:v>45911</c:v>
                </c:pt>
                <c:pt idx="96">
                  <c:v>45910</c:v>
                </c:pt>
                <c:pt idx="97">
                  <c:v>45909</c:v>
                </c:pt>
                <c:pt idx="98">
                  <c:v>45908</c:v>
                </c:pt>
                <c:pt idx="99">
                  <c:v>45905</c:v>
                </c:pt>
                <c:pt idx="100">
                  <c:v>45904</c:v>
                </c:pt>
                <c:pt idx="101">
                  <c:v>45903</c:v>
                </c:pt>
                <c:pt idx="102">
                  <c:v>45902</c:v>
                </c:pt>
                <c:pt idx="103">
                  <c:v>45898</c:v>
                </c:pt>
                <c:pt idx="104">
                  <c:v>45897</c:v>
                </c:pt>
                <c:pt idx="105">
                  <c:v>45896</c:v>
                </c:pt>
                <c:pt idx="106">
                  <c:v>45895</c:v>
                </c:pt>
                <c:pt idx="107">
                  <c:v>45894</c:v>
                </c:pt>
                <c:pt idx="108">
                  <c:v>45891</c:v>
                </c:pt>
                <c:pt idx="109">
                  <c:v>45890</c:v>
                </c:pt>
                <c:pt idx="110">
                  <c:v>45889</c:v>
                </c:pt>
                <c:pt idx="111">
                  <c:v>45888</c:v>
                </c:pt>
                <c:pt idx="112">
                  <c:v>45887</c:v>
                </c:pt>
                <c:pt idx="113">
                  <c:v>45884</c:v>
                </c:pt>
                <c:pt idx="114">
                  <c:v>45883</c:v>
                </c:pt>
                <c:pt idx="115">
                  <c:v>45882</c:v>
                </c:pt>
                <c:pt idx="116">
                  <c:v>45881</c:v>
                </c:pt>
                <c:pt idx="117">
                  <c:v>45880</c:v>
                </c:pt>
                <c:pt idx="118">
                  <c:v>45877</c:v>
                </c:pt>
                <c:pt idx="119">
                  <c:v>45876</c:v>
                </c:pt>
                <c:pt idx="120">
                  <c:v>45875</c:v>
                </c:pt>
                <c:pt idx="121">
                  <c:v>45874</c:v>
                </c:pt>
                <c:pt idx="122">
                  <c:v>45873</c:v>
                </c:pt>
                <c:pt idx="123">
                  <c:v>45870</c:v>
                </c:pt>
                <c:pt idx="124">
                  <c:v>45869</c:v>
                </c:pt>
                <c:pt idx="125">
                  <c:v>45868</c:v>
                </c:pt>
                <c:pt idx="126">
                  <c:v>45867</c:v>
                </c:pt>
                <c:pt idx="127">
                  <c:v>45866</c:v>
                </c:pt>
                <c:pt idx="128">
                  <c:v>45863</c:v>
                </c:pt>
                <c:pt idx="129">
                  <c:v>45862</c:v>
                </c:pt>
                <c:pt idx="130">
                  <c:v>45861</c:v>
                </c:pt>
                <c:pt idx="131">
                  <c:v>45860</c:v>
                </c:pt>
                <c:pt idx="132">
                  <c:v>45859</c:v>
                </c:pt>
                <c:pt idx="133">
                  <c:v>45856</c:v>
                </c:pt>
                <c:pt idx="134">
                  <c:v>45855</c:v>
                </c:pt>
                <c:pt idx="135">
                  <c:v>45854</c:v>
                </c:pt>
                <c:pt idx="136">
                  <c:v>45853</c:v>
                </c:pt>
                <c:pt idx="137">
                  <c:v>45852</c:v>
                </c:pt>
                <c:pt idx="138">
                  <c:v>45849</c:v>
                </c:pt>
                <c:pt idx="139">
                  <c:v>45848</c:v>
                </c:pt>
                <c:pt idx="140">
                  <c:v>45847</c:v>
                </c:pt>
                <c:pt idx="141">
                  <c:v>45846</c:v>
                </c:pt>
                <c:pt idx="142">
                  <c:v>45845</c:v>
                </c:pt>
                <c:pt idx="143">
                  <c:v>45841</c:v>
                </c:pt>
                <c:pt idx="144">
                  <c:v>45840</c:v>
                </c:pt>
                <c:pt idx="145">
                  <c:v>45839</c:v>
                </c:pt>
                <c:pt idx="146">
                  <c:v>45838</c:v>
                </c:pt>
                <c:pt idx="147">
                  <c:v>45835</c:v>
                </c:pt>
                <c:pt idx="148">
                  <c:v>45834</c:v>
                </c:pt>
                <c:pt idx="149">
                  <c:v>45833</c:v>
                </c:pt>
                <c:pt idx="150">
                  <c:v>45832</c:v>
                </c:pt>
                <c:pt idx="151">
                  <c:v>45831</c:v>
                </c:pt>
                <c:pt idx="152">
                  <c:v>45828</c:v>
                </c:pt>
                <c:pt idx="153">
                  <c:v>45826</c:v>
                </c:pt>
                <c:pt idx="154">
                  <c:v>45825</c:v>
                </c:pt>
                <c:pt idx="155">
                  <c:v>45824</c:v>
                </c:pt>
                <c:pt idx="156">
                  <c:v>45821</c:v>
                </c:pt>
                <c:pt idx="157">
                  <c:v>45820</c:v>
                </c:pt>
                <c:pt idx="158">
                  <c:v>45819</c:v>
                </c:pt>
                <c:pt idx="159">
                  <c:v>45818</c:v>
                </c:pt>
                <c:pt idx="160">
                  <c:v>45817</c:v>
                </c:pt>
                <c:pt idx="161">
                  <c:v>45814</c:v>
                </c:pt>
                <c:pt idx="162">
                  <c:v>45813</c:v>
                </c:pt>
                <c:pt idx="163">
                  <c:v>45812</c:v>
                </c:pt>
                <c:pt idx="164">
                  <c:v>45811</c:v>
                </c:pt>
                <c:pt idx="165">
                  <c:v>45810</c:v>
                </c:pt>
                <c:pt idx="166">
                  <c:v>45807</c:v>
                </c:pt>
                <c:pt idx="167">
                  <c:v>45806</c:v>
                </c:pt>
                <c:pt idx="168">
                  <c:v>45805</c:v>
                </c:pt>
                <c:pt idx="169">
                  <c:v>45804</c:v>
                </c:pt>
                <c:pt idx="170">
                  <c:v>45800</c:v>
                </c:pt>
                <c:pt idx="171">
                  <c:v>45799</c:v>
                </c:pt>
                <c:pt idx="172">
                  <c:v>45798</c:v>
                </c:pt>
                <c:pt idx="173">
                  <c:v>45797</c:v>
                </c:pt>
                <c:pt idx="174">
                  <c:v>45796</c:v>
                </c:pt>
                <c:pt idx="175">
                  <c:v>45793</c:v>
                </c:pt>
                <c:pt idx="176">
                  <c:v>45792</c:v>
                </c:pt>
                <c:pt idx="177">
                  <c:v>45791</c:v>
                </c:pt>
                <c:pt idx="178">
                  <c:v>45790</c:v>
                </c:pt>
                <c:pt idx="179">
                  <c:v>45789</c:v>
                </c:pt>
                <c:pt idx="180">
                  <c:v>45786</c:v>
                </c:pt>
                <c:pt idx="181">
                  <c:v>45785</c:v>
                </c:pt>
                <c:pt idx="182">
                  <c:v>45784</c:v>
                </c:pt>
                <c:pt idx="183">
                  <c:v>45783</c:v>
                </c:pt>
                <c:pt idx="184">
                  <c:v>45782</c:v>
                </c:pt>
                <c:pt idx="185">
                  <c:v>45779</c:v>
                </c:pt>
                <c:pt idx="186">
                  <c:v>45778</c:v>
                </c:pt>
                <c:pt idx="187">
                  <c:v>45777</c:v>
                </c:pt>
                <c:pt idx="188">
                  <c:v>45776</c:v>
                </c:pt>
                <c:pt idx="189">
                  <c:v>45775</c:v>
                </c:pt>
                <c:pt idx="190">
                  <c:v>45772</c:v>
                </c:pt>
                <c:pt idx="191">
                  <c:v>45771</c:v>
                </c:pt>
                <c:pt idx="192">
                  <c:v>45770</c:v>
                </c:pt>
                <c:pt idx="193">
                  <c:v>45769</c:v>
                </c:pt>
                <c:pt idx="194">
                  <c:v>45768</c:v>
                </c:pt>
                <c:pt idx="195">
                  <c:v>45764</c:v>
                </c:pt>
                <c:pt idx="196">
                  <c:v>45763</c:v>
                </c:pt>
                <c:pt idx="197">
                  <c:v>45762</c:v>
                </c:pt>
                <c:pt idx="198">
                  <c:v>45761</c:v>
                </c:pt>
                <c:pt idx="199">
                  <c:v>45758</c:v>
                </c:pt>
                <c:pt idx="200">
                  <c:v>45757</c:v>
                </c:pt>
                <c:pt idx="201">
                  <c:v>45756</c:v>
                </c:pt>
                <c:pt idx="202">
                  <c:v>45755</c:v>
                </c:pt>
                <c:pt idx="203">
                  <c:v>45754</c:v>
                </c:pt>
                <c:pt idx="204">
                  <c:v>45751</c:v>
                </c:pt>
                <c:pt idx="205">
                  <c:v>45750</c:v>
                </c:pt>
                <c:pt idx="206">
                  <c:v>45749</c:v>
                </c:pt>
                <c:pt idx="207">
                  <c:v>45748</c:v>
                </c:pt>
                <c:pt idx="208">
                  <c:v>45747</c:v>
                </c:pt>
                <c:pt idx="209">
                  <c:v>45744</c:v>
                </c:pt>
                <c:pt idx="210">
                  <c:v>45743</c:v>
                </c:pt>
                <c:pt idx="211">
                  <c:v>45742</c:v>
                </c:pt>
                <c:pt idx="212">
                  <c:v>45741</c:v>
                </c:pt>
                <c:pt idx="213">
                  <c:v>45740</c:v>
                </c:pt>
                <c:pt idx="214">
                  <c:v>45737</c:v>
                </c:pt>
                <c:pt idx="215">
                  <c:v>45736</c:v>
                </c:pt>
                <c:pt idx="216">
                  <c:v>45735</c:v>
                </c:pt>
                <c:pt idx="217">
                  <c:v>45734</c:v>
                </c:pt>
                <c:pt idx="218">
                  <c:v>45733</c:v>
                </c:pt>
                <c:pt idx="219">
                  <c:v>45730</c:v>
                </c:pt>
                <c:pt idx="220">
                  <c:v>45729</c:v>
                </c:pt>
                <c:pt idx="221">
                  <c:v>45728</c:v>
                </c:pt>
                <c:pt idx="222">
                  <c:v>45727</c:v>
                </c:pt>
                <c:pt idx="223">
                  <c:v>45726</c:v>
                </c:pt>
                <c:pt idx="224">
                  <c:v>45723</c:v>
                </c:pt>
                <c:pt idx="225">
                  <c:v>45722</c:v>
                </c:pt>
                <c:pt idx="226">
                  <c:v>45721</c:v>
                </c:pt>
                <c:pt idx="227">
                  <c:v>45720</c:v>
                </c:pt>
                <c:pt idx="228">
                  <c:v>45719</c:v>
                </c:pt>
                <c:pt idx="229">
                  <c:v>45716</c:v>
                </c:pt>
                <c:pt idx="230">
                  <c:v>45715</c:v>
                </c:pt>
              </c:numCache>
            </c:numRef>
          </c:cat>
          <c:val>
            <c:numRef>
              <c:f>'Volatilidad y liquidez-spread'!$K$4:$K$234</c:f>
              <c:numCache>
                <c:formatCode>General</c:formatCode>
                <c:ptCount val="231"/>
                <c:pt idx="0">
                  <c:v>9.1425171539946497</c:v>
                </c:pt>
                <c:pt idx="1">
                  <c:v>9.1604029858349012</c:v>
                </c:pt>
                <c:pt idx="2">
                  <c:v>9.1871112163912247</c:v>
                </c:pt>
                <c:pt idx="3">
                  <c:v>9.3520906972645221</c:v>
                </c:pt>
                <c:pt idx="4">
                  <c:v>9.3504754204689728</c:v>
                </c:pt>
                <c:pt idx="5">
                  <c:v>9.3568033244293449</c:v>
                </c:pt>
                <c:pt idx="6">
                  <c:v>9.1239609623396127</c:v>
                </c:pt>
                <c:pt idx="7">
                  <c:v>7.906804511871619</c:v>
                </c:pt>
                <c:pt idx="8">
                  <c:v>7.894539518843974</c:v>
                </c:pt>
                <c:pt idx="9">
                  <c:v>7.8966736509889408</c:v>
                </c:pt>
                <c:pt idx="10">
                  <c:v>7.8479638037143307</c:v>
                </c:pt>
                <c:pt idx="11">
                  <c:v>7.9469454191302722</c:v>
                </c:pt>
                <c:pt idx="12">
                  <c:v>7.6225880863862514</c:v>
                </c:pt>
                <c:pt idx="13">
                  <c:v>7.6327729221413678</c:v>
                </c:pt>
                <c:pt idx="14">
                  <c:v>7.703552622141542</c:v>
                </c:pt>
                <c:pt idx="15">
                  <c:v>7.761813128954663</c:v>
                </c:pt>
                <c:pt idx="16">
                  <c:v>7.8054192542109524</c:v>
                </c:pt>
                <c:pt idx="17">
                  <c:v>7.8667046152530071</c:v>
                </c:pt>
                <c:pt idx="18">
                  <c:v>7.8639027564680744</c:v>
                </c:pt>
                <c:pt idx="19">
                  <c:v>7.8172836935296273</c:v>
                </c:pt>
                <c:pt idx="20">
                  <c:v>4.9394825469267207</c:v>
                </c:pt>
                <c:pt idx="21">
                  <c:v>4.6805591833366718</c:v>
                </c:pt>
                <c:pt idx="22">
                  <c:v>4.7100935691258536</c:v>
                </c:pt>
                <c:pt idx="23">
                  <c:v>4.6535972641496377</c:v>
                </c:pt>
                <c:pt idx="24">
                  <c:v>3.885293235012973</c:v>
                </c:pt>
                <c:pt idx="25">
                  <c:v>3.892336082322406</c:v>
                </c:pt>
                <c:pt idx="26">
                  <c:v>3.9597773996669008</c:v>
                </c:pt>
                <c:pt idx="27">
                  <c:v>4.0298277028918523</c:v>
                </c:pt>
                <c:pt idx="28">
                  <c:v>3.9660411136889522</c:v>
                </c:pt>
                <c:pt idx="29">
                  <c:v>3.9348258825427833</c:v>
                </c:pt>
                <c:pt idx="30">
                  <c:v>3.9689659395982657</c:v>
                </c:pt>
                <c:pt idx="31">
                  <c:v>3.9365231535760103</c:v>
                </c:pt>
                <c:pt idx="32">
                  <c:v>3.6765003665261475</c:v>
                </c:pt>
                <c:pt idx="33">
                  <c:v>3.676518496562557</c:v>
                </c:pt>
                <c:pt idx="34">
                  <c:v>3.2989061422796446</c:v>
                </c:pt>
                <c:pt idx="35">
                  <c:v>2.8040300604822295</c:v>
                </c:pt>
                <c:pt idx="36">
                  <c:v>2.763613748577753</c:v>
                </c:pt>
                <c:pt idx="37">
                  <c:v>2.7678232105022427</c:v>
                </c:pt>
                <c:pt idx="38">
                  <c:v>2.7589946797080205</c:v>
                </c:pt>
                <c:pt idx="39">
                  <c:v>2.8050892459539241</c:v>
                </c:pt>
                <c:pt idx="40">
                  <c:v>6.0066343517595149</c:v>
                </c:pt>
                <c:pt idx="41">
                  <c:v>5.918481176635991</c:v>
                </c:pt>
                <c:pt idx="42">
                  <c:v>6.0043303339627343</c:v>
                </c:pt>
                <c:pt idx="43">
                  <c:v>5.8841315008498496</c:v>
                </c:pt>
                <c:pt idx="44">
                  <c:v>5.8753882753488682</c:v>
                </c:pt>
                <c:pt idx="45">
                  <c:v>5.9802739994738774</c:v>
                </c:pt>
                <c:pt idx="46">
                  <c:v>5.9511482643237246</c:v>
                </c:pt>
                <c:pt idx="47">
                  <c:v>5.9384766353098746</c:v>
                </c:pt>
                <c:pt idx="48">
                  <c:v>6.2883765709804509</c:v>
                </c:pt>
                <c:pt idx="49">
                  <c:v>6.1385696873605067</c:v>
                </c:pt>
                <c:pt idx="50">
                  <c:v>6.1794588729770421</c:v>
                </c:pt>
                <c:pt idx="51">
                  <c:v>6.210307567604672</c:v>
                </c:pt>
                <c:pt idx="52">
                  <c:v>6.2876696839294812</c:v>
                </c:pt>
                <c:pt idx="53">
                  <c:v>6.277278558393804</c:v>
                </c:pt>
                <c:pt idx="54">
                  <c:v>6.4546854456002043</c:v>
                </c:pt>
                <c:pt idx="55">
                  <c:v>6.4833060090512067</c:v>
                </c:pt>
                <c:pt idx="56">
                  <c:v>6.6288670013275137</c:v>
                </c:pt>
                <c:pt idx="57">
                  <c:v>6.5981168040550369</c:v>
                </c:pt>
                <c:pt idx="58">
                  <c:v>6.5997709188500773</c:v>
                </c:pt>
                <c:pt idx="59">
                  <c:v>6.6819051045056943</c:v>
                </c:pt>
                <c:pt idx="60">
                  <c:v>6.67303739989456</c:v>
                </c:pt>
                <c:pt idx="61">
                  <c:v>4.1221899625603697</c:v>
                </c:pt>
                <c:pt idx="62">
                  <c:v>4.1239488788458445</c:v>
                </c:pt>
                <c:pt idx="63">
                  <c:v>4.080180484747908</c:v>
                </c:pt>
                <c:pt idx="64">
                  <c:v>3.9881990050683949</c:v>
                </c:pt>
                <c:pt idx="65">
                  <c:v>3.9915003347786153</c:v>
                </c:pt>
                <c:pt idx="66">
                  <c:v>4.4029275381992505</c:v>
                </c:pt>
                <c:pt idx="67">
                  <c:v>4.3878046467329792</c:v>
                </c:pt>
                <c:pt idx="68">
                  <c:v>4.4613766499808545</c:v>
                </c:pt>
                <c:pt idx="69">
                  <c:v>3.528750222295387</c:v>
                </c:pt>
                <c:pt idx="70">
                  <c:v>3.6753311848220709</c:v>
                </c:pt>
                <c:pt idx="71">
                  <c:v>3.6341651745342398</c:v>
                </c:pt>
                <c:pt idx="72">
                  <c:v>3.6602928445951606</c:v>
                </c:pt>
                <c:pt idx="73">
                  <c:v>3.668989113108923</c:v>
                </c:pt>
                <c:pt idx="74">
                  <c:v>3.6690412463038165</c:v>
                </c:pt>
                <c:pt idx="75">
                  <c:v>3.5553456172178715</c:v>
                </c:pt>
                <c:pt idx="76">
                  <c:v>3.5903908402560583</c:v>
                </c:pt>
                <c:pt idx="77">
                  <c:v>3.3955497842672755</c:v>
                </c:pt>
                <c:pt idx="78">
                  <c:v>3.3024256743177873</c:v>
                </c:pt>
                <c:pt idx="79">
                  <c:v>3.3133890038343679</c:v>
                </c:pt>
                <c:pt idx="80">
                  <c:v>3.1942750575781385</c:v>
                </c:pt>
                <c:pt idx="81">
                  <c:v>3.1834980979737564</c:v>
                </c:pt>
                <c:pt idx="82">
                  <c:v>3.0119146231067919</c:v>
                </c:pt>
                <c:pt idx="83">
                  <c:v>3.0226561175403099</c:v>
                </c:pt>
                <c:pt idx="84">
                  <c:v>3.0251584802048681</c:v>
                </c:pt>
                <c:pt idx="85">
                  <c:v>3.0896854930300077</c:v>
                </c:pt>
                <c:pt idx="86">
                  <c:v>3.0873376958479888</c:v>
                </c:pt>
                <c:pt idx="87">
                  <c:v>2.2461600049172565</c:v>
                </c:pt>
                <c:pt idx="88">
                  <c:v>2.2272663992694688</c:v>
                </c:pt>
                <c:pt idx="89">
                  <c:v>2.2027060393129991</c:v>
                </c:pt>
                <c:pt idx="90">
                  <c:v>2.1632009260550973</c:v>
                </c:pt>
                <c:pt idx="91">
                  <c:v>2.0545528099782291</c:v>
                </c:pt>
                <c:pt idx="92">
                  <c:v>2.0705477813942763</c:v>
                </c:pt>
                <c:pt idx="93">
                  <c:v>2.1021416922200897</c:v>
                </c:pt>
                <c:pt idx="94">
                  <c:v>1.9777533687628135</c:v>
                </c:pt>
                <c:pt idx="95">
                  <c:v>1.9808484862971161</c:v>
                </c:pt>
                <c:pt idx="96">
                  <c:v>2.1648867527414137</c:v>
                </c:pt>
                <c:pt idx="97">
                  <c:v>2.0812130475529904</c:v>
                </c:pt>
                <c:pt idx="98">
                  <c:v>2.157618228269389</c:v>
                </c:pt>
                <c:pt idx="99">
                  <c:v>2.1374344370094942</c:v>
                </c:pt>
                <c:pt idx="100">
                  <c:v>2.1829407353387378</c:v>
                </c:pt>
                <c:pt idx="101">
                  <c:v>2.2521220202201757</c:v>
                </c:pt>
                <c:pt idx="102">
                  <c:v>2.4807876215381444</c:v>
                </c:pt>
                <c:pt idx="103">
                  <c:v>2.4820956813260397</c:v>
                </c:pt>
                <c:pt idx="104">
                  <c:v>2.4904131887407841</c:v>
                </c:pt>
                <c:pt idx="105">
                  <c:v>2.51958550840952</c:v>
                </c:pt>
                <c:pt idx="106">
                  <c:v>2.4546760675978483</c:v>
                </c:pt>
                <c:pt idx="107">
                  <c:v>2.5143658895712075</c:v>
                </c:pt>
                <c:pt idx="108">
                  <c:v>2.5160012532416474</c:v>
                </c:pt>
                <c:pt idx="109">
                  <c:v>2.5329183941021842</c:v>
                </c:pt>
                <c:pt idx="110">
                  <c:v>2.6218282193495228</c:v>
                </c:pt>
                <c:pt idx="111">
                  <c:v>2.6346540611267937</c:v>
                </c:pt>
                <c:pt idx="112">
                  <c:v>2.8405211698745347</c:v>
                </c:pt>
                <c:pt idx="113">
                  <c:v>2.8623442785939517</c:v>
                </c:pt>
                <c:pt idx="114">
                  <c:v>2.7498564207465086</c:v>
                </c:pt>
                <c:pt idx="115">
                  <c:v>2.7589090035541268</c:v>
                </c:pt>
                <c:pt idx="116">
                  <c:v>2.7951684974102986</c:v>
                </c:pt>
                <c:pt idx="117">
                  <c:v>2.8835661895683229</c:v>
                </c:pt>
                <c:pt idx="118">
                  <c:v>2.8798901289636287</c:v>
                </c:pt>
                <c:pt idx="119">
                  <c:v>2.9720528952529977</c:v>
                </c:pt>
                <c:pt idx="120">
                  <c:v>3.0580473577000613</c:v>
                </c:pt>
                <c:pt idx="121">
                  <c:v>3.0144586842719745</c:v>
                </c:pt>
                <c:pt idx="122">
                  <c:v>2.9278199775859846</c:v>
                </c:pt>
                <c:pt idx="123">
                  <c:v>2.7929217560414275</c:v>
                </c:pt>
                <c:pt idx="124">
                  <c:v>2.8474275100615398</c:v>
                </c:pt>
                <c:pt idx="125">
                  <c:v>2.7964846886668919</c:v>
                </c:pt>
                <c:pt idx="126">
                  <c:v>3.088522025933734</c:v>
                </c:pt>
                <c:pt idx="127">
                  <c:v>4.6138151625178176</c:v>
                </c:pt>
                <c:pt idx="128">
                  <c:v>4.6624587129553969</c:v>
                </c:pt>
                <c:pt idx="129">
                  <c:v>4.7195223289182637</c:v>
                </c:pt>
                <c:pt idx="130">
                  <c:v>4.7830864883344324</c:v>
                </c:pt>
                <c:pt idx="131">
                  <c:v>4.7334125303122514</c:v>
                </c:pt>
                <c:pt idx="132">
                  <c:v>4.7670988859658161</c:v>
                </c:pt>
                <c:pt idx="133">
                  <c:v>4.6446791190443433</c:v>
                </c:pt>
                <c:pt idx="134">
                  <c:v>4.6870612627259165</c:v>
                </c:pt>
                <c:pt idx="135">
                  <c:v>4.8016767193470127</c:v>
                </c:pt>
                <c:pt idx="136">
                  <c:v>4.8295557034737273</c:v>
                </c:pt>
                <c:pt idx="137">
                  <c:v>4.8199055098151948</c:v>
                </c:pt>
                <c:pt idx="138">
                  <c:v>4.7177996052558564</c:v>
                </c:pt>
                <c:pt idx="139">
                  <c:v>4.7532729248227845</c:v>
                </c:pt>
                <c:pt idx="140">
                  <c:v>4.7343574319755337</c:v>
                </c:pt>
                <c:pt idx="141">
                  <c:v>4.7448381906105439</c:v>
                </c:pt>
                <c:pt idx="142">
                  <c:v>4.7338582614948486</c:v>
                </c:pt>
                <c:pt idx="143">
                  <c:v>4.7329843304355901</c:v>
                </c:pt>
                <c:pt idx="144">
                  <c:v>4.7153729265285733</c:v>
                </c:pt>
                <c:pt idx="145">
                  <c:v>4.9614062640240588</c:v>
                </c:pt>
                <c:pt idx="146">
                  <c:v>4.9757948590020806</c:v>
                </c:pt>
                <c:pt idx="147">
                  <c:v>4.7121923275156758</c:v>
                </c:pt>
                <c:pt idx="148">
                  <c:v>3.4323517264058299</c:v>
                </c:pt>
                <c:pt idx="149">
                  <c:v>3.3346216453850079</c:v>
                </c:pt>
                <c:pt idx="150">
                  <c:v>3.2941813708813914</c:v>
                </c:pt>
                <c:pt idx="151">
                  <c:v>3.2023645981794187</c:v>
                </c:pt>
                <c:pt idx="152">
                  <c:v>3.0845904463525002</c:v>
                </c:pt>
                <c:pt idx="153">
                  <c:v>3.5323363111333776</c:v>
                </c:pt>
                <c:pt idx="154">
                  <c:v>3.8028224003745286</c:v>
                </c:pt>
                <c:pt idx="155">
                  <c:v>3.7643842255324516</c:v>
                </c:pt>
                <c:pt idx="156">
                  <c:v>3.6643821454626027</c:v>
                </c:pt>
                <c:pt idx="157">
                  <c:v>3.6857815393324747</c:v>
                </c:pt>
                <c:pt idx="158">
                  <c:v>3.68788787704149</c:v>
                </c:pt>
                <c:pt idx="159">
                  <c:v>3.7240483508896345</c:v>
                </c:pt>
                <c:pt idx="160">
                  <c:v>3.8289963310280402</c:v>
                </c:pt>
                <c:pt idx="161">
                  <c:v>3.7378141788386769</c:v>
                </c:pt>
                <c:pt idx="162">
                  <c:v>3.7595148333376849</c:v>
                </c:pt>
                <c:pt idx="163">
                  <c:v>3.7654499769937519</c:v>
                </c:pt>
                <c:pt idx="164">
                  <c:v>3.7863408898041917</c:v>
                </c:pt>
                <c:pt idx="165">
                  <c:v>3.8941676008216466</c:v>
                </c:pt>
                <c:pt idx="166">
                  <c:v>3.68193357789412</c:v>
                </c:pt>
                <c:pt idx="167">
                  <c:v>3.6611051661088707</c:v>
                </c:pt>
                <c:pt idx="168">
                  <c:v>5.0545544273791227</c:v>
                </c:pt>
                <c:pt idx="169">
                  <c:v>5.1175277471674674</c:v>
                </c:pt>
                <c:pt idx="170">
                  <c:v>5.1199133649351447</c:v>
                </c:pt>
                <c:pt idx="171">
                  <c:v>5.1975091589324816</c:v>
                </c:pt>
                <c:pt idx="172">
                  <c:v>5.1326280036444096</c:v>
                </c:pt>
                <c:pt idx="173">
                  <c:v>5.1242816986768229</c:v>
                </c:pt>
                <c:pt idx="174">
                  <c:v>5.086911471546312</c:v>
                </c:pt>
                <c:pt idx="175">
                  <c:v>4.8372910987976505</c:v>
                </c:pt>
                <c:pt idx="176">
                  <c:v>4.8786627650891763</c:v>
                </c:pt>
                <c:pt idx="177">
                  <c:v>4.816232235934975</c:v>
                </c:pt>
                <c:pt idx="178">
                  <c:v>4.9227818296700896</c:v>
                </c:pt>
                <c:pt idx="179">
                  <c:v>4.932241776711094</c:v>
                </c:pt>
                <c:pt idx="180">
                  <c:v>5.1402565518339411</c:v>
                </c:pt>
                <c:pt idx="181">
                  <c:v>5.5076568747574584</c:v>
                </c:pt>
                <c:pt idx="182">
                  <c:v>5.6553971954347375</c:v>
                </c:pt>
                <c:pt idx="183">
                  <c:v>5.726122313600813</c:v>
                </c:pt>
                <c:pt idx="184">
                  <c:v>5.9431913706742714</c:v>
                </c:pt>
                <c:pt idx="185">
                  <c:v>5.9467574256888653</c:v>
                </c:pt>
                <c:pt idx="186">
                  <c:v>5.90755020060893</c:v>
                </c:pt>
                <c:pt idx="187">
                  <c:v>5.8770601421175508</c:v>
                </c:pt>
                <c:pt idx="188">
                  <c:v>5.8874558941281538</c:v>
                </c:pt>
                <c:pt idx="189">
                  <c:v>4.6798330398662564</c:v>
                </c:pt>
                <c:pt idx="190">
                  <c:v>4.2601193453851662</c:v>
                </c:pt>
                <c:pt idx="191">
                  <c:v>4.2545677622299722</c:v>
                </c:pt>
                <c:pt idx="192">
                  <c:v>4.2346371129000167</c:v>
                </c:pt>
                <c:pt idx="193">
                  <c:v>4.2190610618189588</c:v>
                </c:pt>
                <c:pt idx="194">
                  <c:v>4.2248136776836898</c:v>
                </c:pt>
                <c:pt idx="195">
                  <c:v>4.1819314101186578</c:v>
                </c:pt>
                <c:pt idx="196">
                  <c:v>4.3783446226903191</c:v>
                </c:pt>
                <c:pt idx="197">
                  <c:v>4.3810210273754846</c:v>
                </c:pt>
                <c:pt idx="198">
                  <c:v>4.384416022905631</c:v>
                </c:pt>
                <c:pt idx="199">
                  <c:v>4.2443444201693117</c:v>
                </c:pt>
                <c:pt idx="200">
                  <c:v>4.2534532116681429</c:v>
                </c:pt>
                <c:pt idx="201">
                  <c:v>4.3739125778091612</c:v>
                </c:pt>
                <c:pt idx="202">
                  <c:v>3.6118657132603715</c:v>
                </c:pt>
                <c:pt idx="203">
                  <c:v>3.5545782054700834</c:v>
                </c:pt>
                <c:pt idx="204">
                  <c:v>3.4956028989909309</c:v>
                </c:pt>
                <c:pt idx="205">
                  <c:v>3.2063208045835134</c:v>
                </c:pt>
                <c:pt idx="206">
                  <c:v>3.2159823972087085</c:v>
                </c:pt>
                <c:pt idx="207">
                  <c:v>3.4041213182460637</c:v>
                </c:pt>
                <c:pt idx="208">
                  <c:v>3.6641907527598412</c:v>
                </c:pt>
                <c:pt idx="209">
                  <c:v>3.7125183543366385</c:v>
                </c:pt>
                <c:pt idx="210">
                  <c:v>3.6356448014920906</c:v>
                </c:pt>
                <c:pt idx="211">
                  <c:v>3.7311381848199492</c:v>
                </c:pt>
                <c:pt idx="212">
                  <c:v>3.8299318529872619</c:v>
                </c:pt>
                <c:pt idx="213">
                  <c:v>4.038156912050165</c:v>
                </c:pt>
                <c:pt idx="214">
                  <c:v>4.0546414631778198</c:v>
                </c:pt>
                <c:pt idx="215">
                  <c:v>4.1018622874625237</c:v>
                </c:pt>
                <c:pt idx="216">
                  <c:v>4.1276119664830713</c:v>
                </c:pt>
                <c:pt idx="217">
                  <c:v>4.3159902482508992</c:v>
                </c:pt>
                <c:pt idx="218">
                  <c:v>4.3418767436219472</c:v>
                </c:pt>
                <c:pt idx="219">
                  <c:v>4.3046569104598111</c:v>
                </c:pt>
                <c:pt idx="220">
                  <c:v>4.300747926649481</c:v>
                </c:pt>
                <c:pt idx="221">
                  <c:v>4.3104693829555503</c:v>
                </c:pt>
                <c:pt idx="222">
                  <c:v>3.8075699094966815</c:v>
                </c:pt>
                <c:pt idx="223">
                  <c:v>3.8962655032392015</c:v>
                </c:pt>
                <c:pt idx="224">
                  <c:v>3.8930201087351746</c:v>
                </c:pt>
                <c:pt idx="225">
                  <c:v>3.9113733811013098</c:v>
                </c:pt>
                <c:pt idx="226">
                  <c:v>3.8896032969469583</c:v>
                </c:pt>
                <c:pt idx="227">
                  <c:v>4.3266784083406469</c:v>
                </c:pt>
                <c:pt idx="228">
                  <c:v>4.2579306135434898</c:v>
                </c:pt>
                <c:pt idx="229">
                  <c:v>4.1833040974728428</c:v>
                </c:pt>
                <c:pt idx="230">
                  <c:v>4.1049987164041193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CA-4B7A-8C22-1DB85751E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9675456"/>
        <c:axId val="1069672576"/>
      </c:lineChart>
      <c:lineChart>
        <c:grouping val="standard"/>
        <c:varyColors val="0"/>
        <c:ser>
          <c:idx val="0"/>
          <c:order val="0"/>
          <c:tx>
            <c:strRef>
              <c:f>'Volatilidad y liquidez-spread'!$J$3</c:f>
              <c:strCache>
                <c:ptCount val="1"/>
                <c:pt idx="0">
                  <c:v>spread en%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'Volatilidad y liquidez-spread'!$A$4:$A$234</c:f>
              <c:numCache>
                <c:formatCode>mm/dd/yy</c:formatCode>
                <c:ptCount val="231"/>
                <c:pt idx="0">
                  <c:v>46050</c:v>
                </c:pt>
                <c:pt idx="1">
                  <c:v>46049</c:v>
                </c:pt>
                <c:pt idx="2">
                  <c:v>46048</c:v>
                </c:pt>
                <c:pt idx="3">
                  <c:v>46045</c:v>
                </c:pt>
                <c:pt idx="4">
                  <c:v>46044</c:v>
                </c:pt>
                <c:pt idx="5">
                  <c:v>46043</c:v>
                </c:pt>
                <c:pt idx="6">
                  <c:v>46042</c:v>
                </c:pt>
                <c:pt idx="7">
                  <c:v>46038</c:v>
                </c:pt>
                <c:pt idx="8">
                  <c:v>46037</c:v>
                </c:pt>
                <c:pt idx="9">
                  <c:v>46036</c:v>
                </c:pt>
                <c:pt idx="10">
                  <c:v>46035</c:v>
                </c:pt>
                <c:pt idx="11">
                  <c:v>46034</c:v>
                </c:pt>
                <c:pt idx="12">
                  <c:v>46031</c:v>
                </c:pt>
                <c:pt idx="13">
                  <c:v>46030</c:v>
                </c:pt>
                <c:pt idx="14">
                  <c:v>46029</c:v>
                </c:pt>
                <c:pt idx="15">
                  <c:v>46028</c:v>
                </c:pt>
                <c:pt idx="16">
                  <c:v>46027</c:v>
                </c:pt>
                <c:pt idx="17">
                  <c:v>46024</c:v>
                </c:pt>
                <c:pt idx="18">
                  <c:v>46022</c:v>
                </c:pt>
                <c:pt idx="19">
                  <c:v>46021</c:v>
                </c:pt>
                <c:pt idx="20">
                  <c:v>46020</c:v>
                </c:pt>
                <c:pt idx="21">
                  <c:v>46017</c:v>
                </c:pt>
                <c:pt idx="22">
                  <c:v>46015</c:v>
                </c:pt>
                <c:pt idx="23">
                  <c:v>46014</c:v>
                </c:pt>
                <c:pt idx="24">
                  <c:v>46013</c:v>
                </c:pt>
                <c:pt idx="25">
                  <c:v>46010</c:v>
                </c:pt>
                <c:pt idx="26">
                  <c:v>46009</c:v>
                </c:pt>
                <c:pt idx="27">
                  <c:v>46008</c:v>
                </c:pt>
                <c:pt idx="28">
                  <c:v>46007</c:v>
                </c:pt>
                <c:pt idx="29">
                  <c:v>46006</c:v>
                </c:pt>
                <c:pt idx="30">
                  <c:v>46003</c:v>
                </c:pt>
                <c:pt idx="31">
                  <c:v>46002</c:v>
                </c:pt>
                <c:pt idx="32">
                  <c:v>46001</c:v>
                </c:pt>
                <c:pt idx="33">
                  <c:v>46000</c:v>
                </c:pt>
                <c:pt idx="34">
                  <c:v>45999</c:v>
                </c:pt>
                <c:pt idx="35">
                  <c:v>45996</c:v>
                </c:pt>
                <c:pt idx="36">
                  <c:v>45995</c:v>
                </c:pt>
                <c:pt idx="37">
                  <c:v>45994</c:v>
                </c:pt>
                <c:pt idx="38">
                  <c:v>45993</c:v>
                </c:pt>
                <c:pt idx="39">
                  <c:v>45992</c:v>
                </c:pt>
                <c:pt idx="40">
                  <c:v>45989</c:v>
                </c:pt>
                <c:pt idx="41">
                  <c:v>45987</c:v>
                </c:pt>
                <c:pt idx="42">
                  <c:v>45986</c:v>
                </c:pt>
                <c:pt idx="43">
                  <c:v>45985</c:v>
                </c:pt>
                <c:pt idx="44">
                  <c:v>45982</c:v>
                </c:pt>
                <c:pt idx="45">
                  <c:v>45981</c:v>
                </c:pt>
                <c:pt idx="46">
                  <c:v>45980</c:v>
                </c:pt>
                <c:pt idx="47">
                  <c:v>45979</c:v>
                </c:pt>
                <c:pt idx="48">
                  <c:v>45978</c:v>
                </c:pt>
                <c:pt idx="49">
                  <c:v>45975</c:v>
                </c:pt>
                <c:pt idx="50">
                  <c:v>45974</c:v>
                </c:pt>
                <c:pt idx="51">
                  <c:v>45973</c:v>
                </c:pt>
                <c:pt idx="52">
                  <c:v>45972</c:v>
                </c:pt>
                <c:pt idx="53">
                  <c:v>45971</c:v>
                </c:pt>
                <c:pt idx="54">
                  <c:v>45968</c:v>
                </c:pt>
                <c:pt idx="55">
                  <c:v>45967</c:v>
                </c:pt>
                <c:pt idx="56">
                  <c:v>45966</c:v>
                </c:pt>
                <c:pt idx="57">
                  <c:v>45965</c:v>
                </c:pt>
                <c:pt idx="58">
                  <c:v>45964</c:v>
                </c:pt>
                <c:pt idx="59">
                  <c:v>45961</c:v>
                </c:pt>
                <c:pt idx="60">
                  <c:v>45960</c:v>
                </c:pt>
                <c:pt idx="61">
                  <c:v>45959</c:v>
                </c:pt>
                <c:pt idx="62">
                  <c:v>45958</c:v>
                </c:pt>
                <c:pt idx="63">
                  <c:v>45957</c:v>
                </c:pt>
                <c:pt idx="64">
                  <c:v>45954</c:v>
                </c:pt>
                <c:pt idx="65">
                  <c:v>45953</c:v>
                </c:pt>
                <c:pt idx="66">
                  <c:v>45952</c:v>
                </c:pt>
                <c:pt idx="67">
                  <c:v>45951</c:v>
                </c:pt>
                <c:pt idx="68">
                  <c:v>45950</c:v>
                </c:pt>
                <c:pt idx="69">
                  <c:v>45947</c:v>
                </c:pt>
                <c:pt idx="70">
                  <c:v>45946</c:v>
                </c:pt>
                <c:pt idx="71">
                  <c:v>45945</c:v>
                </c:pt>
                <c:pt idx="72">
                  <c:v>45944</c:v>
                </c:pt>
                <c:pt idx="73">
                  <c:v>45943</c:v>
                </c:pt>
                <c:pt idx="74">
                  <c:v>45940</c:v>
                </c:pt>
                <c:pt idx="75">
                  <c:v>45939</c:v>
                </c:pt>
                <c:pt idx="76">
                  <c:v>45938</c:v>
                </c:pt>
                <c:pt idx="77">
                  <c:v>45937</c:v>
                </c:pt>
                <c:pt idx="78">
                  <c:v>45936</c:v>
                </c:pt>
                <c:pt idx="79">
                  <c:v>45933</c:v>
                </c:pt>
                <c:pt idx="80">
                  <c:v>45932</c:v>
                </c:pt>
                <c:pt idx="81">
                  <c:v>45931</c:v>
                </c:pt>
                <c:pt idx="82">
                  <c:v>45930</c:v>
                </c:pt>
                <c:pt idx="83">
                  <c:v>45929</c:v>
                </c:pt>
                <c:pt idx="84">
                  <c:v>45926</c:v>
                </c:pt>
                <c:pt idx="85">
                  <c:v>45925</c:v>
                </c:pt>
                <c:pt idx="86">
                  <c:v>45924</c:v>
                </c:pt>
                <c:pt idx="87">
                  <c:v>45923</c:v>
                </c:pt>
                <c:pt idx="88">
                  <c:v>45922</c:v>
                </c:pt>
                <c:pt idx="89">
                  <c:v>45919</c:v>
                </c:pt>
                <c:pt idx="90">
                  <c:v>45918</c:v>
                </c:pt>
                <c:pt idx="91">
                  <c:v>45917</c:v>
                </c:pt>
                <c:pt idx="92">
                  <c:v>45916</c:v>
                </c:pt>
                <c:pt idx="93">
                  <c:v>45915</c:v>
                </c:pt>
                <c:pt idx="94">
                  <c:v>45912</c:v>
                </c:pt>
                <c:pt idx="95">
                  <c:v>45911</c:v>
                </c:pt>
                <c:pt idx="96">
                  <c:v>45910</c:v>
                </c:pt>
                <c:pt idx="97">
                  <c:v>45909</c:v>
                </c:pt>
                <c:pt idx="98">
                  <c:v>45908</c:v>
                </c:pt>
                <c:pt idx="99">
                  <c:v>45905</c:v>
                </c:pt>
                <c:pt idx="100">
                  <c:v>45904</c:v>
                </c:pt>
                <c:pt idx="101">
                  <c:v>45903</c:v>
                </c:pt>
                <c:pt idx="102">
                  <c:v>45902</c:v>
                </c:pt>
                <c:pt idx="103">
                  <c:v>45898</c:v>
                </c:pt>
                <c:pt idx="104">
                  <c:v>45897</c:v>
                </c:pt>
                <c:pt idx="105">
                  <c:v>45896</c:v>
                </c:pt>
                <c:pt idx="106">
                  <c:v>45895</c:v>
                </c:pt>
                <c:pt idx="107">
                  <c:v>45894</c:v>
                </c:pt>
                <c:pt idx="108">
                  <c:v>45891</c:v>
                </c:pt>
                <c:pt idx="109">
                  <c:v>45890</c:v>
                </c:pt>
                <c:pt idx="110">
                  <c:v>45889</c:v>
                </c:pt>
                <c:pt idx="111">
                  <c:v>45888</c:v>
                </c:pt>
                <c:pt idx="112">
                  <c:v>45887</c:v>
                </c:pt>
                <c:pt idx="113">
                  <c:v>45884</c:v>
                </c:pt>
                <c:pt idx="114">
                  <c:v>45883</c:v>
                </c:pt>
                <c:pt idx="115">
                  <c:v>45882</c:v>
                </c:pt>
                <c:pt idx="116">
                  <c:v>45881</c:v>
                </c:pt>
                <c:pt idx="117">
                  <c:v>45880</c:v>
                </c:pt>
                <c:pt idx="118">
                  <c:v>45877</c:v>
                </c:pt>
                <c:pt idx="119">
                  <c:v>45876</c:v>
                </c:pt>
                <c:pt idx="120">
                  <c:v>45875</c:v>
                </c:pt>
                <c:pt idx="121">
                  <c:v>45874</c:v>
                </c:pt>
                <c:pt idx="122">
                  <c:v>45873</c:v>
                </c:pt>
                <c:pt idx="123">
                  <c:v>45870</c:v>
                </c:pt>
                <c:pt idx="124">
                  <c:v>45869</c:v>
                </c:pt>
                <c:pt idx="125">
                  <c:v>45868</c:v>
                </c:pt>
                <c:pt idx="126">
                  <c:v>45867</c:v>
                </c:pt>
                <c:pt idx="127">
                  <c:v>45866</c:v>
                </c:pt>
                <c:pt idx="128">
                  <c:v>45863</c:v>
                </c:pt>
                <c:pt idx="129">
                  <c:v>45862</c:v>
                </c:pt>
                <c:pt idx="130">
                  <c:v>45861</c:v>
                </c:pt>
                <c:pt idx="131">
                  <c:v>45860</c:v>
                </c:pt>
                <c:pt idx="132">
                  <c:v>45859</c:v>
                </c:pt>
                <c:pt idx="133">
                  <c:v>45856</c:v>
                </c:pt>
                <c:pt idx="134">
                  <c:v>45855</c:v>
                </c:pt>
                <c:pt idx="135">
                  <c:v>45854</c:v>
                </c:pt>
                <c:pt idx="136">
                  <c:v>45853</c:v>
                </c:pt>
                <c:pt idx="137">
                  <c:v>45852</c:v>
                </c:pt>
                <c:pt idx="138">
                  <c:v>45849</c:v>
                </c:pt>
                <c:pt idx="139">
                  <c:v>45848</c:v>
                </c:pt>
                <c:pt idx="140">
                  <c:v>45847</c:v>
                </c:pt>
                <c:pt idx="141">
                  <c:v>45846</c:v>
                </c:pt>
                <c:pt idx="142">
                  <c:v>45845</c:v>
                </c:pt>
                <c:pt idx="143">
                  <c:v>45841</c:v>
                </c:pt>
                <c:pt idx="144">
                  <c:v>45840</c:v>
                </c:pt>
                <c:pt idx="145">
                  <c:v>45839</c:v>
                </c:pt>
                <c:pt idx="146">
                  <c:v>45838</c:v>
                </c:pt>
                <c:pt idx="147">
                  <c:v>45835</c:v>
                </c:pt>
                <c:pt idx="148">
                  <c:v>45834</c:v>
                </c:pt>
                <c:pt idx="149">
                  <c:v>45833</c:v>
                </c:pt>
                <c:pt idx="150">
                  <c:v>45832</c:v>
                </c:pt>
                <c:pt idx="151">
                  <c:v>45831</c:v>
                </c:pt>
                <c:pt idx="152">
                  <c:v>45828</c:v>
                </c:pt>
                <c:pt idx="153">
                  <c:v>45826</c:v>
                </c:pt>
                <c:pt idx="154">
                  <c:v>45825</c:v>
                </c:pt>
                <c:pt idx="155">
                  <c:v>45824</c:v>
                </c:pt>
                <c:pt idx="156">
                  <c:v>45821</c:v>
                </c:pt>
                <c:pt idx="157">
                  <c:v>45820</c:v>
                </c:pt>
                <c:pt idx="158">
                  <c:v>45819</c:v>
                </c:pt>
                <c:pt idx="159">
                  <c:v>45818</c:v>
                </c:pt>
                <c:pt idx="160">
                  <c:v>45817</c:v>
                </c:pt>
                <c:pt idx="161">
                  <c:v>45814</c:v>
                </c:pt>
                <c:pt idx="162">
                  <c:v>45813</c:v>
                </c:pt>
                <c:pt idx="163">
                  <c:v>45812</c:v>
                </c:pt>
                <c:pt idx="164">
                  <c:v>45811</c:v>
                </c:pt>
                <c:pt idx="165">
                  <c:v>45810</c:v>
                </c:pt>
                <c:pt idx="166">
                  <c:v>45807</c:v>
                </c:pt>
                <c:pt idx="167">
                  <c:v>45806</c:v>
                </c:pt>
                <c:pt idx="168">
                  <c:v>45805</c:v>
                </c:pt>
                <c:pt idx="169">
                  <c:v>45804</c:v>
                </c:pt>
                <c:pt idx="170">
                  <c:v>45800</c:v>
                </c:pt>
                <c:pt idx="171">
                  <c:v>45799</c:v>
                </c:pt>
                <c:pt idx="172">
                  <c:v>45798</c:v>
                </c:pt>
                <c:pt idx="173">
                  <c:v>45797</c:v>
                </c:pt>
                <c:pt idx="174">
                  <c:v>45796</c:v>
                </c:pt>
                <c:pt idx="175">
                  <c:v>45793</c:v>
                </c:pt>
                <c:pt idx="176">
                  <c:v>45792</c:v>
                </c:pt>
                <c:pt idx="177">
                  <c:v>45791</c:v>
                </c:pt>
                <c:pt idx="178">
                  <c:v>45790</c:v>
                </c:pt>
                <c:pt idx="179">
                  <c:v>45789</c:v>
                </c:pt>
                <c:pt idx="180">
                  <c:v>45786</c:v>
                </c:pt>
                <c:pt idx="181">
                  <c:v>45785</c:v>
                </c:pt>
                <c:pt idx="182">
                  <c:v>45784</c:v>
                </c:pt>
                <c:pt idx="183">
                  <c:v>45783</c:v>
                </c:pt>
                <c:pt idx="184">
                  <c:v>45782</c:v>
                </c:pt>
                <c:pt idx="185">
                  <c:v>45779</c:v>
                </c:pt>
                <c:pt idx="186">
                  <c:v>45778</c:v>
                </c:pt>
                <c:pt idx="187">
                  <c:v>45777</c:v>
                </c:pt>
                <c:pt idx="188">
                  <c:v>45776</c:v>
                </c:pt>
                <c:pt idx="189">
                  <c:v>45775</c:v>
                </c:pt>
                <c:pt idx="190">
                  <c:v>45772</c:v>
                </c:pt>
                <c:pt idx="191">
                  <c:v>45771</c:v>
                </c:pt>
                <c:pt idx="192">
                  <c:v>45770</c:v>
                </c:pt>
                <c:pt idx="193">
                  <c:v>45769</c:v>
                </c:pt>
                <c:pt idx="194">
                  <c:v>45768</c:v>
                </c:pt>
                <c:pt idx="195">
                  <c:v>45764</c:v>
                </c:pt>
                <c:pt idx="196">
                  <c:v>45763</c:v>
                </c:pt>
                <c:pt idx="197">
                  <c:v>45762</c:v>
                </c:pt>
                <c:pt idx="198">
                  <c:v>45761</c:v>
                </c:pt>
                <c:pt idx="199">
                  <c:v>45758</c:v>
                </c:pt>
                <c:pt idx="200">
                  <c:v>45757</c:v>
                </c:pt>
                <c:pt idx="201">
                  <c:v>45756</c:v>
                </c:pt>
                <c:pt idx="202">
                  <c:v>45755</c:v>
                </c:pt>
                <c:pt idx="203">
                  <c:v>45754</c:v>
                </c:pt>
                <c:pt idx="204">
                  <c:v>45751</c:v>
                </c:pt>
                <c:pt idx="205">
                  <c:v>45750</c:v>
                </c:pt>
                <c:pt idx="206">
                  <c:v>45749</c:v>
                </c:pt>
                <c:pt idx="207">
                  <c:v>45748</c:v>
                </c:pt>
                <c:pt idx="208">
                  <c:v>45747</c:v>
                </c:pt>
                <c:pt idx="209">
                  <c:v>45744</c:v>
                </c:pt>
                <c:pt idx="210">
                  <c:v>45743</c:v>
                </c:pt>
                <c:pt idx="211">
                  <c:v>45742</c:v>
                </c:pt>
                <c:pt idx="212">
                  <c:v>45741</c:v>
                </c:pt>
                <c:pt idx="213">
                  <c:v>45740</c:v>
                </c:pt>
                <c:pt idx="214">
                  <c:v>45737</c:v>
                </c:pt>
                <c:pt idx="215">
                  <c:v>45736</c:v>
                </c:pt>
                <c:pt idx="216">
                  <c:v>45735</c:v>
                </c:pt>
                <c:pt idx="217">
                  <c:v>45734</c:v>
                </c:pt>
                <c:pt idx="218">
                  <c:v>45733</c:v>
                </c:pt>
                <c:pt idx="219">
                  <c:v>45730</c:v>
                </c:pt>
                <c:pt idx="220">
                  <c:v>45729</c:v>
                </c:pt>
                <c:pt idx="221">
                  <c:v>45728</c:v>
                </c:pt>
                <c:pt idx="222">
                  <c:v>45727</c:v>
                </c:pt>
                <c:pt idx="223">
                  <c:v>45726</c:v>
                </c:pt>
                <c:pt idx="224">
                  <c:v>45723</c:v>
                </c:pt>
                <c:pt idx="225">
                  <c:v>45722</c:v>
                </c:pt>
                <c:pt idx="226">
                  <c:v>45721</c:v>
                </c:pt>
                <c:pt idx="227">
                  <c:v>45720</c:v>
                </c:pt>
                <c:pt idx="228">
                  <c:v>45719</c:v>
                </c:pt>
                <c:pt idx="229">
                  <c:v>45716</c:v>
                </c:pt>
                <c:pt idx="230">
                  <c:v>45715</c:v>
                </c:pt>
              </c:numCache>
            </c:numRef>
          </c:cat>
          <c:val>
            <c:numRef>
              <c:f>'Volatilidad y liquidez-spread'!$L$4:$L$234</c:f>
              <c:numCache>
                <c:formatCode>0.00%</c:formatCode>
                <c:ptCount val="231"/>
                <c:pt idx="0">
                  <c:v>1.3401633387002536E-2</c:v>
                </c:pt>
                <c:pt idx="1">
                  <c:v>1.4401219771773634E-2</c:v>
                </c:pt>
                <c:pt idx="2">
                  <c:v>1.5128720760029071E-2</c:v>
                </c:pt>
                <c:pt idx="3">
                  <c:v>1.5193035476976199E-2</c:v>
                </c:pt>
                <c:pt idx="4">
                  <c:v>1.5237572709837928E-2</c:v>
                </c:pt>
                <c:pt idx="5">
                  <c:v>1.5143243215992128E-2</c:v>
                </c:pt>
                <c:pt idx="6">
                  <c:v>1.5366107896316898E-2</c:v>
                </c:pt>
                <c:pt idx="7">
                  <c:v>1.4529389617065548E-2</c:v>
                </c:pt>
                <c:pt idx="8">
                  <c:v>1.4391060832457897E-2</c:v>
                </c:pt>
                <c:pt idx="9">
                  <c:v>1.4301551367213379E-2</c:v>
                </c:pt>
                <c:pt idx="10">
                  <c:v>1.4752302799539353E-2</c:v>
                </c:pt>
                <c:pt idx="11">
                  <c:v>1.3810464007984266E-2</c:v>
                </c:pt>
                <c:pt idx="12">
                  <c:v>1.3450700624765281E-2</c:v>
                </c:pt>
                <c:pt idx="13">
                  <c:v>1.2817931638513545E-2</c:v>
                </c:pt>
                <c:pt idx="14">
                  <c:v>1.2518444133937559E-2</c:v>
                </c:pt>
                <c:pt idx="15">
                  <c:v>1.212829509984144E-2</c:v>
                </c:pt>
                <c:pt idx="16">
                  <c:v>1.1622926708575515E-2</c:v>
                </c:pt>
                <c:pt idx="17">
                  <c:v>1.1359546117980715E-2</c:v>
                </c:pt>
                <c:pt idx="18">
                  <c:v>1.1008474528986626E-2</c:v>
                </c:pt>
                <c:pt idx="19">
                  <c:v>1.0631346675122531E-2</c:v>
                </c:pt>
                <c:pt idx="20">
                  <c:v>9.8224704276398782E-3</c:v>
                </c:pt>
                <c:pt idx="21">
                  <c:v>9.2562558530173856E-3</c:v>
                </c:pt>
                <c:pt idx="22">
                  <c:v>8.4436477043899859E-3</c:v>
                </c:pt>
                <c:pt idx="23">
                  <c:v>7.5484055625834219E-3</c:v>
                </c:pt>
                <c:pt idx="24">
                  <c:v>7.9979758152198283E-3</c:v>
                </c:pt>
                <c:pt idx="25">
                  <c:v>8.2304295165377041E-3</c:v>
                </c:pt>
                <c:pt idx="26">
                  <c:v>7.757627799199562E-3</c:v>
                </c:pt>
                <c:pt idx="27">
                  <c:v>7.8080683288672802E-3</c:v>
                </c:pt>
                <c:pt idx="28">
                  <c:v>8.066051494925161E-3</c:v>
                </c:pt>
                <c:pt idx="29">
                  <c:v>8.3830123223704173E-3</c:v>
                </c:pt>
                <c:pt idx="30">
                  <c:v>8.2415769398578066E-3</c:v>
                </c:pt>
                <c:pt idx="31">
                  <c:v>7.3349640471498962E-3</c:v>
                </c:pt>
                <c:pt idx="32">
                  <c:v>7.2401290683822162E-3</c:v>
                </c:pt>
                <c:pt idx="33">
                  <c:v>7.6789225170806425E-3</c:v>
                </c:pt>
                <c:pt idx="34">
                  <c:v>8.4913482123375513E-3</c:v>
                </c:pt>
                <c:pt idx="35">
                  <c:v>9.5573705454694482E-3</c:v>
                </c:pt>
                <c:pt idx="36">
                  <c:v>1.0210522647927192E-2</c:v>
                </c:pt>
                <c:pt idx="37">
                  <c:v>1.0373208296200285E-2</c:v>
                </c:pt>
                <c:pt idx="38">
                  <c:v>1.0756768838106287E-2</c:v>
                </c:pt>
                <c:pt idx="39">
                  <c:v>1.1086523561467256E-2</c:v>
                </c:pt>
                <c:pt idx="40">
                  <c:v>1.103977939914875E-2</c:v>
                </c:pt>
                <c:pt idx="41">
                  <c:v>1.049500045014282E-2</c:v>
                </c:pt>
                <c:pt idx="42">
                  <c:v>1.0478151029936603E-2</c:v>
                </c:pt>
                <c:pt idx="43">
                  <c:v>1.0823519003559526E-2</c:v>
                </c:pt>
                <c:pt idx="44">
                  <c:v>1.1480548744116295E-2</c:v>
                </c:pt>
                <c:pt idx="45">
                  <c:v>1.1126183771768803E-2</c:v>
                </c:pt>
                <c:pt idx="46">
                  <c:v>1.0996743831752784E-2</c:v>
                </c:pt>
                <c:pt idx="47">
                  <c:v>1.1124133685932432E-2</c:v>
                </c:pt>
                <c:pt idx="48">
                  <c:v>1.1131183109400727E-2</c:v>
                </c:pt>
                <c:pt idx="49">
                  <c:v>1.091991908518228E-2</c:v>
                </c:pt>
                <c:pt idx="50">
                  <c:v>1.0211719834615007E-2</c:v>
                </c:pt>
                <c:pt idx="51">
                  <c:v>1.0073324218506936E-2</c:v>
                </c:pt>
                <c:pt idx="52">
                  <c:v>9.9912251294404248E-3</c:v>
                </c:pt>
                <c:pt idx="53">
                  <c:v>1.0080449496486291E-2</c:v>
                </c:pt>
                <c:pt idx="54">
                  <c:v>9.9638624459834103E-3</c:v>
                </c:pt>
                <c:pt idx="55">
                  <c:v>9.2391429329724238E-3</c:v>
                </c:pt>
                <c:pt idx="56">
                  <c:v>8.138771748022109E-3</c:v>
                </c:pt>
                <c:pt idx="57">
                  <c:v>7.1599189856612093E-3</c:v>
                </c:pt>
                <c:pt idx="58">
                  <c:v>7.1870607681550885E-3</c:v>
                </c:pt>
                <c:pt idx="59">
                  <c:v>7.3017413786338825E-3</c:v>
                </c:pt>
                <c:pt idx="60">
                  <c:v>6.930595861549798E-3</c:v>
                </c:pt>
                <c:pt idx="61">
                  <c:v>6.9574462930837621E-3</c:v>
                </c:pt>
                <c:pt idx="62">
                  <c:v>7.0574542127489603E-3</c:v>
                </c:pt>
                <c:pt idx="63">
                  <c:v>7.1293468840001144E-3</c:v>
                </c:pt>
                <c:pt idx="64">
                  <c:v>6.9755785773919403E-3</c:v>
                </c:pt>
                <c:pt idx="65">
                  <c:v>6.1392515396005414E-3</c:v>
                </c:pt>
                <c:pt idx="66">
                  <c:v>6.0032604469046442E-3</c:v>
                </c:pt>
                <c:pt idx="67">
                  <c:v>5.702107406852723E-3</c:v>
                </c:pt>
                <c:pt idx="68">
                  <c:v>5.8129959042534408E-3</c:v>
                </c:pt>
                <c:pt idx="69">
                  <c:v>5.1977111441626374E-3</c:v>
                </c:pt>
                <c:pt idx="70">
                  <c:v>5.2822865419037256E-3</c:v>
                </c:pt>
                <c:pt idx="71">
                  <c:v>5.2270031752255927E-3</c:v>
                </c:pt>
                <c:pt idx="72">
                  <c:v>5.2087098373651899E-3</c:v>
                </c:pt>
                <c:pt idx="73">
                  <c:v>5.2703944305737592E-3</c:v>
                </c:pt>
                <c:pt idx="74">
                  <c:v>5.4912294756593533E-3</c:v>
                </c:pt>
                <c:pt idx="75">
                  <c:v>4.9192739671491481E-3</c:v>
                </c:pt>
                <c:pt idx="76">
                  <c:v>4.8588470793635204E-3</c:v>
                </c:pt>
                <c:pt idx="77">
                  <c:v>5.0856828389276871E-3</c:v>
                </c:pt>
                <c:pt idx="78">
                  <c:v>5.0944522097459569E-3</c:v>
                </c:pt>
                <c:pt idx="79">
                  <c:v>5.2091452734318216E-3</c:v>
                </c:pt>
                <c:pt idx="80">
                  <c:v>4.6197602848505586E-3</c:v>
                </c:pt>
                <c:pt idx="81">
                  <c:v>4.6412266859198721E-3</c:v>
                </c:pt>
                <c:pt idx="82">
                  <c:v>4.6481446917214023E-3</c:v>
                </c:pt>
                <c:pt idx="83">
                  <c:v>5.08472569654433E-3</c:v>
                </c:pt>
                <c:pt idx="84">
                  <c:v>5.3272819360153803E-3</c:v>
                </c:pt>
                <c:pt idx="85">
                  <c:v>5.1053864822186504E-3</c:v>
                </c:pt>
                <c:pt idx="86">
                  <c:v>5.2574685849116507E-3</c:v>
                </c:pt>
                <c:pt idx="87">
                  <c:v>5.3650814212789491E-3</c:v>
                </c:pt>
                <c:pt idx="88">
                  <c:v>5.5696586947099058E-3</c:v>
                </c:pt>
                <c:pt idx="89">
                  <c:v>5.5864511098963577E-3</c:v>
                </c:pt>
                <c:pt idx="90">
                  <c:v>5.7992753201486546E-3</c:v>
                </c:pt>
                <c:pt idx="91">
                  <c:v>5.8336590869423905E-3</c:v>
                </c:pt>
                <c:pt idx="92">
                  <c:v>6.0047476653237071E-3</c:v>
                </c:pt>
                <c:pt idx="93">
                  <c:v>6.4014849244286203E-3</c:v>
                </c:pt>
                <c:pt idx="94">
                  <c:v>6.4188279727301649E-3</c:v>
                </c:pt>
                <c:pt idx="95">
                  <c:v>6.1364772097659507E-3</c:v>
                </c:pt>
                <c:pt idx="96">
                  <c:v>6.3781657979608622E-3</c:v>
                </c:pt>
                <c:pt idx="97">
                  <c:v>6.2537915034625597E-3</c:v>
                </c:pt>
                <c:pt idx="98">
                  <c:v>5.9671704810428609E-3</c:v>
                </c:pt>
                <c:pt idx="99">
                  <c:v>6.0453645906023978E-3</c:v>
                </c:pt>
                <c:pt idx="100">
                  <c:v>5.7893465187385017E-3</c:v>
                </c:pt>
                <c:pt idx="101">
                  <c:v>5.9026998834724167E-3</c:v>
                </c:pt>
                <c:pt idx="102">
                  <c:v>5.9599836766147454E-3</c:v>
                </c:pt>
                <c:pt idx="103">
                  <c:v>6.2869099862423545E-3</c:v>
                </c:pt>
                <c:pt idx="104">
                  <c:v>5.9948094742036228E-3</c:v>
                </c:pt>
                <c:pt idx="105">
                  <c:v>5.9568855378731005E-3</c:v>
                </c:pt>
                <c:pt idx="106">
                  <c:v>6.0006470248135726E-3</c:v>
                </c:pt>
                <c:pt idx="107">
                  <c:v>5.9455053598400339E-3</c:v>
                </c:pt>
                <c:pt idx="108">
                  <c:v>6.0791104631275055E-3</c:v>
                </c:pt>
                <c:pt idx="109">
                  <c:v>6.3260152970470735E-3</c:v>
                </c:pt>
                <c:pt idx="110">
                  <c:v>6.5096960182564178E-3</c:v>
                </c:pt>
                <c:pt idx="111">
                  <c:v>6.880643221953823E-3</c:v>
                </c:pt>
                <c:pt idx="112">
                  <c:v>7.1848343939584025E-3</c:v>
                </c:pt>
                <c:pt idx="113">
                  <c:v>8.2856530223610284E-3</c:v>
                </c:pt>
                <c:pt idx="114">
                  <c:v>8.5986951306345569E-3</c:v>
                </c:pt>
                <c:pt idx="115">
                  <c:v>8.7282676031652934E-3</c:v>
                </c:pt>
                <c:pt idx="116">
                  <c:v>9.0678417562060493E-3</c:v>
                </c:pt>
                <c:pt idx="117">
                  <c:v>9.7301465914008175E-3</c:v>
                </c:pt>
                <c:pt idx="118">
                  <c:v>1.0389677052415966E-2</c:v>
                </c:pt>
                <c:pt idx="119">
                  <c:v>1.2077408136883265E-2</c:v>
                </c:pt>
                <c:pt idx="120">
                  <c:v>1.3250159428882928E-2</c:v>
                </c:pt>
                <c:pt idx="121">
                  <c:v>1.4510215621961838E-2</c:v>
                </c:pt>
                <c:pt idx="122">
                  <c:v>1.4649334777038428E-2</c:v>
                </c:pt>
                <c:pt idx="123">
                  <c:v>1.4750521938652825E-2</c:v>
                </c:pt>
                <c:pt idx="124">
                  <c:v>1.5276865655227571E-2</c:v>
                </c:pt>
                <c:pt idx="125">
                  <c:v>1.5668205001619081E-2</c:v>
                </c:pt>
                <c:pt idx="126">
                  <c:v>1.5823228503719693E-2</c:v>
                </c:pt>
                <c:pt idx="127">
                  <c:v>1.6579203441675804E-2</c:v>
                </c:pt>
                <c:pt idx="128">
                  <c:v>1.6979535315554413E-2</c:v>
                </c:pt>
                <c:pt idx="129">
                  <c:v>1.6682190866050873E-2</c:v>
                </c:pt>
                <c:pt idx="130">
                  <c:v>1.6361444270648312E-2</c:v>
                </c:pt>
                <c:pt idx="131">
                  <c:v>1.637472884373635E-2</c:v>
                </c:pt>
                <c:pt idx="132">
                  <c:v>1.602392553177448E-2</c:v>
                </c:pt>
                <c:pt idx="133">
                  <c:v>1.5677600207470728E-2</c:v>
                </c:pt>
                <c:pt idx="134">
                  <c:v>1.4540826471424647E-2</c:v>
                </c:pt>
                <c:pt idx="135">
                  <c:v>1.385389861852389E-2</c:v>
                </c:pt>
                <c:pt idx="136">
                  <c:v>1.3985621837868809E-2</c:v>
                </c:pt>
                <c:pt idx="137">
                  <c:v>1.3706091174936727E-2</c:v>
                </c:pt>
                <c:pt idx="138">
                  <c:v>1.2942721186079757E-2</c:v>
                </c:pt>
                <c:pt idx="139">
                  <c:v>1.2379200789749351E-2</c:v>
                </c:pt>
                <c:pt idx="140">
                  <c:v>1.0910575676418196E-2</c:v>
                </c:pt>
                <c:pt idx="141">
                  <c:v>9.776188713434766E-3</c:v>
                </c:pt>
                <c:pt idx="142">
                  <c:v>8.4574123085465244E-3</c:v>
                </c:pt>
                <c:pt idx="143">
                  <c:v>8.225188392112082E-3</c:v>
                </c:pt>
                <c:pt idx="144">
                  <c:v>7.9646393041132545E-3</c:v>
                </c:pt>
                <c:pt idx="145">
                  <c:v>6.8343468563104347E-3</c:v>
                </c:pt>
                <c:pt idx="146">
                  <c:v>6.9288543360322124E-3</c:v>
                </c:pt>
                <c:pt idx="147">
                  <c:v>6.6762783336777876E-3</c:v>
                </c:pt>
                <c:pt idx="148">
                  <c:v>5.9234771876977756E-3</c:v>
                </c:pt>
                <c:pt idx="149">
                  <c:v>5.4604775140317157E-3</c:v>
                </c:pt>
                <c:pt idx="150">
                  <c:v>5.7701960686735347E-3</c:v>
                </c:pt>
                <c:pt idx="151">
                  <c:v>6.0110296488289743E-3</c:v>
                </c:pt>
                <c:pt idx="152">
                  <c:v>6.7081179624300736E-3</c:v>
                </c:pt>
                <c:pt idx="153">
                  <c:v>6.9123479811866095E-3</c:v>
                </c:pt>
                <c:pt idx="154">
                  <c:v>7.897981640389632E-3</c:v>
                </c:pt>
                <c:pt idx="155">
                  <c:v>8.3983101249448591E-3</c:v>
                </c:pt>
                <c:pt idx="156">
                  <c:v>8.8959309692043485E-3</c:v>
                </c:pt>
                <c:pt idx="157">
                  <c:v>8.8435226976179941E-3</c:v>
                </c:pt>
                <c:pt idx="158">
                  <c:v>9.0368254851370539E-3</c:v>
                </c:pt>
                <c:pt idx="159">
                  <c:v>9.0730935057485411E-3</c:v>
                </c:pt>
                <c:pt idx="160">
                  <c:v>9.9607778591857578E-3</c:v>
                </c:pt>
                <c:pt idx="161">
                  <c:v>1.1004238160454328E-2</c:v>
                </c:pt>
                <c:pt idx="162">
                  <c:v>1.1356313529666031E-2</c:v>
                </c:pt>
                <c:pt idx="163">
                  <c:v>1.1726718946253741E-2</c:v>
                </c:pt>
                <c:pt idx="164">
                  <c:v>1.4145688958764937E-2</c:v>
                </c:pt>
                <c:pt idx="165">
                  <c:v>1.5221008434375436E-2</c:v>
                </c:pt>
                <c:pt idx="166">
                  <c:v>1.5931503527004488E-2</c:v>
                </c:pt>
                <c:pt idx="167">
                  <c:v>1.5540916670252217E-2</c:v>
                </c:pt>
                <c:pt idx="168">
                  <c:v>1.6370963539780965E-2</c:v>
                </c:pt>
                <c:pt idx="169">
                  <c:v>1.7309842863771026E-2</c:v>
                </c:pt>
                <c:pt idx="170">
                  <c:v>1.9204915357975888E-2</c:v>
                </c:pt>
                <c:pt idx="171">
                  <c:v>1.956876987443E-2</c:v>
                </c:pt>
                <c:pt idx="172">
                  <c:v>1.9750479931255688E-2</c:v>
                </c:pt>
                <c:pt idx="173">
                  <c:v>1.9414483612283522E-2</c:v>
                </c:pt>
                <c:pt idx="174">
                  <c:v>1.9222694702100342E-2</c:v>
                </c:pt>
                <c:pt idx="175">
                  <c:v>1.8673740191478178E-2</c:v>
                </c:pt>
                <c:pt idx="176">
                  <c:v>1.8527257128586761E-2</c:v>
                </c:pt>
                <c:pt idx="177">
                  <c:v>1.8058552406876448E-2</c:v>
                </c:pt>
                <c:pt idx="178">
                  <c:v>1.7881216533137158E-2</c:v>
                </c:pt>
                <c:pt idx="179">
                  <c:v>1.8308024940342733E-2</c:v>
                </c:pt>
                <c:pt idx="180">
                  <c:v>1.8707337326469359E-2</c:v>
                </c:pt>
                <c:pt idx="181">
                  <c:v>1.7949225603018659E-2</c:v>
                </c:pt>
                <c:pt idx="182">
                  <c:v>1.691764374695949E-2</c:v>
                </c:pt>
                <c:pt idx="183">
                  <c:v>1.6593133452534842E-2</c:v>
                </c:pt>
                <c:pt idx="184">
                  <c:v>1.6521850457678018E-2</c:v>
                </c:pt>
                <c:pt idx="185">
                  <c:v>1.427478963251683E-2</c:v>
                </c:pt>
                <c:pt idx="186">
                  <c:v>1.3274133828297193E-2</c:v>
                </c:pt>
                <c:pt idx="187">
                  <c:v>1.2715898050582616E-2</c:v>
                </c:pt>
                <c:pt idx="188">
                  <c:v>1.2517285477507184E-2</c:v>
                </c:pt>
                <c:pt idx="189">
                  <c:v>1.1859050484624914E-2</c:v>
                </c:pt>
                <c:pt idx="190">
                  <c:v>1.0812675445307604E-2</c:v>
                </c:pt>
                <c:pt idx="191">
                  <c:v>8.9133484263245414E-3</c:v>
                </c:pt>
                <c:pt idx="192">
                  <c:v>8.2948080438026237E-3</c:v>
                </c:pt>
                <c:pt idx="193">
                  <c:v>8.5490517459081133E-3</c:v>
                </c:pt>
                <c:pt idx="194">
                  <c:v>8.75201479825145E-3</c:v>
                </c:pt>
                <c:pt idx="195">
                  <c:v>8.5171064607840515E-3</c:v>
                </c:pt>
                <c:pt idx="196">
                  <c:v>8.1348520118058217E-3</c:v>
                </c:pt>
                <c:pt idx="197">
                  <c:v>7.7567412947424415E-3</c:v>
                </c:pt>
                <c:pt idx="198">
                  <c:v>7.8868805783483386E-3</c:v>
                </c:pt>
                <c:pt idx="199">
                  <c:v>8.2843883060717081E-3</c:v>
                </c:pt>
                <c:pt idx="200">
                  <c:v>7.8364239224182151E-3</c:v>
                </c:pt>
                <c:pt idx="201">
                  <c:v>7.5531502292640069E-3</c:v>
                </c:pt>
                <c:pt idx="202">
                  <c:v>7.5977159957851944E-3</c:v>
                </c:pt>
                <c:pt idx="203">
                  <c:v>7.670522349399923E-3</c:v>
                </c:pt>
                <c:pt idx="204">
                  <c:v>7.8382574335944272E-3</c:v>
                </c:pt>
                <c:pt idx="205">
                  <c:v>7.5383233953144266E-3</c:v>
                </c:pt>
                <c:pt idx="206">
                  <c:v>7.5578365718391967E-3</c:v>
                </c:pt>
                <c:pt idx="207">
                  <c:v>7.8659843774693157E-3</c:v>
                </c:pt>
                <c:pt idx="208">
                  <c:v>7.8881264878307763E-3</c:v>
                </c:pt>
                <c:pt idx="209">
                  <c:v>7.9607537480731825E-3</c:v>
                </c:pt>
                <c:pt idx="210">
                  <c:v>7.819782222134081E-3</c:v>
                </c:pt>
                <c:pt idx="211">
                  <c:v>8.0099487998311295E-3</c:v>
                </c:pt>
                <c:pt idx="212">
                  <c:v>8.3116422372280108E-3</c:v>
                </c:pt>
                <c:pt idx="213">
                  <c:v>8.3430244545549016E-3</c:v>
                </c:pt>
                <c:pt idx="214">
                  <c:v>8.5458181124852574E-3</c:v>
                </c:pt>
                <c:pt idx="215">
                  <c:v>7.7761724918525166E-3</c:v>
                </c:pt>
                <c:pt idx="216">
                  <c:v>8.2229897489380973E-3</c:v>
                </c:pt>
                <c:pt idx="217">
                  <c:v>8.0953554601091247E-3</c:v>
                </c:pt>
                <c:pt idx="218">
                  <c:v>8.4872033810082567E-3</c:v>
                </c:pt>
                <c:pt idx="219">
                  <c:v>8.3179465884053311E-3</c:v>
                </c:pt>
                <c:pt idx="220">
                  <c:v>7.9164360285335321E-3</c:v>
                </c:pt>
                <c:pt idx="221">
                  <c:v>7.6510893212232527E-3</c:v>
                </c:pt>
                <c:pt idx="222">
                  <c:v>7.5721246613279173E-3</c:v>
                </c:pt>
                <c:pt idx="223">
                  <c:v>7.7237757398141253E-3</c:v>
                </c:pt>
                <c:pt idx="224">
                  <c:v>7.3931634490260953E-3</c:v>
                </c:pt>
                <c:pt idx="225">
                  <c:v>7.1521245098682034E-3</c:v>
                </c:pt>
                <c:pt idx="226">
                  <c:v>7.2143865272922478E-3</c:v>
                </c:pt>
                <c:pt idx="227">
                  <c:v>7.1530807055659026E-3</c:v>
                </c:pt>
                <c:pt idx="228">
                  <c:v>7.0427245455064276E-3</c:v>
                </c:pt>
                <c:pt idx="229">
                  <c:v>7.2601166936230969E-3</c:v>
                </c:pt>
                <c:pt idx="230">
                  <c:v>7.3302395263669922E-3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CA-4B7A-8C22-1DB85751E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9677856"/>
        <c:axId val="1069676416"/>
      </c:lineChart>
      <c:dateAx>
        <c:axId val="1069675456"/>
        <c:scaling>
          <c:orientation val="minMax"/>
        </c:scaling>
        <c:delete val="0"/>
        <c:axPos val="b"/>
        <c:numFmt formatCode="mm/d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69672576"/>
        <c:crosses val="autoZero"/>
        <c:auto val="0"/>
        <c:lblOffset val="100"/>
        <c:baseTimeUnit val="days"/>
      </c:dateAx>
      <c:valAx>
        <c:axId val="106967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69675456"/>
        <c:crosses val="autoZero"/>
        <c:crossBetween val="between"/>
      </c:valAx>
      <c:valAx>
        <c:axId val="106967641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69677856"/>
        <c:crosses val="max"/>
        <c:crossBetween val="between"/>
      </c:valAx>
      <c:dateAx>
        <c:axId val="1069677856"/>
        <c:scaling>
          <c:orientation val="minMax"/>
        </c:scaling>
        <c:delete val="1"/>
        <c:axPos val="b"/>
        <c:numFmt formatCode="mm/dd/yy" sourceLinked="1"/>
        <c:majorTickMark val="out"/>
        <c:minorTickMark val="none"/>
        <c:tickLblPos val="nextTo"/>
        <c:crossAx val="1069676416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653143</xdr:colOff>
      <xdr:row>7</xdr:row>
      <xdr:rowOff>22679</xdr:rowOff>
    </xdr:from>
    <xdr:to>
      <xdr:col>12</xdr:col>
      <xdr:colOff>131536</xdr:colOff>
      <xdr:row>8</xdr:row>
      <xdr:rowOff>27214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881C3E26-09D5-9356-1BDB-12721FC3C8A6}"/>
            </a:ext>
          </a:extLst>
        </xdr:cNvPr>
        <xdr:cNvCxnSpPr/>
      </xdr:nvCxnSpPr>
      <xdr:spPr>
        <a:xfrm flipV="1">
          <a:off x="7556500" y="1356179"/>
          <a:ext cx="1065893" cy="19503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9071</xdr:colOff>
      <xdr:row>236</xdr:row>
      <xdr:rowOff>9075</xdr:rowOff>
    </xdr:from>
    <xdr:to>
      <xdr:col>19</xdr:col>
      <xdr:colOff>104321</xdr:colOff>
      <xdr:row>250</xdr:row>
      <xdr:rowOff>85275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E8BF758-FBDC-2BA5-0625-7AA3784593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B5547-1527-4371-A3E3-6C95B49972F4}">
  <sheetPr>
    <outlinePr summaryBelow="0" summaryRight="0"/>
  </sheetPr>
  <dimension ref="A1:O255"/>
  <sheetViews>
    <sheetView tabSelected="1" topLeftCell="B1" zoomScale="140" zoomScaleNormal="140" workbookViewId="0">
      <pane ySplit="3" topLeftCell="A7" activePane="bottomLeft" state="frozen"/>
      <selection pane="bottomLeft" activeCell="M16" sqref="M16"/>
    </sheetView>
  </sheetViews>
  <sheetFormatPr baseColWidth="10" defaultColWidth="9.140625" defaultRowHeight="15" customHeight="1" x14ac:dyDescent="0.2"/>
  <cols>
    <col min="1" max="1" width="8.42578125" customWidth="1"/>
    <col min="2" max="2" width="5" customWidth="1"/>
    <col min="3" max="3" width="16.42578125" customWidth="1"/>
    <col min="4" max="4" width="8.28515625" customWidth="1"/>
    <col min="5" max="5" width="10.28515625" customWidth="1"/>
    <col min="6" max="7" width="4.85546875" customWidth="1"/>
    <col min="8" max="8" width="13.42578125" customWidth="1"/>
    <col min="9" max="9" width="7.28515625" customWidth="1"/>
    <col min="10" max="10" width="11" bestFit="1" customWidth="1"/>
    <col min="12" max="12" width="22.7109375" bestFit="1" customWidth="1"/>
    <col min="13" max="13" width="12" bestFit="1" customWidth="1"/>
    <col min="15" max="15" width="10" bestFit="1" customWidth="1"/>
  </cols>
  <sheetData>
    <row r="1" spans="1:15" ht="15" customHeight="1" x14ac:dyDescent="0.2">
      <c r="A1" s="1" t="s">
        <v>0</v>
      </c>
    </row>
    <row r="3" spans="1:15" ht="15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5" ht="15" customHeight="1" x14ac:dyDescent="0.2">
      <c r="A4" s="3">
        <v>46050</v>
      </c>
      <c r="B4" s="4">
        <v>3.7469999999999999</v>
      </c>
      <c r="C4" s="4">
        <v>3.7320000000000002</v>
      </c>
      <c r="D4" s="4">
        <v>-7.3999999999999802E-2</v>
      </c>
      <c r="E4" s="4">
        <v>-1.9371727748690999</v>
      </c>
      <c r="F4" s="4">
        <v>3.746</v>
      </c>
      <c r="G4" s="4">
        <v>3.7480000000000002</v>
      </c>
      <c r="H4" s="4">
        <v>339123</v>
      </c>
      <c r="I4" s="5">
        <v>1796</v>
      </c>
      <c r="J4" s="9">
        <f>(G4-F4)/AVERAGE(F4:G4)</f>
        <v>5.3376034160667837E-4</v>
      </c>
      <c r="L4" t="s">
        <v>11</v>
      </c>
      <c r="M4" s="10">
        <f>AVERAGE(J4:J255)</f>
        <v>9.7777784158101094E-3</v>
      </c>
    </row>
    <row r="5" spans="1:15" ht="15" customHeight="1" x14ac:dyDescent="0.2">
      <c r="A5" s="6">
        <v>46049</v>
      </c>
      <c r="B5" s="7">
        <v>3.7789999999999999</v>
      </c>
      <c r="C5" s="7">
        <v>3.82</v>
      </c>
      <c r="D5" s="7">
        <v>-7.8000000000000194E-2</v>
      </c>
      <c r="E5" s="7">
        <v>-2.0010261672652701</v>
      </c>
      <c r="F5" s="7">
        <v>3.7709999999999999</v>
      </c>
      <c r="G5" s="7">
        <v>3.8079999999999998</v>
      </c>
      <c r="H5" s="7">
        <v>346559</v>
      </c>
      <c r="I5" s="8">
        <v>235442</v>
      </c>
      <c r="J5" s="9">
        <f t="shared" ref="J5:J68" si="0">(G5-F5)/AVERAGE(F5:G5)</f>
        <v>9.7638210845757811E-3</v>
      </c>
      <c r="L5" t="s">
        <v>12</v>
      </c>
      <c r="M5" s="9">
        <f>_xlfn.STDEV.S(J4:J255)</f>
        <v>7.6721116861763698E-3</v>
      </c>
    </row>
    <row r="6" spans="1:15" ht="15" customHeight="1" x14ac:dyDescent="0.2">
      <c r="A6" s="3">
        <v>46048</v>
      </c>
      <c r="B6" s="4">
        <v>3.8519999999999999</v>
      </c>
      <c r="C6" s="4">
        <v>3.8980000000000001</v>
      </c>
      <c r="D6" s="4">
        <v>0.28899999999999998</v>
      </c>
      <c r="E6" s="4">
        <v>8.0077583818232103</v>
      </c>
      <c r="F6" s="4">
        <v>3.8460000000000001</v>
      </c>
      <c r="G6" s="4">
        <v>3.86</v>
      </c>
      <c r="H6" s="4">
        <v>340949</v>
      </c>
      <c r="I6" s="5">
        <v>323773</v>
      </c>
      <c r="J6" s="9">
        <f t="shared" si="0"/>
        <v>3.6335323124837247E-3</v>
      </c>
    </row>
    <row r="7" spans="1:15" ht="15" customHeight="1" x14ac:dyDescent="0.2">
      <c r="A7" s="6">
        <v>46045</v>
      </c>
      <c r="B7" s="7">
        <v>3.6429999999999998</v>
      </c>
      <c r="C7" s="7">
        <v>3.609</v>
      </c>
      <c r="D7" s="7">
        <v>3.10000000000001E-2</v>
      </c>
      <c r="E7" s="7">
        <v>0.86640581330352795</v>
      </c>
      <c r="F7" s="7">
        <v>3.63</v>
      </c>
      <c r="G7" s="7">
        <v>3.6429999999999998</v>
      </c>
      <c r="H7" s="7">
        <v>333858</v>
      </c>
      <c r="I7" s="8">
        <v>214647</v>
      </c>
      <c r="J7" s="9">
        <f t="shared" si="0"/>
        <v>3.5748659425271279E-3</v>
      </c>
      <c r="L7" s="1" t="s">
        <v>13</v>
      </c>
    </row>
    <row r="8" spans="1:15" ht="15" customHeight="1" x14ac:dyDescent="0.2">
      <c r="A8" s="3">
        <v>46044</v>
      </c>
      <c r="B8" s="4">
        <v>3.4710000000000001</v>
      </c>
      <c r="C8" s="4">
        <v>3.5779999999999998</v>
      </c>
      <c r="D8" s="4">
        <v>4.2999999999999698E-2</v>
      </c>
      <c r="E8" s="4">
        <v>1.21640735502119</v>
      </c>
      <c r="F8" s="4">
        <v>3.45</v>
      </c>
      <c r="G8" s="4">
        <v>3.4950000000000001</v>
      </c>
      <c r="H8" s="4">
        <v>343616</v>
      </c>
      <c r="I8" s="5">
        <v>318527</v>
      </c>
      <c r="J8" s="9">
        <f t="shared" si="0"/>
        <v>1.2958963282937344E-2</v>
      </c>
    </row>
    <row r="9" spans="1:15" ht="15" customHeight="1" x14ac:dyDescent="0.2">
      <c r="A9" s="6">
        <v>46043</v>
      </c>
      <c r="B9" s="7">
        <v>3.5289999999999999</v>
      </c>
      <c r="C9" s="7">
        <v>3.5350000000000001</v>
      </c>
      <c r="D9" s="7">
        <v>0.30099999999999999</v>
      </c>
      <c r="E9" s="7">
        <v>9.3073593073593095</v>
      </c>
      <c r="F9" s="7">
        <v>3.5049999999999999</v>
      </c>
      <c r="G9" s="7">
        <v>3.5369999999999999</v>
      </c>
      <c r="H9" s="7">
        <v>359187</v>
      </c>
      <c r="I9" s="8">
        <v>331009</v>
      </c>
      <c r="J9" s="9">
        <f t="shared" si="0"/>
        <v>9.0883271797784805E-3</v>
      </c>
      <c r="L9" t="s">
        <v>14</v>
      </c>
      <c r="O9">
        <f>0.5*(M4+2.33*M5)</f>
        <v>1.3826899322300525E-2</v>
      </c>
    </row>
    <row r="10" spans="1:15" ht="15" customHeight="1" x14ac:dyDescent="0.2">
      <c r="A10" s="3">
        <v>46042</v>
      </c>
      <c r="B10" s="4">
        <v>3.1840000000000002</v>
      </c>
      <c r="C10" s="4">
        <v>3.234</v>
      </c>
      <c r="D10" s="4">
        <v>0.53600000000000003</v>
      </c>
      <c r="E10" s="4">
        <v>19.866567828020699</v>
      </c>
      <c r="F10" s="4">
        <v>3.177</v>
      </c>
      <c r="G10" s="4">
        <v>3.242</v>
      </c>
      <c r="H10" s="4">
        <v>373498</v>
      </c>
      <c r="I10" s="5">
        <v>369286</v>
      </c>
      <c r="J10" s="9">
        <f>(G10-F10)/AVERAGE(F10:G10)</f>
        <v>2.0252375759464075E-2</v>
      </c>
    </row>
    <row r="11" spans="1:15" ht="15" customHeight="1" x14ac:dyDescent="0.2">
      <c r="A11" s="6">
        <v>46038</v>
      </c>
      <c r="B11" s="7">
        <v>2.702</v>
      </c>
      <c r="C11" s="7">
        <v>2.698</v>
      </c>
      <c r="D11" s="7">
        <v>2.8999999999999901E-2</v>
      </c>
      <c r="E11" s="7">
        <v>1.08654926938929</v>
      </c>
      <c r="F11" s="7">
        <v>2.6680000000000001</v>
      </c>
      <c r="G11" s="7">
        <v>2.7080000000000002</v>
      </c>
      <c r="H11" s="7">
        <v>361295</v>
      </c>
      <c r="I11" s="8">
        <v>99423</v>
      </c>
      <c r="J11" s="9">
        <f t="shared" si="0"/>
        <v>1.4880952380952394E-2</v>
      </c>
      <c r="L11" t="s">
        <v>15</v>
      </c>
      <c r="M11">
        <f>NORMSINV(0.99)</f>
        <v>2.3263478740408408</v>
      </c>
    </row>
    <row r="12" spans="1:15" ht="15" customHeight="1" x14ac:dyDescent="0.2">
      <c r="A12" s="3">
        <v>46037</v>
      </c>
      <c r="B12" s="4">
        <v>2.6819999999999999</v>
      </c>
      <c r="C12" s="4">
        <v>2.669</v>
      </c>
      <c r="D12" s="4">
        <v>-4.9999999999999802E-2</v>
      </c>
      <c r="E12" s="4">
        <v>-1.8389113644722199</v>
      </c>
      <c r="F12" s="4">
        <v>2.669</v>
      </c>
      <c r="G12" s="4">
        <v>2.6960000000000002</v>
      </c>
      <c r="H12" s="4">
        <v>354151</v>
      </c>
      <c r="I12" s="5">
        <v>131412</v>
      </c>
      <c r="J12" s="9">
        <f t="shared" si="0"/>
        <v>1.0065237651444597E-2</v>
      </c>
      <c r="L12" t="s">
        <v>16</v>
      </c>
      <c r="M12">
        <f>NORMSINV(0.975)</f>
        <v>1.9599639845400536</v>
      </c>
    </row>
    <row r="13" spans="1:15" ht="15" customHeight="1" x14ac:dyDescent="0.2">
      <c r="A13" s="6">
        <v>46036</v>
      </c>
      <c r="B13" s="7">
        <v>2.698</v>
      </c>
      <c r="C13" s="7">
        <v>2.7189999999999999</v>
      </c>
      <c r="D13" s="7">
        <v>-0.16300000000000001</v>
      </c>
      <c r="E13" s="7">
        <v>-5.6557945870923101</v>
      </c>
      <c r="F13" s="7">
        <v>2.6659999999999999</v>
      </c>
      <c r="G13" s="7">
        <v>2.7069999999999999</v>
      </c>
      <c r="H13" s="7">
        <v>348085</v>
      </c>
      <c r="I13" s="8">
        <v>157286</v>
      </c>
      <c r="J13" s="9">
        <f t="shared" si="0"/>
        <v>1.5261492648427296E-2</v>
      </c>
      <c r="L13" t="s">
        <v>17</v>
      </c>
      <c r="M13">
        <f>NORMSINV(0.95)</f>
        <v>1.6448536269514715</v>
      </c>
    </row>
    <row r="14" spans="1:15" ht="15" customHeight="1" x14ac:dyDescent="0.2">
      <c r="A14" s="3">
        <v>46035</v>
      </c>
      <c r="B14" s="4">
        <v>2.8479999999999999</v>
      </c>
      <c r="C14" s="4">
        <v>2.8820000000000001</v>
      </c>
      <c r="D14" s="4">
        <v>3.00000000000002E-2</v>
      </c>
      <c r="E14" s="4">
        <v>1.05189340813465</v>
      </c>
      <c r="F14" s="4">
        <v>2.835</v>
      </c>
      <c r="G14" s="4">
        <v>2.9060000000000001</v>
      </c>
      <c r="H14" s="4">
        <v>348014</v>
      </c>
      <c r="I14" s="5">
        <v>114094</v>
      </c>
      <c r="J14" s="9">
        <f t="shared" si="0"/>
        <v>2.473436683504622E-2</v>
      </c>
    </row>
    <row r="15" spans="1:15" ht="15" customHeight="1" x14ac:dyDescent="0.2">
      <c r="A15" s="6">
        <v>46034</v>
      </c>
      <c r="B15" s="7">
        <v>2.8119999999999998</v>
      </c>
      <c r="C15" s="7">
        <v>2.8519999999999999</v>
      </c>
      <c r="D15" s="7">
        <v>0.217999999999999</v>
      </c>
      <c r="E15" s="7">
        <v>8.2763857251328705</v>
      </c>
      <c r="F15" s="7">
        <v>2.8010000000000002</v>
      </c>
      <c r="G15" s="7">
        <v>2.84</v>
      </c>
      <c r="H15" s="7">
        <v>358400</v>
      </c>
      <c r="I15" s="8">
        <v>180500</v>
      </c>
      <c r="J15" s="9">
        <f t="shared" si="0"/>
        <v>1.382733557879798E-2</v>
      </c>
      <c r="L15" t="s">
        <v>18</v>
      </c>
      <c r="M15">
        <f>LARGE(J4:J255,3)</f>
        <v>3.7780752640190325E-2</v>
      </c>
      <c r="N15" t="s">
        <v>19</v>
      </c>
    </row>
    <row r="16" spans="1:15" ht="15" customHeight="1" x14ac:dyDescent="0.2">
      <c r="A16" s="3">
        <v>46031</v>
      </c>
      <c r="B16" s="4">
        <v>2.6259999999999999</v>
      </c>
      <c r="C16" s="4">
        <v>2.6339999999999999</v>
      </c>
      <c r="D16" s="4">
        <v>-0.184</v>
      </c>
      <c r="E16" s="4">
        <v>-6.5294535131298899</v>
      </c>
      <c r="F16" s="4">
        <v>2.6240000000000001</v>
      </c>
      <c r="G16" s="4">
        <v>2.669</v>
      </c>
      <c r="H16" s="4">
        <v>327206</v>
      </c>
      <c r="I16" s="5">
        <v>239167</v>
      </c>
      <c r="J16" s="9">
        <f t="shared" si="0"/>
        <v>1.7003589646703166E-2</v>
      </c>
      <c r="M16" s="11" t="s">
        <v>21</v>
      </c>
    </row>
    <row r="17" spans="1:13" ht="15" customHeight="1" x14ac:dyDescent="0.2">
      <c r="A17" s="6">
        <v>46030</v>
      </c>
      <c r="B17" s="7">
        <v>2.8220000000000001</v>
      </c>
      <c r="C17" s="7">
        <v>2.8180000000000001</v>
      </c>
      <c r="D17" s="7">
        <v>-9.4999999999999696E-2</v>
      </c>
      <c r="E17" s="7">
        <v>-3.2612427051149901</v>
      </c>
      <c r="F17" s="7">
        <v>2.8140000000000001</v>
      </c>
      <c r="G17" s="7">
        <v>2.8439999999999999</v>
      </c>
      <c r="H17" s="7">
        <v>319514</v>
      </c>
      <c r="I17" s="8">
        <v>113282</v>
      </c>
      <c r="J17" s="9">
        <f t="shared" si="0"/>
        <v>1.0604453870625594E-2</v>
      </c>
      <c r="M17" s="11" t="s">
        <v>22</v>
      </c>
    </row>
    <row r="18" spans="1:13" ht="15" customHeight="1" x14ac:dyDescent="0.2">
      <c r="A18" s="3">
        <v>46029</v>
      </c>
      <c r="B18" s="4">
        <v>2.9359999999999999</v>
      </c>
      <c r="C18" s="4">
        <v>2.9129999999999998</v>
      </c>
      <c r="D18" s="4">
        <v>8.4999999999999895E-2</v>
      </c>
      <c r="E18" s="4">
        <v>3.0056577086279899</v>
      </c>
      <c r="F18" s="4">
        <v>2.91</v>
      </c>
      <c r="G18" s="4">
        <v>2.9649999999999999</v>
      </c>
      <c r="H18" s="4">
        <v>309837</v>
      </c>
      <c r="I18" s="5">
        <v>90514</v>
      </c>
      <c r="J18" s="9">
        <f t="shared" si="0"/>
        <v>1.8723404255319053E-2</v>
      </c>
      <c r="M18" s="11" t="s">
        <v>23</v>
      </c>
    </row>
    <row r="19" spans="1:13" ht="15" customHeight="1" x14ac:dyDescent="0.2">
      <c r="A19" s="6">
        <v>46028</v>
      </c>
      <c r="B19" s="7">
        <v>2.8730000000000002</v>
      </c>
      <c r="C19" s="7">
        <v>2.8279999999999998</v>
      </c>
      <c r="D19" s="7">
        <v>-6.4999999999999905E-2</v>
      </c>
      <c r="E19" s="7">
        <v>-2.2468026270307599</v>
      </c>
      <c r="F19" s="7">
        <v>2.835</v>
      </c>
      <c r="G19" s="7">
        <v>2.88</v>
      </c>
      <c r="H19" s="7">
        <v>305708</v>
      </c>
      <c r="I19" s="8">
        <v>83481</v>
      </c>
      <c r="J19" s="9">
        <f t="shared" si="0"/>
        <v>1.5748031496062968E-2</v>
      </c>
      <c r="M19" s="11" t="s">
        <v>24</v>
      </c>
    </row>
    <row r="20" spans="1:13" ht="15" customHeight="1" x14ac:dyDescent="0.2">
      <c r="A20" s="3">
        <v>46027</v>
      </c>
      <c r="B20" s="4">
        <v>2.8860000000000001</v>
      </c>
      <c r="C20" s="4">
        <v>2.8929999999999998</v>
      </c>
      <c r="D20" s="4">
        <v>-0.15</v>
      </c>
      <c r="E20" s="4">
        <v>-4.9293460400920299</v>
      </c>
      <c r="F20" s="4">
        <v>2.867</v>
      </c>
      <c r="G20" s="4">
        <v>2.895</v>
      </c>
      <c r="H20" s="4">
        <v>289360</v>
      </c>
      <c r="I20" s="5">
        <v>167987</v>
      </c>
      <c r="J20" s="9">
        <f t="shared" si="0"/>
        <v>9.7188476223533573E-3</v>
      </c>
    </row>
    <row r="21" spans="1:13" ht="15" customHeight="1" x14ac:dyDescent="0.2">
      <c r="A21" s="6">
        <v>46024</v>
      </c>
      <c r="B21" s="7">
        <v>3.0609999999999999</v>
      </c>
      <c r="C21" s="7">
        <v>3.0430000000000001</v>
      </c>
      <c r="D21" s="7">
        <v>-8.6999999999999703E-2</v>
      </c>
      <c r="E21" s="7">
        <v>-2.77955271565494</v>
      </c>
      <c r="F21" s="7">
        <v>3.0579999999999998</v>
      </c>
      <c r="G21" s="7">
        <v>3.0960000000000001</v>
      </c>
      <c r="H21" s="7">
        <v>282060</v>
      </c>
      <c r="I21" s="8">
        <v>75530</v>
      </c>
      <c r="J21" s="9">
        <f t="shared" si="0"/>
        <v>1.2349691257718641E-2</v>
      </c>
    </row>
    <row r="22" spans="1:13" ht="15" customHeight="1" x14ac:dyDescent="0.2">
      <c r="A22" s="3">
        <v>46022</v>
      </c>
      <c r="B22" s="4">
        <v>3.1589999999999998</v>
      </c>
      <c r="C22" s="4">
        <v>3.13</v>
      </c>
      <c r="D22" s="4">
        <v>-0.217999999999999</v>
      </c>
      <c r="E22" s="4">
        <v>-6.5113500597371496</v>
      </c>
      <c r="F22" s="4">
        <v>3.1240000000000001</v>
      </c>
      <c r="G22" s="4">
        <v>3.1739999999999999</v>
      </c>
      <c r="H22" s="4">
        <v>271173</v>
      </c>
      <c r="I22" s="5">
        <v>88472</v>
      </c>
      <c r="J22" s="9">
        <f t="shared" si="0"/>
        <v>1.5878056525881177E-2</v>
      </c>
    </row>
    <row r="23" spans="1:13" ht="15" customHeight="1" x14ac:dyDescent="0.2">
      <c r="A23" s="6">
        <v>46021</v>
      </c>
      <c r="B23" s="7">
        <v>3.355</v>
      </c>
      <c r="C23" s="7">
        <v>3.3479999999999999</v>
      </c>
      <c r="D23" s="7">
        <v>-1.339</v>
      </c>
      <c r="E23" s="7">
        <v>-28.568380627266901</v>
      </c>
      <c r="F23" s="7">
        <v>3.33</v>
      </c>
      <c r="G23" s="7">
        <v>3.4249999999999998</v>
      </c>
      <c r="H23" s="7">
        <v>271002</v>
      </c>
      <c r="I23" s="8">
        <v>72568</v>
      </c>
      <c r="J23" s="9">
        <f t="shared" si="0"/>
        <v>2.8127313101406294E-2</v>
      </c>
    </row>
    <row r="24" spans="1:13" ht="15" customHeight="1" x14ac:dyDescent="0.2">
      <c r="A24" s="3">
        <v>46020</v>
      </c>
      <c r="B24" s="4">
        <v>4.6580000000000004</v>
      </c>
      <c r="C24" s="4">
        <v>4.6870000000000003</v>
      </c>
      <c r="D24" s="4">
        <v>0.32100000000000001</v>
      </c>
      <c r="E24" s="4">
        <v>7.3522675217590496</v>
      </c>
      <c r="F24" s="4">
        <v>4.59</v>
      </c>
      <c r="G24" s="4">
        <v>4.6580000000000004</v>
      </c>
      <c r="H24" s="4">
        <v>4827</v>
      </c>
      <c r="I24" s="5">
        <v>6913</v>
      </c>
      <c r="J24" s="9">
        <f t="shared" si="0"/>
        <v>1.4705882352941284E-2</v>
      </c>
    </row>
    <row r="25" spans="1:13" ht="15" customHeight="1" x14ac:dyDescent="0.2">
      <c r="A25" s="6">
        <v>46017</v>
      </c>
      <c r="B25" s="7">
        <v>4.4210000000000003</v>
      </c>
      <c r="C25" s="7">
        <v>4.3659999999999997</v>
      </c>
      <c r="D25" s="7">
        <v>0.123999999999999</v>
      </c>
      <c r="E25" s="7">
        <v>2.92314945780292</v>
      </c>
      <c r="F25" s="7">
        <v>4.32</v>
      </c>
      <c r="G25" s="7">
        <v>4.4139999999999997</v>
      </c>
      <c r="H25" s="7">
        <v>17100</v>
      </c>
      <c r="I25" s="8">
        <v>34046</v>
      </c>
      <c r="J25" s="9">
        <f t="shared" si="0"/>
        <v>2.1525074421799729E-2</v>
      </c>
    </row>
    <row r="26" spans="1:13" ht="15" customHeight="1" x14ac:dyDescent="0.2">
      <c r="A26" s="3">
        <v>46015</v>
      </c>
      <c r="B26" s="4">
        <v>4.2489999999999997</v>
      </c>
      <c r="C26" s="4">
        <v>4.242</v>
      </c>
      <c r="D26" s="4">
        <v>-0.16600000000000001</v>
      </c>
      <c r="E26" s="4">
        <v>-3.7658802177858499</v>
      </c>
      <c r="F26" s="4">
        <v>4.18</v>
      </c>
      <c r="G26" s="4">
        <v>4.2859999999999996</v>
      </c>
      <c r="H26" s="4">
        <v>21343</v>
      </c>
      <c r="I26" s="5">
        <v>53257</v>
      </c>
      <c r="J26" s="9">
        <f t="shared" si="0"/>
        <v>2.5041341837939966E-2</v>
      </c>
    </row>
    <row r="27" spans="1:13" ht="15" customHeight="1" x14ac:dyDescent="0.2">
      <c r="A27" s="6">
        <v>46014</v>
      </c>
      <c r="B27" s="7">
        <v>4.4130000000000003</v>
      </c>
      <c r="C27" s="7">
        <v>4.4080000000000004</v>
      </c>
      <c r="D27" s="7">
        <v>0.443</v>
      </c>
      <c r="E27" s="7">
        <v>11.1727616645649</v>
      </c>
      <c r="F27" s="7">
        <v>4.4029999999999996</v>
      </c>
      <c r="G27" s="7">
        <v>4.4249999999999998</v>
      </c>
      <c r="H27" s="7">
        <v>31367</v>
      </c>
      <c r="I27" s="8">
        <v>118198</v>
      </c>
      <c r="J27" s="9">
        <f t="shared" si="0"/>
        <v>4.9841413683734126E-3</v>
      </c>
    </row>
    <row r="28" spans="1:13" ht="15" customHeight="1" x14ac:dyDescent="0.2">
      <c r="A28" s="3">
        <v>46013</v>
      </c>
      <c r="B28" s="4">
        <v>3.9940000000000002</v>
      </c>
      <c r="C28" s="4">
        <v>3.9649999999999999</v>
      </c>
      <c r="D28" s="4">
        <v>-1.90000000000001E-2</v>
      </c>
      <c r="E28" s="4">
        <v>-0.47690763052209401</v>
      </c>
      <c r="F28" s="4">
        <v>3.9820000000000002</v>
      </c>
      <c r="G28" s="4">
        <v>4</v>
      </c>
      <c r="H28" s="4">
        <v>45868</v>
      </c>
      <c r="I28" s="5">
        <v>151112</v>
      </c>
      <c r="J28" s="9">
        <f t="shared" si="0"/>
        <v>4.5101478326233513E-3</v>
      </c>
    </row>
    <row r="29" spans="1:13" ht="15" customHeight="1" x14ac:dyDescent="0.2">
      <c r="A29" s="6">
        <v>46010</v>
      </c>
      <c r="B29" s="7">
        <v>4.0259999999999998</v>
      </c>
      <c r="C29" s="7">
        <v>3.984</v>
      </c>
      <c r="D29" s="7">
        <v>7.5999999999999998E-2</v>
      </c>
      <c r="E29" s="7">
        <v>1.9447287615148301</v>
      </c>
      <c r="F29" s="7">
        <v>3.9860000000000002</v>
      </c>
      <c r="G29" s="7">
        <v>4.03</v>
      </c>
      <c r="H29" s="7">
        <v>68012</v>
      </c>
      <c r="I29" s="8">
        <v>138875</v>
      </c>
      <c r="J29" s="9">
        <f t="shared" si="0"/>
        <v>1.0978043912175658E-2</v>
      </c>
    </row>
    <row r="30" spans="1:13" ht="15" customHeight="1" x14ac:dyDescent="0.2">
      <c r="A30" s="3">
        <v>46009</v>
      </c>
      <c r="B30" s="4">
        <v>3.944</v>
      </c>
      <c r="C30" s="4">
        <v>3.9079999999999999</v>
      </c>
      <c r="D30" s="4">
        <v>-0.11600000000000001</v>
      </c>
      <c r="E30" s="4">
        <v>-2.8827037773359798</v>
      </c>
      <c r="F30" s="4">
        <v>3.895</v>
      </c>
      <c r="G30" s="4">
        <v>3.9489999999999998</v>
      </c>
      <c r="H30" s="4">
        <v>73039</v>
      </c>
      <c r="I30" s="5">
        <v>148450</v>
      </c>
      <c r="J30" s="9">
        <f t="shared" si="0"/>
        <v>1.376848546659863E-2</v>
      </c>
    </row>
    <row r="31" spans="1:13" ht="15" customHeight="1" x14ac:dyDescent="0.2">
      <c r="A31" s="6">
        <v>46008</v>
      </c>
      <c r="B31" s="7">
        <v>4.1040000000000001</v>
      </c>
      <c r="C31" s="7">
        <v>4.024</v>
      </c>
      <c r="D31" s="7">
        <v>0.13799999999999901</v>
      </c>
      <c r="E31" s="7">
        <v>3.5512094698919099</v>
      </c>
      <c r="F31" s="7">
        <v>4.0970000000000004</v>
      </c>
      <c r="G31" s="7">
        <v>4.1079999999999997</v>
      </c>
      <c r="H31" s="7">
        <v>81229</v>
      </c>
      <c r="I31" s="8">
        <v>140782</v>
      </c>
      <c r="J31" s="9">
        <f t="shared" si="0"/>
        <v>2.6812918951856753E-3</v>
      </c>
    </row>
    <row r="32" spans="1:13" ht="15" customHeight="1" x14ac:dyDescent="0.2">
      <c r="A32" s="3">
        <v>46007</v>
      </c>
      <c r="B32" s="4">
        <v>3.9380000000000002</v>
      </c>
      <c r="C32" s="4">
        <v>3.8860000000000001</v>
      </c>
      <c r="D32" s="4">
        <v>-0.125999999999999</v>
      </c>
      <c r="E32" s="4">
        <v>-3.1405782652043701</v>
      </c>
      <c r="F32" s="4">
        <v>3.9009999999999998</v>
      </c>
      <c r="G32" s="4">
        <v>3.948</v>
      </c>
      <c r="H32" s="4">
        <v>85322</v>
      </c>
      <c r="I32" s="5">
        <v>146126</v>
      </c>
      <c r="J32" s="9">
        <f t="shared" si="0"/>
        <v>1.1976047904191656E-2</v>
      </c>
    </row>
    <row r="33" spans="1:10" ht="15" customHeight="1" x14ac:dyDescent="0.2">
      <c r="A33" s="6">
        <v>46006</v>
      </c>
      <c r="B33" s="7">
        <v>4.0350000000000001</v>
      </c>
      <c r="C33" s="7">
        <v>4.0119999999999996</v>
      </c>
      <c r="D33" s="7">
        <v>-0.10100000000000001</v>
      </c>
      <c r="E33" s="7">
        <v>-2.4556284950158198</v>
      </c>
      <c r="F33" s="7">
        <v>4.0149999999999997</v>
      </c>
      <c r="G33" s="7">
        <v>4.048</v>
      </c>
      <c r="H33" s="7">
        <v>101151</v>
      </c>
      <c r="I33" s="8">
        <v>154446</v>
      </c>
      <c r="J33" s="9">
        <f t="shared" si="0"/>
        <v>8.1855388813097778E-3</v>
      </c>
    </row>
    <row r="34" spans="1:10" ht="15" customHeight="1" x14ac:dyDescent="0.2">
      <c r="A34" s="3">
        <v>46003</v>
      </c>
      <c r="B34" s="4">
        <v>4.101</v>
      </c>
      <c r="C34" s="4">
        <v>4.1130000000000004</v>
      </c>
      <c r="D34" s="4">
        <v>-0.11799999999999899</v>
      </c>
      <c r="E34" s="4">
        <v>-2.7889387851571499</v>
      </c>
      <c r="F34" s="4">
        <v>4.0739999999999998</v>
      </c>
      <c r="G34" s="4">
        <v>4.1760000000000002</v>
      </c>
      <c r="H34" s="4">
        <v>107182</v>
      </c>
      <c r="I34" s="5">
        <v>188647</v>
      </c>
      <c r="J34" s="9">
        <f t="shared" si="0"/>
        <v>2.4727272727272803E-2</v>
      </c>
    </row>
    <row r="35" spans="1:10" ht="15" customHeight="1" x14ac:dyDescent="0.2">
      <c r="A35" s="6">
        <v>46002</v>
      </c>
      <c r="B35" s="7">
        <v>4.234</v>
      </c>
      <c r="C35" s="7">
        <v>4.2309999999999999</v>
      </c>
      <c r="D35" s="7">
        <v>-0.36399999999999899</v>
      </c>
      <c r="E35" s="7">
        <v>-7.9216539717083698</v>
      </c>
      <c r="F35" s="7">
        <v>4.2270000000000003</v>
      </c>
      <c r="G35" s="7">
        <v>4.2480000000000002</v>
      </c>
      <c r="H35" s="7">
        <v>129823</v>
      </c>
      <c r="I35" s="8">
        <v>252473</v>
      </c>
      <c r="J35" s="9">
        <f t="shared" si="0"/>
        <v>4.9557522123893577E-3</v>
      </c>
    </row>
    <row r="36" spans="1:10" ht="15" customHeight="1" x14ac:dyDescent="0.2">
      <c r="A36" s="3">
        <v>46001</v>
      </c>
      <c r="B36" s="4">
        <v>4.633</v>
      </c>
      <c r="C36" s="4">
        <v>4.5949999999999998</v>
      </c>
      <c r="D36" s="4">
        <v>2.0999999999999901E-2</v>
      </c>
      <c r="E36" s="4">
        <v>0.459116746829901</v>
      </c>
      <c r="F36" s="4">
        <v>4.609</v>
      </c>
      <c r="G36" s="4">
        <v>4.6379999999999999</v>
      </c>
      <c r="H36" s="4">
        <v>155169</v>
      </c>
      <c r="I36" s="5">
        <v>242181</v>
      </c>
      <c r="J36" s="9">
        <f t="shared" si="0"/>
        <v>6.2723045311992897E-3</v>
      </c>
    </row>
    <row r="37" spans="1:10" ht="15" customHeight="1" x14ac:dyDescent="0.2">
      <c r="A37" s="6">
        <v>46000</v>
      </c>
      <c r="B37" s="7">
        <v>4.5789999999999997</v>
      </c>
      <c r="C37" s="7">
        <v>4.5739999999999998</v>
      </c>
      <c r="D37" s="7">
        <v>-0.33800000000000002</v>
      </c>
      <c r="E37" s="7">
        <v>-6.8811074918566701</v>
      </c>
      <c r="F37" s="7">
        <v>4.5670000000000002</v>
      </c>
      <c r="G37" s="7">
        <v>4.5839999999999996</v>
      </c>
      <c r="H37" s="7">
        <v>183291</v>
      </c>
      <c r="I37" s="8">
        <v>223372</v>
      </c>
      <c r="J37" s="9">
        <f t="shared" si="0"/>
        <v>3.7154409354167766E-3</v>
      </c>
    </row>
    <row r="38" spans="1:10" ht="15" customHeight="1" x14ac:dyDescent="0.2">
      <c r="A38" s="3">
        <v>45999</v>
      </c>
      <c r="B38" s="4">
        <v>4.8609999999999998</v>
      </c>
      <c r="C38" s="4">
        <v>4.9119999999999999</v>
      </c>
      <c r="D38" s="4">
        <v>-0.376999999999999</v>
      </c>
      <c r="E38" s="4">
        <v>-7.1280015125732499</v>
      </c>
      <c r="F38" s="4">
        <v>4.8559999999999999</v>
      </c>
      <c r="G38" s="4">
        <v>4.8769999999999998</v>
      </c>
      <c r="H38" s="4">
        <v>206983</v>
      </c>
      <c r="I38" s="5">
        <v>268150</v>
      </c>
      <c r="J38" s="9">
        <f t="shared" si="0"/>
        <v>4.3152162745299302E-3</v>
      </c>
    </row>
    <row r="39" spans="1:10" ht="15" customHeight="1" x14ac:dyDescent="0.2">
      <c r="A39" s="6">
        <v>45996</v>
      </c>
      <c r="B39" s="7">
        <v>5.34</v>
      </c>
      <c r="C39" s="7">
        <v>5.2889999999999997</v>
      </c>
      <c r="D39" s="7">
        <v>0.22599999999999901</v>
      </c>
      <c r="E39" s="7">
        <v>4.4637566660082797</v>
      </c>
      <c r="F39" s="7">
        <v>5.29</v>
      </c>
      <c r="G39" s="7">
        <v>5.3460000000000001</v>
      </c>
      <c r="H39" s="7">
        <v>216265</v>
      </c>
      <c r="I39" s="8">
        <v>340274</v>
      </c>
      <c r="J39" s="9">
        <f t="shared" si="0"/>
        <v>1.0530274539300499E-2</v>
      </c>
    </row>
    <row r="40" spans="1:10" ht="15" customHeight="1" x14ac:dyDescent="0.2">
      <c r="A40" s="3">
        <v>45995</v>
      </c>
      <c r="B40" s="4">
        <v>5.0709999999999997</v>
      </c>
      <c r="C40" s="4">
        <v>5.0629999999999997</v>
      </c>
      <c r="D40" s="4">
        <v>6.7999999999999602E-2</v>
      </c>
      <c r="E40" s="4">
        <v>1.36136136136135</v>
      </c>
      <c r="F40" s="4">
        <v>5.05</v>
      </c>
      <c r="G40" s="4">
        <v>5.0759999999999996</v>
      </c>
      <c r="H40" s="4">
        <v>232448</v>
      </c>
      <c r="I40" s="5">
        <v>187691</v>
      </c>
      <c r="J40" s="9">
        <f t="shared" si="0"/>
        <v>5.1352952794785313E-3</v>
      </c>
    </row>
    <row r="41" spans="1:10" ht="15" customHeight="1" x14ac:dyDescent="0.2">
      <c r="A41" s="6">
        <v>45994</v>
      </c>
      <c r="B41" s="7">
        <v>5.01</v>
      </c>
      <c r="C41" s="7">
        <v>4.9950000000000001</v>
      </c>
      <c r="D41" s="7">
        <v>0.155</v>
      </c>
      <c r="E41" s="7">
        <v>3.2024793388429802</v>
      </c>
      <c r="F41" s="7">
        <v>5.0039999999999996</v>
      </c>
      <c r="G41" s="7">
        <v>5.0250000000000004</v>
      </c>
      <c r="H41" s="7">
        <v>234096</v>
      </c>
      <c r="I41" s="8">
        <v>178139</v>
      </c>
      <c r="J41" s="9">
        <f t="shared" si="0"/>
        <v>4.1878552198625577E-3</v>
      </c>
    </row>
    <row r="42" spans="1:10" ht="15" customHeight="1" x14ac:dyDescent="0.2">
      <c r="A42" s="3">
        <v>45993</v>
      </c>
      <c r="B42" s="4">
        <v>4.8259999999999996</v>
      </c>
      <c r="C42" s="4">
        <v>4.84</v>
      </c>
      <c r="D42" s="4">
        <v>-8.1000000000000405E-2</v>
      </c>
      <c r="E42" s="4">
        <v>-1.64600690916481</v>
      </c>
      <c r="F42" s="4">
        <v>4.8099999999999996</v>
      </c>
      <c r="G42" s="4">
        <v>4.8339999999999996</v>
      </c>
      <c r="H42" s="4">
        <v>241067</v>
      </c>
      <c r="I42" s="5">
        <v>160791</v>
      </c>
      <c r="J42" s="9">
        <f t="shared" si="0"/>
        <v>4.9771878888428094E-3</v>
      </c>
    </row>
    <row r="43" spans="1:10" ht="15" customHeight="1" x14ac:dyDescent="0.2">
      <c r="A43" s="6">
        <v>45992</v>
      </c>
      <c r="B43" s="7">
        <v>4.8929999999999998</v>
      </c>
      <c r="C43" s="7">
        <v>4.9210000000000003</v>
      </c>
      <c r="D43" s="7">
        <v>7.1000000000000604E-2</v>
      </c>
      <c r="E43" s="7">
        <v>1.46391752577321</v>
      </c>
      <c r="F43" s="7">
        <v>4.8810000000000002</v>
      </c>
      <c r="G43" s="7">
        <v>4.92</v>
      </c>
      <c r="H43" s="7">
        <v>246702</v>
      </c>
      <c r="I43" s="8">
        <v>198431</v>
      </c>
      <c r="J43" s="9">
        <f t="shared" si="0"/>
        <v>7.9583715947351696E-3</v>
      </c>
    </row>
    <row r="44" spans="1:10" ht="15" customHeight="1" x14ac:dyDescent="0.2">
      <c r="A44" s="3">
        <v>45989</v>
      </c>
      <c r="B44" s="4">
        <v>4.8620000000000001</v>
      </c>
      <c r="C44" s="4">
        <v>4.8499999999999996</v>
      </c>
      <c r="D44" s="4">
        <v>0.29199999999999898</v>
      </c>
      <c r="E44" s="4">
        <v>6.4063185607722701</v>
      </c>
      <c r="F44" s="4">
        <v>4.82</v>
      </c>
      <c r="G44" s="4">
        <v>4.8739999999999997</v>
      </c>
      <c r="H44" s="4">
        <v>243253</v>
      </c>
      <c r="I44" s="5">
        <v>118176</v>
      </c>
      <c r="J44" s="9">
        <f t="shared" si="0"/>
        <v>1.1140911904270556E-2</v>
      </c>
    </row>
    <row r="45" spans="1:10" ht="15" customHeight="1" x14ac:dyDescent="0.2">
      <c r="A45" s="6">
        <v>45987</v>
      </c>
      <c r="B45" s="7">
        <v>4.6180000000000003</v>
      </c>
      <c r="C45" s="7">
        <v>4.5579999999999998</v>
      </c>
      <c r="D45" s="7">
        <v>7.6999999999999902E-2</v>
      </c>
      <c r="E45" s="7">
        <v>1.7183664360633699</v>
      </c>
      <c r="F45" s="7">
        <v>4.6109999999999998</v>
      </c>
      <c r="G45" s="7">
        <v>4.6239999999999997</v>
      </c>
      <c r="H45" s="7">
        <v>246953</v>
      </c>
      <c r="I45" s="8">
        <v>149709</v>
      </c>
      <c r="J45" s="9">
        <f t="shared" si="0"/>
        <v>2.8153762858689553E-3</v>
      </c>
    </row>
    <row r="46" spans="1:10" ht="15" customHeight="1" x14ac:dyDescent="0.2">
      <c r="A46" s="3">
        <v>45986</v>
      </c>
      <c r="B46" s="4">
        <v>4.4850000000000003</v>
      </c>
      <c r="C46" s="4">
        <v>4.4809999999999999</v>
      </c>
      <c r="D46" s="4">
        <v>-0.190999999999999</v>
      </c>
      <c r="E46" s="4">
        <v>-4.0881849315068397</v>
      </c>
      <c r="F46" s="4">
        <v>4.4740000000000002</v>
      </c>
      <c r="G46" s="4">
        <v>4.4939999999999998</v>
      </c>
      <c r="H46" s="4">
        <v>245767</v>
      </c>
      <c r="I46" s="5">
        <v>227404</v>
      </c>
      <c r="J46" s="9">
        <f t="shared" si="0"/>
        <v>4.4603033006243471E-3</v>
      </c>
    </row>
    <row r="47" spans="1:10" ht="15" customHeight="1" x14ac:dyDescent="0.2">
      <c r="A47" s="6">
        <v>45985</v>
      </c>
      <c r="B47" s="7">
        <v>4.641</v>
      </c>
      <c r="C47" s="7">
        <v>4.6719999999999997</v>
      </c>
      <c r="D47" s="7">
        <v>-7.1000000000000604E-2</v>
      </c>
      <c r="E47" s="7">
        <v>-1.49694286316678</v>
      </c>
      <c r="F47" s="7">
        <v>4.6319999999999997</v>
      </c>
      <c r="G47" s="7">
        <v>4.6609999999999996</v>
      </c>
      <c r="H47" s="7">
        <v>256827</v>
      </c>
      <c r="I47" s="8">
        <v>166910</v>
      </c>
      <c r="J47" s="9">
        <f t="shared" si="0"/>
        <v>6.2412568600021343E-3</v>
      </c>
    </row>
    <row r="48" spans="1:10" ht="15" customHeight="1" x14ac:dyDescent="0.2">
      <c r="A48" s="3">
        <v>45982</v>
      </c>
      <c r="B48" s="4">
        <v>4.7309999999999999</v>
      </c>
      <c r="C48" s="4">
        <v>4.7430000000000003</v>
      </c>
      <c r="D48" s="4">
        <v>7.6000000000000498E-2</v>
      </c>
      <c r="E48" s="4">
        <v>1.6284551103492799</v>
      </c>
      <c r="F48" s="4">
        <v>4.68</v>
      </c>
      <c r="G48" s="4">
        <v>4.7480000000000002</v>
      </c>
      <c r="H48" s="4">
        <v>251419</v>
      </c>
      <c r="I48" s="5">
        <v>169555</v>
      </c>
      <c r="J48" s="9">
        <f t="shared" si="0"/>
        <v>1.4425116673737907E-2</v>
      </c>
    </row>
    <row r="49" spans="1:10" ht="15" customHeight="1" x14ac:dyDescent="0.2">
      <c r="A49" s="6">
        <v>45981</v>
      </c>
      <c r="B49" s="7">
        <v>4.6740000000000004</v>
      </c>
      <c r="C49" s="7">
        <v>4.6669999999999998</v>
      </c>
      <c r="D49" s="7">
        <v>-8.6000000000000298E-2</v>
      </c>
      <c r="E49" s="7">
        <v>-1.8093835472333299</v>
      </c>
      <c r="F49" s="7">
        <v>4.6630000000000003</v>
      </c>
      <c r="G49" s="7">
        <v>4.7069999999999999</v>
      </c>
      <c r="H49" s="7">
        <v>251209</v>
      </c>
      <c r="I49" s="8">
        <v>137094</v>
      </c>
      <c r="J49" s="9">
        <f t="shared" si="0"/>
        <v>9.3916755602987383E-3</v>
      </c>
    </row>
    <row r="50" spans="1:10" ht="15" customHeight="1" x14ac:dyDescent="0.2">
      <c r="A50" s="3">
        <v>45980</v>
      </c>
      <c r="B50" s="4">
        <v>4.7670000000000003</v>
      </c>
      <c r="C50" s="4">
        <v>4.7530000000000001</v>
      </c>
      <c r="D50" s="4">
        <v>0.16</v>
      </c>
      <c r="E50" s="4">
        <v>3.48356194208578</v>
      </c>
      <c r="F50" s="4">
        <v>4.7629999999999999</v>
      </c>
      <c r="G50" s="4">
        <v>4.7679999999999998</v>
      </c>
      <c r="H50" s="4">
        <v>248039</v>
      </c>
      <c r="I50" s="5">
        <v>124995</v>
      </c>
      <c r="J50" s="9">
        <f t="shared" si="0"/>
        <v>1.0492078480746814E-3</v>
      </c>
    </row>
    <row r="51" spans="1:10" ht="15" customHeight="1" x14ac:dyDescent="0.2">
      <c r="A51" s="6">
        <v>45979</v>
      </c>
      <c r="B51" s="7">
        <v>4.5919999999999996</v>
      </c>
      <c r="C51" s="7">
        <v>4.593</v>
      </c>
      <c r="D51" s="7"/>
      <c r="E51" s="7"/>
      <c r="F51" s="7">
        <v>4.5519999999999996</v>
      </c>
      <c r="G51" s="7">
        <v>4.62</v>
      </c>
      <c r="H51" s="7">
        <v>244102</v>
      </c>
      <c r="I51" s="8">
        <v>121485</v>
      </c>
      <c r="J51" s="9">
        <f t="shared" si="0"/>
        <v>1.4827736589620694E-2</v>
      </c>
    </row>
    <row r="52" spans="1:10" ht="15" customHeight="1" x14ac:dyDescent="0.2">
      <c r="A52" s="3">
        <v>45978</v>
      </c>
      <c r="B52" s="4">
        <v>4.5670000000000002</v>
      </c>
      <c r="C52" s="4">
        <v>4.593</v>
      </c>
      <c r="D52" s="4">
        <v>-0.17899999999999999</v>
      </c>
      <c r="E52" s="4">
        <v>-3.7510477787091299</v>
      </c>
      <c r="F52" s="4">
        <v>4.55</v>
      </c>
      <c r="G52" s="4">
        <v>4.5869999999999997</v>
      </c>
      <c r="H52" s="4">
        <v>242864</v>
      </c>
      <c r="I52" s="5">
        <v>98478</v>
      </c>
      <c r="J52" s="9">
        <f t="shared" si="0"/>
        <v>8.0989383824012079E-3</v>
      </c>
    </row>
    <row r="53" spans="1:10" ht="15" customHeight="1" x14ac:dyDescent="0.2">
      <c r="A53" s="6">
        <v>45975</v>
      </c>
      <c r="B53" s="7">
        <v>4.7210000000000001</v>
      </c>
      <c r="C53" s="7">
        <v>4.7720000000000002</v>
      </c>
      <c r="D53" s="7">
        <v>-7.0999999999999702E-2</v>
      </c>
      <c r="E53" s="7">
        <v>-1.46603345034068</v>
      </c>
      <c r="F53" s="7">
        <v>4.6790000000000003</v>
      </c>
      <c r="G53" s="7">
        <v>4.7670000000000003</v>
      </c>
      <c r="H53" s="7">
        <v>240366</v>
      </c>
      <c r="I53" s="8">
        <v>107136</v>
      </c>
      <c r="J53" s="9">
        <f t="shared" si="0"/>
        <v>1.8632225280542043E-2</v>
      </c>
    </row>
    <row r="54" spans="1:10" ht="15" customHeight="1" x14ac:dyDescent="0.2">
      <c r="A54" s="3">
        <v>45974</v>
      </c>
      <c r="B54" s="4">
        <v>4.7889999999999997</v>
      </c>
      <c r="C54" s="4">
        <v>4.843</v>
      </c>
      <c r="D54" s="4">
        <v>9.9000000000000199E-2</v>
      </c>
      <c r="E54" s="4">
        <v>2.08684654300168</v>
      </c>
      <c r="F54" s="4">
        <v>4.7809999999999997</v>
      </c>
      <c r="G54" s="4">
        <v>4.806</v>
      </c>
      <c r="H54" s="4">
        <v>233284</v>
      </c>
      <c r="I54" s="5">
        <v>127340</v>
      </c>
      <c r="J54" s="9">
        <f t="shared" si="0"/>
        <v>5.2153958485449785E-3</v>
      </c>
    </row>
    <row r="55" spans="1:10" ht="15" customHeight="1" x14ac:dyDescent="0.2">
      <c r="A55" s="6">
        <v>45973</v>
      </c>
      <c r="B55" s="7">
        <v>4.742</v>
      </c>
      <c r="C55" s="7">
        <v>4.7439999999999998</v>
      </c>
      <c r="D55" s="7">
        <v>-2.0000000000000399E-2</v>
      </c>
      <c r="E55" s="7">
        <v>-0.41981528127624701</v>
      </c>
      <c r="F55" s="7">
        <v>4.7329999999999997</v>
      </c>
      <c r="G55" s="7">
        <v>4.76</v>
      </c>
      <c r="H55" s="7">
        <v>226629</v>
      </c>
      <c r="I55" s="8">
        <v>94595</v>
      </c>
      <c r="J55" s="9">
        <f t="shared" si="0"/>
        <v>5.6884019804066448E-3</v>
      </c>
    </row>
    <row r="56" spans="1:10" ht="15" customHeight="1" x14ac:dyDescent="0.2">
      <c r="A56" s="3">
        <v>45972</v>
      </c>
      <c r="B56" s="4">
        <v>4.7290000000000001</v>
      </c>
      <c r="C56" s="4">
        <v>4.7640000000000002</v>
      </c>
      <c r="D56" s="4">
        <v>0.20399999999999999</v>
      </c>
      <c r="E56" s="4">
        <v>4.4736842105263399</v>
      </c>
      <c r="F56" s="4">
        <v>4.7160000000000002</v>
      </c>
      <c r="G56" s="4">
        <v>4.7300000000000004</v>
      </c>
      <c r="H56" s="4">
        <v>214264</v>
      </c>
      <c r="I56" s="5">
        <v>124109</v>
      </c>
      <c r="J56" s="9">
        <f t="shared" si="0"/>
        <v>2.9642176582680992E-3</v>
      </c>
    </row>
    <row r="57" spans="1:10" ht="15" customHeight="1" x14ac:dyDescent="0.2">
      <c r="A57" s="6">
        <v>45971</v>
      </c>
      <c r="B57" s="7">
        <v>4.5949999999999998</v>
      </c>
      <c r="C57" s="7">
        <v>4.5599999999999996</v>
      </c>
      <c r="D57" s="7">
        <v>2.0999999999999901E-2</v>
      </c>
      <c r="E57" s="7">
        <v>0.46265697290150898</v>
      </c>
      <c r="F57" s="7">
        <v>4.5490000000000004</v>
      </c>
      <c r="G57" s="7">
        <v>4.62</v>
      </c>
      <c r="H57" s="7">
        <v>209936</v>
      </c>
      <c r="I57" s="8">
        <v>84853</v>
      </c>
      <c r="J57" s="9">
        <f t="shared" si="0"/>
        <v>1.5486966953866229E-2</v>
      </c>
    </row>
    <row r="58" spans="1:10" ht="15" customHeight="1" x14ac:dyDescent="0.2">
      <c r="A58" s="3">
        <v>45968</v>
      </c>
      <c r="B58" s="4">
        <v>4.5540000000000003</v>
      </c>
      <c r="C58" s="4">
        <v>4.5389999999999997</v>
      </c>
      <c r="D58" s="4">
        <v>-3.2000000000000001E-2</v>
      </c>
      <c r="E58" s="4">
        <v>-0.70006563115292397</v>
      </c>
      <c r="F58" s="4">
        <v>4.5250000000000004</v>
      </c>
      <c r="G58" s="4">
        <v>4.62</v>
      </c>
      <c r="H58" s="4">
        <v>206126</v>
      </c>
      <c r="I58" s="5">
        <v>69177</v>
      </c>
      <c r="J58" s="9">
        <f t="shared" si="0"/>
        <v>2.0776380535811864E-2</v>
      </c>
    </row>
    <row r="59" spans="1:10" ht="15" customHeight="1" x14ac:dyDescent="0.2">
      <c r="A59" s="6">
        <v>45967</v>
      </c>
      <c r="B59" s="7">
        <v>4.6159999999999997</v>
      </c>
      <c r="C59" s="7">
        <v>4.5709999999999997</v>
      </c>
      <c r="D59" s="7">
        <v>0.107999999999999</v>
      </c>
      <c r="E59" s="7">
        <v>2.4198969303159199</v>
      </c>
      <c r="F59" s="7">
        <v>4.508</v>
      </c>
      <c r="G59" s="7">
        <v>4.63</v>
      </c>
      <c r="H59" s="7">
        <v>210698</v>
      </c>
      <c r="I59" s="8">
        <v>90702</v>
      </c>
      <c r="J59" s="9">
        <f t="shared" si="0"/>
        <v>2.6701685270299823E-2</v>
      </c>
    </row>
    <row r="60" spans="1:10" ht="15" customHeight="1" x14ac:dyDescent="0.2">
      <c r="A60" s="3">
        <v>45966</v>
      </c>
      <c r="B60" s="4">
        <v>4.4720000000000004</v>
      </c>
      <c r="C60" s="4">
        <v>4.4630000000000001</v>
      </c>
      <c r="D60" s="4">
        <v>-0.11</v>
      </c>
      <c r="E60" s="4">
        <v>-2.4054231357970801</v>
      </c>
      <c r="F60" s="4">
        <v>4.4409999999999998</v>
      </c>
      <c r="G60" s="4">
        <v>4.55</v>
      </c>
      <c r="H60" s="4">
        <v>214695</v>
      </c>
      <c r="I60" s="5">
        <v>65313.999999999898</v>
      </c>
      <c r="J60" s="9">
        <f t="shared" si="0"/>
        <v>2.4246468690913132E-2</v>
      </c>
    </row>
    <row r="61" spans="1:10" ht="15" customHeight="1" x14ac:dyDescent="0.2">
      <c r="A61" s="6">
        <v>45965</v>
      </c>
      <c r="B61" s="7">
        <v>4.5430000000000001</v>
      </c>
      <c r="C61" s="7">
        <v>4.5730000000000004</v>
      </c>
      <c r="D61" s="7">
        <v>7.1999999999999995E-2</v>
      </c>
      <c r="E61" s="7">
        <v>1.59964452343923</v>
      </c>
      <c r="F61" s="7">
        <v>4.5410000000000004</v>
      </c>
      <c r="G61" s="7">
        <v>4.58</v>
      </c>
      <c r="H61" s="7">
        <v>222688</v>
      </c>
      <c r="I61" s="8">
        <v>117250</v>
      </c>
      <c r="J61" s="9">
        <f t="shared" si="0"/>
        <v>8.5516938932133982E-3</v>
      </c>
    </row>
    <row r="62" spans="1:10" ht="15" customHeight="1" x14ac:dyDescent="0.2">
      <c r="A62" s="3">
        <v>45964</v>
      </c>
      <c r="B62" s="4">
        <v>4.4770000000000003</v>
      </c>
      <c r="C62" s="4">
        <v>4.5010000000000003</v>
      </c>
      <c r="D62" s="4">
        <v>0.13200000000000001</v>
      </c>
      <c r="E62" s="4">
        <v>3.0212863355458999</v>
      </c>
      <c r="F62" s="4">
        <v>4.4649999999999999</v>
      </c>
      <c r="G62" s="4">
        <v>4.5199999999999996</v>
      </c>
      <c r="H62" s="4">
        <v>233409</v>
      </c>
      <c r="I62" s="5">
        <v>108175</v>
      </c>
      <c r="J62" s="9">
        <f t="shared" si="0"/>
        <v>1.2242626599888642E-2</v>
      </c>
    </row>
    <row r="63" spans="1:10" ht="15" customHeight="1" x14ac:dyDescent="0.2">
      <c r="A63" s="6">
        <v>45961</v>
      </c>
      <c r="B63" s="7">
        <v>4.3719999999999999</v>
      </c>
      <c r="C63" s="7">
        <v>4.3689999999999998</v>
      </c>
      <c r="D63" s="7">
        <v>0.16399999999999901</v>
      </c>
      <c r="E63" s="7">
        <v>3.9001189060642001</v>
      </c>
      <c r="F63" s="7">
        <v>4.343</v>
      </c>
      <c r="G63" s="7">
        <v>4.3949999999999996</v>
      </c>
      <c r="H63" s="7">
        <v>240373</v>
      </c>
      <c r="I63" s="8">
        <v>128662</v>
      </c>
      <c r="J63" s="9">
        <f t="shared" si="0"/>
        <v>1.1902037079423118E-2</v>
      </c>
    </row>
    <row r="64" spans="1:10" ht="15" customHeight="1" x14ac:dyDescent="0.2">
      <c r="A64" s="3">
        <v>45960</v>
      </c>
      <c r="B64" s="4">
        <v>4.298</v>
      </c>
      <c r="C64" s="4">
        <v>4.2050000000000001</v>
      </c>
      <c r="D64" s="4">
        <v>0.82899999999999996</v>
      </c>
      <c r="E64" s="4">
        <v>24.5556872037914</v>
      </c>
      <c r="F64" s="4">
        <v>4.2850000000000001</v>
      </c>
      <c r="G64" s="4">
        <v>4.3150000000000004</v>
      </c>
      <c r="H64" s="4">
        <v>250459</v>
      </c>
      <c r="I64" s="5">
        <v>95865</v>
      </c>
      <c r="J64" s="9">
        <f t="shared" si="0"/>
        <v>6.9767441860465679E-3</v>
      </c>
    </row>
    <row r="65" spans="1:10" ht="15" customHeight="1" x14ac:dyDescent="0.2">
      <c r="A65" s="6">
        <v>45959</v>
      </c>
      <c r="B65" s="7">
        <v>3.34</v>
      </c>
      <c r="C65" s="7">
        <v>3.3759999999999999</v>
      </c>
      <c r="D65" s="7">
        <v>3.0999999999999601E-2</v>
      </c>
      <c r="E65" s="7">
        <v>0.92675635276531199</v>
      </c>
      <c r="F65" s="7">
        <v>3.34</v>
      </c>
      <c r="G65" s="7">
        <v>3.339</v>
      </c>
      <c r="H65" s="7">
        <v>3096</v>
      </c>
      <c r="I65" s="8">
        <v>4239</v>
      </c>
      <c r="J65" s="9">
        <f t="shared" si="0"/>
        <v>-2.9944602485398707E-4</v>
      </c>
    </row>
    <row r="66" spans="1:10" ht="15" customHeight="1" x14ac:dyDescent="0.2">
      <c r="A66" s="3">
        <v>45958</v>
      </c>
      <c r="B66" s="4">
        <v>3.25</v>
      </c>
      <c r="C66" s="4">
        <v>3.3450000000000002</v>
      </c>
      <c r="D66" s="4">
        <v>-9.6999999999999906E-2</v>
      </c>
      <c r="E66" s="4">
        <v>-2.81812899477048</v>
      </c>
      <c r="F66" s="4">
        <v>3.246</v>
      </c>
      <c r="G66" s="4">
        <v>3.254</v>
      </c>
      <c r="H66" s="4">
        <v>18660</v>
      </c>
      <c r="I66" s="5">
        <v>68595</v>
      </c>
      <c r="J66" s="9">
        <f t="shared" si="0"/>
        <v>2.4615384615384638E-3</v>
      </c>
    </row>
    <row r="67" spans="1:10" ht="15" customHeight="1" x14ac:dyDescent="0.2">
      <c r="A67" s="6">
        <v>45957</v>
      </c>
      <c r="B67" s="7">
        <v>3.3980000000000001</v>
      </c>
      <c r="C67" s="7">
        <v>3.4420000000000002</v>
      </c>
      <c r="D67" s="7">
        <v>0.13800000000000001</v>
      </c>
      <c r="E67" s="7">
        <v>4.1767554479418898</v>
      </c>
      <c r="F67" s="7">
        <v>3.395</v>
      </c>
      <c r="G67" s="7">
        <v>3.4350000000000001</v>
      </c>
      <c r="H67" s="7">
        <v>28710</v>
      </c>
      <c r="I67" s="8">
        <v>63844</v>
      </c>
      <c r="J67" s="9">
        <f t="shared" si="0"/>
        <v>1.1713030746705721E-2</v>
      </c>
    </row>
    <row r="68" spans="1:10" ht="15" customHeight="1" x14ac:dyDescent="0.2">
      <c r="A68" s="3">
        <v>45954</v>
      </c>
      <c r="B68" s="4">
        <v>3.3370000000000002</v>
      </c>
      <c r="C68" s="4">
        <v>3.3039999999999998</v>
      </c>
      <c r="D68" s="4">
        <v>-0.04</v>
      </c>
      <c r="E68" s="4">
        <v>-1.19617224880382</v>
      </c>
      <c r="F68" s="4">
        <v>3.31</v>
      </c>
      <c r="G68" s="4">
        <v>3.3769999999999998</v>
      </c>
      <c r="H68" s="4">
        <v>39685</v>
      </c>
      <c r="I68" s="5">
        <v>102175</v>
      </c>
      <c r="J68" s="9">
        <f t="shared" si="0"/>
        <v>2.0038881411694253E-2</v>
      </c>
    </row>
    <row r="69" spans="1:10" ht="15" customHeight="1" x14ac:dyDescent="0.2">
      <c r="A69" s="6">
        <v>45953</v>
      </c>
      <c r="B69" s="7">
        <v>3.2909999999999999</v>
      </c>
      <c r="C69" s="7">
        <v>3.3439999999999999</v>
      </c>
      <c r="D69" s="7">
        <v>-0.106</v>
      </c>
      <c r="E69" s="7">
        <v>-3.0724637681159499</v>
      </c>
      <c r="F69" s="7">
        <v>3.282</v>
      </c>
      <c r="G69" s="7">
        <v>3.3050000000000002</v>
      </c>
      <c r="H69" s="7">
        <v>61020</v>
      </c>
      <c r="I69" s="8">
        <v>149770</v>
      </c>
      <c r="J69" s="9">
        <f t="shared" ref="J69:J132" si="1">(G69-F69)/AVERAGE(F69:G69)</f>
        <v>6.9834522544406051E-3</v>
      </c>
    </row>
    <row r="70" spans="1:10" ht="15" customHeight="1" x14ac:dyDescent="0.2">
      <c r="A70" s="3">
        <v>45952</v>
      </c>
      <c r="B70" s="4">
        <v>3.4390000000000001</v>
      </c>
      <c r="C70" s="4">
        <v>3.45</v>
      </c>
      <c r="D70" s="4">
        <v>-2.4E-2</v>
      </c>
      <c r="E70" s="4">
        <v>-0.69084628670120696</v>
      </c>
      <c r="F70" s="4">
        <v>3.4350000000000001</v>
      </c>
      <c r="G70" s="4">
        <v>3.4580000000000002</v>
      </c>
      <c r="H70" s="4">
        <v>76299</v>
      </c>
      <c r="I70" s="5">
        <v>185137</v>
      </c>
      <c r="J70" s="9">
        <f t="shared" si="1"/>
        <v>6.6734368199623181E-3</v>
      </c>
    </row>
    <row r="71" spans="1:10" ht="15" customHeight="1" x14ac:dyDescent="0.2">
      <c r="A71" s="6">
        <v>45951</v>
      </c>
      <c r="B71" s="7">
        <v>3.488</v>
      </c>
      <c r="C71" s="7">
        <v>3.4740000000000002</v>
      </c>
      <c r="D71" s="7">
        <v>7.7000000000000401E-2</v>
      </c>
      <c r="E71" s="7">
        <v>2.2667059169855799</v>
      </c>
      <c r="F71" s="7">
        <v>3.484</v>
      </c>
      <c r="G71" s="7">
        <v>3.4969999999999999</v>
      </c>
      <c r="H71" s="7">
        <v>91196</v>
      </c>
      <c r="I71" s="8">
        <v>185343</v>
      </c>
      <c r="J71" s="9">
        <f t="shared" si="1"/>
        <v>3.7243947858472716E-3</v>
      </c>
    </row>
    <row r="72" spans="1:10" ht="15" customHeight="1" x14ac:dyDescent="0.2">
      <c r="A72" s="3">
        <v>45950</v>
      </c>
      <c r="B72" s="4">
        <v>3.42</v>
      </c>
      <c r="C72" s="4">
        <v>3.3969999999999998</v>
      </c>
      <c r="D72" s="4">
        <v>0.38899999999999901</v>
      </c>
      <c r="E72" s="4">
        <v>12.9321808510638</v>
      </c>
      <c r="F72" s="4">
        <v>3.38</v>
      </c>
      <c r="G72" s="4">
        <v>3.431</v>
      </c>
      <c r="H72" s="4">
        <v>112856</v>
      </c>
      <c r="I72" s="5">
        <v>249088</v>
      </c>
      <c r="J72" s="9">
        <f t="shared" si="1"/>
        <v>1.4975774482454898E-2</v>
      </c>
    </row>
    <row r="73" spans="1:10" ht="15" customHeight="1" x14ac:dyDescent="0.2">
      <c r="A73" s="6">
        <v>45947</v>
      </c>
      <c r="B73" s="7">
        <v>3</v>
      </c>
      <c r="C73" s="7">
        <v>3.008</v>
      </c>
      <c r="D73" s="7">
        <v>6.9999999999999798E-2</v>
      </c>
      <c r="E73" s="7">
        <v>2.38257317903334</v>
      </c>
      <c r="F73" s="7">
        <v>2.9980000000000002</v>
      </c>
      <c r="G73" s="7">
        <v>3.0089999999999999</v>
      </c>
      <c r="H73" s="7">
        <v>128313</v>
      </c>
      <c r="I73" s="8">
        <v>120439</v>
      </c>
      <c r="J73" s="9">
        <f t="shared" si="1"/>
        <v>3.6623938738137764E-3</v>
      </c>
    </row>
    <row r="74" spans="1:10" ht="15" customHeight="1" x14ac:dyDescent="0.2">
      <c r="A74" s="3">
        <v>45946</v>
      </c>
      <c r="B74" s="4">
        <v>2.927</v>
      </c>
      <c r="C74" s="4">
        <v>2.9380000000000002</v>
      </c>
      <c r="D74" s="4">
        <v>-7.7999999999999806E-2</v>
      </c>
      <c r="E74" s="4">
        <v>-2.5862068965517202</v>
      </c>
      <c r="F74" s="4">
        <v>2.92</v>
      </c>
      <c r="G74" s="4">
        <v>2.931</v>
      </c>
      <c r="H74" s="4">
        <v>134698</v>
      </c>
      <c r="I74" s="5">
        <v>152477</v>
      </c>
      <c r="J74" s="9">
        <f t="shared" si="1"/>
        <v>3.7600410186293355E-3</v>
      </c>
    </row>
    <row r="75" spans="1:10" ht="15" customHeight="1" x14ac:dyDescent="0.2">
      <c r="A75" s="6">
        <v>45945</v>
      </c>
      <c r="B75" s="7">
        <v>3.0339999999999998</v>
      </c>
      <c r="C75" s="7">
        <v>3.016</v>
      </c>
      <c r="D75" s="7">
        <v>-1.2E-2</v>
      </c>
      <c r="E75" s="7">
        <v>-0.39630118890356902</v>
      </c>
      <c r="F75" s="7">
        <v>3.028</v>
      </c>
      <c r="G75" s="7">
        <v>3.0350000000000001</v>
      </c>
      <c r="H75" s="7">
        <v>142700</v>
      </c>
      <c r="I75" s="8">
        <v>139593</v>
      </c>
      <c r="J75" s="9">
        <f t="shared" si="1"/>
        <v>2.3090879102754796E-3</v>
      </c>
    </row>
    <row r="76" spans="1:10" ht="15" customHeight="1" x14ac:dyDescent="0.2">
      <c r="A76" s="3">
        <v>45944</v>
      </c>
      <c r="B76" s="4">
        <v>3.0289999999999999</v>
      </c>
      <c r="C76" s="4">
        <v>3.028</v>
      </c>
      <c r="D76" s="4">
        <v>-8.9999999999999802E-2</v>
      </c>
      <c r="E76" s="4">
        <v>-2.88646568313021</v>
      </c>
      <c r="F76" s="4">
        <v>3.0209999999999999</v>
      </c>
      <c r="G76" s="4">
        <v>3.0329999999999999</v>
      </c>
      <c r="H76" s="4">
        <v>149840</v>
      </c>
      <c r="I76" s="5">
        <v>136192</v>
      </c>
      <c r="J76" s="9">
        <f t="shared" si="1"/>
        <v>3.9643211100099142E-3</v>
      </c>
    </row>
    <row r="77" spans="1:10" ht="15" customHeight="1" x14ac:dyDescent="0.2">
      <c r="A77" s="6">
        <v>45943</v>
      </c>
      <c r="B77" s="7">
        <v>3.101</v>
      </c>
      <c r="C77" s="7">
        <v>3.1179999999999999</v>
      </c>
      <c r="D77" s="7">
        <v>1.2E-2</v>
      </c>
      <c r="E77" s="7">
        <v>0.38634900193175098</v>
      </c>
      <c r="F77" s="7">
        <v>3.093</v>
      </c>
      <c r="G77" s="7">
        <v>3.1080000000000001</v>
      </c>
      <c r="H77" s="7">
        <v>160808</v>
      </c>
      <c r="I77" s="8">
        <v>152203</v>
      </c>
      <c r="J77" s="9">
        <f t="shared" si="1"/>
        <v>4.837929366231293E-3</v>
      </c>
    </row>
    <row r="78" spans="1:10" ht="15" customHeight="1" x14ac:dyDescent="0.2">
      <c r="A78" s="3">
        <v>45940</v>
      </c>
      <c r="B78" s="4">
        <v>3.133</v>
      </c>
      <c r="C78" s="4">
        <v>3.1059999999999999</v>
      </c>
      <c r="D78" s="4">
        <v>-0.16300000000000001</v>
      </c>
      <c r="E78" s="4">
        <v>-4.9862343224227601</v>
      </c>
      <c r="F78" s="4">
        <v>3.1240000000000001</v>
      </c>
      <c r="G78" s="4">
        <v>3.165</v>
      </c>
      <c r="H78" s="4">
        <v>180952</v>
      </c>
      <c r="I78" s="5">
        <v>170627</v>
      </c>
      <c r="J78" s="9">
        <f t="shared" si="1"/>
        <v>1.3038638893305749E-2</v>
      </c>
    </row>
    <row r="79" spans="1:10" ht="15" customHeight="1" x14ac:dyDescent="0.2">
      <c r="A79" s="6">
        <v>45939</v>
      </c>
      <c r="B79" s="7">
        <v>3.2440000000000002</v>
      </c>
      <c r="C79" s="7">
        <v>3.2690000000000001</v>
      </c>
      <c r="D79" s="7">
        <v>-6.4000000000000001E-2</v>
      </c>
      <c r="E79" s="7">
        <v>-1.92019201920192</v>
      </c>
      <c r="F79" s="7">
        <v>3.23</v>
      </c>
      <c r="G79" s="7">
        <v>3.2480000000000002</v>
      </c>
      <c r="H79" s="7">
        <v>209104</v>
      </c>
      <c r="I79" s="8">
        <v>173195</v>
      </c>
      <c r="J79" s="9">
        <f t="shared" si="1"/>
        <v>5.5572707625811176E-3</v>
      </c>
    </row>
    <row r="80" spans="1:10" ht="15" customHeight="1" x14ac:dyDescent="0.2">
      <c r="A80" s="3">
        <v>45938</v>
      </c>
      <c r="B80" s="4">
        <v>3.3380000000000001</v>
      </c>
      <c r="C80" s="4">
        <v>3.3330000000000002</v>
      </c>
      <c r="D80" s="4">
        <v>-0.16500000000000001</v>
      </c>
      <c r="E80" s="4">
        <v>-4.7169811320754702</v>
      </c>
      <c r="F80" s="4">
        <v>3.3330000000000002</v>
      </c>
      <c r="G80" s="4">
        <v>3.3450000000000002</v>
      </c>
      <c r="H80" s="4">
        <v>232444</v>
      </c>
      <c r="I80" s="5">
        <v>214778</v>
      </c>
      <c r="J80" s="9">
        <f t="shared" si="1"/>
        <v>3.5938903863432193E-3</v>
      </c>
    </row>
    <row r="81" spans="1:10" ht="15" customHeight="1" x14ac:dyDescent="0.2">
      <c r="A81" s="6">
        <v>45937</v>
      </c>
      <c r="B81" s="7">
        <v>3.5190000000000001</v>
      </c>
      <c r="C81" s="7">
        <v>3.4980000000000002</v>
      </c>
      <c r="D81" s="7">
        <v>0.14099999999999999</v>
      </c>
      <c r="E81" s="7">
        <v>4.2001787310098404</v>
      </c>
      <c r="F81" s="7">
        <v>3.516</v>
      </c>
      <c r="G81" s="7">
        <v>3.5289999999999999</v>
      </c>
      <c r="H81" s="7">
        <v>257811</v>
      </c>
      <c r="I81" s="8">
        <v>204423</v>
      </c>
      <c r="J81" s="9">
        <f t="shared" si="1"/>
        <v>3.6905606813342515E-3</v>
      </c>
    </row>
    <row r="82" spans="1:10" ht="15" customHeight="1" x14ac:dyDescent="0.2">
      <c r="A82" s="3">
        <v>45936</v>
      </c>
      <c r="B82" s="4">
        <v>3.4</v>
      </c>
      <c r="C82" s="4">
        <v>3.3570000000000002</v>
      </c>
      <c r="D82" s="4">
        <v>3.30000000000003E-2</v>
      </c>
      <c r="E82" s="4">
        <v>0.99277978339351503</v>
      </c>
      <c r="F82" s="4">
        <v>3.383</v>
      </c>
      <c r="G82" s="4">
        <v>3.4140000000000001</v>
      </c>
      <c r="H82" s="4">
        <v>262698</v>
      </c>
      <c r="I82" s="5">
        <v>157731</v>
      </c>
      <c r="J82" s="9">
        <f t="shared" si="1"/>
        <v>9.1216713255848573E-3</v>
      </c>
    </row>
    <row r="83" spans="1:10" ht="15" customHeight="1" x14ac:dyDescent="0.2">
      <c r="A83" s="6">
        <v>45933</v>
      </c>
      <c r="B83" s="7">
        <v>3.3359999999999999</v>
      </c>
      <c r="C83" s="7">
        <v>3.3239999999999998</v>
      </c>
      <c r="D83" s="7">
        <v>-0.11799999999999999</v>
      </c>
      <c r="E83" s="7">
        <v>-3.4282393957001802</v>
      </c>
      <c r="F83" s="7">
        <v>3.32</v>
      </c>
      <c r="G83" s="7">
        <v>3.3690000000000002</v>
      </c>
      <c r="H83" s="7">
        <v>276189</v>
      </c>
      <c r="I83" s="8">
        <v>203638</v>
      </c>
      <c r="J83" s="9">
        <f t="shared" si="1"/>
        <v>1.4650919419943302E-2</v>
      </c>
    </row>
    <row r="84" spans="1:10" ht="15" customHeight="1" x14ac:dyDescent="0.2">
      <c r="A84" s="3">
        <v>45932</v>
      </c>
      <c r="B84" s="4">
        <v>3.4039999999999999</v>
      </c>
      <c r="C84" s="4">
        <v>3.4420000000000002</v>
      </c>
      <c r="D84" s="4">
        <v>-3.3999999999999801E-2</v>
      </c>
      <c r="E84" s="4">
        <v>-0.97813578826236802</v>
      </c>
      <c r="F84" s="4">
        <v>3.4009999999999998</v>
      </c>
      <c r="G84" s="4">
        <v>3.415</v>
      </c>
      <c r="H84" s="4">
        <v>295115</v>
      </c>
      <c r="I84" s="5">
        <v>242850</v>
      </c>
      <c r="J84" s="9">
        <f t="shared" si="1"/>
        <v>4.1079812206573458E-3</v>
      </c>
    </row>
    <row r="85" spans="1:10" ht="15" customHeight="1" x14ac:dyDescent="0.2">
      <c r="A85" s="6">
        <v>45931</v>
      </c>
      <c r="B85" s="7">
        <v>3.4460000000000002</v>
      </c>
      <c r="C85" s="7">
        <v>3.476</v>
      </c>
      <c r="D85" s="7">
        <v>0.17299999999999999</v>
      </c>
      <c r="E85" s="7">
        <v>5.2376627308507304</v>
      </c>
      <c r="F85" s="7">
        <v>3.4350000000000001</v>
      </c>
      <c r="G85" s="7">
        <v>3.4609999999999999</v>
      </c>
      <c r="H85" s="7">
        <v>299673</v>
      </c>
      <c r="I85" s="8">
        <v>227634</v>
      </c>
      <c r="J85" s="9">
        <f t="shared" si="1"/>
        <v>7.5406032482598032E-3</v>
      </c>
    </row>
    <row r="86" spans="1:10" ht="15" customHeight="1" x14ac:dyDescent="0.2">
      <c r="A86" s="3">
        <v>45930</v>
      </c>
      <c r="B86" s="4">
        <v>3.331</v>
      </c>
      <c r="C86" s="4">
        <v>3.3029999999999999</v>
      </c>
      <c r="D86" s="4">
        <v>3.5999999999999997E-2</v>
      </c>
      <c r="E86" s="4">
        <v>1.1019283746556501</v>
      </c>
      <c r="F86" s="4">
        <v>3.3290000000000002</v>
      </c>
      <c r="G86" s="4">
        <v>3.335</v>
      </c>
      <c r="H86" s="4">
        <v>302623</v>
      </c>
      <c r="I86" s="5">
        <v>152257</v>
      </c>
      <c r="J86" s="9">
        <f t="shared" si="1"/>
        <v>1.800720288115181E-3</v>
      </c>
    </row>
    <row r="87" spans="1:10" ht="15" customHeight="1" x14ac:dyDescent="0.2">
      <c r="A87" s="6">
        <v>45929</v>
      </c>
      <c r="B87" s="7">
        <v>3.2749999999999999</v>
      </c>
      <c r="C87" s="7">
        <v>3.2669999999999999</v>
      </c>
      <c r="D87" s="7">
        <v>6.0999999999999902E-2</v>
      </c>
      <c r="E87" s="7">
        <v>1.90268247036806</v>
      </c>
      <c r="F87" s="7">
        <v>3.2669999999999999</v>
      </c>
      <c r="G87" s="7">
        <v>3.28</v>
      </c>
      <c r="H87" s="7">
        <v>300117</v>
      </c>
      <c r="I87" s="8">
        <v>156773</v>
      </c>
      <c r="J87" s="9">
        <f t="shared" si="1"/>
        <v>3.9712845578127086E-3</v>
      </c>
    </row>
    <row r="88" spans="1:10" ht="15" customHeight="1" x14ac:dyDescent="0.2">
      <c r="A88" s="3">
        <v>45926</v>
      </c>
      <c r="B88" s="4">
        <v>3.177</v>
      </c>
      <c r="C88" s="4">
        <v>3.206</v>
      </c>
      <c r="D88" s="4">
        <v>1.10000000000001E-2</v>
      </c>
      <c r="E88" s="4">
        <v>0.34428794992176198</v>
      </c>
      <c r="F88" s="4">
        <v>3.169</v>
      </c>
      <c r="G88" s="4">
        <v>3.1960000000000002</v>
      </c>
      <c r="H88" s="4">
        <v>301596</v>
      </c>
      <c r="I88" s="5">
        <v>154811</v>
      </c>
      <c r="J88" s="9">
        <f t="shared" si="1"/>
        <v>8.4838963079340562E-3</v>
      </c>
    </row>
    <row r="89" spans="1:10" ht="15" customHeight="1" x14ac:dyDescent="0.2">
      <c r="A89" s="6">
        <v>45925</v>
      </c>
      <c r="B89" s="7">
        <v>3.2309999999999999</v>
      </c>
      <c r="C89" s="7">
        <v>3.1949999999999998</v>
      </c>
      <c r="D89" s="7">
        <v>6.1999999999999798E-2</v>
      </c>
      <c r="E89" s="7">
        <v>1.9789339291413901</v>
      </c>
      <c r="F89" s="7">
        <v>3.2269999999999999</v>
      </c>
      <c r="G89" s="7">
        <v>3.2349999999999999</v>
      </c>
      <c r="H89" s="7">
        <v>291751</v>
      </c>
      <c r="I89" s="8">
        <v>192035</v>
      </c>
      <c r="J89" s="9">
        <f t="shared" si="1"/>
        <v>2.4760136180749016E-3</v>
      </c>
    </row>
    <row r="90" spans="1:10" ht="15" customHeight="1" x14ac:dyDescent="0.2">
      <c r="A90" s="3">
        <v>45924</v>
      </c>
      <c r="B90" s="4">
        <v>3.15</v>
      </c>
      <c r="C90" s="4">
        <v>3.133</v>
      </c>
      <c r="D90" s="4">
        <v>0.27999999999999903</v>
      </c>
      <c r="E90" s="4">
        <v>9.8142306344199</v>
      </c>
      <c r="F90" s="4">
        <v>3.1429999999999998</v>
      </c>
      <c r="G90" s="4">
        <v>3.1560000000000001</v>
      </c>
      <c r="H90" s="4">
        <v>288962</v>
      </c>
      <c r="I90" s="5">
        <v>116989</v>
      </c>
      <c r="J90" s="9">
        <f t="shared" si="1"/>
        <v>4.1276393078267491E-3</v>
      </c>
    </row>
    <row r="91" spans="1:10" ht="15" customHeight="1" x14ac:dyDescent="0.2">
      <c r="A91" s="6">
        <v>45923</v>
      </c>
      <c r="B91" s="7">
        <v>2.863</v>
      </c>
      <c r="C91" s="7">
        <v>2.8530000000000002</v>
      </c>
      <c r="D91" s="7">
        <v>4.7000000000000097E-2</v>
      </c>
      <c r="E91" s="7">
        <v>1.67498218104062</v>
      </c>
      <c r="F91" s="7">
        <v>2.863</v>
      </c>
      <c r="G91" s="7">
        <v>2.8639999999999999</v>
      </c>
      <c r="H91" s="7">
        <v>44557</v>
      </c>
      <c r="I91" s="8">
        <v>64912</v>
      </c>
      <c r="J91" s="9">
        <f t="shared" si="1"/>
        <v>3.4922297887197127E-4</v>
      </c>
    </row>
    <row r="92" spans="1:10" ht="15" customHeight="1" x14ac:dyDescent="0.2">
      <c r="A92" s="3">
        <v>45922</v>
      </c>
      <c r="B92" s="4">
        <v>2.8079999999999998</v>
      </c>
      <c r="C92" s="4">
        <v>2.806</v>
      </c>
      <c r="D92" s="4">
        <v>-8.1999999999999795E-2</v>
      </c>
      <c r="E92" s="4">
        <v>-2.8393351800553899</v>
      </c>
      <c r="F92" s="4">
        <v>2.8</v>
      </c>
      <c r="G92" s="4">
        <v>2.8170000000000002</v>
      </c>
      <c r="H92" s="4">
        <v>65982</v>
      </c>
      <c r="I92" s="5">
        <v>143264</v>
      </c>
      <c r="J92" s="9">
        <f t="shared" si="1"/>
        <v>6.0530532312623635E-3</v>
      </c>
    </row>
    <row r="93" spans="1:10" ht="15" customHeight="1" x14ac:dyDescent="0.2">
      <c r="A93" s="6">
        <v>45919</v>
      </c>
      <c r="B93" s="7">
        <v>2.9180000000000001</v>
      </c>
      <c r="C93" s="7">
        <v>2.8879999999999999</v>
      </c>
      <c r="D93" s="7">
        <v>-5.1000000000000101E-2</v>
      </c>
      <c r="E93" s="7">
        <v>-1.7352841102415799</v>
      </c>
      <c r="F93" s="7">
        <v>2.9169999999999998</v>
      </c>
      <c r="G93" s="7">
        <v>2.923</v>
      </c>
      <c r="H93" s="7">
        <v>79810</v>
      </c>
      <c r="I93" s="8">
        <v>131150</v>
      </c>
      <c r="J93" s="9">
        <f t="shared" si="1"/>
        <v>2.0547945205480231E-3</v>
      </c>
    </row>
    <row r="94" spans="1:10" ht="15" customHeight="1" x14ac:dyDescent="0.2">
      <c r="A94" s="3">
        <v>45918</v>
      </c>
      <c r="B94" s="4">
        <v>2.94</v>
      </c>
      <c r="C94" s="4">
        <v>2.9390000000000001</v>
      </c>
      <c r="D94" s="4">
        <v>-0.161</v>
      </c>
      <c r="E94" s="4">
        <v>-5.1935483870967802</v>
      </c>
      <c r="F94" s="4">
        <v>2.9340000000000002</v>
      </c>
      <c r="G94" s="4">
        <v>2.95</v>
      </c>
      <c r="H94" s="4">
        <v>96144</v>
      </c>
      <c r="I94" s="5">
        <v>172039</v>
      </c>
      <c r="J94" s="9">
        <f t="shared" si="1"/>
        <v>5.4384772263766194E-3</v>
      </c>
    </row>
    <row r="95" spans="1:10" ht="15" customHeight="1" x14ac:dyDescent="0.2">
      <c r="A95" s="6">
        <v>45917</v>
      </c>
      <c r="B95" s="7">
        <v>3.077</v>
      </c>
      <c r="C95" s="7">
        <v>3.1</v>
      </c>
      <c r="D95" s="7">
        <v>-3.0000000000001098E-3</v>
      </c>
      <c r="E95" s="7">
        <v>-9.6680631646794898E-2</v>
      </c>
      <c r="F95" s="7">
        <v>3.0739999999999998</v>
      </c>
      <c r="G95" s="7">
        <v>3.0819999999999999</v>
      </c>
      <c r="H95" s="7">
        <v>110925</v>
      </c>
      <c r="I95" s="8">
        <v>122944</v>
      </c>
      <c r="J95" s="9">
        <f t="shared" si="1"/>
        <v>2.5990903183885665E-3</v>
      </c>
    </row>
    <row r="96" spans="1:10" ht="15" customHeight="1" x14ac:dyDescent="0.2">
      <c r="A96" s="3">
        <v>45916</v>
      </c>
      <c r="B96" s="4">
        <v>3.117</v>
      </c>
      <c r="C96" s="4">
        <v>3.1030000000000002</v>
      </c>
      <c r="D96" s="4">
        <v>0.06</v>
      </c>
      <c r="E96" s="4">
        <v>1.9717384160368101</v>
      </c>
      <c r="F96" s="4">
        <v>3.1139999999999999</v>
      </c>
      <c r="G96" s="4">
        <v>3.12</v>
      </c>
      <c r="H96" s="4">
        <v>129018</v>
      </c>
      <c r="I96" s="5">
        <v>158367</v>
      </c>
      <c r="J96" s="9">
        <f t="shared" si="1"/>
        <v>1.9249278152070027E-3</v>
      </c>
    </row>
    <row r="97" spans="1:10" ht="15" customHeight="1" x14ac:dyDescent="0.2">
      <c r="A97" s="6">
        <v>45915</v>
      </c>
      <c r="B97" s="7">
        <v>3.0449999999999999</v>
      </c>
      <c r="C97" s="7">
        <v>3.0430000000000001</v>
      </c>
      <c r="D97" s="7">
        <v>0.10199999999999999</v>
      </c>
      <c r="E97" s="7">
        <v>3.4682080924855501</v>
      </c>
      <c r="F97" s="7">
        <v>3.0339999999999998</v>
      </c>
      <c r="G97" s="7">
        <v>3.05</v>
      </c>
      <c r="H97" s="7">
        <v>146398</v>
      </c>
      <c r="I97" s="8">
        <v>132251</v>
      </c>
      <c r="J97" s="9">
        <f t="shared" si="1"/>
        <v>5.2596975673898797E-3</v>
      </c>
    </row>
    <row r="98" spans="1:10" ht="15" customHeight="1" x14ac:dyDescent="0.2">
      <c r="A98" s="3">
        <v>45912</v>
      </c>
      <c r="B98" s="4">
        <v>2.9550000000000001</v>
      </c>
      <c r="C98" s="4">
        <v>2.9409999999999998</v>
      </c>
      <c r="D98" s="4">
        <v>6.9999999999996697E-3</v>
      </c>
      <c r="E98" s="4">
        <v>0.23858214042262699</v>
      </c>
      <c r="F98" s="4">
        <v>2.9409999999999998</v>
      </c>
      <c r="G98" s="4">
        <v>2.9689999999999999</v>
      </c>
      <c r="H98" s="4">
        <v>162847</v>
      </c>
      <c r="I98" s="5">
        <v>145886</v>
      </c>
      <c r="J98" s="9">
        <f t="shared" si="1"/>
        <v>9.4754653130287737E-3</v>
      </c>
    </row>
    <row r="99" spans="1:10" ht="15" customHeight="1" x14ac:dyDescent="0.2">
      <c r="A99" s="6">
        <v>45911</v>
      </c>
      <c r="B99" s="7">
        <v>2.92</v>
      </c>
      <c r="C99" s="7">
        <v>2.9340000000000002</v>
      </c>
      <c r="D99" s="7">
        <v>-9.4999999999999696E-2</v>
      </c>
      <c r="E99" s="7">
        <v>-3.1363486299108501</v>
      </c>
      <c r="F99" s="7">
        <v>2.9180000000000001</v>
      </c>
      <c r="G99" s="7">
        <v>2.9209999999999998</v>
      </c>
      <c r="H99" s="7">
        <v>173304</v>
      </c>
      <c r="I99" s="8">
        <v>180050</v>
      </c>
      <c r="J99" s="9">
        <f t="shared" si="1"/>
        <v>1.0275732145914264E-3</v>
      </c>
    </row>
    <row r="100" spans="1:10" ht="15" customHeight="1" x14ac:dyDescent="0.2">
      <c r="A100" s="3">
        <v>45910</v>
      </c>
      <c r="B100" s="4">
        <v>3.032</v>
      </c>
      <c r="C100" s="4">
        <v>3.0289999999999999</v>
      </c>
      <c r="D100" s="4">
        <v>-8.7999999999999995E-2</v>
      </c>
      <c r="E100" s="4">
        <v>-2.8232274623035001</v>
      </c>
      <c r="F100" s="4">
        <v>3.0249999999999999</v>
      </c>
      <c r="G100" s="4">
        <v>3.0379999999999998</v>
      </c>
      <c r="H100" s="4">
        <v>189779</v>
      </c>
      <c r="I100" s="5">
        <v>156458</v>
      </c>
      <c r="J100" s="9">
        <f t="shared" si="1"/>
        <v>4.2883061190829297E-3</v>
      </c>
    </row>
    <row r="101" spans="1:10" ht="15" customHeight="1" x14ac:dyDescent="0.2">
      <c r="A101" s="6">
        <v>45909</v>
      </c>
      <c r="B101" s="7">
        <v>3.1019999999999999</v>
      </c>
      <c r="C101" s="7">
        <v>3.117</v>
      </c>
      <c r="D101" s="7">
        <v>2.70000000000001E-2</v>
      </c>
      <c r="E101" s="7">
        <v>0.87378640776698502</v>
      </c>
      <c r="F101" s="7">
        <v>3.0979999999999999</v>
      </c>
      <c r="G101" s="7">
        <v>3.1240000000000001</v>
      </c>
      <c r="H101" s="7">
        <v>207272</v>
      </c>
      <c r="I101" s="8">
        <v>170372</v>
      </c>
      <c r="J101" s="9">
        <f t="shared" si="1"/>
        <v>8.3574413371906939E-3</v>
      </c>
    </row>
    <row r="102" spans="1:10" ht="15" customHeight="1" x14ac:dyDescent="0.2">
      <c r="A102" s="3">
        <v>45908</v>
      </c>
      <c r="B102" s="4">
        <v>3.0979999999999999</v>
      </c>
      <c r="C102" s="4">
        <v>3.09</v>
      </c>
      <c r="D102" s="4">
        <v>4.1999999999999801E-2</v>
      </c>
      <c r="E102" s="4">
        <v>1.3779527559055</v>
      </c>
      <c r="F102" s="4">
        <v>3.0910000000000002</v>
      </c>
      <c r="G102" s="4">
        <v>3.1030000000000002</v>
      </c>
      <c r="H102" s="4">
        <v>212908</v>
      </c>
      <c r="I102" s="5">
        <v>189727</v>
      </c>
      <c r="J102" s="9">
        <f t="shared" si="1"/>
        <v>3.8747174685179234E-3</v>
      </c>
    </row>
    <row r="103" spans="1:10" ht="15" customHeight="1" x14ac:dyDescent="0.2">
      <c r="A103" s="6">
        <v>45905</v>
      </c>
      <c r="B103" s="7">
        <v>3.0259999999999998</v>
      </c>
      <c r="C103" s="7">
        <v>3.048</v>
      </c>
      <c r="D103" s="7">
        <v>-2.5999999999999801E-2</v>
      </c>
      <c r="E103" s="7">
        <v>-0.84580351333766102</v>
      </c>
      <c r="F103" s="7">
        <v>3.0179999999999998</v>
      </c>
      <c r="G103" s="7">
        <v>3.0529999999999999</v>
      </c>
      <c r="H103" s="7">
        <v>213109</v>
      </c>
      <c r="I103" s="8">
        <v>123253</v>
      </c>
      <c r="J103" s="9">
        <f t="shared" si="1"/>
        <v>1.1530225662988024E-2</v>
      </c>
    </row>
    <row r="104" spans="1:10" ht="15" customHeight="1" x14ac:dyDescent="0.2">
      <c r="A104" s="3">
        <v>45904</v>
      </c>
      <c r="B104" s="4">
        <v>3.0779999999999998</v>
      </c>
      <c r="C104" s="4">
        <v>3.0739999999999998</v>
      </c>
      <c r="D104" s="4">
        <v>9.9999999999997799E-3</v>
      </c>
      <c r="E104" s="4">
        <v>0.32637075718013803</v>
      </c>
      <c r="F104" s="4">
        <v>3.0750000000000002</v>
      </c>
      <c r="G104" s="4">
        <v>3.0819999999999999</v>
      </c>
      <c r="H104" s="4">
        <v>219180</v>
      </c>
      <c r="I104" s="5">
        <v>160982</v>
      </c>
      <c r="J104" s="9">
        <f t="shared" si="1"/>
        <v>2.2738346597367788E-3</v>
      </c>
    </row>
    <row r="105" spans="1:10" ht="15" customHeight="1" x14ac:dyDescent="0.2">
      <c r="A105" s="6">
        <v>45903</v>
      </c>
      <c r="B105" s="7">
        <v>3.0710000000000002</v>
      </c>
      <c r="C105" s="7">
        <v>3.0640000000000001</v>
      </c>
      <c r="D105" s="7">
        <v>5.5000000000000097E-2</v>
      </c>
      <c r="E105" s="7">
        <v>1.8278497839814001</v>
      </c>
      <c r="F105" s="7">
        <v>3.0640000000000001</v>
      </c>
      <c r="G105" s="7">
        <v>3.0779999999999998</v>
      </c>
      <c r="H105" s="7">
        <v>238300</v>
      </c>
      <c r="I105" s="8">
        <v>176364</v>
      </c>
      <c r="J105" s="9">
        <f t="shared" si="1"/>
        <v>4.558775643112925E-3</v>
      </c>
    </row>
    <row r="106" spans="1:10" ht="15" customHeight="1" x14ac:dyDescent="0.2">
      <c r="A106" s="3">
        <v>45902</v>
      </c>
      <c r="B106" s="4">
        <v>2.99</v>
      </c>
      <c r="C106" s="4">
        <v>3.0089999999999999</v>
      </c>
      <c r="D106" s="4">
        <v>1.2E-2</v>
      </c>
      <c r="E106" s="4">
        <v>0.40040040040039099</v>
      </c>
      <c r="F106" s="4">
        <v>2.9809999999999999</v>
      </c>
      <c r="G106" s="4">
        <v>3.004</v>
      </c>
      <c r="H106" s="4">
        <v>241522</v>
      </c>
      <c r="I106" s="5">
        <v>214173</v>
      </c>
      <c r="J106" s="9">
        <f t="shared" si="1"/>
        <v>7.6858813700919409E-3</v>
      </c>
    </row>
    <row r="107" spans="1:10" ht="15" customHeight="1" x14ac:dyDescent="0.2">
      <c r="A107" s="6">
        <v>45898</v>
      </c>
      <c r="B107" s="7">
        <v>3.016</v>
      </c>
      <c r="C107" s="7">
        <v>2.9969999999999999</v>
      </c>
      <c r="D107" s="7">
        <v>5.2999999999999901E-2</v>
      </c>
      <c r="E107" s="7">
        <v>1.8002717391304399</v>
      </c>
      <c r="F107" s="7">
        <v>2.992</v>
      </c>
      <c r="G107" s="7">
        <v>3.0249999999999999</v>
      </c>
      <c r="H107" s="7">
        <v>243536</v>
      </c>
      <c r="I107" s="8">
        <v>134594</v>
      </c>
      <c r="J107" s="9">
        <f t="shared" si="1"/>
        <v>1.0968921389396683E-2</v>
      </c>
    </row>
    <row r="108" spans="1:10" ht="15" customHeight="1" x14ac:dyDescent="0.2">
      <c r="A108" s="3">
        <v>45897</v>
      </c>
      <c r="B108" s="4">
        <v>2.9870000000000001</v>
      </c>
      <c r="C108" s="4">
        <v>2.944</v>
      </c>
      <c r="D108" s="4">
        <v>5.7999999999999802E-2</v>
      </c>
      <c r="E108" s="4">
        <v>2.009702009702</v>
      </c>
      <c r="F108" s="4">
        <v>2.9649999999999999</v>
      </c>
      <c r="G108" s="4">
        <v>2.992</v>
      </c>
      <c r="H108" s="4">
        <v>246868</v>
      </c>
      <c r="I108" s="5">
        <v>176427</v>
      </c>
      <c r="J108" s="9">
        <f t="shared" si="1"/>
        <v>9.0649655867047624E-3</v>
      </c>
    </row>
    <row r="109" spans="1:10" ht="15" customHeight="1" x14ac:dyDescent="0.2">
      <c r="A109" s="6">
        <v>45896</v>
      </c>
      <c r="B109" s="7">
        <v>2.8780000000000001</v>
      </c>
      <c r="C109" s="7">
        <v>2.8860000000000001</v>
      </c>
      <c r="D109" s="7">
        <v>9.6000000000000002E-2</v>
      </c>
      <c r="E109" s="7">
        <v>3.4408602150537599</v>
      </c>
      <c r="F109" s="7">
        <v>2.871</v>
      </c>
      <c r="G109" s="7">
        <v>2.8820000000000001</v>
      </c>
      <c r="H109" s="7">
        <v>251155</v>
      </c>
      <c r="I109" s="8">
        <v>152776</v>
      </c>
      <c r="J109" s="9">
        <f t="shared" si="1"/>
        <v>3.8240917782027188E-3</v>
      </c>
    </row>
    <row r="110" spans="1:10" ht="15" customHeight="1" x14ac:dyDescent="0.2">
      <c r="A110" s="3">
        <v>45895</v>
      </c>
      <c r="B110" s="4">
        <v>2.8250000000000002</v>
      </c>
      <c r="C110" s="4">
        <v>2.79</v>
      </c>
      <c r="D110" s="4">
        <v>-1.6999999999999901E-2</v>
      </c>
      <c r="E110" s="4">
        <v>-0.60562878517990104</v>
      </c>
      <c r="F110" s="4">
        <v>2.8140000000000001</v>
      </c>
      <c r="G110" s="4">
        <v>2.83</v>
      </c>
      <c r="H110" s="4">
        <v>256142</v>
      </c>
      <c r="I110" s="5">
        <v>150103</v>
      </c>
      <c r="J110" s="9">
        <f t="shared" si="1"/>
        <v>5.669737774627928E-3</v>
      </c>
    </row>
    <row r="111" spans="1:10" ht="15" customHeight="1" x14ac:dyDescent="0.2">
      <c r="A111" s="6">
        <v>45894</v>
      </c>
      <c r="B111" s="7">
        <v>2.8220000000000001</v>
      </c>
      <c r="C111" s="7">
        <v>2.8069999999999999</v>
      </c>
      <c r="D111" s="7">
        <v>7.0000000000001103E-3</v>
      </c>
      <c r="E111" s="7">
        <v>0.249999999999994</v>
      </c>
      <c r="F111" s="7">
        <v>2.8090000000000002</v>
      </c>
      <c r="G111" s="7">
        <v>2.827</v>
      </c>
      <c r="H111" s="7">
        <v>251894</v>
      </c>
      <c r="I111" s="8">
        <v>130437.999999999</v>
      </c>
      <c r="J111" s="9">
        <f t="shared" si="1"/>
        <v>6.387508871540026E-3</v>
      </c>
    </row>
    <row r="112" spans="1:10" ht="15" customHeight="1" x14ac:dyDescent="0.2">
      <c r="A112" s="3">
        <v>45891</v>
      </c>
      <c r="B112" s="4">
        <v>2.8010000000000002</v>
      </c>
      <c r="C112" s="4">
        <v>2.8</v>
      </c>
      <c r="D112" s="4">
        <v>-2.60000000000002E-2</v>
      </c>
      <c r="E112" s="4">
        <v>-0.92002830856334705</v>
      </c>
      <c r="F112" s="4">
        <v>2.7919999999999998</v>
      </c>
      <c r="G112" s="4">
        <v>2.8050000000000002</v>
      </c>
      <c r="H112" s="4">
        <v>242730</v>
      </c>
      <c r="I112" s="5">
        <v>126225</v>
      </c>
      <c r="J112" s="9">
        <f t="shared" si="1"/>
        <v>4.6453457209220464E-3</v>
      </c>
    </row>
    <row r="113" spans="1:10" ht="15" customHeight="1" x14ac:dyDescent="0.2">
      <c r="A113" s="6">
        <v>45890</v>
      </c>
      <c r="B113" s="7">
        <v>2.8069999999999999</v>
      </c>
      <c r="C113" s="7">
        <v>2.8260000000000001</v>
      </c>
      <c r="D113" s="7">
        <v>7.4000000000000205E-2</v>
      </c>
      <c r="E113" s="7">
        <v>2.6889534883720998</v>
      </c>
      <c r="F113" s="7">
        <v>2.8010000000000002</v>
      </c>
      <c r="G113" s="7">
        <v>2.819</v>
      </c>
      <c r="H113" s="7">
        <v>58260</v>
      </c>
      <c r="I113" s="8">
        <v>107653</v>
      </c>
      <c r="J113" s="9">
        <f t="shared" si="1"/>
        <v>6.4056939501778622E-3</v>
      </c>
    </row>
    <row r="114" spans="1:10" ht="15" customHeight="1" x14ac:dyDescent="0.2">
      <c r="A114" s="3">
        <v>45889</v>
      </c>
      <c r="B114" s="4">
        <v>2.7629999999999999</v>
      </c>
      <c r="C114" s="4">
        <v>2.7519999999999998</v>
      </c>
      <c r="D114" s="4">
        <v>-1.40000000000002E-2</v>
      </c>
      <c r="E114" s="4">
        <v>-0.506146059291401</v>
      </c>
      <c r="F114" s="4">
        <v>2.75</v>
      </c>
      <c r="G114" s="4">
        <v>2.7679999999999998</v>
      </c>
      <c r="H114" s="4">
        <v>74390</v>
      </c>
      <c r="I114" s="5">
        <v>112859</v>
      </c>
      <c r="J114" s="9">
        <f t="shared" si="1"/>
        <v>6.5241029358462464E-3</v>
      </c>
    </row>
    <row r="115" spans="1:10" ht="15" customHeight="1" x14ac:dyDescent="0.2">
      <c r="A115" s="6">
        <v>45888</v>
      </c>
      <c r="B115" s="7">
        <v>2.7589999999999999</v>
      </c>
      <c r="C115" s="7">
        <v>2.766</v>
      </c>
      <c r="D115" s="7">
        <v>-0.124</v>
      </c>
      <c r="E115" s="7">
        <v>-4.2906574394463597</v>
      </c>
      <c r="F115" s="7">
        <v>2.7509999999999999</v>
      </c>
      <c r="G115" s="7">
        <v>2.7679999999999998</v>
      </c>
      <c r="H115" s="7">
        <v>83998</v>
      </c>
      <c r="I115" s="8">
        <v>165357</v>
      </c>
      <c r="J115" s="9">
        <f t="shared" si="1"/>
        <v>6.1605363290450823E-3</v>
      </c>
    </row>
    <row r="116" spans="1:10" ht="15" customHeight="1" x14ac:dyDescent="0.2">
      <c r="A116" s="3">
        <v>45887</v>
      </c>
      <c r="B116" s="4">
        <v>2.9060000000000001</v>
      </c>
      <c r="C116" s="4">
        <v>2.89</v>
      </c>
      <c r="D116" s="4">
        <v>-2.5999999999999801E-2</v>
      </c>
      <c r="E116" s="4">
        <v>-0.89163237311384802</v>
      </c>
      <c r="F116" s="4">
        <v>2.8980000000000001</v>
      </c>
      <c r="G116" s="4">
        <v>2.9159999999999999</v>
      </c>
      <c r="H116" s="4">
        <v>105192</v>
      </c>
      <c r="I116" s="5">
        <v>122482</v>
      </c>
      <c r="J116" s="9">
        <f t="shared" si="1"/>
        <v>6.1919504643962141E-3</v>
      </c>
    </row>
    <row r="117" spans="1:10" ht="15" customHeight="1" x14ac:dyDescent="0.2">
      <c r="A117" s="6">
        <v>45884</v>
      </c>
      <c r="B117" s="7">
        <v>2.923</v>
      </c>
      <c r="C117" s="7">
        <v>2.9159999999999999</v>
      </c>
      <c r="D117" s="7">
        <v>7.4999999999999706E-2</v>
      </c>
      <c r="E117" s="7">
        <v>2.63991552270326</v>
      </c>
      <c r="F117" s="7">
        <v>2.91</v>
      </c>
      <c r="G117" s="7">
        <v>2.94</v>
      </c>
      <c r="H117" s="7">
        <v>125054</v>
      </c>
      <c r="I117" s="8">
        <v>118833</v>
      </c>
      <c r="J117" s="9">
        <f t="shared" si="1"/>
        <v>1.025641025641019E-2</v>
      </c>
    </row>
    <row r="118" spans="1:10" ht="15" customHeight="1" x14ac:dyDescent="0.2">
      <c r="A118" s="3">
        <v>45883</v>
      </c>
      <c r="B118" s="4">
        <v>2.847</v>
      </c>
      <c r="C118" s="4">
        <v>2.8410000000000002</v>
      </c>
      <c r="D118" s="4">
        <v>1.30000000000003E-2</v>
      </c>
      <c r="E118" s="4">
        <v>0.45968882602547201</v>
      </c>
      <c r="F118" s="4">
        <v>2.8370000000000002</v>
      </c>
      <c r="G118" s="4">
        <v>2.8530000000000002</v>
      </c>
      <c r="H118" s="4">
        <v>148608</v>
      </c>
      <c r="I118" s="5">
        <v>132298</v>
      </c>
      <c r="J118" s="9">
        <f t="shared" si="1"/>
        <v>5.6239015817223246E-3</v>
      </c>
    </row>
    <row r="119" spans="1:10" ht="15" customHeight="1" x14ac:dyDescent="0.2">
      <c r="A119" s="6">
        <v>45882</v>
      </c>
      <c r="B119" s="7">
        <v>2.819</v>
      </c>
      <c r="C119" s="7">
        <v>2.8279999999999998</v>
      </c>
      <c r="D119" s="7">
        <v>0.02</v>
      </c>
      <c r="E119" s="7">
        <v>0.71225071225071701</v>
      </c>
      <c r="F119" s="7">
        <v>2.8149999999999999</v>
      </c>
      <c r="G119" s="7">
        <v>2.8250000000000002</v>
      </c>
      <c r="H119" s="7">
        <v>179213</v>
      </c>
      <c r="I119" s="8">
        <v>148585</v>
      </c>
      <c r="J119" s="9">
        <f t="shared" si="1"/>
        <v>3.5460992907802233E-3</v>
      </c>
    </row>
    <row r="120" spans="1:10" ht="15" customHeight="1" x14ac:dyDescent="0.2">
      <c r="A120" s="3">
        <v>45881</v>
      </c>
      <c r="B120" s="4">
        <v>2.782</v>
      </c>
      <c r="C120" s="4">
        <v>2.8079999999999998</v>
      </c>
      <c r="D120" s="4">
        <v>-0.14599999999999999</v>
      </c>
      <c r="E120" s="4">
        <v>-4.9424509140149002</v>
      </c>
      <c r="F120" s="4">
        <v>2.7770000000000001</v>
      </c>
      <c r="G120" s="4">
        <v>2.794</v>
      </c>
      <c r="H120" s="4">
        <v>193903</v>
      </c>
      <c r="I120" s="5">
        <v>188147</v>
      </c>
      <c r="J120" s="9">
        <f t="shared" si="1"/>
        <v>6.1030335666845828E-3</v>
      </c>
    </row>
    <row r="121" spans="1:10" ht="15" customHeight="1" x14ac:dyDescent="0.2">
      <c r="A121" s="6">
        <v>45880</v>
      </c>
      <c r="B121" s="7">
        <v>2.984</v>
      </c>
      <c r="C121" s="7">
        <v>2.9540000000000002</v>
      </c>
      <c r="D121" s="7">
        <v>-3.5999999999999997E-2</v>
      </c>
      <c r="E121" s="7">
        <v>-1.2040133779264199</v>
      </c>
      <c r="F121" s="7">
        <v>2.98</v>
      </c>
      <c r="G121" s="7">
        <v>2.9849999999999999</v>
      </c>
      <c r="H121" s="7">
        <v>222127</v>
      </c>
      <c r="I121" s="8">
        <v>127741</v>
      </c>
      <c r="J121" s="9">
        <f t="shared" si="1"/>
        <v>1.6764459346185728E-3</v>
      </c>
    </row>
    <row r="122" spans="1:10" ht="15" customHeight="1" x14ac:dyDescent="0.2">
      <c r="A122" s="3">
        <v>45877</v>
      </c>
      <c r="B122" s="4">
        <v>2.996</v>
      </c>
      <c r="C122" s="4">
        <v>2.99</v>
      </c>
      <c r="D122" s="4">
        <v>-7.6999999999999902E-2</v>
      </c>
      <c r="E122" s="4">
        <v>-2.51059667427453</v>
      </c>
      <c r="F122" s="4">
        <v>2.99</v>
      </c>
      <c r="G122" s="4">
        <v>2.9969999999999999</v>
      </c>
      <c r="H122" s="4">
        <v>241509</v>
      </c>
      <c r="I122" s="5">
        <v>135419</v>
      </c>
      <c r="J122" s="9">
        <f t="shared" si="1"/>
        <v>2.3383998663770414E-3</v>
      </c>
    </row>
    <row r="123" spans="1:10" ht="15" customHeight="1" x14ac:dyDescent="0.2">
      <c r="A123" s="6">
        <v>45876</v>
      </c>
      <c r="B123" s="7">
        <v>3.0819999999999999</v>
      </c>
      <c r="C123" s="7">
        <v>3.0670000000000002</v>
      </c>
      <c r="D123" s="7">
        <v>-9.9999999999997799E-3</v>
      </c>
      <c r="E123" s="7">
        <v>-0.32499187520311701</v>
      </c>
      <c r="F123" s="7">
        <v>3.073</v>
      </c>
      <c r="G123" s="7">
        <v>3.09</v>
      </c>
      <c r="H123" s="7">
        <v>269780</v>
      </c>
      <c r="I123" s="8">
        <v>144031</v>
      </c>
      <c r="J123" s="9">
        <f t="shared" si="1"/>
        <v>5.516793769268182E-3</v>
      </c>
    </row>
    <row r="124" spans="1:10" ht="15" customHeight="1" x14ac:dyDescent="0.2">
      <c r="A124" s="3">
        <v>45875</v>
      </c>
      <c r="B124" s="4">
        <v>3.093</v>
      </c>
      <c r="C124" s="4">
        <v>3.077</v>
      </c>
      <c r="D124" s="4">
        <v>6.7000000000000101E-2</v>
      </c>
      <c r="E124" s="4">
        <v>2.2259136212624502</v>
      </c>
      <c r="F124" s="4">
        <v>3.0779999999999998</v>
      </c>
      <c r="G124" s="4">
        <v>3.097</v>
      </c>
      <c r="H124" s="4">
        <v>279062</v>
      </c>
      <c r="I124" s="5">
        <v>124557</v>
      </c>
      <c r="J124" s="9">
        <f t="shared" si="1"/>
        <v>6.1538461538461955E-3</v>
      </c>
    </row>
    <row r="125" spans="1:10" ht="15" customHeight="1" x14ac:dyDescent="0.2">
      <c r="A125" s="6">
        <v>45874</v>
      </c>
      <c r="B125" s="7">
        <v>3.012</v>
      </c>
      <c r="C125" s="7">
        <v>3.01</v>
      </c>
      <c r="D125" s="7">
        <v>7.7999999999999806E-2</v>
      </c>
      <c r="E125" s="7">
        <v>2.66030013642564</v>
      </c>
      <c r="F125" s="7">
        <v>3.0009999999999999</v>
      </c>
      <c r="G125" s="7">
        <v>3.0150000000000001</v>
      </c>
      <c r="H125" s="7">
        <v>288880</v>
      </c>
      <c r="I125" s="8">
        <v>121907</v>
      </c>
      <c r="J125" s="9">
        <f t="shared" si="1"/>
        <v>4.654255319149014E-3</v>
      </c>
    </row>
    <row r="126" spans="1:10" ht="15" customHeight="1" x14ac:dyDescent="0.2">
      <c r="A126" s="3">
        <v>45873</v>
      </c>
      <c r="B126" s="4">
        <v>2.952</v>
      </c>
      <c r="C126" s="4">
        <v>2.9319999999999999</v>
      </c>
      <c r="D126" s="4">
        <v>-0.151</v>
      </c>
      <c r="E126" s="4">
        <v>-4.8978267920856302</v>
      </c>
      <c r="F126" s="4">
        <v>2.9420000000000002</v>
      </c>
      <c r="G126" s="4">
        <v>2.9590000000000001</v>
      </c>
      <c r="H126" s="4">
        <v>280716</v>
      </c>
      <c r="I126" s="5">
        <v>152031</v>
      </c>
      <c r="J126" s="9">
        <f t="shared" si="1"/>
        <v>5.761735299101815E-3</v>
      </c>
    </row>
    <row r="127" spans="1:10" ht="15" customHeight="1" x14ac:dyDescent="0.2">
      <c r="A127" s="6">
        <v>45870</v>
      </c>
      <c r="B127" s="7">
        <v>3.0950000000000002</v>
      </c>
      <c r="C127" s="7">
        <v>3.0830000000000002</v>
      </c>
      <c r="D127" s="7">
        <v>-2.2999999999999601E-2</v>
      </c>
      <c r="E127" s="7">
        <v>-0.740502253702501</v>
      </c>
      <c r="F127" s="7">
        <v>3.07</v>
      </c>
      <c r="G127" s="7">
        <v>3.1150000000000002</v>
      </c>
      <c r="H127" s="7">
        <v>282353</v>
      </c>
      <c r="I127" s="8">
        <v>95904</v>
      </c>
      <c r="J127" s="9">
        <f t="shared" si="1"/>
        <v>1.4551333872271744E-2</v>
      </c>
    </row>
    <row r="128" spans="1:10" ht="15" customHeight="1" x14ac:dyDescent="0.2">
      <c r="A128" s="3">
        <v>45869</v>
      </c>
      <c r="B128" s="4">
        <v>3.1</v>
      </c>
      <c r="C128" s="4">
        <v>3.1059999999999999</v>
      </c>
      <c r="D128" s="4">
        <v>6.0999999999999902E-2</v>
      </c>
      <c r="E128" s="4">
        <v>2.0032840722495799</v>
      </c>
      <c r="F128" s="4">
        <v>3.0950000000000002</v>
      </c>
      <c r="G128" s="4">
        <v>3.11</v>
      </c>
      <c r="H128" s="4">
        <v>279590</v>
      </c>
      <c r="I128" s="5">
        <v>160069</v>
      </c>
      <c r="J128" s="9">
        <f t="shared" si="1"/>
        <v>4.8348106365832975E-3</v>
      </c>
    </row>
    <row r="129" spans="1:10" ht="15" customHeight="1" x14ac:dyDescent="0.2">
      <c r="A129" s="6">
        <v>45868</v>
      </c>
      <c r="B129" s="7">
        <v>3.016</v>
      </c>
      <c r="C129" s="7">
        <v>3.0449999999999999</v>
      </c>
      <c r="D129" s="7">
        <v>-9.6999999999999906E-2</v>
      </c>
      <c r="E129" s="7">
        <v>-3.0872056015276801</v>
      </c>
      <c r="F129" s="7">
        <v>3.0110000000000001</v>
      </c>
      <c r="G129" s="7">
        <v>3.036</v>
      </c>
      <c r="H129" s="7">
        <v>277187</v>
      </c>
      <c r="I129" s="8">
        <v>119288</v>
      </c>
      <c r="J129" s="9">
        <f t="shared" si="1"/>
        <v>8.268562923763819E-3</v>
      </c>
    </row>
    <row r="130" spans="1:10" ht="15" customHeight="1" x14ac:dyDescent="0.2">
      <c r="A130" s="3">
        <v>45867</v>
      </c>
      <c r="B130" s="4">
        <v>3.165</v>
      </c>
      <c r="C130" s="4">
        <v>3.1419999999999999</v>
      </c>
      <c r="D130" s="4">
        <v>7.5999999999999998E-2</v>
      </c>
      <c r="E130" s="4">
        <v>2.47879973907372</v>
      </c>
      <c r="F130" s="4">
        <v>3.1549999999999998</v>
      </c>
      <c r="G130" s="4">
        <v>3.17</v>
      </c>
      <c r="H130" s="4">
        <v>280228</v>
      </c>
      <c r="I130" s="5">
        <v>111158</v>
      </c>
      <c r="J130" s="9">
        <f t="shared" si="1"/>
        <v>4.7430830039526094E-3</v>
      </c>
    </row>
    <row r="131" spans="1:10" ht="15" customHeight="1" x14ac:dyDescent="0.2">
      <c r="A131" s="6">
        <v>45866</v>
      </c>
      <c r="B131" s="7">
        <v>3.101</v>
      </c>
      <c r="C131" s="7">
        <v>3.0659999999999998</v>
      </c>
      <c r="D131" s="7">
        <v>-9.1999999999999998E-2</v>
      </c>
      <c r="E131" s="7">
        <v>-2.91323622545915</v>
      </c>
      <c r="F131" s="7">
        <v>3.0960000000000001</v>
      </c>
      <c r="G131" s="7">
        <v>3.11</v>
      </c>
      <c r="H131" s="7">
        <v>272454</v>
      </c>
      <c r="I131" s="8">
        <v>144830</v>
      </c>
      <c r="J131" s="9">
        <f t="shared" si="1"/>
        <v>4.5117628101836258E-3</v>
      </c>
    </row>
    <row r="132" spans="1:10" ht="15" customHeight="1" x14ac:dyDescent="0.2">
      <c r="A132" s="3">
        <v>45863</v>
      </c>
      <c r="B132" s="4">
        <v>3.1509999999999998</v>
      </c>
      <c r="C132" s="4">
        <v>3.1579999999999999</v>
      </c>
      <c r="D132" s="4">
        <v>1.10000000000001E-2</v>
      </c>
      <c r="E132" s="4">
        <v>0.34953924372418399</v>
      </c>
      <c r="F132" s="4">
        <v>3.14</v>
      </c>
      <c r="G132" s="4">
        <v>3.169</v>
      </c>
      <c r="H132" s="4">
        <v>269176</v>
      </c>
      <c r="I132" s="5">
        <v>95612</v>
      </c>
      <c r="J132" s="9">
        <f t="shared" si="1"/>
        <v>9.1932160405769261E-3</v>
      </c>
    </row>
    <row r="133" spans="1:10" ht="15" customHeight="1" x14ac:dyDescent="0.2">
      <c r="A133" s="6">
        <v>45862</v>
      </c>
      <c r="B133" s="7">
        <v>3.1640000000000001</v>
      </c>
      <c r="C133" s="7">
        <v>3.1469999999999998</v>
      </c>
      <c r="D133" s="7">
        <v>2.7999999999999501E-2</v>
      </c>
      <c r="E133" s="7">
        <v>0.89772362936837402</v>
      </c>
      <c r="F133" s="7">
        <v>3.1379999999999999</v>
      </c>
      <c r="G133" s="7">
        <v>3.169</v>
      </c>
      <c r="H133" s="7">
        <v>262744</v>
      </c>
      <c r="I133" s="8">
        <v>127622</v>
      </c>
      <c r="J133" s="9">
        <f t="shared" ref="J133:J196" si="2">(G133-F133)/AVERAGE(F133:G133)</f>
        <v>9.8303472332329587E-3</v>
      </c>
    </row>
    <row r="134" spans="1:10" ht="15" customHeight="1" x14ac:dyDescent="0.2">
      <c r="A134" s="3">
        <v>45861</v>
      </c>
      <c r="B134" s="4">
        <v>3.109</v>
      </c>
      <c r="C134" s="4">
        <v>3.1190000000000002</v>
      </c>
      <c r="D134" s="4">
        <v>-0.16799999999999901</v>
      </c>
      <c r="E134" s="4">
        <v>-5.11104350471554</v>
      </c>
      <c r="F134" s="4">
        <v>3.1019999999999999</v>
      </c>
      <c r="G134" s="4">
        <v>3.1339999999999999</v>
      </c>
      <c r="H134" s="4">
        <v>240241</v>
      </c>
      <c r="I134" s="5">
        <v>164667</v>
      </c>
      <c r="J134" s="9">
        <f t="shared" si="2"/>
        <v>1.0262989095574096E-2</v>
      </c>
    </row>
    <row r="135" spans="1:10" ht="15" customHeight="1" x14ac:dyDescent="0.2">
      <c r="A135" s="6">
        <v>45860</v>
      </c>
      <c r="B135" s="7">
        <v>3.29</v>
      </c>
      <c r="C135" s="7">
        <v>3.2869999999999999</v>
      </c>
      <c r="D135" s="7">
        <v>-6.8999999999999895E-2</v>
      </c>
      <c r="E135" s="7">
        <v>-2.0560190703218102</v>
      </c>
      <c r="F135" s="7">
        <v>3.26</v>
      </c>
      <c r="G135" s="7">
        <v>3.3069999999999999</v>
      </c>
      <c r="H135" s="7">
        <v>228207</v>
      </c>
      <c r="I135" s="8">
        <v>110114</v>
      </c>
      <c r="J135" s="9">
        <f t="shared" si="2"/>
        <v>1.4313994213491747E-2</v>
      </c>
    </row>
    <row r="136" spans="1:10" ht="15" customHeight="1" x14ac:dyDescent="0.2">
      <c r="A136" s="3">
        <v>45859</v>
      </c>
      <c r="B136" s="4">
        <v>3.347</v>
      </c>
      <c r="C136" s="4">
        <v>3.3559999999999999</v>
      </c>
      <c r="D136" s="4">
        <v>-0.24299999999999999</v>
      </c>
      <c r="E136" s="4">
        <v>-6.7518755209780501</v>
      </c>
      <c r="F136" s="4">
        <v>3.3260000000000001</v>
      </c>
      <c r="G136" s="4">
        <v>3.3679999999999999</v>
      </c>
      <c r="H136" s="4">
        <v>229802</v>
      </c>
      <c r="I136" s="5">
        <v>127472</v>
      </c>
      <c r="J136" s="9">
        <f t="shared" si="2"/>
        <v>1.2548550941141266E-2</v>
      </c>
    </row>
    <row r="137" spans="1:10" ht="15" customHeight="1" x14ac:dyDescent="0.2">
      <c r="A137" s="6">
        <v>45856</v>
      </c>
      <c r="B137" s="7">
        <v>3.5990000000000002</v>
      </c>
      <c r="C137" s="7">
        <v>3.5990000000000002</v>
      </c>
      <c r="D137" s="7">
        <v>2.20000000000002E-2</v>
      </c>
      <c r="E137" s="7">
        <v>0.61504053676266701</v>
      </c>
      <c r="F137" s="7">
        <v>3.53</v>
      </c>
      <c r="G137" s="7">
        <v>3.6349999999999998</v>
      </c>
      <c r="H137" s="7">
        <v>227095</v>
      </c>
      <c r="I137" s="8">
        <v>80859</v>
      </c>
      <c r="J137" s="9">
        <f t="shared" si="2"/>
        <v>2.930914166085136E-2</v>
      </c>
    </row>
    <row r="138" spans="1:10" ht="15" customHeight="1" x14ac:dyDescent="0.2">
      <c r="A138" s="3">
        <v>45855</v>
      </c>
      <c r="B138" s="4">
        <v>3.5459999999999998</v>
      </c>
      <c r="C138" s="4">
        <v>3.577</v>
      </c>
      <c r="D138" s="4">
        <v>-8.0000000000000002E-3</v>
      </c>
      <c r="E138" s="4">
        <v>-0.22315202231519801</v>
      </c>
      <c r="F138" s="4">
        <v>3.5350000000000001</v>
      </c>
      <c r="G138" s="4">
        <v>3.5950000000000002</v>
      </c>
      <c r="H138" s="4">
        <v>226196</v>
      </c>
      <c r="I138" s="5">
        <v>68886</v>
      </c>
      <c r="J138" s="9">
        <f t="shared" si="2"/>
        <v>1.6830294530154291E-2</v>
      </c>
    </row>
    <row r="139" spans="1:10" ht="15" customHeight="1" x14ac:dyDescent="0.2">
      <c r="A139" s="6">
        <v>45854</v>
      </c>
      <c r="B139" s="7">
        <v>3.5880000000000001</v>
      </c>
      <c r="C139" s="7">
        <v>3.585</v>
      </c>
      <c r="D139" s="7">
        <v>2.70000000000001E-2</v>
      </c>
      <c r="E139" s="7">
        <v>0.75885328836424704</v>
      </c>
      <c r="F139" s="7">
        <v>3.58</v>
      </c>
      <c r="G139" s="7">
        <v>3.61</v>
      </c>
      <c r="H139" s="7">
        <v>223611</v>
      </c>
      <c r="I139" s="8">
        <v>73675</v>
      </c>
      <c r="J139" s="9">
        <f t="shared" si="2"/>
        <v>8.3449235048678183E-3</v>
      </c>
    </row>
    <row r="140" spans="1:10" ht="15" customHeight="1" x14ac:dyDescent="0.2">
      <c r="A140" s="3">
        <v>45853</v>
      </c>
      <c r="B140" s="4">
        <v>3.544</v>
      </c>
      <c r="C140" s="4">
        <v>3.5579999999999998</v>
      </c>
      <c r="D140" s="4">
        <v>5.6999999999999898E-2</v>
      </c>
      <c r="E140" s="4">
        <v>1.62810625535561</v>
      </c>
      <c r="F140" s="4">
        <v>3.54</v>
      </c>
      <c r="G140" s="4">
        <v>3.5779999999999998</v>
      </c>
      <c r="H140" s="4">
        <v>218098</v>
      </c>
      <c r="I140" s="5">
        <v>82655</v>
      </c>
      <c r="J140" s="9">
        <f t="shared" si="2"/>
        <v>1.067715650463608E-2</v>
      </c>
    </row>
    <row r="141" spans="1:10" ht="15" customHeight="1" x14ac:dyDescent="0.2">
      <c r="A141" s="6">
        <v>45852</v>
      </c>
      <c r="B141" s="7">
        <v>3.4889999999999999</v>
      </c>
      <c r="C141" s="7">
        <v>3.5009999999999999</v>
      </c>
      <c r="D141" s="7">
        <v>0.14899999999999999</v>
      </c>
      <c r="E141" s="7">
        <v>4.4451073985680196</v>
      </c>
      <c r="F141" s="7">
        <v>3.4630000000000001</v>
      </c>
      <c r="G141" s="7">
        <v>3.5329999999999999</v>
      </c>
      <c r="H141" s="7">
        <v>214529</v>
      </c>
      <c r="I141" s="8">
        <v>81910</v>
      </c>
      <c r="J141" s="9">
        <f t="shared" si="2"/>
        <v>2.0011435105774682E-2</v>
      </c>
    </row>
    <row r="142" spans="1:10" ht="15" customHeight="1" x14ac:dyDescent="0.2">
      <c r="A142" s="3">
        <v>45849</v>
      </c>
      <c r="B142" s="4">
        <v>3.39</v>
      </c>
      <c r="C142" s="4">
        <v>3.3519999999999999</v>
      </c>
      <c r="D142" s="4">
        <v>-1.40000000000002E-2</v>
      </c>
      <c r="E142" s="4">
        <v>-0.41592394533571603</v>
      </c>
      <c r="F142" s="4">
        <v>3.387</v>
      </c>
      <c r="G142" s="4">
        <v>3.44</v>
      </c>
      <c r="H142" s="4">
        <v>212734</v>
      </c>
      <c r="I142" s="5">
        <v>68866</v>
      </c>
      <c r="J142" s="9">
        <f t="shared" si="2"/>
        <v>1.5526585615936703E-2</v>
      </c>
    </row>
    <row r="143" spans="1:10" ht="15" customHeight="1" x14ac:dyDescent="0.2">
      <c r="A143" s="6">
        <v>45848</v>
      </c>
      <c r="B143" s="7">
        <v>3.391</v>
      </c>
      <c r="C143" s="7">
        <v>3.3660000000000001</v>
      </c>
      <c r="D143" s="7">
        <v>0.115</v>
      </c>
      <c r="E143" s="7">
        <v>3.5373731159643098</v>
      </c>
      <c r="F143" s="7">
        <v>3.298</v>
      </c>
      <c r="G143" s="7">
        <v>3.4249999999999998</v>
      </c>
      <c r="H143" s="7">
        <v>206256</v>
      </c>
      <c r="I143" s="8">
        <v>79361</v>
      </c>
      <c r="J143" s="9">
        <f t="shared" si="2"/>
        <v>3.7780752640190325E-2</v>
      </c>
    </row>
    <row r="144" spans="1:10" ht="15" customHeight="1" x14ac:dyDescent="0.2">
      <c r="A144" s="3">
        <v>45847</v>
      </c>
      <c r="B144" s="4">
        <v>3.242</v>
      </c>
      <c r="C144" s="4">
        <v>3.2509999999999999</v>
      </c>
      <c r="D144" s="4">
        <v>-0.11899999999999999</v>
      </c>
      <c r="E144" s="4">
        <v>-3.5311572700296798</v>
      </c>
      <c r="F144" s="4">
        <v>3.202</v>
      </c>
      <c r="G144" s="4">
        <v>3.3</v>
      </c>
      <c r="H144" s="4">
        <v>194285</v>
      </c>
      <c r="I144" s="5">
        <v>113317</v>
      </c>
      <c r="J144" s="9">
        <f t="shared" si="2"/>
        <v>3.014457090126111E-2</v>
      </c>
    </row>
    <row r="145" spans="1:10" ht="15" customHeight="1" x14ac:dyDescent="0.2">
      <c r="A145" s="6">
        <v>45846</v>
      </c>
      <c r="B145" s="7">
        <v>3.379</v>
      </c>
      <c r="C145" s="7">
        <v>3.37</v>
      </c>
      <c r="D145" s="7">
        <v>-6.5999999999999795E-2</v>
      </c>
      <c r="E145" s="7">
        <v>-1.9208381839348001</v>
      </c>
      <c r="F145" s="7">
        <v>3.3780000000000001</v>
      </c>
      <c r="G145" s="7">
        <v>3.49</v>
      </c>
      <c r="H145" s="7">
        <v>187141</v>
      </c>
      <c r="I145" s="8">
        <v>68154</v>
      </c>
      <c r="J145" s="9">
        <f t="shared" si="2"/>
        <v>3.2615026208503234E-2</v>
      </c>
    </row>
    <row r="146" spans="1:10" ht="15" customHeight="1" x14ac:dyDescent="0.2">
      <c r="A146" s="3">
        <v>45845</v>
      </c>
      <c r="B146" s="4">
        <v>3.4390000000000001</v>
      </c>
      <c r="C146" s="4">
        <v>3.4359999999999999</v>
      </c>
      <c r="D146" s="4">
        <v>4.9999999999998899E-3</v>
      </c>
      <c r="E146" s="4">
        <v>0.14573010784026899</v>
      </c>
      <c r="F146" s="4">
        <v>3.419</v>
      </c>
      <c r="G146" s="4">
        <v>3.4449999999999998</v>
      </c>
      <c r="H146" s="4">
        <v>183073</v>
      </c>
      <c r="I146" s="5">
        <v>66000</v>
      </c>
      <c r="J146" s="9">
        <f t="shared" si="2"/>
        <v>7.5757575757575179E-3</v>
      </c>
    </row>
    <row r="147" spans="1:10" ht="15" customHeight="1" x14ac:dyDescent="0.2">
      <c r="A147" s="6">
        <v>45841</v>
      </c>
      <c r="B147" s="7">
        <v>3.43</v>
      </c>
      <c r="C147" s="7">
        <v>3.431</v>
      </c>
      <c r="D147" s="7">
        <v>-0.08</v>
      </c>
      <c r="E147" s="7">
        <v>-2.27855311876958</v>
      </c>
      <c r="F147" s="7">
        <v>3.41</v>
      </c>
      <c r="G147" s="7">
        <v>3.4369999999999998</v>
      </c>
      <c r="H147" s="7">
        <v>182042</v>
      </c>
      <c r="I147" s="8">
        <v>59045</v>
      </c>
      <c r="J147" s="9">
        <f t="shared" si="2"/>
        <v>7.8866656930041464E-3</v>
      </c>
    </row>
    <row r="148" spans="1:10" ht="15" customHeight="1" x14ac:dyDescent="0.2">
      <c r="A148" s="3">
        <v>45840</v>
      </c>
      <c r="B148" s="4">
        <v>3.5249999999999999</v>
      </c>
      <c r="C148" s="4">
        <v>3.5110000000000001</v>
      </c>
      <c r="D148" s="4">
        <v>6.8000000000000005E-2</v>
      </c>
      <c r="E148" s="4">
        <v>1.97502178332849</v>
      </c>
      <c r="F148" s="4">
        <v>3.47</v>
      </c>
      <c r="G148" s="4">
        <v>3.56</v>
      </c>
      <c r="H148" s="4">
        <v>180827</v>
      </c>
      <c r="I148" s="5">
        <v>46539</v>
      </c>
      <c r="J148" s="9">
        <f t="shared" si="2"/>
        <v>2.5604551920341351E-2</v>
      </c>
    </row>
    <row r="149" spans="1:10" ht="15" customHeight="1" x14ac:dyDescent="0.2">
      <c r="A149" s="6">
        <v>45839</v>
      </c>
      <c r="B149" s="7">
        <v>3.44</v>
      </c>
      <c r="C149" s="7">
        <v>3.4430000000000001</v>
      </c>
      <c r="D149" s="7">
        <v>-4.7000000000000097E-2</v>
      </c>
      <c r="E149" s="7">
        <v>-1.3467048710601699</v>
      </c>
      <c r="F149" s="7">
        <v>3.4249999999999998</v>
      </c>
      <c r="G149" s="7">
        <v>3.47</v>
      </c>
      <c r="H149" s="7">
        <v>176424</v>
      </c>
      <c r="I149" s="8">
        <v>83899</v>
      </c>
      <c r="J149" s="9">
        <f t="shared" si="2"/>
        <v>1.305293691080504E-2</v>
      </c>
    </row>
    <row r="150" spans="1:10" ht="15" customHeight="1" x14ac:dyDescent="0.2">
      <c r="A150" s="3">
        <v>45838</v>
      </c>
      <c r="B150" s="4">
        <v>3.4870000000000001</v>
      </c>
      <c r="C150" s="4">
        <v>3.49</v>
      </c>
      <c r="D150" s="4">
        <v>-0.26399999999999901</v>
      </c>
      <c r="E150" s="4">
        <v>-7.0324986680873698</v>
      </c>
      <c r="F150" s="4">
        <v>3.4510000000000001</v>
      </c>
      <c r="G150" s="4">
        <v>3.4910000000000001</v>
      </c>
      <c r="H150" s="4">
        <v>174195</v>
      </c>
      <c r="I150" s="5">
        <v>104060</v>
      </c>
      <c r="J150" s="9">
        <f t="shared" si="2"/>
        <v>1.1524056467876702E-2</v>
      </c>
    </row>
    <row r="151" spans="1:10" ht="15" customHeight="1" x14ac:dyDescent="0.2">
      <c r="A151" s="6">
        <v>45835</v>
      </c>
      <c r="B151" s="7">
        <v>3.7549999999999999</v>
      </c>
      <c r="C151" s="7">
        <v>3.754</v>
      </c>
      <c r="D151" s="7">
        <v>0.49299999999999899</v>
      </c>
      <c r="E151" s="7">
        <v>15.118061944188799</v>
      </c>
      <c r="F151" s="7">
        <v>3.6960000000000002</v>
      </c>
      <c r="G151" s="7">
        <v>3.7730000000000001</v>
      </c>
      <c r="H151" s="7">
        <v>176547</v>
      </c>
      <c r="I151" s="8">
        <v>68991</v>
      </c>
      <c r="J151" s="9">
        <f t="shared" si="2"/>
        <v>2.0618556701030917E-2</v>
      </c>
    </row>
    <row r="152" spans="1:10" ht="15" customHeight="1" x14ac:dyDescent="0.2">
      <c r="A152" s="3">
        <v>45834</v>
      </c>
      <c r="B152" s="4">
        <v>3.3069999999999999</v>
      </c>
      <c r="C152" s="4">
        <v>3.2610000000000001</v>
      </c>
      <c r="D152" s="4">
        <v>-0.14499999999999999</v>
      </c>
      <c r="E152" s="4">
        <v>-4.2571931884909002</v>
      </c>
      <c r="F152" s="4">
        <v>3.3069999999999999</v>
      </c>
      <c r="G152" s="4">
        <v>3.35</v>
      </c>
      <c r="H152" s="4">
        <v>3584</v>
      </c>
      <c r="I152" s="5">
        <v>5310</v>
      </c>
      <c r="J152" s="9">
        <f t="shared" si="2"/>
        <v>1.2918732161634415E-2</v>
      </c>
    </row>
    <row r="153" spans="1:10" ht="15" customHeight="1" x14ac:dyDescent="0.2">
      <c r="A153" s="6">
        <v>45833</v>
      </c>
      <c r="B153" s="7">
        <v>3.3929999999999998</v>
      </c>
      <c r="C153" s="7">
        <v>3.4060000000000001</v>
      </c>
      <c r="D153" s="7">
        <v>-0.13099999999999901</v>
      </c>
      <c r="E153" s="7">
        <v>-3.70370370370369</v>
      </c>
      <c r="F153" s="7">
        <v>3.3860000000000001</v>
      </c>
      <c r="G153" s="7">
        <v>3.3959999999999999</v>
      </c>
      <c r="H153" s="7">
        <v>14705</v>
      </c>
      <c r="I153" s="8">
        <v>59600</v>
      </c>
      <c r="J153" s="9">
        <f t="shared" si="2"/>
        <v>2.9489826010025912E-3</v>
      </c>
    </row>
    <row r="154" spans="1:10" ht="15" customHeight="1" x14ac:dyDescent="0.2">
      <c r="A154" s="3">
        <v>45832</v>
      </c>
      <c r="B154" s="4">
        <v>3.55</v>
      </c>
      <c r="C154" s="4">
        <v>3.5369999999999999</v>
      </c>
      <c r="D154" s="4">
        <v>-0.161</v>
      </c>
      <c r="E154" s="4">
        <v>-4.35370470524607</v>
      </c>
      <c r="F154" s="4">
        <v>3.5489999999999999</v>
      </c>
      <c r="G154" s="4">
        <v>3.56</v>
      </c>
      <c r="H154" s="4">
        <v>21500</v>
      </c>
      <c r="I154" s="5">
        <v>66695</v>
      </c>
      <c r="J154" s="9">
        <f t="shared" si="2"/>
        <v>3.0946687297791872E-3</v>
      </c>
    </row>
    <row r="155" spans="1:10" ht="15" customHeight="1" x14ac:dyDescent="0.2">
      <c r="A155" s="6">
        <v>45831</v>
      </c>
      <c r="B155" s="7">
        <v>3.68</v>
      </c>
      <c r="C155" s="7">
        <v>3.698</v>
      </c>
      <c r="D155" s="7">
        <v>-0.14899999999999999</v>
      </c>
      <c r="E155" s="7">
        <v>-3.8731479074603601</v>
      </c>
      <c r="F155" s="7">
        <v>3.68</v>
      </c>
      <c r="G155" s="7">
        <v>3.7189999999999999</v>
      </c>
      <c r="H155" s="7">
        <v>36201</v>
      </c>
      <c r="I155" s="8">
        <v>94495</v>
      </c>
      <c r="J155" s="9">
        <f t="shared" si="2"/>
        <v>1.0541965130422949E-2</v>
      </c>
    </row>
    <row r="156" spans="1:10" ht="15" customHeight="1" x14ac:dyDescent="0.2">
      <c r="A156" s="3">
        <v>45828</v>
      </c>
      <c r="B156" s="4">
        <v>3.8959999999999999</v>
      </c>
      <c r="C156" s="4">
        <v>3.847</v>
      </c>
      <c r="D156" s="4">
        <v>-0.14199999999999899</v>
      </c>
      <c r="E156" s="4">
        <v>-3.5597894209074799</v>
      </c>
      <c r="F156" s="4">
        <v>3.8730000000000002</v>
      </c>
      <c r="G156" s="4">
        <v>3.9</v>
      </c>
      <c r="H156" s="4">
        <v>62255</v>
      </c>
      <c r="I156" s="5">
        <v>178542</v>
      </c>
      <c r="J156" s="9">
        <f t="shared" si="2"/>
        <v>6.9471246622924716E-3</v>
      </c>
    </row>
    <row r="157" spans="1:10" ht="15" customHeight="1" x14ac:dyDescent="0.2">
      <c r="A157" s="6">
        <v>45826</v>
      </c>
      <c r="B157" s="7">
        <v>3.976</v>
      </c>
      <c r="C157" s="7">
        <v>3.9889999999999999</v>
      </c>
      <c r="D157" s="7">
        <v>0.13799999999999901</v>
      </c>
      <c r="E157" s="7">
        <v>3.5834848091404798</v>
      </c>
      <c r="F157" s="7">
        <v>3.97</v>
      </c>
      <c r="G157" s="7">
        <v>3.9910000000000001</v>
      </c>
      <c r="H157" s="7">
        <v>81181</v>
      </c>
      <c r="I157" s="8">
        <v>165783</v>
      </c>
      <c r="J157" s="9">
        <f t="shared" si="2"/>
        <v>5.2757191307624433E-3</v>
      </c>
    </row>
    <row r="158" spans="1:10" ht="15" customHeight="1" x14ac:dyDescent="0.2">
      <c r="A158" s="3">
        <v>45825</v>
      </c>
      <c r="B158" s="4">
        <v>3.8679999999999999</v>
      </c>
      <c r="C158" s="4">
        <v>3.851</v>
      </c>
      <c r="D158" s="4">
        <v>0.102999999999999</v>
      </c>
      <c r="E158" s="4">
        <v>2.7481323372465298</v>
      </c>
      <c r="F158" s="4">
        <v>3.8519999999999999</v>
      </c>
      <c r="G158" s="4">
        <v>3.8730000000000002</v>
      </c>
      <c r="H158" s="4">
        <v>99014</v>
      </c>
      <c r="I158" s="5">
        <v>152780</v>
      </c>
      <c r="J158" s="9">
        <f t="shared" si="2"/>
        <v>5.4368932038835862E-3</v>
      </c>
    </row>
    <row r="159" spans="1:10" ht="15" customHeight="1" x14ac:dyDescent="0.2">
      <c r="A159" s="6">
        <v>45824</v>
      </c>
      <c r="B159" s="7">
        <v>3.742</v>
      </c>
      <c r="C159" s="7">
        <v>3.7480000000000002</v>
      </c>
      <c r="D159" s="7">
        <v>0.16700000000000001</v>
      </c>
      <c r="E159" s="7">
        <v>4.6635018151354402</v>
      </c>
      <c r="F159" s="7">
        <v>3.738</v>
      </c>
      <c r="G159" s="7">
        <v>3.7469999999999999</v>
      </c>
      <c r="H159" s="7">
        <v>113090</v>
      </c>
      <c r="I159" s="8">
        <v>160996</v>
      </c>
      <c r="J159" s="9">
        <f t="shared" si="2"/>
        <v>2.4048096192384495E-3</v>
      </c>
    </row>
    <row r="160" spans="1:10" ht="15" customHeight="1" x14ac:dyDescent="0.2">
      <c r="A160" s="3">
        <v>45821</v>
      </c>
      <c r="B160" s="4">
        <v>3.609</v>
      </c>
      <c r="C160" s="4">
        <v>3.581</v>
      </c>
      <c r="D160" s="4">
        <v>8.8999999999999899E-2</v>
      </c>
      <c r="E160" s="4">
        <v>2.5486827033218602</v>
      </c>
      <c r="F160" s="4">
        <v>3.58</v>
      </c>
      <c r="G160" s="4">
        <v>3.62</v>
      </c>
      <c r="H160" s="4">
        <v>123181</v>
      </c>
      <c r="I160" s="5">
        <v>125121</v>
      </c>
      <c r="J160" s="9">
        <f t="shared" si="2"/>
        <v>1.111111111111112E-2</v>
      </c>
    </row>
    <row r="161" spans="1:10" ht="15" customHeight="1" x14ac:dyDescent="0.2">
      <c r="A161" s="6">
        <v>45820</v>
      </c>
      <c r="B161" s="7">
        <v>3.5369999999999999</v>
      </c>
      <c r="C161" s="7">
        <v>3.492</v>
      </c>
      <c r="D161" s="7">
        <v>-1.50000000000001E-2</v>
      </c>
      <c r="E161" s="7">
        <v>-0.42771599657826997</v>
      </c>
      <c r="F161" s="7">
        <v>3.528</v>
      </c>
      <c r="G161" s="7">
        <v>3.5449999999999999</v>
      </c>
      <c r="H161" s="7">
        <v>148359</v>
      </c>
      <c r="I161" s="8">
        <v>184899</v>
      </c>
      <c r="J161" s="9">
        <f t="shared" si="2"/>
        <v>4.8070125830623226E-3</v>
      </c>
    </row>
    <row r="162" spans="1:10" ht="15" customHeight="1" x14ac:dyDescent="0.2">
      <c r="A162" s="3">
        <v>45819</v>
      </c>
      <c r="B162" s="4">
        <v>3.5209999999999999</v>
      </c>
      <c r="C162" s="4">
        <v>3.5070000000000001</v>
      </c>
      <c r="D162" s="4">
        <v>-2.5999999999999801E-2</v>
      </c>
      <c r="E162" s="4">
        <v>-0.73591848287574102</v>
      </c>
      <c r="F162" s="4">
        <v>3.51</v>
      </c>
      <c r="G162" s="4">
        <v>3.524</v>
      </c>
      <c r="H162" s="4">
        <v>169517</v>
      </c>
      <c r="I162" s="5">
        <v>187053</v>
      </c>
      <c r="J162" s="9">
        <f t="shared" si="2"/>
        <v>3.9806653397782867E-3</v>
      </c>
    </row>
    <row r="163" spans="1:10" ht="15" customHeight="1" x14ac:dyDescent="0.2">
      <c r="A163" s="6">
        <v>45818</v>
      </c>
      <c r="B163" s="7">
        <v>3.524</v>
      </c>
      <c r="C163" s="7">
        <v>3.5329999999999999</v>
      </c>
      <c r="D163" s="7">
        <v>-0.10199999999999899</v>
      </c>
      <c r="E163" s="7">
        <v>-2.8060522696010999</v>
      </c>
      <c r="F163" s="7">
        <v>3.5139999999999998</v>
      </c>
      <c r="G163" s="7">
        <v>3.5270000000000001</v>
      </c>
      <c r="H163" s="7">
        <v>189045</v>
      </c>
      <c r="I163" s="8">
        <v>156721</v>
      </c>
      <c r="J163" s="9">
        <f t="shared" si="2"/>
        <v>3.6926572929982513E-3</v>
      </c>
    </row>
    <row r="164" spans="1:10" ht="15" customHeight="1" x14ac:dyDescent="0.2">
      <c r="A164" s="3">
        <v>45817</v>
      </c>
      <c r="B164" s="4">
        <v>3.6110000000000002</v>
      </c>
      <c r="C164" s="4">
        <v>3.6349999999999998</v>
      </c>
      <c r="D164" s="4">
        <v>-0.14899999999999999</v>
      </c>
      <c r="E164" s="4">
        <v>-3.9376321353065502</v>
      </c>
      <c r="F164" s="4">
        <v>3.59</v>
      </c>
      <c r="G164" s="4">
        <v>3.6150000000000002</v>
      </c>
      <c r="H164" s="4">
        <v>210371</v>
      </c>
      <c r="I164" s="5">
        <v>189746</v>
      </c>
      <c r="J164" s="9">
        <f t="shared" si="2"/>
        <v>6.9396252602360459E-3</v>
      </c>
    </row>
    <row r="165" spans="1:10" ht="15" customHeight="1" x14ac:dyDescent="0.2">
      <c r="A165" s="6">
        <v>45814</v>
      </c>
      <c r="B165" s="7">
        <v>3.7850000000000001</v>
      </c>
      <c r="C165" s="7">
        <v>3.7839999999999998</v>
      </c>
      <c r="D165" s="7">
        <v>0.106999999999999</v>
      </c>
      <c r="E165" s="7">
        <v>2.9099809627413502</v>
      </c>
      <c r="F165" s="7">
        <v>3.7839999999999998</v>
      </c>
      <c r="G165" s="7">
        <v>3.8079999999999998</v>
      </c>
      <c r="H165" s="7">
        <v>226560</v>
      </c>
      <c r="I165" s="8">
        <v>157226</v>
      </c>
      <c r="J165" s="9">
        <f t="shared" si="2"/>
        <v>6.3224446786090682E-3</v>
      </c>
    </row>
    <row r="166" spans="1:10" ht="15" customHeight="1" x14ac:dyDescent="0.2">
      <c r="A166" s="3">
        <v>45813</v>
      </c>
      <c r="B166" s="4">
        <v>3.66</v>
      </c>
      <c r="C166" s="4">
        <v>3.677</v>
      </c>
      <c r="D166" s="4">
        <v>-3.9000000000000097E-2</v>
      </c>
      <c r="E166" s="4">
        <v>-1.0495156081808299</v>
      </c>
      <c r="F166" s="4">
        <v>3.649</v>
      </c>
      <c r="G166" s="4">
        <v>3.6669999999999998</v>
      </c>
      <c r="H166" s="4">
        <v>227126</v>
      </c>
      <c r="I166" s="5">
        <v>200235</v>
      </c>
      <c r="J166" s="9">
        <f t="shared" si="2"/>
        <v>4.9207217058501347E-3</v>
      </c>
    </row>
    <row r="167" spans="1:10" ht="15" customHeight="1" x14ac:dyDescent="0.2">
      <c r="A167" s="6">
        <v>45812</v>
      </c>
      <c r="B167" s="7">
        <v>3.7069999999999999</v>
      </c>
      <c r="C167" s="7">
        <v>3.7160000000000002</v>
      </c>
      <c r="D167" s="7">
        <v>-5.9999999999997798E-3</v>
      </c>
      <c r="E167" s="7">
        <v>-0.161203653949482</v>
      </c>
      <c r="F167" s="7">
        <v>3.7</v>
      </c>
      <c r="G167" s="7">
        <v>3.71</v>
      </c>
      <c r="H167" s="7">
        <v>230137</v>
      </c>
      <c r="I167" s="8">
        <v>117792</v>
      </c>
      <c r="J167" s="9">
        <f t="shared" si="2"/>
        <v>2.6990553306342202E-3</v>
      </c>
    </row>
    <row r="168" spans="1:10" ht="15" customHeight="1" x14ac:dyDescent="0.2">
      <c r="A168" s="3">
        <v>45811</v>
      </c>
      <c r="B168" s="4">
        <v>3.722</v>
      </c>
      <c r="C168" s="4">
        <v>3.722</v>
      </c>
      <c r="D168" s="4">
        <v>2.8000000000000001E-2</v>
      </c>
      <c r="E168" s="4">
        <v>0.75798592311857504</v>
      </c>
      <c r="F168" s="4">
        <v>3.722</v>
      </c>
      <c r="G168" s="4">
        <v>3.7309999999999999</v>
      </c>
      <c r="H168" s="4">
        <v>232283</v>
      </c>
      <c r="I168" s="5">
        <v>131350</v>
      </c>
      <c r="J168" s="9">
        <f t="shared" si="2"/>
        <v>2.4151348450288201E-3</v>
      </c>
    </row>
    <row r="169" spans="1:10" ht="15" customHeight="1" x14ac:dyDescent="0.2">
      <c r="A169" s="6">
        <v>45810</v>
      </c>
      <c r="B169" s="7">
        <v>3.7440000000000002</v>
      </c>
      <c r="C169" s="7">
        <v>3.694</v>
      </c>
      <c r="D169" s="7">
        <v>0.246999999999999</v>
      </c>
      <c r="E169" s="7">
        <v>7.1656512909776504</v>
      </c>
      <c r="F169" s="7">
        <v>3.7429999999999999</v>
      </c>
      <c r="G169" s="7">
        <v>3.75</v>
      </c>
      <c r="H169" s="7">
        <v>241844</v>
      </c>
      <c r="I169" s="8">
        <v>182222</v>
      </c>
      <c r="J169" s="9">
        <f t="shared" si="2"/>
        <v>1.8684105164820811E-3</v>
      </c>
    </row>
    <row r="170" spans="1:10" ht="15" customHeight="1" x14ac:dyDescent="0.2">
      <c r="A170" s="3">
        <v>45807</v>
      </c>
      <c r="B170" s="4">
        <v>3.4620000000000002</v>
      </c>
      <c r="C170" s="4">
        <v>3.4470000000000001</v>
      </c>
      <c r="D170" s="4">
        <v>-7.4999999999999706E-2</v>
      </c>
      <c r="E170" s="4">
        <v>-2.12947189097103</v>
      </c>
      <c r="F170" s="4">
        <v>3.4319999999999999</v>
      </c>
      <c r="G170" s="4">
        <v>3.484</v>
      </c>
      <c r="H170" s="4">
        <v>241496</v>
      </c>
      <c r="I170" s="5">
        <v>122582</v>
      </c>
      <c r="J170" s="9">
        <f t="shared" si="2"/>
        <v>1.5037593984962419E-2</v>
      </c>
    </row>
    <row r="171" spans="1:10" ht="15" customHeight="1" x14ac:dyDescent="0.2">
      <c r="A171" s="6">
        <v>45806</v>
      </c>
      <c r="B171" s="7">
        <v>3.5350000000000001</v>
      </c>
      <c r="C171" s="7">
        <v>3.5219999999999998</v>
      </c>
      <c r="D171" s="7">
        <v>-3.50000000000001E-2</v>
      </c>
      <c r="E171" s="7">
        <v>-0.98397526005060598</v>
      </c>
      <c r="F171" s="7">
        <v>3.5259999999999998</v>
      </c>
      <c r="G171" s="7">
        <v>3.548</v>
      </c>
      <c r="H171" s="7">
        <v>240123</v>
      </c>
      <c r="I171" s="8">
        <v>172679</v>
      </c>
      <c r="J171" s="9">
        <f t="shared" si="2"/>
        <v>6.2199604184337695E-3</v>
      </c>
    </row>
    <row r="172" spans="1:10" ht="15" customHeight="1" x14ac:dyDescent="0.2">
      <c r="A172" s="3">
        <v>45805</v>
      </c>
      <c r="B172" s="4">
        <v>3.5390000000000001</v>
      </c>
      <c r="C172" s="4">
        <v>3.5569999999999999</v>
      </c>
      <c r="D172" s="4">
        <v>-0.187</v>
      </c>
      <c r="E172" s="4">
        <v>-4.9946581196581201</v>
      </c>
      <c r="F172" s="4">
        <v>3.5259999999999998</v>
      </c>
      <c r="G172" s="4">
        <v>3.5430000000000001</v>
      </c>
      <c r="H172" s="4">
        <v>230224</v>
      </c>
      <c r="I172" s="5">
        <v>191695</v>
      </c>
      <c r="J172" s="9">
        <f t="shared" si="2"/>
        <v>4.8097326354506571E-3</v>
      </c>
    </row>
    <row r="173" spans="1:10" ht="15" customHeight="1" x14ac:dyDescent="0.2">
      <c r="A173" s="6">
        <v>45804</v>
      </c>
      <c r="B173" s="7">
        <v>3.7570000000000001</v>
      </c>
      <c r="C173" s="7">
        <v>3.7440000000000002</v>
      </c>
      <c r="D173" s="7">
        <v>1.90000000000001E-2</v>
      </c>
      <c r="E173" s="7">
        <v>0.510067114093959</v>
      </c>
      <c r="F173" s="7">
        <v>3.7490000000000001</v>
      </c>
      <c r="G173" s="7">
        <v>3.7610000000000001</v>
      </c>
      <c r="H173" s="7">
        <v>227247</v>
      </c>
      <c r="I173" s="8">
        <v>142963</v>
      </c>
      <c r="J173" s="9">
        <f t="shared" si="2"/>
        <v>3.1957390146471402E-3</v>
      </c>
    </row>
    <row r="174" spans="1:10" ht="15" customHeight="1" x14ac:dyDescent="0.2">
      <c r="A174" s="3">
        <v>45800</v>
      </c>
      <c r="B174" s="4">
        <v>3.706</v>
      </c>
      <c r="C174" s="4">
        <v>3.7250000000000001</v>
      </c>
      <c r="D174" s="4">
        <v>8.6000000000000298E-2</v>
      </c>
      <c r="E174" s="4">
        <v>2.36328661720253</v>
      </c>
      <c r="F174" s="4">
        <v>3.6850000000000001</v>
      </c>
      <c r="G174" s="4">
        <v>3.72</v>
      </c>
      <c r="H174" s="4">
        <v>227700</v>
      </c>
      <c r="I174" s="5">
        <v>104618</v>
      </c>
      <c r="J174" s="9">
        <f t="shared" si="2"/>
        <v>9.4530722484807948E-3</v>
      </c>
    </row>
    <row r="175" spans="1:10" ht="15" customHeight="1" x14ac:dyDescent="0.2">
      <c r="A175" s="6">
        <v>45799</v>
      </c>
      <c r="B175" s="7">
        <v>3.6749999999999998</v>
      </c>
      <c r="C175" s="7">
        <v>3.6389999999999998</v>
      </c>
      <c r="D175" s="7">
        <v>-9.8000000000000295E-2</v>
      </c>
      <c r="E175" s="7">
        <v>-2.6224244046026302</v>
      </c>
      <c r="F175" s="7">
        <v>3.665</v>
      </c>
      <c r="G175" s="7">
        <v>3.6949999999999998</v>
      </c>
      <c r="H175" s="7">
        <v>230891</v>
      </c>
      <c r="I175" s="8">
        <v>109630</v>
      </c>
      <c r="J175" s="9">
        <f t="shared" si="2"/>
        <v>8.152173913043426E-3</v>
      </c>
    </row>
    <row r="176" spans="1:10" ht="15" customHeight="1" x14ac:dyDescent="0.2">
      <c r="A176" s="3">
        <v>45798</v>
      </c>
      <c r="B176" s="4">
        <v>3.7229999999999999</v>
      </c>
      <c r="C176" s="4">
        <v>3.7370000000000001</v>
      </c>
      <c r="D176" s="4">
        <v>-2.9999999999999801E-2</v>
      </c>
      <c r="E176" s="4">
        <v>-0.79638970002654497</v>
      </c>
      <c r="F176" s="4">
        <v>3.6859999999999999</v>
      </c>
      <c r="G176" s="4">
        <v>3.78</v>
      </c>
      <c r="H176" s="4">
        <v>236656</v>
      </c>
      <c r="I176" s="5">
        <v>112206</v>
      </c>
      <c r="J176" s="9">
        <f t="shared" si="2"/>
        <v>2.5180819716046042E-2</v>
      </c>
    </row>
    <row r="177" spans="1:10" ht="15" customHeight="1" x14ac:dyDescent="0.2">
      <c r="A177" s="6">
        <v>45797</v>
      </c>
      <c r="B177" s="7">
        <v>3.7570000000000001</v>
      </c>
      <c r="C177" s="7">
        <v>3.7669999999999999</v>
      </c>
      <c r="D177" s="7">
        <v>0.314999999999999</v>
      </c>
      <c r="E177" s="7">
        <v>9.1251448435689397</v>
      </c>
      <c r="F177" s="7">
        <v>3.7170000000000001</v>
      </c>
      <c r="G177" s="7">
        <v>3.7589999999999999</v>
      </c>
      <c r="H177" s="7">
        <v>236951</v>
      </c>
      <c r="I177" s="8">
        <v>175186</v>
      </c>
      <c r="J177" s="9">
        <f t="shared" si="2"/>
        <v>1.1235955056179726E-2</v>
      </c>
    </row>
    <row r="178" spans="1:10" ht="15" customHeight="1" x14ac:dyDescent="0.2">
      <c r="A178" s="3">
        <v>45796</v>
      </c>
      <c r="B178" s="4">
        <v>3.4449999999999998</v>
      </c>
      <c r="C178" s="4">
        <v>3.452</v>
      </c>
      <c r="D178" s="4">
        <v>-0.24</v>
      </c>
      <c r="E178" s="4">
        <v>-6.5005417118093201</v>
      </c>
      <c r="F178" s="4">
        <v>3.42</v>
      </c>
      <c r="G178" s="4">
        <v>3.51</v>
      </c>
      <c r="H178" s="4">
        <v>236830</v>
      </c>
      <c r="I178" s="5">
        <v>132856</v>
      </c>
      <c r="J178" s="9">
        <f t="shared" si="2"/>
        <v>2.5974025974025934E-2</v>
      </c>
    </row>
    <row r="179" spans="1:10" ht="15" customHeight="1" x14ac:dyDescent="0.2">
      <c r="A179" s="6">
        <v>45793</v>
      </c>
      <c r="B179" s="7">
        <v>3.6850000000000001</v>
      </c>
      <c r="C179" s="7">
        <v>3.6920000000000002</v>
      </c>
      <c r="D179" s="7">
        <v>-2.4999999999999901E-2</v>
      </c>
      <c r="E179" s="7">
        <v>-0.67258541834812602</v>
      </c>
      <c r="F179" s="7">
        <v>3.6709999999999998</v>
      </c>
      <c r="G179" s="7">
        <v>3.73</v>
      </c>
      <c r="H179" s="7">
        <v>231498</v>
      </c>
      <c r="I179" s="8">
        <v>95623</v>
      </c>
      <c r="J179" s="9">
        <f t="shared" si="2"/>
        <v>1.594379137954335E-2</v>
      </c>
    </row>
    <row r="180" spans="1:10" ht="15" customHeight="1" x14ac:dyDescent="0.2">
      <c r="A180" s="3">
        <v>45792</v>
      </c>
      <c r="B180" s="4">
        <v>3.7269999999999999</v>
      </c>
      <c r="C180" s="4">
        <v>3.7170000000000001</v>
      </c>
      <c r="D180" s="4">
        <v>-0.108</v>
      </c>
      <c r="E180" s="4">
        <v>-2.8235294117647101</v>
      </c>
      <c r="F180" s="4">
        <v>3.71</v>
      </c>
      <c r="G180" s="4">
        <v>3.758</v>
      </c>
      <c r="H180" s="4">
        <v>226894</v>
      </c>
      <c r="I180" s="5">
        <v>92544</v>
      </c>
      <c r="J180" s="9">
        <f t="shared" si="2"/>
        <v>1.2854847348687746E-2</v>
      </c>
    </row>
    <row r="181" spans="1:10" ht="15" customHeight="1" x14ac:dyDescent="0.2">
      <c r="A181" s="6">
        <v>45791</v>
      </c>
      <c r="B181" s="7">
        <v>3.7970000000000002</v>
      </c>
      <c r="C181" s="7">
        <v>3.8250000000000002</v>
      </c>
      <c r="D181" s="7">
        <v>-0.153</v>
      </c>
      <c r="E181" s="7">
        <v>-3.84615384615384</v>
      </c>
      <c r="F181" s="7">
        <v>3.7770000000000001</v>
      </c>
      <c r="G181" s="7">
        <v>3.8149999999999999</v>
      </c>
      <c r="H181" s="7">
        <v>226689</v>
      </c>
      <c r="I181" s="8">
        <v>78384</v>
      </c>
      <c r="J181" s="9">
        <f t="shared" si="2"/>
        <v>1.0010537407797631E-2</v>
      </c>
    </row>
    <row r="182" spans="1:10" ht="15" customHeight="1" x14ac:dyDescent="0.2">
      <c r="A182" s="3">
        <v>45790</v>
      </c>
      <c r="B182" s="4">
        <v>3.9510000000000001</v>
      </c>
      <c r="C182" s="4">
        <v>3.9780000000000002</v>
      </c>
      <c r="D182" s="4">
        <v>1.0000000000003301E-3</v>
      </c>
      <c r="E182" s="4">
        <v>2.5144581342728602E-2</v>
      </c>
      <c r="F182" s="4">
        <v>3.93</v>
      </c>
      <c r="G182" s="4">
        <v>3.9649999999999999</v>
      </c>
      <c r="H182" s="4">
        <v>223211</v>
      </c>
      <c r="I182" s="5">
        <v>84090</v>
      </c>
      <c r="J182" s="9">
        <f t="shared" si="2"/>
        <v>8.866371120962559E-3</v>
      </c>
    </row>
    <row r="183" spans="1:10" ht="15" customHeight="1" x14ac:dyDescent="0.2">
      <c r="A183" s="6">
        <v>45789</v>
      </c>
      <c r="B183" s="7">
        <v>4.0140000000000002</v>
      </c>
      <c r="C183" s="7">
        <v>3.9769999999999999</v>
      </c>
      <c r="D183" s="7">
        <v>-0.11899999999999999</v>
      </c>
      <c r="E183" s="7">
        <v>-2.9052734375</v>
      </c>
      <c r="F183" s="7">
        <v>3.9969999999999999</v>
      </c>
      <c r="G183" s="7">
        <v>4.016</v>
      </c>
      <c r="H183" s="7">
        <v>214747</v>
      </c>
      <c r="I183" s="8">
        <v>99774</v>
      </c>
      <c r="J183" s="9">
        <f t="shared" si="2"/>
        <v>4.7422937726195255E-3</v>
      </c>
    </row>
    <row r="184" spans="1:10" ht="15" customHeight="1" x14ac:dyDescent="0.2">
      <c r="A184" s="3">
        <v>45786</v>
      </c>
      <c r="B184" s="4">
        <v>4.09</v>
      </c>
      <c r="C184" s="4">
        <v>4.0960000000000001</v>
      </c>
      <c r="D184" s="4">
        <v>0.16300000000000001</v>
      </c>
      <c r="E184" s="4">
        <v>4.1444190185608996</v>
      </c>
      <c r="F184" s="4">
        <v>4.0289999999999999</v>
      </c>
      <c r="G184" s="4">
        <v>4.12</v>
      </c>
      <c r="H184" s="4">
        <v>207485</v>
      </c>
      <c r="I184" s="5">
        <v>98147</v>
      </c>
      <c r="J184" s="9">
        <f t="shared" si="2"/>
        <v>2.233402871517982E-2</v>
      </c>
    </row>
    <row r="185" spans="1:10" ht="15" customHeight="1" x14ac:dyDescent="0.2">
      <c r="A185" s="6">
        <v>45785</v>
      </c>
      <c r="B185" s="7">
        <v>3.96</v>
      </c>
      <c r="C185" s="7">
        <v>3.9329999999999998</v>
      </c>
      <c r="D185" s="7">
        <v>-1.40000000000002E-2</v>
      </c>
      <c r="E185" s="7">
        <v>-0.35469977197872798</v>
      </c>
      <c r="F185" s="7">
        <v>3.86</v>
      </c>
      <c r="G185" s="7">
        <v>3.9729999999999999</v>
      </c>
      <c r="H185" s="7">
        <v>204334</v>
      </c>
      <c r="I185" s="8">
        <v>95901</v>
      </c>
      <c r="J185" s="9">
        <f t="shared" si="2"/>
        <v>2.8852291586876033E-2</v>
      </c>
    </row>
    <row r="186" spans="1:10" ht="15" customHeight="1" x14ac:dyDescent="0.2">
      <c r="A186" s="3">
        <v>45784</v>
      </c>
      <c r="B186" s="4">
        <v>3.9489999999999998</v>
      </c>
      <c r="C186" s="4">
        <v>3.9470000000000001</v>
      </c>
      <c r="D186" s="4">
        <v>0.12999999999999901</v>
      </c>
      <c r="E186" s="4">
        <v>3.4058160859313502</v>
      </c>
      <c r="F186" s="4">
        <v>3.91</v>
      </c>
      <c r="G186" s="4">
        <v>3.964</v>
      </c>
      <c r="H186" s="4">
        <v>202994</v>
      </c>
      <c r="I186" s="5">
        <v>97305</v>
      </c>
      <c r="J186" s="9">
        <f t="shared" si="2"/>
        <v>1.3716027432054819E-2</v>
      </c>
    </row>
    <row r="187" spans="1:10" ht="15" customHeight="1" x14ac:dyDescent="0.2">
      <c r="A187" s="6">
        <v>45783</v>
      </c>
      <c r="B187" s="7">
        <v>3.8380000000000001</v>
      </c>
      <c r="C187" s="7">
        <v>3.8170000000000002</v>
      </c>
      <c r="D187" s="7">
        <v>-5.6000000000000001E-2</v>
      </c>
      <c r="E187" s="7">
        <v>-1.44590756519493</v>
      </c>
      <c r="F187" s="7">
        <v>3.8340000000000001</v>
      </c>
      <c r="G187" s="7">
        <v>3.883</v>
      </c>
      <c r="H187" s="7">
        <v>206972</v>
      </c>
      <c r="I187" s="8">
        <v>109329</v>
      </c>
      <c r="J187" s="9">
        <f t="shared" si="2"/>
        <v>1.2699235454192026E-2</v>
      </c>
    </row>
    <row r="188" spans="1:10" ht="15" customHeight="1" x14ac:dyDescent="0.2">
      <c r="A188" s="3">
        <v>45782</v>
      </c>
      <c r="B188" s="4">
        <v>3.8879999999999999</v>
      </c>
      <c r="C188" s="4">
        <v>3.8730000000000002</v>
      </c>
      <c r="D188" s="4">
        <v>-7.6999999999999902E-2</v>
      </c>
      <c r="E188" s="4">
        <v>-1.94936708860758</v>
      </c>
      <c r="F188" s="4">
        <v>3.875</v>
      </c>
      <c r="G188" s="4">
        <v>4.0880000000000001</v>
      </c>
      <c r="H188" s="4">
        <v>203532</v>
      </c>
      <c r="I188" s="5">
        <v>89708</v>
      </c>
      <c r="J188" s="9">
        <f t="shared" si="2"/>
        <v>5.3497425593369355E-2</v>
      </c>
    </row>
    <row r="189" spans="1:10" ht="15" customHeight="1" x14ac:dyDescent="0.2">
      <c r="A189" s="6">
        <v>45779</v>
      </c>
      <c r="B189" s="7">
        <v>3.988</v>
      </c>
      <c r="C189" s="7">
        <v>3.95</v>
      </c>
      <c r="D189" s="7">
        <v>0.153</v>
      </c>
      <c r="E189" s="7">
        <v>4.0294969712931303</v>
      </c>
      <c r="F189" s="7">
        <v>3.911</v>
      </c>
      <c r="G189" s="7">
        <v>4.01</v>
      </c>
      <c r="H189" s="7">
        <v>198795</v>
      </c>
      <c r="I189" s="8">
        <v>76762</v>
      </c>
      <c r="J189" s="9">
        <f t="shared" si="2"/>
        <v>2.4996843832849329E-2</v>
      </c>
    </row>
    <row r="190" spans="1:10" ht="15" customHeight="1" x14ac:dyDescent="0.2">
      <c r="A190" s="3">
        <v>45778</v>
      </c>
      <c r="B190" s="4">
        <v>3.7639999999999998</v>
      </c>
      <c r="C190" s="4">
        <v>3.7970000000000002</v>
      </c>
      <c r="D190" s="4">
        <v>0.16200000000000001</v>
      </c>
      <c r="E190" s="4">
        <v>4.4566712517194</v>
      </c>
      <c r="F190" s="4">
        <v>3.7210000000000001</v>
      </c>
      <c r="G190" s="4">
        <v>3.7839999999999998</v>
      </c>
      <c r="H190" s="4">
        <v>200553</v>
      </c>
      <c r="I190" s="5">
        <v>94173</v>
      </c>
      <c r="J190" s="9">
        <f t="shared" si="2"/>
        <v>1.6788807461692132E-2</v>
      </c>
    </row>
    <row r="191" spans="1:10" ht="15" customHeight="1" x14ac:dyDescent="0.2">
      <c r="A191" s="6">
        <v>45777</v>
      </c>
      <c r="B191" s="7">
        <v>3.66</v>
      </c>
      <c r="C191" s="7">
        <v>3.6349999999999998</v>
      </c>
      <c r="D191" s="7">
        <v>-3.9000000000000097E-2</v>
      </c>
      <c r="E191" s="7">
        <v>-1.0615133369624301</v>
      </c>
      <c r="F191" s="7">
        <v>3.645</v>
      </c>
      <c r="G191" s="7">
        <v>3.67</v>
      </c>
      <c r="H191" s="7">
        <v>190659</v>
      </c>
      <c r="I191" s="8">
        <v>85613</v>
      </c>
      <c r="J191" s="9">
        <f t="shared" si="2"/>
        <v>6.8352699931647064E-3</v>
      </c>
    </row>
    <row r="192" spans="1:10" ht="15" customHeight="1" x14ac:dyDescent="0.2">
      <c r="A192" s="3">
        <v>45776</v>
      </c>
      <c r="B192" s="4">
        <v>3.6720000000000002</v>
      </c>
      <c r="C192" s="4">
        <v>3.6739999999999999</v>
      </c>
      <c r="D192" s="4">
        <v>0.504</v>
      </c>
      <c r="E192" s="4">
        <v>15.8990536277602</v>
      </c>
      <c r="F192" s="4">
        <v>3.6349999999999998</v>
      </c>
      <c r="G192" s="4">
        <v>3.722</v>
      </c>
      <c r="H192" s="4">
        <v>185977</v>
      </c>
      <c r="I192" s="5">
        <v>80585</v>
      </c>
      <c r="J192" s="9">
        <f t="shared" si="2"/>
        <v>2.3650944678537501E-2</v>
      </c>
    </row>
    <row r="193" spans="1:10" ht="15" customHeight="1" x14ac:dyDescent="0.2">
      <c r="A193" s="6">
        <v>45775</v>
      </c>
      <c r="B193" s="7">
        <v>3.1779999999999999</v>
      </c>
      <c r="C193" s="7">
        <v>3.17</v>
      </c>
      <c r="D193" s="7">
        <v>0.23300000000000001</v>
      </c>
      <c r="E193" s="7">
        <v>7.9332652366360197</v>
      </c>
      <c r="F193" s="7">
        <v>3.101</v>
      </c>
      <c r="G193" s="7">
        <v>3.1779999999999999</v>
      </c>
      <c r="H193" s="7">
        <v>1871</v>
      </c>
      <c r="I193" s="8">
        <v>2169</v>
      </c>
      <c r="J193" s="9">
        <f t="shared" si="2"/>
        <v>2.4526198439241906E-2</v>
      </c>
    </row>
    <row r="194" spans="1:10" ht="15" customHeight="1" x14ac:dyDescent="0.2">
      <c r="A194" s="3">
        <v>45772</v>
      </c>
      <c r="B194" s="4">
        <v>2.9660000000000002</v>
      </c>
      <c r="C194" s="4">
        <v>2.9369999999999998</v>
      </c>
      <c r="D194" s="4">
        <v>6.9999999999996697E-3</v>
      </c>
      <c r="E194" s="4">
        <v>0.23890784982933899</v>
      </c>
      <c r="F194" s="4">
        <v>2.8450000000000002</v>
      </c>
      <c r="G194" s="4">
        <v>2.97</v>
      </c>
      <c r="H194" s="4">
        <v>23406</v>
      </c>
      <c r="I194" s="5">
        <v>43948</v>
      </c>
      <c r="J194" s="9">
        <f t="shared" si="2"/>
        <v>4.2992261392949267E-2</v>
      </c>
    </row>
    <row r="195" spans="1:10" ht="15" customHeight="1" x14ac:dyDescent="0.2">
      <c r="A195" s="6">
        <v>45771</v>
      </c>
      <c r="B195" s="7">
        <v>2.9390000000000001</v>
      </c>
      <c r="C195" s="7">
        <v>2.93</v>
      </c>
      <c r="D195" s="7">
        <v>-9.1999999999999596E-2</v>
      </c>
      <c r="E195" s="7">
        <v>-3.0443414956981898</v>
      </c>
      <c r="F195" s="7">
        <v>2.9</v>
      </c>
      <c r="G195" s="7">
        <v>2.95</v>
      </c>
      <c r="H195" s="7">
        <v>28629</v>
      </c>
      <c r="I195" s="8">
        <v>63404</v>
      </c>
      <c r="J195" s="9">
        <f t="shared" si="2"/>
        <v>1.7094017094017186E-2</v>
      </c>
    </row>
    <row r="196" spans="1:10" ht="15" customHeight="1" x14ac:dyDescent="0.2">
      <c r="A196" s="3">
        <v>45770</v>
      </c>
      <c r="B196" s="4">
        <v>3.0139999999999998</v>
      </c>
      <c r="C196" s="4">
        <v>3.0219999999999998</v>
      </c>
      <c r="D196" s="4">
        <v>1.49999999999996E-2</v>
      </c>
      <c r="E196" s="4">
        <v>0.49883604921847602</v>
      </c>
      <c r="F196" s="4">
        <v>2.99</v>
      </c>
      <c r="G196" s="4">
        <v>3.0259999999999998</v>
      </c>
      <c r="H196" s="4">
        <v>42168</v>
      </c>
      <c r="I196" s="5">
        <v>79051</v>
      </c>
      <c r="J196" s="9">
        <f t="shared" si="2"/>
        <v>1.1968085106382842E-2</v>
      </c>
    </row>
    <row r="197" spans="1:10" ht="15" customHeight="1" x14ac:dyDescent="0.2">
      <c r="A197" s="6">
        <v>45769</v>
      </c>
      <c r="B197" s="7">
        <v>3.0350000000000001</v>
      </c>
      <c r="C197" s="7">
        <v>3.0070000000000001</v>
      </c>
      <c r="D197" s="7">
        <v>-8.99999999999989E-3</v>
      </c>
      <c r="E197" s="7">
        <v>-0.29840848806366099</v>
      </c>
      <c r="F197" s="7">
        <v>3.0070000000000001</v>
      </c>
      <c r="G197" s="7">
        <v>3.0619999999999998</v>
      </c>
      <c r="H197" s="7">
        <v>61041</v>
      </c>
      <c r="I197" s="8">
        <v>123171</v>
      </c>
      <c r="J197" s="9">
        <f t="shared" ref="J197:J255" si="3">(G197-F197)/AVERAGE(F197:G197)</f>
        <v>1.8124897017630488E-2</v>
      </c>
    </row>
    <row r="198" spans="1:10" ht="15" customHeight="1" x14ac:dyDescent="0.2">
      <c r="A198" s="3">
        <v>45768</v>
      </c>
      <c r="B198" s="4">
        <v>3.0529999999999999</v>
      </c>
      <c r="C198" s="4">
        <v>3.016</v>
      </c>
      <c r="D198" s="4">
        <v>-0.22900000000000001</v>
      </c>
      <c r="E198" s="4">
        <v>-7.0570107858243398</v>
      </c>
      <c r="F198" s="4">
        <v>3.0409999999999999</v>
      </c>
      <c r="G198" s="4">
        <v>3.0630000000000002</v>
      </c>
      <c r="H198" s="4">
        <v>76564</v>
      </c>
      <c r="I198" s="5">
        <v>157187</v>
      </c>
      <c r="J198" s="9">
        <f t="shared" si="3"/>
        <v>7.2083879423329757E-3</v>
      </c>
    </row>
    <row r="199" spans="1:10" ht="15" customHeight="1" x14ac:dyDescent="0.2">
      <c r="A199" s="6">
        <v>45764</v>
      </c>
      <c r="B199" s="7">
        <v>3.2480000000000002</v>
      </c>
      <c r="C199" s="7">
        <v>3.2450000000000001</v>
      </c>
      <c r="D199" s="7">
        <v>-1.9999999999997702E-3</v>
      </c>
      <c r="E199" s="7">
        <v>-6.1595318755769402E-2</v>
      </c>
      <c r="F199" s="7">
        <v>3.23</v>
      </c>
      <c r="G199" s="7">
        <v>3.2770000000000001</v>
      </c>
      <c r="H199" s="7">
        <v>94615</v>
      </c>
      <c r="I199" s="8">
        <v>135424</v>
      </c>
      <c r="J199" s="9">
        <f t="shared" si="3"/>
        <v>1.4445981250960551E-2</v>
      </c>
    </row>
    <row r="200" spans="1:10" ht="15" customHeight="1" x14ac:dyDescent="0.2">
      <c r="A200" s="3">
        <v>45763</v>
      </c>
      <c r="B200" s="4">
        <v>3.2669999999999999</v>
      </c>
      <c r="C200" s="4">
        <v>3.2469999999999999</v>
      </c>
      <c r="D200" s="4">
        <v>-8.2000000000000295E-2</v>
      </c>
      <c r="E200" s="4">
        <v>-2.46320216281166</v>
      </c>
      <c r="F200" s="4">
        <v>3.2429999999999999</v>
      </c>
      <c r="G200" s="4">
        <v>3.2850000000000001</v>
      </c>
      <c r="H200" s="4">
        <v>104058</v>
      </c>
      <c r="I200" s="5">
        <v>142699</v>
      </c>
      <c r="J200" s="9">
        <f t="shared" si="3"/>
        <v>1.2867647058823609E-2</v>
      </c>
    </row>
    <row r="201" spans="1:10" ht="15" customHeight="1" x14ac:dyDescent="0.2">
      <c r="A201" s="6">
        <v>45762</v>
      </c>
      <c r="B201" s="7">
        <v>3.3170000000000002</v>
      </c>
      <c r="C201" s="7">
        <v>3.3290000000000002</v>
      </c>
      <c r="D201" s="7">
        <v>4.0000000000000001E-3</v>
      </c>
      <c r="E201" s="7">
        <v>0.12030075187969801</v>
      </c>
      <c r="F201" s="7">
        <v>3.3149999999999999</v>
      </c>
      <c r="G201" s="7">
        <v>3.3250000000000002</v>
      </c>
      <c r="H201" s="7">
        <v>120262</v>
      </c>
      <c r="I201" s="8">
        <v>134688</v>
      </c>
      <c r="J201" s="9">
        <f t="shared" si="3"/>
        <v>3.0120481927711534E-3</v>
      </c>
    </row>
    <row r="202" spans="1:10" ht="15" customHeight="1" x14ac:dyDescent="0.2">
      <c r="A202" s="3">
        <v>45761</v>
      </c>
      <c r="B202" s="4">
        <v>3.3359999999999999</v>
      </c>
      <c r="C202" s="4">
        <v>3.3250000000000002</v>
      </c>
      <c r="D202" s="4">
        <v>-0.20199999999999901</v>
      </c>
      <c r="E202" s="4">
        <v>-5.7272469520839202</v>
      </c>
      <c r="F202" s="4">
        <v>3.33</v>
      </c>
      <c r="G202" s="4">
        <v>3.351</v>
      </c>
      <c r="H202" s="4">
        <v>121823</v>
      </c>
      <c r="I202" s="5">
        <v>150573</v>
      </c>
      <c r="J202" s="9">
        <f t="shared" si="3"/>
        <v>6.2864840592725367E-3</v>
      </c>
    </row>
    <row r="203" spans="1:10" ht="15" customHeight="1" x14ac:dyDescent="0.2">
      <c r="A203" s="6">
        <v>45758</v>
      </c>
      <c r="B203" s="7">
        <v>3.5409999999999999</v>
      </c>
      <c r="C203" s="7">
        <v>3.5270000000000001</v>
      </c>
      <c r="D203" s="7">
        <v>-2.9999999999999801E-2</v>
      </c>
      <c r="E203" s="7">
        <v>-0.84340736575765296</v>
      </c>
      <c r="F203" s="7">
        <v>3.5019999999999998</v>
      </c>
      <c r="G203" s="7">
        <v>3.5649999999999999</v>
      </c>
      <c r="H203" s="7">
        <v>144670</v>
      </c>
      <c r="I203" s="8">
        <v>159851</v>
      </c>
      <c r="J203" s="9">
        <f t="shared" si="3"/>
        <v>1.7829347672279658E-2</v>
      </c>
    </row>
    <row r="204" spans="1:10" ht="15" customHeight="1" x14ac:dyDescent="0.2">
      <c r="A204" s="3">
        <v>45757</v>
      </c>
      <c r="B204" s="4">
        <v>3.5059999999999998</v>
      </c>
      <c r="C204" s="4">
        <v>3.5569999999999999</v>
      </c>
      <c r="D204" s="4">
        <v>-0.25899999999999901</v>
      </c>
      <c r="E204" s="4">
        <v>-6.7872117400419301</v>
      </c>
      <c r="F204" s="4">
        <v>3.4809999999999999</v>
      </c>
      <c r="G204" s="4">
        <v>3.5270000000000001</v>
      </c>
      <c r="H204" s="4">
        <v>167561</v>
      </c>
      <c r="I204" s="5">
        <v>233182</v>
      </c>
      <c r="J204" s="9">
        <f t="shared" si="3"/>
        <v>1.3127853881278614E-2</v>
      </c>
    </row>
    <row r="205" spans="1:10" ht="15" customHeight="1" x14ac:dyDescent="0.2">
      <c r="A205" s="6">
        <v>45756</v>
      </c>
      <c r="B205" s="7">
        <v>3.738</v>
      </c>
      <c r="C205" s="7">
        <v>3.8159999999999998</v>
      </c>
      <c r="D205" s="7">
        <v>0.35099999999999998</v>
      </c>
      <c r="E205" s="7">
        <v>10.129870129870101</v>
      </c>
      <c r="F205" s="7">
        <v>3.73</v>
      </c>
      <c r="G205" s="7">
        <v>3.754</v>
      </c>
      <c r="H205" s="7">
        <v>206363</v>
      </c>
      <c r="I205" s="8">
        <v>326507</v>
      </c>
      <c r="J205" s="9">
        <f t="shared" si="3"/>
        <v>6.4136825227151311E-3</v>
      </c>
    </row>
    <row r="206" spans="1:10" ht="15" customHeight="1" x14ac:dyDescent="0.2">
      <c r="A206" s="3">
        <v>45755</v>
      </c>
      <c r="B206" s="4">
        <v>3.48</v>
      </c>
      <c r="C206" s="4">
        <v>3.4649999999999999</v>
      </c>
      <c r="D206" s="4">
        <v>-0.189999999999999</v>
      </c>
      <c r="E206" s="4">
        <v>-5.1983584131326896</v>
      </c>
      <c r="F206" s="4">
        <v>3.4649999999999999</v>
      </c>
      <c r="G206" s="4">
        <v>3.49</v>
      </c>
      <c r="H206" s="4">
        <v>254702</v>
      </c>
      <c r="I206" s="5">
        <v>245402</v>
      </c>
      <c r="J206" s="9">
        <f t="shared" si="3"/>
        <v>7.1890726096334595E-3</v>
      </c>
    </row>
    <row r="207" spans="1:10" ht="15" customHeight="1" x14ac:dyDescent="0.2">
      <c r="A207" s="6">
        <v>45754</v>
      </c>
      <c r="B207" s="7">
        <v>3.6280000000000001</v>
      </c>
      <c r="C207" s="7">
        <v>3.6549999999999998</v>
      </c>
      <c r="D207" s="7">
        <v>-0.182</v>
      </c>
      <c r="E207" s="7">
        <v>-4.7432890278863704</v>
      </c>
      <c r="F207" s="7">
        <v>3.61</v>
      </c>
      <c r="G207" s="7">
        <v>3.6349999999999998</v>
      </c>
      <c r="H207" s="7">
        <v>267702</v>
      </c>
      <c r="I207" s="8">
        <v>265602</v>
      </c>
      <c r="J207" s="9">
        <f t="shared" si="3"/>
        <v>6.9013112491373126E-3</v>
      </c>
    </row>
    <row r="208" spans="1:10" ht="15" customHeight="1" x14ac:dyDescent="0.2">
      <c r="A208" s="3">
        <v>45751</v>
      </c>
      <c r="B208" s="4">
        <v>3.819</v>
      </c>
      <c r="C208" s="4">
        <v>3.8370000000000002</v>
      </c>
      <c r="D208" s="4">
        <v>-0.30099999999999899</v>
      </c>
      <c r="E208" s="4">
        <v>-7.2740454325761101</v>
      </c>
      <c r="F208" s="4">
        <v>3.8170000000000002</v>
      </c>
      <c r="G208" s="4">
        <v>3.86</v>
      </c>
      <c r="H208" s="4">
        <v>271313</v>
      </c>
      <c r="I208" s="5">
        <v>229187</v>
      </c>
      <c r="J208" s="9">
        <f t="shared" si="3"/>
        <v>1.12022925621987E-2</v>
      </c>
    </row>
    <row r="209" spans="1:10" ht="15" customHeight="1" x14ac:dyDescent="0.2">
      <c r="A209" s="6">
        <v>45750</v>
      </c>
      <c r="B209" s="7">
        <v>4.117</v>
      </c>
      <c r="C209" s="7">
        <v>4.1379999999999999</v>
      </c>
      <c r="D209" s="7">
        <v>8.3000000000000101E-2</v>
      </c>
      <c r="E209" s="7">
        <v>2.0468557336621398</v>
      </c>
      <c r="F209" s="7">
        <v>4.1079999999999997</v>
      </c>
      <c r="G209" s="7">
        <v>4.1340000000000003</v>
      </c>
      <c r="H209" s="7">
        <v>280665</v>
      </c>
      <c r="I209" s="8">
        <v>157630</v>
      </c>
      <c r="J209" s="9">
        <f t="shared" si="3"/>
        <v>6.3091482649843935E-3</v>
      </c>
    </row>
    <row r="210" spans="1:10" ht="15" customHeight="1" x14ac:dyDescent="0.2">
      <c r="A210" s="3">
        <v>45749</v>
      </c>
      <c r="B210" s="4">
        <v>4.016</v>
      </c>
      <c r="C210" s="4">
        <v>4.0549999999999997</v>
      </c>
      <c r="D210" s="4">
        <v>0.103999999999999</v>
      </c>
      <c r="E210" s="4">
        <v>2.6322450012654799</v>
      </c>
      <c r="F210" s="4">
        <v>4.0090000000000003</v>
      </c>
      <c r="G210" s="4">
        <v>4.0250000000000004</v>
      </c>
      <c r="H210" s="4">
        <v>287529</v>
      </c>
      <c r="I210" s="5">
        <v>130199.999999999</v>
      </c>
      <c r="J210" s="9">
        <f t="shared" si="3"/>
        <v>3.9830719442369962E-3</v>
      </c>
    </row>
    <row r="211" spans="1:10" ht="15" customHeight="1" x14ac:dyDescent="0.2">
      <c r="A211" s="6">
        <v>45748</v>
      </c>
      <c r="B211" s="7">
        <v>3.952</v>
      </c>
      <c r="C211" s="7">
        <v>3.9510000000000001</v>
      </c>
      <c r="D211" s="7">
        <v>-0.16799999999999901</v>
      </c>
      <c r="E211" s="7">
        <v>-4.0786598689002096</v>
      </c>
      <c r="F211" s="7">
        <v>3.9380000000000002</v>
      </c>
      <c r="G211" s="7">
        <v>3.9580000000000002</v>
      </c>
      <c r="H211" s="7">
        <v>287717</v>
      </c>
      <c r="I211" s="8">
        <v>141616</v>
      </c>
      <c r="J211" s="9">
        <f t="shared" si="3"/>
        <v>5.0658561296859205E-3</v>
      </c>
    </row>
    <row r="212" spans="1:10" ht="15" customHeight="1" x14ac:dyDescent="0.2">
      <c r="A212" s="3">
        <v>45747</v>
      </c>
      <c r="B212" s="4">
        <v>4.1319999999999997</v>
      </c>
      <c r="C212" s="4">
        <v>4.1189999999999998</v>
      </c>
      <c r="D212" s="4">
        <v>5.3999999999999299E-2</v>
      </c>
      <c r="E212" s="4">
        <v>1.32841328413282</v>
      </c>
      <c r="F212" s="4">
        <v>4.1230000000000002</v>
      </c>
      <c r="G212" s="4">
        <v>4.1340000000000003</v>
      </c>
      <c r="H212" s="4">
        <v>292621</v>
      </c>
      <c r="I212" s="5">
        <v>163138</v>
      </c>
      <c r="J212" s="9">
        <f t="shared" si="3"/>
        <v>2.6644059585806271E-3</v>
      </c>
    </row>
    <row r="213" spans="1:10" ht="15" customHeight="1" x14ac:dyDescent="0.2">
      <c r="A213" s="6">
        <v>45744</v>
      </c>
      <c r="B213" s="7">
        <v>4.0869999999999997</v>
      </c>
      <c r="C213" s="7">
        <v>4.0650000000000004</v>
      </c>
      <c r="D213" s="7">
        <v>0.14000000000000001</v>
      </c>
      <c r="E213" s="7">
        <v>3.5668789808917398</v>
      </c>
      <c r="F213" s="7">
        <v>4.05</v>
      </c>
      <c r="G213" s="7">
        <v>4.09</v>
      </c>
      <c r="H213" s="7">
        <v>295410</v>
      </c>
      <c r="I213" s="8">
        <v>163572</v>
      </c>
      <c r="J213" s="9">
        <f t="shared" si="3"/>
        <v>9.8280098280098364E-3</v>
      </c>
    </row>
    <row r="214" spans="1:10" ht="15" customHeight="1" x14ac:dyDescent="0.2">
      <c r="A214" s="3">
        <v>45743</v>
      </c>
      <c r="B214" s="4">
        <v>3.92</v>
      </c>
      <c r="C214" s="4">
        <v>3.9249999999999998</v>
      </c>
      <c r="D214" s="4">
        <v>5.2999999999999901E-2</v>
      </c>
      <c r="E214" s="4">
        <v>1.3688016528925699</v>
      </c>
      <c r="F214" s="4">
        <v>3.9129999999999998</v>
      </c>
      <c r="G214" s="4">
        <v>3.923</v>
      </c>
      <c r="H214" s="4">
        <v>293018</v>
      </c>
      <c r="I214" s="5">
        <v>171700</v>
      </c>
      <c r="J214" s="9">
        <f t="shared" si="3"/>
        <v>2.5523226135784152E-3</v>
      </c>
    </row>
    <row r="215" spans="1:10" ht="15" customHeight="1" x14ac:dyDescent="0.2">
      <c r="A215" s="6">
        <v>45742</v>
      </c>
      <c r="B215" s="7">
        <v>3.8620000000000001</v>
      </c>
      <c r="C215" s="7">
        <v>3.8719999999999999</v>
      </c>
      <c r="D215" s="7">
        <v>-4.9999999999998899E-3</v>
      </c>
      <c r="E215" s="7">
        <v>-0.12896569512509301</v>
      </c>
      <c r="F215" s="7">
        <v>3.8570000000000002</v>
      </c>
      <c r="G215" s="7">
        <v>3.8690000000000002</v>
      </c>
      <c r="H215" s="7">
        <v>288639</v>
      </c>
      <c r="I215" s="8">
        <v>134206</v>
      </c>
      <c r="J215" s="9">
        <f t="shared" si="3"/>
        <v>3.1063939943049468E-3</v>
      </c>
    </row>
    <row r="216" spans="1:10" ht="15" customHeight="1" x14ac:dyDescent="0.2">
      <c r="A216" s="3">
        <v>45741</v>
      </c>
      <c r="B216" s="4">
        <v>3.9</v>
      </c>
      <c r="C216" s="4">
        <v>3.8769999999999998</v>
      </c>
      <c r="D216" s="4">
        <v>-3.7000000000000297E-2</v>
      </c>
      <c r="E216" s="4">
        <v>-0.94532447623915095</v>
      </c>
      <c r="F216" s="4">
        <v>3.89</v>
      </c>
      <c r="G216" s="4">
        <v>3.9060000000000001</v>
      </c>
      <c r="H216" s="4">
        <v>289960</v>
      </c>
      <c r="I216" s="5">
        <v>145006</v>
      </c>
      <c r="J216" s="9">
        <f t="shared" si="3"/>
        <v>4.1046690610569555E-3</v>
      </c>
    </row>
    <row r="217" spans="1:10" ht="15" customHeight="1" x14ac:dyDescent="0.2">
      <c r="A217" s="6">
        <v>45740</v>
      </c>
      <c r="B217" s="7">
        <v>3.9049999999999998</v>
      </c>
      <c r="C217" s="7">
        <v>3.9140000000000001</v>
      </c>
      <c r="D217" s="7">
        <v>-6.5999999999999795E-2</v>
      </c>
      <c r="E217" s="7">
        <v>-1.65829145728643</v>
      </c>
      <c r="F217" s="7">
        <v>3.895</v>
      </c>
      <c r="G217" s="7">
        <v>3.9630000000000001</v>
      </c>
      <c r="H217" s="7">
        <v>35949</v>
      </c>
      <c r="I217" s="8">
        <v>74790</v>
      </c>
      <c r="J217" s="9">
        <f t="shared" si="3"/>
        <v>1.7307202850598131E-2</v>
      </c>
    </row>
    <row r="218" spans="1:10" ht="15" customHeight="1" x14ac:dyDescent="0.2">
      <c r="A218" s="3">
        <v>45737</v>
      </c>
      <c r="B218" s="4">
        <v>3.964</v>
      </c>
      <c r="C218" s="4">
        <v>3.98</v>
      </c>
      <c r="D218" s="4">
        <v>4.9999999999998899E-3</v>
      </c>
      <c r="E218" s="4">
        <v>0.125786163522012</v>
      </c>
      <c r="F218" s="4">
        <v>3.931</v>
      </c>
      <c r="G218" s="4">
        <v>4.0199999999999996</v>
      </c>
      <c r="H218" s="4">
        <v>51548</v>
      </c>
      <c r="I218" s="5">
        <v>121716</v>
      </c>
      <c r="J218" s="9">
        <f t="shared" si="3"/>
        <v>2.238712111684053E-2</v>
      </c>
    </row>
    <row r="219" spans="1:10" ht="15" customHeight="1" x14ac:dyDescent="0.2">
      <c r="A219" s="6">
        <v>45736</v>
      </c>
      <c r="B219" s="7">
        <v>3.96</v>
      </c>
      <c r="C219" s="7">
        <v>3.9750000000000001</v>
      </c>
      <c r="D219" s="7">
        <v>-0.27199999999999902</v>
      </c>
      <c r="E219" s="7">
        <v>-6.4045208382387404</v>
      </c>
      <c r="F219" s="7">
        <v>3.9510000000000001</v>
      </c>
      <c r="G219" s="7">
        <v>3.96</v>
      </c>
      <c r="H219" s="7">
        <v>67786</v>
      </c>
      <c r="I219" s="8">
        <v>167195</v>
      </c>
      <c r="J219" s="9">
        <f t="shared" si="3"/>
        <v>2.2753128555176075E-3</v>
      </c>
    </row>
    <row r="220" spans="1:10" ht="15" customHeight="1" x14ac:dyDescent="0.2">
      <c r="A220" s="3">
        <v>45735</v>
      </c>
      <c r="B220" s="4">
        <v>4.2089999999999996</v>
      </c>
      <c r="C220" s="4">
        <v>4.2469999999999999</v>
      </c>
      <c r="D220" s="4">
        <v>0.19500000000000001</v>
      </c>
      <c r="E220" s="4">
        <v>4.8124383020730503</v>
      </c>
      <c r="F220" s="4">
        <v>4.1929999999999996</v>
      </c>
      <c r="G220" s="4">
        <v>4.22</v>
      </c>
      <c r="H220" s="4">
        <v>74723</v>
      </c>
      <c r="I220" s="5">
        <v>142413</v>
      </c>
      <c r="J220" s="9">
        <f t="shared" si="3"/>
        <v>6.4186378224177186E-3</v>
      </c>
    </row>
    <row r="221" spans="1:10" ht="15" customHeight="1" x14ac:dyDescent="0.2">
      <c r="A221" s="6">
        <v>45734</v>
      </c>
      <c r="B221" s="7">
        <v>4.0609999999999999</v>
      </c>
      <c r="C221" s="7">
        <v>4.0519999999999996</v>
      </c>
      <c r="D221" s="7">
        <v>3.3999999999999801E-2</v>
      </c>
      <c r="E221" s="7">
        <v>0.846192135390744</v>
      </c>
      <c r="F221" s="7">
        <v>4.0490000000000004</v>
      </c>
      <c r="G221" s="7">
        <v>4.069</v>
      </c>
      <c r="H221" s="7">
        <v>98276</v>
      </c>
      <c r="I221" s="8">
        <v>136819</v>
      </c>
      <c r="J221" s="9">
        <f t="shared" si="3"/>
        <v>4.9273220004926272E-3</v>
      </c>
    </row>
    <row r="222" spans="1:10" ht="15" customHeight="1" x14ac:dyDescent="0.2">
      <c r="A222" s="3">
        <v>45733</v>
      </c>
      <c r="B222" s="4">
        <v>4.0049999999999999</v>
      </c>
      <c r="C222" s="4">
        <v>4.0179999999999998</v>
      </c>
      <c r="D222" s="4">
        <v>-8.6000000000000298E-2</v>
      </c>
      <c r="E222" s="4">
        <v>-2.0955165692007802</v>
      </c>
      <c r="F222" s="4">
        <v>3.992</v>
      </c>
      <c r="G222" s="4">
        <v>4.0149999999999997</v>
      </c>
      <c r="H222" s="4">
        <v>112046</v>
      </c>
      <c r="I222" s="5">
        <v>141996</v>
      </c>
      <c r="J222" s="9">
        <f t="shared" si="3"/>
        <v>5.7449731484949893E-3</v>
      </c>
    </row>
    <row r="223" spans="1:10" ht="15" customHeight="1" x14ac:dyDescent="0.2">
      <c r="A223" s="6">
        <v>45730</v>
      </c>
      <c r="B223" s="7">
        <v>4.0890000000000004</v>
      </c>
      <c r="C223" s="7">
        <v>4.1040000000000001</v>
      </c>
      <c r="D223" s="7">
        <v>-6.9999999999996697E-3</v>
      </c>
      <c r="E223" s="7">
        <v>-0.17027487229384</v>
      </c>
      <c r="F223" s="7">
        <v>4.07</v>
      </c>
      <c r="G223" s="7">
        <v>4.13</v>
      </c>
      <c r="H223" s="7">
        <v>124107</v>
      </c>
      <c r="I223" s="8">
        <v>135671</v>
      </c>
      <c r="J223" s="9">
        <f t="shared" si="3"/>
        <v>1.463414634146332E-2</v>
      </c>
    </row>
    <row r="224" spans="1:10" ht="15" customHeight="1" x14ac:dyDescent="0.2">
      <c r="A224" s="3">
        <v>45729</v>
      </c>
      <c r="B224" s="4">
        <v>4.0350000000000001</v>
      </c>
      <c r="C224" s="4">
        <v>4.1109999999999998</v>
      </c>
      <c r="D224" s="4">
        <v>2.70000000000001E-2</v>
      </c>
      <c r="E224" s="4">
        <v>0.66111655239962097</v>
      </c>
      <c r="F224" s="4">
        <v>4.0199999999999996</v>
      </c>
      <c r="G224" s="4">
        <v>4.0540000000000003</v>
      </c>
      <c r="H224" s="4">
        <v>150073</v>
      </c>
      <c r="I224" s="5">
        <v>212673</v>
      </c>
      <c r="J224" s="9">
        <f t="shared" si="3"/>
        <v>8.4220956155562788E-3</v>
      </c>
    </row>
    <row r="225" spans="1:10" ht="15" customHeight="1" x14ac:dyDescent="0.2">
      <c r="A225" s="6">
        <v>45728</v>
      </c>
      <c r="B225" s="7">
        <v>4.0330000000000004</v>
      </c>
      <c r="C225" s="7">
        <v>4.0839999999999996</v>
      </c>
      <c r="D225" s="7">
        <v>-0.36899999999999999</v>
      </c>
      <c r="E225" s="7">
        <v>-8.2865483943408993</v>
      </c>
      <c r="F225" s="7">
        <v>4.0250000000000004</v>
      </c>
      <c r="G225" s="7">
        <v>4.0540000000000003</v>
      </c>
      <c r="H225" s="7">
        <v>169377</v>
      </c>
      <c r="I225" s="8">
        <v>213032</v>
      </c>
      <c r="J225" s="9">
        <f t="shared" si="3"/>
        <v>7.1791063250402059E-3</v>
      </c>
    </row>
    <row r="226" spans="1:10" ht="15" customHeight="1" x14ac:dyDescent="0.2">
      <c r="A226" s="3">
        <v>45727</v>
      </c>
      <c r="B226" s="4">
        <v>4.3440000000000003</v>
      </c>
      <c r="C226" s="4">
        <v>4.4530000000000003</v>
      </c>
      <c r="D226" s="4">
        <v>-3.7999999999999298E-2</v>
      </c>
      <c r="E226" s="4">
        <v>-0.84613671788018596</v>
      </c>
      <c r="F226" s="4">
        <v>4.3380000000000001</v>
      </c>
      <c r="G226" s="4">
        <v>4.37</v>
      </c>
      <c r="H226" s="4">
        <v>191391</v>
      </c>
      <c r="I226" s="5">
        <v>178486</v>
      </c>
      <c r="J226" s="9">
        <f t="shared" si="3"/>
        <v>7.3495636196600888E-3</v>
      </c>
    </row>
    <row r="227" spans="1:10" ht="15" customHeight="1" x14ac:dyDescent="0.2">
      <c r="A227" s="6">
        <v>45726</v>
      </c>
      <c r="B227" s="7">
        <v>4.4569999999999999</v>
      </c>
      <c r="C227" s="7">
        <v>4.4909999999999997</v>
      </c>
      <c r="D227" s="7">
        <v>9.1999999999999596E-2</v>
      </c>
      <c r="E227" s="7">
        <v>2.0913844055466999</v>
      </c>
      <c r="F227" s="7">
        <v>4.4539999999999997</v>
      </c>
      <c r="G227" s="7">
        <v>4.4930000000000003</v>
      </c>
      <c r="H227" s="7">
        <v>199160</v>
      </c>
      <c r="I227" s="8">
        <v>209693</v>
      </c>
      <c r="J227" s="9">
        <f t="shared" si="3"/>
        <v>8.7180060355427722E-3</v>
      </c>
    </row>
    <row r="228" spans="1:10" ht="15" customHeight="1" x14ac:dyDescent="0.2">
      <c r="A228" s="3">
        <v>45723</v>
      </c>
      <c r="B228" s="4">
        <v>4.4009999999999998</v>
      </c>
      <c r="C228" s="4">
        <v>4.399</v>
      </c>
      <c r="D228" s="4">
        <v>9.7000000000000405E-2</v>
      </c>
      <c r="E228" s="4">
        <v>2.25476522547654</v>
      </c>
      <c r="F228" s="4">
        <v>4.3899999999999997</v>
      </c>
      <c r="G228" s="4">
        <v>4.4359999999999999</v>
      </c>
      <c r="H228" s="4">
        <v>208149</v>
      </c>
      <c r="I228" s="5">
        <v>200984</v>
      </c>
      <c r="J228" s="9">
        <f t="shared" si="3"/>
        <v>1.0423748017221903E-2</v>
      </c>
    </row>
    <row r="229" spans="1:10" ht="15" customHeight="1" x14ac:dyDescent="0.2">
      <c r="A229" s="6">
        <v>45722</v>
      </c>
      <c r="B229" s="7">
        <v>4.2789999999999999</v>
      </c>
      <c r="C229" s="7">
        <v>4.3019999999999996</v>
      </c>
      <c r="D229" s="7">
        <v>-0.14799999999999999</v>
      </c>
      <c r="E229" s="7">
        <v>-3.3258426966292198</v>
      </c>
      <c r="F229" s="7">
        <v>4.2720000000000002</v>
      </c>
      <c r="G229" s="7">
        <v>4.2930000000000001</v>
      </c>
      <c r="H229" s="7">
        <v>214318</v>
      </c>
      <c r="I229" s="8">
        <v>191631</v>
      </c>
      <c r="J229" s="9">
        <f t="shared" si="3"/>
        <v>4.9036777583187164E-3</v>
      </c>
    </row>
    <row r="230" spans="1:10" ht="15" customHeight="1" x14ac:dyDescent="0.2">
      <c r="A230" s="3">
        <v>45721</v>
      </c>
      <c r="B230" s="4">
        <v>4.4720000000000004</v>
      </c>
      <c r="C230" s="4">
        <v>4.45</v>
      </c>
      <c r="D230" s="4">
        <v>0.1</v>
      </c>
      <c r="E230" s="4">
        <v>2.29885057471266</v>
      </c>
      <c r="F230" s="4">
        <v>4.45</v>
      </c>
      <c r="G230" s="4">
        <v>4.4800000000000004</v>
      </c>
      <c r="H230" s="4">
        <v>213523</v>
      </c>
      <c r="I230" s="5">
        <v>217313</v>
      </c>
      <c r="J230" s="9">
        <f t="shared" si="3"/>
        <v>6.7189249720045353E-3</v>
      </c>
    </row>
    <row r="231" spans="1:10" ht="15" customHeight="1" x14ac:dyDescent="0.2">
      <c r="A231" s="6">
        <v>45720</v>
      </c>
      <c r="B231" s="7">
        <v>4.3</v>
      </c>
      <c r="C231" s="7">
        <v>4.3499999999999996</v>
      </c>
      <c r="D231" s="7">
        <v>0.22799999999999901</v>
      </c>
      <c r="E231" s="7">
        <v>5.5312954876273599</v>
      </c>
      <c r="F231" s="7">
        <v>4.282</v>
      </c>
      <c r="G231" s="7">
        <v>4.327</v>
      </c>
      <c r="H231" s="7">
        <v>208094</v>
      </c>
      <c r="I231" s="8">
        <v>337320</v>
      </c>
      <c r="J231" s="9">
        <f t="shared" si="3"/>
        <v>1.0454175862469493E-2</v>
      </c>
    </row>
    <row r="232" spans="1:10" ht="15" customHeight="1" x14ac:dyDescent="0.2">
      <c r="A232" s="3">
        <v>45719</v>
      </c>
      <c r="B232" s="4">
        <v>4.165</v>
      </c>
      <c r="C232" s="4">
        <v>4.1219999999999999</v>
      </c>
      <c r="D232" s="4">
        <v>0.28799999999999898</v>
      </c>
      <c r="E232" s="4">
        <v>7.51173708920187</v>
      </c>
      <c r="F232" s="4">
        <v>4.1470000000000002</v>
      </c>
      <c r="G232" s="4">
        <v>4.17</v>
      </c>
      <c r="H232" s="4">
        <v>209117</v>
      </c>
      <c r="I232" s="5">
        <v>255351</v>
      </c>
      <c r="J232" s="9">
        <f t="shared" si="3"/>
        <v>5.5308404472765868E-3</v>
      </c>
    </row>
    <row r="233" spans="1:10" ht="15" customHeight="1" x14ac:dyDescent="0.2">
      <c r="A233" s="6">
        <v>45716</v>
      </c>
      <c r="B233" s="7">
        <v>3.8180000000000001</v>
      </c>
      <c r="C233" s="7">
        <v>3.8340000000000001</v>
      </c>
      <c r="D233" s="7">
        <v>-0.1</v>
      </c>
      <c r="E233" s="7">
        <v>-2.5419420437214</v>
      </c>
      <c r="F233" s="7">
        <v>3.8109999999999999</v>
      </c>
      <c r="G233" s="7">
        <v>3.827</v>
      </c>
      <c r="H233" s="7">
        <v>216312</v>
      </c>
      <c r="I233" s="8">
        <v>131891</v>
      </c>
      <c r="J233" s="9">
        <f t="shared" si="3"/>
        <v>4.1895784236711218E-3</v>
      </c>
    </row>
    <row r="234" spans="1:10" ht="15" customHeight="1" x14ac:dyDescent="0.2">
      <c r="A234" s="3">
        <v>45715</v>
      </c>
      <c r="B234" s="4">
        <v>3.9390000000000001</v>
      </c>
      <c r="C234" s="4">
        <v>3.9340000000000002</v>
      </c>
      <c r="D234" s="4">
        <v>-2.4999999999999901E-2</v>
      </c>
      <c r="E234" s="4">
        <v>-0.63147259408941003</v>
      </c>
      <c r="F234" s="4">
        <v>3.9180000000000001</v>
      </c>
      <c r="G234" s="4">
        <v>3.9449999999999998</v>
      </c>
      <c r="H234" s="4">
        <v>220352</v>
      </c>
      <c r="I234" s="5">
        <v>167740</v>
      </c>
      <c r="J234" s="9">
        <f t="shared" si="3"/>
        <v>6.8676077832887424E-3</v>
      </c>
    </row>
    <row r="235" spans="1:10" ht="15" customHeight="1" x14ac:dyDescent="0.2">
      <c r="A235" s="6">
        <v>45714</v>
      </c>
      <c r="B235" s="7">
        <v>3.96</v>
      </c>
      <c r="C235" s="7">
        <v>3.9590000000000001</v>
      </c>
      <c r="D235" s="7">
        <v>-0.17099999999999899</v>
      </c>
      <c r="E235" s="7">
        <v>-4.14043583535108</v>
      </c>
      <c r="F235" s="7">
        <v>3.9590000000000001</v>
      </c>
      <c r="G235" s="7">
        <v>3.9849999999999999</v>
      </c>
      <c r="H235" s="7">
        <v>222603</v>
      </c>
      <c r="I235" s="8">
        <v>165811</v>
      </c>
      <c r="J235" s="9">
        <f t="shared" si="3"/>
        <v>6.5458207452164657E-3</v>
      </c>
    </row>
    <row r="236" spans="1:10" ht="15" customHeight="1" x14ac:dyDescent="0.2">
      <c r="A236" s="3">
        <v>45713</v>
      </c>
      <c r="B236" s="4">
        <v>4.1369999999999996</v>
      </c>
      <c r="C236" s="4">
        <v>4.13</v>
      </c>
      <c r="D236" s="4">
        <v>0.14799999999999899</v>
      </c>
      <c r="E236" s="4">
        <v>3.71672526368658</v>
      </c>
      <c r="F236" s="4">
        <v>4.1109999999999998</v>
      </c>
      <c r="G236" s="4">
        <v>4.1500000000000004</v>
      </c>
      <c r="H236" s="4">
        <v>214951</v>
      </c>
      <c r="I236" s="5">
        <v>176329</v>
      </c>
      <c r="J236" s="9">
        <f t="shared" si="3"/>
        <v>9.4419561796394123E-3</v>
      </c>
    </row>
    <row r="237" spans="1:10" ht="15" customHeight="1" x14ac:dyDescent="0.2">
      <c r="A237" s="6">
        <v>45712</v>
      </c>
      <c r="B237" s="7">
        <v>3.9820000000000002</v>
      </c>
      <c r="C237" s="7">
        <v>3.9820000000000002</v>
      </c>
      <c r="D237" s="7">
        <v>-0.251999999999999</v>
      </c>
      <c r="E237" s="7">
        <v>-5.9518186112423201</v>
      </c>
      <c r="F237" s="7">
        <v>3.9790000000000001</v>
      </c>
      <c r="G237" s="7">
        <v>3.9980000000000002</v>
      </c>
      <c r="H237" s="7">
        <v>211444</v>
      </c>
      <c r="I237" s="8">
        <v>187066</v>
      </c>
      <c r="J237" s="9">
        <f t="shared" si="3"/>
        <v>4.7636956249216813E-3</v>
      </c>
    </row>
    <row r="238" spans="1:10" ht="15" customHeight="1" x14ac:dyDescent="0.2">
      <c r="A238" s="3">
        <v>45709</v>
      </c>
      <c r="B238" s="4">
        <v>4.2590000000000003</v>
      </c>
      <c r="C238" s="4">
        <v>4.234</v>
      </c>
      <c r="D238" s="4">
        <v>8.1999999999999795E-2</v>
      </c>
      <c r="E238" s="4">
        <v>1.9749518304431599</v>
      </c>
      <c r="F238" s="4">
        <v>4.22</v>
      </c>
      <c r="G238" s="4">
        <v>4.3120000000000003</v>
      </c>
      <c r="H238" s="4">
        <v>55935</v>
      </c>
      <c r="I238" s="5">
        <v>142646</v>
      </c>
      <c r="J238" s="9">
        <f t="shared" si="3"/>
        <v>2.1565869667135612E-2</v>
      </c>
    </row>
    <row r="239" spans="1:10" ht="15" customHeight="1" x14ac:dyDescent="0.2">
      <c r="A239" s="6">
        <v>45708</v>
      </c>
      <c r="B239" s="7">
        <v>4.1710000000000003</v>
      </c>
      <c r="C239" s="7">
        <v>4.1520000000000001</v>
      </c>
      <c r="D239" s="7">
        <v>-0.128</v>
      </c>
      <c r="E239" s="7">
        <v>-2.9906542056074699</v>
      </c>
      <c r="F239" s="7">
        <v>4.1639999999999997</v>
      </c>
      <c r="G239" s="7">
        <v>4.1900000000000004</v>
      </c>
      <c r="H239" s="7">
        <v>74529</v>
      </c>
      <c r="I239" s="8">
        <v>201564</v>
      </c>
      <c r="J239" s="9">
        <f t="shared" si="3"/>
        <v>6.2245630835529543E-3</v>
      </c>
    </row>
    <row r="240" spans="1:10" ht="15" customHeight="1" x14ac:dyDescent="0.2">
      <c r="A240" s="3">
        <v>45707</v>
      </c>
      <c r="B240" s="4">
        <v>4.3899999999999997</v>
      </c>
      <c r="C240" s="4">
        <v>4.28</v>
      </c>
      <c r="D240" s="4">
        <v>0.27300000000000002</v>
      </c>
      <c r="E240" s="4">
        <v>6.8130771150486797</v>
      </c>
      <c r="F240" s="4">
        <v>4.3490000000000002</v>
      </c>
      <c r="G240" s="4">
        <v>4.4000000000000004</v>
      </c>
      <c r="H240" s="4">
        <v>105291</v>
      </c>
      <c r="I240" s="5">
        <v>302698</v>
      </c>
      <c r="J240" s="9">
        <f t="shared" si="3"/>
        <v>1.1658475254314814E-2</v>
      </c>
    </row>
    <row r="241" spans="1:10" ht="15" customHeight="1" x14ac:dyDescent="0.2">
      <c r="A241" s="6">
        <v>45706</v>
      </c>
      <c r="B241" s="7">
        <v>4.0140000000000002</v>
      </c>
      <c r="C241" s="7">
        <v>4.0069999999999997</v>
      </c>
      <c r="D241" s="7">
        <v>0.28199999999999897</v>
      </c>
      <c r="E241" s="7">
        <v>7.5704697986576903</v>
      </c>
      <c r="F241" s="7">
        <v>4.0049999999999999</v>
      </c>
      <c r="G241" s="7">
        <v>4.0199999999999996</v>
      </c>
      <c r="H241" s="7">
        <v>125024</v>
      </c>
      <c r="I241" s="8">
        <v>278693</v>
      </c>
      <c r="J241" s="9">
        <f t="shared" si="3"/>
        <v>3.7383177570092666E-3</v>
      </c>
    </row>
    <row r="242" spans="1:10" ht="15" customHeight="1" x14ac:dyDescent="0.2">
      <c r="A242" s="3">
        <v>45702</v>
      </c>
      <c r="B242" s="4">
        <v>3.726</v>
      </c>
      <c r="C242" s="4">
        <v>3.7250000000000001</v>
      </c>
      <c r="D242" s="4">
        <v>9.6999999999999906E-2</v>
      </c>
      <c r="E242" s="4">
        <v>2.6736493936052801</v>
      </c>
      <c r="F242" s="4">
        <v>3.7</v>
      </c>
      <c r="G242" s="4">
        <v>3.7490000000000001</v>
      </c>
      <c r="H242" s="4">
        <v>135954</v>
      </c>
      <c r="I242" s="5">
        <v>186551</v>
      </c>
      <c r="J242" s="9">
        <f t="shared" si="3"/>
        <v>1.3156128339374394E-2</v>
      </c>
    </row>
    <row r="243" spans="1:10" ht="15" customHeight="1" x14ac:dyDescent="0.2">
      <c r="A243" s="6">
        <v>45701</v>
      </c>
      <c r="B243" s="7">
        <v>3.653</v>
      </c>
      <c r="C243" s="7">
        <v>3.6280000000000001</v>
      </c>
      <c r="D243" s="7">
        <v>6.3000000000000098E-2</v>
      </c>
      <c r="E243" s="7">
        <v>1.7671809256662101</v>
      </c>
      <c r="F243" s="7">
        <v>3.6480000000000001</v>
      </c>
      <c r="G243" s="7">
        <v>3.6560000000000001</v>
      </c>
      <c r="H243" s="7">
        <v>162463</v>
      </c>
      <c r="I243" s="8">
        <v>258088</v>
      </c>
      <c r="J243" s="9">
        <f t="shared" si="3"/>
        <v>2.1905805038335176E-3</v>
      </c>
    </row>
    <row r="244" spans="1:10" ht="15" customHeight="1" x14ac:dyDescent="0.2">
      <c r="A244" s="3">
        <v>45700</v>
      </c>
      <c r="B244" s="4">
        <v>3.544</v>
      </c>
      <c r="C244" s="4">
        <v>3.5649999999999999</v>
      </c>
      <c r="D244" s="4">
        <v>4.5999999999999798E-2</v>
      </c>
      <c r="E244" s="4">
        <v>1.3071895424836499</v>
      </c>
      <c r="F244" s="4">
        <v>3.536</v>
      </c>
      <c r="G244" s="4">
        <v>3.5579999999999998</v>
      </c>
      <c r="H244" s="4">
        <v>192546</v>
      </c>
      <c r="I244" s="5">
        <v>158135</v>
      </c>
      <c r="J244" s="9">
        <f t="shared" si="3"/>
        <v>6.2024245841555683E-3</v>
      </c>
    </row>
    <row r="245" spans="1:10" ht="15" customHeight="1" x14ac:dyDescent="0.2">
      <c r="A245" s="6">
        <v>45699</v>
      </c>
      <c r="B245" s="7">
        <v>3.5089999999999999</v>
      </c>
      <c r="C245" s="7">
        <v>3.5190000000000001</v>
      </c>
      <c r="D245" s="7">
        <v>7.5000000000000094E-2</v>
      </c>
      <c r="E245" s="7">
        <v>2.1777003484320501</v>
      </c>
      <c r="F245" s="7">
        <v>3.504</v>
      </c>
      <c r="G245" s="7">
        <v>3.5139999999999998</v>
      </c>
      <c r="H245" s="7">
        <v>224429</v>
      </c>
      <c r="I245" s="8">
        <v>182955</v>
      </c>
      <c r="J245" s="9">
        <f t="shared" si="3"/>
        <v>2.8498147620404069E-3</v>
      </c>
    </row>
    <row r="246" spans="1:10" ht="15" customHeight="1" x14ac:dyDescent="0.2">
      <c r="A246" s="3">
        <v>45698</v>
      </c>
      <c r="B246" s="4">
        <v>3.4409999999999998</v>
      </c>
      <c r="C246" s="4">
        <v>3.444</v>
      </c>
      <c r="D246" s="4">
        <v>0.13499999999999901</v>
      </c>
      <c r="E246" s="4">
        <v>4.0797824116047101</v>
      </c>
      <c r="F246" s="4">
        <v>3.4319999999999999</v>
      </c>
      <c r="G246" s="4">
        <v>3.4510000000000001</v>
      </c>
      <c r="H246" s="4">
        <v>248206</v>
      </c>
      <c r="I246" s="5">
        <v>175867</v>
      </c>
      <c r="J246" s="9">
        <f t="shared" si="3"/>
        <v>5.5208484672381597E-3</v>
      </c>
    </row>
    <row r="247" spans="1:10" ht="15" customHeight="1" x14ac:dyDescent="0.2">
      <c r="A247" s="6">
        <v>45695</v>
      </c>
      <c r="B247" s="7">
        <v>3.3130000000000002</v>
      </c>
      <c r="C247" s="7">
        <v>3.3090000000000002</v>
      </c>
      <c r="D247" s="7">
        <v>-9.8999999999999699E-2</v>
      </c>
      <c r="E247" s="7">
        <v>-2.9049295774647699</v>
      </c>
      <c r="F247" s="7">
        <v>3.3050000000000002</v>
      </c>
      <c r="G247" s="7">
        <v>3.34</v>
      </c>
      <c r="H247" s="7">
        <v>279832</v>
      </c>
      <c r="I247" s="8">
        <v>154049</v>
      </c>
      <c r="J247" s="9">
        <f t="shared" si="3"/>
        <v>1.0534236267870489E-2</v>
      </c>
    </row>
    <row r="248" spans="1:10" ht="15" customHeight="1" x14ac:dyDescent="0.2">
      <c r="A248" s="3">
        <v>45694</v>
      </c>
      <c r="B248" s="4">
        <v>3.379</v>
      </c>
      <c r="C248" s="4">
        <v>3.4079999999999999</v>
      </c>
      <c r="D248" s="4">
        <v>4.8000000000000001E-2</v>
      </c>
      <c r="E248" s="4">
        <v>1.4285714285714199</v>
      </c>
      <c r="F248" s="4">
        <v>3.3769999999999998</v>
      </c>
      <c r="G248" s="4">
        <v>3.383</v>
      </c>
      <c r="H248" s="4">
        <v>281360</v>
      </c>
      <c r="I248" s="5">
        <v>164112</v>
      </c>
      <c r="J248" s="9">
        <f t="shared" si="3"/>
        <v>1.7751479289941502E-3</v>
      </c>
    </row>
    <row r="249" spans="1:10" ht="15" customHeight="1" x14ac:dyDescent="0.2">
      <c r="A249" s="6">
        <v>45693</v>
      </c>
      <c r="B249" s="7">
        <v>3.351</v>
      </c>
      <c r="C249" s="7">
        <v>3.36</v>
      </c>
      <c r="D249" s="7">
        <v>0.106999999999999</v>
      </c>
      <c r="E249" s="7">
        <v>3.28927144174606</v>
      </c>
      <c r="F249" s="7">
        <v>3.3479999999999999</v>
      </c>
      <c r="G249" s="7">
        <v>3.3660000000000001</v>
      </c>
      <c r="H249" s="7">
        <v>285436</v>
      </c>
      <c r="I249" s="8">
        <v>157612</v>
      </c>
      <c r="J249" s="9">
        <f t="shared" si="3"/>
        <v>5.3619302949062366E-3</v>
      </c>
    </row>
    <row r="250" spans="1:10" ht="15" customHeight="1" x14ac:dyDescent="0.2">
      <c r="A250" s="3">
        <v>45692</v>
      </c>
      <c r="B250" s="4">
        <v>3.2229999999999999</v>
      </c>
      <c r="C250" s="4">
        <v>3.2530000000000001</v>
      </c>
      <c r="D250" s="4">
        <v>-9.8999999999999699E-2</v>
      </c>
      <c r="E250" s="4">
        <v>-2.9534606205250502</v>
      </c>
      <c r="F250" s="4">
        <v>3.21</v>
      </c>
      <c r="G250" s="4">
        <v>3.23</v>
      </c>
      <c r="H250" s="4">
        <v>295744</v>
      </c>
      <c r="I250" s="5">
        <v>166676</v>
      </c>
      <c r="J250" s="9">
        <f t="shared" si="3"/>
        <v>6.2111801242236081E-3</v>
      </c>
    </row>
    <row r="251" spans="1:10" ht="15" customHeight="1" x14ac:dyDescent="0.2">
      <c r="A251" s="6">
        <v>45691</v>
      </c>
      <c r="B251" s="7">
        <v>3.31</v>
      </c>
      <c r="C251" s="7">
        <v>3.3519999999999999</v>
      </c>
      <c r="D251" s="7">
        <v>0.307999999999999</v>
      </c>
      <c r="E251" s="7">
        <v>10.1182654402102</v>
      </c>
      <c r="F251" s="7">
        <v>3.3050000000000002</v>
      </c>
      <c r="G251" s="7">
        <v>3.323</v>
      </c>
      <c r="H251" s="7">
        <v>290818</v>
      </c>
      <c r="I251" s="8">
        <v>248924</v>
      </c>
      <c r="J251" s="9">
        <f t="shared" si="3"/>
        <v>5.4315027157512954E-3</v>
      </c>
    </row>
    <row r="252" spans="1:10" ht="15" customHeight="1" x14ac:dyDescent="0.2">
      <c r="A252" s="3">
        <v>45688</v>
      </c>
      <c r="B252" s="4">
        <v>3.0720000000000001</v>
      </c>
      <c r="C252" s="4">
        <v>3.044</v>
      </c>
      <c r="D252" s="4">
        <v>-3.0000000000001098E-3</v>
      </c>
      <c r="E252" s="4">
        <v>-9.8457499179527203E-2</v>
      </c>
      <c r="F252" s="4">
        <v>3.06</v>
      </c>
      <c r="G252" s="4">
        <v>3.085</v>
      </c>
      <c r="H252" s="4">
        <v>294445</v>
      </c>
      <c r="I252" s="5">
        <v>128643</v>
      </c>
      <c r="J252" s="9">
        <f t="shared" si="3"/>
        <v>8.1366965012204754E-3</v>
      </c>
    </row>
    <row r="253" spans="1:10" ht="15" customHeight="1" x14ac:dyDescent="0.2">
      <c r="A253" s="6">
        <v>45687</v>
      </c>
      <c r="B253" s="7">
        <v>3.0819999999999999</v>
      </c>
      <c r="C253" s="7">
        <v>3.0470000000000002</v>
      </c>
      <c r="D253" s="7">
        <v>-0.122999999999999</v>
      </c>
      <c r="E253" s="7">
        <v>-3.8801261829652902</v>
      </c>
      <c r="F253" s="7">
        <v>3.0550000000000002</v>
      </c>
      <c r="G253" s="7">
        <v>3.0859999999999999</v>
      </c>
      <c r="H253" s="7">
        <v>296328</v>
      </c>
      <c r="I253" s="8">
        <v>184221</v>
      </c>
      <c r="J253" s="9">
        <f t="shared" si="3"/>
        <v>1.0096075557726654E-2</v>
      </c>
    </row>
    <row r="254" spans="1:10" ht="15" customHeight="1" x14ac:dyDescent="0.2">
      <c r="A254" s="3">
        <v>45686</v>
      </c>
      <c r="B254" s="4">
        <v>3.1779999999999999</v>
      </c>
      <c r="C254" s="4">
        <v>3.17</v>
      </c>
      <c r="D254" s="4">
        <v>4.8000000000000001E-2</v>
      </c>
      <c r="E254" s="4">
        <v>1.5374759769378501</v>
      </c>
      <c r="F254" s="4">
        <v>3.17</v>
      </c>
      <c r="G254" s="4">
        <v>3.1880000000000002</v>
      </c>
      <c r="H254" s="4">
        <v>311221</v>
      </c>
      <c r="I254" s="5">
        <v>157050</v>
      </c>
      <c r="J254" s="9">
        <f t="shared" si="3"/>
        <v>5.6621579112929336E-3</v>
      </c>
    </row>
    <row r="255" spans="1:10" ht="15" customHeight="1" x14ac:dyDescent="0.2">
      <c r="A255" s="6">
        <v>45685</v>
      </c>
      <c r="B255" s="7">
        <v>3.0870000000000002</v>
      </c>
      <c r="C255" s="7">
        <v>3.1219999999999999</v>
      </c>
      <c r="D255" s="7"/>
      <c r="E255" s="7"/>
      <c r="F255" s="7">
        <v>3.081</v>
      </c>
      <c r="G255" s="7">
        <v>3.0960000000000001</v>
      </c>
      <c r="H255" s="7">
        <v>313306</v>
      </c>
      <c r="I255" s="8">
        <v>176682</v>
      </c>
      <c r="J255" s="9">
        <f t="shared" si="3"/>
        <v>4.8567265662943582E-3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F1DA2-2BAE-4A8C-849C-3D961102C783}">
  <sheetPr>
    <outlinePr summaryBelow="0" summaryRight="0"/>
  </sheetPr>
  <dimension ref="A1:L255"/>
  <sheetViews>
    <sheetView zoomScale="140" zoomScaleNormal="140" workbookViewId="0">
      <pane ySplit="3" topLeftCell="A151" activePane="bottomLeft" state="frozen"/>
      <selection pane="bottomLeft" activeCell="I18" sqref="I18"/>
    </sheetView>
  </sheetViews>
  <sheetFormatPr baseColWidth="10" defaultColWidth="9.140625" defaultRowHeight="15" customHeight="1" x14ac:dyDescent="0.2"/>
  <cols>
    <col min="1" max="1" width="8.42578125" customWidth="1"/>
    <col min="2" max="2" width="5" customWidth="1"/>
    <col min="3" max="3" width="16.42578125" customWidth="1"/>
    <col min="4" max="4" width="8.28515625" customWidth="1"/>
    <col min="5" max="5" width="10.28515625" customWidth="1"/>
    <col min="6" max="7" width="4.85546875" customWidth="1"/>
    <col min="8" max="8" width="13.42578125" customWidth="1"/>
    <col min="9" max="9" width="7.28515625" customWidth="1"/>
    <col min="10" max="11" width="11" bestFit="1" customWidth="1"/>
  </cols>
  <sheetData>
    <row r="1" spans="1:12" ht="15" customHeight="1" x14ac:dyDescent="0.2">
      <c r="A1" s="1" t="s">
        <v>0</v>
      </c>
    </row>
    <row r="3" spans="1:12" ht="15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20</v>
      </c>
    </row>
    <row r="4" spans="1:12" ht="15" customHeight="1" x14ac:dyDescent="0.2">
      <c r="A4" s="3">
        <v>46050</v>
      </c>
      <c r="B4" s="4">
        <v>3.7469999999999999</v>
      </c>
      <c r="C4" s="4">
        <v>3.7320000000000002</v>
      </c>
      <c r="D4" s="4">
        <v>-7.3999999999999802E-2</v>
      </c>
      <c r="E4" s="4">
        <v>-1.9371727748690999</v>
      </c>
      <c r="F4" s="4">
        <v>3.746</v>
      </c>
      <c r="G4" s="4">
        <v>3.7480000000000002</v>
      </c>
      <c r="H4" s="4">
        <v>339123</v>
      </c>
      <c r="I4" s="5">
        <v>1796</v>
      </c>
      <c r="J4" s="9">
        <f>(G4-F4)/AVERAGE(F4:G4)</f>
        <v>5.3376034160667837E-4</v>
      </c>
      <c r="K4">
        <f>_xlfn.STDEV.S(E4:E24)</f>
        <v>9.1425171539946497</v>
      </c>
      <c r="L4" s="10">
        <f>AVERAGE(J4:J24)</f>
        <v>1.3401633387002536E-2</v>
      </c>
    </row>
    <row r="5" spans="1:12" ht="15" customHeight="1" x14ac:dyDescent="0.2">
      <c r="A5" s="6">
        <v>46049</v>
      </c>
      <c r="B5" s="7">
        <v>3.7789999999999999</v>
      </c>
      <c r="C5" s="7">
        <v>3.82</v>
      </c>
      <c r="D5" s="7">
        <v>-7.8000000000000194E-2</v>
      </c>
      <c r="E5" s="7">
        <v>-2.0010261672652701</v>
      </c>
      <c r="F5" s="7">
        <v>3.7709999999999999</v>
      </c>
      <c r="G5" s="7">
        <v>3.8079999999999998</v>
      </c>
      <c r="H5" s="7">
        <v>346559</v>
      </c>
      <c r="I5" s="8">
        <v>235442</v>
      </c>
      <c r="J5" s="9">
        <f t="shared" ref="J5:J68" si="0">(G5-F5)/AVERAGE(F5:G5)</f>
        <v>9.7638210845757811E-3</v>
      </c>
      <c r="K5">
        <f t="shared" ref="K5:K68" si="1">_xlfn.STDEV.S(E5:E25)</f>
        <v>9.1604029858349012</v>
      </c>
      <c r="L5" s="10">
        <f t="shared" ref="L5:L68" si="2">AVERAGE(J5:J25)</f>
        <v>1.4401219771773634E-2</v>
      </c>
    </row>
    <row r="6" spans="1:12" ht="15" customHeight="1" x14ac:dyDescent="0.2">
      <c r="A6" s="3">
        <v>46048</v>
      </c>
      <c r="B6" s="4">
        <v>3.8519999999999999</v>
      </c>
      <c r="C6" s="4">
        <v>3.8980000000000001</v>
      </c>
      <c r="D6" s="4">
        <v>0.28899999999999998</v>
      </c>
      <c r="E6" s="4">
        <v>8.0077583818232103</v>
      </c>
      <c r="F6" s="4">
        <v>3.8460000000000001</v>
      </c>
      <c r="G6" s="4">
        <v>3.86</v>
      </c>
      <c r="H6" s="4">
        <v>340949</v>
      </c>
      <c r="I6" s="5">
        <v>323773</v>
      </c>
      <c r="J6" s="9">
        <f t="shared" si="0"/>
        <v>3.6335323124837247E-3</v>
      </c>
      <c r="K6">
        <f t="shared" si="1"/>
        <v>9.1871112163912247</v>
      </c>
      <c r="L6" s="10">
        <f t="shared" si="2"/>
        <v>1.5128720760029071E-2</v>
      </c>
    </row>
    <row r="7" spans="1:12" ht="15" customHeight="1" x14ac:dyDescent="0.2">
      <c r="A7" s="6">
        <v>46045</v>
      </c>
      <c r="B7" s="7">
        <v>3.6429999999999998</v>
      </c>
      <c r="C7" s="7">
        <v>3.609</v>
      </c>
      <c r="D7" s="7">
        <v>3.10000000000001E-2</v>
      </c>
      <c r="E7" s="7">
        <v>0.86640581330352795</v>
      </c>
      <c r="F7" s="7">
        <v>3.63</v>
      </c>
      <c r="G7" s="7">
        <v>3.6429999999999998</v>
      </c>
      <c r="H7" s="7">
        <v>333858</v>
      </c>
      <c r="I7" s="8">
        <v>214647</v>
      </c>
      <c r="J7" s="9">
        <f t="shared" si="0"/>
        <v>3.5748659425271279E-3</v>
      </c>
      <c r="K7">
        <f t="shared" si="1"/>
        <v>9.3520906972645221</v>
      </c>
      <c r="L7" s="10">
        <f t="shared" si="2"/>
        <v>1.5193035476976199E-2</v>
      </c>
    </row>
    <row r="8" spans="1:12" ht="15" customHeight="1" x14ac:dyDescent="0.2">
      <c r="A8" s="3">
        <v>46044</v>
      </c>
      <c r="B8" s="4">
        <v>3.4710000000000001</v>
      </c>
      <c r="C8" s="4">
        <v>3.5779999999999998</v>
      </c>
      <c r="D8" s="4">
        <v>4.2999999999999698E-2</v>
      </c>
      <c r="E8" s="4">
        <v>1.21640735502119</v>
      </c>
      <c r="F8" s="4">
        <v>3.45</v>
      </c>
      <c r="G8" s="4">
        <v>3.4950000000000001</v>
      </c>
      <c r="H8" s="4">
        <v>343616</v>
      </c>
      <c r="I8" s="5">
        <v>318527</v>
      </c>
      <c r="J8" s="9">
        <f t="shared" si="0"/>
        <v>1.2958963282937344E-2</v>
      </c>
      <c r="K8">
        <f t="shared" si="1"/>
        <v>9.3504754204689728</v>
      </c>
      <c r="L8" s="10">
        <f t="shared" si="2"/>
        <v>1.5237572709837928E-2</v>
      </c>
    </row>
    <row r="9" spans="1:12" ht="15" customHeight="1" x14ac:dyDescent="0.2">
      <c r="A9" s="6">
        <v>46043</v>
      </c>
      <c r="B9" s="7">
        <v>3.5289999999999999</v>
      </c>
      <c r="C9" s="7">
        <v>3.5350000000000001</v>
      </c>
      <c r="D9" s="7">
        <v>0.30099999999999999</v>
      </c>
      <c r="E9" s="7">
        <v>9.3073593073593095</v>
      </c>
      <c r="F9" s="7">
        <v>3.5049999999999999</v>
      </c>
      <c r="G9" s="7">
        <v>3.5369999999999999</v>
      </c>
      <c r="H9" s="7">
        <v>359187</v>
      </c>
      <c r="I9" s="8">
        <v>331009</v>
      </c>
      <c r="J9" s="9">
        <f t="shared" si="0"/>
        <v>9.0883271797784805E-3</v>
      </c>
      <c r="K9">
        <f t="shared" si="1"/>
        <v>9.3568033244293449</v>
      </c>
      <c r="L9" s="10">
        <f t="shared" si="2"/>
        <v>1.5143243215992128E-2</v>
      </c>
    </row>
    <row r="10" spans="1:12" ht="15" customHeight="1" x14ac:dyDescent="0.2">
      <c r="A10" s="3">
        <v>46042</v>
      </c>
      <c r="B10" s="4">
        <v>3.1840000000000002</v>
      </c>
      <c r="C10" s="4">
        <v>3.234</v>
      </c>
      <c r="D10" s="4">
        <v>0.53600000000000003</v>
      </c>
      <c r="E10" s="4">
        <v>19.866567828020699</v>
      </c>
      <c r="F10" s="4">
        <v>3.177</v>
      </c>
      <c r="G10" s="4">
        <v>3.242</v>
      </c>
      <c r="H10" s="4">
        <v>373498</v>
      </c>
      <c r="I10" s="5">
        <v>369286</v>
      </c>
      <c r="J10" s="9">
        <f t="shared" si="0"/>
        <v>2.0252375759464075E-2</v>
      </c>
      <c r="K10">
        <f t="shared" si="1"/>
        <v>9.1239609623396127</v>
      </c>
      <c r="L10" s="10">
        <f t="shared" si="2"/>
        <v>1.5366107896316898E-2</v>
      </c>
    </row>
    <row r="11" spans="1:12" ht="15" customHeight="1" x14ac:dyDescent="0.2">
      <c r="A11" s="6">
        <v>46038</v>
      </c>
      <c r="B11" s="7">
        <v>2.702</v>
      </c>
      <c r="C11" s="7">
        <v>2.698</v>
      </c>
      <c r="D11" s="7">
        <v>2.8999999999999901E-2</v>
      </c>
      <c r="E11" s="7">
        <v>1.08654926938929</v>
      </c>
      <c r="F11" s="7">
        <v>2.6680000000000001</v>
      </c>
      <c r="G11" s="7">
        <v>2.7080000000000002</v>
      </c>
      <c r="H11" s="7">
        <v>361295</v>
      </c>
      <c r="I11" s="8">
        <v>99423</v>
      </c>
      <c r="J11" s="9">
        <f t="shared" si="0"/>
        <v>1.4880952380952394E-2</v>
      </c>
      <c r="K11">
        <f t="shared" si="1"/>
        <v>7.906804511871619</v>
      </c>
      <c r="L11" s="10">
        <f t="shared" si="2"/>
        <v>1.4529389617065548E-2</v>
      </c>
    </row>
    <row r="12" spans="1:12" ht="15" customHeight="1" x14ac:dyDescent="0.2">
      <c r="A12" s="3">
        <v>46037</v>
      </c>
      <c r="B12" s="4">
        <v>2.6819999999999999</v>
      </c>
      <c r="C12" s="4">
        <v>2.669</v>
      </c>
      <c r="D12" s="4">
        <v>-4.9999999999999802E-2</v>
      </c>
      <c r="E12" s="4">
        <v>-1.8389113644722199</v>
      </c>
      <c r="F12" s="4">
        <v>2.669</v>
      </c>
      <c r="G12" s="4">
        <v>2.6960000000000002</v>
      </c>
      <c r="H12" s="4">
        <v>354151</v>
      </c>
      <c r="I12" s="5">
        <v>131412</v>
      </c>
      <c r="J12" s="9">
        <f t="shared" si="0"/>
        <v>1.0065237651444597E-2</v>
      </c>
      <c r="K12">
        <f t="shared" si="1"/>
        <v>7.894539518843974</v>
      </c>
      <c r="L12" s="10">
        <f t="shared" si="2"/>
        <v>1.4391060832457897E-2</v>
      </c>
    </row>
    <row r="13" spans="1:12" ht="15" customHeight="1" x14ac:dyDescent="0.2">
      <c r="A13" s="6">
        <v>46036</v>
      </c>
      <c r="B13" s="7">
        <v>2.698</v>
      </c>
      <c r="C13" s="7">
        <v>2.7189999999999999</v>
      </c>
      <c r="D13" s="7">
        <v>-0.16300000000000001</v>
      </c>
      <c r="E13" s="7">
        <v>-5.6557945870923101</v>
      </c>
      <c r="F13" s="7">
        <v>2.6659999999999999</v>
      </c>
      <c r="G13" s="7">
        <v>2.7069999999999999</v>
      </c>
      <c r="H13" s="7">
        <v>348085</v>
      </c>
      <c r="I13" s="8">
        <v>157286</v>
      </c>
      <c r="J13" s="9">
        <f t="shared" si="0"/>
        <v>1.5261492648427296E-2</v>
      </c>
      <c r="K13">
        <f t="shared" si="1"/>
        <v>7.8966736509889408</v>
      </c>
      <c r="L13" s="10">
        <f t="shared" si="2"/>
        <v>1.4301551367213379E-2</v>
      </c>
    </row>
    <row r="14" spans="1:12" ht="15" customHeight="1" x14ac:dyDescent="0.2">
      <c r="A14" s="3">
        <v>46035</v>
      </c>
      <c r="B14" s="4">
        <v>2.8479999999999999</v>
      </c>
      <c r="C14" s="4">
        <v>2.8820000000000001</v>
      </c>
      <c r="D14" s="4">
        <v>3.00000000000002E-2</v>
      </c>
      <c r="E14" s="4">
        <v>1.05189340813465</v>
      </c>
      <c r="F14" s="4">
        <v>2.835</v>
      </c>
      <c r="G14" s="4">
        <v>2.9060000000000001</v>
      </c>
      <c r="H14" s="4">
        <v>348014</v>
      </c>
      <c r="I14" s="5">
        <v>114094</v>
      </c>
      <c r="J14" s="9">
        <f t="shared" si="0"/>
        <v>2.473436683504622E-2</v>
      </c>
      <c r="K14">
        <f t="shared" si="1"/>
        <v>7.8479638037143307</v>
      </c>
      <c r="L14" s="10">
        <f t="shared" si="2"/>
        <v>1.4752302799539353E-2</v>
      </c>
    </row>
    <row r="15" spans="1:12" ht="15" customHeight="1" x14ac:dyDescent="0.2">
      <c r="A15" s="6">
        <v>46034</v>
      </c>
      <c r="B15" s="7">
        <v>2.8119999999999998</v>
      </c>
      <c r="C15" s="7">
        <v>2.8519999999999999</v>
      </c>
      <c r="D15" s="7">
        <v>0.217999999999999</v>
      </c>
      <c r="E15" s="7">
        <v>8.2763857251328705</v>
      </c>
      <c r="F15" s="7">
        <v>2.8010000000000002</v>
      </c>
      <c r="G15" s="7">
        <v>2.84</v>
      </c>
      <c r="H15" s="7">
        <v>358400</v>
      </c>
      <c r="I15" s="8">
        <v>180500</v>
      </c>
      <c r="J15" s="9">
        <f t="shared" si="0"/>
        <v>1.382733557879798E-2</v>
      </c>
      <c r="K15">
        <f t="shared" si="1"/>
        <v>7.9469454191302722</v>
      </c>
      <c r="L15" s="10">
        <f t="shared" si="2"/>
        <v>1.3810464007984266E-2</v>
      </c>
    </row>
    <row r="16" spans="1:12" ht="15" customHeight="1" x14ac:dyDescent="0.2">
      <c r="A16" s="3">
        <v>46031</v>
      </c>
      <c r="B16" s="4">
        <v>2.6259999999999999</v>
      </c>
      <c r="C16" s="4">
        <v>2.6339999999999999</v>
      </c>
      <c r="D16" s="4">
        <v>-0.184</v>
      </c>
      <c r="E16" s="4">
        <v>-6.5294535131298899</v>
      </c>
      <c r="F16" s="4">
        <v>2.6240000000000001</v>
      </c>
      <c r="G16" s="4">
        <v>2.669</v>
      </c>
      <c r="H16" s="4">
        <v>327206</v>
      </c>
      <c r="I16" s="5">
        <v>239167</v>
      </c>
      <c r="J16" s="9">
        <f t="shared" si="0"/>
        <v>1.7003589646703166E-2</v>
      </c>
      <c r="K16">
        <f t="shared" si="1"/>
        <v>7.6225880863862514</v>
      </c>
      <c r="L16" s="10">
        <f t="shared" si="2"/>
        <v>1.3450700624765281E-2</v>
      </c>
    </row>
    <row r="17" spans="1:12" ht="15" customHeight="1" x14ac:dyDescent="0.2">
      <c r="A17" s="6">
        <v>46030</v>
      </c>
      <c r="B17" s="7">
        <v>2.8220000000000001</v>
      </c>
      <c r="C17" s="7">
        <v>2.8180000000000001</v>
      </c>
      <c r="D17" s="7">
        <v>-9.4999999999999696E-2</v>
      </c>
      <c r="E17" s="7">
        <v>-3.2612427051149901</v>
      </c>
      <c r="F17" s="7">
        <v>2.8140000000000001</v>
      </c>
      <c r="G17" s="7">
        <v>2.8439999999999999</v>
      </c>
      <c r="H17" s="7">
        <v>319514</v>
      </c>
      <c r="I17" s="8">
        <v>113282</v>
      </c>
      <c r="J17" s="9">
        <f t="shared" si="0"/>
        <v>1.0604453870625594E-2</v>
      </c>
      <c r="K17">
        <f t="shared" si="1"/>
        <v>7.6327729221413678</v>
      </c>
      <c r="L17" s="10">
        <f t="shared" si="2"/>
        <v>1.2817931638513545E-2</v>
      </c>
    </row>
    <row r="18" spans="1:12" ht="15" customHeight="1" x14ac:dyDescent="0.2">
      <c r="A18" s="3">
        <v>46029</v>
      </c>
      <c r="B18" s="4">
        <v>2.9359999999999999</v>
      </c>
      <c r="C18" s="4">
        <v>2.9129999999999998</v>
      </c>
      <c r="D18" s="4">
        <v>8.4999999999999895E-2</v>
      </c>
      <c r="E18" s="4">
        <v>3.0056577086279899</v>
      </c>
      <c r="F18" s="4">
        <v>2.91</v>
      </c>
      <c r="G18" s="4">
        <v>2.9649999999999999</v>
      </c>
      <c r="H18" s="4">
        <v>309837</v>
      </c>
      <c r="I18" s="5">
        <v>90514</v>
      </c>
      <c r="J18" s="9">
        <f t="shared" si="0"/>
        <v>1.8723404255319053E-2</v>
      </c>
      <c r="K18">
        <f t="shared" si="1"/>
        <v>7.703552622141542</v>
      </c>
      <c r="L18" s="10">
        <f t="shared" si="2"/>
        <v>1.2518444133937559E-2</v>
      </c>
    </row>
    <row r="19" spans="1:12" ht="15" customHeight="1" x14ac:dyDescent="0.2">
      <c r="A19" s="6">
        <v>46028</v>
      </c>
      <c r="B19" s="7">
        <v>2.8730000000000002</v>
      </c>
      <c r="C19" s="7">
        <v>2.8279999999999998</v>
      </c>
      <c r="D19" s="7">
        <v>-6.4999999999999905E-2</v>
      </c>
      <c r="E19" s="7">
        <v>-2.2468026270307599</v>
      </c>
      <c r="F19" s="7">
        <v>2.835</v>
      </c>
      <c r="G19" s="7">
        <v>2.88</v>
      </c>
      <c r="H19" s="7">
        <v>305708</v>
      </c>
      <c r="I19" s="8">
        <v>83481</v>
      </c>
      <c r="J19" s="9">
        <f t="shared" si="0"/>
        <v>1.5748031496062968E-2</v>
      </c>
      <c r="K19">
        <f t="shared" si="1"/>
        <v>7.761813128954663</v>
      </c>
      <c r="L19" s="10">
        <f t="shared" si="2"/>
        <v>1.212829509984144E-2</v>
      </c>
    </row>
    <row r="20" spans="1:12" ht="15" customHeight="1" x14ac:dyDescent="0.2">
      <c r="A20" s="3">
        <v>46027</v>
      </c>
      <c r="B20" s="4">
        <v>2.8860000000000001</v>
      </c>
      <c r="C20" s="4">
        <v>2.8929999999999998</v>
      </c>
      <c r="D20" s="4">
        <v>-0.15</v>
      </c>
      <c r="E20" s="4">
        <v>-4.9293460400920299</v>
      </c>
      <c r="F20" s="4">
        <v>2.867</v>
      </c>
      <c r="G20" s="4">
        <v>2.895</v>
      </c>
      <c r="H20" s="4">
        <v>289360</v>
      </c>
      <c r="I20" s="5">
        <v>167987</v>
      </c>
      <c r="J20" s="9">
        <f t="shared" si="0"/>
        <v>9.7188476223533573E-3</v>
      </c>
      <c r="K20">
        <f t="shared" si="1"/>
        <v>7.8054192542109524</v>
      </c>
      <c r="L20" s="10">
        <f t="shared" si="2"/>
        <v>1.1622926708575515E-2</v>
      </c>
    </row>
    <row r="21" spans="1:12" ht="15" customHeight="1" x14ac:dyDescent="0.2">
      <c r="A21" s="6">
        <v>46024</v>
      </c>
      <c r="B21" s="7">
        <v>3.0609999999999999</v>
      </c>
      <c r="C21" s="7">
        <v>3.0430000000000001</v>
      </c>
      <c r="D21" s="7">
        <v>-8.6999999999999703E-2</v>
      </c>
      <c r="E21" s="7">
        <v>-2.77955271565494</v>
      </c>
      <c r="F21" s="7">
        <v>3.0579999999999998</v>
      </c>
      <c r="G21" s="7">
        <v>3.0960000000000001</v>
      </c>
      <c r="H21" s="7">
        <v>282060</v>
      </c>
      <c r="I21" s="8">
        <v>75530</v>
      </c>
      <c r="J21" s="9">
        <f t="shared" si="0"/>
        <v>1.2349691257718641E-2</v>
      </c>
      <c r="K21">
        <f t="shared" si="1"/>
        <v>7.8667046152530071</v>
      </c>
      <c r="L21" s="10">
        <f t="shared" si="2"/>
        <v>1.1359546117980715E-2</v>
      </c>
    </row>
    <row r="22" spans="1:12" ht="15" customHeight="1" x14ac:dyDescent="0.2">
      <c r="A22" s="3">
        <v>46022</v>
      </c>
      <c r="B22" s="4">
        <v>3.1589999999999998</v>
      </c>
      <c r="C22" s="4">
        <v>3.13</v>
      </c>
      <c r="D22" s="4">
        <v>-0.217999999999999</v>
      </c>
      <c r="E22" s="4">
        <v>-6.5113500597371496</v>
      </c>
      <c r="F22" s="4">
        <v>3.1240000000000001</v>
      </c>
      <c r="G22" s="4">
        <v>3.1739999999999999</v>
      </c>
      <c r="H22" s="4">
        <v>271173</v>
      </c>
      <c r="I22" s="5">
        <v>88472</v>
      </c>
      <c r="J22" s="9">
        <f t="shared" si="0"/>
        <v>1.5878056525881177E-2</v>
      </c>
      <c r="K22">
        <f t="shared" si="1"/>
        <v>7.8639027564680744</v>
      </c>
      <c r="L22" s="10">
        <f t="shared" si="2"/>
        <v>1.1008474528986626E-2</v>
      </c>
    </row>
    <row r="23" spans="1:12" ht="15" customHeight="1" x14ac:dyDescent="0.2">
      <c r="A23" s="6">
        <v>46021</v>
      </c>
      <c r="B23" s="7">
        <v>3.355</v>
      </c>
      <c r="C23" s="7">
        <v>3.3479999999999999</v>
      </c>
      <c r="D23" s="7">
        <v>-1.339</v>
      </c>
      <c r="E23" s="7">
        <v>-28.568380627266901</v>
      </c>
      <c r="F23" s="7">
        <v>3.33</v>
      </c>
      <c r="G23" s="7">
        <v>3.4249999999999998</v>
      </c>
      <c r="H23" s="7">
        <v>271002</v>
      </c>
      <c r="I23" s="8">
        <v>72568</v>
      </c>
      <c r="J23" s="9">
        <f t="shared" si="0"/>
        <v>2.8127313101406294E-2</v>
      </c>
      <c r="K23">
        <f t="shared" si="1"/>
        <v>7.8172836935296273</v>
      </c>
      <c r="L23" s="10">
        <f t="shared" si="2"/>
        <v>1.0631346675122531E-2</v>
      </c>
    </row>
    <row r="24" spans="1:12" ht="15" customHeight="1" x14ac:dyDescent="0.2">
      <c r="A24" s="3">
        <v>46020</v>
      </c>
      <c r="B24" s="4">
        <v>4.6580000000000004</v>
      </c>
      <c r="C24" s="4">
        <v>4.6870000000000003</v>
      </c>
      <c r="D24" s="4">
        <v>0.32100000000000001</v>
      </c>
      <c r="E24" s="4">
        <v>7.3522675217590496</v>
      </c>
      <c r="F24" s="4">
        <v>4.59</v>
      </c>
      <c r="G24" s="4">
        <v>4.6580000000000004</v>
      </c>
      <c r="H24" s="4">
        <v>4827</v>
      </c>
      <c r="I24" s="5">
        <v>6913</v>
      </c>
      <c r="J24" s="9">
        <f t="shared" si="0"/>
        <v>1.4705882352941284E-2</v>
      </c>
      <c r="K24">
        <f t="shared" si="1"/>
        <v>4.9394825469267207</v>
      </c>
      <c r="L24" s="10">
        <f t="shared" si="2"/>
        <v>9.8224704276398782E-3</v>
      </c>
    </row>
    <row r="25" spans="1:12" ht="15" customHeight="1" x14ac:dyDescent="0.2">
      <c r="A25" s="6">
        <v>46017</v>
      </c>
      <c r="B25" s="7">
        <v>4.4210000000000003</v>
      </c>
      <c r="C25" s="7">
        <v>4.3659999999999997</v>
      </c>
      <c r="D25" s="7">
        <v>0.123999999999999</v>
      </c>
      <c r="E25" s="7">
        <v>2.92314945780292</v>
      </c>
      <c r="F25" s="7">
        <v>4.32</v>
      </c>
      <c r="G25" s="7">
        <v>4.4139999999999997</v>
      </c>
      <c r="H25" s="7">
        <v>17100</v>
      </c>
      <c r="I25" s="8">
        <v>34046</v>
      </c>
      <c r="J25" s="9">
        <f t="shared" si="0"/>
        <v>2.1525074421799729E-2</v>
      </c>
      <c r="K25">
        <f t="shared" si="1"/>
        <v>4.6805591833366718</v>
      </c>
      <c r="L25" s="10">
        <f t="shared" si="2"/>
        <v>9.2562558530173856E-3</v>
      </c>
    </row>
    <row r="26" spans="1:12" ht="15" customHeight="1" x14ac:dyDescent="0.2">
      <c r="A26" s="3">
        <v>46015</v>
      </c>
      <c r="B26" s="4">
        <v>4.2489999999999997</v>
      </c>
      <c r="C26" s="4">
        <v>4.242</v>
      </c>
      <c r="D26" s="4">
        <v>-0.16600000000000001</v>
      </c>
      <c r="E26" s="4">
        <v>-3.7658802177858499</v>
      </c>
      <c r="F26" s="4">
        <v>4.18</v>
      </c>
      <c r="G26" s="4">
        <v>4.2859999999999996</v>
      </c>
      <c r="H26" s="4">
        <v>21343</v>
      </c>
      <c r="I26" s="5">
        <v>53257</v>
      </c>
      <c r="J26" s="9">
        <f t="shared" si="0"/>
        <v>2.5041341837939966E-2</v>
      </c>
      <c r="K26">
        <f t="shared" si="1"/>
        <v>4.7100935691258536</v>
      </c>
      <c r="L26" s="10">
        <f t="shared" si="2"/>
        <v>8.4436477043899859E-3</v>
      </c>
    </row>
    <row r="27" spans="1:12" ht="15" customHeight="1" x14ac:dyDescent="0.2">
      <c r="A27" s="6">
        <v>46014</v>
      </c>
      <c r="B27" s="7">
        <v>4.4130000000000003</v>
      </c>
      <c r="C27" s="7">
        <v>4.4080000000000004</v>
      </c>
      <c r="D27" s="7">
        <v>0.443</v>
      </c>
      <c r="E27" s="7">
        <v>11.1727616645649</v>
      </c>
      <c r="F27" s="7">
        <v>4.4029999999999996</v>
      </c>
      <c r="G27" s="7">
        <v>4.4249999999999998</v>
      </c>
      <c r="H27" s="7">
        <v>31367</v>
      </c>
      <c r="I27" s="8">
        <v>118198</v>
      </c>
      <c r="J27" s="9">
        <f t="shared" si="0"/>
        <v>4.9841413683734126E-3</v>
      </c>
      <c r="K27">
        <f t="shared" si="1"/>
        <v>4.6535972641496377</v>
      </c>
      <c r="L27" s="10">
        <f t="shared" si="2"/>
        <v>7.5484055625834219E-3</v>
      </c>
    </row>
    <row r="28" spans="1:12" ht="15" customHeight="1" x14ac:dyDescent="0.2">
      <c r="A28" s="3">
        <v>46013</v>
      </c>
      <c r="B28" s="4">
        <v>3.9940000000000002</v>
      </c>
      <c r="C28" s="4">
        <v>3.9649999999999999</v>
      </c>
      <c r="D28" s="4">
        <v>-1.90000000000001E-2</v>
      </c>
      <c r="E28" s="4">
        <v>-0.47690763052209401</v>
      </c>
      <c r="F28" s="4">
        <v>3.9820000000000002</v>
      </c>
      <c r="G28" s="4">
        <v>4</v>
      </c>
      <c r="H28" s="4">
        <v>45868</v>
      </c>
      <c r="I28" s="5">
        <v>151112</v>
      </c>
      <c r="J28" s="9">
        <f t="shared" si="0"/>
        <v>4.5101478326233513E-3</v>
      </c>
      <c r="K28">
        <f t="shared" si="1"/>
        <v>3.885293235012973</v>
      </c>
      <c r="L28" s="10">
        <f t="shared" si="2"/>
        <v>7.9979758152198283E-3</v>
      </c>
    </row>
    <row r="29" spans="1:12" ht="15" customHeight="1" x14ac:dyDescent="0.2">
      <c r="A29" s="6">
        <v>46010</v>
      </c>
      <c r="B29" s="7">
        <v>4.0259999999999998</v>
      </c>
      <c r="C29" s="7">
        <v>3.984</v>
      </c>
      <c r="D29" s="7">
        <v>7.5999999999999998E-2</v>
      </c>
      <c r="E29" s="7">
        <v>1.9447287615148301</v>
      </c>
      <c r="F29" s="7">
        <v>3.9860000000000002</v>
      </c>
      <c r="G29" s="7">
        <v>4.03</v>
      </c>
      <c r="H29" s="7">
        <v>68012</v>
      </c>
      <c r="I29" s="8">
        <v>138875</v>
      </c>
      <c r="J29" s="9">
        <f t="shared" si="0"/>
        <v>1.0978043912175658E-2</v>
      </c>
      <c r="K29">
        <f t="shared" si="1"/>
        <v>3.892336082322406</v>
      </c>
      <c r="L29" s="10">
        <f t="shared" si="2"/>
        <v>8.2304295165377041E-3</v>
      </c>
    </row>
    <row r="30" spans="1:12" ht="15" customHeight="1" x14ac:dyDescent="0.2">
      <c r="A30" s="3">
        <v>46009</v>
      </c>
      <c r="B30" s="4">
        <v>3.944</v>
      </c>
      <c r="C30" s="4">
        <v>3.9079999999999999</v>
      </c>
      <c r="D30" s="4">
        <v>-0.11600000000000001</v>
      </c>
      <c r="E30" s="4">
        <v>-2.8827037773359798</v>
      </c>
      <c r="F30" s="4">
        <v>3.895</v>
      </c>
      <c r="G30" s="4">
        <v>3.9489999999999998</v>
      </c>
      <c r="H30" s="4">
        <v>73039</v>
      </c>
      <c r="I30" s="5">
        <v>148450</v>
      </c>
      <c r="J30" s="9">
        <f t="shared" si="0"/>
        <v>1.376848546659863E-2</v>
      </c>
      <c r="K30">
        <f t="shared" si="1"/>
        <v>3.9597773996669008</v>
      </c>
      <c r="L30" s="10">
        <f t="shared" si="2"/>
        <v>7.757627799199562E-3</v>
      </c>
    </row>
    <row r="31" spans="1:12" ht="15" customHeight="1" x14ac:dyDescent="0.2">
      <c r="A31" s="6">
        <v>46008</v>
      </c>
      <c r="B31" s="7">
        <v>4.1040000000000001</v>
      </c>
      <c r="C31" s="7">
        <v>4.024</v>
      </c>
      <c r="D31" s="7">
        <v>0.13799999999999901</v>
      </c>
      <c r="E31" s="7">
        <v>3.5512094698919099</v>
      </c>
      <c r="F31" s="7">
        <v>4.0970000000000004</v>
      </c>
      <c r="G31" s="7">
        <v>4.1079999999999997</v>
      </c>
      <c r="H31" s="7">
        <v>81229</v>
      </c>
      <c r="I31" s="8">
        <v>140782</v>
      </c>
      <c r="J31" s="9">
        <f t="shared" si="0"/>
        <v>2.6812918951856753E-3</v>
      </c>
      <c r="K31">
        <f t="shared" si="1"/>
        <v>4.0298277028918523</v>
      </c>
      <c r="L31" s="10">
        <f t="shared" si="2"/>
        <v>7.8080683288672802E-3</v>
      </c>
    </row>
    <row r="32" spans="1:12" ht="15" customHeight="1" x14ac:dyDescent="0.2">
      <c r="A32" s="3">
        <v>46007</v>
      </c>
      <c r="B32" s="4">
        <v>3.9380000000000002</v>
      </c>
      <c r="C32" s="4">
        <v>3.8860000000000001</v>
      </c>
      <c r="D32" s="4">
        <v>-0.125999999999999</v>
      </c>
      <c r="E32" s="4">
        <v>-3.1405782652043701</v>
      </c>
      <c r="F32" s="4">
        <v>3.9009999999999998</v>
      </c>
      <c r="G32" s="4">
        <v>3.948</v>
      </c>
      <c r="H32" s="4">
        <v>85322</v>
      </c>
      <c r="I32" s="5">
        <v>146126</v>
      </c>
      <c r="J32" s="9">
        <f t="shared" si="0"/>
        <v>1.1976047904191656E-2</v>
      </c>
      <c r="K32">
        <f t="shared" si="1"/>
        <v>3.9660411136889522</v>
      </c>
      <c r="L32" s="10">
        <f t="shared" si="2"/>
        <v>8.066051494925161E-3</v>
      </c>
    </row>
    <row r="33" spans="1:12" ht="15" customHeight="1" x14ac:dyDescent="0.2">
      <c r="A33" s="6">
        <v>46006</v>
      </c>
      <c r="B33" s="7">
        <v>4.0350000000000001</v>
      </c>
      <c r="C33" s="7">
        <v>4.0119999999999996</v>
      </c>
      <c r="D33" s="7">
        <v>-0.10100000000000001</v>
      </c>
      <c r="E33" s="7">
        <v>-2.4556284950158198</v>
      </c>
      <c r="F33" s="7">
        <v>4.0149999999999997</v>
      </c>
      <c r="G33" s="7">
        <v>4.048</v>
      </c>
      <c r="H33" s="7">
        <v>101151</v>
      </c>
      <c r="I33" s="8">
        <v>154446</v>
      </c>
      <c r="J33" s="9">
        <f t="shared" si="0"/>
        <v>8.1855388813097778E-3</v>
      </c>
      <c r="K33">
        <f t="shared" si="1"/>
        <v>3.9348258825427833</v>
      </c>
      <c r="L33" s="10">
        <f t="shared" si="2"/>
        <v>8.3830123223704173E-3</v>
      </c>
    </row>
    <row r="34" spans="1:12" ht="15" customHeight="1" x14ac:dyDescent="0.2">
      <c r="A34" s="3">
        <v>46003</v>
      </c>
      <c r="B34" s="4">
        <v>4.101</v>
      </c>
      <c r="C34" s="4">
        <v>4.1130000000000004</v>
      </c>
      <c r="D34" s="4">
        <v>-0.11799999999999899</v>
      </c>
      <c r="E34" s="4">
        <v>-2.7889387851571499</v>
      </c>
      <c r="F34" s="4">
        <v>4.0739999999999998</v>
      </c>
      <c r="G34" s="4">
        <v>4.1760000000000002</v>
      </c>
      <c r="H34" s="4">
        <v>107182</v>
      </c>
      <c r="I34" s="5">
        <v>188647</v>
      </c>
      <c r="J34" s="9">
        <f t="shared" si="0"/>
        <v>2.4727272727272803E-2</v>
      </c>
      <c r="K34">
        <f t="shared" si="1"/>
        <v>3.9689659395982657</v>
      </c>
      <c r="L34" s="10">
        <f t="shared" si="2"/>
        <v>8.2415769398578066E-3</v>
      </c>
    </row>
    <row r="35" spans="1:12" ht="15" customHeight="1" x14ac:dyDescent="0.2">
      <c r="A35" s="6">
        <v>46002</v>
      </c>
      <c r="B35" s="7">
        <v>4.234</v>
      </c>
      <c r="C35" s="7">
        <v>4.2309999999999999</v>
      </c>
      <c r="D35" s="7">
        <v>-0.36399999999999899</v>
      </c>
      <c r="E35" s="7">
        <v>-7.9216539717083698</v>
      </c>
      <c r="F35" s="7">
        <v>4.2270000000000003</v>
      </c>
      <c r="G35" s="7">
        <v>4.2480000000000002</v>
      </c>
      <c r="H35" s="7">
        <v>129823</v>
      </c>
      <c r="I35" s="8">
        <v>252473</v>
      </c>
      <c r="J35" s="9">
        <f t="shared" si="0"/>
        <v>4.9557522123893577E-3</v>
      </c>
      <c r="K35">
        <f t="shared" si="1"/>
        <v>3.9365231535760103</v>
      </c>
      <c r="L35" s="10">
        <f t="shared" si="2"/>
        <v>7.3349640471498962E-3</v>
      </c>
    </row>
    <row r="36" spans="1:12" ht="15" customHeight="1" x14ac:dyDescent="0.2">
      <c r="A36" s="3">
        <v>46001</v>
      </c>
      <c r="B36" s="4">
        <v>4.633</v>
      </c>
      <c r="C36" s="4">
        <v>4.5949999999999998</v>
      </c>
      <c r="D36" s="4">
        <v>2.0999999999999901E-2</v>
      </c>
      <c r="E36" s="4">
        <v>0.459116746829901</v>
      </c>
      <c r="F36" s="4">
        <v>4.609</v>
      </c>
      <c r="G36" s="4">
        <v>4.6379999999999999</v>
      </c>
      <c r="H36" s="4">
        <v>155169</v>
      </c>
      <c r="I36" s="5">
        <v>242181</v>
      </c>
      <c r="J36" s="9">
        <f t="shared" si="0"/>
        <v>6.2723045311992897E-3</v>
      </c>
      <c r="K36">
        <f t="shared" si="1"/>
        <v>3.6765003665261475</v>
      </c>
      <c r="L36" s="10">
        <f t="shared" si="2"/>
        <v>7.2401290683822162E-3</v>
      </c>
    </row>
    <row r="37" spans="1:12" ht="15" customHeight="1" x14ac:dyDescent="0.2">
      <c r="A37" s="6">
        <v>46000</v>
      </c>
      <c r="B37" s="7">
        <v>4.5789999999999997</v>
      </c>
      <c r="C37" s="7">
        <v>4.5739999999999998</v>
      </c>
      <c r="D37" s="7">
        <v>-0.33800000000000002</v>
      </c>
      <c r="E37" s="7">
        <v>-6.8811074918566701</v>
      </c>
      <c r="F37" s="7">
        <v>4.5670000000000002</v>
      </c>
      <c r="G37" s="7">
        <v>4.5839999999999996</v>
      </c>
      <c r="H37" s="7">
        <v>183291</v>
      </c>
      <c r="I37" s="8">
        <v>223372</v>
      </c>
      <c r="J37" s="9">
        <f t="shared" si="0"/>
        <v>3.7154409354167766E-3</v>
      </c>
      <c r="K37">
        <f t="shared" si="1"/>
        <v>3.676518496562557</v>
      </c>
      <c r="L37" s="10">
        <f t="shared" si="2"/>
        <v>7.6789225170806425E-3</v>
      </c>
    </row>
    <row r="38" spans="1:12" ht="15" customHeight="1" x14ac:dyDescent="0.2">
      <c r="A38" s="3">
        <v>45999</v>
      </c>
      <c r="B38" s="4">
        <v>4.8609999999999998</v>
      </c>
      <c r="C38" s="4">
        <v>4.9119999999999999</v>
      </c>
      <c r="D38" s="4">
        <v>-0.376999999999999</v>
      </c>
      <c r="E38" s="4">
        <v>-7.1280015125732499</v>
      </c>
      <c r="F38" s="4">
        <v>4.8559999999999999</v>
      </c>
      <c r="G38" s="4">
        <v>4.8769999999999998</v>
      </c>
      <c r="H38" s="4">
        <v>206983</v>
      </c>
      <c r="I38" s="5">
        <v>268150</v>
      </c>
      <c r="J38" s="9">
        <f t="shared" si="0"/>
        <v>4.3152162745299302E-3</v>
      </c>
      <c r="K38">
        <f t="shared" si="1"/>
        <v>3.2989061422796446</v>
      </c>
      <c r="L38" s="10">
        <f t="shared" si="2"/>
        <v>8.4913482123375513E-3</v>
      </c>
    </row>
    <row r="39" spans="1:12" ht="15" customHeight="1" x14ac:dyDescent="0.2">
      <c r="A39" s="6">
        <v>45996</v>
      </c>
      <c r="B39" s="7">
        <v>5.34</v>
      </c>
      <c r="C39" s="7">
        <v>5.2889999999999997</v>
      </c>
      <c r="D39" s="7">
        <v>0.22599999999999901</v>
      </c>
      <c r="E39" s="7">
        <v>4.4637566660082797</v>
      </c>
      <c r="F39" s="7">
        <v>5.29</v>
      </c>
      <c r="G39" s="7">
        <v>5.3460000000000001</v>
      </c>
      <c r="H39" s="7">
        <v>216265</v>
      </c>
      <c r="I39" s="8">
        <v>340274</v>
      </c>
      <c r="J39" s="9">
        <f t="shared" si="0"/>
        <v>1.0530274539300499E-2</v>
      </c>
      <c r="K39">
        <f t="shared" si="1"/>
        <v>2.8040300604822295</v>
      </c>
      <c r="L39" s="10">
        <f t="shared" si="2"/>
        <v>9.5573705454694482E-3</v>
      </c>
    </row>
    <row r="40" spans="1:12" ht="15" customHeight="1" x14ac:dyDescent="0.2">
      <c r="A40" s="3">
        <v>45995</v>
      </c>
      <c r="B40" s="4">
        <v>5.0709999999999997</v>
      </c>
      <c r="C40" s="4">
        <v>5.0629999999999997</v>
      </c>
      <c r="D40" s="4">
        <v>6.7999999999999602E-2</v>
      </c>
      <c r="E40" s="4">
        <v>1.36136136136135</v>
      </c>
      <c r="F40" s="4">
        <v>5.05</v>
      </c>
      <c r="G40" s="4">
        <v>5.0759999999999996</v>
      </c>
      <c r="H40" s="4">
        <v>232448</v>
      </c>
      <c r="I40" s="5">
        <v>187691</v>
      </c>
      <c r="J40" s="9">
        <f t="shared" si="0"/>
        <v>5.1352952794785313E-3</v>
      </c>
      <c r="K40">
        <f t="shared" si="1"/>
        <v>2.763613748577753</v>
      </c>
      <c r="L40" s="10">
        <f t="shared" si="2"/>
        <v>1.0210522647927192E-2</v>
      </c>
    </row>
    <row r="41" spans="1:12" ht="15" customHeight="1" x14ac:dyDescent="0.2">
      <c r="A41" s="6">
        <v>45994</v>
      </c>
      <c r="B41" s="7">
        <v>5.01</v>
      </c>
      <c r="C41" s="7">
        <v>4.9950000000000001</v>
      </c>
      <c r="D41" s="7">
        <v>0.155</v>
      </c>
      <c r="E41" s="7">
        <v>3.2024793388429802</v>
      </c>
      <c r="F41" s="7">
        <v>5.0039999999999996</v>
      </c>
      <c r="G41" s="7">
        <v>5.0250000000000004</v>
      </c>
      <c r="H41" s="7">
        <v>234096</v>
      </c>
      <c r="I41" s="8">
        <v>178139</v>
      </c>
      <c r="J41" s="9">
        <f t="shared" si="0"/>
        <v>4.1878552198625577E-3</v>
      </c>
      <c r="K41">
        <f t="shared" si="1"/>
        <v>2.7678232105022427</v>
      </c>
      <c r="L41" s="10">
        <f t="shared" si="2"/>
        <v>1.0373208296200285E-2</v>
      </c>
    </row>
    <row r="42" spans="1:12" ht="15" customHeight="1" x14ac:dyDescent="0.2">
      <c r="A42" s="3">
        <v>45993</v>
      </c>
      <c r="B42" s="4">
        <v>4.8259999999999996</v>
      </c>
      <c r="C42" s="4">
        <v>4.84</v>
      </c>
      <c r="D42" s="4">
        <v>-8.1000000000000405E-2</v>
      </c>
      <c r="E42" s="4">
        <v>-1.64600690916481</v>
      </c>
      <c r="F42" s="4">
        <v>4.8099999999999996</v>
      </c>
      <c r="G42" s="4">
        <v>4.8339999999999996</v>
      </c>
      <c r="H42" s="4">
        <v>241067</v>
      </c>
      <c r="I42" s="5">
        <v>160791</v>
      </c>
      <c r="J42" s="9">
        <f t="shared" si="0"/>
        <v>4.9771878888428094E-3</v>
      </c>
      <c r="K42">
        <f t="shared" si="1"/>
        <v>2.7589946797080205</v>
      </c>
      <c r="L42" s="10">
        <f t="shared" si="2"/>
        <v>1.0756768838106287E-2</v>
      </c>
    </row>
    <row r="43" spans="1:12" ht="15" customHeight="1" x14ac:dyDescent="0.2">
      <c r="A43" s="6">
        <v>45992</v>
      </c>
      <c r="B43" s="7">
        <v>4.8929999999999998</v>
      </c>
      <c r="C43" s="7">
        <v>4.9210000000000003</v>
      </c>
      <c r="D43" s="7">
        <v>7.1000000000000604E-2</v>
      </c>
      <c r="E43" s="7">
        <v>1.46391752577321</v>
      </c>
      <c r="F43" s="7">
        <v>4.8810000000000002</v>
      </c>
      <c r="G43" s="7">
        <v>4.92</v>
      </c>
      <c r="H43" s="7">
        <v>246702</v>
      </c>
      <c r="I43" s="8">
        <v>198431</v>
      </c>
      <c r="J43" s="9">
        <f t="shared" si="0"/>
        <v>7.9583715947351696E-3</v>
      </c>
      <c r="K43">
        <f t="shared" si="1"/>
        <v>2.8050892459539241</v>
      </c>
      <c r="L43" s="10">
        <f t="shared" si="2"/>
        <v>1.1086523561467256E-2</v>
      </c>
    </row>
    <row r="44" spans="1:12" ht="15" customHeight="1" x14ac:dyDescent="0.2">
      <c r="A44" s="3">
        <v>45989</v>
      </c>
      <c r="B44" s="4">
        <v>4.8620000000000001</v>
      </c>
      <c r="C44" s="4">
        <v>4.8499999999999996</v>
      </c>
      <c r="D44" s="4">
        <v>0.29199999999999898</v>
      </c>
      <c r="E44" s="4">
        <v>6.4063185607722701</v>
      </c>
      <c r="F44" s="4">
        <v>4.82</v>
      </c>
      <c r="G44" s="4">
        <v>4.8739999999999997</v>
      </c>
      <c r="H44" s="4">
        <v>243253</v>
      </c>
      <c r="I44" s="5">
        <v>118176</v>
      </c>
      <c r="J44" s="9">
        <f t="shared" si="0"/>
        <v>1.1140911904270556E-2</v>
      </c>
      <c r="K44">
        <f t="shared" si="1"/>
        <v>6.0066343517595149</v>
      </c>
      <c r="L44" s="10">
        <f t="shared" si="2"/>
        <v>1.103977939914875E-2</v>
      </c>
    </row>
    <row r="45" spans="1:12" ht="15" customHeight="1" x14ac:dyDescent="0.2">
      <c r="A45" s="6">
        <v>45987</v>
      </c>
      <c r="B45" s="7">
        <v>4.6180000000000003</v>
      </c>
      <c r="C45" s="7">
        <v>4.5579999999999998</v>
      </c>
      <c r="D45" s="7">
        <v>7.6999999999999902E-2</v>
      </c>
      <c r="E45" s="7">
        <v>1.7183664360633699</v>
      </c>
      <c r="F45" s="7">
        <v>4.6109999999999998</v>
      </c>
      <c r="G45" s="7">
        <v>4.6239999999999997</v>
      </c>
      <c r="H45" s="7">
        <v>246953</v>
      </c>
      <c r="I45" s="8">
        <v>149709</v>
      </c>
      <c r="J45" s="9">
        <f t="shared" si="0"/>
        <v>2.8153762858689553E-3</v>
      </c>
      <c r="K45">
        <f t="shared" si="1"/>
        <v>5.918481176635991</v>
      </c>
      <c r="L45" s="10">
        <f t="shared" si="2"/>
        <v>1.049500045014282E-2</v>
      </c>
    </row>
    <row r="46" spans="1:12" ht="15" customHeight="1" x14ac:dyDescent="0.2">
      <c r="A46" s="3">
        <v>45986</v>
      </c>
      <c r="B46" s="4">
        <v>4.4850000000000003</v>
      </c>
      <c r="C46" s="4">
        <v>4.4809999999999999</v>
      </c>
      <c r="D46" s="4">
        <v>-0.190999999999999</v>
      </c>
      <c r="E46" s="4">
        <v>-4.0881849315068397</v>
      </c>
      <c r="F46" s="4">
        <v>4.4740000000000002</v>
      </c>
      <c r="G46" s="4">
        <v>4.4939999999999998</v>
      </c>
      <c r="H46" s="4">
        <v>245767</v>
      </c>
      <c r="I46" s="5">
        <v>227404</v>
      </c>
      <c r="J46" s="9">
        <f t="shared" si="0"/>
        <v>4.4603033006243471E-3</v>
      </c>
      <c r="K46">
        <f t="shared" si="1"/>
        <v>6.0043303339627343</v>
      </c>
      <c r="L46" s="10">
        <f t="shared" si="2"/>
        <v>1.0478151029936603E-2</v>
      </c>
    </row>
    <row r="47" spans="1:12" ht="15" customHeight="1" x14ac:dyDescent="0.2">
      <c r="A47" s="6">
        <v>45985</v>
      </c>
      <c r="B47" s="7">
        <v>4.641</v>
      </c>
      <c r="C47" s="7">
        <v>4.6719999999999997</v>
      </c>
      <c r="D47" s="7">
        <v>-7.1000000000000604E-2</v>
      </c>
      <c r="E47" s="7">
        <v>-1.49694286316678</v>
      </c>
      <c r="F47" s="7">
        <v>4.6319999999999997</v>
      </c>
      <c r="G47" s="7">
        <v>4.6609999999999996</v>
      </c>
      <c r="H47" s="7">
        <v>256827</v>
      </c>
      <c r="I47" s="8">
        <v>166910</v>
      </c>
      <c r="J47" s="9">
        <f t="shared" si="0"/>
        <v>6.2412568600021343E-3</v>
      </c>
      <c r="K47">
        <f t="shared" si="1"/>
        <v>5.8841315008498496</v>
      </c>
      <c r="L47" s="10">
        <f t="shared" si="2"/>
        <v>1.0823519003559526E-2</v>
      </c>
    </row>
    <row r="48" spans="1:12" ht="15" customHeight="1" x14ac:dyDescent="0.2">
      <c r="A48" s="3">
        <v>45982</v>
      </c>
      <c r="B48" s="4">
        <v>4.7309999999999999</v>
      </c>
      <c r="C48" s="4">
        <v>4.7430000000000003</v>
      </c>
      <c r="D48" s="4">
        <v>7.6000000000000498E-2</v>
      </c>
      <c r="E48" s="4">
        <v>1.6284551103492799</v>
      </c>
      <c r="F48" s="4">
        <v>4.68</v>
      </c>
      <c r="G48" s="4">
        <v>4.7480000000000002</v>
      </c>
      <c r="H48" s="4">
        <v>251419</v>
      </c>
      <c r="I48" s="5">
        <v>169555</v>
      </c>
      <c r="J48" s="9">
        <f t="shared" si="0"/>
        <v>1.4425116673737907E-2</v>
      </c>
      <c r="K48">
        <f t="shared" si="1"/>
        <v>5.8753882753488682</v>
      </c>
      <c r="L48" s="10">
        <f t="shared" si="2"/>
        <v>1.1480548744116295E-2</v>
      </c>
    </row>
    <row r="49" spans="1:12" ht="15" customHeight="1" x14ac:dyDescent="0.2">
      <c r="A49" s="6">
        <v>45981</v>
      </c>
      <c r="B49" s="7">
        <v>4.6740000000000004</v>
      </c>
      <c r="C49" s="7">
        <v>4.6669999999999998</v>
      </c>
      <c r="D49" s="7">
        <v>-8.6000000000000298E-2</v>
      </c>
      <c r="E49" s="7">
        <v>-1.8093835472333299</v>
      </c>
      <c r="F49" s="7">
        <v>4.6630000000000003</v>
      </c>
      <c r="G49" s="7">
        <v>4.7069999999999999</v>
      </c>
      <c r="H49" s="7">
        <v>251209</v>
      </c>
      <c r="I49" s="8">
        <v>137094</v>
      </c>
      <c r="J49" s="9">
        <f t="shared" si="0"/>
        <v>9.3916755602987383E-3</v>
      </c>
      <c r="K49">
        <f t="shared" si="1"/>
        <v>5.9802739994738774</v>
      </c>
      <c r="L49" s="10">
        <f t="shared" si="2"/>
        <v>1.1126183771768803E-2</v>
      </c>
    </row>
    <row r="50" spans="1:12" ht="15" customHeight="1" x14ac:dyDescent="0.2">
      <c r="A50" s="3">
        <v>45980</v>
      </c>
      <c r="B50" s="4">
        <v>4.7670000000000003</v>
      </c>
      <c r="C50" s="4">
        <v>4.7530000000000001</v>
      </c>
      <c r="D50" s="4">
        <v>0.16</v>
      </c>
      <c r="E50" s="4">
        <v>3.48356194208578</v>
      </c>
      <c r="F50" s="4">
        <v>4.7629999999999999</v>
      </c>
      <c r="G50" s="4">
        <v>4.7679999999999998</v>
      </c>
      <c r="H50" s="4">
        <v>248039</v>
      </c>
      <c r="I50" s="5">
        <v>124995</v>
      </c>
      <c r="J50" s="9">
        <f t="shared" si="0"/>
        <v>1.0492078480746814E-3</v>
      </c>
      <c r="K50">
        <f t="shared" si="1"/>
        <v>5.9511482643237246</v>
      </c>
      <c r="L50" s="10">
        <f t="shared" si="2"/>
        <v>1.0996743831752784E-2</v>
      </c>
    </row>
    <row r="51" spans="1:12" ht="15" customHeight="1" x14ac:dyDescent="0.2">
      <c r="A51" s="6">
        <v>45979</v>
      </c>
      <c r="B51" s="7">
        <v>4.5919999999999996</v>
      </c>
      <c r="C51" s="7">
        <v>4.593</v>
      </c>
      <c r="D51" s="7"/>
      <c r="E51" s="7"/>
      <c r="F51" s="7">
        <v>4.5519999999999996</v>
      </c>
      <c r="G51" s="7">
        <v>4.62</v>
      </c>
      <c r="H51" s="7">
        <v>244102</v>
      </c>
      <c r="I51" s="8">
        <v>121485</v>
      </c>
      <c r="J51" s="9">
        <f t="shared" si="0"/>
        <v>1.4827736589620694E-2</v>
      </c>
      <c r="K51">
        <f t="shared" si="1"/>
        <v>5.9384766353098746</v>
      </c>
      <c r="L51" s="10">
        <f t="shared" si="2"/>
        <v>1.1124133685932432E-2</v>
      </c>
    </row>
    <row r="52" spans="1:12" ht="15" customHeight="1" x14ac:dyDescent="0.2">
      <c r="A52" s="3">
        <v>45978</v>
      </c>
      <c r="B52" s="4">
        <v>4.5670000000000002</v>
      </c>
      <c r="C52" s="4">
        <v>4.593</v>
      </c>
      <c r="D52" s="4">
        <v>-0.17899999999999999</v>
      </c>
      <c r="E52" s="4">
        <v>-3.7510477787091299</v>
      </c>
      <c r="F52" s="4">
        <v>4.55</v>
      </c>
      <c r="G52" s="4">
        <v>4.5869999999999997</v>
      </c>
      <c r="H52" s="4">
        <v>242864</v>
      </c>
      <c r="I52" s="5">
        <v>98478</v>
      </c>
      <c r="J52" s="9">
        <f t="shared" si="0"/>
        <v>8.0989383824012079E-3</v>
      </c>
      <c r="K52">
        <f t="shared" si="1"/>
        <v>6.2883765709804509</v>
      </c>
      <c r="L52" s="10">
        <f t="shared" si="2"/>
        <v>1.1131183109400727E-2</v>
      </c>
    </row>
    <row r="53" spans="1:12" ht="15" customHeight="1" x14ac:dyDescent="0.2">
      <c r="A53" s="6">
        <v>45975</v>
      </c>
      <c r="B53" s="7">
        <v>4.7210000000000001</v>
      </c>
      <c r="C53" s="7">
        <v>4.7720000000000002</v>
      </c>
      <c r="D53" s="7">
        <v>-7.0999999999999702E-2</v>
      </c>
      <c r="E53" s="7">
        <v>-1.46603345034068</v>
      </c>
      <c r="F53" s="7">
        <v>4.6790000000000003</v>
      </c>
      <c r="G53" s="7">
        <v>4.7670000000000003</v>
      </c>
      <c r="H53" s="7">
        <v>240366</v>
      </c>
      <c r="I53" s="8">
        <v>107136</v>
      </c>
      <c r="J53" s="9">
        <f t="shared" si="0"/>
        <v>1.8632225280542043E-2</v>
      </c>
      <c r="K53">
        <f t="shared" si="1"/>
        <v>6.1385696873605067</v>
      </c>
      <c r="L53" s="10">
        <f t="shared" si="2"/>
        <v>1.091991908518228E-2</v>
      </c>
    </row>
    <row r="54" spans="1:12" ht="15" customHeight="1" x14ac:dyDescent="0.2">
      <c r="A54" s="3">
        <v>45974</v>
      </c>
      <c r="B54" s="4">
        <v>4.7889999999999997</v>
      </c>
      <c r="C54" s="4">
        <v>4.843</v>
      </c>
      <c r="D54" s="4">
        <v>9.9000000000000199E-2</v>
      </c>
      <c r="E54" s="4">
        <v>2.08684654300168</v>
      </c>
      <c r="F54" s="4">
        <v>4.7809999999999997</v>
      </c>
      <c r="G54" s="4">
        <v>4.806</v>
      </c>
      <c r="H54" s="4">
        <v>233284</v>
      </c>
      <c r="I54" s="5">
        <v>127340</v>
      </c>
      <c r="J54" s="9">
        <f t="shared" si="0"/>
        <v>5.2153958485449785E-3</v>
      </c>
      <c r="K54">
        <f t="shared" si="1"/>
        <v>6.1794588729770421</v>
      </c>
      <c r="L54" s="10">
        <f t="shared" si="2"/>
        <v>1.0211719834615007E-2</v>
      </c>
    </row>
    <row r="55" spans="1:12" ht="15" customHeight="1" x14ac:dyDescent="0.2">
      <c r="A55" s="6">
        <v>45973</v>
      </c>
      <c r="B55" s="7">
        <v>4.742</v>
      </c>
      <c r="C55" s="7">
        <v>4.7439999999999998</v>
      </c>
      <c r="D55" s="7">
        <v>-2.0000000000000399E-2</v>
      </c>
      <c r="E55" s="7">
        <v>-0.41981528127624701</v>
      </c>
      <c r="F55" s="7">
        <v>4.7329999999999997</v>
      </c>
      <c r="G55" s="7">
        <v>4.76</v>
      </c>
      <c r="H55" s="7">
        <v>226629</v>
      </c>
      <c r="I55" s="8">
        <v>94595</v>
      </c>
      <c r="J55" s="9">
        <f t="shared" si="0"/>
        <v>5.6884019804066448E-3</v>
      </c>
      <c r="K55">
        <f t="shared" si="1"/>
        <v>6.210307567604672</v>
      </c>
      <c r="L55" s="10">
        <f t="shared" si="2"/>
        <v>1.0073324218506936E-2</v>
      </c>
    </row>
    <row r="56" spans="1:12" ht="15" customHeight="1" x14ac:dyDescent="0.2">
      <c r="A56" s="3">
        <v>45972</v>
      </c>
      <c r="B56" s="4">
        <v>4.7290000000000001</v>
      </c>
      <c r="C56" s="4">
        <v>4.7640000000000002</v>
      </c>
      <c r="D56" s="4">
        <v>0.20399999999999999</v>
      </c>
      <c r="E56" s="4">
        <v>4.4736842105263399</v>
      </c>
      <c r="F56" s="4">
        <v>4.7160000000000002</v>
      </c>
      <c r="G56" s="4">
        <v>4.7300000000000004</v>
      </c>
      <c r="H56" s="4">
        <v>214264</v>
      </c>
      <c r="I56" s="5">
        <v>124109</v>
      </c>
      <c r="J56" s="9">
        <f t="shared" si="0"/>
        <v>2.9642176582680992E-3</v>
      </c>
      <c r="K56">
        <f t="shared" si="1"/>
        <v>6.2876696839294812</v>
      </c>
      <c r="L56" s="10">
        <f t="shared" si="2"/>
        <v>9.9912251294404248E-3</v>
      </c>
    </row>
    <row r="57" spans="1:12" ht="15" customHeight="1" x14ac:dyDescent="0.2">
      <c r="A57" s="6">
        <v>45971</v>
      </c>
      <c r="B57" s="7">
        <v>4.5949999999999998</v>
      </c>
      <c r="C57" s="7">
        <v>4.5599999999999996</v>
      </c>
      <c r="D57" s="7">
        <v>2.0999999999999901E-2</v>
      </c>
      <c r="E57" s="7">
        <v>0.46265697290150898</v>
      </c>
      <c r="F57" s="7">
        <v>4.5490000000000004</v>
      </c>
      <c r="G57" s="7">
        <v>4.62</v>
      </c>
      <c r="H57" s="7">
        <v>209936</v>
      </c>
      <c r="I57" s="8">
        <v>84853</v>
      </c>
      <c r="J57" s="9">
        <f t="shared" si="0"/>
        <v>1.5486966953866229E-2</v>
      </c>
      <c r="K57">
        <f t="shared" si="1"/>
        <v>6.277278558393804</v>
      </c>
      <c r="L57" s="10">
        <f t="shared" si="2"/>
        <v>1.0080449496486291E-2</v>
      </c>
    </row>
    <row r="58" spans="1:12" ht="15" customHeight="1" x14ac:dyDescent="0.2">
      <c r="A58" s="3">
        <v>45968</v>
      </c>
      <c r="B58" s="4">
        <v>4.5540000000000003</v>
      </c>
      <c r="C58" s="4">
        <v>4.5389999999999997</v>
      </c>
      <c r="D58" s="4">
        <v>-3.2000000000000001E-2</v>
      </c>
      <c r="E58" s="4">
        <v>-0.70006563115292397</v>
      </c>
      <c r="F58" s="4">
        <v>4.5250000000000004</v>
      </c>
      <c r="G58" s="4">
        <v>4.62</v>
      </c>
      <c r="H58" s="4">
        <v>206126</v>
      </c>
      <c r="I58" s="5">
        <v>69177</v>
      </c>
      <c r="J58" s="9">
        <f t="shared" si="0"/>
        <v>2.0776380535811864E-2</v>
      </c>
      <c r="K58">
        <f t="shared" si="1"/>
        <v>6.4546854456002043</v>
      </c>
      <c r="L58" s="10">
        <f t="shared" si="2"/>
        <v>9.9638624459834103E-3</v>
      </c>
    </row>
    <row r="59" spans="1:12" ht="15" customHeight="1" x14ac:dyDescent="0.2">
      <c r="A59" s="6">
        <v>45967</v>
      </c>
      <c r="B59" s="7">
        <v>4.6159999999999997</v>
      </c>
      <c r="C59" s="7">
        <v>4.5709999999999997</v>
      </c>
      <c r="D59" s="7">
        <v>0.107999999999999</v>
      </c>
      <c r="E59" s="7">
        <v>2.4198969303159199</v>
      </c>
      <c r="F59" s="7">
        <v>4.508</v>
      </c>
      <c r="G59" s="7">
        <v>4.63</v>
      </c>
      <c r="H59" s="7">
        <v>210698</v>
      </c>
      <c r="I59" s="8">
        <v>90702</v>
      </c>
      <c r="J59" s="9">
        <f t="shared" si="0"/>
        <v>2.6701685270299823E-2</v>
      </c>
      <c r="K59">
        <f t="shared" si="1"/>
        <v>6.4833060090512067</v>
      </c>
      <c r="L59" s="10">
        <f t="shared" si="2"/>
        <v>9.2391429329724238E-3</v>
      </c>
    </row>
    <row r="60" spans="1:12" ht="15" customHeight="1" x14ac:dyDescent="0.2">
      <c r="A60" s="3">
        <v>45966</v>
      </c>
      <c r="B60" s="4">
        <v>4.4720000000000004</v>
      </c>
      <c r="C60" s="4">
        <v>4.4630000000000001</v>
      </c>
      <c r="D60" s="4">
        <v>-0.11</v>
      </c>
      <c r="E60" s="4">
        <v>-2.4054231357970801</v>
      </c>
      <c r="F60" s="4">
        <v>4.4409999999999998</v>
      </c>
      <c r="G60" s="4">
        <v>4.55</v>
      </c>
      <c r="H60" s="4">
        <v>214695</v>
      </c>
      <c r="I60" s="5">
        <v>65313.999999999898</v>
      </c>
      <c r="J60" s="9">
        <f t="shared" si="0"/>
        <v>2.4246468690913132E-2</v>
      </c>
      <c r="K60">
        <f t="shared" si="1"/>
        <v>6.6288670013275137</v>
      </c>
      <c r="L60" s="10">
        <f t="shared" si="2"/>
        <v>8.138771748022109E-3</v>
      </c>
    </row>
    <row r="61" spans="1:12" ht="15" customHeight="1" x14ac:dyDescent="0.2">
      <c r="A61" s="6">
        <v>45965</v>
      </c>
      <c r="B61" s="7">
        <v>4.5430000000000001</v>
      </c>
      <c r="C61" s="7">
        <v>4.5730000000000004</v>
      </c>
      <c r="D61" s="7">
        <v>7.1999999999999995E-2</v>
      </c>
      <c r="E61" s="7">
        <v>1.59964452343923</v>
      </c>
      <c r="F61" s="7">
        <v>4.5410000000000004</v>
      </c>
      <c r="G61" s="7">
        <v>4.58</v>
      </c>
      <c r="H61" s="7">
        <v>222688</v>
      </c>
      <c r="I61" s="8">
        <v>117250</v>
      </c>
      <c r="J61" s="9">
        <f t="shared" si="0"/>
        <v>8.5516938932133982E-3</v>
      </c>
      <c r="K61">
        <f t="shared" si="1"/>
        <v>6.5981168040550369</v>
      </c>
      <c r="L61" s="10">
        <f t="shared" si="2"/>
        <v>7.1599189856612093E-3</v>
      </c>
    </row>
    <row r="62" spans="1:12" ht="15" customHeight="1" x14ac:dyDescent="0.2">
      <c r="A62" s="3">
        <v>45964</v>
      </c>
      <c r="B62" s="4">
        <v>4.4770000000000003</v>
      </c>
      <c r="C62" s="4">
        <v>4.5010000000000003</v>
      </c>
      <c r="D62" s="4">
        <v>0.13200000000000001</v>
      </c>
      <c r="E62" s="4">
        <v>3.0212863355458999</v>
      </c>
      <c r="F62" s="4">
        <v>4.4649999999999999</v>
      </c>
      <c r="G62" s="4">
        <v>4.5199999999999996</v>
      </c>
      <c r="H62" s="4">
        <v>233409</v>
      </c>
      <c r="I62" s="5">
        <v>108175</v>
      </c>
      <c r="J62" s="9">
        <f t="shared" si="0"/>
        <v>1.2242626599888642E-2</v>
      </c>
      <c r="K62">
        <f t="shared" si="1"/>
        <v>6.5997709188500773</v>
      </c>
      <c r="L62" s="10">
        <f t="shared" si="2"/>
        <v>7.1870607681550885E-3</v>
      </c>
    </row>
    <row r="63" spans="1:12" ht="15" customHeight="1" x14ac:dyDescent="0.2">
      <c r="A63" s="6">
        <v>45961</v>
      </c>
      <c r="B63" s="7">
        <v>4.3719999999999999</v>
      </c>
      <c r="C63" s="7">
        <v>4.3689999999999998</v>
      </c>
      <c r="D63" s="7">
        <v>0.16399999999999901</v>
      </c>
      <c r="E63" s="7">
        <v>3.9001189060642001</v>
      </c>
      <c r="F63" s="7">
        <v>4.343</v>
      </c>
      <c r="G63" s="7">
        <v>4.3949999999999996</v>
      </c>
      <c r="H63" s="7">
        <v>240373</v>
      </c>
      <c r="I63" s="8">
        <v>128662</v>
      </c>
      <c r="J63" s="9">
        <f t="shared" si="0"/>
        <v>1.1902037079423118E-2</v>
      </c>
      <c r="K63">
        <f t="shared" si="1"/>
        <v>6.6819051045056943</v>
      </c>
      <c r="L63" s="10">
        <f t="shared" si="2"/>
        <v>7.3017413786338825E-3</v>
      </c>
    </row>
    <row r="64" spans="1:12" ht="15" customHeight="1" x14ac:dyDescent="0.2">
      <c r="A64" s="3">
        <v>45960</v>
      </c>
      <c r="B64" s="4">
        <v>4.298</v>
      </c>
      <c r="C64" s="4">
        <v>4.2050000000000001</v>
      </c>
      <c r="D64" s="4">
        <v>0.82899999999999996</v>
      </c>
      <c r="E64" s="4">
        <v>24.5556872037914</v>
      </c>
      <c r="F64" s="4">
        <v>4.2850000000000001</v>
      </c>
      <c r="G64" s="4">
        <v>4.3150000000000004</v>
      </c>
      <c r="H64" s="4">
        <v>250459</v>
      </c>
      <c r="I64" s="5">
        <v>95865</v>
      </c>
      <c r="J64" s="9">
        <f t="shared" si="0"/>
        <v>6.9767441860465679E-3</v>
      </c>
      <c r="K64">
        <f t="shared" si="1"/>
        <v>6.67303739989456</v>
      </c>
      <c r="L64" s="10">
        <f t="shared" si="2"/>
        <v>6.930595861549798E-3</v>
      </c>
    </row>
    <row r="65" spans="1:12" ht="15" customHeight="1" x14ac:dyDescent="0.2">
      <c r="A65" s="6">
        <v>45959</v>
      </c>
      <c r="B65" s="7">
        <v>3.34</v>
      </c>
      <c r="C65" s="7">
        <v>3.3759999999999999</v>
      </c>
      <c r="D65" s="7">
        <v>3.0999999999999601E-2</v>
      </c>
      <c r="E65" s="7">
        <v>0.92675635276531199</v>
      </c>
      <c r="F65" s="7">
        <v>3.34</v>
      </c>
      <c r="G65" s="7">
        <v>3.339</v>
      </c>
      <c r="H65" s="7">
        <v>3096</v>
      </c>
      <c r="I65" s="8">
        <v>4239</v>
      </c>
      <c r="J65" s="9">
        <f t="shared" si="0"/>
        <v>-2.9944602485398707E-4</v>
      </c>
      <c r="K65">
        <f t="shared" si="1"/>
        <v>4.1221899625603697</v>
      </c>
      <c r="L65" s="10">
        <f t="shared" si="2"/>
        <v>6.9574462930837621E-3</v>
      </c>
    </row>
    <row r="66" spans="1:12" ht="15" customHeight="1" x14ac:dyDescent="0.2">
      <c r="A66" s="3">
        <v>45958</v>
      </c>
      <c r="B66" s="4">
        <v>3.25</v>
      </c>
      <c r="C66" s="4">
        <v>3.3450000000000002</v>
      </c>
      <c r="D66" s="4">
        <v>-9.6999999999999906E-2</v>
      </c>
      <c r="E66" s="4">
        <v>-2.81812899477048</v>
      </c>
      <c r="F66" s="4">
        <v>3.246</v>
      </c>
      <c r="G66" s="4">
        <v>3.254</v>
      </c>
      <c r="H66" s="4">
        <v>18660</v>
      </c>
      <c r="I66" s="5">
        <v>68595</v>
      </c>
      <c r="J66" s="9">
        <f t="shared" si="0"/>
        <v>2.4615384615384638E-3</v>
      </c>
      <c r="K66">
        <f t="shared" si="1"/>
        <v>4.1239488788458445</v>
      </c>
      <c r="L66" s="10">
        <f t="shared" si="2"/>
        <v>7.0574542127489603E-3</v>
      </c>
    </row>
    <row r="67" spans="1:12" ht="15" customHeight="1" x14ac:dyDescent="0.2">
      <c r="A67" s="6">
        <v>45957</v>
      </c>
      <c r="B67" s="7">
        <v>3.3980000000000001</v>
      </c>
      <c r="C67" s="7">
        <v>3.4420000000000002</v>
      </c>
      <c r="D67" s="7">
        <v>0.13800000000000001</v>
      </c>
      <c r="E67" s="7">
        <v>4.1767554479418898</v>
      </c>
      <c r="F67" s="7">
        <v>3.395</v>
      </c>
      <c r="G67" s="7">
        <v>3.4350000000000001</v>
      </c>
      <c r="H67" s="7">
        <v>28710</v>
      </c>
      <c r="I67" s="8">
        <v>63844</v>
      </c>
      <c r="J67" s="9">
        <f t="shared" si="0"/>
        <v>1.1713030746705721E-2</v>
      </c>
      <c r="K67">
        <f t="shared" si="1"/>
        <v>4.080180484747908</v>
      </c>
      <c r="L67" s="10">
        <f t="shared" si="2"/>
        <v>7.1293468840001144E-3</v>
      </c>
    </row>
    <row r="68" spans="1:12" ht="15" customHeight="1" x14ac:dyDescent="0.2">
      <c r="A68" s="3">
        <v>45954</v>
      </c>
      <c r="B68" s="4">
        <v>3.3370000000000002</v>
      </c>
      <c r="C68" s="4">
        <v>3.3039999999999998</v>
      </c>
      <c r="D68" s="4">
        <v>-0.04</v>
      </c>
      <c r="E68" s="4">
        <v>-1.19617224880382</v>
      </c>
      <c r="F68" s="4">
        <v>3.31</v>
      </c>
      <c r="G68" s="4">
        <v>3.3769999999999998</v>
      </c>
      <c r="H68" s="4">
        <v>39685</v>
      </c>
      <c r="I68" s="5">
        <v>102175</v>
      </c>
      <c r="J68" s="9">
        <f t="shared" si="0"/>
        <v>2.0038881411694253E-2</v>
      </c>
      <c r="K68">
        <f t="shared" si="1"/>
        <v>3.9881990050683949</v>
      </c>
      <c r="L68" s="10">
        <f t="shared" si="2"/>
        <v>6.9755785773919403E-3</v>
      </c>
    </row>
    <row r="69" spans="1:12" ht="15" customHeight="1" x14ac:dyDescent="0.2">
      <c r="A69" s="6">
        <v>45953</v>
      </c>
      <c r="B69" s="7">
        <v>3.2909999999999999</v>
      </c>
      <c r="C69" s="7">
        <v>3.3439999999999999</v>
      </c>
      <c r="D69" s="7">
        <v>-0.106</v>
      </c>
      <c r="E69" s="7">
        <v>-3.0724637681159499</v>
      </c>
      <c r="F69" s="7">
        <v>3.282</v>
      </c>
      <c r="G69" s="7">
        <v>3.3050000000000002</v>
      </c>
      <c r="H69" s="7">
        <v>61020</v>
      </c>
      <c r="I69" s="8">
        <v>149770</v>
      </c>
      <c r="J69" s="9">
        <f t="shared" ref="J69:J132" si="3">(G69-F69)/AVERAGE(F69:G69)</f>
        <v>6.9834522544406051E-3</v>
      </c>
      <c r="K69">
        <f t="shared" ref="K69:K132" si="4">_xlfn.STDEV.S(E69:E89)</f>
        <v>3.9915003347786153</v>
      </c>
      <c r="L69" s="10">
        <f t="shared" ref="L69:L132" si="5">AVERAGE(J69:J89)</f>
        <v>6.1392515396005414E-3</v>
      </c>
    </row>
    <row r="70" spans="1:12" ht="15" customHeight="1" x14ac:dyDescent="0.2">
      <c r="A70" s="3">
        <v>45952</v>
      </c>
      <c r="B70" s="4">
        <v>3.4390000000000001</v>
      </c>
      <c r="C70" s="4">
        <v>3.45</v>
      </c>
      <c r="D70" s="4">
        <v>-2.4E-2</v>
      </c>
      <c r="E70" s="4">
        <v>-0.69084628670120696</v>
      </c>
      <c r="F70" s="4">
        <v>3.4350000000000001</v>
      </c>
      <c r="G70" s="4">
        <v>3.4580000000000002</v>
      </c>
      <c r="H70" s="4">
        <v>76299</v>
      </c>
      <c r="I70" s="5">
        <v>185137</v>
      </c>
      <c r="J70" s="9">
        <f t="shared" si="3"/>
        <v>6.6734368199623181E-3</v>
      </c>
      <c r="K70">
        <f t="shared" si="4"/>
        <v>4.4029275381992505</v>
      </c>
      <c r="L70" s="10">
        <f t="shared" si="5"/>
        <v>6.0032604469046442E-3</v>
      </c>
    </row>
    <row r="71" spans="1:12" ht="15" customHeight="1" x14ac:dyDescent="0.2">
      <c r="A71" s="6">
        <v>45951</v>
      </c>
      <c r="B71" s="7">
        <v>3.488</v>
      </c>
      <c r="C71" s="7">
        <v>3.4740000000000002</v>
      </c>
      <c r="D71" s="7">
        <v>7.7000000000000401E-2</v>
      </c>
      <c r="E71" s="7">
        <v>2.2667059169855799</v>
      </c>
      <c r="F71" s="7">
        <v>3.484</v>
      </c>
      <c r="G71" s="7">
        <v>3.4969999999999999</v>
      </c>
      <c r="H71" s="7">
        <v>91196</v>
      </c>
      <c r="I71" s="8">
        <v>185343</v>
      </c>
      <c r="J71" s="9">
        <f t="shared" si="3"/>
        <v>3.7243947858472716E-3</v>
      </c>
      <c r="K71">
        <f t="shared" si="4"/>
        <v>4.3878046467329792</v>
      </c>
      <c r="L71" s="10">
        <f t="shared" si="5"/>
        <v>5.702107406852723E-3</v>
      </c>
    </row>
    <row r="72" spans="1:12" ht="15" customHeight="1" x14ac:dyDescent="0.2">
      <c r="A72" s="3">
        <v>45950</v>
      </c>
      <c r="B72" s="4">
        <v>3.42</v>
      </c>
      <c r="C72" s="4">
        <v>3.3969999999999998</v>
      </c>
      <c r="D72" s="4">
        <v>0.38899999999999901</v>
      </c>
      <c r="E72" s="4">
        <v>12.9321808510638</v>
      </c>
      <c r="F72" s="4">
        <v>3.38</v>
      </c>
      <c r="G72" s="4">
        <v>3.431</v>
      </c>
      <c r="H72" s="4">
        <v>112856</v>
      </c>
      <c r="I72" s="5">
        <v>249088</v>
      </c>
      <c r="J72" s="9">
        <f t="shared" si="3"/>
        <v>1.4975774482454898E-2</v>
      </c>
      <c r="K72">
        <f t="shared" si="4"/>
        <v>4.4613766499808545</v>
      </c>
      <c r="L72" s="10">
        <f t="shared" si="5"/>
        <v>5.8129959042534408E-3</v>
      </c>
    </row>
    <row r="73" spans="1:12" ht="15" customHeight="1" x14ac:dyDescent="0.2">
      <c r="A73" s="6">
        <v>45947</v>
      </c>
      <c r="B73" s="7">
        <v>3</v>
      </c>
      <c r="C73" s="7">
        <v>3.008</v>
      </c>
      <c r="D73" s="7">
        <v>6.9999999999999798E-2</v>
      </c>
      <c r="E73" s="7">
        <v>2.38257317903334</v>
      </c>
      <c r="F73" s="7">
        <v>2.9980000000000002</v>
      </c>
      <c r="G73" s="7">
        <v>3.0089999999999999</v>
      </c>
      <c r="H73" s="7">
        <v>128313</v>
      </c>
      <c r="I73" s="8">
        <v>120439</v>
      </c>
      <c r="J73" s="9">
        <f t="shared" si="3"/>
        <v>3.6623938738137764E-3</v>
      </c>
      <c r="K73">
        <f t="shared" si="4"/>
        <v>3.528750222295387</v>
      </c>
      <c r="L73" s="10">
        <f t="shared" si="5"/>
        <v>5.1977111441626374E-3</v>
      </c>
    </row>
    <row r="74" spans="1:12" ht="15" customHeight="1" x14ac:dyDescent="0.2">
      <c r="A74" s="3">
        <v>45946</v>
      </c>
      <c r="B74" s="4">
        <v>2.927</v>
      </c>
      <c r="C74" s="4">
        <v>2.9380000000000002</v>
      </c>
      <c r="D74" s="4">
        <v>-7.7999999999999806E-2</v>
      </c>
      <c r="E74" s="4">
        <v>-2.5862068965517202</v>
      </c>
      <c r="F74" s="4">
        <v>2.92</v>
      </c>
      <c r="G74" s="4">
        <v>2.931</v>
      </c>
      <c r="H74" s="4">
        <v>134698</v>
      </c>
      <c r="I74" s="5">
        <v>152477</v>
      </c>
      <c r="J74" s="9">
        <f t="shared" si="3"/>
        <v>3.7600410186293355E-3</v>
      </c>
      <c r="K74">
        <f t="shared" si="4"/>
        <v>3.6753311848220709</v>
      </c>
      <c r="L74" s="10">
        <f t="shared" si="5"/>
        <v>5.2822865419037256E-3</v>
      </c>
    </row>
    <row r="75" spans="1:12" ht="15" customHeight="1" x14ac:dyDescent="0.2">
      <c r="A75" s="6">
        <v>45945</v>
      </c>
      <c r="B75" s="7">
        <v>3.0339999999999998</v>
      </c>
      <c r="C75" s="7">
        <v>3.016</v>
      </c>
      <c r="D75" s="7">
        <v>-1.2E-2</v>
      </c>
      <c r="E75" s="7">
        <v>-0.39630118890356902</v>
      </c>
      <c r="F75" s="7">
        <v>3.028</v>
      </c>
      <c r="G75" s="7">
        <v>3.0350000000000001</v>
      </c>
      <c r="H75" s="7">
        <v>142700</v>
      </c>
      <c r="I75" s="8">
        <v>139593</v>
      </c>
      <c r="J75" s="9">
        <f t="shared" si="3"/>
        <v>2.3090879102754796E-3</v>
      </c>
      <c r="K75">
        <f t="shared" si="4"/>
        <v>3.6341651745342398</v>
      </c>
      <c r="L75" s="10">
        <f t="shared" si="5"/>
        <v>5.2270031752255927E-3</v>
      </c>
    </row>
    <row r="76" spans="1:12" ht="15" customHeight="1" x14ac:dyDescent="0.2">
      <c r="A76" s="3">
        <v>45944</v>
      </c>
      <c r="B76" s="4">
        <v>3.0289999999999999</v>
      </c>
      <c r="C76" s="4">
        <v>3.028</v>
      </c>
      <c r="D76" s="4">
        <v>-8.9999999999999802E-2</v>
      </c>
      <c r="E76" s="4">
        <v>-2.88646568313021</v>
      </c>
      <c r="F76" s="4">
        <v>3.0209999999999999</v>
      </c>
      <c r="G76" s="4">
        <v>3.0329999999999999</v>
      </c>
      <c r="H76" s="4">
        <v>149840</v>
      </c>
      <c r="I76" s="5">
        <v>136192</v>
      </c>
      <c r="J76" s="9">
        <f t="shared" si="3"/>
        <v>3.9643211100099142E-3</v>
      </c>
      <c r="K76">
        <f t="shared" si="4"/>
        <v>3.6602928445951606</v>
      </c>
      <c r="L76" s="10">
        <f t="shared" si="5"/>
        <v>5.2087098373651899E-3</v>
      </c>
    </row>
    <row r="77" spans="1:12" ht="15" customHeight="1" x14ac:dyDescent="0.2">
      <c r="A77" s="6">
        <v>45943</v>
      </c>
      <c r="B77" s="7">
        <v>3.101</v>
      </c>
      <c r="C77" s="7">
        <v>3.1179999999999999</v>
      </c>
      <c r="D77" s="7">
        <v>1.2E-2</v>
      </c>
      <c r="E77" s="7">
        <v>0.38634900193175098</v>
      </c>
      <c r="F77" s="7">
        <v>3.093</v>
      </c>
      <c r="G77" s="7">
        <v>3.1080000000000001</v>
      </c>
      <c r="H77" s="7">
        <v>160808</v>
      </c>
      <c r="I77" s="8">
        <v>152203</v>
      </c>
      <c r="J77" s="9">
        <f t="shared" si="3"/>
        <v>4.837929366231293E-3</v>
      </c>
      <c r="K77">
        <f t="shared" si="4"/>
        <v>3.668989113108923</v>
      </c>
      <c r="L77" s="10">
        <f t="shared" si="5"/>
        <v>5.2703944305737592E-3</v>
      </c>
    </row>
    <row r="78" spans="1:12" ht="15" customHeight="1" x14ac:dyDescent="0.2">
      <c r="A78" s="3">
        <v>45940</v>
      </c>
      <c r="B78" s="4">
        <v>3.133</v>
      </c>
      <c r="C78" s="4">
        <v>3.1059999999999999</v>
      </c>
      <c r="D78" s="4">
        <v>-0.16300000000000001</v>
      </c>
      <c r="E78" s="4">
        <v>-4.9862343224227601</v>
      </c>
      <c r="F78" s="4">
        <v>3.1240000000000001</v>
      </c>
      <c r="G78" s="4">
        <v>3.165</v>
      </c>
      <c r="H78" s="4">
        <v>180952</v>
      </c>
      <c r="I78" s="5">
        <v>170627</v>
      </c>
      <c r="J78" s="9">
        <f t="shared" si="3"/>
        <v>1.3038638893305749E-2</v>
      </c>
      <c r="K78">
        <f t="shared" si="4"/>
        <v>3.6690412463038165</v>
      </c>
      <c r="L78" s="10">
        <f t="shared" si="5"/>
        <v>5.4912294756593533E-3</v>
      </c>
    </row>
    <row r="79" spans="1:12" ht="15" customHeight="1" x14ac:dyDescent="0.2">
      <c r="A79" s="6">
        <v>45939</v>
      </c>
      <c r="B79" s="7">
        <v>3.2440000000000002</v>
      </c>
      <c r="C79" s="7">
        <v>3.2690000000000001</v>
      </c>
      <c r="D79" s="7">
        <v>-6.4000000000000001E-2</v>
      </c>
      <c r="E79" s="7">
        <v>-1.92019201920192</v>
      </c>
      <c r="F79" s="7">
        <v>3.23</v>
      </c>
      <c r="G79" s="7">
        <v>3.2480000000000002</v>
      </c>
      <c r="H79" s="7">
        <v>209104</v>
      </c>
      <c r="I79" s="8">
        <v>173195</v>
      </c>
      <c r="J79" s="9">
        <f t="shared" si="3"/>
        <v>5.5572707625811176E-3</v>
      </c>
      <c r="K79">
        <f t="shared" si="4"/>
        <v>3.5553456172178715</v>
      </c>
      <c r="L79" s="10">
        <f t="shared" si="5"/>
        <v>4.9192739671491481E-3</v>
      </c>
    </row>
    <row r="80" spans="1:12" ht="15" customHeight="1" x14ac:dyDescent="0.2">
      <c r="A80" s="3">
        <v>45938</v>
      </c>
      <c r="B80" s="4">
        <v>3.3380000000000001</v>
      </c>
      <c r="C80" s="4">
        <v>3.3330000000000002</v>
      </c>
      <c r="D80" s="4">
        <v>-0.16500000000000001</v>
      </c>
      <c r="E80" s="4">
        <v>-4.7169811320754702</v>
      </c>
      <c r="F80" s="4">
        <v>3.3330000000000002</v>
      </c>
      <c r="G80" s="4">
        <v>3.3450000000000002</v>
      </c>
      <c r="H80" s="4">
        <v>232444</v>
      </c>
      <c r="I80" s="5">
        <v>214778</v>
      </c>
      <c r="J80" s="9">
        <f t="shared" si="3"/>
        <v>3.5938903863432193E-3</v>
      </c>
      <c r="K80">
        <f t="shared" si="4"/>
        <v>3.5903908402560583</v>
      </c>
      <c r="L80" s="10">
        <f t="shared" si="5"/>
        <v>4.8588470793635204E-3</v>
      </c>
    </row>
    <row r="81" spans="1:12" ht="15" customHeight="1" x14ac:dyDescent="0.2">
      <c r="A81" s="6">
        <v>45937</v>
      </c>
      <c r="B81" s="7">
        <v>3.5190000000000001</v>
      </c>
      <c r="C81" s="7">
        <v>3.4980000000000002</v>
      </c>
      <c r="D81" s="7">
        <v>0.14099999999999999</v>
      </c>
      <c r="E81" s="7">
        <v>4.2001787310098404</v>
      </c>
      <c r="F81" s="7">
        <v>3.516</v>
      </c>
      <c r="G81" s="7">
        <v>3.5289999999999999</v>
      </c>
      <c r="H81" s="7">
        <v>257811</v>
      </c>
      <c r="I81" s="8">
        <v>204423</v>
      </c>
      <c r="J81" s="9">
        <f t="shared" si="3"/>
        <v>3.6905606813342515E-3</v>
      </c>
      <c r="K81">
        <f t="shared" si="4"/>
        <v>3.3955497842672755</v>
      </c>
      <c r="L81" s="10">
        <f t="shared" si="5"/>
        <v>5.0856828389276871E-3</v>
      </c>
    </row>
    <row r="82" spans="1:12" ht="15" customHeight="1" x14ac:dyDescent="0.2">
      <c r="A82" s="3">
        <v>45936</v>
      </c>
      <c r="B82" s="4">
        <v>3.4</v>
      </c>
      <c r="C82" s="4">
        <v>3.3570000000000002</v>
      </c>
      <c r="D82" s="4">
        <v>3.30000000000003E-2</v>
      </c>
      <c r="E82" s="4">
        <v>0.99277978339351503</v>
      </c>
      <c r="F82" s="4">
        <v>3.383</v>
      </c>
      <c r="G82" s="4">
        <v>3.4140000000000001</v>
      </c>
      <c r="H82" s="4">
        <v>262698</v>
      </c>
      <c r="I82" s="5">
        <v>157731</v>
      </c>
      <c r="J82" s="9">
        <f t="shared" si="3"/>
        <v>9.1216713255848573E-3</v>
      </c>
      <c r="K82">
        <f t="shared" si="4"/>
        <v>3.3024256743177873</v>
      </c>
      <c r="L82" s="10">
        <f t="shared" si="5"/>
        <v>5.0944522097459569E-3</v>
      </c>
    </row>
    <row r="83" spans="1:12" ht="15" customHeight="1" x14ac:dyDescent="0.2">
      <c r="A83" s="6">
        <v>45933</v>
      </c>
      <c r="B83" s="7">
        <v>3.3359999999999999</v>
      </c>
      <c r="C83" s="7">
        <v>3.3239999999999998</v>
      </c>
      <c r="D83" s="7">
        <v>-0.11799999999999999</v>
      </c>
      <c r="E83" s="7">
        <v>-3.4282393957001802</v>
      </c>
      <c r="F83" s="7">
        <v>3.32</v>
      </c>
      <c r="G83" s="7">
        <v>3.3690000000000002</v>
      </c>
      <c r="H83" s="7">
        <v>276189</v>
      </c>
      <c r="I83" s="8">
        <v>203638</v>
      </c>
      <c r="J83" s="9">
        <f t="shared" si="3"/>
        <v>1.4650919419943302E-2</v>
      </c>
      <c r="K83">
        <f t="shared" si="4"/>
        <v>3.3133890038343679</v>
      </c>
      <c r="L83" s="10">
        <f t="shared" si="5"/>
        <v>5.2091452734318216E-3</v>
      </c>
    </row>
    <row r="84" spans="1:12" ht="15" customHeight="1" x14ac:dyDescent="0.2">
      <c r="A84" s="3">
        <v>45932</v>
      </c>
      <c r="B84" s="4">
        <v>3.4039999999999999</v>
      </c>
      <c r="C84" s="4">
        <v>3.4420000000000002</v>
      </c>
      <c r="D84" s="4">
        <v>-3.3999999999999801E-2</v>
      </c>
      <c r="E84" s="4">
        <v>-0.97813578826236802</v>
      </c>
      <c r="F84" s="4">
        <v>3.4009999999999998</v>
      </c>
      <c r="G84" s="4">
        <v>3.415</v>
      </c>
      <c r="H84" s="4">
        <v>295115</v>
      </c>
      <c r="I84" s="5">
        <v>242850</v>
      </c>
      <c r="J84" s="9">
        <f t="shared" si="3"/>
        <v>4.1079812206573458E-3</v>
      </c>
      <c r="K84">
        <f t="shared" si="4"/>
        <v>3.1942750575781385</v>
      </c>
      <c r="L84" s="10">
        <f t="shared" si="5"/>
        <v>4.6197602848505586E-3</v>
      </c>
    </row>
    <row r="85" spans="1:12" ht="15" customHeight="1" x14ac:dyDescent="0.2">
      <c r="A85" s="6">
        <v>45931</v>
      </c>
      <c r="B85" s="7">
        <v>3.4460000000000002</v>
      </c>
      <c r="C85" s="7">
        <v>3.476</v>
      </c>
      <c r="D85" s="7">
        <v>0.17299999999999999</v>
      </c>
      <c r="E85" s="7">
        <v>5.2376627308507304</v>
      </c>
      <c r="F85" s="7">
        <v>3.4350000000000001</v>
      </c>
      <c r="G85" s="7">
        <v>3.4609999999999999</v>
      </c>
      <c r="H85" s="7">
        <v>299673</v>
      </c>
      <c r="I85" s="8">
        <v>227634</v>
      </c>
      <c r="J85" s="9">
        <f t="shared" si="3"/>
        <v>7.5406032482598032E-3</v>
      </c>
      <c r="K85">
        <f t="shared" si="4"/>
        <v>3.1834980979737564</v>
      </c>
      <c r="L85" s="10">
        <f t="shared" si="5"/>
        <v>4.6412266859198721E-3</v>
      </c>
    </row>
    <row r="86" spans="1:12" ht="15" customHeight="1" x14ac:dyDescent="0.2">
      <c r="A86" s="3">
        <v>45930</v>
      </c>
      <c r="B86" s="4">
        <v>3.331</v>
      </c>
      <c r="C86" s="4">
        <v>3.3029999999999999</v>
      </c>
      <c r="D86" s="4">
        <v>3.5999999999999997E-2</v>
      </c>
      <c r="E86" s="4">
        <v>1.1019283746556501</v>
      </c>
      <c r="F86" s="4">
        <v>3.3290000000000002</v>
      </c>
      <c r="G86" s="4">
        <v>3.335</v>
      </c>
      <c r="H86" s="4">
        <v>302623</v>
      </c>
      <c r="I86" s="5">
        <v>152257</v>
      </c>
      <c r="J86" s="9">
        <f t="shared" si="3"/>
        <v>1.800720288115181E-3</v>
      </c>
      <c r="K86">
        <f t="shared" si="4"/>
        <v>3.0119146231067919</v>
      </c>
      <c r="L86" s="10">
        <f t="shared" si="5"/>
        <v>4.6481446917214023E-3</v>
      </c>
    </row>
    <row r="87" spans="1:12" ht="15" customHeight="1" x14ac:dyDescent="0.2">
      <c r="A87" s="6">
        <v>45929</v>
      </c>
      <c r="B87" s="7">
        <v>3.2749999999999999</v>
      </c>
      <c r="C87" s="7">
        <v>3.2669999999999999</v>
      </c>
      <c r="D87" s="7">
        <v>6.0999999999999902E-2</v>
      </c>
      <c r="E87" s="7">
        <v>1.90268247036806</v>
      </c>
      <c r="F87" s="7">
        <v>3.2669999999999999</v>
      </c>
      <c r="G87" s="7">
        <v>3.28</v>
      </c>
      <c r="H87" s="7">
        <v>300117</v>
      </c>
      <c r="I87" s="8">
        <v>156773</v>
      </c>
      <c r="J87" s="9">
        <f t="shared" si="3"/>
        <v>3.9712845578127086E-3</v>
      </c>
      <c r="K87">
        <f t="shared" si="4"/>
        <v>3.0226561175403099</v>
      </c>
      <c r="L87" s="10">
        <f t="shared" si="5"/>
        <v>5.08472569654433E-3</v>
      </c>
    </row>
    <row r="88" spans="1:12" ht="15" customHeight="1" x14ac:dyDescent="0.2">
      <c r="A88" s="3">
        <v>45926</v>
      </c>
      <c r="B88" s="4">
        <v>3.177</v>
      </c>
      <c r="C88" s="4">
        <v>3.206</v>
      </c>
      <c r="D88" s="4">
        <v>1.10000000000001E-2</v>
      </c>
      <c r="E88" s="4">
        <v>0.34428794992176198</v>
      </c>
      <c r="F88" s="4">
        <v>3.169</v>
      </c>
      <c r="G88" s="4">
        <v>3.1960000000000002</v>
      </c>
      <c r="H88" s="4">
        <v>301596</v>
      </c>
      <c r="I88" s="5">
        <v>154811</v>
      </c>
      <c r="J88" s="9">
        <f t="shared" si="3"/>
        <v>8.4838963079340562E-3</v>
      </c>
      <c r="K88">
        <f t="shared" si="4"/>
        <v>3.0251584802048681</v>
      </c>
      <c r="L88" s="10">
        <f t="shared" si="5"/>
        <v>5.3272819360153803E-3</v>
      </c>
    </row>
    <row r="89" spans="1:12" ht="15" customHeight="1" x14ac:dyDescent="0.2">
      <c r="A89" s="6">
        <v>45925</v>
      </c>
      <c r="B89" s="7">
        <v>3.2309999999999999</v>
      </c>
      <c r="C89" s="7">
        <v>3.1949999999999998</v>
      </c>
      <c r="D89" s="7">
        <v>6.1999999999999798E-2</v>
      </c>
      <c r="E89" s="7">
        <v>1.9789339291413901</v>
      </c>
      <c r="F89" s="7">
        <v>3.2269999999999999</v>
      </c>
      <c r="G89" s="7">
        <v>3.2349999999999999</v>
      </c>
      <c r="H89" s="7">
        <v>291751</v>
      </c>
      <c r="I89" s="8">
        <v>192035</v>
      </c>
      <c r="J89" s="9">
        <f t="shared" si="3"/>
        <v>2.4760136180749016E-3</v>
      </c>
      <c r="K89">
        <f t="shared" si="4"/>
        <v>3.0896854930300077</v>
      </c>
      <c r="L89" s="10">
        <f t="shared" si="5"/>
        <v>5.1053864822186504E-3</v>
      </c>
    </row>
    <row r="90" spans="1:12" ht="15" customHeight="1" x14ac:dyDescent="0.2">
      <c r="A90" s="3">
        <v>45924</v>
      </c>
      <c r="B90" s="4">
        <v>3.15</v>
      </c>
      <c r="C90" s="4">
        <v>3.133</v>
      </c>
      <c r="D90" s="4">
        <v>0.27999999999999903</v>
      </c>
      <c r="E90" s="4">
        <v>9.8142306344199</v>
      </c>
      <c r="F90" s="4">
        <v>3.1429999999999998</v>
      </c>
      <c r="G90" s="4">
        <v>3.1560000000000001</v>
      </c>
      <c r="H90" s="4">
        <v>288962</v>
      </c>
      <c r="I90" s="5">
        <v>116989</v>
      </c>
      <c r="J90" s="9">
        <f t="shared" si="3"/>
        <v>4.1276393078267491E-3</v>
      </c>
      <c r="K90">
        <f t="shared" si="4"/>
        <v>3.0873376958479888</v>
      </c>
      <c r="L90" s="10">
        <f t="shared" si="5"/>
        <v>5.2574685849116507E-3</v>
      </c>
    </row>
    <row r="91" spans="1:12" ht="15" customHeight="1" x14ac:dyDescent="0.2">
      <c r="A91" s="6">
        <v>45923</v>
      </c>
      <c r="B91" s="7">
        <v>2.863</v>
      </c>
      <c r="C91" s="7">
        <v>2.8530000000000002</v>
      </c>
      <c r="D91" s="7">
        <v>4.7000000000000097E-2</v>
      </c>
      <c r="E91" s="7">
        <v>1.67498218104062</v>
      </c>
      <c r="F91" s="7">
        <v>2.863</v>
      </c>
      <c r="G91" s="7">
        <v>2.8639999999999999</v>
      </c>
      <c r="H91" s="7">
        <v>44557</v>
      </c>
      <c r="I91" s="8">
        <v>64912</v>
      </c>
      <c r="J91" s="9">
        <f t="shared" si="3"/>
        <v>3.4922297887197127E-4</v>
      </c>
      <c r="K91">
        <f t="shared" si="4"/>
        <v>2.2461600049172565</v>
      </c>
      <c r="L91" s="10">
        <f t="shared" si="5"/>
        <v>5.3650814212789491E-3</v>
      </c>
    </row>
    <row r="92" spans="1:12" ht="15" customHeight="1" x14ac:dyDescent="0.2">
      <c r="A92" s="3">
        <v>45922</v>
      </c>
      <c r="B92" s="4">
        <v>2.8079999999999998</v>
      </c>
      <c r="C92" s="4">
        <v>2.806</v>
      </c>
      <c r="D92" s="4">
        <v>-8.1999999999999795E-2</v>
      </c>
      <c r="E92" s="4">
        <v>-2.8393351800553899</v>
      </c>
      <c r="F92" s="4">
        <v>2.8</v>
      </c>
      <c r="G92" s="4">
        <v>2.8170000000000002</v>
      </c>
      <c r="H92" s="4">
        <v>65982</v>
      </c>
      <c r="I92" s="5">
        <v>143264</v>
      </c>
      <c r="J92" s="9">
        <f t="shared" si="3"/>
        <v>6.0530532312623635E-3</v>
      </c>
      <c r="K92">
        <f t="shared" si="4"/>
        <v>2.2272663992694688</v>
      </c>
      <c r="L92" s="10">
        <f t="shared" si="5"/>
        <v>5.5696586947099058E-3</v>
      </c>
    </row>
    <row r="93" spans="1:12" ht="15" customHeight="1" x14ac:dyDescent="0.2">
      <c r="A93" s="6">
        <v>45919</v>
      </c>
      <c r="B93" s="7">
        <v>2.9180000000000001</v>
      </c>
      <c r="C93" s="7">
        <v>2.8879999999999999</v>
      </c>
      <c r="D93" s="7">
        <v>-5.1000000000000101E-2</v>
      </c>
      <c r="E93" s="7">
        <v>-1.7352841102415799</v>
      </c>
      <c r="F93" s="7">
        <v>2.9169999999999998</v>
      </c>
      <c r="G93" s="7">
        <v>2.923</v>
      </c>
      <c r="H93" s="7">
        <v>79810</v>
      </c>
      <c r="I93" s="8">
        <v>131150</v>
      </c>
      <c r="J93" s="9">
        <f t="shared" si="3"/>
        <v>2.0547945205480231E-3</v>
      </c>
      <c r="K93">
        <f t="shared" si="4"/>
        <v>2.2027060393129991</v>
      </c>
      <c r="L93" s="10">
        <f t="shared" si="5"/>
        <v>5.5864511098963577E-3</v>
      </c>
    </row>
    <row r="94" spans="1:12" ht="15" customHeight="1" x14ac:dyDescent="0.2">
      <c r="A94" s="3">
        <v>45918</v>
      </c>
      <c r="B94" s="4">
        <v>2.94</v>
      </c>
      <c r="C94" s="4">
        <v>2.9390000000000001</v>
      </c>
      <c r="D94" s="4">
        <v>-0.161</v>
      </c>
      <c r="E94" s="4">
        <v>-5.1935483870967802</v>
      </c>
      <c r="F94" s="4">
        <v>2.9340000000000002</v>
      </c>
      <c r="G94" s="4">
        <v>2.95</v>
      </c>
      <c r="H94" s="4">
        <v>96144</v>
      </c>
      <c r="I94" s="5">
        <v>172039</v>
      </c>
      <c r="J94" s="9">
        <f t="shared" si="3"/>
        <v>5.4384772263766194E-3</v>
      </c>
      <c r="K94">
        <f t="shared" si="4"/>
        <v>2.1632009260550973</v>
      </c>
      <c r="L94" s="10">
        <f t="shared" si="5"/>
        <v>5.7992753201486546E-3</v>
      </c>
    </row>
    <row r="95" spans="1:12" ht="15" customHeight="1" x14ac:dyDescent="0.2">
      <c r="A95" s="6">
        <v>45917</v>
      </c>
      <c r="B95" s="7">
        <v>3.077</v>
      </c>
      <c r="C95" s="7">
        <v>3.1</v>
      </c>
      <c r="D95" s="7">
        <v>-3.0000000000001098E-3</v>
      </c>
      <c r="E95" s="7">
        <v>-9.6680631646794898E-2</v>
      </c>
      <c r="F95" s="7">
        <v>3.0739999999999998</v>
      </c>
      <c r="G95" s="7">
        <v>3.0819999999999999</v>
      </c>
      <c r="H95" s="7">
        <v>110925</v>
      </c>
      <c r="I95" s="8">
        <v>122944</v>
      </c>
      <c r="J95" s="9">
        <f t="shared" si="3"/>
        <v>2.5990903183885665E-3</v>
      </c>
      <c r="K95">
        <f t="shared" si="4"/>
        <v>2.0545528099782291</v>
      </c>
      <c r="L95" s="10">
        <f t="shared" si="5"/>
        <v>5.8336590869423905E-3</v>
      </c>
    </row>
    <row r="96" spans="1:12" ht="15" customHeight="1" x14ac:dyDescent="0.2">
      <c r="A96" s="3">
        <v>45916</v>
      </c>
      <c r="B96" s="4">
        <v>3.117</v>
      </c>
      <c r="C96" s="4">
        <v>3.1030000000000002</v>
      </c>
      <c r="D96" s="4">
        <v>0.06</v>
      </c>
      <c r="E96" s="4">
        <v>1.9717384160368101</v>
      </c>
      <c r="F96" s="4">
        <v>3.1139999999999999</v>
      </c>
      <c r="G96" s="4">
        <v>3.12</v>
      </c>
      <c r="H96" s="4">
        <v>129018</v>
      </c>
      <c r="I96" s="5">
        <v>158367</v>
      </c>
      <c r="J96" s="9">
        <f t="shared" si="3"/>
        <v>1.9249278152070027E-3</v>
      </c>
      <c r="K96">
        <f t="shared" si="4"/>
        <v>2.0705477813942763</v>
      </c>
      <c r="L96" s="10">
        <f t="shared" si="5"/>
        <v>6.0047476653237071E-3</v>
      </c>
    </row>
    <row r="97" spans="1:12" ht="15" customHeight="1" x14ac:dyDescent="0.2">
      <c r="A97" s="6">
        <v>45915</v>
      </c>
      <c r="B97" s="7">
        <v>3.0449999999999999</v>
      </c>
      <c r="C97" s="7">
        <v>3.0430000000000001</v>
      </c>
      <c r="D97" s="7">
        <v>0.10199999999999999</v>
      </c>
      <c r="E97" s="7">
        <v>3.4682080924855501</v>
      </c>
      <c r="F97" s="7">
        <v>3.0339999999999998</v>
      </c>
      <c r="G97" s="7">
        <v>3.05</v>
      </c>
      <c r="H97" s="7">
        <v>146398</v>
      </c>
      <c r="I97" s="8">
        <v>132251</v>
      </c>
      <c r="J97" s="9">
        <f t="shared" si="3"/>
        <v>5.2596975673898797E-3</v>
      </c>
      <c r="K97">
        <f t="shared" si="4"/>
        <v>2.1021416922200897</v>
      </c>
      <c r="L97" s="10">
        <f t="shared" si="5"/>
        <v>6.4014849244286203E-3</v>
      </c>
    </row>
    <row r="98" spans="1:12" ht="15" customHeight="1" x14ac:dyDescent="0.2">
      <c r="A98" s="3">
        <v>45912</v>
      </c>
      <c r="B98" s="4">
        <v>2.9550000000000001</v>
      </c>
      <c r="C98" s="4">
        <v>2.9409999999999998</v>
      </c>
      <c r="D98" s="4">
        <v>6.9999999999996697E-3</v>
      </c>
      <c r="E98" s="4">
        <v>0.23858214042262699</v>
      </c>
      <c r="F98" s="4">
        <v>2.9409999999999998</v>
      </c>
      <c r="G98" s="4">
        <v>2.9689999999999999</v>
      </c>
      <c r="H98" s="4">
        <v>162847</v>
      </c>
      <c r="I98" s="5">
        <v>145886</v>
      </c>
      <c r="J98" s="9">
        <f t="shared" si="3"/>
        <v>9.4754653130287737E-3</v>
      </c>
      <c r="K98">
        <f t="shared" si="4"/>
        <v>1.9777533687628135</v>
      </c>
      <c r="L98" s="10">
        <f t="shared" si="5"/>
        <v>6.4188279727301649E-3</v>
      </c>
    </row>
    <row r="99" spans="1:12" ht="15" customHeight="1" x14ac:dyDescent="0.2">
      <c r="A99" s="6">
        <v>45911</v>
      </c>
      <c r="B99" s="7">
        <v>2.92</v>
      </c>
      <c r="C99" s="7">
        <v>2.9340000000000002</v>
      </c>
      <c r="D99" s="7">
        <v>-9.4999999999999696E-2</v>
      </c>
      <c r="E99" s="7">
        <v>-3.1363486299108501</v>
      </c>
      <c r="F99" s="7">
        <v>2.9180000000000001</v>
      </c>
      <c r="G99" s="7">
        <v>2.9209999999999998</v>
      </c>
      <c r="H99" s="7">
        <v>173304</v>
      </c>
      <c r="I99" s="8">
        <v>180050</v>
      </c>
      <c r="J99" s="9">
        <f t="shared" si="3"/>
        <v>1.0275732145914264E-3</v>
      </c>
      <c r="K99">
        <f t="shared" si="4"/>
        <v>1.9808484862971161</v>
      </c>
      <c r="L99" s="10">
        <f t="shared" si="5"/>
        <v>6.1364772097659507E-3</v>
      </c>
    </row>
    <row r="100" spans="1:12" ht="15" customHeight="1" x14ac:dyDescent="0.2">
      <c r="A100" s="3">
        <v>45910</v>
      </c>
      <c r="B100" s="4">
        <v>3.032</v>
      </c>
      <c r="C100" s="4">
        <v>3.0289999999999999</v>
      </c>
      <c r="D100" s="4">
        <v>-8.7999999999999995E-2</v>
      </c>
      <c r="E100" s="4">
        <v>-2.8232274623035001</v>
      </c>
      <c r="F100" s="4">
        <v>3.0249999999999999</v>
      </c>
      <c r="G100" s="4">
        <v>3.0379999999999998</v>
      </c>
      <c r="H100" s="4">
        <v>189779</v>
      </c>
      <c r="I100" s="5">
        <v>156458</v>
      </c>
      <c r="J100" s="9">
        <f t="shared" si="3"/>
        <v>4.2883061190829297E-3</v>
      </c>
      <c r="K100">
        <f t="shared" si="4"/>
        <v>2.1648867527414137</v>
      </c>
      <c r="L100" s="10">
        <f t="shared" si="5"/>
        <v>6.3781657979608622E-3</v>
      </c>
    </row>
    <row r="101" spans="1:12" ht="15" customHeight="1" x14ac:dyDescent="0.2">
      <c r="A101" s="6">
        <v>45909</v>
      </c>
      <c r="B101" s="7">
        <v>3.1019999999999999</v>
      </c>
      <c r="C101" s="7">
        <v>3.117</v>
      </c>
      <c r="D101" s="7">
        <v>2.70000000000001E-2</v>
      </c>
      <c r="E101" s="7">
        <v>0.87378640776698502</v>
      </c>
      <c r="F101" s="7">
        <v>3.0979999999999999</v>
      </c>
      <c r="G101" s="7">
        <v>3.1240000000000001</v>
      </c>
      <c r="H101" s="7">
        <v>207272</v>
      </c>
      <c r="I101" s="8">
        <v>170372</v>
      </c>
      <c r="J101" s="9">
        <f t="shared" si="3"/>
        <v>8.3574413371906939E-3</v>
      </c>
      <c r="K101">
        <f t="shared" si="4"/>
        <v>2.0812130475529904</v>
      </c>
      <c r="L101" s="10">
        <f t="shared" si="5"/>
        <v>6.2537915034625597E-3</v>
      </c>
    </row>
    <row r="102" spans="1:12" ht="15" customHeight="1" x14ac:dyDescent="0.2">
      <c r="A102" s="3">
        <v>45908</v>
      </c>
      <c r="B102" s="4">
        <v>3.0979999999999999</v>
      </c>
      <c r="C102" s="4">
        <v>3.09</v>
      </c>
      <c r="D102" s="4">
        <v>4.1999999999999801E-2</v>
      </c>
      <c r="E102" s="4">
        <v>1.3779527559055</v>
      </c>
      <c r="F102" s="4">
        <v>3.0910000000000002</v>
      </c>
      <c r="G102" s="4">
        <v>3.1030000000000002</v>
      </c>
      <c r="H102" s="4">
        <v>212908</v>
      </c>
      <c r="I102" s="5">
        <v>189727</v>
      </c>
      <c r="J102" s="9">
        <f t="shared" si="3"/>
        <v>3.8747174685179234E-3</v>
      </c>
      <c r="K102">
        <f t="shared" si="4"/>
        <v>2.157618228269389</v>
      </c>
      <c r="L102" s="10">
        <f t="shared" si="5"/>
        <v>5.9671704810428609E-3</v>
      </c>
    </row>
    <row r="103" spans="1:12" ht="15" customHeight="1" x14ac:dyDescent="0.2">
      <c r="A103" s="6">
        <v>45905</v>
      </c>
      <c r="B103" s="7">
        <v>3.0259999999999998</v>
      </c>
      <c r="C103" s="7">
        <v>3.048</v>
      </c>
      <c r="D103" s="7">
        <v>-2.5999999999999801E-2</v>
      </c>
      <c r="E103" s="7">
        <v>-0.84580351333766102</v>
      </c>
      <c r="F103" s="7">
        <v>3.0179999999999998</v>
      </c>
      <c r="G103" s="7">
        <v>3.0529999999999999</v>
      </c>
      <c r="H103" s="7">
        <v>213109</v>
      </c>
      <c r="I103" s="8">
        <v>123253</v>
      </c>
      <c r="J103" s="9">
        <f t="shared" si="3"/>
        <v>1.1530225662988024E-2</v>
      </c>
      <c r="K103">
        <f t="shared" si="4"/>
        <v>2.1374344370094942</v>
      </c>
      <c r="L103" s="10">
        <f t="shared" si="5"/>
        <v>6.0453645906023978E-3</v>
      </c>
    </row>
    <row r="104" spans="1:12" ht="15" customHeight="1" x14ac:dyDescent="0.2">
      <c r="A104" s="3">
        <v>45904</v>
      </c>
      <c r="B104" s="4">
        <v>3.0779999999999998</v>
      </c>
      <c r="C104" s="4">
        <v>3.0739999999999998</v>
      </c>
      <c r="D104" s="4">
        <v>9.9999999999997799E-3</v>
      </c>
      <c r="E104" s="4">
        <v>0.32637075718013803</v>
      </c>
      <c r="F104" s="4">
        <v>3.0750000000000002</v>
      </c>
      <c r="G104" s="4">
        <v>3.0819999999999999</v>
      </c>
      <c r="H104" s="4">
        <v>219180</v>
      </c>
      <c r="I104" s="5">
        <v>160982</v>
      </c>
      <c r="J104" s="9">
        <f t="shared" si="3"/>
        <v>2.2738346597367788E-3</v>
      </c>
      <c r="K104">
        <f t="shared" si="4"/>
        <v>2.1829407353387378</v>
      </c>
      <c r="L104" s="10">
        <f t="shared" si="5"/>
        <v>5.7893465187385017E-3</v>
      </c>
    </row>
    <row r="105" spans="1:12" ht="15" customHeight="1" x14ac:dyDescent="0.2">
      <c r="A105" s="6">
        <v>45903</v>
      </c>
      <c r="B105" s="7">
        <v>3.0710000000000002</v>
      </c>
      <c r="C105" s="7">
        <v>3.0640000000000001</v>
      </c>
      <c r="D105" s="7">
        <v>5.5000000000000097E-2</v>
      </c>
      <c r="E105" s="7">
        <v>1.8278497839814001</v>
      </c>
      <c r="F105" s="7">
        <v>3.0640000000000001</v>
      </c>
      <c r="G105" s="7">
        <v>3.0779999999999998</v>
      </c>
      <c r="H105" s="7">
        <v>238300</v>
      </c>
      <c r="I105" s="8">
        <v>176364</v>
      </c>
      <c r="J105" s="9">
        <f t="shared" si="3"/>
        <v>4.558775643112925E-3</v>
      </c>
      <c r="K105">
        <f t="shared" si="4"/>
        <v>2.2521220202201757</v>
      </c>
      <c r="L105" s="10">
        <f t="shared" si="5"/>
        <v>5.9026998834724167E-3</v>
      </c>
    </row>
    <row r="106" spans="1:12" ht="15" customHeight="1" x14ac:dyDescent="0.2">
      <c r="A106" s="3">
        <v>45902</v>
      </c>
      <c r="B106" s="4">
        <v>2.99</v>
      </c>
      <c r="C106" s="4">
        <v>3.0089999999999999</v>
      </c>
      <c r="D106" s="4">
        <v>1.2E-2</v>
      </c>
      <c r="E106" s="4">
        <v>0.40040040040039099</v>
      </c>
      <c r="F106" s="4">
        <v>2.9809999999999999</v>
      </c>
      <c r="G106" s="4">
        <v>3.004</v>
      </c>
      <c r="H106" s="4">
        <v>241522</v>
      </c>
      <c r="I106" s="5">
        <v>214173</v>
      </c>
      <c r="J106" s="9">
        <f t="shared" si="3"/>
        <v>7.6858813700919409E-3</v>
      </c>
      <c r="K106">
        <f t="shared" si="4"/>
        <v>2.4807876215381444</v>
      </c>
      <c r="L106" s="10">
        <f t="shared" si="5"/>
        <v>5.9599836766147454E-3</v>
      </c>
    </row>
    <row r="107" spans="1:12" ht="15" customHeight="1" x14ac:dyDescent="0.2">
      <c r="A107" s="6">
        <v>45898</v>
      </c>
      <c r="B107" s="7">
        <v>3.016</v>
      </c>
      <c r="C107" s="7">
        <v>2.9969999999999999</v>
      </c>
      <c r="D107" s="7">
        <v>5.2999999999999901E-2</v>
      </c>
      <c r="E107" s="7">
        <v>1.8002717391304399</v>
      </c>
      <c r="F107" s="7">
        <v>2.992</v>
      </c>
      <c r="G107" s="7">
        <v>3.0249999999999999</v>
      </c>
      <c r="H107" s="7">
        <v>243536</v>
      </c>
      <c r="I107" s="8">
        <v>134594</v>
      </c>
      <c r="J107" s="9">
        <f t="shared" si="3"/>
        <v>1.0968921389396683E-2</v>
      </c>
      <c r="K107">
        <f t="shared" si="4"/>
        <v>2.4820956813260397</v>
      </c>
      <c r="L107" s="10">
        <f t="shared" si="5"/>
        <v>6.2869099862423545E-3</v>
      </c>
    </row>
    <row r="108" spans="1:12" ht="15" customHeight="1" x14ac:dyDescent="0.2">
      <c r="A108" s="3">
        <v>45897</v>
      </c>
      <c r="B108" s="4">
        <v>2.9870000000000001</v>
      </c>
      <c r="C108" s="4">
        <v>2.944</v>
      </c>
      <c r="D108" s="4">
        <v>5.7999999999999802E-2</v>
      </c>
      <c r="E108" s="4">
        <v>2.009702009702</v>
      </c>
      <c r="F108" s="4">
        <v>2.9649999999999999</v>
      </c>
      <c r="G108" s="4">
        <v>2.992</v>
      </c>
      <c r="H108" s="4">
        <v>246868</v>
      </c>
      <c r="I108" s="5">
        <v>176427</v>
      </c>
      <c r="J108" s="9">
        <f t="shared" si="3"/>
        <v>9.0649655867047624E-3</v>
      </c>
      <c r="K108">
        <f t="shared" si="4"/>
        <v>2.4904131887407841</v>
      </c>
      <c r="L108" s="10">
        <f t="shared" si="5"/>
        <v>5.9948094742036228E-3</v>
      </c>
    </row>
    <row r="109" spans="1:12" ht="15" customHeight="1" x14ac:dyDescent="0.2">
      <c r="A109" s="6">
        <v>45896</v>
      </c>
      <c r="B109" s="7">
        <v>2.8780000000000001</v>
      </c>
      <c r="C109" s="7">
        <v>2.8860000000000001</v>
      </c>
      <c r="D109" s="7">
        <v>9.6000000000000002E-2</v>
      </c>
      <c r="E109" s="7">
        <v>3.4408602150537599</v>
      </c>
      <c r="F109" s="7">
        <v>2.871</v>
      </c>
      <c r="G109" s="7">
        <v>2.8820000000000001</v>
      </c>
      <c r="H109" s="7">
        <v>251155</v>
      </c>
      <c r="I109" s="8">
        <v>152776</v>
      </c>
      <c r="J109" s="9">
        <f t="shared" si="3"/>
        <v>3.8240917782027188E-3</v>
      </c>
      <c r="K109">
        <f t="shared" si="4"/>
        <v>2.51958550840952</v>
      </c>
      <c r="L109" s="10">
        <f t="shared" si="5"/>
        <v>5.9568855378731005E-3</v>
      </c>
    </row>
    <row r="110" spans="1:12" ht="15" customHeight="1" x14ac:dyDescent="0.2">
      <c r="A110" s="3">
        <v>45895</v>
      </c>
      <c r="B110" s="4">
        <v>2.8250000000000002</v>
      </c>
      <c r="C110" s="4">
        <v>2.79</v>
      </c>
      <c r="D110" s="4">
        <v>-1.6999999999999901E-2</v>
      </c>
      <c r="E110" s="4">
        <v>-0.60562878517990104</v>
      </c>
      <c r="F110" s="4">
        <v>2.8140000000000001</v>
      </c>
      <c r="G110" s="4">
        <v>2.83</v>
      </c>
      <c r="H110" s="4">
        <v>256142</v>
      </c>
      <c r="I110" s="5">
        <v>150103</v>
      </c>
      <c r="J110" s="9">
        <f t="shared" si="3"/>
        <v>5.669737774627928E-3</v>
      </c>
      <c r="K110">
        <f t="shared" si="4"/>
        <v>2.4546760675978483</v>
      </c>
      <c r="L110" s="10">
        <f t="shared" si="5"/>
        <v>6.0006470248135726E-3</v>
      </c>
    </row>
    <row r="111" spans="1:12" ht="15" customHeight="1" x14ac:dyDescent="0.2">
      <c r="A111" s="6">
        <v>45894</v>
      </c>
      <c r="B111" s="7">
        <v>2.8220000000000001</v>
      </c>
      <c r="C111" s="7">
        <v>2.8069999999999999</v>
      </c>
      <c r="D111" s="7">
        <v>7.0000000000001103E-3</v>
      </c>
      <c r="E111" s="7">
        <v>0.249999999999994</v>
      </c>
      <c r="F111" s="7">
        <v>2.8090000000000002</v>
      </c>
      <c r="G111" s="7">
        <v>2.827</v>
      </c>
      <c r="H111" s="7">
        <v>251894</v>
      </c>
      <c r="I111" s="8">
        <v>130437.999999999</v>
      </c>
      <c r="J111" s="9">
        <f t="shared" si="3"/>
        <v>6.387508871540026E-3</v>
      </c>
      <c r="K111">
        <f t="shared" si="4"/>
        <v>2.5143658895712075</v>
      </c>
      <c r="L111" s="10">
        <f t="shared" si="5"/>
        <v>5.9455053598400339E-3</v>
      </c>
    </row>
    <row r="112" spans="1:12" ht="15" customHeight="1" x14ac:dyDescent="0.2">
      <c r="A112" s="3">
        <v>45891</v>
      </c>
      <c r="B112" s="4">
        <v>2.8010000000000002</v>
      </c>
      <c r="C112" s="4">
        <v>2.8</v>
      </c>
      <c r="D112" s="4">
        <v>-2.60000000000002E-2</v>
      </c>
      <c r="E112" s="4">
        <v>-0.92002830856334705</v>
      </c>
      <c r="F112" s="4">
        <v>2.7919999999999998</v>
      </c>
      <c r="G112" s="4">
        <v>2.8050000000000002</v>
      </c>
      <c r="H112" s="4">
        <v>242730</v>
      </c>
      <c r="I112" s="5">
        <v>126225</v>
      </c>
      <c r="J112" s="9">
        <f t="shared" si="3"/>
        <v>4.6453457209220464E-3</v>
      </c>
      <c r="K112">
        <f t="shared" si="4"/>
        <v>2.5160012532416474</v>
      </c>
      <c r="L112" s="10">
        <f t="shared" si="5"/>
        <v>6.0791104631275055E-3</v>
      </c>
    </row>
    <row r="113" spans="1:12" ht="15" customHeight="1" x14ac:dyDescent="0.2">
      <c r="A113" s="6">
        <v>45890</v>
      </c>
      <c r="B113" s="7">
        <v>2.8069999999999999</v>
      </c>
      <c r="C113" s="7">
        <v>2.8260000000000001</v>
      </c>
      <c r="D113" s="7">
        <v>7.4000000000000205E-2</v>
      </c>
      <c r="E113" s="7">
        <v>2.6889534883720998</v>
      </c>
      <c r="F113" s="7">
        <v>2.8010000000000002</v>
      </c>
      <c r="G113" s="7">
        <v>2.819</v>
      </c>
      <c r="H113" s="7">
        <v>58260</v>
      </c>
      <c r="I113" s="8">
        <v>107653</v>
      </c>
      <c r="J113" s="9">
        <f t="shared" si="3"/>
        <v>6.4056939501778622E-3</v>
      </c>
      <c r="K113">
        <f t="shared" si="4"/>
        <v>2.5329183941021842</v>
      </c>
      <c r="L113" s="10">
        <f t="shared" si="5"/>
        <v>6.3260152970470735E-3</v>
      </c>
    </row>
    <row r="114" spans="1:12" ht="15" customHeight="1" x14ac:dyDescent="0.2">
      <c r="A114" s="3">
        <v>45889</v>
      </c>
      <c r="B114" s="4">
        <v>2.7629999999999999</v>
      </c>
      <c r="C114" s="4">
        <v>2.7519999999999998</v>
      </c>
      <c r="D114" s="4">
        <v>-1.40000000000002E-2</v>
      </c>
      <c r="E114" s="4">
        <v>-0.506146059291401</v>
      </c>
      <c r="F114" s="4">
        <v>2.75</v>
      </c>
      <c r="G114" s="4">
        <v>2.7679999999999998</v>
      </c>
      <c r="H114" s="4">
        <v>74390</v>
      </c>
      <c r="I114" s="5">
        <v>112859</v>
      </c>
      <c r="J114" s="9">
        <f t="shared" si="3"/>
        <v>6.5241029358462464E-3</v>
      </c>
      <c r="K114">
        <f t="shared" si="4"/>
        <v>2.6218282193495228</v>
      </c>
      <c r="L114" s="10">
        <f t="shared" si="5"/>
        <v>6.5096960182564178E-3</v>
      </c>
    </row>
    <row r="115" spans="1:12" ht="15" customHeight="1" x14ac:dyDescent="0.2">
      <c r="A115" s="6">
        <v>45888</v>
      </c>
      <c r="B115" s="7">
        <v>2.7589999999999999</v>
      </c>
      <c r="C115" s="7">
        <v>2.766</v>
      </c>
      <c r="D115" s="7">
        <v>-0.124</v>
      </c>
      <c r="E115" s="7">
        <v>-4.2906574394463597</v>
      </c>
      <c r="F115" s="7">
        <v>2.7509999999999999</v>
      </c>
      <c r="G115" s="7">
        <v>2.7679999999999998</v>
      </c>
      <c r="H115" s="7">
        <v>83998</v>
      </c>
      <c r="I115" s="8">
        <v>165357</v>
      </c>
      <c r="J115" s="9">
        <f t="shared" si="3"/>
        <v>6.1605363290450823E-3</v>
      </c>
      <c r="K115">
        <f t="shared" si="4"/>
        <v>2.6346540611267937</v>
      </c>
      <c r="L115" s="10">
        <f t="shared" si="5"/>
        <v>6.880643221953823E-3</v>
      </c>
    </row>
    <row r="116" spans="1:12" ht="15" customHeight="1" x14ac:dyDescent="0.2">
      <c r="A116" s="3">
        <v>45887</v>
      </c>
      <c r="B116" s="4">
        <v>2.9060000000000001</v>
      </c>
      <c r="C116" s="4">
        <v>2.89</v>
      </c>
      <c r="D116" s="4">
        <v>-2.5999999999999801E-2</v>
      </c>
      <c r="E116" s="4">
        <v>-0.89163237311384802</v>
      </c>
      <c r="F116" s="4">
        <v>2.8980000000000001</v>
      </c>
      <c r="G116" s="4">
        <v>2.9159999999999999</v>
      </c>
      <c r="H116" s="4">
        <v>105192</v>
      </c>
      <c r="I116" s="5">
        <v>122482</v>
      </c>
      <c r="J116" s="9">
        <f t="shared" si="3"/>
        <v>6.1919504643962141E-3</v>
      </c>
      <c r="K116">
        <f t="shared" si="4"/>
        <v>2.8405211698745347</v>
      </c>
      <c r="L116" s="10">
        <f t="shared" si="5"/>
        <v>7.1848343939584025E-3</v>
      </c>
    </row>
    <row r="117" spans="1:12" ht="15" customHeight="1" x14ac:dyDescent="0.2">
      <c r="A117" s="6">
        <v>45884</v>
      </c>
      <c r="B117" s="7">
        <v>2.923</v>
      </c>
      <c r="C117" s="7">
        <v>2.9159999999999999</v>
      </c>
      <c r="D117" s="7">
        <v>7.4999999999999706E-2</v>
      </c>
      <c r="E117" s="7">
        <v>2.63991552270326</v>
      </c>
      <c r="F117" s="7">
        <v>2.91</v>
      </c>
      <c r="G117" s="7">
        <v>2.94</v>
      </c>
      <c r="H117" s="7">
        <v>125054</v>
      </c>
      <c r="I117" s="8">
        <v>118833</v>
      </c>
      <c r="J117" s="9">
        <f t="shared" si="3"/>
        <v>1.025641025641019E-2</v>
      </c>
      <c r="K117">
        <f t="shared" si="4"/>
        <v>2.8623442785939517</v>
      </c>
      <c r="L117" s="10">
        <f t="shared" si="5"/>
        <v>8.2856530223610284E-3</v>
      </c>
    </row>
    <row r="118" spans="1:12" ht="15" customHeight="1" x14ac:dyDescent="0.2">
      <c r="A118" s="3">
        <v>45883</v>
      </c>
      <c r="B118" s="4">
        <v>2.847</v>
      </c>
      <c r="C118" s="4">
        <v>2.8410000000000002</v>
      </c>
      <c r="D118" s="4">
        <v>1.30000000000003E-2</v>
      </c>
      <c r="E118" s="4">
        <v>0.45968882602547201</v>
      </c>
      <c r="F118" s="4">
        <v>2.8370000000000002</v>
      </c>
      <c r="G118" s="4">
        <v>2.8530000000000002</v>
      </c>
      <c r="H118" s="4">
        <v>148608</v>
      </c>
      <c r="I118" s="5">
        <v>132298</v>
      </c>
      <c r="J118" s="9">
        <f t="shared" si="3"/>
        <v>5.6239015817223246E-3</v>
      </c>
      <c r="K118">
        <f t="shared" si="4"/>
        <v>2.7498564207465086</v>
      </c>
      <c r="L118" s="10">
        <f t="shared" si="5"/>
        <v>8.5986951306345569E-3</v>
      </c>
    </row>
    <row r="119" spans="1:12" ht="15" customHeight="1" x14ac:dyDescent="0.2">
      <c r="A119" s="6">
        <v>45882</v>
      </c>
      <c r="B119" s="7">
        <v>2.819</v>
      </c>
      <c r="C119" s="7">
        <v>2.8279999999999998</v>
      </c>
      <c r="D119" s="7">
        <v>0.02</v>
      </c>
      <c r="E119" s="7">
        <v>0.71225071225071701</v>
      </c>
      <c r="F119" s="7">
        <v>2.8149999999999999</v>
      </c>
      <c r="G119" s="7">
        <v>2.8250000000000002</v>
      </c>
      <c r="H119" s="7">
        <v>179213</v>
      </c>
      <c r="I119" s="8">
        <v>148585</v>
      </c>
      <c r="J119" s="9">
        <f t="shared" si="3"/>
        <v>3.5460992907802233E-3</v>
      </c>
      <c r="K119">
        <f t="shared" si="4"/>
        <v>2.7589090035541268</v>
      </c>
      <c r="L119" s="10">
        <f t="shared" si="5"/>
        <v>8.7282676031652934E-3</v>
      </c>
    </row>
    <row r="120" spans="1:12" ht="15" customHeight="1" x14ac:dyDescent="0.2">
      <c r="A120" s="3">
        <v>45881</v>
      </c>
      <c r="B120" s="4">
        <v>2.782</v>
      </c>
      <c r="C120" s="4">
        <v>2.8079999999999998</v>
      </c>
      <c r="D120" s="4">
        <v>-0.14599999999999999</v>
      </c>
      <c r="E120" s="4">
        <v>-4.9424509140149002</v>
      </c>
      <c r="F120" s="4">
        <v>2.7770000000000001</v>
      </c>
      <c r="G120" s="4">
        <v>2.794</v>
      </c>
      <c r="H120" s="4">
        <v>193903</v>
      </c>
      <c r="I120" s="5">
        <v>188147</v>
      </c>
      <c r="J120" s="9">
        <f t="shared" si="3"/>
        <v>6.1030335666845828E-3</v>
      </c>
      <c r="K120">
        <f t="shared" si="4"/>
        <v>2.7951684974102986</v>
      </c>
      <c r="L120" s="10">
        <f t="shared" si="5"/>
        <v>9.0678417562060493E-3</v>
      </c>
    </row>
    <row r="121" spans="1:12" ht="15" customHeight="1" x14ac:dyDescent="0.2">
      <c r="A121" s="6">
        <v>45880</v>
      </c>
      <c r="B121" s="7">
        <v>2.984</v>
      </c>
      <c r="C121" s="7">
        <v>2.9540000000000002</v>
      </c>
      <c r="D121" s="7">
        <v>-3.5999999999999997E-2</v>
      </c>
      <c r="E121" s="7">
        <v>-1.2040133779264199</v>
      </c>
      <c r="F121" s="7">
        <v>2.98</v>
      </c>
      <c r="G121" s="7">
        <v>2.9849999999999999</v>
      </c>
      <c r="H121" s="7">
        <v>222127</v>
      </c>
      <c r="I121" s="8">
        <v>127741</v>
      </c>
      <c r="J121" s="9">
        <f t="shared" si="3"/>
        <v>1.6764459346185728E-3</v>
      </c>
      <c r="K121">
        <f t="shared" si="4"/>
        <v>2.8835661895683229</v>
      </c>
      <c r="L121" s="10">
        <f t="shared" si="5"/>
        <v>9.7301465914008175E-3</v>
      </c>
    </row>
    <row r="122" spans="1:12" ht="15" customHeight="1" x14ac:dyDescent="0.2">
      <c r="A122" s="3">
        <v>45877</v>
      </c>
      <c r="B122" s="4">
        <v>2.996</v>
      </c>
      <c r="C122" s="4">
        <v>2.99</v>
      </c>
      <c r="D122" s="4">
        <v>-7.6999999999999902E-2</v>
      </c>
      <c r="E122" s="4">
        <v>-2.51059667427453</v>
      </c>
      <c r="F122" s="4">
        <v>2.99</v>
      </c>
      <c r="G122" s="4">
        <v>2.9969999999999999</v>
      </c>
      <c r="H122" s="4">
        <v>241509</v>
      </c>
      <c r="I122" s="5">
        <v>135419</v>
      </c>
      <c r="J122" s="9">
        <f t="shared" si="3"/>
        <v>2.3383998663770414E-3</v>
      </c>
      <c r="K122">
        <f t="shared" si="4"/>
        <v>2.8798901289636287</v>
      </c>
      <c r="L122" s="10">
        <f t="shared" si="5"/>
        <v>1.0389677052415966E-2</v>
      </c>
    </row>
    <row r="123" spans="1:12" ht="15" customHeight="1" x14ac:dyDescent="0.2">
      <c r="A123" s="6">
        <v>45876</v>
      </c>
      <c r="B123" s="7">
        <v>3.0819999999999999</v>
      </c>
      <c r="C123" s="7">
        <v>3.0670000000000002</v>
      </c>
      <c r="D123" s="7">
        <v>-9.9999999999997799E-3</v>
      </c>
      <c r="E123" s="7">
        <v>-0.32499187520311701</v>
      </c>
      <c r="F123" s="7">
        <v>3.073</v>
      </c>
      <c r="G123" s="7">
        <v>3.09</v>
      </c>
      <c r="H123" s="7">
        <v>269780</v>
      </c>
      <c r="I123" s="8">
        <v>144031</v>
      </c>
      <c r="J123" s="9">
        <f t="shared" si="3"/>
        <v>5.516793769268182E-3</v>
      </c>
      <c r="K123">
        <f t="shared" si="4"/>
        <v>2.9720528952529977</v>
      </c>
      <c r="L123" s="10">
        <f t="shared" si="5"/>
        <v>1.2077408136883265E-2</v>
      </c>
    </row>
    <row r="124" spans="1:12" ht="15" customHeight="1" x14ac:dyDescent="0.2">
      <c r="A124" s="3">
        <v>45875</v>
      </c>
      <c r="B124" s="4">
        <v>3.093</v>
      </c>
      <c r="C124" s="4">
        <v>3.077</v>
      </c>
      <c r="D124" s="4">
        <v>6.7000000000000101E-2</v>
      </c>
      <c r="E124" s="4">
        <v>2.2259136212624502</v>
      </c>
      <c r="F124" s="4">
        <v>3.0779999999999998</v>
      </c>
      <c r="G124" s="4">
        <v>3.097</v>
      </c>
      <c r="H124" s="4">
        <v>279062</v>
      </c>
      <c r="I124" s="5">
        <v>124557</v>
      </c>
      <c r="J124" s="9">
        <f t="shared" si="3"/>
        <v>6.1538461538461955E-3</v>
      </c>
      <c r="K124">
        <f t="shared" si="4"/>
        <v>3.0580473577000613</v>
      </c>
      <c r="L124" s="10">
        <f t="shared" si="5"/>
        <v>1.3250159428882928E-2</v>
      </c>
    </row>
    <row r="125" spans="1:12" ht="15" customHeight="1" x14ac:dyDescent="0.2">
      <c r="A125" s="6">
        <v>45874</v>
      </c>
      <c r="B125" s="7">
        <v>3.012</v>
      </c>
      <c r="C125" s="7">
        <v>3.01</v>
      </c>
      <c r="D125" s="7">
        <v>7.7999999999999806E-2</v>
      </c>
      <c r="E125" s="7">
        <v>2.66030013642564</v>
      </c>
      <c r="F125" s="7">
        <v>3.0009999999999999</v>
      </c>
      <c r="G125" s="7">
        <v>3.0150000000000001</v>
      </c>
      <c r="H125" s="7">
        <v>288880</v>
      </c>
      <c r="I125" s="8">
        <v>121907</v>
      </c>
      <c r="J125" s="9">
        <f t="shared" si="3"/>
        <v>4.654255319149014E-3</v>
      </c>
      <c r="K125">
        <f t="shared" si="4"/>
        <v>3.0144586842719745</v>
      </c>
      <c r="L125" s="10">
        <f t="shared" si="5"/>
        <v>1.4510215621961838E-2</v>
      </c>
    </row>
    <row r="126" spans="1:12" ht="15" customHeight="1" x14ac:dyDescent="0.2">
      <c r="A126" s="3">
        <v>45873</v>
      </c>
      <c r="B126" s="4">
        <v>2.952</v>
      </c>
      <c r="C126" s="4">
        <v>2.9319999999999999</v>
      </c>
      <c r="D126" s="4">
        <v>-0.151</v>
      </c>
      <c r="E126" s="4">
        <v>-4.8978267920856302</v>
      </c>
      <c r="F126" s="4">
        <v>2.9420000000000002</v>
      </c>
      <c r="G126" s="4">
        <v>2.9590000000000001</v>
      </c>
      <c r="H126" s="4">
        <v>280716</v>
      </c>
      <c r="I126" s="5">
        <v>152031</v>
      </c>
      <c r="J126" s="9">
        <f t="shared" si="3"/>
        <v>5.761735299101815E-3</v>
      </c>
      <c r="K126">
        <f t="shared" si="4"/>
        <v>2.9278199775859846</v>
      </c>
      <c r="L126" s="10">
        <f t="shared" si="5"/>
        <v>1.4649334777038428E-2</v>
      </c>
    </row>
    <row r="127" spans="1:12" ht="15" customHeight="1" x14ac:dyDescent="0.2">
      <c r="A127" s="6">
        <v>45870</v>
      </c>
      <c r="B127" s="7">
        <v>3.0950000000000002</v>
      </c>
      <c r="C127" s="7">
        <v>3.0830000000000002</v>
      </c>
      <c r="D127" s="7">
        <v>-2.2999999999999601E-2</v>
      </c>
      <c r="E127" s="7">
        <v>-0.740502253702501</v>
      </c>
      <c r="F127" s="7">
        <v>3.07</v>
      </c>
      <c r="G127" s="7">
        <v>3.1150000000000002</v>
      </c>
      <c r="H127" s="7">
        <v>282353</v>
      </c>
      <c r="I127" s="8">
        <v>95904</v>
      </c>
      <c r="J127" s="9">
        <f t="shared" si="3"/>
        <v>1.4551333872271744E-2</v>
      </c>
      <c r="K127">
        <f t="shared" si="4"/>
        <v>2.7929217560414275</v>
      </c>
      <c r="L127" s="10">
        <f t="shared" si="5"/>
        <v>1.4750521938652825E-2</v>
      </c>
    </row>
    <row r="128" spans="1:12" ht="15" customHeight="1" x14ac:dyDescent="0.2">
      <c r="A128" s="3">
        <v>45869</v>
      </c>
      <c r="B128" s="4">
        <v>3.1</v>
      </c>
      <c r="C128" s="4">
        <v>3.1059999999999999</v>
      </c>
      <c r="D128" s="4">
        <v>6.0999999999999902E-2</v>
      </c>
      <c r="E128" s="4">
        <v>2.0032840722495799</v>
      </c>
      <c r="F128" s="4">
        <v>3.0950000000000002</v>
      </c>
      <c r="G128" s="4">
        <v>3.11</v>
      </c>
      <c r="H128" s="4">
        <v>279590</v>
      </c>
      <c r="I128" s="5">
        <v>160069</v>
      </c>
      <c r="J128" s="9">
        <f t="shared" si="3"/>
        <v>4.8348106365832975E-3</v>
      </c>
      <c r="K128">
        <f t="shared" si="4"/>
        <v>2.8474275100615398</v>
      </c>
      <c r="L128" s="10">
        <f t="shared" si="5"/>
        <v>1.5276865655227571E-2</v>
      </c>
    </row>
    <row r="129" spans="1:12" ht="15" customHeight="1" x14ac:dyDescent="0.2">
      <c r="A129" s="6">
        <v>45868</v>
      </c>
      <c r="B129" s="7">
        <v>3.016</v>
      </c>
      <c r="C129" s="7">
        <v>3.0449999999999999</v>
      </c>
      <c r="D129" s="7">
        <v>-9.6999999999999906E-2</v>
      </c>
      <c r="E129" s="7">
        <v>-3.0872056015276801</v>
      </c>
      <c r="F129" s="7">
        <v>3.0110000000000001</v>
      </c>
      <c r="G129" s="7">
        <v>3.036</v>
      </c>
      <c r="H129" s="7">
        <v>277187</v>
      </c>
      <c r="I129" s="8">
        <v>119288</v>
      </c>
      <c r="J129" s="9">
        <f t="shared" si="3"/>
        <v>8.268562923763819E-3</v>
      </c>
      <c r="K129">
        <f t="shared" si="4"/>
        <v>2.7964846886668919</v>
      </c>
      <c r="L129" s="10">
        <f t="shared" si="5"/>
        <v>1.5668205001619081E-2</v>
      </c>
    </row>
    <row r="130" spans="1:12" ht="15" customHeight="1" x14ac:dyDescent="0.2">
      <c r="A130" s="3">
        <v>45867</v>
      </c>
      <c r="B130" s="4">
        <v>3.165</v>
      </c>
      <c r="C130" s="4">
        <v>3.1419999999999999</v>
      </c>
      <c r="D130" s="4">
        <v>7.5999999999999998E-2</v>
      </c>
      <c r="E130" s="4">
        <v>2.47879973907372</v>
      </c>
      <c r="F130" s="4">
        <v>3.1549999999999998</v>
      </c>
      <c r="G130" s="4">
        <v>3.17</v>
      </c>
      <c r="H130" s="4">
        <v>280228</v>
      </c>
      <c r="I130" s="5">
        <v>111158</v>
      </c>
      <c r="J130" s="9">
        <f t="shared" si="3"/>
        <v>4.7430830039526094E-3</v>
      </c>
      <c r="K130">
        <f t="shared" si="4"/>
        <v>3.088522025933734</v>
      </c>
      <c r="L130" s="10">
        <f t="shared" si="5"/>
        <v>1.5823228503719693E-2</v>
      </c>
    </row>
    <row r="131" spans="1:12" ht="15" customHeight="1" x14ac:dyDescent="0.2">
      <c r="A131" s="6">
        <v>45866</v>
      </c>
      <c r="B131" s="7">
        <v>3.101</v>
      </c>
      <c r="C131" s="7">
        <v>3.0659999999999998</v>
      </c>
      <c r="D131" s="7">
        <v>-9.1999999999999998E-2</v>
      </c>
      <c r="E131" s="7">
        <v>-2.91323622545915</v>
      </c>
      <c r="F131" s="7">
        <v>3.0960000000000001</v>
      </c>
      <c r="G131" s="7">
        <v>3.11</v>
      </c>
      <c r="H131" s="7">
        <v>272454</v>
      </c>
      <c r="I131" s="8">
        <v>144830</v>
      </c>
      <c r="J131" s="9">
        <f t="shared" si="3"/>
        <v>4.5117628101836258E-3</v>
      </c>
      <c r="K131">
        <f t="shared" si="4"/>
        <v>4.6138151625178176</v>
      </c>
      <c r="L131" s="10">
        <f t="shared" si="5"/>
        <v>1.6579203441675804E-2</v>
      </c>
    </row>
    <row r="132" spans="1:12" ht="15" customHeight="1" x14ac:dyDescent="0.2">
      <c r="A132" s="3">
        <v>45863</v>
      </c>
      <c r="B132" s="4">
        <v>3.1509999999999998</v>
      </c>
      <c r="C132" s="4">
        <v>3.1579999999999999</v>
      </c>
      <c r="D132" s="4">
        <v>1.10000000000001E-2</v>
      </c>
      <c r="E132" s="4">
        <v>0.34953924372418399</v>
      </c>
      <c r="F132" s="4">
        <v>3.14</v>
      </c>
      <c r="G132" s="4">
        <v>3.169</v>
      </c>
      <c r="H132" s="4">
        <v>269176</v>
      </c>
      <c r="I132" s="5">
        <v>95612</v>
      </c>
      <c r="J132" s="9">
        <f t="shared" si="3"/>
        <v>9.1932160405769261E-3</v>
      </c>
      <c r="K132">
        <f t="shared" si="4"/>
        <v>4.6624587129553969</v>
      </c>
      <c r="L132" s="10">
        <f t="shared" si="5"/>
        <v>1.6979535315554413E-2</v>
      </c>
    </row>
    <row r="133" spans="1:12" ht="15" customHeight="1" x14ac:dyDescent="0.2">
      <c r="A133" s="6">
        <v>45862</v>
      </c>
      <c r="B133" s="7">
        <v>3.1640000000000001</v>
      </c>
      <c r="C133" s="7">
        <v>3.1469999999999998</v>
      </c>
      <c r="D133" s="7">
        <v>2.7999999999999501E-2</v>
      </c>
      <c r="E133" s="7">
        <v>0.89772362936837402</v>
      </c>
      <c r="F133" s="7">
        <v>3.1379999999999999</v>
      </c>
      <c r="G133" s="7">
        <v>3.169</v>
      </c>
      <c r="H133" s="7">
        <v>262744</v>
      </c>
      <c r="I133" s="8">
        <v>127622</v>
      </c>
      <c r="J133" s="9">
        <f t="shared" ref="J133:J196" si="6">(G133-F133)/AVERAGE(F133:G133)</f>
        <v>9.8303472332329587E-3</v>
      </c>
      <c r="K133">
        <f t="shared" ref="K133:K196" si="7">_xlfn.STDEV.S(E133:E153)</f>
        <v>4.7195223289182637</v>
      </c>
      <c r="L133" s="10">
        <f t="shared" ref="L133:L196" si="8">AVERAGE(J133:J153)</f>
        <v>1.6682190866050873E-2</v>
      </c>
    </row>
    <row r="134" spans="1:12" ht="15" customHeight="1" x14ac:dyDescent="0.2">
      <c r="A134" s="3">
        <v>45861</v>
      </c>
      <c r="B134" s="4">
        <v>3.109</v>
      </c>
      <c r="C134" s="4">
        <v>3.1190000000000002</v>
      </c>
      <c r="D134" s="4">
        <v>-0.16799999999999901</v>
      </c>
      <c r="E134" s="4">
        <v>-5.11104350471554</v>
      </c>
      <c r="F134" s="4">
        <v>3.1019999999999999</v>
      </c>
      <c r="G134" s="4">
        <v>3.1339999999999999</v>
      </c>
      <c r="H134" s="4">
        <v>240241</v>
      </c>
      <c r="I134" s="5">
        <v>164667</v>
      </c>
      <c r="J134" s="9">
        <f t="shared" si="6"/>
        <v>1.0262989095574096E-2</v>
      </c>
      <c r="K134">
        <f t="shared" si="7"/>
        <v>4.7830864883344324</v>
      </c>
      <c r="L134" s="10">
        <f t="shared" si="8"/>
        <v>1.6361444270648312E-2</v>
      </c>
    </row>
    <row r="135" spans="1:12" ht="15" customHeight="1" x14ac:dyDescent="0.2">
      <c r="A135" s="6">
        <v>45860</v>
      </c>
      <c r="B135" s="7">
        <v>3.29</v>
      </c>
      <c r="C135" s="7">
        <v>3.2869999999999999</v>
      </c>
      <c r="D135" s="7">
        <v>-6.8999999999999895E-2</v>
      </c>
      <c r="E135" s="7">
        <v>-2.0560190703218102</v>
      </c>
      <c r="F135" s="7">
        <v>3.26</v>
      </c>
      <c r="G135" s="7">
        <v>3.3069999999999999</v>
      </c>
      <c r="H135" s="7">
        <v>228207</v>
      </c>
      <c r="I135" s="8">
        <v>110114</v>
      </c>
      <c r="J135" s="9">
        <f t="shared" si="6"/>
        <v>1.4313994213491747E-2</v>
      </c>
      <c r="K135">
        <f t="shared" si="7"/>
        <v>4.7334125303122514</v>
      </c>
      <c r="L135" s="10">
        <f t="shared" si="8"/>
        <v>1.637472884373635E-2</v>
      </c>
    </row>
    <row r="136" spans="1:12" ht="15" customHeight="1" x14ac:dyDescent="0.2">
      <c r="A136" s="3">
        <v>45859</v>
      </c>
      <c r="B136" s="4">
        <v>3.347</v>
      </c>
      <c r="C136" s="4">
        <v>3.3559999999999999</v>
      </c>
      <c r="D136" s="4">
        <v>-0.24299999999999999</v>
      </c>
      <c r="E136" s="4">
        <v>-6.7518755209780501</v>
      </c>
      <c r="F136" s="4">
        <v>3.3260000000000001</v>
      </c>
      <c r="G136" s="4">
        <v>3.3679999999999999</v>
      </c>
      <c r="H136" s="4">
        <v>229802</v>
      </c>
      <c r="I136" s="5">
        <v>127472</v>
      </c>
      <c r="J136" s="9">
        <f t="shared" si="6"/>
        <v>1.2548550941141266E-2</v>
      </c>
      <c r="K136">
        <f t="shared" si="7"/>
        <v>4.7670988859658161</v>
      </c>
      <c r="L136" s="10">
        <f t="shared" si="8"/>
        <v>1.602392553177448E-2</v>
      </c>
    </row>
    <row r="137" spans="1:12" ht="15" customHeight="1" x14ac:dyDescent="0.2">
      <c r="A137" s="6">
        <v>45856</v>
      </c>
      <c r="B137" s="7">
        <v>3.5990000000000002</v>
      </c>
      <c r="C137" s="7">
        <v>3.5990000000000002</v>
      </c>
      <c r="D137" s="7">
        <v>2.20000000000002E-2</v>
      </c>
      <c r="E137" s="7">
        <v>0.61504053676266701</v>
      </c>
      <c r="F137" s="7">
        <v>3.53</v>
      </c>
      <c r="G137" s="7">
        <v>3.6349999999999998</v>
      </c>
      <c r="H137" s="7">
        <v>227095</v>
      </c>
      <c r="I137" s="8">
        <v>80859</v>
      </c>
      <c r="J137" s="9">
        <f t="shared" si="6"/>
        <v>2.930914166085136E-2</v>
      </c>
      <c r="K137">
        <f t="shared" si="7"/>
        <v>4.6446791190443433</v>
      </c>
      <c r="L137" s="10">
        <f t="shared" si="8"/>
        <v>1.5677600207470728E-2</v>
      </c>
    </row>
    <row r="138" spans="1:12" ht="15" customHeight="1" x14ac:dyDescent="0.2">
      <c r="A138" s="3">
        <v>45855</v>
      </c>
      <c r="B138" s="4">
        <v>3.5459999999999998</v>
      </c>
      <c r="C138" s="4">
        <v>3.577</v>
      </c>
      <c r="D138" s="4">
        <v>-8.0000000000000002E-3</v>
      </c>
      <c r="E138" s="4">
        <v>-0.22315202231519801</v>
      </c>
      <c r="F138" s="4">
        <v>3.5350000000000001</v>
      </c>
      <c r="G138" s="4">
        <v>3.5950000000000002</v>
      </c>
      <c r="H138" s="4">
        <v>226196</v>
      </c>
      <c r="I138" s="5">
        <v>68886</v>
      </c>
      <c r="J138" s="9">
        <f t="shared" si="6"/>
        <v>1.6830294530154291E-2</v>
      </c>
      <c r="K138">
        <f t="shared" si="7"/>
        <v>4.6870612627259165</v>
      </c>
      <c r="L138" s="10">
        <f t="shared" si="8"/>
        <v>1.4540826471424647E-2</v>
      </c>
    </row>
    <row r="139" spans="1:12" ht="15" customHeight="1" x14ac:dyDescent="0.2">
      <c r="A139" s="6">
        <v>45854</v>
      </c>
      <c r="B139" s="7">
        <v>3.5880000000000001</v>
      </c>
      <c r="C139" s="7">
        <v>3.585</v>
      </c>
      <c r="D139" s="7">
        <v>2.70000000000001E-2</v>
      </c>
      <c r="E139" s="7">
        <v>0.75885328836424704</v>
      </c>
      <c r="F139" s="7">
        <v>3.58</v>
      </c>
      <c r="G139" s="7">
        <v>3.61</v>
      </c>
      <c r="H139" s="7">
        <v>223611</v>
      </c>
      <c r="I139" s="8">
        <v>73675</v>
      </c>
      <c r="J139" s="9">
        <f t="shared" si="6"/>
        <v>8.3449235048678183E-3</v>
      </c>
      <c r="K139">
        <f t="shared" si="7"/>
        <v>4.8016767193470127</v>
      </c>
      <c r="L139" s="10">
        <f t="shared" si="8"/>
        <v>1.385389861852389E-2</v>
      </c>
    </row>
    <row r="140" spans="1:12" ht="15" customHeight="1" x14ac:dyDescent="0.2">
      <c r="A140" s="3">
        <v>45853</v>
      </c>
      <c r="B140" s="4">
        <v>3.544</v>
      </c>
      <c r="C140" s="4">
        <v>3.5579999999999998</v>
      </c>
      <c r="D140" s="4">
        <v>5.6999999999999898E-2</v>
      </c>
      <c r="E140" s="4">
        <v>1.62810625535561</v>
      </c>
      <c r="F140" s="4">
        <v>3.54</v>
      </c>
      <c r="G140" s="4">
        <v>3.5779999999999998</v>
      </c>
      <c r="H140" s="4">
        <v>218098</v>
      </c>
      <c r="I140" s="5">
        <v>82655</v>
      </c>
      <c r="J140" s="9">
        <f t="shared" si="6"/>
        <v>1.067715650463608E-2</v>
      </c>
      <c r="K140">
        <f t="shared" si="7"/>
        <v>4.8295557034737273</v>
      </c>
      <c r="L140" s="10">
        <f t="shared" si="8"/>
        <v>1.3985621837868809E-2</v>
      </c>
    </row>
    <row r="141" spans="1:12" ht="15" customHeight="1" x14ac:dyDescent="0.2">
      <c r="A141" s="6">
        <v>45852</v>
      </c>
      <c r="B141" s="7">
        <v>3.4889999999999999</v>
      </c>
      <c r="C141" s="7">
        <v>3.5009999999999999</v>
      </c>
      <c r="D141" s="7">
        <v>0.14899999999999999</v>
      </c>
      <c r="E141" s="7">
        <v>4.4451073985680196</v>
      </c>
      <c r="F141" s="7">
        <v>3.4630000000000001</v>
      </c>
      <c r="G141" s="7">
        <v>3.5329999999999999</v>
      </c>
      <c r="H141" s="7">
        <v>214529</v>
      </c>
      <c r="I141" s="8">
        <v>81910</v>
      </c>
      <c r="J141" s="9">
        <f t="shared" si="6"/>
        <v>2.0011435105774682E-2</v>
      </c>
      <c r="K141">
        <f t="shared" si="7"/>
        <v>4.8199055098151948</v>
      </c>
      <c r="L141" s="10">
        <f t="shared" si="8"/>
        <v>1.3706091174936727E-2</v>
      </c>
    </row>
    <row r="142" spans="1:12" ht="15" customHeight="1" x14ac:dyDescent="0.2">
      <c r="A142" s="3">
        <v>45849</v>
      </c>
      <c r="B142" s="4">
        <v>3.39</v>
      </c>
      <c r="C142" s="4">
        <v>3.3519999999999999</v>
      </c>
      <c r="D142" s="4">
        <v>-1.40000000000002E-2</v>
      </c>
      <c r="E142" s="4">
        <v>-0.41592394533571603</v>
      </c>
      <c r="F142" s="4">
        <v>3.387</v>
      </c>
      <c r="G142" s="4">
        <v>3.44</v>
      </c>
      <c r="H142" s="4">
        <v>212734</v>
      </c>
      <c r="I142" s="5">
        <v>68866</v>
      </c>
      <c r="J142" s="9">
        <f t="shared" si="6"/>
        <v>1.5526585615936703E-2</v>
      </c>
      <c r="K142">
        <f t="shared" si="7"/>
        <v>4.7177996052558564</v>
      </c>
      <c r="L142" s="10">
        <f t="shared" si="8"/>
        <v>1.2942721186079757E-2</v>
      </c>
    </row>
    <row r="143" spans="1:12" ht="15" customHeight="1" x14ac:dyDescent="0.2">
      <c r="A143" s="6">
        <v>45848</v>
      </c>
      <c r="B143" s="7">
        <v>3.391</v>
      </c>
      <c r="C143" s="7">
        <v>3.3660000000000001</v>
      </c>
      <c r="D143" s="7">
        <v>0.115</v>
      </c>
      <c r="E143" s="7">
        <v>3.5373731159643098</v>
      </c>
      <c r="F143" s="7">
        <v>3.298</v>
      </c>
      <c r="G143" s="7">
        <v>3.4249999999999998</v>
      </c>
      <c r="H143" s="7">
        <v>206256</v>
      </c>
      <c r="I143" s="8">
        <v>79361</v>
      </c>
      <c r="J143" s="9">
        <f t="shared" si="6"/>
        <v>3.7780752640190325E-2</v>
      </c>
      <c r="K143">
        <f t="shared" si="7"/>
        <v>4.7532729248227845</v>
      </c>
      <c r="L143" s="10">
        <f t="shared" si="8"/>
        <v>1.2379200789749351E-2</v>
      </c>
    </row>
    <row r="144" spans="1:12" ht="15" customHeight="1" x14ac:dyDescent="0.2">
      <c r="A144" s="3">
        <v>45847</v>
      </c>
      <c r="B144" s="4">
        <v>3.242</v>
      </c>
      <c r="C144" s="4">
        <v>3.2509999999999999</v>
      </c>
      <c r="D144" s="4">
        <v>-0.11899999999999999</v>
      </c>
      <c r="E144" s="4">
        <v>-3.5311572700296798</v>
      </c>
      <c r="F144" s="4">
        <v>3.202</v>
      </c>
      <c r="G144" s="4">
        <v>3.3</v>
      </c>
      <c r="H144" s="4">
        <v>194285</v>
      </c>
      <c r="I144" s="5">
        <v>113317</v>
      </c>
      <c r="J144" s="9">
        <f t="shared" si="6"/>
        <v>3.014457090126111E-2</v>
      </c>
      <c r="K144">
        <f t="shared" si="7"/>
        <v>4.7343574319755337</v>
      </c>
      <c r="L144" s="10">
        <f t="shared" si="8"/>
        <v>1.0910575676418196E-2</v>
      </c>
    </row>
    <row r="145" spans="1:12" ht="15" customHeight="1" x14ac:dyDescent="0.2">
      <c r="A145" s="6">
        <v>45846</v>
      </c>
      <c r="B145" s="7">
        <v>3.379</v>
      </c>
      <c r="C145" s="7">
        <v>3.37</v>
      </c>
      <c r="D145" s="7">
        <v>-6.5999999999999795E-2</v>
      </c>
      <c r="E145" s="7">
        <v>-1.9208381839348001</v>
      </c>
      <c r="F145" s="7">
        <v>3.3780000000000001</v>
      </c>
      <c r="G145" s="7">
        <v>3.49</v>
      </c>
      <c r="H145" s="7">
        <v>187141</v>
      </c>
      <c r="I145" s="8">
        <v>68154</v>
      </c>
      <c r="J145" s="9">
        <f t="shared" si="6"/>
        <v>3.2615026208503234E-2</v>
      </c>
      <c r="K145">
        <f t="shared" si="7"/>
        <v>4.7448381906105439</v>
      </c>
      <c r="L145" s="10">
        <f t="shared" si="8"/>
        <v>9.776188713434766E-3</v>
      </c>
    </row>
    <row r="146" spans="1:12" ht="15" customHeight="1" x14ac:dyDescent="0.2">
      <c r="A146" s="3">
        <v>45845</v>
      </c>
      <c r="B146" s="4">
        <v>3.4390000000000001</v>
      </c>
      <c r="C146" s="4">
        <v>3.4359999999999999</v>
      </c>
      <c r="D146" s="4">
        <v>4.9999999999998899E-3</v>
      </c>
      <c r="E146" s="4">
        <v>0.14573010784026899</v>
      </c>
      <c r="F146" s="4">
        <v>3.419</v>
      </c>
      <c r="G146" s="4">
        <v>3.4449999999999998</v>
      </c>
      <c r="H146" s="4">
        <v>183073</v>
      </c>
      <c r="I146" s="5">
        <v>66000</v>
      </c>
      <c r="J146" s="9">
        <f t="shared" si="6"/>
        <v>7.5757575757575179E-3</v>
      </c>
      <c r="K146">
        <f t="shared" si="7"/>
        <v>4.7338582614948486</v>
      </c>
      <c r="L146" s="10">
        <f t="shared" si="8"/>
        <v>8.4574123085465244E-3</v>
      </c>
    </row>
    <row r="147" spans="1:12" ht="15" customHeight="1" x14ac:dyDescent="0.2">
      <c r="A147" s="6">
        <v>45841</v>
      </c>
      <c r="B147" s="7">
        <v>3.43</v>
      </c>
      <c r="C147" s="7">
        <v>3.431</v>
      </c>
      <c r="D147" s="7">
        <v>-0.08</v>
      </c>
      <c r="E147" s="7">
        <v>-2.27855311876958</v>
      </c>
      <c r="F147" s="7">
        <v>3.41</v>
      </c>
      <c r="G147" s="7">
        <v>3.4369999999999998</v>
      </c>
      <c r="H147" s="7">
        <v>182042</v>
      </c>
      <c r="I147" s="8">
        <v>59045</v>
      </c>
      <c r="J147" s="9">
        <f t="shared" si="6"/>
        <v>7.8866656930041464E-3</v>
      </c>
      <c r="K147">
        <f t="shared" si="7"/>
        <v>4.7329843304355901</v>
      </c>
      <c r="L147" s="10">
        <f t="shared" si="8"/>
        <v>8.225188392112082E-3</v>
      </c>
    </row>
    <row r="148" spans="1:12" ht="15" customHeight="1" x14ac:dyDescent="0.2">
      <c r="A148" s="3">
        <v>45840</v>
      </c>
      <c r="B148" s="4">
        <v>3.5249999999999999</v>
      </c>
      <c r="C148" s="4">
        <v>3.5110000000000001</v>
      </c>
      <c r="D148" s="4">
        <v>6.8000000000000005E-2</v>
      </c>
      <c r="E148" s="4">
        <v>1.97502178332849</v>
      </c>
      <c r="F148" s="4">
        <v>3.47</v>
      </c>
      <c r="G148" s="4">
        <v>3.56</v>
      </c>
      <c r="H148" s="4">
        <v>180827</v>
      </c>
      <c r="I148" s="5">
        <v>46539</v>
      </c>
      <c r="J148" s="9">
        <f t="shared" si="6"/>
        <v>2.5604551920341351E-2</v>
      </c>
      <c r="K148">
        <f t="shared" si="7"/>
        <v>4.7153729265285733</v>
      </c>
      <c r="L148" s="10">
        <f t="shared" si="8"/>
        <v>7.9646393041132545E-3</v>
      </c>
    </row>
    <row r="149" spans="1:12" ht="15" customHeight="1" x14ac:dyDescent="0.2">
      <c r="A149" s="6">
        <v>45839</v>
      </c>
      <c r="B149" s="7">
        <v>3.44</v>
      </c>
      <c r="C149" s="7">
        <v>3.4430000000000001</v>
      </c>
      <c r="D149" s="7">
        <v>-4.7000000000000097E-2</v>
      </c>
      <c r="E149" s="7">
        <v>-1.3467048710601699</v>
      </c>
      <c r="F149" s="7">
        <v>3.4249999999999998</v>
      </c>
      <c r="G149" s="7">
        <v>3.47</v>
      </c>
      <c r="H149" s="7">
        <v>176424</v>
      </c>
      <c r="I149" s="8">
        <v>83899</v>
      </c>
      <c r="J149" s="9">
        <f t="shared" si="6"/>
        <v>1.305293691080504E-2</v>
      </c>
      <c r="K149">
        <f t="shared" si="7"/>
        <v>4.9614062640240588</v>
      </c>
      <c r="L149" s="10">
        <f t="shared" si="8"/>
        <v>6.8343468563104347E-3</v>
      </c>
    </row>
    <row r="150" spans="1:12" ht="15" customHeight="1" x14ac:dyDescent="0.2">
      <c r="A150" s="3">
        <v>45838</v>
      </c>
      <c r="B150" s="4">
        <v>3.4870000000000001</v>
      </c>
      <c r="C150" s="4">
        <v>3.49</v>
      </c>
      <c r="D150" s="4">
        <v>-0.26399999999999901</v>
      </c>
      <c r="E150" s="4">
        <v>-7.0324986680873698</v>
      </c>
      <c r="F150" s="4">
        <v>3.4510000000000001</v>
      </c>
      <c r="G150" s="4">
        <v>3.4910000000000001</v>
      </c>
      <c r="H150" s="4">
        <v>174195</v>
      </c>
      <c r="I150" s="5">
        <v>104060</v>
      </c>
      <c r="J150" s="9">
        <f t="shared" si="6"/>
        <v>1.1524056467876702E-2</v>
      </c>
      <c r="K150">
        <f t="shared" si="7"/>
        <v>4.9757948590020806</v>
      </c>
      <c r="L150" s="10">
        <f t="shared" si="8"/>
        <v>6.9288543360322124E-3</v>
      </c>
    </row>
    <row r="151" spans="1:12" ht="15" customHeight="1" x14ac:dyDescent="0.2">
      <c r="A151" s="6">
        <v>45835</v>
      </c>
      <c r="B151" s="7">
        <v>3.7549999999999999</v>
      </c>
      <c r="C151" s="7">
        <v>3.754</v>
      </c>
      <c r="D151" s="7">
        <v>0.49299999999999899</v>
      </c>
      <c r="E151" s="7">
        <v>15.118061944188799</v>
      </c>
      <c r="F151" s="7">
        <v>3.6960000000000002</v>
      </c>
      <c r="G151" s="7">
        <v>3.7730000000000001</v>
      </c>
      <c r="H151" s="7">
        <v>176547</v>
      </c>
      <c r="I151" s="8">
        <v>68991</v>
      </c>
      <c r="J151" s="9">
        <f t="shared" si="6"/>
        <v>2.0618556701030917E-2</v>
      </c>
      <c r="K151">
        <f t="shared" si="7"/>
        <v>4.7121923275156758</v>
      </c>
      <c r="L151" s="10">
        <f t="shared" si="8"/>
        <v>6.6762783336777876E-3</v>
      </c>
    </row>
    <row r="152" spans="1:12" ht="15" customHeight="1" x14ac:dyDescent="0.2">
      <c r="A152" s="3">
        <v>45834</v>
      </c>
      <c r="B152" s="4">
        <v>3.3069999999999999</v>
      </c>
      <c r="C152" s="4">
        <v>3.2610000000000001</v>
      </c>
      <c r="D152" s="4">
        <v>-0.14499999999999999</v>
      </c>
      <c r="E152" s="4">
        <v>-4.2571931884909002</v>
      </c>
      <c r="F152" s="4">
        <v>3.3069999999999999</v>
      </c>
      <c r="G152" s="4">
        <v>3.35</v>
      </c>
      <c r="H152" s="4">
        <v>3584</v>
      </c>
      <c r="I152" s="5">
        <v>5310</v>
      </c>
      <c r="J152" s="9">
        <f t="shared" si="6"/>
        <v>1.2918732161634415E-2</v>
      </c>
      <c r="K152">
        <f t="shared" si="7"/>
        <v>3.4323517264058299</v>
      </c>
      <c r="L152" s="10">
        <f t="shared" si="8"/>
        <v>5.9234771876977756E-3</v>
      </c>
    </row>
    <row r="153" spans="1:12" ht="15" customHeight="1" x14ac:dyDescent="0.2">
      <c r="A153" s="6">
        <v>45833</v>
      </c>
      <c r="B153" s="7">
        <v>3.3929999999999998</v>
      </c>
      <c r="C153" s="7">
        <v>3.4060000000000001</v>
      </c>
      <c r="D153" s="7">
        <v>-0.13099999999999901</v>
      </c>
      <c r="E153" s="7">
        <v>-3.70370370370369</v>
      </c>
      <c r="F153" s="7">
        <v>3.3860000000000001</v>
      </c>
      <c r="G153" s="7">
        <v>3.3959999999999999</v>
      </c>
      <c r="H153" s="7">
        <v>14705</v>
      </c>
      <c r="I153" s="8">
        <v>59600</v>
      </c>
      <c r="J153" s="9">
        <f t="shared" si="6"/>
        <v>2.9489826010025912E-3</v>
      </c>
      <c r="K153">
        <f t="shared" si="7"/>
        <v>3.3346216453850079</v>
      </c>
      <c r="L153" s="10">
        <f t="shared" si="8"/>
        <v>5.4604775140317157E-3</v>
      </c>
    </row>
    <row r="154" spans="1:12" ht="15" customHeight="1" x14ac:dyDescent="0.2">
      <c r="A154" s="3">
        <v>45832</v>
      </c>
      <c r="B154" s="4">
        <v>3.55</v>
      </c>
      <c r="C154" s="4">
        <v>3.5369999999999999</v>
      </c>
      <c r="D154" s="4">
        <v>-0.161</v>
      </c>
      <c r="E154" s="4">
        <v>-4.35370470524607</v>
      </c>
      <c r="F154" s="4">
        <v>3.5489999999999999</v>
      </c>
      <c r="G154" s="4">
        <v>3.56</v>
      </c>
      <c r="H154" s="4">
        <v>21500</v>
      </c>
      <c r="I154" s="5">
        <v>66695</v>
      </c>
      <c r="J154" s="9">
        <f t="shared" si="6"/>
        <v>3.0946687297791872E-3</v>
      </c>
      <c r="K154">
        <f t="shared" si="7"/>
        <v>3.2941813708813914</v>
      </c>
      <c r="L154" s="10">
        <f t="shared" si="8"/>
        <v>5.7701960686735347E-3</v>
      </c>
    </row>
    <row r="155" spans="1:12" ht="15" customHeight="1" x14ac:dyDescent="0.2">
      <c r="A155" s="6">
        <v>45831</v>
      </c>
      <c r="B155" s="7">
        <v>3.68</v>
      </c>
      <c r="C155" s="7">
        <v>3.698</v>
      </c>
      <c r="D155" s="7">
        <v>-0.14899999999999999</v>
      </c>
      <c r="E155" s="7">
        <v>-3.8731479074603601</v>
      </c>
      <c r="F155" s="7">
        <v>3.68</v>
      </c>
      <c r="G155" s="7">
        <v>3.7189999999999999</v>
      </c>
      <c r="H155" s="7">
        <v>36201</v>
      </c>
      <c r="I155" s="8">
        <v>94495</v>
      </c>
      <c r="J155" s="9">
        <f t="shared" si="6"/>
        <v>1.0541965130422949E-2</v>
      </c>
      <c r="K155">
        <f t="shared" si="7"/>
        <v>3.2023645981794187</v>
      </c>
      <c r="L155" s="10">
        <f t="shared" si="8"/>
        <v>6.0110296488289743E-3</v>
      </c>
    </row>
    <row r="156" spans="1:12" ht="15" customHeight="1" x14ac:dyDescent="0.2">
      <c r="A156" s="3">
        <v>45828</v>
      </c>
      <c r="B156" s="4">
        <v>3.8959999999999999</v>
      </c>
      <c r="C156" s="4">
        <v>3.847</v>
      </c>
      <c r="D156" s="4">
        <v>-0.14199999999999899</v>
      </c>
      <c r="E156" s="4">
        <v>-3.5597894209074799</v>
      </c>
      <c r="F156" s="4">
        <v>3.8730000000000002</v>
      </c>
      <c r="G156" s="4">
        <v>3.9</v>
      </c>
      <c r="H156" s="4">
        <v>62255</v>
      </c>
      <c r="I156" s="5">
        <v>178542</v>
      </c>
      <c r="J156" s="9">
        <f t="shared" si="6"/>
        <v>6.9471246622924716E-3</v>
      </c>
      <c r="K156">
        <f t="shared" si="7"/>
        <v>3.0845904463525002</v>
      </c>
      <c r="L156" s="10">
        <f t="shared" si="8"/>
        <v>6.7081179624300736E-3</v>
      </c>
    </row>
    <row r="157" spans="1:12" ht="15" customHeight="1" x14ac:dyDescent="0.2">
      <c r="A157" s="6">
        <v>45826</v>
      </c>
      <c r="B157" s="7">
        <v>3.976</v>
      </c>
      <c r="C157" s="7">
        <v>3.9889999999999999</v>
      </c>
      <c r="D157" s="7">
        <v>0.13799999999999901</v>
      </c>
      <c r="E157" s="7">
        <v>3.5834848091404798</v>
      </c>
      <c r="F157" s="7">
        <v>3.97</v>
      </c>
      <c r="G157" s="7">
        <v>3.9910000000000001</v>
      </c>
      <c r="H157" s="7">
        <v>81181</v>
      </c>
      <c r="I157" s="8">
        <v>165783</v>
      </c>
      <c r="J157" s="9">
        <f t="shared" si="6"/>
        <v>5.2757191307624433E-3</v>
      </c>
      <c r="K157">
        <f t="shared" si="7"/>
        <v>3.5323363111333776</v>
      </c>
      <c r="L157" s="10">
        <f t="shared" si="8"/>
        <v>6.9123479811866095E-3</v>
      </c>
    </row>
    <row r="158" spans="1:12" ht="15" customHeight="1" x14ac:dyDescent="0.2">
      <c r="A158" s="3">
        <v>45825</v>
      </c>
      <c r="B158" s="4">
        <v>3.8679999999999999</v>
      </c>
      <c r="C158" s="4">
        <v>3.851</v>
      </c>
      <c r="D158" s="4">
        <v>0.102999999999999</v>
      </c>
      <c r="E158" s="4">
        <v>2.7481323372465298</v>
      </c>
      <c r="F158" s="4">
        <v>3.8519999999999999</v>
      </c>
      <c r="G158" s="4">
        <v>3.8730000000000002</v>
      </c>
      <c r="H158" s="4">
        <v>99014</v>
      </c>
      <c r="I158" s="5">
        <v>152780</v>
      </c>
      <c r="J158" s="9">
        <f t="shared" si="6"/>
        <v>5.4368932038835862E-3</v>
      </c>
      <c r="K158">
        <f t="shared" si="7"/>
        <v>3.8028224003745286</v>
      </c>
      <c r="L158" s="10">
        <f t="shared" si="8"/>
        <v>7.897981640389632E-3</v>
      </c>
    </row>
    <row r="159" spans="1:12" ht="15" customHeight="1" x14ac:dyDescent="0.2">
      <c r="A159" s="6">
        <v>45824</v>
      </c>
      <c r="B159" s="7">
        <v>3.742</v>
      </c>
      <c r="C159" s="7">
        <v>3.7480000000000002</v>
      </c>
      <c r="D159" s="7">
        <v>0.16700000000000001</v>
      </c>
      <c r="E159" s="7">
        <v>4.6635018151354402</v>
      </c>
      <c r="F159" s="7">
        <v>3.738</v>
      </c>
      <c r="G159" s="7">
        <v>3.7469999999999999</v>
      </c>
      <c r="H159" s="7">
        <v>113090</v>
      </c>
      <c r="I159" s="8">
        <v>160996</v>
      </c>
      <c r="J159" s="9">
        <f t="shared" si="6"/>
        <v>2.4048096192384495E-3</v>
      </c>
      <c r="K159">
        <f t="shared" si="7"/>
        <v>3.7643842255324516</v>
      </c>
      <c r="L159" s="10">
        <f t="shared" si="8"/>
        <v>8.3983101249448591E-3</v>
      </c>
    </row>
    <row r="160" spans="1:12" ht="15" customHeight="1" x14ac:dyDescent="0.2">
      <c r="A160" s="3">
        <v>45821</v>
      </c>
      <c r="B160" s="4">
        <v>3.609</v>
      </c>
      <c r="C160" s="4">
        <v>3.581</v>
      </c>
      <c r="D160" s="4">
        <v>8.8999999999999899E-2</v>
      </c>
      <c r="E160" s="4">
        <v>2.5486827033218602</v>
      </c>
      <c r="F160" s="4">
        <v>3.58</v>
      </c>
      <c r="G160" s="4">
        <v>3.62</v>
      </c>
      <c r="H160" s="4">
        <v>123181</v>
      </c>
      <c r="I160" s="5">
        <v>125121</v>
      </c>
      <c r="J160" s="9">
        <f t="shared" si="6"/>
        <v>1.111111111111112E-2</v>
      </c>
      <c r="K160">
        <f t="shared" si="7"/>
        <v>3.6643821454626027</v>
      </c>
      <c r="L160" s="10">
        <f t="shared" si="8"/>
        <v>8.8959309692043485E-3</v>
      </c>
    </row>
    <row r="161" spans="1:12" ht="15" customHeight="1" x14ac:dyDescent="0.2">
      <c r="A161" s="6">
        <v>45820</v>
      </c>
      <c r="B161" s="7">
        <v>3.5369999999999999</v>
      </c>
      <c r="C161" s="7">
        <v>3.492</v>
      </c>
      <c r="D161" s="7">
        <v>-1.50000000000001E-2</v>
      </c>
      <c r="E161" s="7">
        <v>-0.42771599657826997</v>
      </c>
      <c r="F161" s="7">
        <v>3.528</v>
      </c>
      <c r="G161" s="7">
        <v>3.5449999999999999</v>
      </c>
      <c r="H161" s="7">
        <v>148359</v>
      </c>
      <c r="I161" s="8">
        <v>184899</v>
      </c>
      <c r="J161" s="9">
        <f t="shared" si="6"/>
        <v>4.8070125830623226E-3</v>
      </c>
      <c r="K161">
        <f t="shared" si="7"/>
        <v>3.6857815393324747</v>
      </c>
      <c r="L161" s="10">
        <f t="shared" si="8"/>
        <v>8.8435226976179941E-3</v>
      </c>
    </row>
    <row r="162" spans="1:12" ht="15" customHeight="1" x14ac:dyDescent="0.2">
      <c r="A162" s="3">
        <v>45819</v>
      </c>
      <c r="B162" s="4">
        <v>3.5209999999999999</v>
      </c>
      <c r="C162" s="4">
        <v>3.5070000000000001</v>
      </c>
      <c r="D162" s="4">
        <v>-2.5999999999999801E-2</v>
      </c>
      <c r="E162" s="4">
        <v>-0.73591848287574102</v>
      </c>
      <c r="F162" s="4">
        <v>3.51</v>
      </c>
      <c r="G162" s="4">
        <v>3.524</v>
      </c>
      <c r="H162" s="4">
        <v>169517</v>
      </c>
      <c r="I162" s="5">
        <v>187053</v>
      </c>
      <c r="J162" s="9">
        <f t="shared" si="6"/>
        <v>3.9806653397782867E-3</v>
      </c>
      <c r="K162">
        <f t="shared" si="7"/>
        <v>3.68788787704149</v>
      </c>
      <c r="L162" s="10">
        <f t="shared" si="8"/>
        <v>9.0368254851370539E-3</v>
      </c>
    </row>
    <row r="163" spans="1:12" ht="15" customHeight="1" x14ac:dyDescent="0.2">
      <c r="A163" s="6">
        <v>45818</v>
      </c>
      <c r="B163" s="7">
        <v>3.524</v>
      </c>
      <c r="C163" s="7">
        <v>3.5329999999999999</v>
      </c>
      <c r="D163" s="7">
        <v>-0.10199999999999899</v>
      </c>
      <c r="E163" s="7">
        <v>-2.8060522696010999</v>
      </c>
      <c r="F163" s="7">
        <v>3.5139999999999998</v>
      </c>
      <c r="G163" s="7">
        <v>3.5270000000000001</v>
      </c>
      <c r="H163" s="7">
        <v>189045</v>
      </c>
      <c r="I163" s="8">
        <v>156721</v>
      </c>
      <c r="J163" s="9">
        <f t="shared" si="6"/>
        <v>3.6926572929982513E-3</v>
      </c>
      <c r="K163">
        <f t="shared" si="7"/>
        <v>3.7240483508896345</v>
      </c>
      <c r="L163" s="10">
        <f t="shared" si="8"/>
        <v>9.0730935057485411E-3</v>
      </c>
    </row>
    <row r="164" spans="1:12" ht="15" customHeight="1" x14ac:dyDescent="0.2">
      <c r="A164" s="3">
        <v>45817</v>
      </c>
      <c r="B164" s="4">
        <v>3.6110000000000002</v>
      </c>
      <c r="C164" s="4">
        <v>3.6349999999999998</v>
      </c>
      <c r="D164" s="4">
        <v>-0.14899999999999999</v>
      </c>
      <c r="E164" s="4">
        <v>-3.9376321353065502</v>
      </c>
      <c r="F164" s="4">
        <v>3.59</v>
      </c>
      <c r="G164" s="4">
        <v>3.6150000000000002</v>
      </c>
      <c r="H164" s="4">
        <v>210371</v>
      </c>
      <c r="I164" s="5">
        <v>189746</v>
      </c>
      <c r="J164" s="9">
        <f t="shared" si="6"/>
        <v>6.9396252602360459E-3</v>
      </c>
      <c r="K164">
        <f t="shared" si="7"/>
        <v>3.8289963310280402</v>
      </c>
      <c r="L164" s="10">
        <f t="shared" si="8"/>
        <v>9.9607778591857578E-3</v>
      </c>
    </row>
    <row r="165" spans="1:12" ht="15" customHeight="1" x14ac:dyDescent="0.2">
      <c r="A165" s="6">
        <v>45814</v>
      </c>
      <c r="B165" s="7">
        <v>3.7850000000000001</v>
      </c>
      <c r="C165" s="7">
        <v>3.7839999999999998</v>
      </c>
      <c r="D165" s="7">
        <v>0.106999999999999</v>
      </c>
      <c r="E165" s="7">
        <v>2.9099809627413502</v>
      </c>
      <c r="F165" s="7">
        <v>3.7839999999999998</v>
      </c>
      <c r="G165" s="7">
        <v>3.8079999999999998</v>
      </c>
      <c r="H165" s="7">
        <v>226560</v>
      </c>
      <c r="I165" s="8">
        <v>157226</v>
      </c>
      <c r="J165" s="9">
        <f t="shared" si="6"/>
        <v>6.3224446786090682E-3</v>
      </c>
      <c r="K165">
        <f t="shared" si="7"/>
        <v>3.7378141788386769</v>
      </c>
      <c r="L165" s="10">
        <f t="shared" si="8"/>
        <v>1.1004238160454328E-2</v>
      </c>
    </row>
    <row r="166" spans="1:12" ht="15" customHeight="1" x14ac:dyDescent="0.2">
      <c r="A166" s="3">
        <v>45813</v>
      </c>
      <c r="B166" s="4">
        <v>3.66</v>
      </c>
      <c r="C166" s="4">
        <v>3.677</v>
      </c>
      <c r="D166" s="4">
        <v>-3.9000000000000097E-2</v>
      </c>
      <c r="E166" s="4">
        <v>-1.0495156081808299</v>
      </c>
      <c r="F166" s="4">
        <v>3.649</v>
      </c>
      <c r="G166" s="4">
        <v>3.6669999999999998</v>
      </c>
      <c r="H166" s="4">
        <v>227126</v>
      </c>
      <c r="I166" s="5">
        <v>200235</v>
      </c>
      <c r="J166" s="9">
        <f t="shared" si="6"/>
        <v>4.9207217058501347E-3</v>
      </c>
      <c r="K166">
        <f t="shared" si="7"/>
        <v>3.7595148333376849</v>
      </c>
      <c r="L166" s="10">
        <f t="shared" si="8"/>
        <v>1.1356313529666031E-2</v>
      </c>
    </row>
    <row r="167" spans="1:12" ht="15" customHeight="1" x14ac:dyDescent="0.2">
      <c r="A167" s="6">
        <v>45812</v>
      </c>
      <c r="B167" s="7">
        <v>3.7069999999999999</v>
      </c>
      <c r="C167" s="7">
        <v>3.7160000000000002</v>
      </c>
      <c r="D167" s="7">
        <v>-5.9999999999997798E-3</v>
      </c>
      <c r="E167" s="7">
        <v>-0.161203653949482</v>
      </c>
      <c r="F167" s="7">
        <v>3.7</v>
      </c>
      <c r="G167" s="7">
        <v>3.71</v>
      </c>
      <c r="H167" s="7">
        <v>230137</v>
      </c>
      <c r="I167" s="8">
        <v>117792</v>
      </c>
      <c r="J167" s="9">
        <f t="shared" si="6"/>
        <v>2.6990553306342202E-3</v>
      </c>
      <c r="K167">
        <f t="shared" si="7"/>
        <v>3.7654499769937519</v>
      </c>
      <c r="L167" s="10">
        <f t="shared" si="8"/>
        <v>1.1726718946253741E-2</v>
      </c>
    </row>
    <row r="168" spans="1:12" ht="15" customHeight="1" x14ac:dyDescent="0.2">
      <c r="A168" s="3">
        <v>45811</v>
      </c>
      <c r="B168" s="4">
        <v>3.722</v>
      </c>
      <c r="C168" s="4">
        <v>3.722</v>
      </c>
      <c r="D168" s="4">
        <v>2.8000000000000001E-2</v>
      </c>
      <c r="E168" s="4">
        <v>0.75798592311857504</v>
      </c>
      <c r="F168" s="4">
        <v>3.722</v>
      </c>
      <c r="G168" s="4">
        <v>3.7309999999999999</v>
      </c>
      <c r="H168" s="4">
        <v>232283</v>
      </c>
      <c r="I168" s="5">
        <v>131350</v>
      </c>
      <c r="J168" s="9">
        <f t="shared" si="6"/>
        <v>2.4151348450288201E-3</v>
      </c>
      <c r="K168">
        <f t="shared" si="7"/>
        <v>3.7863408898041917</v>
      </c>
      <c r="L168" s="10">
        <f t="shared" si="8"/>
        <v>1.4145688958764937E-2</v>
      </c>
    </row>
    <row r="169" spans="1:12" ht="15" customHeight="1" x14ac:dyDescent="0.2">
      <c r="A169" s="6">
        <v>45810</v>
      </c>
      <c r="B169" s="7">
        <v>3.7440000000000002</v>
      </c>
      <c r="C169" s="7">
        <v>3.694</v>
      </c>
      <c r="D169" s="7">
        <v>0.246999999999999</v>
      </c>
      <c r="E169" s="7">
        <v>7.1656512909776504</v>
      </c>
      <c r="F169" s="7">
        <v>3.7429999999999999</v>
      </c>
      <c r="G169" s="7">
        <v>3.75</v>
      </c>
      <c r="H169" s="7">
        <v>241844</v>
      </c>
      <c r="I169" s="8">
        <v>182222</v>
      </c>
      <c r="J169" s="9">
        <f t="shared" si="6"/>
        <v>1.8684105164820811E-3</v>
      </c>
      <c r="K169">
        <f t="shared" si="7"/>
        <v>3.8941676008216466</v>
      </c>
      <c r="L169" s="10">
        <f t="shared" si="8"/>
        <v>1.5221008434375436E-2</v>
      </c>
    </row>
    <row r="170" spans="1:12" ht="15" customHeight="1" x14ac:dyDescent="0.2">
      <c r="A170" s="3">
        <v>45807</v>
      </c>
      <c r="B170" s="4">
        <v>3.4620000000000002</v>
      </c>
      <c r="C170" s="4">
        <v>3.4470000000000001</v>
      </c>
      <c r="D170" s="4">
        <v>-7.4999999999999706E-2</v>
      </c>
      <c r="E170" s="4">
        <v>-2.12947189097103</v>
      </c>
      <c r="F170" s="4">
        <v>3.4319999999999999</v>
      </c>
      <c r="G170" s="4">
        <v>3.484</v>
      </c>
      <c r="H170" s="4">
        <v>241496</v>
      </c>
      <c r="I170" s="5">
        <v>122582</v>
      </c>
      <c r="J170" s="9">
        <f t="shared" si="6"/>
        <v>1.5037593984962419E-2</v>
      </c>
      <c r="K170">
        <f t="shared" si="7"/>
        <v>3.68193357789412</v>
      </c>
      <c r="L170" s="10">
        <f t="shared" si="8"/>
        <v>1.5931503527004488E-2</v>
      </c>
    </row>
    <row r="171" spans="1:12" ht="15" customHeight="1" x14ac:dyDescent="0.2">
      <c r="A171" s="6">
        <v>45806</v>
      </c>
      <c r="B171" s="7">
        <v>3.5350000000000001</v>
      </c>
      <c r="C171" s="7">
        <v>3.5219999999999998</v>
      </c>
      <c r="D171" s="7">
        <v>-3.50000000000001E-2</v>
      </c>
      <c r="E171" s="7">
        <v>-0.98397526005060598</v>
      </c>
      <c r="F171" s="7">
        <v>3.5259999999999998</v>
      </c>
      <c r="G171" s="7">
        <v>3.548</v>
      </c>
      <c r="H171" s="7">
        <v>240123</v>
      </c>
      <c r="I171" s="8">
        <v>172679</v>
      </c>
      <c r="J171" s="9">
        <f t="shared" si="6"/>
        <v>6.2199604184337695E-3</v>
      </c>
      <c r="K171">
        <f t="shared" si="7"/>
        <v>3.6611051661088707</v>
      </c>
      <c r="L171" s="10">
        <f t="shared" si="8"/>
        <v>1.5540916670252217E-2</v>
      </c>
    </row>
    <row r="172" spans="1:12" ht="15" customHeight="1" x14ac:dyDescent="0.2">
      <c r="A172" s="3">
        <v>45805</v>
      </c>
      <c r="B172" s="4">
        <v>3.5390000000000001</v>
      </c>
      <c r="C172" s="4">
        <v>3.5569999999999999</v>
      </c>
      <c r="D172" s="4">
        <v>-0.187</v>
      </c>
      <c r="E172" s="4">
        <v>-4.9946581196581201</v>
      </c>
      <c r="F172" s="4">
        <v>3.5259999999999998</v>
      </c>
      <c r="G172" s="4">
        <v>3.5430000000000001</v>
      </c>
      <c r="H172" s="4">
        <v>230224</v>
      </c>
      <c r="I172" s="5">
        <v>191695</v>
      </c>
      <c r="J172" s="9">
        <f t="shared" si="6"/>
        <v>4.8097326354506571E-3</v>
      </c>
      <c r="K172">
        <f t="shared" si="7"/>
        <v>5.0545544273791227</v>
      </c>
      <c r="L172" s="10">
        <f t="shared" si="8"/>
        <v>1.6370963539780965E-2</v>
      </c>
    </row>
    <row r="173" spans="1:12" ht="15" customHeight="1" x14ac:dyDescent="0.2">
      <c r="A173" s="6">
        <v>45804</v>
      </c>
      <c r="B173" s="7">
        <v>3.7570000000000001</v>
      </c>
      <c r="C173" s="7">
        <v>3.7440000000000002</v>
      </c>
      <c r="D173" s="7">
        <v>1.90000000000001E-2</v>
      </c>
      <c r="E173" s="7">
        <v>0.510067114093959</v>
      </c>
      <c r="F173" s="7">
        <v>3.7490000000000001</v>
      </c>
      <c r="G173" s="7">
        <v>3.7610000000000001</v>
      </c>
      <c r="H173" s="7">
        <v>227247</v>
      </c>
      <c r="I173" s="8">
        <v>142963</v>
      </c>
      <c r="J173" s="9">
        <f t="shared" si="6"/>
        <v>3.1957390146471402E-3</v>
      </c>
      <c r="K173">
        <f t="shared" si="7"/>
        <v>5.1175277471674674</v>
      </c>
      <c r="L173" s="10">
        <f t="shared" si="8"/>
        <v>1.7309842863771026E-2</v>
      </c>
    </row>
    <row r="174" spans="1:12" ht="15" customHeight="1" x14ac:dyDescent="0.2">
      <c r="A174" s="3">
        <v>45800</v>
      </c>
      <c r="B174" s="4">
        <v>3.706</v>
      </c>
      <c r="C174" s="4">
        <v>3.7250000000000001</v>
      </c>
      <c r="D174" s="4">
        <v>8.6000000000000298E-2</v>
      </c>
      <c r="E174" s="4">
        <v>2.36328661720253</v>
      </c>
      <c r="F174" s="4">
        <v>3.6850000000000001</v>
      </c>
      <c r="G174" s="4">
        <v>3.72</v>
      </c>
      <c r="H174" s="4">
        <v>227700</v>
      </c>
      <c r="I174" s="5">
        <v>104618</v>
      </c>
      <c r="J174" s="9">
        <f t="shared" si="6"/>
        <v>9.4530722484807948E-3</v>
      </c>
      <c r="K174">
        <f t="shared" si="7"/>
        <v>5.1199133649351447</v>
      </c>
      <c r="L174" s="10">
        <f t="shared" si="8"/>
        <v>1.9204915357975888E-2</v>
      </c>
    </row>
    <row r="175" spans="1:12" ht="15" customHeight="1" x14ac:dyDescent="0.2">
      <c r="A175" s="6">
        <v>45799</v>
      </c>
      <c r="B175" s="7">
        <v>3.6749999999999998</v>
      </c>
      <c r="C175" s="7">
        <v>3.6389999999999998</v>
      </c>
      <c r="D175" s="7">
        <v>-9.8000000000000295E-2</v>
      </c>
      <c r="E175" s="7">
        <v>-2.6224244046026302</v>
      </c>
      <c r="F175" s="7">
        <v>3.665</v>
      </c>
      <c r="G175" s="7">
        <v>3.6949999999999998</v>
      </c>
      <c r="H175" s="7">
        <v>230891</v>
      </c>
      <c r="I175" s="8">
        <v>109630</v>
      </c>
      <c r="J175" s="9">
        <f t="shared" si="6"/>
        <v>8.152173913043426E-3</v>
      </c>
      <c r="K175">
        <f t="shared" si="7"/>
        <v>5.1975091589324816</v>
      </c>
      <c r="L175" s="10">
        <f t="shared" si="8"/>
        <v>1.956876987443E-2</v>
      </c>
    </row>
    <row r="176" spans="1:12" ht="15" customHeight="1" x14ac:dyDescent="0.2">
      <c r="A176" s="3">
        <v>45798</v>
      </c>
      <c r="B176" s="4">
        <v>3.7229999999999999</v>
      </c>
      <c r="C176" s="4">
        <v>3.7370000000000001</v>
      </c>
      <c r="D176" s="4">
        <v>-2.9999999999999801E-2</v>
      </c>
      <c r="E176" s="4">
        <v>-0.79638970002654497</v>
      </c>
      <c r="F176" s="4">
        <v>3.6859999999999999</v>
      </c>
      <c r="G176" s="4">
        <v>3.78</v>
      </c>
      <c r="H176" s="4">
        <v>236656</v>
      </c>
      <c r="I176" s="5">
        <v>112206</v>
      </c>
      <c r="J176" s="9">
        <f t="shared" si="6"/>
        <v>2.5180819716046042E-2</v>
      </c>
      <c r="K176">
        <f t="shared" si="7"/>
        <v>5.1326280036444096</v>
      </c>
      <c r="L176" s="10">
        <f t="shared" si="8"/>
        <v>1.9750479931255688E-2</v>
      </c>
    </row>
    <row r="177" spans="1:12" ht="15" customHeight="1" x14ac:dyDescent="0.2">
      <c r="A177" s="6">
        <v>45797</v>
      </c>
      <c r="B177" s="7">
        <v>3.7570000000000001</v>
      </c>
      <c r="C177" s="7">
        <v>3.7669999999999999</v>
      </c>
      <c r="D177" s="7">
        <v>0.314999999999999</v>
      </c>
      <c r="E177" s="7">
        <v>9.1251448435689397</v>
      </c>
      <c r="F177" s="7">
        <v>3.7170000000000001</v>
      </c>
      <c r="G177" s="7">
        <v>3.7589999999999999</v>
      </c>
      <c r="H177" s="7">
        <v>236951</v>
      </c>
      <c r="I177" s="8">
        <v>175186</v>
      </c>
      <c r="J177" s="9">
        <f t="shared" si="6"/>
        <v>1.1235955056179726E-2</v>
      </c>
      <c r="K177">
        <f t="shared" si="7"/>
        <v>5.1242816986768229</v>
      </c>
      <c r="L177" s="10">
        <f t="shared" si="8"/>
        <v>1.9414483612283522E-2</v>
      </c>
    </row>
    <row r="178" spans="1:12" ht="15" customHeight="1" x14ac:dyDescent="0.2">
      <c r="A178" s="3">
        <v>45796</v>
      </c>
      <c r="B178" s="4">
        <v>3.4449999999999998</v>
      </c>
      <c r="C178" s="4">
        <v>3.452</v>
      </c>
      <c r="D178" s="4">
        <v>-0.24</v>
      </c>
      <c r="E178" s="4">
        <v>-6.5005417118093201</v>
      </c>
      <c r="F178" s="4">
        <v>3.42</v>
      </c>
      <c r="G178" s="4">
        <v>3.51</v>
      </c>
      <c r="H178" s="4">
        <v>236830</v>
      </c>
      <c r="I178" s="5">
        <v>132856</v>
      </c>
      <c r="J178" s="9">
        <f t="shared" si="6"/>
        <v>2.5974025974025934E-2</v>
      </c>
      <c r="K178">
        <f t="shared" si="7"/>
        <v>5.086911471546312</v>
      </c>
      <c r="L178" s="10">
        <f t="shared" si="8"/>
        <v>1.9222694702100342E-2</v>
      </c>
    </row>
    <row r="179" spans="1:12" ht="15" customHeight="1" x14ac:dyDescent="0.2">
      <c r="A179" s="6">
        <v>45793</v>
      </c>
      <c r="B179" s="7">
        <v>3.6850000000000001</v>
      </c>
      <c r="C179" s="7">
        <v>3.6920000000000002</v>
      </c>
      <c r="D179" s="7">
        <v>-2.4999999999999901E-2</v>
      </c>
      <c r="E179" s="7">
        <v>-0.67258541834812602</v>
      </c>
      <c r="F179" s="7">
        <v>3.6709999999999998</v>
      </c>
      <c r="G179" s="7">
        <v>3.73</v>
      </c>
      <c r="H179" s="7">
        <v>231498</v>
      </c>
      <c r="I179" s="8">
        <v>95623</v>
      </c>
      <c r="J179" s="9">
        <f t="shared" si="6"/>
        <v>1.594379137954335E-2</v>
      </c>
      <c r="K179">
        <f t="shared" si="7"/>
        <v>4.8372910987976505</v>
      </c>
      <c r="L179" s="10">
        <f t="shared" si="8"/>
        <v>1.8673740191478178E-2</v>
      </c>
    </row>
    <row r="180" spans="1:12" ht="15" customHeight="1" x14ac:dyDescent="0.2">
      <c r="A180" s="3">
        <v>45792</v>
      </c>
      <c r="B180" s="4">
        <v>3.7269999999999999</v>
      </c>
      <c r="C180" s="4">
        <v>3.7170000000000001</v>
      </c>
      <c r="D180" s="4">
        <v>-0.108</v>
      </c>
      <c r="E180" s="4">
        <v>-2.8235294117647101</v>
      </c>
      <c r="F180" s="4">
        <v>3.71</v>
      </c>
      <c r="G180" s="4">
        <v>3.758</v>
      </c>
      <c r="H180" s="4">
        <v>226894</v>
      </c>
      <c r="I180" s="5">
        <v>92544</v>
      </c>
      <c r="J180" s="9">
        <f t="shared" si="6"/>
        <v>1.2854847348687746E-2</v>
      </c>
      <c r="K180">
        <f t="shared" si="7"/>
        <v>4.8786627650891763</v>
      </c>
      <c r="L180" s="10">
        <f t="shared" si="8"/>
        <v>1.8527257128586761E-2</v>
      </c>
    </row>
    <row r="181" spans="1:12" ht="15" customHeight="1" x14ac:dyDescent="0.2">
      <c r="A181" s="6">
        <v>45791</v>
      </c>
      <c r="B181" s="7">
        <v>3.7970000000000002</v>
      </c>
      <c r="C181" s="7">
        <v>3.8250000000000002</v>
      </c>
      <c r="D181" s="7">
        <v>-0.153</v>
      </c>
      <c r="E181" s="7">
        <v>-3.84615384615384</v>
      </c>
      <c r="F181" s="7">
        <v>3.7770000000000001</v>
      </c>
      <c r="G181" s="7">
        <v>3.8149999999999999</v>
      </c>
      <c r="H181" s="7">
        <v>226689</v>
      </c>
      <c r="I181" s="8">
        <v>78384</v>
      </c>
      <c r="J181" s="9">
        <f t="shared" si="6"/>
        <v>1.0010537407797631E-2</v>
      </c>
      <c r="K181">
        <f t="shared" si="7"/>
        <v>4.816232235934975</v>
      </c>
      <c r="L181" s="10">
        <f t="shared" si="8"/>
        <v>1.8058552406876448E-2</v>
      </c>
    </row>
    <row r="182" spans="1:12" ht="15" customHeight="1" x14ac:dyDescent="0.2">
      <c r="A182" s="3">
        <v>45790</v>
      </c>
      <c r="B182" s="4">
        <v>3.9510000000000001</v>
      </c>
      <c r="C182" s="4">
        <v>3.9780000000000002</v>
      </c>
      <c r="D182" s="4">
        <v>1.0000000000003301E-3</v>
      </c>
      <c r="E182" s="4">
        <v>2.5144581342728602E-2</v>
      </c>
      <c r="F182" s="4">
        <v>3.93</v>
      </c>
      <c r="G182" s="4">
        <v>3.9649999999999999</v>
      </c>
      <c r="H182" s="4">
        <v>223211</v>
      </c>
      <c r="I182" s="5">
        <v>84090</v>
      </c>
      <c r="J182" s="9">
        <f t="shared" si="6"/>
        <v>8.866371120962559E-3</v>
      </c>
      <c r="K182">
        <f t="shared" si="7"/>
        <v>4.9227818296700896</v>
      </c>
      <c r="L182" s="10">
        <f t="shared" si="8"/>
        <v>1.7881216533137158E-2</v>
      </c>
    </row>
    <row r="183" spans="1:12" ht="15" customHeight="1" x14ac:dyDescent="0.2">
      <c r="A183" s="6">
        <v>45789</v>
      </c>
      <c r="B183" s="7">
        <v>4.0140000000000002</v>
      </c>
      <c r="C183" s="7">
        <v>3.9769999999999999</v>
      </c>
      <c r="D183" s="7">
        <v>-0.11899999999999999</v>
      </c>
      <c r="E183" s="7">
        <v>-2.9052734375</v>
      </c>
      <c r="F183" s="7">
        <v>3.9969999999999999</v>
      </c>
      <c r="G183" s="7">
        <v>4.016</v>
      </c>
      <c r="H183" s="7">
        <v>214747</v>
      </c>
      <c r="I183" s="8">
        <v>99774</v>
      </c>
      <c r="J183" s="9">
        <f t="shared" si="6"/>
        <v>4.7422937726195255E-3</v>
      </c>
      <c r="K183">
        <f t="shared" si="7"/>
        <v>4.932241776711094</v>
      </c>
      <c r="L183" s="10">
        <f t="shared" si="8"/>
        <v>1.8308024940342733E-2</v>
      </c>
    </row>
    <row r="184" spans="1:12" ht="15" customHeight="1" x14ac:dyDescent="0.2">
      <c r="A184" s="3">
        <v>45786</v>
      </c>
      <c r="B184" s="4">
        <v>4.09</v>
      </c>
      <c r="C184" s="4">
        <v>4.0960000000000001</v>
      </c>
      <c r="D184" s="4">
        <v>0.16300000000000001</v>
      </c>
      <c r="E184" s="4">
        <v>4.1444190185608996</v>
      </c>
      <c r="F184" s="4">
        <v>4.0289999999999999</v>
      </c>
      <c r="G184" s="4">
        <v>4.12</v>
      </c>
      <c r="H184" s="4">
        <v>207485</v>
      </c>
      <c r="I184" s="5">
        <v>98147</v>
      </c>
      <c r="J184" s="9">
        <f t="shared" si="6"/>
        <v>2.233402871517982E-2</v>
      </c>
      <c r="K184">
        <f t="shared" si="7"/>
        <v>5.1402565518339411</v>
      </c>
      <c r="L184" s="10">
        <f t="shared" si="8"/>
        <v>1.8707337326469359E-2</v>
      </c>
    </row>
    <row r="185" spans="1:12" ht="15" customHeight="1" x14ac:dyDescent="0.2">
      <c r="A185" s="6">
        <v>45785</v>
      </c>
      <c r="B185" s="7">
        <v>3.96</v>
      </c>
      <c r="C185" s="7">
        <v>3.9329999999999998</v>
      </c>
      <c r="D185" s="7">
        <v>-1.40000000000002E-2</v>
      </c>
      <c r="E185" s="7">
        <v>-0.35469977197872798</v>
      </c>
      <c r="F185" s="7">
        <v>3.86</v>
      </c>
      <c r="G185" s="7">
        <v>3.9729999999999999</v>
      </c>
      <c r="H185" s="7">
        <v>204334</v>
      </c>
      <c r="I185" s="8">
        <v>95901</v>
      </c>
      <c r="J185" s="9">
        <f t="shared" si="6"/>
        <v>2.8852291586876033E-2</v>
      </c>
      <c r="K185">
        <f t="shared" si="7"/>
        <v>5.5076568747574584</v>
      </c>
      <c r="L185" s="10">
        <f t="shared" si="8"/>
        <v>1.7949225603018659E-2</v>
      </c>
    </row>
    <row r="186" spans="1:12" ht="15" customHeight="1" x14ac:dyDescent="0.2">
      <c r="A186" s="3">
        <v>45784</v>
      </c>
      <c r="B186" s="4">
        <v>3.9489999999999998</v>
      </c>
      <c r="C186" s="4">
        <v>3.9470000000000001</v>
      </c>
      <c r="D186" s="4">
        <v>0.12999999999999901</v>
      </c>
      <c r="E186" s="4">
        <v>3.4058160859313502</v>
      </c>
      <c r="F186" s="4">
        <v>3.91</v>
      </c>
      <c r="G186" s="4">
        <v>3.964</v>
      </c>
      <c r="H186" s="4">
        <v>202994</v>
      </c>
      <c r="I186" s="5">
        <v>97305</v>
      </c>
      <c r="J186" s="9">
        <f t="shared" si="6"/>
        <v>1.3716027432054819E-2</v>
      </c>
      <c r="K186">
        <f t="shared" si="7"/>
        <v>5.6553971954347375</v>
      </c>
      <c r="L186" s="10">
        <f t="shared" si="8"/>
        <v>1.691764374695949E-2</v>
      </c>
    </row>
    <row r="187" spans="1:12" ht="15" customHeight="1" x14ac:dyDescent="0.2">
      <c r="A187" s="6">
        <v>45783</v>
      </c>
      <c r="B187" s="7">
        <v>3.8380000000000001</v>
      </c>
      <c r="C187" s="7">
        <v>3.8170000000000002</v>
      </c>
      <c r="D187" s="7">
        <v>-5.6000000000000001E-2</v>
      </c>
      <c r="E187" s="7">
        <v>-1.44590756519493</v>
      </c>
      <c r="F187" s="7">
        <v>3.8340000000000001</v>
      </c>
      <c r="G187" s="7">
        <v>3.883</v>
      </c>
      <c r="H187" s="7">
        <v>206972</v>
      </c>
      <c r="I187" s="8">
        <v>109329</v>
      </c>
      <c r="J187" s="9">
        <f t="shared" si="6"/>
        <v>1.2699235454192026E-2</v>
      </c>
      <c r="K187">
        <f t="shared" si="7"/>
        <v>5.726122313600813</v>
      </c>
      <c r="L187" s="10">
        <f t="shared" si="8"/>
        <v>1.6593133452534842E-2</v>
      </c>
    </row>
    <row r="188" spans="1:12" ht="15" customHeight="1" x14ac:dyDescent="0.2">
      <c r="A188" s="3">
        <v>45782</v>
      </c>
      <c r="B188" s="4">
        <v>3.8879999999999999</v>
      </c>
      <c r="C188" s="4">
        <v>3.8730000000000002</v>
      </c>
      <c r="D188" s="4">
        <v>-7.6999999999999902E-2</v>
      </c>
      <c r="E188" s="4">
        <v>-1.94936708860758</v>
      </c>
      <c r="F188" s="4">
        <v>3.875</v>
      </c>
      <c r="G188" s="4">
        <v>4.0880000000000001</v>
      </c>
      <c r="H188" s="4">
        <v>203532</v>
      </c>
      <c r="I188" s="5">
        <v>89708</v>
      </c>
      <c r="J188" s="9">
        <f t="shared" si="6"/>
        <v>5.3497425593369355E-2</v>
      </c>
      <c r="K188">
        <f t="shared" si="7"/>
        <v>5.9431913706742714</v>
      </c>
      <c r="L188" s="10">
        <f t="shared" si="8"/>
        <v>1.6521850457678018E-2</v>
      </c>
    </row>
    <row r="189" spans="1:12" ht="15" customHeight="1" x14ac:dyDescent="0.2">
      <c r="A189" s="6">
        <v>45779</v>
      </c>
      <c r="B189" s="7">
        <v>3.988</v>
      </c>
      <c r="C189" s="7">
        <v>3.95</v>
      </c>
      <c r="D189" s="7">
        <v>0.153</v>
      </c>
      <c r="E189" s="7">
        <v>4.0294969712931303</v>
      </c>
      <c r="F189" s="7">
        <v>3.911</v>
      </c>
      <c r="G189" s="7">
        <v>4.01</v>
      </c>
      <c r="H189" s="7">
        <v>198795</v>
      </c>
      <c r="I189" s="8">
        <v>76762</v>
      </c>
      <c r="J189" s="9">
        <f t="shared" si="6"/>
        <v>2.4996843832849329E-2</v>
      </c>
      <c r="K189">
        <f t="shared" si="7"/>
        <v>5.9467574256888653</v>
      </c>
      <c r="L189" s="10">
        <f t="shared" si="8"/>
        <v>1.427478963251683E-2</v>
      </c>
    </row>
    <row r="190" spans="1:12" ht="15" customHeight="1" x14ac:dyDescent="0.2">
      <c r="A190" s="3">
        <v>45778</v>
      </c>
      <c r="B190" s="4">
        <v>3.7639999999999998</v>
      </c>
      <c r="C190" s="4">
        <v>3.7970000000000002</v>
      </c>
      <c r="D190" s="4">
        <v>0.16200000000000001</v>
      </c>
      <c r="E190" s="4">
        <v>4.4566712517194</v>
      </c>
      <c r="F190" s="4">
        <v>3.7210000000000001</v>
      </c>
      <c r="G190" s="4">
        <v>3.7839999999999998</v>
      </c>
      <c r="H190" s="4">
        <v>200553</v>
      </c>
      <c r="I190" s="5">
        <v>94173</v>
      </c>
      <c r="J190" s="9">
        <f t="shared" si="6"/>
        <v>1.6788807461692132E-2</v>
      </c>
      <c r="K190">
        <f t="shared" si="7"/>
        <v>5.90755020060893</v>
      </c>
      <c r="L190" s="10">
        <f t="shared" si="8"/>
        <v>1.3274133828297193E-2</v>
      </c>
    </row>
    <row r="191" spans="1:12" ht="15" customHeight="1" x14ac:dyDescent="0.2">
      <c r="A191" s="6">
        <v>45777</v>
      </c>
      <c r="B191" s="7">
        <v>3.66</v>
      </c>
      <c r="C191" s="7">
        <v>3.6349999999999998</v>
      </c>
      <c r="D191" s="7">
        <v>-3.9000000000000097E-2</v>
      </c>
      <c r="E191" s="7">
        <v>-1.0615133369624301</v>
      </c>
      <c r="F191" s="7">
        <v>3.645</v>
      </c>
      <c r="G191" s="7">
        <v>3.67</v>
      </c>
      <c r="H191" s="7">
        <v>190659</v>
      </c>
      <c r="I191" s="8">
        <v>85613</v>
      </c>
      <c r="J191" s="9">
        <f t="shared" si="6"/>
        <v>6.8352699931647064E-3</v>
      </c>
      <c r="K191">
        <f t="shared" si="7"/>
        <v>5.8770601421175508</v>
      </c>
      <c r="L191" s="10">
        <f t="shared" si="8"/>
        <v>1.2715898050582616E-2</v>
      </c>
    </row>
    <row r="192" spans="1:12" ht="15" customHeight="1" x14ac:dyDescent="0.2">
      <c r="A192" s="3">
        <v>45776</v>
      </c>
      <c r="B192" s="4">
        <v>3.6720000000000002</v>
      </c>
      <c r="C192" s="4">
        <v>3.6739999999999999</v>
      </c>
      <c r="D192" s="4">
        <v>0.504</v>
      </c>
      <c r="E192" s="4">
        <v>15.8990536277602</v>
      </c>
      <c r="F192" s="4">
        <v>3.6349999999999998</v>
      </c>
      <c r="G192" s="4">
        <v>3.722</v>
      </c>
      <c r="H192" s="4">
        <v>185977</v>
      </c>
      <c r="I192" s="5">
        <v>80585</v>
      </c>
      <c r="J192" s="9">
        <f t="shared" si="6"/>
        <v>2.3650944678537501E-2</v>
      </c>
      <c r="K192">
        <f t="shared" si="7"/>
        <v>5.8874558941281538</v>
      </c>
      <c r="L192" s="10">
        <f t="shared" si="8"/>
        <v>1.2517285477507184E-2</v>
      </c>
    </row>
    <row r="193" spans="1:12" ht="15" customHeight="1" x14ac:dyDescent="0.2">
      <c r="A193" s="6">
        <v>45775</v>
      </c>
      <c r="B193" s="7">
        <v>3.1779999999999999</v>
      </c>
      <c r="C193" s="7">
        <v>3.17</v>
      </c>
      <c r="D193" s="7">
        <v>0.23300000000000001</v>
      </c>
      <c r="E193" s="7">
        <v>7.9332652366360197</v>
      </c>
      <c r="F193" s="7">
        <v>3.101</v>
      </c>
      <c r="G193" s="7">
        <v>3.1779999999999999</v>
      </c>
      <c r="H193" s="7">
        <v>1871</v>
      </c>
      <c r="I193" s="8">
        <v>2169</v>
      </c>
      <c r="J193" s="9">
        <f t="shared" si="6"/>
        <v>2.4526198439241906E-2</v>
      </c>
      <c r="K193">
        <f t="shared" si="7"/>
        <v>4.6798330398662564</v>
      </c>
      <c r="L193" s="10">
        <f t="shared" si="8"/>
        <v>1.1859050484624914E-2</v>
      </c>
    </row>
    <row r="194" spans="1:12" ht="15" customHeight="1" x14ac:dyDescent="0.2">
      <c r="A194" s="3">
        <v>45772</v>
      </c>
      <c r="B194" s="4">
        <v>2.9660000000000002</v>
      </c>
      <c r="C194" s="4">
        <v>2.9369999999999998</v>
      </c>
      <c r="D194" s="4">
        <v>6.9999999999996697E-3</v>
      </c>
      <c r="E194" s="4">
        <v>0.23890784982933899</v>
      </c>
      <c r="F194" s="4">
        <v>2.8450000000000002</v>
      </c>
      <c r="G194" s="4">
        <v>2.97</v>
      </c>
      <c r="H194" s="4">
        <v>23406</v>
      </c>
      <c r="I194" s="5">
        <v>43948</v>
      </c>
      <c r="J194" s="9">
        <f t="shared" si="6"/>
        <v>4.2992261392949267E-2</v>
      </c>
      <c r="K194">
        <f t="shared" si="7"/>
        <v>4.2601193453851662</v>
      </c>
      <c r="L194" s="10">
        <f t="shared" si="8"/>
        <v>1.0812675445307604E-2</v>
      </c>
    </row>
    <row r="195" spans="1:12" ht="15" customHeight="1" x14ac:dyDescent="0.2">
      <c r="A195" s="6">
        <v>45771</v>
      </c>
      <c r="B195" s="7">
        <v>2.9390000000000001</v>
      </c>
      <c r="C195" s="7">
        <v>2.93</v>
      </c>
      <c r="D195" s="7">
        <v>-9.1999999999999596E-2</v>
      </c>
      <c r="E195" s="7">
        <v>-3.0443414956981898</v>
      </c>
      <c r="F195" s="7">
        <v>2.9</v>
      </c>
      <c r="G195" s="7">
        <v>2.95</v>
      </c>
      <c r="H195" s="7">
        <v>28629</v>
      </c>
      <c r="I195" s="8">
        <v>63404</v>
      </c>
      <c r="J195" s="9">
        <f t="shared" si="6"/>
        <v>1.7094017094017186E-2</v>
      </c>
      <c r="K195">
        <f t="shared" si="7"/>
        <v>4.2545677622299722</v>
      </c>
      <c r="L195" s="10">
        <f t="shared" si="8"/>
        <v>8.9133484263245414E-3</v>
      </c>
    </row>
    <row r="196" spans="1:12" ht="15" customHeight="1" x14ac:dyDescent="0.2">
      <c r="A196" s="3">
        <v>45770</v>
      </c>
      <c r="B196" s="4">
        <v>3.0139999999999998</v>
      </c>
      <c r="C196" s="4">
        <v>3.0219999999999998</v>
      </c>
      <c r="D196" s="4">
        <v>1.49999999999996E-2</v>
      </c>
      <c r="E196" s="4">
        <v>0.49883604921847602</v>
      </c>
      <c r="F196" s="4">
        <v>2.99</v>
      </c>
      <c r="G196" s="4">
        <v>3.0259999999999998</v>
      </c>
      <c r="H196" s="4">
        <v>42168</v>
      </c>
      <c r="I196" s="5">
        <v>79051</v>
      </c>
      <c r="J196" s="9">
        <f t="shared" si="6"/>
        <v>1.1968085106382842E-2</v>
      </c>
      <c r="K196">
        <f t="shared" si="7"/>
        <v>4.2346371129000167</v>
      </c>
      <c r="L196" s="10">
        <f t="shared" si="8"/>
        <v>8.2948080438026237E-3</v>
      </c>
    </row>
    <row r="197" spans="1:12" ht="15" customHeight="1" x14ac:dyDescent="0.2">
      <c r="A197" s="6">
        <v>45769</v>
      </c>
      <c r="B197" s="7">
        <v>3.0350000000000001</v>
      </c>
      <c r="C197" s="7">
        <v>3.0070000000000001</v>
      </c>
      <c r="D197" s="7">
        <v>-8.99999999999989E-3</v>
      </c>
      <c r="E197" s="7">
        <v>-0.29840848806366099</v>
      </c>
      <c r="F197" s="7">
        <v>3.0070000000000001</v>
      </c>
      <c r="G197" s="7">
        <v>3.0619999999999998</v>
      </c>
      <c r="H197" s="7">
        <v>61041</v>
      </c>
      <c r="I197" s="8">
        <v>123171</v>
      </c>
      <c r="J197" s="9">
        <f t="shared" ref="J197:J255" si="9">(G197-F197)/AVERAGE(F197:G197)</f>
        <v>1.8124897017630488E-2</v>
      </c>
      <c r="K197">
        <f t="shared" ref="K197:K234" si="10">_xlfn.STDEV.S(E197:E217)</f>
        <v>4.2190610618189588</v>
      </c>
      <c r="L197" s="10">
        <f t="shared" ref="L197:L234" si="11">AVERAGE(J197:J217)</f>
        <v>8.5490517459081133E-3</v>
      </c>
    </row>
    <row r="198" spans="1:12" ht="15" customHeight="1" x14ac:dyDescent="0.2">
      <c r="A198" s="3">
        <v>45768</v>
      </c>
      <c r="B198" s="4">
        <v>3.0529999999999999</v>
      </c>
      <c r="C198" s="4">
        <v>3.016</v>
      </c>
      <c r="D198" s="4">
        <v>-0.22900000000000001</v>
      </c>
      <c r="E198" s="4">
        <v>-7.0570107858243398</v>
      </c>
      <c r="F198" s="4">
        <v>3.0409999999999999</v>
      </c>
      <c r="G198" s="4">
        <v>3.0630000000000002</v>
      </c>
      <c r="H198" s="4">
        <v>76564</v>
      </c>
      <c r="I198" s="5">
        <v>157187</v>
      </c>
      <c r="J198" s="9">
        <f t="shared" si="9"/>
        <v>7.2083879423329757E-3</v>
      </c>
      <c r="K198">
        <f t="shared" si="10"/>
        <v>4.2248136776836898</v>
      </c>
      <c r="L198" s="10">
        <f t="shared" si="11"/>
        <v>8.75201479825145E-3</v>
      </c>
    </row>
    <row r="199" spans="1:12" ht="15" customHeight="1" x14ac:dyDescent="0.2">
      <c r="A199" s="6">
        <v>45764</v>
      </c>
      <c r="B199" s="7">
        <v>3.2480000000000002</v>
      </c>
      <c r="C199" s="7">
        <v>3.2450000000000001</v>
      </c>
      <c r="D199" s="7">
        <v>-1.9999999999997702E-3</v>
      </c>
      <c r="E199" s="7">
        <v>-6.1595318755769402E-2</v>
      </c>
      <c r="F199" s="7">
        <v>3.23</v>
      </c>
      <c r="G199" s="7">
        <v>3.2770000000000001</v>
      </c>
      <c r="H199" s="7">
        <v>94615</v>
      </c>
      <c r="I199" s="8">
        <v>135424</v>
      </c>
      <c r="J199" s="9">
        <f t="shared" si="9"/>
        <v>1.4445981250960551E-2</v>
      </c>
      <c r="K199">
        <f t="shared" si="10"/>
        <v>4.1819314101186578</v>
      </c>
      <c r="L199" s="10">
        <f t="shared" si="11"/>
        <v>8.5171064607840515E-3</v>
      </c>
    </row>
    <row r="200" spans="1:12" ht="15" customHeight="1" x14ac:dyDescent="0.2">
      <c r="A200" s="3">
        <v>45763</v>
      </c>
      <c r="B200" s="4">
        <v>3.2669999999999999</v>
      </c>
      <c r="C200" s="4">
        <v>3.2469999999999999</v>
      </c>
      <c r="D200" s="4">
        <v>-8.2000000000000295E-2</v>
      </c>
      <c r="E200" s="4">
        <v>-2.46320216281166</v>
      </c>
      <c r="F200" s="4">
        <v>3.2429999999999999</v>
      </c>
      <c r="G200" s="4">
        <v>3.2850000000000001</v>
      </c>
      <c r="H200" s="4">
        <v>104058</v>
      </c>
      <c r="I200" s="5">
        <v>142699</v>
      </c>
      <c r="J200" s="9">
        <f t="shared" si="9"/>
        <v>1.2867647058823609E-2</v>
      </c>
      <c r="K200">
        <f t="shared" si="10"/>
        <v>4.3783446226903191</v>
      </c>
      <c r="L200" s="10">
        <f t="shared" si="11"/>
        <v>8.1348520118058217E-3</v>
      </c>
    </row>
    <row r="201" spans="1:12" ht="15" customHeight="1" x14ac:dyDescent="0.2">
      <c r="A201" s="6">
        <v>45762</v>
      </c>
      <c r="B201" s="7">
        <v>3.3170000000000002</v>
      </c>
      <c r="C201" s="7">
        <v>3.3290000000000002</v>
      </c>
      <c r="D201" s="7">
        <v>4.0000000000000001E-3</v>
      </c>
      <c r="E201" s="7">
        <v>0.12030075187969801</v>
      </c>
      <c r="F201" s="7">
        <v>3.3149999999999999</v>
      </c>
      <c r="G201" s="7">
        <v>3.3250000000000002</v>
      </c>
      <c r="H201" s="7">
        <v>120262</v>
      </c>
      <c r="I201" s="8">
        <v>134688</v>
      </c>
      <c r="J201" s="9">
        <f t="shared" si="9"/>
        <v>3.0120481927711534E-3</v>
      </c>
      <c r="K201">
        <f t="shared" si="10"/>
        <v>4.3810210273754846</v>
      </c>
      <c r="L201" s="10">
        <f t="shared" si="11"/>
        <v>7.7567412947424415E-3</v>
      </c>
    </row>
    <row r="202" spans="1:12" ht="15" customHeight="1" x14ac:dyDescent="0.2">
      <c r="A202" s="3">
        <v>45761</v>
      </c>
      <c r="B202" s="4">
        <v>3.3359999999999999</v>
      </c>
      <c r="C202" s="4">
        <v>3.3250000000000002</v>
      </c>
      <c r="D202" s="4">
        <v>-0.20199999999999901</v>
      </c>
      <c r="E202" s="4">
        <v>-5.7272469520839202</v>
      </c>
      <c r="F202" s="4">
        <v>3.33</v>
      </c>
      <c r="G202" s="4">
        <v>3.351</v>
      </c>
      <c r="H202" s="4">
        <v>121823</v>
      </c>
      <c r="I202" s="5">
        <v>150573</v>
      </c>
      <c r="J202" s="9">
        <f t="shared" si="9"/>
        <v>6.2864840592725367E-3</v>
      </c>
      <c r="K202">
        <f t="shared" si="10"/>
        <v>4.384416022905631</v>
      </c>
      <c r="L202" s="10">
        <f t="shared" si="11"/>
        <v>7.8868805783483386E-3</v>
      </c>
    </row>
    <row r="203" spans="1:12" ht="15" customHeight="1" x14ac:dyDescent="0.2">
      <c r="A203" s="6">
        <v>45758</v>
      </c>
      <c r="B203" s="7">
        <v>3.5409999999999999</v>
      </c>
      <c r="C203" s="7">
        <v>3.5270000000000001</v>
      </c>
      <c r="D203" s="7">
        <v>-2.9999999999999801E-2</v>
      </c>
      <c r="E203" s="7">
        <v>-0.84340736575765296</v>
      </c>
      <c r="F203" s="7">
        <v>3.5019999999999998</v>
      </c>
      <c r="G203" s="7">
        <v>3.5649999999999999</v>
      </c>
      <c r="H203" s="7">
        <v>144670</v>
      </c>
      <c r="I203" s="8">
        <v>159851</v>
      </c>
      <c r="J203" s="9">
        <f t="shared" si="9"/>
        <v>1.7829347672279658E-2</v>
      </c>
      <c r="K203">
        <f t="shared" si="10"/>
        <v>4.2443444201693117</v>
      </c>
      <c r="L203" s="10">
        <f t="shared" si="11"/>
        <v>8.2843883060717081E-3</v>
      </c>
    </row>
    <row r="204" spans="1:12" ht="15" customHeight="1" x14ac:dyDescent="0.2">
      <c r="A204" s="3">
        <v>45757</v>
      </c>
      <c r="B204" s="4">
        <v>3.5059999999999998</v>
      </c>
      <c r="C204" s="4">
        <v>3.5569999999999999</v>
      </c>
      <c r="D204" s="4">
        <v>-0.25899999999999901</v>
      </c>
      <c r="E204" s="4">
        <v>-6.7872117400419301</v>
      </c>
      <c r="F204" s="4">
        <v>3.4809999999999999</v>
      </c>
      <c r="G204" s="4">
        <v>3.5270000000000001</v>
      </c>
      <c r="H204" s="4">
        <v>167561</v>
      </c>
      <c r="I204" s="5">
        <v>233182</v>
      </c>
      <c r="J204" s="9">
        <f t="shared" si="9"/>
        <v>1.3127853881278614E-2</v>
      </c>
      <c r="K204">
        <f t="shared" si="10"/>
        <v>4.2534532116681429</v>
      </c>
      <c r="L204" s="10">
        <f t="shared" si="11"/>
        <v>7.8364239224182151E-3</v>
      </c>
    </row>
    <row r="205" spans="1:12" ht="15" customHeight="1" x14ac:dyDescent="0.2">
      <c r="A205" s="6">
        <v>45756</v>
      </c>
      <c r="B205" s="7">
        <v>3.738</v>
      </c>
      <c r="C205" s="7">
        <v>3.8159999999999998</v>
      </c>
      <c r="D205" s="7">
        <v>0.35099999999999998</v>
      </c>
      <c r="E205" s="7">
        <v>10.129870129870101</v>
      </c>
      <c r="F205" s="7">
        <v>3.73</v>
      </c>
      <c r="G205" s="7">
        <v>3.754</v>
      </c>
      <c r="H205" s="7">
        <v>206363</v>
      </c>
      <c r="I205" s="8">
        <v>326507</v>
      </c>
      <c r="J205" s="9">
        <f t="shared" si="9"/>
        <v>6.4136825227151311E-3</v>
      </c>
      <c r="K205">
        <f t="shared" si="10"/>
        <v>4.3739125778091612</v>
      </c>
      <c r="L205" s="10">
        <f t="shared" si="11"/>
        <v>7.5531502292640069E-3</v>
      </c>
    </row>
    <row r="206" spans="1:12" ht="15" customHeight="1" x14ac:dyDescent="0.2">
      <c r="A206" s="3">
        <v>45755</v>
      </c>
      <c r="B206" s="4">
        <v>3.48</v>
      </c>
      <c r="C206" s="4">
        <v>3.4649999999999999</v>
      </c>
      <c r="D206" s="4">
        <v>-0.189999999999999</v>
      </c>
      <c r="E206" s="4">
        <v>-5.1983584131326896</v>
      </c>
      <c r="F206" s="4">
        <v>3.4649999999999999</v>
      </c>
      <c r="G206" s="4">
        <v>3.49</v>
      </c>
      <c r="H206" s="4">
        <v>254702</v>
      </c>
      <c r="I206" s="5">
        <v>245402</v>
      </c>
      <c r="J206" s="9">
        <f t="shared" si="9"/>
        <v>7.1890726096334595E-3</v>
      </c>
      <c r="K206">
        <f t="shared" si="10"/>
        <v>3.6118657132603715</v>
      </c>
      <c r="L206" s="10">
        <f t="shared" si="11"/>
        <v>7.5977159957851944E-3</v>
      </c>
    </row>
    <row r="207" spans="1:12" ht="15" customHeight="1" x14ac:dyDescent="0.2">
      <c r="A207" s="6">
        <v>45754</v>
      </c>
      <c r="B207" s="7">
        <v>3.6280000000000001</v>
      </c>
      <c r="C207" s="7">
        <v>3.6549999999999998</v>
      </c>
      <c r="D207" s="7">
        <v>-0.182</v>
      </c>
      <c r="E207" s="7">
        <v>-4.7432890278863704</v>
      </c>
      <c r="F207" s="7">
        <v>3.61</v>
      </c>
      <c r="G207" s="7">
        <v>3.6349999999999998</v>
      </c>
      <c r="H207" s="7">
        <v>267702</v>
      </c>
      <c r="I207" s="8">
        <v>265602</v>
      </c>
      <c r="J207" s="9">
        <f t="shared" si="9"/>
        <v>6.9013112491373126E-3</v>
      </c>
      <c r="K207">
        <f t="shared" si="10"/>
        <v>3.5545782054700834</v>
      </c>
      <c r="L207" s="10">
        <f t="shared" si="11"/>
        <v>7.670522349399923E-3</v>
      </c>
    </row>
    <row r="208" spans="1:12" ht="15" customHeight="1" x14ac:dyDescent="0.2">
      <c r="A208" s="3">
        <v>45751</v>
      </c>
      <c r="B208" s="4">
        <v>3.819</v>
      </c>
      <c r="C208" s="4">
        <v>3.8370000000000002</v>
      </c>
      <c r="D208" s="4">
        <v>-0.30099999999999899</v>
      </c>
      <c r="E208" s="4">
        <v>-7.2740454325761101</v>
      </c>
      <c r="F208" s="4">
        <v>3.8170000000000002</v>
      </c>
      <c r="G208" s="4">
        <v>3.86</v>
      </c>
      <c r="H208" s="4">
        <v>271313</v>
      </c>
      <c r="I208" s="5">
        <v>229187</v>
      </c>
      <c r="J208" s="9">
        <f t="shared" si="9"/>
        <v>1.12022925621987E-2</v>
      </c>
      <c r="K208">
        <f t="shared" si="10"/>
        <v>3.4956028989909309</v>
      </c>
      <c r="L208" s="10">
        <f t="shared" si="11"/>
        <v>7.8382574335944272E-3</v>
      </c>
    </row>
    <row r="209" spans="1:12" ht="15" customHeight="1" x14ac:dyDescent="0.2">
      <c r="A209" s="6">
        <v>45750</v>
      </c>
      <c r="B209" s="7">
        <v>4.117</v>
      </c>
      <c r="C209" s="7">
        <v>4.1379999999999999</v>
      </c>
      <c r="D209" s="7">
        <v>8.3000000000000101E-2</v>
      </c>
      <c r="E209" s="7">
        <v>2.0468557336621398</v>
      </c>
      <c r="F209" s="7">
        <v>4.1079999999999997</v>
      </c>
      <c r="G209" s="7">
        <v>4.1340000000000003</v>
      </c>
      <c r="H209" s="7">
        <v>280665</v>
      </c>
      <c r="I209" s="8">
        <v>157630</v>
      </c>
      <c r="J209" s="9">
        <f t="shared" si="9"/>
        <v>6.3091482649843935E-3</v>
      </c>
      <c r="K209">
        <f t="shared" si="10"/>
        <v>3.2063208045835134</v>
      </c>
      <c r="L209" s="10">
        <f t="shared" si="11"/>
        <v>7.5383233953144266E-3</v>
      </c>
    </row>
    <row r="210" spans="1:12" ht="15" customHeight="1" x14ac:dyDescent="0.2">
      <c r="A210" s="3">
        <v>45749</v>
      </c>
      <c r="B210" s="4">
        <v>4.016</v>
      </c>
      <c r="C210" s="4">
        <v>4.0549999999999997</v>
      </c>
      <c r="D210" s="4">
        <v>0.103999999999999</v>
      </c>
      <c r="E210" s="4">
        <v>2.6322450012654799</v>
      </c>
      <c r="F210" s="4">
        <v>4.0090000000000003</v>
      </c>
      <c r="G210" s="4">
        <v>4.0250000000000004</v>
      </c>
      <c r="H210" s="4">
        <v>287529</v>
      </c>
      <c r="I210" s="5">
        <v>130199.999999999</v>
      </c>
      <c r="J210" s="9">
        <f t="shared" si="9"/>
        <v>3.9830719442369962E-3</v>
      </c>
      <c r="K210">
        <f t="shared" si="10"/>
        <v>3.2159823972087085</v>
      </c>
      <c r="L210" s="10">
        <f t="shared" si="11"/>
        <v>7.5578365718391967E-3</v>
      </c>
    </row>
    <row r="211" spans="1:12" ht="15" customHeight="1" x14ac:dyDescent="0.2">
      <c r="A211" s="6">
        <v>45748</v>
      </c>
      <c r="B211" s="7">
        <v>3.952</v>
      </c>
      <c r="C211" s="7">
        <v>3.9510000000000001</v>
      </c>
      <c r="D211" s="7">
        <v>-0.16799999999999901</v>
      </c>
      <c r="E211" s="7">
        <v>-4.0786598689002096</v>
      </c>
      <c r="F211" s="7">
        <v>3.9380000000000002</v>
      </c>
      <c r="G211" s="7">
        <v>3.9580000000000002</v>
      </c>
      <c r="H211" s="7">
        <v>287717</v>
      </c>
      <c r="I211" s="8">
        <v>141616</v>
      </c>
      <c r="J211" s="9">
        <f t="shared" si="9"/>
        <v>5.0658561296859205E-3</v>
      </c>
      <c r="K211">
        <f t="shared" si="10"/>
        <v>3.4041213182460637</v>
      </c>
      <c r="L211" s="10">
        <f t="shared" si="11"/>
        <v>7.8659843774693157E-3</v>
      </c>
    </row>
    <row r="212" spans="1:12" ht="15" customHeight="1" x14ac:dyDescent="0.2">
      <c r="A212" s="3">
        <v>45747</v>
      </c>
      <c r="B212" s="4">
        <v>4.1319999999999997</v>
      </c>
      <c r="C212" s="4">
        <v>4.1189999999999998</v>
      </c>
      <c r="D212" s="4">
        <v>5.3999999999999299E-2</v>
      </c>
      <c r="E212" s="4">
        <v>1.32841328413282</v>
      </c>
      <c r="F212" s="4">
        <v>4.1230000000000002</v>
      </c>
      <c r="G212" s="4">
        <v>4.1340000000000003</v>
      </c>
      <c r="H212" s="4">
        <v>292621</v>
      </c>
      <c r="I212" s="5">
        <v>163138</v>
      </c>
      <c r="J212" s="9">
        <f t="shared" si="9"/>
        <v>2.6644059585806271E-3</v>
      </c>
      <c r="K212">
        <f t="shared" si="10"/>
        <v>3.6641907527598412</v>
      </c>
      <c r="L212" s="10">
        <f t="shared" si="11"/>
        <v>7.8881264878307763E-3</v>
      </c>
    </row>
    <row r="213" spans="1:12" ht="15" customHeight="1" x14ac:dyDescent="0.2">
      <c r="A213" s="6">
        <v>45744</v>
      </c>
      <c r="B213" s="7">
        <v>4.0869999999999997</v>
      </c>
      <c r="C213" s="7">
        <v>4.0650000000000004</v>
      </c>
      <c r="D213" s="7">
        <v>0.14000000000000001</v>
      </c>
      <c r="E213" s="7">
        <v>3.5668789808917398</v>
      </c>
      <c r="F213" s="7">
        <v>4.05</v>
      </c>
      <c r="G213" s="7">
        <v>4.09</v>
      </c>
      <c r="H213" s="7">
        <v>295410</v>
      </c>
      <c r="I213" s="8">
        <v>163572</v>
      </c>
      <c r="J213" s="9">
        <f t="shared" si="9"/>
        <v>9.8280098280098364E-3</v>
      </c>
      <c r="K213">
        <f t="shared" si="10"/>
        <v>3.7125183543366385</v>
      </c>
      <c r="L213" s="10">
        <f t="shared" si="11"/>
        <v>7.9607537480731825E-3</v>
      </c>
    </row>
    <row r="214" spans="1:12" ht="15" customHeight="1" x14ac:dyDescent="0.2">
      <c r="A214" s="3">
        <v>45743</v>
      </c>
      <c r="B214" s="4">
        <v>3.92</v>
      </c>
      <c r="C214" s="4">
        <v>3.9249999999999998</v>
      </c>
      <c r="D214" s="4">
        <v>5.2999999999999901E-2</v>
      </c>
      <c r="E214" s="4">
        <v>1.3688016528925699</v>
      </c>
      <c r="F214" s="4">
        <v>3.9129999999999998</v>
      </c>
      <c r="G214" s="4">
        <v>3.923</v>
      </c>
      <c r="H214" s="4">
        <v>293018</v>
      </c>
      <c r="I214" s="5">
        <v>171700</v>
      </c>
      <c r="J214" s="9">
        <f t="shared" si="9"/>
        <v>2.5523226135784152E-3</v>
      </c>
      <c r="K214">
        <f t="shared" si="10"/>
        <v>3.6356448014920906</v>
      </c>
      <c r="L214" s="10">
        <f t="shared" si="11"/>
        <v>7.819782222134081E-3</v>
      </c>
    </row>
    <row r="215" spans="1:12" ht="15" customHeight="1" x14ac:dyDescent="0.2">
      <c r="A215" s="6">
        <v>45742</v>
      </c>
      <c r="B215" s="7">
        <v>3.8620000000000001</v>
      </c>
      <c r="C215" s="7">
        <v>3.8719999999999999</v>
      </c>
      <c r="D215" s="7">
        <v>-4.9999999999998899E-3</v>
      </c>
      <c r="E215" s="7">
        <v>-0.12896569512509301</v>
      </c>
      <c r="F215" s="7">
        <v>3.8570000000000002</v>
      </c>
      <c r="G215" s="7">
        <v>3.8690000000000002</v>
      </c>
      <c r="H215" s="7">
        <v>288639</v>
      </c>
      <c r="I215" s="8">
        <v>134206</v>
      </c>
      <c r="J215" s="9">
        <f t="shared" si="9"/>
        <v>3.1063939943049468E-3</v>
      </c>
      <c r="K215">
        <f t="shared" si="10"/>
        <v>3.7311381848199492</v>
      </c>
      <c r="L215" s="10">
        <f t="shared" si="11"/>
        <v>8.0099487998311295E-3</v>
      </c>
    </row>
    <row r="216" spans="1:12" ht="15" customHeight="1" x14ac:dyDescent="0.2">
      <c r="A216" s="3">
        <v>45741</v>
      </c>
      <c r="B216" s="4">
        <v>3.9</v>
      </c>
      <c r="C216" s="4">
        <v>3.8769999999999998</v>
      </c>
      <c r="D216" s="4">
        <v>-3.7000000000000297E-2</v>
      </c>
      <c r="E216" s="4">
        <v>-0.94532447623915095</v>
      </c>
      <c r="F216" s="4">
        <v>3.89</v>
      </c>
      <c r="G216" s="4">
        <v>3.9060000000000001</v>
      </c>
      <c r="H216" s="4">
        <v>289960</v>
      </c>
      <c r="I216" s="5">
        <v>145006</v>
      </c>
      <c r="J216" s="9">
        <f t="shared" si="9"/>
        <v>4.1046690610569555E-3</v>
      </c>
      <c r="K216">
        <f t="shared" si="10"/>
        <v>3.8299318529872619</v>
      </c>
      <c r="L216" s="10">
        <f t="shared" si="11"/>
        <v>8.3116422372280108E-3</v>
      </c>
    </row>
    <row r="217" spans="1:12" ht="15" customHeight="1" x14ac:dyDescent="0.2">
      <c r="A217" s="6">
        <v>45740</v>
      </c>
      <c r="B217" s="7">
        <v>3.9049999999999998</v>
      </c>
      <c r="C217" s="7">
        <v>3.9140000000000001</v>
      </c>
      <c r="D217" s="7">
        <v>-6.5999999999999795E-2</v>
      </c>
      <c r="E217" s="7">
        <v>-1.65829145728643</v>
      </c>
      <c r="F217" s="7">
        <v>3.895</v>
      </c>
      <c r="G217" s="7">
        <v>3.9630000000000001</v>
      </c>
      <c r="H217" s="7">
        <v>35949</v>
      </c>
      <c r="I217" s="8">
        <v>74790</v>
      </c>
      <c r="J217" s="9">
        <f t="shared" si="9"/>
        <v>1.7307202850598131E-2</v>
      </c>
      <c r="K217">
        <f t="shared" si="10"/>
        <v>4.038156912050165</v>
      </c>
      <c r="L217" s="10">
        <f t="shared" si="11"/>
        <v>8.3430244545549016E-3</v>
      </c>
    </row>
    <row r="218" spans="1:12" ht="15" customHeight="1" x14ac:dyDescent="0.2">
      <c r="A218" s="3">
        <v>45737</v>
      </c>
      <c r="B218" s="4">
        <v>3.964</v>
      </c>
      <c r="C218" s="4">
        <v>3.98</v>
      </c>
      <c r="D218" s="4">
        <v>4.9999999999998899E-3</v>
      </c>
      <c r="E218" s="4">
        <v>0.125786163522012</v>
      </c>
      <c r="F218" s="4">
        <v>3.931</v>
      </c>
      <c r="G218" s="4">
        <v>4.0199999999999996</v>
      </c>
      <c r="H218" s="4">
        <v>51548</v>
      </c>
      <c r="I218" s="5">
        <v>121716</v>
      </c>
      <c r="J218" s="9">
        <f t="shared" si="9"/>
        <v>2.238712111684053E-2</v>
      </c>
      <c r="K218">
        <f t="shared" si="10"/>
        <v>4.0546414631778198</v>
      </c>
      <c r="L218" s="10">
        <f t="shared" si="11"/>
        <v>8.5458181124852574E-3</v>
      </c>
    </row>
    <row r="219" spans="1:12" ht="15" customHeight="1" x14ac:dyDescent="0.2">
      <c r="A219" s="6">
        <v>45736</v>
      </c>
      <c r="B219" s="7">
        <v>3.96</v>
      </c>
      <c r="C219" s="7">
        <v>3.9750000000000001</v>
      </c>
      <c r="D219" s="7">
        <v>-0.27199999999999902</v>
      </c>
      <c r="E219" s="7">
        <v>-6.4045208382387404</v>
      </c>
      <c r="F219" s="7">
        <v>3.9510000000000001</v>
      </c>
      <c r="G219" s="7">
        <v>3.96</v>
      </c>
      <c r="H219" s="7">
        <v>67786</v>
      </c>
      <c r="I219" s="8">
        <v>167195</v>
      </c>
      <c r="J219" s="9">
        <f t="shared" si="9"/>
        <v>2.2753128555176075E-3</v>
      </c>
      <c r="K219">
        <f t="shared" si="10"/>
        <v>4.1018622874625237</v>
      </c>
      <c r="L219" s="10">
        <f t="shared" si="11"/>
        <v>7.7761724918525166E-3</v>
      </c>
    </row>
    <row r="220" spans="1:12" ht="15" customHeight="1" x14ac:dyDescent="0.2">
      <c r="A220" s="3">
        <v>45735</v>
      </c>
      <c r="B220" s="4">
        <v>4.2089999999999996</v>
      </c>
      <c r="C220" s="4">
        <v>4.2469999999999999</v>
      </c>
      <c r="D220" s="4">
        <v>0.19500000000000001</v>
      </c>
      <c r="E220" s="4">
        <v>4.8124383020730503</v>
      </c>
      <c r="F220" s="4">
        <v>4.1929999999999996</v>
      </c>
      <c r="G220" s="4">
        <v>4.22</v>
      </c>
      <c r="H220" s="4">
        <v>74723</v>
      </c>
      <c r="I220" s="5">
        <v>142413</v>
      </c>
      <c r="J220" s="9">
        <f t="shared" si="9"/>
        <v>6.4186378224177186E-3</v>
      </c>
      <c r="K220">
        <f t="shared" si="10"/>
        <v>4.1276119664830713</v>
      </c>
      <c r="L220" s="10">
        <f t="shared" si="11"/>
        <v>8.2229897489380973E-3</v>
      </c>
    </row>
    <row r="221" spans="1:12" ht="15" customHeight="1" x14ac:dyDescent="0.2">
      <c r="A221" s="6">
        <v>45734</v>
      </c>
      <c r="B221" s="7">
        <v>4.0609999999999999</v>
      </c>
      <c r="C221" s="7">
        <v>4.0519999999999996</v>
      </c>
      <c r="D221" s="7">
        <v>3.3999999999999801E-2</v>
      </c>
      <c r="E221" s="7">
        <v>0.846192135390744</v>
      </c>
      <c r="F221" s="7">
        <v>4.0490000000000004</v>
      </c>
      <c r="G221" s="7">
        <v>4.069</v>
      </c>
      <c r="H221" s="7">
        <v>98276</v>
      </c>
      <c r="I221" s="8">
        <v>136819</v>
      </c>
      <c r="J221" s="9">
        <f t="shared" si="9"/>
        <v>4.9273220004926272E-3</v>
      </c>
      <c r="K221">
        <f t="shared" si="10"/>
        <v>4.3159902482508992</v>
      </c>
      <c r="L221" s="10">
        <f t="shared" si="11"/>
        <v>8.0953554601091247E-3</v>
      </c>
    </row>
    <row r="222" spans="1:12" ht="15" customHeight="1" x14ac:dyDescent="0.2">
      <c r="A222" s="3">
        <v>45733</v>
      </c>
      <c r="B222" s="4">
        <v>4.0049999999999999</v>
      </c>
      <c r="C222" s="4">
        <v>4.0179999999999998</v>
      </c>
      <c r="D222" s="4">
        <v>-8.6000000000000298E-2</v>
      </c>
      <c r="E222" s="4">
        <v>-2.0955165692007802</v>
      </c>
      <c r="F222" s="4">
        <v>3.992</v>
      </c>
      <c r="G222" s="4">
        <v>4.0149999999999997</v>
      </c>
      <c r="H222" s="4">
        <v>112046</v>
      </c>
      <c r="I222" s="5">
        <v>141996</v>
      </c>
      <c r="J222" s="9">
        <f t="shared" si="9"/>
        <v>5.7449731484949893E-3</v>
      </c>
      <c r="K222">
        <f t="shared" si="10"/>
        <v>4.3418767436219472</v>
      </c>
      <c r="L222" s="10">
        <f t="shared" si="11"/>
        <v>8.4872033810082567E-3</v>
      </c>
    </row>
    <row r="223" spans="1:12" ht="15" customHeight="1" x14ac:dyDescent="0.2">
      <c r="A223" s="6">
        <v>45730</v>
      </c>
      <c r="B223" s="7">
        <v>4.0890000000000004</v>
      </c>
      <c r="C223" s="7">
        <v>4.1040000000000001</v>
      </c>
      <c r="D223" s="7">
        <v>-6.9999999999996697E-3</v>
      </c>
      <c r="E223" s="7">
        <v>-0.17027487229384</v>
      </c>
      <c r="F223" s="7">
        <v>4.07</v>
      </c>
      <c r="G223" s="7">
        <v>4.13</v>
      </c>
      <c r="H223" s="7">
        <v>124107</v>
      </c>
      <c r="I223" s="8">
        <v>135671</v>
      </c>
      <c r="J223" s="9">
        <f t="shared" si="9"/>
        <v>1.463414634146332E-2</v>
      </c>
      <c r="K223">
        <f t="shared" si="10"/>
        <v>4.3046569104598111</v>
      </c>
      <c r="L223" s="10">
        <f t="shared" si="11"/>
        <v>8.3179465884053311E-3</v>
      </c>
    </row>
    <row r="224" spans="1:12" ht="15" customHeight="1" x14ac:dyDescent="0.2">
      <c r="A224" s="3">
        <v>45729</v>
      </c>
      <c r="B224" s="4">
        <v>4.0350000000000001</v>
      </c>
      <c r="C224" s="4">
        <v>4.1109999999999998</v>
      </c>
      <c r="D224" s="4">
        <v>2.70000000000001E-2</v>
      </c>
      <c r="E224" s="4">
        <v>0.66111655239962097</v>
      </c>
      <c r="F224" s="4">
        <v>4.0199999999999996</v>
      </c>
      <c r="G224" s="4">
        <v>4.0540000000000003</v>
      </c>
      <c r="H224" s="4">
        <v>150073</v>
      </c>
      <c r="I224" s="5">
        <v>212673</v>
      </c>
      <c r="J224" s="9">
        <f t="shared" si="9"/>
        <v>8.4220956155562788E-3</v>
      </c>
      <c r="K224">
        <f t="shared" si="10"/>
        <v>4.300747926649481</v>
      </c>
      <c r="L224" s="10">
        <f t="shared" si="11"/>
        <v>7.9164360285335321E-3</v>
      </c>
    </row>
    <row r="225" spans="1:12" ht="15" customHeight="1" x14ac:dyDescent="0.2">
      <c r="A225" s="6">
        <v>45728</v>
      </c>
      <c r="B225" s="7">
        <v>4.0330000000000004</v>
      </c>
      <c r="C225" s="7">
        <v>4.0839999999999996</v>
      </c>
      <c r="D225" s="7">
        <v>-0.36899999999999999</v>
      </c>
      <c r="E225" s="7">
        <v>-8.2865483943408993</v>
      </c>
      <c r="F225" s="7">
        <v>4.0250000000000004</v>
      </c>
      <c r="G225" s="7">
        <v>4.0540000000000003</v>
      </c>
      <c r="H225" s="7">
        <v>169377</v>
      </c>
      <c r="I225" s="8">
        <v>213032</v>
      </c>
      <c r="J225" s="9">
        <f t="shared" si="9"/>
        <v>7.1791063250402059E-3</v>
      </c>
      <c r="K225">
        <f t="shared" si="10"/>
        <v>4.3104693829555503</v>
      </c>
      <c r="L225" s="10">
        <f t="shared" si="11"/>
        <v>7.6510893212232527E-3</v>
      </c>
    </row>
    <row r="226" spans="1:12" ht="15" customHeight="1" x14ac:dyDescent="0.2">
      <c r="A226" s="3">
        <v>45727</v>
      </c>
      <c r="B226" s="4">
        <v>4.3440000000000003</v>
      </c>
      <c r="C226" s="4">
        <v>4.4530000000000003</v>
      </c>
      <c r="D226" s="4">
        <v>-3.7999999999999298E-2</v>
      </c>
      <c r="E226" s="4">
        <v>-0.84613671788018596</v>
      </c>
      <c r="F226" s="4">
        <v>4.3380000000000001</v>
      </c>
      <c r="G226" s="4">
        <v>4.37</v>
      </c>
      <c r="H226" s="4">
        <v>191391</v>
      </c>
      <c r="I226" s="5">
        <v>178486</v>
      </c>
      <c r="J226" s="9">
        <f t="shared" si="9"/>
        <v>7.3495636196600888E-3</v>
      </c>
      <c r="K226">
        <f t="shared" si="10"/>
        <v>3.8075699094966815</v>
      </c>
      <c r="L226" s="10">
        <f t="shared" si="11"/>
        <v>7.5721246613279173E-3</v>
      </c>
    </row>
    <row r="227" spans="1:12" ht="15" customHeight="1" x14ac:dyDescent="0.2">
      <c r="A227" s="6">
        <v>45726</v>
      </c>
      <c r="B227" s="7">
        <v>4.4569999999999999</v>
      </c>
      <c r="C227" s="7">
        <v>4.4909999999999997</v>
      </c>
      <c r="D227" s="7">
        <v>9.1999999999999596E-2</v>
      </c>
      <c r="E227" s="7">
        <v>2.0913844055466999</v>
      </c>
      <c r="F227" s="7">
        <v>4.4539999999999997</v>
      </c>
      <c r="G227" s="7">
        <v>4.4930000000000003</v>
      </c>
      <c r="H227" s="7">
        <v>199160</v>
      </c>
      <c r="I227" s="8">
        <v>209693</v>
      </c>
      <c r="J227" s="9">
        <f t="shared" si="9"/>
        <v>8.7180060355427722E-3</v>
      </c>
      <c r="K227">
        <f t="shared" si="10"/>
        <v>3.8962655032392015</v>
      </c>
      <c r="L227" s="10">
        <f t="shared" si="11"/>
        <v>7.7237757398141253E-3</v>
      </c>
    </row>
    <row r="228" spans="1:12" ht="15" customHeight="1" x14ac:dyDescent="0.2">
      <c r="A228" s="3">
        <v>45723</v>
      </c>
      <c r="B228" s="4">
        <v>4.4009999999999998</v>
      </c>
      <c r="C228" s="4">
        <v>4.399</v>
      </c>
      <c r="D228" s="4">
        <v>9.7000000000000405E-2</v>
      </c>
      <c r="E228" s="4">
        <v>2.25476522547654</v>
      </c>
      <c r="F228" s="4">
        <v>4.3899999999999997</v>
      </c>
      <c r="G228" s="4">
        <v>4.4359999999999999</v>
      </c>
      <c r="H228" s="4">
        <v>208149</v>
      </c>
      <c r="I228" s="5">
        <v>200984</v>
      </c>
      <c r="J228" s="9">
        <f t="shared" si="9"/>
        <v>1.0423748017221903E-2</v>
      </c>
      <c r="K228">
        <f t="shared" si="10"/>
        <v>3.8930201087351746</v>
      </c>
      <c r="L228" s="10">
        <f t="shared" si="11"/>
        <v>7.3931634490260953E-3</v>
      </c>
    </row>
    <row r="229" spans="1:12" ht="15" customHeight="1" x14ac:dyDescent="0.2">
      <c r="A229" s="6">
        <v>45722</v>
      </c>
      <c r="B229" s="7">
        <v>4.2789999999999999</v>
      </c>
      <c r="C229" s="7">
        <v>4.3019999999999996</v>
      </c>
      <c r="D229" s="7">
        <v>-0.14799999999999999</v>
      </c>
      <c r="E229" s="7">
        <v>-3.3258426966292198</v>
      </c>
      <c r="F229" s="7">
        <v>4.2720000000000002</v>
      </c>
      <c r="G229" s="7">
        <v>4.2930000000000001</v>
      </c>
      <c r="H229" s="7">
        <v>214318</v>
      </c>
      <c r="I229" s="8">
        <v>191631</v>
      </c>
      <c r="J229" s="9">
        <f t="shared" si="9"/>
        <v>4.9036777583187164E-3</v>
      </c>
      <c r="K229">
        <f t="shared" si="10"/>
        <v>3.9113733811013098</v>
      </c>
      <c r="L229" s="10">
        <f t="shared" si="11"/>
        <v>7.1521245098682034E-3</v>
      </c>
    </row>
    <row r="230" spans="1:12" ht="15" customHeight="1" x14ac:dyDescent="0.2">
      <c r="A230" s="3">
        <v>45721</v>
      </c>
      <c r="B230" s="4">
        <v>4.4720000000000004</v>
      </c>
      <c r="C230" s="4">
        <v>4.45</v>
      </c>
      <c r="D230" s="4">
        <v>0.1</v>
      </c>
      <c r="E230" s="4">
        <v>2.29885057471266</v>
      </c>
      <c r="F230" s="4">
        <v>4.45</v>
      </c>
      <c r="G230" s="4">
        <v>4.4800000000000004</v>
      </c>
      <c r="H230" s="4">
        <v>213523</v>
      </c>
      <c r="I230" s="5">
        <v>217313</v>
      </c>
      <c r="J230" s="9">
        <f t="shared" si="9"/>
        <v>6.7189249720045353E-3</v>
      </c>
      <c r="K230">
        <f t="shared" si="10"/>
        <v>3.8896032969469583</v>
      </c>
      <c r="L230" s="10">
        <f t="shared" si="11"/>
        <v>7.2143865272922478E-3</v>
      </c>
    </row>
    <row r="231" spans="1:12" ht="15" customHeight="1" x14ac:dyDescent="0.2">
      <c r="A231" s="6">
        <v>45720</v>
      </c>
      <c r="B231" s="7">
        <v>4.3</v>
      </c>
      <c r="C231" s="7">
        <v>4.3499999999999996</v>
      </c>
      <c r="D231" s="7">
        <v>0.22799999999999901</v>
      </c>
      <c r="E231" s="7">
        <v>5.5312954876273599</v>
      </c>
      <c r="F231" s="7">
        <v>4.282</v>
      </c>
      <c r="G231" s="7">
        <v>4.327</v>
      </c>
      <c r="H231" s="7">
        <v>208094</v>
      </c>
      <c r="I231" s="8">
        <v>337320</v>
      </c>
      <c r="J231" s="9">
        <f t="shared" si="9"/>
        <v>1.0454175862469493E-2</v>
      </c>
      <c r="K231">
        <f t="shared" si="10"/>
        <v>4.3266784083406469</v>
      </c>
      <c r="L231" s="10">
        <f t="shared" si="11"/>
        <v>7.1530807055659026E-3</v>
      </c>
    </row>
    <row r="232" spans="1:12" ht="15" customHeight="1" x14ac:dyDescent="0.2">
      <c r="A232" s="3">
        <v>45719</v>
      </c>
      <c r="B232" s="4">
        <v>4.165</v>
      </c>
      <c r="C232" s="4">
        <v>4.1219999999999999</v>
      </c>
      <c r="D232" s="4">
        <v>0.28799999999999898</v>
      </c>
      <c r="E232" s="4">
        <v>7.51173708920187</v>
      </c>
      <c r="F232" s="4">
        <v>4.1470000000000002</v>
      </c>
      <c r="G232" s="4">
        <v>4.17</v>
      </c>
      <c r="H232" s="4">
        <v>209117</v>
      </c>
      <c r="I232" s="5">
        <v>255351</v>
      </c>
      <c r="J232" s="9">
        <f t="shared" si="9"/>
        <v>5.5308404472765868E-3</v>
      </c>
      <c r="K232">
        <f t="shared" si="10"/>
        <v>4.2579306135434898</v>
      </c>
      <c r="L232" s="10">
        <f t="shared" si="11"/>
        <v>7.0427245455064276E-3</v>
      </c>
    </row>
    <row r="233" spans="1:12" ht="15" customHeight="1" x14ac:dyDescent="0.2">
      <c r="A233" s="6">
        <v>45716</v>
      </c>
      <c r="B233" s="7">
        <v>3.8180000000000001</v>
      </c>
      <c r="C233" s="7">
        <v>3.8340000000000001</v>
      </c>
      <c r="D233" s="7">
        <v>-0.1</v>
      </c>
      <c r="E233" s="7">
        <v>-2.5419420437214</v>
      </c>
      <c r="F233" s="7">
        <v>3.8109999999999999</v>
      </c>
      <c r="G233" s="7">
        <v>3.827</v>
      </c>
      <c r="H233" s="7">
        <v>216312</v>
      </c>
      <c r="I233" s="8">
        <v>131891</v>
      </c>
      <c r="J233" s="9">
        <f>(G233-F233)/AVERAGE(F233:G233)</f>
        <v>4.1895784236711218E-3</v>
      </c>
      <c r="K233">
        <f t="shared" si="10"/>
        <v>4.1833040974728428</v>
      </c>
      <c r="L233" s="10">
        <f t="shared" si="11"/>
        <v>7.2601166936230969E-3</v>
      </c>
    </row>
    <row r="234" spans="1:12" ht="15" customHeight="1" x14ac:dyDescent="0.2">
      <c r="A234" s="3">
        <v>45715</v>
      </c>
      <c r="B234" s="4">
        <v>3.9390000000000001</v>
      </c>
      <c r="C234" s="4">
        <v>3.9340000000000002</v>
      </c>
      <c r="D234" s="4">
        <v>-2.4999999999999901E-2</v>
      </c>
      <c r="E234" s="4">
        <v>-0.63147259408941003</v>
      </c>
      <c r="F234" s="4">
        <v>3.9180000000000001</v>
      </c>
      <c r="G234" s="4">
        <v>3.9449999999999998</v>
      </c>
      <c r="H234" s="4">
        <v>220352</v>
      </c>
      <c r="I234" s="5">
        <v>167740</v>
      </c>
      <c r="J234" s="9">
        <f t="shared" si="9"/>
        <v>6.8676077832887424E-3</v>
      </c>
      <c r="K234">
        <f t="shared" si="10"/>
        <v>4.1049987164041193</v>
      </c>
      <c r="L234" s="10">
        <f t="shared" si="11"/>
        <v>7.3302395263669922E-3</v>
      </c>
    </row>
    <row r="235" spans="1:12" ht="15" customHeight="1" x14ac:dyDescent="0.2">
      <c r="A235" s="6">
        <v>45714</v>
      </c>
      <c r="B235" s="7">
        <v>3.96</v>
      </c>
      <c r="C235" s="7">
        <v>3.9590000000000001</v>
      </c>
      <c r="D235" s="7">
        <v>-0.17099999999999899</v>
      </c>
      <c r="E235" s="7">
        <v>-4.14043583535108</v>
      </c>
      <c r="F235" s="7">
        <v>3.9590000000000001</v>
      </c>
      <c r="G235" s="7">
        <v>3.9849999999999999</v>
      </c>
      <c r="H235" s="7">
        <v>222603</v>
      </c>
      <c r="I235" s="8">
        <v>165811</v>
      </c>
      <c r="J235" s="9">
        <f t="shared" si="9"/>
        <v>6.5458207452164657E-3</v>
      </c>
      <c r="L235" s="10"/>
    </row>
    <row r="236" spans="1:12" ht="15" customHeight="1" x14ac:dyDescent="0.2">
      <c r="A236" s="3">
        <v>45713</v>
      </c>
      <c r="B236" s="4">
        <v>4.1369999999999996</v>
      </c>
      <c r="C236" s="4">
        <v>4.13</v>
      </c>
      <c r="D236" s="4">
        <v>0.14799999999999899</v>
      </c>
      <c r="E236" s="4">
        <v>3.71672526368658</v>
      </c>
      <c r="F236" s="4">
        <v>4.1109999999999998</v>
      </c>
      <c r="G236" s="4">
        <v>4.1500000000000004</v>
      </c>
      <c r="H236" s="4">
        <v>214951</v>
      </c>
      <c r="I236" s="5">
        <v>176329</v>
      </c>
      <c r="J236" s="9">
        <f t="shared" si="9"/>
        <v>9.4419561796394123E-3</v>
      </c>
      <c r="L236" s="10"/>
    </row>
    <row r="237" spans="1:12" ht="15" customHeight="1" x14ac:dyDescent="0.2">
      <c r="A237" s="6">
        <v>45712</v>
      </c>
      <c r="B237" s="7">
        <v>3.9820000000000002</v>
      </c>
      <c r="C237" s="7">
        <v>3.9820000000000002</v>
      </c>
      <c r="D237" s="7">
        <v>-0.251999999999999</v>
      </c>
      <c r="E237" s="7">
        <v>-5.9518186112423201</v>
      </c>
      <c r="F237" s="7">
        <v>3.9790000000000001</v>
      </c>
      <c r="G237" s="7">
        <v>3.9980000000000002</v>
      </c>
      <c r="H237" s="7">
        <v>211444</v>
      </c>
      <c r="I237" s="8">
        <v>187066</v>
      </c>
      <c r="J237" s="9">
        <f t="shared" si="9"/>
        <v>4.7636956249216813E-3</v>
      </c>
      <c r="L237" s="10"/>
    </row>
    <row r="238" spans="1:12" ht="15" customHeight="1" x14ac:dyDescent="0.2">
      <c r="A238" s="3">
        <v>45709</v>
      </c>
      <c r="B238" s="4">
        <v>4.2590000000000003</v>
      </c>
      <c r="C238" s="4">
        <v>4.234</v>
      </c>
      <c r="D238" s="4">
        <v>8.1999999999999795E-2</v>
      </c>
      <c r="E238" s="4">
        <v>1.9749518304431599</v>
      </c>
      <c r="F238" s="4">
        <v>4.22</v>
      </c>
      <c r="G238" s="4">
        <v>4.3120000000000003</v>
      </c>
      <c r="H238" s="4">
        <v>55935</v>
      </c>
      <c r="I238" s="5">
        <v>142646</v>
      </c>
      <c r="J238" s="9">
        <f t="shared" si="9"/>
        <v>2.1565869667135612E-2</v>
      </c>
      <c r="L238" s="10"/>
    </row>
    <row r="239" spans="1:12" ht="15" customHeight="1" x14ac:dyDescent="0.2">
      <c r="A239" s="6">
        <v>45708</v>
      </c>
      <c r="B239" s="7">
        <v>4.1710000000000003</v>
      </c>
      <c r="C239" s="7">
        <v>4.1520000000000001</v>
      </c>
      <c r="D239" s="7">
        <v>-0.128</v>
      </c>
      <c r="E239" s="7">
        <v>-2.9906542056074699</v>
      </c>
      <c r="F239" s="7">
        <v>4.1639999999999997</v>
      </c>
      <c r="G239" s="7">
        <v>4.1900000000000004</v>
      </c>
      <c r="H239" s="7">
        <v>74529</v>
      </c>
      <c r="I239" s="8">
        <v>201564</v>
      </c>
      <c r="J239" s="9">
        <f t="shared" si="9"/>
        <v>6.2245630835529543E-3</v>
      </c>
      <c r="L239" s="10"/>
    </row>
    <row r="240" spans="1:12" ht="15" customHeight="1" x14ac:dyDescent="0.2">
      <c r="A240" s="3">
        <v>45707</v>
      </c>
      <c r="B240" s="4">
        <v>4.3899999999999997</v>
      </c>
      <c r="C240" s="4">
        <v>4.28</v>
      </c>
      <c r="D240" s="4">
        <v>0.27300000000000002</v>
      </c>
      <c r="E240" s="4">
        <v>6.8130771150486797</v>
      </c>
      <c r="F240" s="4">
        <v>4.3490000000000002</v>
      </c>
      <c r="G240" s="4">
        <v>4.4000000000000004</v>
      </c>
      <c r="H240" s="4">
        <v>105291</v>
      </c>
      <c r="I240" s="5">
        <v>302698</v>
      </c>
      <c r="J240" s="9">
        <f t="shared" si="9"/>
        <v>1.1658475254314814E-2</v>
      </c>
      <c r="L240" s="10"/>
    </row>
    <row r="241" spans="1:12" ht="15" customHeight="1" x14ac:dyDescent="0.2">
      <c r="A241" s="6">
        <v>45706</v>
      </c>
      <c r="B241" s="7">
        <v>4.0140000000000002</v>
      </c>
      <c r="C241" s="7">
        <v>4.0069999999999997</v>
      </c>
      <c r="D241" s="7">
        <v>0.28199999999999897</v>
      </c>
      <c r="E241" s="7">
        <v>7.5704697986576903</v>
      </c>
      <c r="F241" s="7">
        <v>4.0049999999999999</v>
      </c>
      <c r="G241" s="7">
        <v>4.0199999999999996</v>
      </c>
      <c r="H241" s="7">
        <v>125024</v>
      </c>
      <c r="I241" s="8">
        <v>278693</v>
      </c>
      <c r="J241" s="9">
        <f t="shared" si="9"/>
        <v>3.7383177570092666E-3</v>
      </c>
      <c r="L241" s="10"/>
    </row>
    <row r="242" spans="1:12" ht="15" customHeight="1" x14ac:dyDescent="0.2">
      <c r="A242" s="3">
        <v>45702</v>
      </c>
      <c r="B242" s="4">
        <v>3.726</v>
      </c>
      <c r="C242" s="4">
        <v>3.7250000000000001</v>
      </c>
      <c r="D242" s="4">
        <v>9.6999999999999906E-2</v>
      </c>
      <c r="E242" s="4">
        <v>2.6736493936052801</v>
      </c>
      <c r="F242" s="4">
        <v>3.7</v>
      </c>
      <c r="G242" s="4">
        <v>3.7490000000000001</v>
      </c>
      <c r="H242" s="4">
        <v>135954</v>
      </c>
      <c r="I242" s="5">
        <v>186551</v>
      </c>
      <c r="J242" s="9">
        <f t="shared" si="9"/>
        <v>1.3156128339374394E-2</v>
      </c>
      <c r="L242" s="10"/>
    </row>
    <row r="243" spans="1:12" ht="15" customHeight="1" x14ac:dyDescent="0.2">
      <c r="A243" s="6">
        <v>45701</v>
      </c>
      <c r="B243" s="7">
        <v>3.653</v>
      </c>
      <c r="C243" s="7">
        <v>3.6280000000000001</v>
      </c>
      <c r="D243" s="7">
        <v>6.3000000000000098E-2</v>
      </c>
      <c r="E243" s="7">
        <v>1.7671809256662101</v>
      </c>
      <c r="F243" s="7">
        <v>3.6480000000000001</v>
      </c>
      <c r="G243" s="7">
        <v>3.6560000000000001</v>
      </c>
      <c r="H243" s="7">
        <v>162463</v>
      </c>
      <c r="I243" s="8">
        <v>258088</v>
      </c>
      <c r="J243" s="9">
        <f t="shared" si="9"/>
        <v>2.1905805038335176E-3</v>
      </c>
      <c r="L243" s="10"/>
    </row>
    <row r="244" spans="1:12" ht="15" customHeight="1" x14ac:dyDescent="0.2">
      <c r="A244" s="3">
        <v>45700</v>
      </c>
      <c r="B244" s="4">
        <v>3.544</v>
      </c>
      <c r="C244" s="4">
        <v>3.5649999999999999</v>
      </c>
      <c r="D244" s="4">
        <v>4.5999999999999798E-2</v>
      </c>
      <c r="E244" s="4">
        <v>1.3071895424836499</v>
      </c>
      <c r="F244" s="4">
        <v>3.536</v>
      </c>
      <c r="G244" s="4">
        <v>3.5579999999999998</v>
      </c>
      <c r="H244" s="4">
        <v>192546</v>
      </c>
      <c r="I244" s="5">
        <v>158135</v>
      </c>
      <c r="J244" s="9">
        <f t="shared" si="9"/>
        <v>6.2024245841555683E-3</v>
      </c>
      <c r="L244" s="10"/>
    </row>
    <row r="245" spans="1:12" ht="15" customHeight="1" x14ac:dyDescent="0.2">
      <c r="A245" s="6">
        <v>45699</v>
      </c>
      <c r="B245" s="7">
        <v>3.5089999999999999</v>
      </c>
      <c r="C245" s="7">
        <v>3.5190000000000001</v>
      </c>
      <c r="D245" s="7">
        <v>7.5000000000000094E-2</v>
      </c>
      <c r="E245" s="7">
        <v>2.1777003484320501</v>
      </c>
      <c r="F245" s="7">
        <v>3.504</v>
      </c>
      <c r="G245" s="7">
        <v>3.5139999999999998</v>
      </c>
      <c r="H245" s="7">
        <v>224429</v>
      </c>
      <c r="I245" s="8">
        <v>182955</v>
      </c>
      <c r="J245" s="9">
        <f t="shared" si="9"/>
        <v>2.8498147620404069E-3</v>
      </c>
      <c r="L245" s="10"/>
    </row>
    <row r="246" spans="1:12" ht="15" customHeight="1" x14ac:dyDescent="0.2">
      <c r="A246" s="3">
        <v>45698</v>
      </c>
      <c r="B246" s="4">
        <v>3.4409999999999998</v>
      </c>
      <c r="C246" s="4">
        <v>3.444</v>
      </c>
      <c r="D246" s="4">
        <v>0.13499999999999901</v>
      </c>
      <c r="E246" s="4">
        <v>4.0797824116047101</v>
      </c>
      <c r="F246" s="4">
        <v>3.4319999999999999</v>
      </c>
      <c r="G246" s="4">
        <v>3.4510000000000001</v>
      </c>
      <c r="H246" s="4">
        <v>248206</v>
      </c>
      <c r="I246" s="5">
        <v>175867</v>
      </c>
      <c r="J246" s="9">
        <f t="shared" si="9"/>
        <v>5.5208484672381597E-3</v>
      </c>
      <c r="L246" s="10"/>
    </row>
    <row r="247" spans="1:12" ht="15" customHeight="1" x14ac:dyDescent="0.2">
      <c r="A247" s="6">
        <v>45695</v>
      </c>
      <c r="B247" s="7">
        <v>3.3130000000000002</v>
      </c>
      <c r="C247" s="7">
        <v>3.3090000000000002</v>
      </c>
      <c r="D247" s="7">
        <v>-9.8999999999999699E-2</v>
      </c>
      <c r="E247" s="7">
        <v>-2.9049295774647699</v>
      </c>
      <c r="F247" s="7">
        <v>3.3050000000000002</v>
      </c>
      <c r="G247" s="7">
        <v>3.34</v>
      </c>
      <c r="H247" s="7">
        <v>279832</v>
      </c>
      <c r="I247" s="8">
        <v>154049</v>
      </c>
      <c r="J247" s="9">
        <f t="shared" si="9"/>
        <v>1.0534236267870489E-2</v>
      </c>
      <c r="L247" s="10"/>
    </row>
    <row r="248" spans="1:12" ht="15" customHeight="1" x14ac:dyDescent="0.2">
      <c r="A248" s="3">
        <v>45694</v>
      </c>
      <c r="B248" s="4">
        <v>3.379</v>
      </c>
      <c r="C248" s="4">
        <v>3.4079999999999999</v>
      </c>
      <c r="D248" s="4">
        <v>4.8000000000000001E-2</v>
      </c>
      <c r="E248" s="4">
        <v>1.4285714285714199</v>
      </c>
      <c r="F248" s="4">
        <v>3.3769999999999998</v>
      </c>
      <c r="G248" s="4">
        <v>3.383</v>
      </c>
      <c r="H248" s="4">
        <v>281360</v>
      </c>
      <c r="I248" s="5">
        <v>164112</v>
      </c>
      <c r="J248" s="9">
        <f t="shared" si="9"/>
        <v>1.7751479289941502E-3</v>
      </c>
      <c r="L248" s="10"/>
    </row>
    <row r="249" spans="1:12" ht="15" customHeight="1" x14ac:dyDescent="0.2">
      <c r="A249" s="6">
        <v>45693</v>
      </c>
      <c r="B249" s="7">
        <v>3.351</v>
      </c>
      <c r="C249" s="7">
        <v>3.36</v>
      </c>
      <c r="D249" s="7">
        <v>0.106999999999999</v>
      </c>
      <c r="E249" s="7">
        <v>3.28927144174606</v>
      </c>
      <c r="F249" s="7">
        <v>3.3479999999999999</v>
      </c>
      <c r="G249" s="7">
        <v>3.3660000000000001</v>
      </c>
      <c r="H249" s="7">
        <v>285436</v>
      </c>
      <c r="I249" s="8">
        <v>157612</v>
      </c>
      <c r="J249" s="9">
        <f t="shared" si="9"/>
        <v>5.3619302949062366E-3</v>
      </c>
      <c r="L249" s="10"/>
    </row>
    <row r="250" spans="1:12" ht="15" customHeight="1" x14ac:dyDescent="0.2">
      <c r="A250" s="3">
        <v>45692</v>
      </c>
      <c r="B250" s="4">
        <v>3.2229999999999999</v>
      </c>
      <c r="C250" s="4">
        <v>3.2530000000000001</v>
      </c>
      <c r="D250" s="4">
        <v>-9.8999999999999699E-2</v>
      </c>
      <c r="E250" s="4">
        <v>-2.9534606205250502</v>
      </c>
      <c r="F250" s="4">
        <v>3.21</v>
      </c>
      <c r="G250" s="4">
        <v>3.23</v>
      </c>
      <c r="H250" s="4">
        <v>295744</v>
      </c>
      <c r="I250" s="5">
        <v>166676</v>
      </c>
      <c r="J250" s="9">
        <f t="shared" si="9"/>
        <v>6.2111801242236081E-3</v>
      </c>
      <c r="L250" s="10"/>
    </row>
    <row r="251" spans="1:12" ht="15" customHeight="1" x14ac:dyDescent="0.2">
      <c r="A251" s="6">
        <v>45691</v>
      </c>
      <c r="B251" s="7">
        <v>3.31</v>
      </c>
      <c r="C251" s="7">
        <v>3.3519999999999999</v>
      </c>
      <c r="D251" s="7">
        <v>0.307999999999999</v>
      </c>
      <c r="E251" s="7">
        <v>10.1182654402102</v>
      </c>
      <c r="F251" s="7">
        <v>3.3050000000000002</v>
      </c>
      <c r="G251" s="7">
        <v>3.323</v>
      </c>
      <c r="H251" s="7">
        <v>290818</v>
      </c>
      <c r="I251" s="8">
        <v>248924</v>
      </c>
      <c r="J251" s="9">
        <f t="shared" si="9"/>
        <v>5.4315027157512954E-3</v>
      </c>
      <c r="L251" s="10"/>
    </row>
    <row r="252" spans="1:12" ht="15" customHeight="1" x14ac:dyDescent="0.2">
      <c r="A252" s="3">
        <v>45688</v>
      </c>
      <c r="B252" s="4">
        <v>3.0720000000000001</v>
      </c>
      <c r="C252" s="4">
        <v>3.044</v>
      </c>
      <c r="D252" s="4">
        <v>-3.0000000000001098E-3</v>
      </c>
      <c r="E252" s="4">
        <v>-9.8457499179527203E-2</v>
      </c>
      <c r="F252" s="4">
        <v>3.06</v>
      </c>
      <c r="G252" s="4">
        <v>3.085</v>
      </c>
      <c r="H252" s="4">
        <v>294445</v>
      </c>
      <c r="I252" s="5">
        <v>128643</v>
      </c>
      <c r="J252" s="9">
        <f t="shared" si="9"/>
        <v>8.1366965012204754E-3</v>
      </c>
      <c r="L252" s="10"/>
    </row>
    <row r="253" spans="1:12" ht="15" customHeight="1" x14ac:dyDescent="0.2">
      <c r="A253" s="6">
        <v>45687</v>
      </c>
      <c r="B253" s="7">
        <v>3.0819999999999999</v>
      </c>
      <c r="C253" s="7">
        <v>3.0470000000000002</v>
      </c>
      <c r="D253" s="7">
        <v>-0.122999999999999</v>
      </c>
      <c r="E253" s="7">
        <v>-3.8801261829652902</v>
      </c>
      <c r="F253" s="7">
        <v>3.0550000000000002</v>
      </c>
      <c r="G253" s="7">
        <v>3.0859999999999999</v>
      </c>
      <c r="H253" s="7">
        <v>296328</v>
      </c>
      <c r="I253" s="8">
        <v>184221</v>
      </c>
      <c r="J253" s="9">
        <f t="shared" si="9"/>
        <v>1.0096075557726654E-2</v>
      </c>
      <c r="L253" s="10"/>
    </row>
    <row r="254" spans="1:12" ht="15" customHeight="1" x14ac:dyDescent="0.2">
      <c r="A254" s="3">
        <v>45686</v>
      </c>
      <c r="B254" s="4">
        <v>3.1779999999999999</v>
      </c>
      <c r="C254" s="4">
        <v>3.17</v>
      </c>
      <c r="D254" s="4">
        <v>4.8000000000000001E-2</v>
      </c>
      <c r="E254" s="4">
        <v>1.5374759769378501</v>
      </c>
      <c r="F254" s="4">
        <v>3.17</v>
      </c>
      <c r="G254" s="4">
        <v>3.1880000000000002</v>
      </c>
      <c r="H254" s="4">
        <v>311221</v>
      </c>
      <c r="I254" s="5">
        <v>157050</v>
      </c>
      <c r="J254" s="9">
        <f t="shared" si="9"/>
        <v>5.6621579112929336E-3</v>
      </c>
      <c r="L254" s="10"/>
    </row>
    <row r="255" spans="1:12" ht="15" customHeight="1" x14ac:dyDescent="0.2">
      <c r="A255" s="6">
        <v>45685</v>
      </c>
      <c r="B255" s="7">
        <v>3.0870000000000002</v>
      </c>
      <c r="C255" s="7">
        <v>3.1219999999999999</v>
      </c>
      <c r="D255" s="7"/>
      <c r="E255" s="7"/>
      <c r="F255" s="7">
        <v>3.081</v>
      </c>
      <c r="G255" s="7">
        <v>3.0960000000000001</v>
      </c>
      <c r="H255" s="7">
        <v>313306</v>
      </c>
      <c r="I255" s="8">
        <v>176682</v>
      </c>
      <c r="J255" s="9">
        <f t="shared" si="9"/>
        <v>4.8567265662943582E-3</v>
      </c>
      <c r="L255" s="10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Nat Gas Henry Hub</vt:lpstr>
      <vt:lpstr>Volatilidad y liquidez-spread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Samuel Gómez Jiménez</cp:lastModifiedBy>
  <dcterms:created xsi:type="dcterms:W3CDTF">2026-01-29T01:19:25Z</dcterms:created>
  <dcterms:modified xsi:type="dcterms:W3CDTF">2026-02-16T22:23:40Z</dcterms:modified>
  <cp:category/>
</cp:coreProperties>
</file>