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06876cc2438bd37/Desktop/TRABAJO/UNI/8VO SEMESTRE/ADMINISTRACION_RIESGOS/Soluciones en Excel/"/>
    </mc:Choice>
  </mc:AlternateContent>
  <xr:revisionPtr revIDLastSave="8" documentId="8_{D0B88313-9DC8-4F71-ACDA-68BB31550B4B}" xr6:coauthVersionLast="47" xr6:coauthVersionMax="47" xr10:uidLastSave="{749BAE7C-A3E7-4315-A4AD-FE8FA4165D11}"/>
  <bookViews>
    <workbookView xWindow="-23148" yWindow="-108" windowWidth="23256" windowHeight="12456" xr2:uid="{4A8136BB-E0B0-40A5-93CC-3B05A45407F4}"/>
  </bookViews>
  <sheets>
    <sheet name="settle" sheetId="1" r:id="rId1"/>
    <sheet name="indicaciones" sheetId="2" r:id="rId2"/>
    <sheet name="midmk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K4" i="1"/>
  <c r="H4" i="3"/>
  <c r="I4" i="3"/>
  <c r="M2" i="1"/>
  <c r="L2" i="1"/>
  <c r="I1" i="1"/>
  <c r="J2" i="1"/>
  <c r="K2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4" i="1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J16" i="1"/>
  <c r="K16" i="1" s="1"/>
  <c r="I5" i="1"/>
  <c r="L5" i="1" s="1"/>
  <c r="M5" i="1" s="1"/>
  <c r="I6" i="1"/>
  <c r="L6" i="1" s="1"/>
  <c r="M6" i="1" s="1"/>
  <c r="I7" i="1"/>
  <c r="L7" i="1" s="1"/>
  <c r="M7" i="1" s="1"/>
  <c r="I8" i="1"/>
  <c r="L8" i="1" s="1"/>
  <c r="M8" i="1" s="1"/>
  <c r="I9" i="1"/>
  <c r="L9" i="1" s="1"/>
  <c r="M9" i="1" s="1"/>
  <c r="I10" i="1"/>
  <c r="L10" i="1" s="1"/>
  <c r="M10" i="1" s="1"/>
  <c r="I11" i="1"/>
  <c r="L11" i="1" s="1"/>
  <c r="M11" i="1" s="1"/>
  <c r="I12" i="1"/>
  <c r="J12" i="1" s="1"/>
  <c r="K12" i="1" s="1"/>
  <c r="I13" i="1"/>
  <c r="J13" i="1" s="1"/>
  <c r="K13" i="1" s="1"/>
  <c r="I14" i="1"/>
  <c r="J14" i="1" s="1"/>
  <c r="K14" i="1" s="1"/>
  <c r="I15" i="1"/>
  <c r="L15" i="1" s="1"/>
  <c r="M15" i="1" s="1"/>
  <c r="I16" i="1"/>
  <c r="I17" i="1"/>
  <c r="I18" i="1"/>
  <c r="J18" i="1" s="1"/>
  <c r="K18" i="1" s="1"/>
  <c r="I19" i="1"/>
  <c r="L19" i="1" s="1"/>
  <c r="M19" i="1" s="1"/>
  <c r="I20" i="1"/>
  <c r="J19" i="1" s="1"/>
  <c r="K19" i="1" s="1"/>
  <c r="I21" i="1"/>
  <c r="J17" i="1" s="1"/>
  <c r="K17" i="1" s="1"/>
  <c r="I22" i="1"/>
  <c r="J22" i="1" s="1"/>
  <c r="K22" i="1" s="1"/>
  <c r="I23" i="1"/>
  <c r="L23" i="1" s="1"/>
  <c r="M23" i="1" s="1"/>
  <c r="I24" i="1"/>
  <c r="I25" i="1"/>
  <c r="I26" i="1"/>
  <c r="I27" i="1"/>
  <c r="J23" i="1" s="1"/>
  <c r="K23" i="1" s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4" i="1"/>
  <c r="L4" i="1" s="1"/>
  <c r="M4" i="1" s="1"/>
  <c r="J11" i="1" l="1"/>
  <c r="K11" i="1" s="1"/>
  <c r="J15" i="1"/>
  <c r="K15" i="1" s="1"/>
  <c r="J10" i="1"/>
  <c r="K10" i="1" s="1"/>
  <c r="L22" i="1"/>
  <c r="M22" i="1" s="1"/>
  <c r="J9" i="1"/>
  <c r="K9" i="1" s="1"/>
  <c r="L21" i="1"/>
  <c r="M21" i="1" s="1"/>
  <c r="L20" i="1"/>
  <c r="M20" i="1" s="1"/>
  <c r="J8" i="1"/>
  <c r="K8" i="1" s="1"/>
  <c r="J7" i="1"/>
  <c r="K7" i="1" s="1"/>
  <c r="L18" i="1"/>
  <c r="M18" i="1" s="1"/>
  <c r="J6" i="1"/>
  <c r="K6" i="1" s="1"/>
  <c r="J5" i="1"/>
  <c r="L17" i="1"/>
  <c r="M17" i="1" s="1"/>
  <c r="L16" i="1"/>
  <c r="M16" i="1" s="1"/>
  <c r="L14" i="1"/>
  <c r="M14" i="1" s="1"/>
  <c r="J20" i="1"/>
  <c r="K20" i="1" s="1"/>
  <c r="L13" i="1"/>
  <c r="M13" i="1" s="1"/>
  <c r="L12" i="1"/>
  <c r="M12" i="1" s="1"/>
  <c r="J21" i="1"/>
  <c r="K21" i="1" s="1"/>
  <c r="J4" i="1"/>
</calcChain>
</file>

<file path=xl/sharedStrings.xml><?xml version="1.0" encoding="utf-8"?>
<sst xmlns="http://schemas.openxmlformats.org/spreadsheetml/2006/main" count="39" uniqueCount="28">
  <si>
    <t>Price History: SI00-USA</t>
  </si>
  <si>
    <t>Date</t>
  </si>
  <si>
    <t>Last</t>
  </si>
  <si>
    <t>Settlement Price</t>
  </si>
  <si>
    <t>Bid</t>
  </si>
  <si>
    <t>Ask</t>
  </si>
  <si>
    <t>Open Interest</t>
  </si>
  <si>
    <t>CVol</t>
  </si>
  <si>
    <t>d) Calcular el VaR ajustado por liquidez solo para el lunes 2-feb-2026 para la posición short de 239 mil contratos, mismo método y nivel de confianza que inciso "b"</t>
  </si>
  <si>
    <t>¿Cuántos días tomaría deshacer la posición larga de 128 mil futuros siguiendo un lineamiento o política de máximo negociar el 10% del volumen promedio últimos 90 días?</t>
  </si>
  <si>
    <t>Para calcular los rendimientos utilizar el "settlement" o "mid-market"</t>
  </si>
  <si>
    <t>b) Calcular el VaR en porcentaje y en dinero para cada día de enero de 2026 paa una posición de -239 mil contratos (short, minera), método histórico nivel de confianza 99%</t>
  </si>
  <si>
    <t>a) Calcular el VaR en porcentaje y en dinero para cada día de enero de 2026 para una posición de 128 mil contratos de futuro de plata (long, hedge fund) con método histórico nivel de confianza 97.5%</t>
  </si>
  <si>
    <t>¿Si la política de liquidez en trading para la minera es que ninguna posición tome más de 10 días hábiles en deshacerse limitandose a negociar hasta el 20% del volumen promedio últimos 90 días, cumple o no cumple?</t>
  </si>
  <si>
    <t>c) Calcular el VaR ajustado por liquidez solo para el lunes 2-feb-2026 para la posición long de 128 mil contratos, mismo método y nivel de confianza que inciso "a"</t>
  </si>
  <si>
    <t>En caso de vender en un mismo día más del 10% del volumen promedio diario, el impacto en el precio puede ser alrededor de 2% por cada 10% adicional</t>
  </si>
  <si>
    <t>rendimientos</t>
  </si>
  <si>
    <t>VaR en % if long</t>
  </si>
  <si>
    <t>VaR en $ if long</t>
  </si>
  <si>
    <t>Ver columnas "I" y "J"</t>
  </si>
  <si>
    <t>Mid mkt</t>
  </si>
  <si>
    <t>VaR en % if short</t>
  </si>
  <si>
    <t>VaR en $ if short</t>
  </si>
  <si>
    <t>spread en%</t>
  </si>
  <si>
    <t>L-VaR en %</t>
  </si>
  <si>
    <t>L-VaR en $</t>
  </si>
  <si>
    <t>El VaR ajustado por liquidez aumenta de 6.90% a 7.13% expresado en porcentaje, en dinero pasa de 3.46 a 3.58 billions</t>
  </si>
  <si>
    <t>Hay 2 formas de stress-test: eventos extremos que se han observado en los últimos 20-30 años o….una variación en tu contra de 5 sigmas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</si>
</sst>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mm/dd/yy"/>
    <numFmt numFmtId="165" formatCode="_-&quot;$&quot;* #,##0_-;\-&quot;$&quot;* #,##0_-;_-&quot;$&quot;* &quot;-&quot;??_-;_-@_-"/>
    <numFmt numFmtId="166" formatCode="0.000%"/>
  </numFmts>
  <fonts count="9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B0F0"/>
      <name val="Arial"/>
      <family val="2"/>
    </font>
    <font>
      <b/>
      <sz val="10"/>
      <color rgb="FF00B0F0"/>
      <name val="Arial"/>
      <family val="2"/>
    </font>
    <font>
      <b/>
      <sz val="10"/>
      <color rgb="FF7030A0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/>
    </xf>
    <xf numFmtId="164" fontId="0" fillId="3" borderId="0" xfId="0" applyNumberFormat="1" applyFill="1"/>
    <xf numFmtId="4" fontId="0" fillId="3" borderId="0" xfId="0" applyNumberFormat="1" applyFill="1" applyAlignment="1">
      <alignment horizontal="right"/>
    </xf>
    <xf numFmtId="0" fontId="0" fillId="3" borderId="0" xfId="0" applyFill="1" applyAlignment="1">
      <alignment horizontal="right"/>
    </xf>
    <xf numFmtId="4" fontId="0" fillId="0" borderId="0" xfId="0" applyNumberFormat="1"/>
    <xf numFmtId="164" fontId="0" fillId="0" borderId="0" xfId="0" applyNumberFormat="1"/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/>
    <xf numFmtId="10" fontId="0" fillId="0" borderId="0" xfId="2" applyNumberFormat="1" applyFont="1"/>
    <xf numFmtId="165" fontId="0" fillId="0" borderId="0" xfId="1" applyNumberFormat="1" applyFont="1"/>
    <xf numFmtId="0" fontId="4" fillId="0" borderId="0" xfId="0" applyFont="1"/>
    <xf numFmtId="0" fontId="1" fillId="4" borderId="0" xfId="0" applyFont="1" applyFill="1"/>
    <xf numFmtId="165" fontId="0" fillId="4" borderId="0" xfId="1" applyNumberFormat="1" applyFont="1" applyFill="1"/>
    <xf numFmtId="10" fontId="0" fillId="3" borderId="0" xfId="2" applyNumberFormat="1" applyFont="1" applyFill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/>
    <xf numFmtId="166" fontId="5" fillId="0" borderId="0" xfId="0" applyNumberFormat="1" applyFont="1" applyAlignment="1">
      <alignment horizontal="center"/>
    </xf>
    <xf numFmtId="165" fontId="5" fillId="0" borderId="0" xfId="1" applyNumberFormat="1" applyFont="1" applyAlignment="1">
      <alignment horizontal="center"/>
    </xf>
    <xf numFmtId="0" fontId="6" fillId="0" borderId="0" xfId="0" applyFont="1" applyAlignment="1">
      <alignment horizontal="center"/>
    </xf>
    <xf numFmtId="10" fontId="7" fillId="0" borderId="0" xfId="0" applyNumberFormat="1" applyFont="1"/>
    <xf numFmtId="165" fontId="7" fillId="0" borderId="0" xfId="1" applyNumberFormat="1" applyFont="1"/>
    <xf numFmtId="4" fontId="8" fillId="0" borderId="0" xfId="0" applyNumberFormat="1" applyFont="1"/>
    <xf numFmtId="0" fontId="8" fillId="0" borderId="0" xfId="0" applyFon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9EE82-258B-4459-B9C1-1595CA45863D}">
  <sheetPr>
    <outlinePr summaryBelow="0" summaryRight="0"/>
  </sheetPr>
  <dimension ref="A1:M757"/>
  <sheetViews>
    <sheetView tabSelected="1" zoomScale="140" zoomScaleNormal="140" workbookViewId="0">
      <pane ySplit="3" topLeftCell="A4" activePane="bottomLeft" state="frozen"/>
      <selection pane="bottomLeft" activeCell="K6" sqref="K6"/>
    </sheetView>
  </sheetViews>
  <sheetFormatPr baseColWidth="10" defaultColWidth="9.140625" defaultRowHeight="15" customHeight="1" x14ac:dyDescent="0.2"/>
  <cols>
    <col min="1" max="1" width="8.42578125" customWidth="1"/>
    <col min="2" max="2" width="6.85546875" customWidth="1"/>
    <col min="3" max="3" width="16.42578125" customWidth="1"/>
    <col min="4" max="5" width="6.85546875" customWidth="1"/>
    <col min="6" max="6" width="13.42578125" customWidth="1"/>
    <col min="7" max="7" width="7.7109375" bestFit="1" customWidth="1"/>
    <col min="8" max="8" width="12.140625" bestFit="1" customWidth="1"/>
    <col min="9" max="9" width="13.42578125" bestFit="1" customWidth="1"/>
    <col min="10" max="10" width="16.140625" bestFit="1" customWidth="1"/>
    <col min="11" max="11" width="23" bestFit="1" customWidth="1"/>
    <col min="12" max="12" width="22.42578125" bestFit="1" customWidth="1"/>
    <col min="13" max="13" width="18.85546875" bestFit="1" customWidth="1"/>
  </cols>
  <sheetData>
    <row r="1" spans="1:13" ht="15" customHeight="1" x14ac:dyDescent="0.2">
      <c r="A1" s="1" t="s">
        <v>0</v>
      </c>
      <c r="I1">
        <f>NORMSINV(0.99)</f>
        <v>2.3263478740408408</v>
      </c>
      <c r="J1" s="17" t="s">
        <v>24</v>
      </c>
      <c r="K1" s="17" t="s">
        <v>25</v>
      </c>
      <c r="L1" s="21" t="s">
        <v>24</v>
      </c>
      <c r="M1" s="21" t="s">
        <v>25</v>
      </c>
    </row>
    <row r="2" spans="1:13" ht="15" customHeight="1" x14ac:dyDescent="0.2">
      <c r="J2" s="19">
        <f>J4-0.5*(AVERAGE(H4:H254)+1.96*_xlfn.STDEV.S(H4:H254))</f>
        <v>-7.1326586165771227E-2</v>
      </c>
      <c r="K2" s="20">
        <f>J2*128000*5000*C4</f>
        <v>-3584862808.4378762</v>
      </c>
      <c r="L2" s="22">
        <f>L4+0.5*(AVERAGE(H4:H254)+2.33*_xlfn.STDEV.S(H4:H254))</f>
        <v>8.0836801170833666E-2</v>
      </c>
      <c r="M2" s="23">
        <f>L2*239000*5000*C4</f>
        <v>7586092825.1323528</v>
      </c>
    </row>
    <row r="3" spans="1:13" ht="15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23</v>
      </c>
      <c r="I3" s="2" t="s">
        <v>16</v>
      </c>
      <c r="J3" s="2" t="s">
        <v>17</v>
      </c>
      <c r="K3" s="2" t="s">
        <v>18</v>
      </c>
      <c r="L3" s="2" t="s">
        <v>21</v>
      </c>
      <c r="M3" s="2" t="s">
        <v>22</v>
      </c>
    </row>
    <row r="4" spans="1:13" ht="15" customHeight="1" x14ac:dyDescent="0.2">
      <c r="A4" s="3">
        <v>46052</v>
      </c>
      <c r="B4" s="4">
        <v>85.25</v>
      </c>
      <c r="C4" s="4">
        <v>78.531000000000006</v>
      </c>
      <c r="D4" s="4">
        <v>85.084999999999994</v>
      </c>
      <c r="E4" s="4">
        <v>85.27</v>
      </c>
      <c r="F4" s="4">
        <v>97949</v>
      </c>
      <c r="G4" s="5">
        <v>306578</v>
      </c>
      <c r="H4" s="16">
        <f>(E4-D4)/AVERAGE(D4:E4)</f>
        <v>2.1719350767515164E-3</v>
      </c>
      <c r="I4" s="24">
        <f>C4/C5-1</f>
        <v>-0.31371418084576463</v>
      </c>
      <c r="J4" s="11">
        <f>PERCENTILE(I4:I253,0.025)</f>
        <v>-6.897934170453647E-2</v>
      </c>
      <c r="K4" s="15">
        <f>128000*5000*C4*J4</f>
        <v>-3466890677.3753304</v>
      </c>
      <c r="L4" s="11">
        <f>PERCENTILE(I4:I254,0.99)</f>
        <v>7.8163005947141539E-2</v>
      </c>
      <c r="M4" s="15">
        <f t="shared" ref="M4:M23" si="0">239000*5000*C4*L4</f>
        <v>7335171728.9417915</v>
      </c>
    </row>
    <row r="5" spans="1:13" ht="15" customHeight="1" x14ac:dyDescent="0.2">
      <c r="A5" s="7">
        <v>46051</v>
      </c>
      <c r="B5" s="8">
        <v>115.785</v>
      </c>
      <c r="C5" s="8">
        <v>114.429</v>
      </c>
      <c r="D5" s="8">
        <v>115.74</v>
      </c>
      <c r="E5" s="8">
        <v>115.965</v>
      </c>
      <c r="F5" s="8">
        <v>99020</v>
      </c>
      <c r="G5" s="9">
        <v>190647</v>
      </c>
      <c r="H5" s="16">
        <f t="shared" ref="H5:H68" si="1">(E5-D5)/AVERAGE(D5:E5)</f>
        <v>1.9421246844048125E-3</v>
      </c>
      <c r="I5" s="6">
        <f t="shared" ref="I5:I68" si="2">C5/C6-1</f>
        <v>7.8831010974684812E-3</v>
      </c>
      <c r="J5" s="11">
        <f t="shared" ref="J5:J23" si="3">PERCENTILE(I5:I254,0.025)</f>
        <v>-5.692780804189413E-2</v>
      </c>
      <c r="K5" s="12">
        <f>128000*5000*C5*J5</f>
        <v>-4169082973.7125783</v>
      </c>
      <c r="L5" s="11">
        <f t="shared" ref="L5:L23" si="4">PERCENTILE(I5:I255,0.99)</f>
        <v>7.8163005947141539E-2</v>
      </c>
      <c r="M5" s="12">
        <f t="shared" si="0"/>
        <v>10688216955.992924</v>
      </c>
    </row>
    <row r="6" spans="1:13" ht="15" customHeight="1" x14ac:dyDescent="0.2">
      <c r="A6" s="3">
        <v>46050</v>
      </c>
      <c r="B6" s="4">
        <v>116.625</v>
      </c>
      <c r="C6" s="4">
        <v>113.53400000000001</v>
      </c>
      <c r="D6" s="4">
        <v>116.55</v>
      </c>
      <c r="E6" s="4">
        <v>116.69</v>
      </c>
      <c r="F6" s="4">
        <v>99276</v>
      </c>
      <c r="G6" s="5">
        <v>174176</v>
      </c>
      <c r="H6" s="16">
        <f t="shared" si="1"/>
        <v>1.2004801920768356E-3</v>
      </c>
      <c r="I6" s="6">
        <f t="shared" si="2"/>
        <v>7.1510140906216879E-2</v>
      </c>
      <c r="J6" s="11">
        <f t="shared" si="3"/>
        <v>-5.692780804189413E-2</v>
      </c>
      <c r="K6" s="12">
        <f t="shared" ref="K4:K23" si="5">128000*5000*C6*J6</f>
        <v>-4136474725.2661815</v>
      </c>
      <c r="L6" s="11">
        <f t="shared" si="4"/>
        <v>7.8163005947141539E-2</v>
      </c>
      <c r="M6" s="12">
        <f t="shared" si="0"/>
        <v>10604619667.057306</v>
      </c>
    </row>
    <row r="7" spans="1:13" ht="15" customHeight="1" x14ac:dyDescent="0.2">
      <c r="A7" s="7">
        <v>46049</v>
      </c>
      <c r="B7" s="8">
        <v>112.28</v>
      </c>
      <c r="C7" s="8">
        <v>105.95699999999999</v>
      </c>
      <c r="D7" s="8">
        <v>112.205</v>
      </c>
      <c r="E7" s="8">
        <v>112.77500000000001</v>
      </c>
      <c r="F7" s="8">
        <v>104650</v>
      </c>
      <c r="G7" s="9">
        <v>220647</v>
      </c>
      <c r="H7" s="16">
        <f t="shared" si="1"/>
        <v>5.0671170770735831E-3</v>
      </c>
      <c r="I7" s="6">
        <f t="shared" si="2"/>
        <v>-8.2655146142124991E-2</v>
      </c>
      <c r="J7" s="11">
        <f t="shared" si="3"/>
        <v>-5.692780804189413E-2</v>
      </c>
      <c r="K7" s="12">
        <f t="shared" si="5"/>
        <v>-3860415844.2847843</v>
      </c>
      <c r="L7" s="11">
        <f t="shared" si="4"/>
        <v>7.8163005947141539E-2</v>
      </c>
      <c r="M7" s="12">
        <f t="shared" si="0"/>
        <v>9896891557.2638245</v>
      </c>
    </row>
    <row r="8" spans="1:13" ht="15" customHeight="1" x14ac:dyDescent="0.2">
      <c r="A8" s="3">
        <v>46048</v>
      </c>
      <c r="B8" s="4">
        <v>103.89</v>
      </c>
      <c r="C8" s="4">
        <v>115.504</v>
      </c>
      <c r="D8" s="4">
        <v>103.7</v>
      </c>
      <c r="E8" s="4">
        <v>103.955</v>
      </c>
      <c r="F8" s="4">
        <v>104072</v>
      </c>
      <c r="G8" s="5">
        <v>312346</v>
      </c>
      <c r="H8" s="16">
        <f t="shared" si="1"/>
        <v>2.4559967253376556E-3</v>
      </c>
      <c r="I8" s="6">
        <f t="shared" si="2"/>
        <v>0.13984585475610123</v>
      </c>
      <c r="J8" s="11">
        <f t="shared" si="3"/>
        <v>-4.5718594202036535E-2</v>
      </c>
      <c r="K8" s="12">
        <f t="shared" si="5"/>
        <v>-3379635523.015698</v>
      </c>
      <c r="L8" s="11">
        <f t="shared" si="4"/>
        <v>7.8163005947141539E-2</v>
      </c>
      <c r="M8" s="12">
        <f t="shared" si="0"/>
        <v>10788627107.507771</v>
      </c>
    </row>
    <row r="9" spans="1:13" ht="15" customHeight="1" x14ac:dyDescent="0.2">
      <c r="A9" s="7">
        <v>46045</v>
      </c>
      <c r="B9" s="8">
        <v>103.285</v>
      </c>
      <c r="C9" s="8">
        <v>101.333</v>
      </c>
      <c r="D9" s="8">
        <v>103.18</v>
      </c>
      <c r="E9" s="8">
        <v>103.485</v>
      </c>
      <c r="F9" s="8">
        <v>102025</v>
      </c>
      <c r="G9" s="9">
        <v>136206</v>
      </c>
      <c r="H9" s="16">
        <f t="shared" si="1"/>
        <v>2.9516367067475634E-3</v>
      </c>
      <c r="I9" s="6">
        <f t="shared" si="2"/>
        <v>5.1477607603868325E-2</v>
      </c>
      <c r="J9" s="11">
        <f t="shared" si="3"/>
        <v>-4.5718594202036535E-2</v>
      </c>
      <c r="K9" s="12">
        <f t="shared" si="5"/>
        <v>-2964993476.0159798</v>
      </c>
      <c r="L9" s="11">
        <f t="shared" si="4"/>
        <v>7.4674997976306834E-2</v>
      </c>
      <c r="M9" s="12">
        <f t="shared" si="0"/>
        <v>9042614676.070055</v>
      </c>
    </row>
    <row r="10" spans="1:13" ht="15" customHeight="1" x14ac:dyDescent="0.2">
      <c r="A10" s="3">
        <v>46044</v>
      </c>
      <c r="B10" s="4">
        <v>96.215000000000003</v>
      </c>
      <c r="C10" s="4">
        <v>96.372</v>
      </c>
      <c r="D10" s="4">
        <v>96.004999999999995</v>
      </c>
      <c r="E10" s="4">
        <v>96.415000000000006</v>
      </c>
      <c r="F10" s="4">
        <v>100935</v>
      </c>
      <c r="G10" s="5">
        <v>104613</v>
      </c>
      <c r="H10" s="16">
        <f t="shared" si="1"/>
        <v>4.2615112774141021E-3</v>
      </c>
      <c r="I10" s="6">
        <f t="shared" si="2"/>
        <v>4.031866316914412E-2</v>
      </c>
      <c r="J10" s="11">
        <f t="shared" si="3"/>
        <v>-4.5718594202036535E-2</v>
      </c>
      <c r="K10" s="12">
        <f t="shared" si="5"/>
        <v>-2819835110.6807456</v>
      </c>
      <c r="L10" s="11">
        <f t="shared" si="4"/>
        <v>7.4674997976306834E-2</v>
      </c>
      <c r="M10" s="12">
        <f t="shared" si="0"/>
        <v>8599911791.4423065</v>
      </c>
    </row>
    <row r="11" spans="1:13" ht="15" customHeight="1" x14ac:dyDescent="0.2">
      <c r="A11" s="7">
        <v>46043</v>
      </c>
      <c r="B11" s="8">
        <v>92.954999999999998</v>
      </c>
      <c r="C11" s="8">
        <v>92.637</v>
      </c>
      <c r="D11" s="8">
        <v>92.685000000000002</v>
      </c>
      <c r="E11" s="8">
        <v>93.284999999999997</v>
      </c>
      <c r="F11" s="8">
        <v>100827</v>
      </c>
      <c r="G11" s="9">
        <v>126385</v>
      </c>
      <c r="H11" s="16">
        <f t="shared" si="1"/>
        <v>6.4526536538150707E-3</v>
      </c>
      <c r="I11" s="6">
        <f t="shared" si="2"/>
        <v>-2.112303985798214E-2</v>
      </c>
      <c r="J11" s="11">
        <f t="shared" si="3"/>
        <v>-4.5718594202036535E-2</v>
      </c>
      <c r="K11" s="12">
        <f t="shared" si="5"/>
        <v>-2710549383.1001973</v>
      </c>
      <c r="L11" s="11">
        <f t="shared" si="4"/>
        <v>7.4674997976306834E-2</v>
      </c>
      <c r="M11" s="12">
        <f t="shared" si="0"/>
        <v>8266613006.0997076</v>
      </c>
    </row>
    <row r="12" spans="1:13" ht="15" customHeight="1" x14ac:dyDescent="0.2">
      <c r="A12" s="3">
        <v>46042</v>
      </c>
      <c r="B12" s="4">
        <v>94.46</v>
      </c>
      <c r="C12" s="4">
        <v>94.635999999999996</v>
      </c>
      <c r="D12" s="4">
        <v>94.44</v>
      </c>
      <c r="E12" s="4">
        <v>94.61</v>
      </c>
      <c r="F12" s="4">
        <v>98902</v>
      </c>
      <c r="G12" s="5">
        <v>196697</v>
      </c>
      <c r="H12" s="16">
        <f t="shared" si="1"/>
        <v>1.798466014281954E-3</v>
      </c>
      <c r="I12" s="6">
        <f t="shared" si="2"/>
        <v>6.8886454250765006E-2</v>
      </c>
      <c r="J12" s="11">
        <f t="shared" si="3"/>
        <v>-4.5718594202036535E-2</v>
      </c>
      <c r="K12" s="12">
        <f t="shared" si="5"/>
        <v>-2769039923.7785149</v>
      </c>
      <c r="L12" s="11">
        <f t="shared" si="4"/>
        <v>7.4674997976306834E-2</v>
      </c>
      <c r="M12" s="12">
        <f t="shared" si="0"/>
        <v>8444997014.6404991</v>
      </c>
    </row>
    <row r="13" spans="1:13" ht="15" customHeight="1" x14ac:dyDescent="0.2">
      <c r="A13" s="7">
        <v>46038</v>
      </c>
      <c r="B13" s="8">
        <v>89.944999999999993</v>
      </c>
      <c r="C13" s="8">
        <v>88.537000000000006</v>
      </c>
      <c r="D13" s="8">
        <v>89.93</v>
      </c>
      <c r="E13" s="8">
        <v>89.984999999999999</v>
      </c>
      <c r="F13" s="8">
        <v>99035</v>
      </c>
      <c r="G13" s="9">
        <v>154592</v>
      </c>
      <c r="H13" s="16">
        <f t="shared" si="1"/>
        <v>6.1139982769632998E-4</v>
      </c>
      <c r="I13" s="6">
        <f t="shared" si="2"/>
        <v>-4.1257431210542705E-2</v>
      </c>
      <c r="J13" s="11">
        <f t="shared" si="3"/>
        <v>-4.5718594202036535E-2</v>
      </c>
      <c r="K13" s="12">
        <f t="shared" si="5"/>
        <v>-2590583791.9140539</v>
      </c>
      <c r="L13" s="11">
        <f t="shared" si="4"/>
        <v>7.4674997976306834E-2</v>
      </c>
      <c r="M13" s="12">
        <f t="shared" si="0"/>
        <v>7900742853.5147924</v>
      </c>
    </row>
    <row r="14" spans="1:13" ht="15" customHeight="1" x14ac:dyDescent="0.2">
      <c r="A14" s="3">
        <v>46037</v>
      </c>
      <c r="B14" s="4">
        <v>92.21</v>
      </c>
      <c r="C14" s="4">
        <v>92.346999999999994</v>
      </c>
      <c r="D14" s="4">
        <v>92.105000000000004</v>
      </c>
      <c r="E14" s="4">
        <v>92.334999999999994</v>
      </c>
      <c r="F14" s="4">
        <v>101291</v>
      </c>
      <c r="G14" s="5">
        <v>204941</v>
      </c>
      <c r="H14" s="16">
        <f t="shared" si="1"/>
        <v>2.4940360008673798E-3</v>
      </c>
      <c r="I14" s="6">
        <f t="shared" si="2"/>
        <v>1.0526891721835963E-2</v>
      </c>
      <c r="J14" s="11">
        <f t="shared" si="3"/>
        <v>-4.5718594202036535E-2</v>
      </c>
      <c r="K14" s="12">
        <f t="shared" si="5"/>
        <v>-2702064012.0162992</v>
      </c>
      <c r="L14" s="11">
        <f t="shared" si="4"/>
        <v>7.4674997976306834E-2</v>
      </c>
      <c r="M14" s="12">
        <f t="shared" si="0"/>
        <v>8240734385.5510187</v>
      </c>
    </row>
    <row r="15" spans="1:13" ht="15" customHeight="1" x14ac:dyDescent="0.2">
      <c r="A15" s="7">
        <v>46036</v>
      </c>
      <c r="B15" s="8">
        <v>93.174999999999997</v>
      </c>
      <c r="C15" s="8">
        <v>91.385000000000005</v>
      </c>
      <c r="D15" s="8">
        <v>92.3</v>
      </c>
      <c r="E15" s="8">
        <v>93.4</v>
      </c>
      <c r="F15" s="8">
        <v>100602</v>
      </c>
      <c r="G15" s="9">
        <v>210014</v>
      </c>
      <c r="H15" s="16">
        <f t="shared" si="1"/>
        <v>1.1847065158858467E-2</v>
      </c>
      <c r="I15" s="6">
        <f t="shared" si="2"/>
        <v>5.8456299659477962E-2</v>
      </c>
      <c r="J15" s="11">
        <f t="shared" si="3"/>
        <v>-4.5718594202036535E-2</v>
      </c>
      <c r="K15" s="12">
        <f t="shared" si="5"/>
        <v>-2673915987.9379897</v>
      </c>
      <c r="L15" s="11">
        <f t="shared" si="4"/>
        <v>7.4674997976306834E-2</v>
      </c>
      <c r="M15" s="12">
        <f t="shared" si="0"/>
        <v>8154888754.6274357</v>
      </c>
    </row>
    <row r="16" spans="1:13" ht="15" customHeight="1" x14ac:dyDescent="0.2">
      <c r="A16" s="3">
        <v>46035</v>
      </c>
      <c r="B16" s="4">
        <v>86.855000000000004</v>
      </c>
      <c r="C16" s="4">
        <v>86.337999999999994</v>
      </c>
      <c r="D16" s="4">
        <v>86.71</v>
      </c>
      <c r="E16" s="4">
        <v>86.92</v>
      </c>
      <c r="F16" s="4">
        <v>100764</v>
      </c>
      <c r="G16" s="5">
        <v>159191</v>
      </c>
      <c r="H16" s="16">
        <f t="shared" si="1"/>
        <v>2.4189368196741111E-3</v>
      </c>
      <c r="I16" s="6">
        <f t="shared" si="2"/>
        <v>1.4654898872971334E-2</v>
      </c>
      <c r="J16" s="11">
        <f t="shared" si="3"/>
        <v>-4.5718594202036535E-2</v>
      </c>
      <c r="K16" s="12">
        <f t="shared" si="5"/>
        <v>-2526241271.177875</v>
      </c>
      <c r="L16" s="11">
        <f t="shared" si="4"/>
        <v>7.4674997976306834E-2</v>
      </c>
      <c r="M16" s="12">
        <f t="shared" si="0"/>
        <v>7704511520.4576635</v>
      </c>
    </row>
    <row r="17" spans="1:13" ht="15" customHeight="1" x14ac:dyDescent="0.2">
      <c r="A17" s="7">
        <v>46034</v>
      </c>
      <c r="B17" s="8">
        <v>85.17</v>
      </c>
      <c r="C17" s="8">
        <v>85.090999999999994</v>
      </c>
      <c r="D17" s="8">
        <v>84.71</v>
      </c>
      <c r="E17" s="8">
        <v>85.174999999999997</v>
      </c>
      <c r="F17" s="8">
        <v>101490</v>
      </c>
      <c r="G17" s="9">
        <v>145956</v>
      </c>
      <c r="H17" s="16">
        <f t="shared" si="1"/>
        <v>5.4742914324396319E-3</v>
      </c>
      <c r="I17" s="6">
        <f t="shared" si="2"/>
        <v>7.2471988001159504E-2</v>
      </c>
      <c r="J17" s="11">
        <f t="shared" si="3"/>
        <v>-4.5718594202036535E-2</v>
      </c>
      <c r="K17" s="12">
        <f t="shared" si="5"/>
        <v>-2489754175.5171137</v>
      </c>
      <c r="L17" s="11">
        <f t="shared" si="4"/>
        <v>7.4674997976306834E-2</v>
      </c>
      <c r="M17" s="12">
        <f t="shared" si="0"/>
        <v>7593233452.0983</v>
      </c>
    </row>
    <row r="18" spans="1:13" ht="15" customHeight="1" x14ac:dyDescent="0.2">
      <c r="A18" s="3">
        <v>46031</v>
      </c>
      <c r="B18" s="4">
        <v>79.790000000000006</v>
      </c>
      <c r="C18" s="4">
        <v>79.340999999999994</v>
      </c>
      <c r="D18" s="4">
        <v>79.41</v>
      </c>
      <c r="E18" s="4">
        <v>79.849999999999994</v>
      </c>
      <c r="F18" s="4">
        <v>101487</v>
      </c>
      <c r="G18" s="5">
        <v>116587</v>
      </c>
      <c r="H18" s="16">
        <f t="shared" si="1"/>
        <v>5.5255556950897624E-3</v>
      </c>
      <c r="I18" s="6">
        <f t="shared" si="2"/>
        <v>5.5852762695624225E-2</v>
      </c>
      <c r="J18" s="11">
        <f t="shared" si="3"/>
        <v>-4.5718594202036535E-2</v>
      </c>
      <c r="K18" s="12">
        <f t="shared" si="5"/>
        <v>-2321509748.8536191</v>
      </c>
      <c r="L18" s="11">
        <f t="shared" si="4"/>
        <v>7.2113099685507609E-2</v>
      </c>
      <c r="M18" s="12">
        <f t="shared" si="0"/>
        <v>6837222903.3666916</v>
      </c>
    </row>
    <row r="19" spans="1:13" ht="15" customHeight="1" x14ac:dyDescent="0.2">
      <c r="A19" s="7">
        <v>46030</v>
      </c>
      <c r="B19" s="8">
        <v>76.69</v>
      </c>
      <c r="C19" s="8">
        <v>75.144000000000005</v>
      </c>
      <c r="D19" s="8">
        <v>76.454999999999998</v>
      </c>
      <c r="E19" s="8">
        <v>76.709999999999994</v>
      </c>
      <c r="F19" s="8">
        <v>104574</v>
      </c>
      <c r="G19" s="9">
        <v>121268</v>
      </c>
      <c r="H19" s="16">
        <f t="shared" si="1"/>
        <v>3.329742434629262E-3</v>
      </c>
      <c r="I19" s="6">
        <f t="shared" si="2"/>
        <v>-3.1811681032816619E-2</v>
      </c>
      <c r="J19" s="11">
        <f t="shared" si="3"/>
        <v>-4.5718594202036535E-2</v>
      </c>
      <c r="K19" s="12">
        <f t="shared" si="5"/>
        <v>-2198705947.3394132</v>
      </c>
      <c r="L19" s="11">
        <f t="shared" si="4"/>
        <v>7.2113099685507609E-2</v>
      </c>
      <c r="M19" s="12">
        <f t="shared" si="0"/>
        <v>6475545781.5075016</v>
      </c>
    </row>
    <row r="20" spans="1:13" ht="15" customHeight="1" x14ac:dyDescent="0.2">
      <c r="A20" s="3">
        <v>46029</v>
      </c>
      <c r="B20" s="4">
        <v>77.984999999999999</v>
      </c>
      <c r="C20" s="4">
        <v>77.613</v>
      </c>
      <c r="D20" s="4">
        <v>77.77</v>
      </c>
      <c r="E20" s="4">
        <v>78.064999999999998</v>
      </c>
      <c r="F20" s="4">
        <v>107626</v>
      </c>
      <c r="G20" s="5">
        <v>148089</v>
      </c>
      <c r="H20" s="16">
        <f t="shared" si="1"/>
        <v>3.786055764109497E-3</v>
      </c>
      <c r="I20" s="6">
        <f t="shared" si="2"/>
        <v>-4.2275941213489876E-2</v>
      </c>
      <c r="J20" s="11">
        <f t="shared" si="3"/>
        <v>-4.5718594202036535E-2</v>
      </c>
      <c r="K20" s="12">
        <f t="shared" si="5"/>
        <v>-2270948641.1537032</v>
      </c>
      <c r="L20" s="11">
        <f t="shared" si="4"/>
        <v>7.2113099685507609E-2</v>
      </c>
      <c r="M20" s="12">
        <f t="shared" si="0"/>
        <v>6688312237.0401058</v>
      </c>
    </row>
    <row r="21" spans="1:13" ht="15" customHeight="1" x14ac:dyDescent="0.2">
      <c r="A21" s="7">
        <v>46028</v>
      </c>
      <c r="B21" s="8">
        <v>81.22</v>
      </c>
      <c r="C21" s="8">
        <v>81.039000000000001</v>
      </c>
      <c r="D21" s="8">
        <v>81.03</v>
      </c>
      <c r="E21" s="8">
        <v>81.234999999999999</v>
      </c>
      <c r="F21" s="8">
        <v>107298</v>
      </c>
      <c r="G21" s="9">
        <v>136240</v>
      </c>
      <c r="H21" s="16">
        <f t="shared" si="1"/>
        <v>2.5267309647798147E-3</v>
      </c>
      <c r="I21" s="6">
        <f t="shared" si="2"/>
        <v>5.7163729339786418E-2</v>
      </c>
      <c r="J21" s="11">
        <f t="shared" si="3"/>
        <v>-4.5211105521644354E-2</v>
      </c>
      <c r="K21" s="12">
        <f t="shared" si="5"/>
        <v>-2344872179.4358635</v>
      </c>
      <c r="L21" s="11">
        <f t="shared" si="4"/>
        <v>7.2113099685507609E-2</v>
      </c>
      <c r="M21" s="12">
        <f t="shared" si="0"/>
        <v>6983548315.0695524</v>
      </c>
    </row>
    <row r="22" spans="1:13" ht="15" customHeight="1" x14ac:dyDescent="0.2">
      <c r="A22" s="3">
        <v>46027</v>
      </c>
      <c r="B22" s="4">
        <v>76.504999999999995</v>
      </c>
      <c r="C22" s="4">
        <v>76.656999999999996</v>
      </c>
      <c r="D22" s="4">
        <v>76.495000000000005</v>
      </c>
      <c r="E22" s="4">
        <v>76.515000000000001</v>
      </c>
      <c r="F22" s="4">
        <v>106835</v>
      </c>
      <c r="G22" s="5">
        <v>131071</v>
      </c>
      <c r="H22" s="16">
        <f t="shared" si="1"/>
        <v>2.614208221684337E-4</v>
      </c>
      <c r="I22" s="6">
        <f t="shared" si="2"/>
        <v>7.9448003942828915E-2</v>
      </c>
      <c r="J22" s="11">
        <f t="shared" si="3"/>
        <v>-4.5211105521644354E-2</v>
      </c>
      <c r="K22" s="12">
        <f t="shared" si="5"/>
        <v>-2218078538.2225223</v>
      </c>
      <c r="L22" s="11">
        <f t="shared" si="4"/>
        <v>7.2113099685507609E-2</v>
      </c>
      <c r="M22" s="12">
        <f t="shared" si="0"/>
        <v>6605928789.6973886</v>
      </c>
    </row>
    <row r="23" spans="1:13" ht="15" customHeight="1" x14ac:dyDescent="0.2">
      <c r="A23" s="7">
        <v>46024</v>
      </c>
      <c r="B23" s="8">
        <v>72.25</v>
      </c>
      <c r="C23" s="8">
        <v>71.015000000000001</v>
      </c>
      <c r="D23" s="8">
        <v>72.03</v>
      </c>
      <c r="E23" s="8">
        <v>72.31</v>
      </c>
      <c r="F23" s="8">
        <v>108819</v>
      </c>
      <c r="G23" s="9">
        <v>99463</v>
      </c>
      <c r="H23" s="16">
        <f t="shared" si="1"/>
        <v>3.8797284190106849E-3</v>
      </c>
      <c r="I23" s="6">
        <f t="shared" si="2"/>
        <v>5.8354460858605073E-3</v>
      </c>
      <c r="J23" s="11">
        <f t="shared" si="3"/>
        <v>-4.5211105521644354E-2</v>
      </c>
      <c r="K23" s="12">
        <f t="shared" si="5"/>
        <v>-2054826661.5165272</v>
      </c>
      <c r="L23" s="11">
        <f t="shared" si="4"/>
        <v>6.6841405949114918E-2</v>
      </c>
      <c r="M23" s="12">
        <f t="shared" si="0"/>
        <v>5672357219.9542933</v>
      </c>
    </row>
    <row r="24" spans="1:13" ht="15" customHeight="1" x14ac:dyDescent="0.2">
      <c r="A24" s="3">
        <v>46022</v>
      </c>
      <c r="B24" s="4">
        <v>70.98</v>
      </c>
      <c r="C24" s="4">
        <v>70.602999999999994</v>
      </c>
      <c r="D24" s="4">
        <v>70.900000000000006</v>
      </c>
      <c r="E24" s="4">
        <v>71</v>
      </c>
      <c r="F24" s="4">
        <v>110681</v>
      </c>
      <c r="G24" s="5">
        <v>144777</v>
      </c>
      <c r="H24" s="16">
        <f t="shared" si="1"/>
        <v>1.409443269908306E-3</v>
      </c>
      <c r="I24" s="6">
        <f t="shared" si="2"/>
        <v>-9.3892375415495666E-2</v>
      </c>
      <c r="L24" s="11"/>
      <c r="M24" s="12"/>
    </row>
    <row r="25" spans="1:13" ht="15" customHeight="1" x14ac:dyDescent="0.2">
      <c r="A25" s="7">
        <v>46021</v>
      </c>
      <c r="B25" s="8">
        <v>76.02</v>
      </c>
      <c r="C25" s="8">
        <v>77.918999999999997</v>
      </c>
      <c r="D25" s="8">
        <v>75.935000000000002</v>
      </c>
      <c r="E25" s="8">
        <v>76.094999999999999</v>
      </c>
      <c r="F25" s="8">
        <v>111252</v>
      </c>
      <c r="G25" s="9">
        <v>167114</v>
      </c>
      <c r="H25" s="16">
        <f t="shared" si="1"/>
        <v>2.1048477274221745E-3</v>
      </c>
      <c r="I25" s="6">
        <f t="shared" si="2"/>
        <v>0.10586148169174003</v>
      </c>
      <c r="L25" s="11"/>
      <c r="M25" s="12"/>
    </row>
    <row r="26" spans="1:13" ht="15" customHeight="1" x14ac:dyDescent="0.2">
      <c r="A26" s="3">
        <v>46020</v>
      </c>
      <c r="B26" s="4">
        <v>71.64</v>
      </c>
      <c r="C26" s="4">
        <v>70.459999999999994</v>
      </c>
      <c r="D26" s="4">
        <v>71.510000000000005</v>
      </c>
      <c r="E26" s="4">
        <v>71.685000000000002</v>
      </c>
      <c r="F26" s="4">
        <v>113795</v>
      </c>
      <c r="G26" s="5">
        <v>248836</v>
      </c>
      <c r="H26" s="16">
        <f t="shared" si="1"/>
        <v>2.4442194210691319E-3</v>
      </c>
      <c r="I26" s="6">
        <f t="shared" si="2"/>
        <v>-8.7258407171356134E-2</v>
      </c>
      <c r="L26" s="11"/>
      <c r="M26" s="12"/>
    </row>
    <row r="27" spans="1:13" ht="15" customHeight="1" x14ac:dyDescent="0.2">
      <c r="A27" s="7">
        <v>46017</v>
      </c>
      <c r="B27" s="8">
        <v>79.674999999999997</v>
      </c>
      <c r="C27" s="8">
        <v>77.195999999999998</v>
      </c>
      <c r="D27" s="8">
        <v>79.319999999999993</v>
      </c>
      <c r="E27" s="8">
        <v>79.709999999999994</v>
      </c>
      <c r="F27" s="8">
        <v>112004</v>
      </c>
      <c r="G27" s="9">
        <v>171043</v>
      </c>
      <c r="H27" s="16">
        <f t="shared" si="1"/>
        <v>4.9047349556687499E-3</v>
      </c>
      <c r="I27" s="6">
        <f t="shared" si="2"/>
        <v>7.6878007951454164E-2</v>
      </c>
      <c r="L27" s="11"/>
      <c r="M27" s="12"/>
    </row>
    <row r="28" spans="1:13" ht="15" customHeight="1" x14ac:dyDescent="0.2">
      <c r="A28" s="3">
        <v>46015</v>
      </c>
      <c r="B28" s="4">
        <v>71.88</v>
      </c>
      <c r="C28" s="4">
        <v>71.685000000000002</v>
      </c>
      <c r="D28" s="4">
        <v>71.734999999999999</v>
      </c>
      <c r="E28" s="4">
        <v>71.98</v>
      </c>
      <c r="F28" s="4">
        <v>112919</v>
      </c>
      <c r="G28" s="5">
        <v>94695</v>
      </c>
      <c r="H28" s="16">
        <f t="shared" si="1"/>
        <v>3.4095257975855623E-3</v>
      </c>
      <c r="I28" s="6">
        <f t="shared" si="2"/>
        <v>7.7034454643856165E-3</v>
      </c>
      <c r="L28" s="11"/>
      <c r="M28" s="12"/>
    </row>
    <row r="29" spans="1:13" ht="15" customHeight="1" x14ac:dyDescent="0.2">
      <c r="A29" s="7">
        <v>46014</v>
      </c>
      <c r="B29" s="8">
        <v>71.61</v>
      </c>
      <c r="C29" s="8">
        <v>71.137</v>
      </c>
      <c r="D29" s="8">
        <v>71.504999999999995</v>
      </c>
      <c r="E29" s="8">
        <v>71.650000000000006</v>
      </c>
      <c r="F29" s="8">
        <v>114525</v>
      </c>
      <c r="G29" s="9">
        <v>127435</v>
      </c>
      <c r="H29" s="16">
        <f t="shared" si="1"/>
        <v>2.0257762565053295E-3</v>
      </c>
      <c r="I29" s="6">
        <f t="shared" si="2"/>
        <v>3.7511850069277264E-2</v>
      </c>
      <c r="L29" s="11"/>
      <c r="M29" s="12"/>
    </row>
    <row r="30" spans="1:13" ht="15" customHeight="1" x14ac:dyDescent="0.2">
      <c r="A30" s="3">
        <v>46013</v>
      </c>
      <c r="B30" s="4">
        <v>69.09</v>
      </c>
      <c r="C30" s="4">
        <v>68.564999999999998</v>
      </c>
      <c r="D30" s="4">
        <v>69.05</v>
      </c>
      <c r="E30" s="4">
        <v>69.12</v>
      </c>
      <c r="F30" s="4">
        <v>115432</v>
      </c>
      <c r="G30" s="5">
        <v>97372</v>
      </c>
      <c r="H30" s="16">
        <f t="shared" si="1"/>
        <v>1.0132445538106301E-3</v>
      </c>
      <c r="I30" s="6">
        <f t="shared" si="2"/>
        <v>1.5943338914489624E-2</v>
      </c>
      <c r="L30" s="11"/>
      <c r="M30" s="12"/>
    </row>
    <row r="31" spans="1:13" ht="15" customHeight="1" x14ac:dyDescent="0.2">
      <c r="A31" s="7">
        <v>46010</v>
      </c>
      <c r="B31" s="8">
        <v>67.394999999999996</v>
      </c>
      <c r="C31" s="8">
        <v>67.489000000000004</v>
      </c>
      <c r="D31" s="8">
        <v>67.37</v>
      </c>
      <c r="E31" s="8">
        <v>67.489999999999995</v>
      </c>
      <c r="F31" s="8">
        <v>115045</v>
      </c>
      <c r="G31" s="9">
        <v>94531</v>
      </c>
      <c r="H31" s="16">
        <f t="shared" si="1"/>
        <v>1.7796233130652577E-3</v>
      </c>
      <c r="I31" s="6">
        <f t="shared" si="2"/>
        <v>3.4805808123399729E-2</v>
      </c>
      <c r="L31" s="11"/>
      <c r="M31" s="12"/>
    </row>
    <row r="32" spans="1:13" ht="15" customHeight="1" x14ac:dyDescent="0.2">
      <c r="A32" s="3">
        <v>46009</v>
      </c>
      <c r="B32" s="4">
        <v>65.45</v>
      </c>
      <c r="C32" s="4">
        <v>65.218999999999994</v>
      </c>
      <c r="D32" s="4">
        <v>65.344999999999999</v>
      </c>
      <c r="E32" s="4">
        <v>65.5</v>
      </c>
      <c r="F32" s="4">
        <v>114701</v>
      </c>
      <c r="G32" s="5">
        <v>110401</v>
      </c>
      <c r="H32" s="16">
        <f t="shared" si="1"/>
        <v>2.3692154839695997E-3</v>
      </c>
      <c r="I32" s="6">
        <f t="shared" si="2"/>
        <v>-2.5141627180460757E-2</v>
      </c>
      <c r="L32" s="11"/>
      <c r="M32" s="12"/>
    </row>
    <row r="33" spans="1:13" ht="15" customHeight="1" x14ac:dyDescent="0.2">
      <c r="A33" s="7">
        <v>46008</v>
      </c>
      <c r="B33" s="8">
        <v>66.44</v>
      </c>
      <c r="C33" s="8">
        <v>66.900999999999996</v>
      </c>
      <c r="D33" s="8">
        <v>66.349999999999994</v>
      </c>
      <c r="E33" s="8">
        <v>66.53</v>
      </c>
      <c r="F33" s="8">
        <v>113857</v>
      </c>
      <c r="G33" s="9">
        <v>145011</v>
      </c>
      <c r="H33" s="16">
        <f t="shared" si="1"/>
        <v>2.7092113184829444E-3</v>
      </c>
      <c r="I33" s="6">
        <f t="shared" si="2"/>
        <v>5.6503955908595582E-2</v>
      </c>
      <c r="L33" s="11"/>
      <c r="M33" s="12"/>
    </row>
    <row r="34" spans="1:13" ht="15" customHeight="1" x14ac:dyDescent="0.2">
      <c r="A34" s="3">
        <v>46007</v>
      </c>
      <c r="B34" s="4">
        <v>63.795000000000002</v>
      </c>
      <c r="C34" s="4">
        <v>63.323</v>
      </c>
      <c r="D34" s="4">
        <v>63.77</v>
      </c>
      <c r="E34" s="4">
        <v>63.895000000000003</v>
      </c>
      <c r="F34" s="4">
        <v>115429</v>
      </c>
      <c r="G34" s="5">
        <v>95023</v>
      </c>
      <c r="H34" s="16">
        <f t="shared" si="1"/>
        <v>1.958250107703756E-3</v>
      </c>
      <c r="I34" s="6">
        <f t="shared" si="2"/>
        <v>-4.1831134315682972E-3</v>
      </c>
      <c r="L34" s="11"/>
      <c r="M34" s="12"/>
    </row>
    <row r="35" spans="1:13" ht="15" customHeight="1" x14ac:dyDescent="0.2">
      <c r="A35" s="7">
        <v>46006</v>
      </c>
      <c r="B35" s="8">
        <v>64.13</v>
      </c>
      <c r="C35" s="8">
        <v>63.588999999999999</v>
      </c>
      <c r="D35" s="8">
        <v>63.99</v>
      </c>
      <c r="E35" s="8">
        <v>64.155000000000001</v>
      </c>
      <c r="F35" s="8">
        <v>116186</v>
      </c>
      <c r="G35" s="9">
        <v>111259</v>
      </c>
      <c r="H35" s="16">
        <f t="shared" si="1"/>
        <v>2.5752077724452635E-3</v>
      </c>
      <c r="I35" s="6">
        <f t="shared" si="2"/>
        <v>2.5513248504201114E-2</v>
      </c>
      <c r="L35" s="11"/>
      <c r="M35" s="12"/>
    </row>
    <row r="36" spans="1:13" ht="15" customHeight="1" x14ac:dyDescent="0.2">
      <c r="A36" s="3">
        <v>46003</v>
      </c>
      <c r="B36" s="4">
        <v>62.085000000000001</v>
      </c>
      <c r="C36" s="4">
        <v>62.006999999999998</v>
      </c>
      <c r="D36" s="4">
        <v>62.07</v>
      </c>
      <c r="E36" s="4">
        <v>62.094999999999999</v>
      </c>
      <c r="F36" s="4">
        <v>118308</v>
      </c>
      <c r="G36" s="5">
        <v>187300</v>
      </c>
      <c r="H36" s="16">
        <f t="shared" si="1"/>
        <v>4.0268996899284952E-4</v>
      </c>
      <c r="I36" s="6">
        <f t="shared" si="2"/>
        <v>-4.0020435967302426E-2</v>
      </c>
      <c r="L36" s="11"/>
      <c r="M36" s="12"/>
    </row>
    <row r="37" spans="1:13" ht="15" customHeight="1" x14ac:dyDescent="0.2">
      <c r="A37" s="7">
        <v>46002</v>
      </c>
      <c r="B37" s="8">
        <v>63.975000000000001</v>
      </c>
      <c r="C37" s="8">
        <v>64.591999999999999</v>
      </c>
      <c r="D37" s="8">
        <v>63.965000000000003</v>
      </c>
      <c r="E37" s="8">
        <v>63.99</v>
      </c>
      <c r="F37" s="8">
        <v>118097</v>
      </c>
      <c r="G37" s="9">
        <v>131321</v>
      </c>
      <c r="H37" s="16">
        <f t="shared" si="1"/>
        <v>3.9076237739828185E-4</v>
      </c>
      <c r="I37" s="6">
        <f t="shared" si="2"/>
        <v>5.8382080650182688E-2</v>
      </c>
      <c r="L37" s="11"/>
      <c r="M37" s="12"/>
    </row>
    <row r="38" spans="1:13" ht="15" customHeight="1" x14ac:dyDescent="0.2">
      <c r="A38" s="3">
        <v>46001</v>
      </c>
      <c r="B38" s="4">
        <v>62.204999999999998</v>
      </c>
      <c r="C38" s="4">
        <v>61.029000000000003</v>
      </c>
      <c r="D38" s="4">
        <v>62.134999999999998</v>
      </c>
      <c r="E38" s="4">
        <v>62.25</v>
      </c>
      <c r="F38" s="4">
        <v>119397</v>
      </c>
      <c r="G38" s="5">
        <v>118368</v>
      </c>
      <c r="H38" s="16">
        <f t="shared" si="1"/>
        <v>1.8490975599952085E-3</v>
      </c>
      <c r="I38" s="6">
        <f t="shared" si="2"/>
        <v>3.1065088757395998E-3</v>
      </c>
      <c r="L38" s="11"/>
      <c r="M38" s="12"/>
    </row>
    <row r="39" spans="1:13" ht="15" customHeight="1" x14ac:dyDescent="0.2">
      <c r="A39" s="7">
        <v>46000</v>
      </c>
      <c r="B39" s="8">
        <v>61.16</v>
      </c>
      <c r="C39" s="8">
        <v>60.84</v>
      </c>
      <c r="D39" s="8">
        <v>61.12</v>
      </c>
      <c r="E39" s="8">
        <v>61.22</v>
      </c>
      <c r="F39" s="8">
        <v>115934</v>
      </c>
      <c r="G39" s="9">
        <v>115710</v>
      </c>
      <c r="H39" s="16">
        <f t="shared" si="1"/>
        <v>1.6347882949158316E-3</v>
      </c>
      <c r="I39" s="6">
        <f t="shared" si="2"/>
        <v>4.169163599006942E-2</v>
      </c>
      <c r="L39" s="11"/>
      <c r="M39" s="12"/>
    </row>
    <row r="40" spans="1:13" ht="15" customHeight="1" x14ac:dyDescent="0.2">
      <c r="A40" s="3">
        <v>45999</v>
      </c>
      <c r="B40" s="4">
        <v>58.5</v>
      </c>
      <c r="C40" s="4">
        <v>58.405000000000001</v>
      </c>
      <c r="D40" s="4">
        <v>58.46</v>
      </c>
      <c r="E40" s="4">
        <v>58.524999999999999</v>
      </c>
      <c r="F40" s="4">
        <v>116989</v>
      </c>
      <c r="G40" s="5">
        <v>60317</v>
      </c>
      <c r="H40" s="16">
        <f t="shared" si="1"/>
        <v>1.1112535795187028E-3</v>
      </c>
      <c r="I40" s="6">
        <f t="shared" si="2"/>
        <v>-1.0973193571876094E-2</v>
      </c>
      <c r="L40" s="11"/>
      <c r="M40" s="12"/>
    </row>
    <row r="41" spans="1:13" ht="15" customHeight="1" x14ac:dyDescent="0.2">
      <c r="A41" s="7">
        <v>45996</v>
      </c>
      <c r="B41" s="8">
        <v>58.8</v>
      </c>
      <c r="C41" s="8">
        <v>59.052999999999997</v>
      </c>
      <c r="D41" s="8">
        <v>58.7</v>
      </c>
      <c r="E41" s="8">
        <v>58.99</v>
      </c>
      <c r="F41" s="8">
        <v>118803</v>
      </c>
      <c r="G41" s="9">
        <v>102351</v>
      </c>
      <c r="H41" s="16">
        <f t="shared" si="1"/>
        <v>4.9282012065595916E-3</v>
      </c>
      <c r="I41" s="6">
        <f t="shared" si="2"/>
        <v>2.7169470004000607E-2</v>
      </c>
      <c r="L41" s="11"/>
      <c r="M41" s="12"/>
    </row>
    <row r="42" spans="1:13" ht="15" customHeight="1" x14ac:dyDescent="0.2">
      <c r="A42" s="3">
        <v>45995</v>
      </c>
      <c r="B42" s="4">
        <v>57.53</v>
      </c>
      <c r="C42" s="4">
        <v>57.491</v>
      </c>
      <c r="D42" s="4">
        <v>57.49</v>
      </c>
      <c r="E42" s="4">
        <v>57.6</v>
      </c>
      <c r="F42" s="4">
        <v>117557</v>
      </c>
      <c r="G42" s="5">
        <v>97124</v>
      </c>
      <c r="H42" s="16">
        <f t="shared" si="1"/>
        <v>1.9115474845772774E-3</v>
      </c>
      <c r="I42" s="6">
        <f t="shared" si="2"/>
        <v>-1.9259638348686381E-2</v>
      </c>
      <c r="L42" s="11"/>
      <c r="M42" s="12"/>
    </row>
    <row r="43" spans="1:13" ht="15" customHeight="1" x14ac:dyDescent="0.2">
      <c r="A43" s="7">
        <v>45994</v>
      </c>
      <c r="B43" s="8">
        <v>58.935000000000002</v>
      </c>
      <c r="C43" s="8">
        <v>58.62</v>
      </c>
      <c r="D43" s="8">
        <v>58.924999999999997</v>
      </c>
      <c r="E43" s="8">
        <v>58.98</v>
      </c>
      <c r="F43" s="8">
        <v>118110</v>
      </c>
      <c r="G43" s="9">
        <v>102474</v>
      </c>
      <c r="H43" s="16">
        <f t="shared" si="1"/>
        <v>9.3295449726474224E-4</v>
      </c>
      <c r="I43" s="6">
        <f t="shared" si="2"/>
        <v>-1.4138970751069735E-3</v>
      </c>
      <c r="L43" s="11"/>
      <c r="M43" s="12"/>
    </row>
    <row r="44" spans="1:13" ht="15" customHeight="1" x14ac:dyDescent="0.2">
      <c r="A44" s="3">
        <v>45993</v>
      </c>
      <c r="B44" s="4">
        <v>59.15</v>
      </c>
      <c r="C44" s="4">
        <v>58.703000000000003</v>
      </c>
      <c r="D44" s="4">
        <v>59.125</v>
      </c>
      <c r="E44" s="4">
        <v>59.2</v>
      </c>
      <c r="F44" s="4">
        <v>117642</v>
      </c>
      <c r="G44" s="5">
        <v>107261</v>
      </c>
      <c r="H44" s="16">
        <f t="shared" si="1"/>
        <v>1.2676949080921672E-3</v>
      </c>
      <c r="I44" s="6">
        <f t="shared" si="2"/>
        <v>-7.4228128910081015E-3</v>
      </c>
      <c r="L44" s="11"/>
      <c r="M44" s="12"/>
    </row>
    <row r="45" spans="1:13" ht="15" customHeight="1" x14ac:dyDescent="0.2">
      <c r="A45" s="7">
        <v>45992</v>
      </c>
      <c r="B45" s="8">
        <v>58.45</v>
      </c>
      <c r="C45" s="8">
        <v>59.142000000000003</v>
      </c>
      <c r="D45" s="8">
        <v>58.45</v>
      </c>
      <c r="E45" s="8">
        <v>58.54</v>
      </c>
      <c r="F45" s="8">
        <v>117993</v>
      </c>
      <c r="G45" s="9">
        <v>138240</v>
      </c>
      <c r="H45" s="16">
        <f t="shared" si="1"/>
        <v>1.5385930421402906E-3</v>
      </c>
      <c r="I45" s="6">
        <f t="shared" si="2"/>
        <v>3.4620296345538204E-2</v>
      </c>
      <c r="L45" s="11"/>
      <c r="M45" s="12"/>
    </row>
    <row r="46" spans="1:13" ht="15" customHeight="1" x14ac:dyDescent="0.2">
      <c r="A46" s="3">
        <v>45989</v>
      </c>
      <c r="B46" s="4">
        <v>57.085000000000001</v>
      </c>
      <c r="C46" s="4">
        <v>57.162999999999997</v>
      </c>
      <c r="D46" s="4">
        <v>56.97</v>
      </c>
      <c r="E46" s="4">
        <v>57.244999999999997</v>
      </c>
      <c r="F46" s="4">
        <v>112132</v>
      </c>
      <c r="G46" s="5">
        <v>95722</v>
      </c>
      <c r="H46" s="16">
        <f t="shared" si="1"/>
        <v>4.8154795779888557E-3</v>
      </c>
      <c r="I46" s="6">
        <f t="shared" si="2"/>
        <v>6.6334620478668782E-2</v>
      </c>
      <c r="L46" s="11"/>
      <c r="M46" s="12"/>
    </row>
    <row r="47" spans="1:13" ht="15" customHeight="1" x14ac:dyDescent="0.2">
      <c r="A47" s="7">
        <v>45987</v>
      </c>
      <c r="B47" s="8">
        <v>53.76</v>
      </c>
      <c r="C47" s="8">
        <v>53.606999999999999</v>
      </c>
      <c r="D47" s="8">
        <v>53.67</v>
      </c>
      <c r="E47" s="8">
        <v>53.8</v>
      </c>
      <c r="F47" s="8">
        <v>102422</v>
      </c>
      <c r="G47" s="9">
        <v>83948</v>
      </c>
      <c r="H47" s="16">
        <f t="shared" si="1"/>
        <v>2.4192797990135934E-3</v>
      </c>
      <c r="I47" s="6">
        <f t="shared" si="2"/>
        <v>5.1839497694496028E-2</v>
      </c>
      <c r="L47" s="11"/>
      <c r="M47" s="12"/>
    </row>
    <row r="48" spans="1:13" ht="15" customHeight="1" x14ac:dyDescent="0.2">
      <c r="A48" s="3">
        <v>45986</v>
      </c>
      <c r="B48" s="4">
        <v>51.08</v>
      </c>
      <c r="C48" s="4">
        <v>50.965000000000003</v>
      </c>
      <c r="D48" s="4">
        <v>50.884999999999998</v>
      </c>
      <c r="E48" s="4">
        <v>51.16</v>
      </c>
      <c r="F48" s="4">
        <v>28643</v>
      </c>
      <c r="G48" s="5">
        <v>48792</v>
      </c>
      <c r="H48" s="16">
        <f t="shared" si="1"/>
        <v>5.3897790190601917E-3</v>
      </c>
      <c r="I48" s="6">
        <f t="shared" si="2"/>
        <v>1.2697214163652992E-2</v>
      </c>
      <c r="L48" s="11"/>
      <c r="M48" s="12"/>
    </row>
    <row r="49" spans="1:13" ht="15" customHeight="1" x14ac:dyDescent="0.2">
      <c r="A49" s="7">
        <v>45985</v>
      </c>
      <c r="B49" s="8">
        <v>51.155000000000001</v>
      </c>
      <c r="C49" s="8">
        <v>50.326000000000001</v>
      </c>
      <c r="D49" s="8">
        <v>51.055</v>
      </c>
      <c r="E49" s="8">
        <v>51.234999999999999</v>
      </c>
      <c r="F49" s="8">
        <v>42744</v>
      </c>
      <c r="G49" s="9">
        <v>56483</v>
      </c>
      <c r="H49" s="16">
        <f t="shared" si="1"/>
        <v>3.5194056114967198E-3</v>
      </c>
      <c r="I49" s="6">
        <f t="shared" si="2"/>
        <v>8.2743974515657737E-3</v>
      </c>
      <c r="L49" s="11"/>
      <c r="M49" s="12"/>
    </row>
    <row r="50" spans="1:13" ht="15" customHeight="1" x14ac:dyDescent="0.2">
      <c r="A50" s="3">
        <v>45982</v>
      </c>
      <c r="B50" s="4">
        <v>49.664999999999999</v>
      </c>
      <c r="C50" s="4">
        <v>49.912999999999997</v>
      </c>
      <c r="D50" s="4">
        <v>49.47</v>
      </c>
      <c r="E50" s="4">
        <v>49.975000000000001</v>
      </c>
      <c r="F50" s="4">
        <v>48499</v>
      </c>
      <c r="G50" s="5">
        <v>105797</v>
      </c>
      <c r="H50" s="16">
        <f t="shared" si="1"/>
        <v>1.015636784152049E-2</v>
      </c>
      <c r="I50" s="6">
        <f t="shared" si="2"/>
        <v>-7.713564342657353E-3</v>
      </c>
      <c r="L50" s="11"/>
      <c r="M50" s="12"/>
    </row>
    <row r="51" spans="1:13" ht="15" customHeight="1" x14ac:dyDescent="0.2">
      <c r="A51" s="7">
        <v>45981</v>
      </c>
      <c r="B51" s="8">
        <v>50.354999999999997</v>
      </c>
      <c r="C51" s="8">
        <v>50.301000000000002</v>
      </c>
      <c r="D51" s="8">
        <v>50.28</v>
      </c>
      <c r="E51" s="8">
        <v>50.435000000000002</v>
      </c>
      <c r="F51" s="8">
        <v>53208</v>
      </c>
      <c r="G51" s="9">
        <v>96073</v>
      </c>
      <c r="H51" s="16">
        <f t="shared" si="1"/>
        <v>3.0779923546641738E-3</v>
      </c>
      <c r="I51" s="6">
        <f t="shared" si="2"/>
        <v>-1.0874267510913582E-2</v>
      </c>
      <c r="L51" s="11"/>
      <c r="M51" s="12"/>
    </row>
    <row r="52" spans="1:13" ht="15" customHeight="1" x14ac:dyDescent="0.2">
      <c r="A52" s="3">
        <v>45980</v>
      </c>
      <c r="B52" s="4">
        <v>51.06</v>
      </c>
      <c r="C52" s="4">
        <v>50.853999999999999</v>
      </c>
      <c r="D52" s="4">
        <v>50.825000000000003</v>
      </c>
      <c r="E52" s="4">
        <v>51.145000000000003</v>
      </c>
      <c r="F52" s="4">
        <v>59430</v>
      </c>
      <c r="G52" s="5">
        <v>98090</v>
      </c>
      <c r="H52" s="16">
        <f t="shared" si="1"/>
        <v>6.2763557909189032E-3</v>
      </c>
      <c r="I52" s="6">
        <f t="shared" si="2"/>
        <v>6.5913184616297471E-3</v>
      </c>
      <c r="L52" s="11"/>
      <c r="M52" s="12"/>
    </row>
    <row r="53" spans="1:13" ht="15" customHeight="1" x14ac:dyDescent="0.2">
      <c r="A53" s="7">
        <v>45979</v>
      </c>
      <c r="B53" s="8">
        <v>50.545000000000002</v>
      </c>
      <c r="C53" s="8">
        <v>50.521000000000001</v>
      </c>
      <c r="D53" s="8">
        <v>50.51</v>
      </c>
      <c r="E53" s="8">
        <v>50.66</v>
      </c>
      <c r="F53" s="8">
        <v>62332</v>
      </c>
      <c r="G53" s="9">
        <v>75851</v>
      </c>
      <c r="H53" s="16">
        <f t="shared" si="1"/>
        <v>2.9653059207274605E-3</v>
      </c>
      <c r="I53" s="6">
        <f t="shared" si="2"/>
        <v>-3.7467216185836927E-3</v>
      </c>
      <c r="L53" s="11"/>
      <c r="M53" s="12"/>
    </row>
    <row r="54" spans="1:13" ht="15" customHeight="1" x14ac:dyDescent="0.2">
      <c r="A54" s="3">
        <v>45978</v>
      </c>
      <c r="B54" s="4">
        <v>50.05</v>
      </c>
      <c r="C54" s="4">
        <v>50.710999999999999</v>
      </c>
      <c r="D54" s="4">
        <v>50.005000000000003</v>
      </c>
      <c r="E54" s="4">
        <v>50.06</v>
      </c>
      <c r="F54" s="4">
        <v>70253</v>
      </c>
      <c r="G54" s="5">
        <v>73053</v>
      </c>
      <c r="H54" s="16">
        <f t="shared" si="1"/>
        <v>1.099285464448103E-3</v>
      </c>
      <c r="I54" s="6">
        <f t="shared" si="2"/>
        <v>4.9323284536151313E-4</v>
      </c>
      <c r="L54" s="11"/>
      <c r="M54" s="12"/>
    </row>
    <row r="55" spans="1:13" ht="15" customHeight="1" x14ac:dyDescent="0.2">
      <c r="A55" s="7">
        <v>45975</v>
      </c>
      <c r="B55" s="8">
        <v>50.4</v>
      </c>
      <c r="C55" s="8">
        <v>50.686</v>
      </c>
      <c r="D55" s="8">
        <v>50.354999999999997</v>
      </c>
      <c r="E55" s="8">
        <v>50.69</v>
      </c>
      <c r="F55" s="8">
        <v>78456</v>
      </c>
      <c r="G55" s="9">
        <v>125985</v>
      </c>
      <c r="H55" s="16">
        <f t="shared" si="1"/>
        <v>6.6307090900094194E-3</v>
      </c>
      <c r="I55" s="6">
        <f t="shared" si="2"/>
        <v>-4.6718074101937179E-2</v>
      </c>
      <c r="L55" s="11"/>
      <c r="M55" s="12"/>
    </row>
    <row r="56" spans="1:13" ht="15" customHeight="1" x14ac:dyDescent="0.2">
      <c r="A56" s="3">
        <v>45974</v>
      </c>
      <c r="B56" s="4">
        <v>52.225000000000001</v>
      </c>
      <c r="C56" s="4">
        <v>53.17</v>
      </c>
      <c r="D56" s="4">
        <v>52.21</v>
      </c>
      <c r="E56" s="4">
        <v>52.32</v>
      </c>
      <c r="F56" s="4">
        <v>84452</v>
      </c>
      <c r="G56" s="5">
        <v>122388</v>
      </c>
      <c r="H56" s="16">
        <f t="shared" si="1"/>
        <v>2.1046589495838405E-3</v>
      </c>
      <c r="I56" s="6">
        <f t="shared" si="2"/>
        <v>-5.3688010924668461E-3</v>
      </c>
      <c r="L56" s="11"/>
      <c r="M56" s="12"/>
    </row>
    <row r="57" spans="1:13" ht="15" customHeight="1" x14ac:dyDescent="0.2">
      <c r="A57" s="7">
        <v>45973</v>
      </c>
      <c r="B57" s="8">
        <v>53.23</v>
      </c>
      <c r="C57" s="8">
        <v>53.457000000000001</v>
      </c>
      <c r="D57" s="8">
        <v>53.17</v>
      </c>
      <c r="E57" s="8">
        <v>53.354999999999997</v>
      </c>
      <c r="F57" s="8">
        <v>88600</v>
      </c>
      <c r="G57" s="9">
        <v>101561</v>
      </c>
      <c r="H57" s="16">
        <f t="shared" si="1"/>
        <v>3.4733630603143895E-3</v>
      </c>
      <c r="I57" s="6">
        <f t="shared" si="2"/>
        <v>5.3464448998896463E-2</v>
      </c>
      <c r="L57" s="11"/>
      <c r="M57" s="12"/>
    </row>
    <row r="58" spans="1:13" ht="15" customHeight="1" x14ac:dyDescent="0.2">
      <c r="A58" s="3">
        <v>45972</v>
      </c>
      <c r="B58" s="4">
        <v>51.075000000000003</v>
      </c>
      <c r="C58" s="4">
        <v>50.744</v>
      </c>
      <c r="D58" s="4">
        <v>51.055</v>
      </c>
      <c r="E58" s="4">
        <v>51.13</v>
      </c>
      <c r="F58" s="4">
        <v>94353</v>
      </c>
      <c r="G58" s="5">
        <v>69857</v>
      </c>
      <c r="H58" s="16">
        <f t="shared" si="1"/>
        <v>1.4679258208152438E-3</v>
      </c>
      <c r="I58" s="6">
        <f t="shared" si="2"/>
        <v>8.6064677704675852E-3</v>
      </c>
      <c r="L58" s="11"/>
      <c r="M58" s="12"/>
    </row>
    <row r="59" spans="1:13" ht="15" customHeight="1" x14ac:dyDescent="0.2">
      <c r="A59" s="7">
        <v>45971</v>
      </c>
      <c r="B59" s="8">
        <v>50.405000000000001</v>
      </c>
      <c r="C59" s="8">
        <v>50.311</v>
      </c>
      <c r="D59" s="8">
        <v>50.395000000000003</v>
      </c>
      <c r="E59" s="8">
        <v>50.48</v>
      </c>
      <c r="F59" s="8">
        <v>96354</v>
      </c>
      <c r="G59" s="9">
        <v>78080</v>
      </c>
      <c r="H59" s="16">
        <f t="shared" si="1"/>
        <v>1.6852540272613383E-3</v>
      </c>
      <c r="I59" s="6">
        <f t="shared" si="2"/>
        <v>4.5032507321936643E-2</v>
      </c>
      <c r="L59" s="11"/>
      <c r="M59" s="12"/>
    </row>
    <row r="60" spans="1:13" ht="15" customHeight="1" x14ac:dyDescent="0.2">
      <c r="A60" s="3">
        <v>45968</v>
      </c>
      <c r="B60" s="4">
        <v>48.225000000000001</v>
      </c>
      <c r="C60" s="4">
        <v>48.143000000000001</v>
      </c>
      <c r="D60" s="4">
        <v>48.19</v>
      </c>
      <c r="E60" s="4">
        <v>48.314999999999998</v>
      </c>
      <c r="F60" s="4">
        <v>102295</v>
      </c>
      <c r="G60" s="5">
        <v>61360</v>
      </c>
      <c r="H60" s="16">
        <f t="shared" si="1"/>
        <v>2.5905393502927312E-3</v>
      </c>
      <c r="I60" s="6">
        <f t="shared" si="2"/>
        <v>4.0250260688217132E-3</v>
      </c>
      <c r="L60" s="11"/>
      <c r="M60" s="12"/>
    </row>
    <row r="61" spans="1:13" ht="15" customHeight="1" x14ac:dyDescent="0.2">
      <c r="A61" s="7">
        <v>45967</v>
      </c>
      <c r="B61" s="8">
        <v>47.844999999999999</v>
      </c>
      <c r="C61" s="8">
        <v>47.95</v>
      </c>
      <c r="D61" s="8">
        <v>47.825000000000003</v>
      </c>
      <c r="E61" s="8">
        <v>47.86</v>
      </c>
      <c r="F61" s="8">
        <v>102764</v>
      </c>
      <c r="G61" s="9">
        <v>50143</v>
      </c>
      <c r="H61" s="16">
        <f t="shared" si="1"/>
        <v>7.3156712128330645E-4</v>
      </c>
      <c r="I61" s="6">
        <f t="shared" si="2"/>
        <v>-1.4993128149597412E-3</v>
      </c>
      <c r="L61" s="11"/>
      <c r="M61" s="12"/>
    </row>
    <row r="62" spans="1:13" ht="15" customHeight="1" x14ac:dyDescent="0.2">
      <c r="A62" s="3">
        <v>45966</v>
      </c>
      <c r="B62" s="4">
        <v>47.86</v>
      </c>
      <c r="C62" s="4">
        <v>48.021999999999998</v>
      </c>
      <c r="D62" s="4">
        <v>47.81</v>
      </c>
      <c r="E62" s="4">
        <v>47.95</v>
      </c>
      <c r="F62" s="4">
        <v>102717</v>
      </c>
      <c r="G62" s="5">
        <v>46942</v>
      </c>
      <c r="H62" s="16">
        <f t="shared" si="1"/>
        <v>2.923976608187146E-3</v>
      </c>
      <c r="I62" s="6">
        <f t="shared" si="2"/>
        <v>1.545748662536206E-2</v>
      </c>
      <c r="L62" s="11"/>
      <c r="M62" s="12"/>
    </row>
    <row r="63" spans="1:13" ht="15" customHeight="1" x14ac:dyDescent="0.2">
      <c r="A63" s="7">
        <v>45965</v>
      </c>
      <c r="B63" s="8">
        <v>46.895000000000003</v>
      </c>
      <c r="C63" s="8">
        <v>47.290999999999997</v>
      </c>
      <c r="D63" s="8">
        <v>46.84</v>
      </c>
      <c r="E63" s="8">
        <v>46.94</v>
      </c>
      <c r="F63" s="8">
        <v>105295</v>
      </c>
      <c r="G63" s="9">
        <v>60177</v>
      </c>
      <c r="H63" s="16">
        <f t="shared" si="1"/>
        <v>2.1326508850499962E-3</v>
      </c>
      <c r="I63" s="6">
        <f t="shared" si="2"/>
        <v>-1.5775562446669111E-2</v>
      </c>
      <c r="L63" s="11"/>
      <c r="M63" s="12"/>
    </row>
    <row r="64" spans="1:13" ht="15" customHeight="1" x14ac:dyDescent="0.2">
      <c r="A64" s="3">
        <v>45964</v>
      </c>
      <c r="B64" s="4">
        <v>47.91</v>
      </c>
      <c r="C64" s="4">
        <v>48.048999999999999</v>
      </c>
      <c r="D64" s="4">
        <v>47.88</v>
      </c>
      <c r="E64" s="4">
        <v>47.94</v>
      </c>
      <c r="F64" s="4">
        <v>105276</v>
      </c>
      <c r="G64" s="5">
        <v>51400</v>
      </c>
      <c r="H64" s="16">
        <f t="shared" si="1"/>
        <v>1.252348152786374E-3</v>
      </c>
      <c r="I64" s="6">
        <f t="shared" si="2"/>
        <v>-2.304817275747495E-3</v>
      </c>
      <c r="L64" s="11"/>
      <c r="M64" s="12"/>
    </row>
    <row r="65" spans="1:13" ht="15" customHeight="1" x14ac:dyDescent="0.2">
      <c r="A65" s="7">
        <v>45961</v>
      </c>
      <c r="B65" s="8">
        <v>48.25</v>
      </c>
      <c r="C65" s="8">
        <v>48.16</v>
      </c>
      <c r="D65" s="8">
        <v>48.2</v>
      </c>
      <c r="E65" s="8">
        <v>48.33</v>
      </c>
      <c r="F65" s="8">
        <v>106951</v>
      </c>
      <c r="G65" s="9">
        <v>56017</v>
      </c>
      <c r="H65" s="16">
        <f t="shared" si="1"/>
        <v>2.6934631720707644E-3</v>
      </c>
      <c r="I65" s="6">
        <f t="shared" si="2"/>
        <v>-9.3796281059733699E-3</v>
      </c>
      <c r="L65" s="11"/>
      <c r="M65" s="12"/>
    </row>
    <row r="66" spans="1:13" ht="15" customHeight="1" x14ac:dyDescent="0.2">
      <c r="A66" s="3">
        <v>45960</v>
      </c>
      <c r="B66" s="4">
        <v>48.734999999999999</v>
      </c>
      <c r="C66" s="4">
        <v>48.616</v>
      </c>
      <c r="D66" s="4">
        <v>48.725000000000001</v>
      </c>
      <c r="E66" s="4">
        <v>48.8</v>
      </c>
      <c r="F66" s="4">
        <v>106724</v>
      </c>
      <c r="G66" s="5">
        <v>62166</v>
      </c>
      <c r="H66" s="16">
        <f t="shared" si="1"/>
        <v>1.5380671622659981E-3</v>
      </c>
      <c r="I66" s="6">
        <f t="shared" si="2"/>
        <v>1.4672427107465635E-2</v>
      </c>
      <c r="L66" s="11"/>
      <c r="M66" s="12"/>
    </row>
    <row r="67" spans="1:13" ht="15" customHeight="1" x14ac:dyDescent="0.2">
      <c r="A67" s="7">
        <v>45959</v>
      </c>
      <c r="B67" s="8">
        <v>47.265000000000001</v>
      </c>
      <c r="C67" s="8">
        <v>47.912999999999997</v>
      </c>
      <c r="D67" s="8">
        <v>47.22</v>
      </c>
      <c r="E67" s="8">
        <v>47.54</v>
      </c>
      <c r="F67" s="8">
        <v>107513</v>
      </c>
      <c r="G67" s="9">
        <v>74607</v>
      </c>
      <c r="H67" s="16">
        <f t="shared" si="1"/>
        <v>6.7539046010975162E-3</v>
      </c>
      <c r="I67" s="6">
        <f t="shared" si="2"/>
        <v>1.2446116135576002E-2</v>
      </c>
      <c r="L67" s="11"/>
      <c r="M67" s="12"/>
    </row>
    <row r="68" spans="1:13" ht="15" customHeight="1" x14ac:dyDescent="0.2">
      <c r="A68" s="3">
        <v>45958</v>
      </c>
      <c r="B68" s="4">
        <v>47.14</v>
      </c>
      <c r="C68" s="4">
        <v>47.323999999999998</v>
      </c>
      <c r="D68" s="4">
        <v>47.115000000000002</v>
      </c>
      <c r="E68" s="4">
        <v>47.2</v>
      </c>
      <c r="F68" s="4">
        <v>111208</v>
      </c>
      <c r="G68" s="5">
        <v>77521</v>
      </c>
      <c r="H68" s="16">
        <f t="shared" si="1"/>
        <v>1.8024704447861073E-3</v>
      </c>
      <c r="I68" s="6">
        <f t="shared" si="2"/>
        <v>1.1758669346217943E-2</v>
      </c>
      <c r="L68" s="11"/>
      <c r="M68" s="12"/>
    </row>
    <row r="69" spans="1:13" ht="15" customHeight="1" x14ac:dyDescent="0.2">
      <c r="A69" s="7">
        <v>45957</v>
      </c>
      <c r="B69" s="8">
        <v>46.83</v>
      </c>
      <c r="C69" s="8">
        <v>46.774000000000001</v>
      </c>
      <c r="D69" s="8">
        <v>46.704999999999998</v>
      </c>
      <c r="E69" s="8">
        <v>46.865000000000002</v>
      </c>
      <c r="F69" s="8">
        <v>113856</v>
      </c>
      <c r="G69" s="9">
        <v>94606</v>
      </c>
      <c r="H69" s="16">
        <f t="shared" ref="H69:H132" si="6">(E69-D69)/AVERAGE(D69:E69)</f>
        <v>3.4198995404510785E-3</v>
      </c>
      <c r="I69" s="6">
        <f t="shared" ref="I69:I132" si="7">C69/C70-1</f>
        <v>-3.7294693944757706E-2</v>
      </c>
      <c r="L69" s="11"/>
      <c r="M69" s="12"/>
    </row>
    <row r="70" spans="1:13" ht="15" customHeight="1" x14ac:dyDescent="0.2">
      <c r="A70" s="3">
        <v>45954</v>
      </c>
      <c r="B70" s="4">
        <v>48.41</v>
      </c>
      <c r="C70" s="4">
        <v>48.585999999999999</v>
      </c>
      <c r="D70" s="4">
        <v>48.33</v>
      </c>
      <c r="E70" s="4">
        <v>48.7</v>
      </c>
      <c r="F70" s="4">
        <v>115483</v>
      </c>
      <c r="G70" s="5">
        <v>72046</v>
      </c>
      <c r="H70" s="16">
        <f t="shared" si="6"/>
        <v>7.6265072657941777E-3</v>
      </c>
      <c r="I70" s="6">
        <f t="shared" si="7"/>
        <v>-2.4227989487516366E-3</v>
      </c>
      <c r="L70" s="11"/>
      <c r="M70" s="12"/>
    </row>
    <row r="71" spans="1:13" ht="15" customHeight="1" x14ac:dyDescent="0.2">
      <c r="A71" s="7">
        <v>45953</v>
      </c>
      <c r="B71" s="8">
        <v>48.65</v>
      </c>
      <c r="C71" s="8">
        <v>48.704000000000001</v>
      </c>
      <c r="D71" s="8">
        <v>48.5</v>
      </c>
      <c r="E71" s="8">
        <v>48.664999999999999</v>
      </c>
      <c r="F71" s="8">
        <v>115405</v>
      </c>
      <c r="G71" s="9">
        <v>67041</v>
      </c>
      <c r="H71" s="16">
        <f t="shared" si="6"/>
        <v>3.3962846704059932E-3</v>
      </c>
      <c r="I71" s="6">
        <f t="shared" si="7"/>
        <v>2.1455086931901679E-2</v>
      </c>
      <c r="L71" s="11"/>
      <c r="M71" s="12"/>
    </row>
    <row r="72" spans="1:13" ht="15" customHeight="1" x14ac:dyDescent="0.2">
      <c r="A72" s="3">
        <v>45952</v>
      </c>
      <c r="B72" s="4">
        <v>48.18</v>
      </c>
      <c r="C72" s="4">
        <v>47.680999999999997</v>
      </c>
      <c r="D72" s="4">
        <v>48.14</v>
      </c>
      <c r="E72" s="4">
        <v>48.244999999999997</v>
      </c>
      <c r="F72" s="4">
        <v>118963</v>
      </c>
      <c r="G72" s="5">
        <v>112719</v>
      </c>
      <c r="H72" s="16">
        <f t="shared" si="6"/>
        <v>2.1787622555376226E-3</v>
      </c>
      <c r="I72" s="6">
        <f t="shared" si="7"/>
        <v>-4.8213986248535345E-4</v>
      </c>
      <c r="L72" s="11"/>
      <c r="M72" s="12"/>
    </row>
    <row r="73" spans="1:13" ht="15" customHeight="1" x14ac:dyDescent="0.2">
      <c r="A73" s="7">
        <v>45951</v>
      </c>
      <c r="B73" s="8">
        <v>48.15</v>
      </c>
      <c r="C73" s="8">
        <v>47.704000000000001</v>
      </c>
      <c r="D73" s="8">
        <v>48.075000000000003</v>
      </c>
      <c r="E73" s="8">
        <v>48.18</v>
      </c>
      <c r="F73" s="8">
        <v>122583</v>
      </c>
      <c r="G73" s="9">
        <v>155458</v>
      </c>
      <c r="H73" s="16">
        <f t="shared" si="6"/>
        <v>2.1817048465014154E-3</v>
      </c>
      <c r="I73" s="6">
        <f t="shared" si="7"/>
        <v>-7.161762416316364E-2</v>
      </c>
      <c r="L73" s="11"/>
      <c r="M73" s="12"/>
    </row>
    <row r="74" spans="1:13" ht="15" customHeight="1" x14ac:dyDescent="0.2">
      <c r="A74" s="3">
        <v>45950</v>
      </c>
      <c r="B74" s="4">
        <v>51.405000000000001</v>
      </c>
      <c r="C74" s="4">
        <v>51.384</v>
      </c>
      <c r="D74" s="4">
        <v>51.365000000000002</v>
      </c>
      <c r="E74" s="4">
        <v>51.484999999999999</v>
      </c>
      <c r="F74" s="4">
        <v>127367</v>
      </c>
      <c r="G74" s="5">
        <v>97483</v>
      </c>
      <c r="H74" s="16">
        <f t="shared" si="6"/>
        <v>2.3334953816236742E-3</v>
      </c>
      <c r="I74" s="6">
        <f t="shared" si="7"/>
        <v>2.5546862525946068E-2</v>
      </c>
      <c r="L74" s="11"/>
      <c r="M74" s="12"/>
    </row>
    <row r="75" spans="1:13" ht="15" customHeight="1" x14ac:dyDescent="0.2">
      <c r="A75" s="7">
        <v>45947</v>
      </c>
      <c r="B75" s="8">
        <v>50.63</v>
      </c>
      <c r="C75" s="8">
        <v>50.103999999999999</v>
      </c>
      <c r="D75" s="8">
        <v>50.555</v>
      </c>
      <c r="E75" s="8">
        <v>50.664999999999999</v>
      </c>
      <c r="F75" s="8">
        <v>127469</v>
      </c>
      <c r="G75" s="9">
        <v>180330</v>
      </c>
      <c r="H75" s="16">
        <f t="shared" si="6"/>
        <v>2.17348350128432E-3</v>
      </c>
      <c r="I75" s="6">
        <f t="shared" si="7"/>
        <v>-5.9891924347042935E-2</v>
      </c>
      <c r="L75" s="11"/>
      <c r="M75" s="12"/>
    </row>
    <row r="76" spans="1:13" ht="15" customHeight="1" x14ac:dyDescent="0.2">
      <c r="A76" s="3">
        <v>45946</v>
      </c>
      <c r="B76" s="4">
        <v>53.435000000000002</v>
      </c>
      <c r="C76" s="4">
        <v>53.295999999999999</v>
      </c>
      <c r="D76" s="4">
        <v>53.274999999999999</v>
      </c>
      <c r="E76" s="4">
        <v>53.45</v>
      </c>
      <c r="F76" s="4">
        <v>126863</v>
      </c>
      <c r="G76" s="5">
        <v>144130</v>
      </c>
      <c r="H76" s="16">
        <f t="shared" si="6"/>
        <v>3.2794565472008298E-3</v>
      </c>
      <c r="I76" s="6">
        <f t="shared" si="7"/>
        <v>3.7331153411966245E-2</v>
      </c>
      <c r="L76" s="11"/>
      <c r="M76" s="12"/>
    </row>
    <row r="77" spans="1:13" ht="15" customHeight="1" x14ac:dyDescent="0.2">
      <c r="A77" s="7">
        <v>45945</v>
      </c>
      <c r="B77" s="8">
        <v>52.524999999999999</v>
      </c>
      <c r="C77" s="8">
        <v>51.378</v>
      </c>
      <c r="D77" s="8">
        <v>52.494999999999997</v>
      </c>
      <c r="E77" s="8">
        <v>52.615000000000002</v>
      </c>
      <c r="F77" s="8">
        <v>126690</v>
      </c>
      <c r="G77" s="9">
        <v>122064</v>
      </c>
      <c r="H77" s="16">
        <f t="shared" si="6"/>
        <v>2.2833222338503388E-3</v>
      </c>
      <c r="I77" s="6">
        <f t="shared" si="7"/>
        <v>1.4934218324048842E-2</v>
      </c>
      <c r="L77" s="11"/>
      <c r="M77" s="12"/>
    </row>
    <row r="78" spans="1:13" ht="15" customHeight="1" x14ac:dyDescent="0.2">
      <c r="A78" s="3">
        <v>45944</v>
      </c>
      <c r="B78" s="4">
        <v>50.344999999999999</v>
      </c>
      <c r="C78" s="4">
        <v>50.622</v>
      </c>
      <c r="D78" s="4">
        <v>50.3</v>
      </c>
      <c r="E78" s="4">
        <v>50.46</v>
      </c>
      <c r="F78" s="4">
        <v>126571</v>
      </c>
      <c r="G78" s="5">
        <v>179251</v>
      </c>
      <c r="H78" s="16">
        <f t="shared" si="6"/>
        <v>3.1758634378722451E-3</v>
      </c>
      <c r="I78" s="6">
        <f t="shared" si="7"/>
        <v>3.8271629419579511E-3</v>
      </c>
      <c r="L78" s="11"/>
      <c r="M78" s="12"/>
    </row>
    <row r="79" spans="1:13" ht="15" customHeight="1" x14ac:dyDescent="0.2">
      <c r="A79" s="7">
        <v>45943</v>
      </c>
      <c r="B79" s="8">
        <v>50.774999999999999</v>
      </c>
      <c r="C79" s="8">
        <v>50.429000000000002</v>
      </c>
      <c r="D79" s="8">
        <v>50.765000000000001</v>
      </c>
      <c r="E79" s="8">
        <v>50.79</v>
      </c>
      <c r="F79" s="8">
        <v>128204</v>
      </c>
      <c r="G79" s="9">
        <v>132137</v>
      </c>
      <c r="H79" s="16">
        <f t="shared" si="6"/>
        <v>4.9234405002212742E-4</v>
      </c>
      <c r="I79" s="6">
        <f t="shared" si="7"/>
        <v>6.7348191419561054E-2</v>
      </c>
      <c r="L79" s="11"/>
      <c r="M79" s="12"/>
    </row>
    <row r="80" spans="1:13" ht="15" customHeight="1" x14ac:dyDescent="0.2">
      <c r="A80" s="3">
        <v>45940</v>
      </c>
      <c r="B80" s="4">
        <v>47.52</v>
      </c>
      <c r="C80" s="4">
        <v>47.247</v>
      </c>
      <c r="D80" s="4">
        <v>47.405000000000001</v>
      </c>
      <c r="E80" s="4">
        <v>47.54</v>
      </c>
      <c r="F80" s="4">
        <v>128281</v>
      </c>
      <c r="G80" s="5">
        <v>141909</v>
      </c>
      <c r="H80" s="16">
        <f t="shared" si="6"/>
        <v>2.8437516456895681E-3</v>
      </c>
      <c r="I80" s="6">
        <f t="shared" si="7"/>
        <v>1.9085183535849648E-3</v>
      </c>
      <c r="L80" s="11"/>
      <c r="M80" s="12"/>
    </row>
    <row r="81" spans="1:13" ht="15" customHeight="1" x14ac:dyDescent="0.2">
      <c r="A81" s="7">
        <v>45939</v>
      </c>
      <c r="B81" s="8">
        <v>47.655000000000001</v>
      </c>
      <c r="C81" s="8">
        <v>47.156999999999996</v>
      </c>
      <c r="D81" s="8">
        <v>47.64</v>
      </c>
      <c r="E81" s="8">
        <v>47.67</v>
      </c>
      <c r="F81" s="8">
        <v>129757</v>
      </c>
      <c r="G81" s="9">
        <v>186872</v>
      </c>
      <c r="H81" s="16">
        <f t="shared" si="6"/>
        <v>6.2952470884484601E-4</v>
      </c>
      <c r="I81" s="6">
        <f t="shared" si="7"/>
        <v>-3.749438706780428E-2</v>
      </c>
      <c r="L81" s="11"/>
      <c r="M81" s="12"/>
    </row>
    <row r="82" spans="1:13" ht="15" customHeight="1" x14ac:dyDescent="0.2">
      <c r="A82" s="3">
        <v>45938</v>
      </c>
      <c r="B82" s="4">
        <v>48.44</v>
      </c>
      <c r="C82" s="4">
        <v>48.994</v>
      </c>
      <c r="D82" s="4">
        <v>48.424999999999997</v>
      </c>
      <c r="E82" s="4">
        <v>48.454999999999998</v>
      </c>
      <c r="F82" s="4">
        <v>130385</v>
      </c>
      <c r="G82" s="5">
        <v>97283</v>
      </c>
      <c r="H82" s="16">
        <f t="shared" si="6"/>
        <v>6.1932287365815727E-4</v>
      </c>
      <c r="I82" s="6">
        <f t="shared" si="7"/>
        <v>3.1127012522361275E-2</v>
      </c>
      <c r="L82" s="11"/>
      <c r="M82" s="12"/>
    </row>
    <row r="83" spans="1:13" ht="15" customHeight="1" x14ac:dyDescent="0.2">
      <c r="A83" s="7">
        <v>45937</v>
      </c>
      <c r="B83" s="8">
        <v>47.655000000000001</v>
      </c>
      <c r="C83" s="8">
        <v>47.515000000000001</v>
      </c>
      <c r="D83" s="8">
        <v>47.64</v>
      </c>
      <c r="E83" s="8">
        <v>47.67</v>
      </c>
      <c r="F83" s="8">
        <v>130757</v>
      </c>
      <c r="G83" s="9">
        <v>101062</v>
      </c>
      <c r="H83" s="16">
        <f t="shared" si="6"/>
        <v>6.2952470884484601E-4</v>
      </c>
      <c r="I83" s="6">
        <f t="shared" si="7"/>
        <v>-1.9257760898282683E-2</v>
      </c>
      <c r="L83" s="11"/>
      <c r="M83" s="12"/>
    </row>
    <row r="84" spans="1:13" ht="15" customHeight="1" x14ac:dyDescent="0.2">
      <c r="A84" s="3">
        <v>45936</v>
      </c>
      <c r="B84" s="4">
        <v>48.4</v>
      </c>
      <c r="C84" s="4">
        <v>48.448</v>
      </c>
      <c r="D84" s="4">
        <v>48.395000000000003</v>
      </c>
      <c r="E84" s="4">
        <v>48.405000000000001</v>
      </c>
      <c r="F84" s="4">
        <v>132736</v>
      </c>
      <c r="G84" s="5">
        <v>79541</v>
      </c>
      <c r="H84" s="16">
        <f t="shared" si="6"/>
        <v>2.0661157024789276E-4</v>
      </c>
      <c r="I84" s="6">
        <f t="shared" si="7"/>
        <v>1.0069842593557699E-2</v>
      </c>
      <c r="L84" s="11"/>
      <c r="M84" s="12"/>
    </row>
    <row r="85" spans="1:13" ht="15" customHeight="1" x14ac:dyDescent="0.2">
      <c r="A85" s="7">
        <v>45933</v>
      </c>
      <c r="B85" s="8">
        <v>47.97</v>
      </c>
      <c r="C85" s="8">
        <v>47.965000000000003</v>
      </c>
      <c r="D85" s="8">
        <v>47.954999999999998</v>
      </c>
      <c r="E85" s="8">
        <v>47.99</v>
      </c>
      <c r="F85" s="8">
        <v>131902</v>
      </c>
      <c r="G85" s="9">
        <v>92319</v>
      </c>
      <c r="H85" s="16">
        <f t="shared" si="6"/>
        <v>7.2958465787698577E-4</v>
      </c>
      <c r="I85" s="6">
        <f t="shared" si="7"/>
        <v>3.4419547542539286E-2</v>
      </c>
      <c r="L85" s="11"/>
      <c r="M85" s="12"/>
    </row>
    <row r="86" spans="1:13" ht="15" customHeight="1" x14ac:dyDescent="0.2">
      <c r="A86" s="3">
        <v>45932</v>
      </c>
      <c r="B86" s="4">
        <v>46.87</v>
      </c>
      <c r="C86" s="4">
        <v>46.369</v>
      </c>
      <c r="D86" s="4">
        <v>46.865000000000002</v>
      </c>
      <c r="E86" s="4">
        <v>46.88</v>
      </c>
      <c r="F86" s="4">
        <v>132956</v>
      </c>
      <c r="G86" s="5">
        <v>114581</v>
      </c>
      <c r="H86" s="16">
        <f t="shared" si="6"/>
        <v>3.2001706757694954E-4</v>
      </c>
      <c r="I86" s="6">
        <f t="shared" si="7"/>
        <v>-2.7475408460747919E-2</v>
      </c>
      <c r="L86" s="11"/>
      <c r="M86" s="12"/>
    </row>
    <row r="87" spans="1:13" ht="15" customHeight="1" x14ac:dyDescent="0.2">
      <c r="A87" s="7">
        <v>45931</v>
      </c>
      <c r="B87" s="8">
        <v>47.42</v>
      </c>
      <c r="C87" s="8">
        <v>47.679000000000002</v>
      </c>
      <c r="D87" s="8">
        <v>47.414999999999999</v>
      </c>
      <c r="E87" s="8">
        <v>47.44</v>
      </c>
      <c r="F87" s="8">
        <v>132230</v>
      </c>
      <c r="G87" s="9">
        <v>94442</v>
      </c>
      <c r="H87" s="16">
        <f t="shared" si="6"/>
        <v>5.2712034157395148E-4</v>
      </c>
      <c r="I87" s="6">
        <f t="shared" si="7"/>
        <v>2.22770154373928E-2</v>
      </c>
      <c r="L87" s="11"/>
      <c r="M87" s="12"/>
    </row>
    <row r="88" spans="1:13" ht="15" customHeight="1" x14ac:dyDescent="0.2">
      <c r="A88" s="3">
        <v>45930</v>
      </c>
      <c r="B88" s="4">
        <v>46.84</v>
      </c>
      <c r="C88" s="4">
        <v>46.64</v>
      </c>
      <c r="D88" s="4">
        <v>46.83</v>
      </c>
      <c r="E88" s="4">
        <v>46.844999999999999</v>
      </c>
      <c r="F88" s="4">
        <v>133005</v>
      </c>
      <c r="G88" s="5">
        <v>99974</v>
      </c>
      <c r="H88" s="16">
        <f t="shared" si="6"/>
        <v>3.2025620496398333E-4</v>
      </c>
      <c r="I88" s="6">
        <f t="shared" si="7"/>
        <v>-7.9972775225454207E-3</v>
      </c>
      <c r="L88" s="11"/>
      <c r="M88" s="12"/>
    </row>
    <row r="89" spans="1:13" ht="15" customHeight="1" x14ac:dyDescent="0.2">
      <c r="A89" s="7">
        <v>45929</v>
      </c>
      <c r="B89" s="8">
        <v>47.11</v>
      </c>
      <c r="C89" s="8">
        <v>47.015999999999998</v>
      </c>
      <c r="D89" s="8">
        <v>47.104999999999997</v>
      </c>
      <c r="E89" s="8">
        <v>47.12</v>
      </c>
      <c r="F89" s="8">
        <v>136556</v>
      </c>
      <c r="G89" s="9">
        <v>110796</v>
      </c>
      <c r="H89" s="16">
        <f t="shared" si="6"/>
        <v>3.1838684001062495E-4</v>
      </c>
      <c r="I89" s="6">
        <f t="shared" si="7"/>
        <v>7.7160493827159726E-3</v>
      </c>
      <c r="L89" s="11"/>
      <c r="M89" s="12"/>
    </row>
    <row r="90" spans="1:13" ht="15" customHeight="1" x14ac:dyDescent="0.2">
      <c r="A90" s="3">
        <v>45926</v>
      </c>
      <c r="B90" s="4">
        <v>46.365000000000002</v>
      </c>
      <c r="C90" s="4">
        <v>46.655999999999999</v>
      </c>
      <c r="D90" s="4">
        <v>46.365000000000002</v>
      </c>
      <c r="E90" s="4">
        <v>46.375</v>
      </c>
      <c r="F90" s="4">
        <v>134631</v>
      </c>
      <c r="G90" s="5">
        <v>101291</v>
      </c>
      <c r="H90" s="16">
        <f t="shared" si="6"/>
        <v>2.1565667457403514E-4</v>
      </c>
      <c r="I90" s="6">
        <f t="shared" si="7"/>
        <v>3.4180077137917264E-2</v>
      </c>
      <c r="L90" s="11"/>
      <c r="M90" s="12"/>
    </row>
    <row r="91" spans="1:13" ht="15" customHeight="1" x14ac:dyDescent="0.2">
      <c r="A91" s="7">
        <v>45925</v>
      </c>
      <c r="B91" s="8">
        <v>45.475000000000001</v>
      </c>
      <c r="C91" s="8">
        <v>45.113999999999997</v>
      </c>
      <c r="D91" s="8">
        <v>45.47</v>
      </c>
      <c r="E91" s="8">
        <v>45.48</v>
      </c>
      <c r="F91" s="8">
        <v>133421</v>
      </c>
      <c r="G91" s="9">
        <v>99665</v>
      </c>
      <c r="H91" s="16">
        <f t="shared" si="6"/>
        <v>2.1990104452991781E-4</v>
      </c>
      <c r="I91" s="6">
        <f t="shared" si="7"/>
        <v>2.0863504706734259E-2</v>
      </c>
      <c r="L91" s="11"/>
      <c r="M91" s="12"/>
    </row>
    <row r="92" spans="1:13" ht="15" customHeight="1" x14ac:dyDescent="0.2">
      <c r="A92" s="3">
        <v>45924</v>
      </c>
      <c r="B92" s="4">
        <v>44.115000000000002</v>
      </c>
      <c r="C92" s="4">
        <v>44.192</v>
      </c>
      <c r="D92" s="4">
        <v>44.115000000000002</v>
      </c>
      <c r="E92" s="4">
        <v>44.125</v>
      </c>
      <c r="F92" s="4">
        <v>133396</v>
      </c>
      <c r="G92" s="5">
        <v>60129</v>
      </c>
      <c r="H92" s="16">
        <f t="shared" si="6"/>
        <v>2.2665457842243903E-4</v>
      </c>
      <c r="I92" s="6">
        <f t="shared" si="7"/>
        <v>-9.3256814921089948E-3</v>
      </c>
      <c r="L92" s="11"/>
      <c r="M92" s="12"/>
    </row>
    <row r="93" spans="1:13" ht="15" customHeight="1" x14ac:dyDescent="0.2">
      <c r="A93" s="7">
        <v>45923</v>
      </c>
      <c r="B93" s="8">
        <v>44.265000000000001</v>
      </c>
      <c r="C93" s="8">
        <v>44.607999999999997</v>
      </c>
      <c r="D93" s="8">
        <v>44.26</v>
      </c>
      <c r="E93" s="8">
        <v>44.27</v>
      </c>
      <c r="F93" s="8">
        <v>135369</v>
      </c>
      <c r="G93" s="9">
        <v>75307</v>
      </c>
      <c r="H93" s="16">
        <f t="shared" si="6"/>
        <v>2.2591212018536352E-4</v>
      </c>
      <c r="I93" s="6">
        <f t="shared" si="7"/>
        <v>8.9112045958292807E-3</v>
      </c>
      <c r="L93" s="11"/>
      <c r="M93" s="12"/>
    </row>
    <row r="94" spans="1:13" ht="15" customHeight="1" x14ac:dyDescent="0.2">
      <c r="A94" s="3">
        <v>45922</v>
      </c>
      <c r="B94" s="4">
        <v>44.314999999999998</v>
      </c>
      <c r="C94" s="4">
        <v>44.213999999999999</v>
      </c>
      <c r="D94" s="4">
        <v>44.31</v>
      </c>
      <c r="E94" s="4">
        <v>44.32</v>
      </c>
      <c r="F94" s="4">
        <v>132963</v>
      </c>
      <c r="G94" s="5">
        <v>75969</v>
      </c>
      <c r="H94" s="16">
        <f t="shared" si="6"/>
        <v>2.256572266726393E-4</v>
      </c>
      <c r="I94" s="6">
        <f t="shared" si="7"/>
        <v>2.938163531383875E-2</v>
      </c>
      <c r="L94" s="11"/>
      <c r="M94" s="12"/>
    </row>
    <row r="95" spans="1:13" ht="15" customHeight="1" x14ac:dyDescent="0.2">
      <c r="A95" s="7">
        <v>45919</v>
      </c>
      <c r="B95" s="8">
        <v>43.365000000000002</v>
      </c>
      <c r="C95" s="8">
        <v>42.951999999999998</v>
      </c>
      <c r="D95" s="8">
        <v>43.35</v>
      </c>
      <c r="E95" s="8">
        <v>43.37</v>
      </c>
      <c r="F95" s="8">
        <v>131247</v>
      </c>
      <c r="G95" s="9">
        <v>74040</v>
      </c>
      <c r="H95" s="16">
        <f t="shared" si="6"/>
        <v>4.6125461254603372E-4</v>
      </c>
      <c r="I95" s="6">
        <f t="shared" si="7"/>
        <v>1.9801510043211845E-2</v>
      </c>
      <c r="L95" s="11"/>
      <c r="M95" s="12"/>
    </row>
    <row r="96" spans="1:13" ht="15" customHeight="1" x14ac:dyDescent="0.2">
      <c r="A96" s="3">
        <v>45918</v>
      </c>
      <c r="B96" s="4">
        <v>42.104999999999997</v>
      </c>
      <c r="C96" s="4">
        <v>42.118000000000002</v>
      </c>
      <c r="D96" s="4">
        <v>42.1</v>
      </c>
      <c r="E96" s="4">
        <v>42.11</v>
      </c>
      <c r="F96" s="4">
        <v>131335</v>
      </c>
      <c r="G96" s="5">
        <v>57628</v>
      </c>
      <c r="H96" s="16">
        <f t="shared" si="6"/>
        <v>2.3750148438423012E-4</v>
      </c>
      <c r="I96" s="6">
        <f t="shared" si="7"/>
        <v>-8.0660466881754544E-4</v>
      </c>
      <c r="L96" s="11"/>
      <c r="M96" s="12"/>
    </row>
    <row r="97" spans="1:13" ht="15" customHeight="1" x14ac:dyDescent="0.2">
      <c r="A97" s="7">
        <v>45917</v>
      </c>
      <c r="B97" s="8">
        <v>41.994999999999997</v>
      </c>
      <c r="C97" s="8">
        <v>42.152000000000001</v>
      </c>
      <c r="D97" s="8">
        <v>41.99</v>
      </c>
      <c r="E97" s="8">
        <v>42</v>
      </c>
      <c r="F97" s="8">
        <v>133481</v>
      </c>
      <c r="G97" s="9">
        <v>89156</v>
      </c>
      <c r="H97" s="16">
        <f t="shared" si="6"/>
        <v>2.3812358614115988E-4</v>
      </c>
      <c r="I97" s="6">
        <f t="shared" si="7"/>
        <v>-1.7825104271034786E-2</v>
      </c>
      <c r="L97" s="11"/>
      <c r="M97" s="12"/>
    </row>
    <row r="98" spans="1:13" ht="15" customHeight="1" x14ac:dyDescent="0.2">
      <c r="A98" s="3">
        <v>45916</v>
      </c>
      <c r="B98" s="4">
        <v>42.88</v>
      </c>
      <c r="C98" s="4">
        <v>42.917000000000002</v>
      </c>
      <c r="D98" s="4">
        <v>42.87</v>
      </c>
      <c r="E98" s="4">
        <v>42.884999999999998</v>
      </c>
      <c r="F98" s="4">
        <v>134849</v>
      </c>
      <c r="G98" s="5">
        <v>63715</v>
      </c>
      <c r="H98" s="16">
        <f t="shared" si="6"/>
        <v>3.4983382893127092E-4</v>
      </c>
      <c r="I98" s="6">
        <f t="shared" si="7"/>
        <v>-1.047437270145779E-3</v>
      </c>
      <c r="L98" s="11"/>
      <c r="M98" s="12"/>
    </row>
    <row r="99" spans="1:13" ht="15" customHeight="1" x14ac:dyDescent="0.2">
      <c r="A99" s="7">
        <v>45915</v>
      </c>
      <c r="B99" s="8">
        <v>43.195</v>
      </c>
      <c r="C99" s="8">
        <v>42.962000000000003</v>
      </c>
      <c r="D99" s="8">
        <v>43.195</v>
      </c>
      <c r="E99" s="8">
        <v>43.204999999999998</v>
      </c>
      <c r="F99" s="8">
        <v>134910</v>
      </c>
      <c r="G99" s="9">
        <v>46674</v>
      </c>
      <c r="H99" s="16">
        <f t="shared" si="6"/>
        <v>2.3148148148143541E-4</v>
      </c>
      <c r="I99" s="6">
        <f t="shared" si="7"/>
        <v>3.0819519028719711E-3</v>
      </c>
      <c r="L99" s="11"/>
      <c r="M99" s="12"/>
    </row>
    <row r="100" spans="1:13" ht="15" customHeight="1" x14ac:dyDescent="0.2">
      <c r="A100" s="3">
        <v>45912</v>
      </c>
      <c r="B100" s="4">
        <v>42.68</v>
      </c>
      <c r="C100" s="4">
        <v>42.83</v>
      </c>
      <c r="D100" s="4">
        <v>42.68</v>
      </c>
      <c r="E100" s="4">
        <v>42.69</v>
      </c>
      <c r="F100" s="4">
        <v>133690</v>
      </c>
      <c r="G100" s="5">
        <v>70339</v>
      </c>
      <c r="H100" s="16">
        <f t="shared" si="6"/>
        <v>2.3427433524652713E-4</v>
      </c>
      <c r="I100" s="6">
        <f t="shared" si="7"/>
        <v>1.6156966950580109E-2</v>
      </c>
      <c r="L100" s="11"/>
      <c r="M100" s="12"/>
    </row>
    <row r="101" spans="1:13" ht="15" customHeight="1" x14ac:dyDescent="0.2">
      <c r="A101" s="7">
        <v>45911</v>
      </c>
      <c r="B101" s="8">
        <v>42.06</v>
      </c>
      <c r="C101" s="8">
        <v>42.149000000000001</v>
      </c>
      <c r="D101" s="8">
        <v>42.055</v>
      </c>
      <c r="E101" s="8">
        <v>42.064999999999998</v>
      </c>
      <c r="F101" s="8">
        <v>131400</v>
      </c>
      <c r="G101" s="9">
        <v>59084</v>
      </c>
      <c r="H101" s="16">
        <f t="shared" si="6"/>
        <v>2.377555872562532E-4</v>
      </c>
      <c r="I101" s="6">
        <f t="shared" si="7"/>
        <v>1.3197115384615321E-2</v>
      </c>
      <c r="L101" s="11"/>
      <c r="M101" s="12"/>
    </row>
    <row r="102" spans="1:13" ht="15" customHeight="1" x14ac:dyDescent="0.2">
      <c r="A102" s="3">
        <v>45910</v>
      </c>
      <c r="B102" s="4">
        <v>41.65</v>
      </c>
      <c r="C102" s="4">
        <v>41.6</v>
      </c>
      <c r="D102" s="4">
        <v>41.645000000000003</v>
      </c>
      <c r="E102" s="4">
        <v>41.655000000000001</v>
      </c>
      <c r="F102" s="4">
        <v>131190</v>
      </c>
      <c r="G102" s="5">
        <v>40523</v>
      </c>
      <c r="H102" s="16">
        <f t="shared" si="6"/>
        <v>2.4009603841531834E-4</v>
      </c>
      <c r="I102" s="6">
        <f t="shared" si="7"/>
        <v>6.2649669819307974E-3</v>
      </c>
      <c r="L102" s="11"/>
      <c r="M102" s="12"/>
    </row>
    <row r="103" spans="1:13" ht="15" customHeight="1" x14ac:dyDescent="0.2">
      <c r="A103" s="7">
        <v>45909</v>
      </c>
      <c r="B103" s="8">
        <v>41.354999999999997</v>
      </c>
      <c r="C103" s="8">
        <v>41.341000000000001</v>
      </c>
      <c r="D103" s="8">
        <v>41.344999999999999</v>
      </c>
      <c r="E103" s="8">
        <v>41.36</v>
      </c>
      <c r="F103" s="8">
        <v>132634</v>
      </c>
      <c r="G103" s="9">
        <v>66018</v>
      </c>
      <c r="H103" s="16">
        <f t="shared" si="6"/>
        <v>3.6273502206639427E-4</v>
      </c>
      <c r="I103" s="6">
        <f t="shared" si="7"/>
        <v>-1.3388382416113842E-2</v>
      </c>
      <c r="L103" s="11"/>
      <c r="M103" s="12"/>
    </row>
    <row r="104" spans="1:13" ht="15" customHeight="1" x14ac:dyDescent="0.2">
      <c r="A104" s="3">
        <v>45908</v>
      </c>
      <c r="B104" s="4">
        <v>41.94</v>
      </c>
      <c r="C104" s="4">
        <v>41.902000000000001</v>
      </c>
      <c r="D104" s="4">
        <v>41.935000000000002</v>
      </c>
      <c r="E104" s="4">
        <v>41.945</v>
      </c>
      <c r="F104" s="4">
        <v>131645</v>
      </c>
      <c r="G104" s="5">
        <v>67937</v>
      </c>
      <c r="H104" s="16">
        <f t="shared" si="6"/>
        <v>2.384358607534099E-4</v>
      </c>
      <c r="I104" s="6">
        <f t="shared" si="7"/>
        <v>8.4231805929919634E-3</v>
      </c>
      <c r="L104" s="11"/>
      <c r="M104" s="12"/>
    </row>
    <row r="105" spans="1:13" ht="15" customHeight="1" x14ac:dyDescent="0.2">
      <c r="A105" s="7">
        <v>45905</v>
      </c>
      <c r="B105" s="8">
        <v>41.51</v>
      </c>
      <c r="C105" s="8">
        <v>41.552</v>
      </c>
      <c r="D105" s="8">
        <v>41.505000000000003</v>
      </c>
      <c r="E105" s="8">
        <v>41.52</v>
      </c>
      <c r="F105" s="8">
        <v>132766</v>
      </c>
      <c r="G105" s="9">
        <v>68285</v>
      </c>
      <c r="H105" s="16">
        <f t="shared" si="6"/>
        <v>3.6133694670281404E-4</v>
      </c>
      <c r="I105" s="6">
        <f t="shared" si="7"/>
        <v>3.2595311104135494E-3</v>
      </c>
      <c r="L105" s="11"/>
      <c r="M105" s="12"/>
    </row>
    <row r="106" spans="1:13" ht="15" customHeight="1" x14ac:dyDescent="0.2">
      <c r="A106" s="3">
        <v>45904</v>
      </c>
      <c r="B106" s="4">
        <v>41.314999999999998</v>
      </c>
      <c r="C106" s="4">
        <v>41.417000000000002</v>
      </c>
      <c r="D106" s="4">
        <v>41.31</v>
      </c>
      <c r="E106" s="4">
        <v>41.32</v>
      </c>
      <c r="F106" s="4">
        <v>133761</v>
      </c>
      <c r="G106" s="5">
        <v>66072</v>
      </c>
      <c r="H106" s="16">
        <f t="shared" si="6"/>
        <v>2.4204284158291204E-4</v>
      </c>
      <c r="I106" s="6">
        <f t="shared" si="7"/>
        <v>-1.5287684260580137E-2</v>
      </c>
      <c r="L106" s="11"/>
      <c r="M106" s="12"/>
    </row>
    <row r="107" spans="1:13" ht="15" customHeight="1" x14ac:dyDescent="0.2">
      <c r="A107" s="7">
        <v>45903</v>
      </c>
      <c r="B107" s="8">
        <v>41.81</v>
      </c>
      <c r="C107" s="8">
        <v>42.06</v>
      </c>
      <c r="D107" s="8">
        <v>41.81</v>
      </c>
      <c r="E107" s="8">
        <v>41.814999999999998</v>
      </c>
      <c r="F107" s="8">
        <v>133616</v>
      </c>
      <c r="G107" s="9">
        <v>63634</v>
      </c>
      <c r="H107" s="16">
        <f t="shared" si="6"/>
        <v>1.1958146487283594E-4</v>
      </c>
      <c r="I107" s="6">
        <f t="shared" si="7"/>
        <v>1.1252163877668808E-2</v>
      </c>
      <c r="L107" s="11"/>
      <c r="M107" s="12"/>
    </row>
    <row r="108" spans="1:13" ht="15" customHeight="1" x14ac:dyDescent="0.2">
      <c r="A108" s="3">
        <v>45902</v>
      </c>
      <c r="B108" s="4">
        <v>41.73</v>
      </c>
      <c r="C108" s="4">
        <v>41.591999999999999</v>
      </c>
      <c r="D108" s="4">
        <v>41.725000000000001</v>
      </c>
      <c r="E108" s="4">
        <v>41.734999999999999</v>
      </c>
      <c r="F108" s="4">
        <v>130251</v>
      </c>
      <c r="G108" s="5">
        <v>123433</v>
      </c>
      <c r="H108" s="16">
        <f t="shared" si="6"/>
        <v>2.3963575365439755E-4</v>
      </c>
      <c r="I108" s="6">
        <f t="shared" si="7"/>
        <v>2.1339292291825185E-2</v>
      </c>
      <c r="L108" s="11"/>
      <c r="M108" s="12"/>
    </row>
    <row r="109" spans="1:13" ht="15" customHeight="1" x14ac:dyDescent="0.2">
      <c r="A109" s="7">
        <v>45898</v>
      </c>
      <c r="B109" s="8">
        <v>40.75</v>
      </c>
      <c r="C109" s="8">
        <v>40.722999999999999</v>
      </c>
      <c r="D109" s="8">
        <v>40.74</v>
      </c>
      <c r="E109" s="8">
        <v>40.75</v>
      </c>
      <c r="F109" s="8">
        <v>125975</v>
      </c>
      <c r="G109" s="9">
        <v>67755</v>
      </c>
      <c r="H109" s="16">
        <f t="shared" si="6"/>
        <v>2.454288869799487E-4</v>
      </c>
      <c r="I109" s="6">
        <f t="shared" si="7"/>
        <v>2.5690753847316117E-2</v>
      </c>
      <c r="L109" s="11"/>
      <c r="M109" s="12"/>
    </row>
    <row r="110" spans="1:13" ht="15" customHeight="1" x14ac:dyDescent="0.2">
      <c r="A110" s="3">
        <v>45897</v>
      </c>
      <c r="B110" s="4">
        <v>39.71</v>
      </c>
      <c r="C110" s="4">
        <v>39.703000000000003</v>
      </c>
      <c r="D110" s="4">
        <v>39.71</v>
      </c>
      <c r="E110" s="4">
        <v>39.715000000000003</v>
      </c>
      <c r="F110" s="4">
        <v>121586</v>
      </c>
      <c r="G110" s="5">
        <v>54907</v>
      </c>
      <c r="H110" s="16">
        <f t="shared" si="6"/>
        <v>1.2590494176902882E-4</v>
      </c>
      <c r="I110" s="6">
        <f t="shared" si="7"/>
        <v>2.5572805000904086E-2</v>
      </c>
      <c r="L110" s="11"/>
      <c r="M110" s="12"/>
    </row>
    <row r="111" spans="1:13" ht="15" customHeight="1" x14ac:dyDescent="0.2">
      <c r="A111" s="7">
        <v>45896</v>
      </c>
      <c r="B111" s="8">
        <v>38.69</v>
      </c>
      <c r="C111" s="8">
        <v>38.713000000000001</v>
      </c>
      <c r="D111" s="8">
        <v>38.69</v>
      </c>
      <c r="E111" s="8">
        <v>38.695</v>
      </c>
      <c r="F111" s="8">
        <v>24586</v>
      </c>
      <c r="G111" s="9">
        <v>37841</v>
      </c>
      <c r="H111" s="16">
        <f t="shared" si="6"/>
        <v>1.2922400982109088E-4</v>
      </c>
      <c r="I111" s="6">
        <f t="shared" si="7"/>
        <v>2.7715899083042839E-3</v>
      </c>
      <c r="L111" s="11"/>
      <c r="M111" s="12"/>
    </row>
    <row r="112" spans="1:13" ht="15" customHeight="1" x14ac:dyDescent="0.2">
      <c r="A112" s="3">
        <v>45895</v>
      </c>
      <c r="B112" s="4">
        <v>38.695</v>
      </c>
      <c r="C112" s="4">
        <v>38.606000000000002</v>
      </c>
      <c r="D112" s="4">
        <v>38.674999999999997</v>
      </c>
      <c r="E112" s="4">
        <v>38.704999999999998</v>
      </c>
      <c r="F112" s="4">
        <v>37000</v>
      </c>
      <c r="G112" s="5">
        <v>55047</v>
      </c>
      <c r="H112" s="16">
        <f t="shared" si="6"/>
        <v>7.753941586973672E-4</v>
      </c>
      <c r="I112" s="6">
        <f t="shared" si="7"/>
        <v>-2.5062656641604564E-3</v>
      </c>
      <c r="L112" s="11"/>
      <c r="M112" s="12"/>
    </row>
    <row r="113" spans="1:13" ht="15" customHeight="1" x14ac:dyDescent="0.2">
      <c r="A113" s="7">
        <v>45894</v>
      </c>
      <c r="B113" s="8">
        <v>38.549999999999997</v>
      </c>
      <c r="C113" s="8">
        <v>38.703000000000003</v>
      </c>
      <c r="D113" s="8">
        <v>38.545000000000002</v>
      </c>
      <c r="E113" s="8">
        <v>38.555</v>
      </c>
      <c r="F113" s="8">
        <v>44783</v>
      </c>
      <c r="G113" s="9">
        <v>41605</v>
      </c>
      <c r="H113" s="16">
        <f t="shared" si="6"/>
        <v>2.5940337224378756E-4</v>
      </c>
      <c r="I113" s="6">
        <f t="shared" si="7"/>
        <v>-8.9875556921186206E-3</v>
      </c>
      <c r="L113" s="11"/>
      <c r="M113" s="12"/>
    </row>
    <row r="114" spans="1:13" ht="15" customHeight="1" x14ac:dyDescent="0.2">
      <c r="A114" s="3">
        <v>45891</v>
      </c>
      <c r="B114" s="4">
        <v>38.880000000000003</v>
      </c>
      <c r="C114" s="4">
        <v>39.054000000000002</v>
      </c>
      <c r="D114" s="4">
        <v>38.875</v>
      </c>
      <c r="E114" s="4">
        <v>38.884999999999998</v>
      </c>
      <c r="F114" s="4">
        <v>53171</v>
      </c>
      <c r="G114" s="5">
        <v>70315</v>
      </c>
      <c r="H114" s="16">
        <f t="shared" si="6"/>
        <v>2.5720164609048383E-4</v>
      </c>
      <c r="I114" s="6">
        <f t="shared" si="7"/>
        <v>2.5604663988024967E-2</v>
      </c>
      <c r="L114" s="11"/>
      <c r="M114" s="12"/>
    </row>
    <row r="115" spans="1:13" ht="15" customHeight="1" x14ac:dyDescent="0.2">
      <c r="A115" s="7">
        <v>45890</v>
      </c>
      <c r="B115" s="8">
        <v>38.1</v>
      </c>
      <c r="C115" s="8">
        <v>38.079000000000001</v>
      </c>
      <c r="D115" s="8">
        <v>38.094999999999999</v>
      </c>
      <c r="E115" s="8">
        <v>38.104999999999997</v>
      </c>
      <c r="F115" s="8">
        <v>59387</v>
      </c>
      <c r="G115" s="9">
        <v>45967</v>
      </c>
      <c r="H115" s="16">
        <f t="shared" si="6"/>
        <v>2.6246719160099771E-4</v>
      </c>
      <c r="I115" s="6">
        <f t="shared" si="7"/>
        <v>8.1010245413388748E-3</v>
      </c>
      <c r="L115" s="11"/>
      <c r="M115" s="12"/>
    </row>
    <row r="116" spans="1:13" ht="15" customHeight="1" x14ac:dyDescent="0.2">
      <c r="A116" s="3">
        <v>45889</v>
      </c>
      <c r="B116" s="4">
        <v>37.895000000000003</v>
      </c>
      <c r="C116" s="4">
        <v>37.773000000000003</v>
      </c>
      <c r="D116" s="4">
        <v>37.89</v>
      </c>
      <c r="E116" s="4">
        <v>37.895000000000003</v>
      </c>
      <c r="F116" s="4">
        <v>62636</v>
      </c>
      <c r="G116" s="5">
        <v>52616</v>
      </c>
      <c r="H116" s="16">
        <f t="shared" si="6"/>
        <v>1.3195223329161596E-4</v>
      </c>
      <c r="I116" s="6">
        <f t="shared" si="7"/>
        <v>1.1812921890067551E-2</v>
      </c>
      <c r="L116" s="11"/>
      <c r="M116" s="12"/>
    </row>
    <row r="117" spans="1:13" ht="15" customHeight="1" x14ac:dyDescent="0.2">
      <c r="A117" s="7">
        <v>45888</v>
      </c>
      <c r="B117" s="8">
        <v>37.33</v>
      </c>
      <c r="C117" s="8">
        <v>37.332000000000001</v>
      </c>
      <c r="D117" s="8">
        <v>37.33</v>
      </c>
      <c r="E117" s="8">
        <v>37.335000000000001</v>
      </c>
      <c r="F117" s="8">
        <v>64853</v>
      </c>
      <c r="G117" s="9">
        <v>50237</v>
      </c>
      <c r="H117" s="16">
        <f t="shared" si="6"/>
        <v>1.3393156097241167E-4</v>
      </c>
      <c r="I117" s="6">
        <f t="shared" si="7"/>
        <v>-1.8328118015198958E-2</v>
      </c>
      <c r="L117" s="11"/>
      <c r="M117" s="12"/>
    </row>
    <row r="118" spans="1:13" ht="15" customHeight="1" x14ac:dyDescent="0.2">
      <c r="A118" s="3">
        <v>45887</v>
      </c>
      <c r="B118" s="4">
        <v>38.064999999999998</v>
      </c>
      <c r="C118" s="4">
        <v>38.029000000000003</v>
      </c>
      <c r="D118" s="4">
        <v>38.06</v>
      </c>
      <c r="E118" s="4">
        <v>38.07</v>
      </c>
      <c r="F118" s="4">
        <v>67485</v>
      </c>
      <c r="G118" s="5">
        <v>36396</v>
      </c>
      <c r="H118" s="16">
        <f t="shared" si="6"/>
        <v>2.6270852489158046E-4</v>
      </c>
      <c r="I118" s="6">
        <f t="shared" si="7"/>
        <v>1.4219881500987519E-3</v>
      </c>
      <c r="L118" s="11"/>
      <c r="M118" s="12"/>
    </row>
    <row r="119" spans="1:13" ht="15" customHeight="1" x14ac:dyDescent="0.2">
      <c r="A119" s="7">
        <v>45884</v>
      </c>
      <c r="B119" s="8">
        <v>38.020000000000003</v>
      </c>
      <c r="C119" s="8">
        <v>37.975000000000001</v>
      </c>
      <c r="D119" s="8">
        <v>38.015000000000001</v>
      </c>
      <c r="E119" s="8">
        <v>38.024999999999999</v>
      </c>
      <c r="F119" s="8">
        <v>70294</v>
      </c>
      <c r="G119" s="9">
        <v>34505</v>
      </c>
      <c r="H119" s="16">
        <f t="shared" si="6"/>
        <v>2.6301946344024226E-4</v>
      </c>
      <c r="I119" s="6">
        <f t="shared" si="7"/>
        <v>-2.4692006619559947E-3</v>
      </c>
      <c r="L119" s="11"/>
      <c r="M119" s="12"/>
    </row>
    <row r="120" spans="1:13" ht="15" customHeight="1" x14ac:dyDescent="0.2">
      <c r="A120" s="3">
        <v>45883</v>
      </c>
      <c r="B120" s="4">
        <v>38.04</v>
      </c>
      <c r="C120" s="4">
        <v>38.069000000000003</v>
      </c>
      <c r="D120" s="4">
        <v>38.034999999999997</v>
      </c>
      <c r="E120" s="4">
        <v>38.045000000000002</v>
      </c>
      <c r="F120" s="4">
        <v>72158</v>
      </c>
      <c r="G120" s="5">
        <v>54425</v>
      </c>
      <c r="H120" s="16">
        <f t="shared" si="6"/>
        <v>2.6288117770781062E-4</v>
      </c>
      <c r="I120" s="6">
        <f t="shared" si="7"/>
        <v>-1.3807574737060069E-2</v>
      </c>
      <c r="L120" s="11"/>
      <c r="M120" s="12"/>
    </row>
    <row r="121" spans="1:13" ht="15" customHeight="1" x14ac:dyDescent="0.2">
      <c r="A121" s="7">
        <v>45882</v>
      </c>
      <c r="B121" s="8">
        <v>38.549999999999997</v>
      </c>
      <c r="C121" s="8">
        <v>38.601999999999997</v>
      </c>
      <c r="D121" s="8">
        <v>38.549999999999997</v>
      </c>
      <c r="E121" s="8">
        <v>38.555</v>
      </c>
      <c r="F121" s="8">
        <v>77668</v>
      </c>
      <c r="G121" s="9">
        <v>52876</v>
      </c>
      <c r="H121" s="16">
        <f t="shared" si="6"/>
        <v>1.2969327540373669E-4</v>
      </c>
      <c r="I121" s="6">
        <f t="shared" si="7"/>
        <v>1.5788642703015388E-2</v>
      </c>
      <c r="L121" s="11"/>
      <c r="M121" s="12"/>
    </row>
    <row r="122" spans="1:13" ht="15" customHeight="1" x14ac:dyDescent="0.2">
      <c r="A122" s="3">
        <v>45881</v>
      </c>
      <c r="B122" s="4">
        <v>37.94</v>
      </c>
      <c r="C122" s="4">
        <v>38.002000000000002</v>
      </c>
      <c r="D122" s="4">
        <v>37.935000000000002</v>
      </c>
      <c r="E122" s="4">
        <v>37.945</v>
      </c>
      <c r="F122" s="4">
        <v>82044</v>
      </c>
      <c r="G122" s="5">
        <v>63049</v>
      </c>
      <c r="H122" s="16">
        <f t="shared" si="6"/>
        <v>2.6357406431201929E-4</v>
      </c>
      <c r="I122" s="6">
        <f t="shared" si="7"/>
        <v>5.6897874930532666E-3</v>
      </c>
      <c r="L122" s="11"/>
      <c r="M122" s="12"/>
    </row>
    <row r="123" spans="1:13" ht="15" customHeight="1" x14ac:dyDescent="0.2">
      <c r="A123" s="7">
        <v>45880</v>
      </c>
      <c r="B123" s="8">
        <v>37.64</v>
      </c>
      <c r="C123" s="8">
        <v>37.786999999999999</v>
      </c>
      <c r="D123" s="8">
        <v>37.64</v>
      </c>
      <c r="E123" s="8">
        <v>37.65</v>
      </c>
      <c r="F123" s="8">
        <v>90899</v>
      </c>
      <c r="G123" s="9">
        <v>67543</v>
      </c>
      <c r="H123" s="16">
        <f t="shared" si="6"/>
        <v>2.6563952716158882E-4</v>
      </c>
      <c r="I123" s="6">
        <f t="shared" si="7"/>
        <v>-1.9589019770639871E-2</v>
      </c>
      <c r="L123" s="11"/>
      <c r="M123" s="12"/>
    </row>
    <row r="124" spans="1:13" ht="15" customHeight="1" x14ac:dyDescent="0.2">
      <c r="A124" s="3">
        <v>45877</v>
      </c>
      <c r="B124" s="4">
        <v>38.51</v>
      </c>
      <c r="C124" s="4">
        <v>38.542000000000002</v>
      </c>
      <c r="D124" s="4">
        <v>38.5</v>
      </c>
      <c r="E124" s="4">
        <v>38.51</v>
      </c>
      <c r="F124" s="4">
        <v>97342</v>
      </c>
      <c r="G124" s="5">
        <v>76568</v>
      </c>
      <c r="H124" s="16">
        <f t="shared" si="6"/>
        <v>2.597065316192186E-4</v>
      </c>
      <c r="I124" s="6">
        <f t="shared" si="7"/>
        <v>6.4762103723823294E-3</v>
      </c>
      <c r="L124" s="11"/>
      <c r="M124" s="12"/>
    </row>
    <row r="125" spans="1:13" ht="15" customHeight="1" x14ac:dyDescent="0.2">
      <c r="A125" s="7">
        <v>45876</v>
      </c>
      <c r="B125" s="8">
        <v>38.524999999999999</v>
      </c>
      <c r="C125" s="8">
        <v>38.293999999999997</v>
      </c>
      <c r="D125" s="8">
        <v>38.520000000000003</v>
      </c>
      <c r="E125" s="8">
        <v>38.53</v>
      </c>
      <c r="F125" s="8">
        <v>105253</v>
      </c>
      <c r="G125" s="9">
        <v>86225</v>
      </c>
      <c r="H125" s="16">
        <f t="shared" si="6"/>
        <v>2.5957170668391977E-4</v>
      </c>
      <c r="I125" s="6">
        <f t="shared" si="7"/>
        <v>1.0342462139200981E-2</v>
      </c>
      <c r="L125" s="11"/>
      <c r="M125" s="12"/>
    </row>
    <row r="126" spans="1:13" ht="15" customHeight="1" x14ac:dyDescent="0.2">
      <c r="A126" s="3">
        <v>45875</v>
      </c>
      <c r="B126" s="4">
        <v>37.935000000000002</v>
      </c>
      <c r="C126" s="4">
        <v>37.902000000000001</v>
      </c>
      <c r="D126" s="4">
        <v>37.93</v>
      </c>
      <c r="E126" s="4">
        <v>37.94</v>
      </c>
      <c r="F126" s="4">
        <v>107815</v>
      </c>
      <c r="G126" s="5">
        <v>38956</v>
      </c>
      <c r="H126" s="16">
        <f t="shared" si="6"/>
        <v>2.6360880453401897E-4</v>
      </c>
      <c r="I126" s="6">
        <f t="shared" si="7"/>
        <v>2.0886762023106797E-3</v>
      </c>
      <c r="L126" s="11"/>
      <c r="M126" s="12"/>
    </row>
    <row r="127" spans="1:13" ht="15" customHeight="1" x14ac:dyDescent="0.2">
      <c r="A127" s="7">
        <v>45874</v>
      </c>
      <c r="B127" s="8">
        <v>37.835000000000001</v>
      </c>
      <c r="C127" s="8">
        <v>37.823</v>
      </c>
      <c r="D127" s="8">
        <v>37.835000000000001</v>
      </c>
      <c r="E127" s="8">
        <v>37.844999999999999</v>
      </c>
      <c r="F127" s="8">
        <v>108526</v>
      </c>
      <c r="G127" s="9">
        <v>50388</v>
      </c>
      <c r="H127" s="16">
        <f t="shared" si="6"/>
        <v>2.6427061310776978E-4</v>
      </c>
      <c r="I127" s="6">
        <f t="shared" si="7"/>
        <v>1.3260822974710651E-2</v>
      </c>
      <c r="L127" s="11"/>
      <c r="M127" s="12"/>
    </row>
    <row r="128" spans="1:13" ht="15" customHeight="1" x14ac:dyDescent="0.2">
      <c r="A128" s="3">
        <v>45873</v>
      </c>
      <c r="B128" s="4">
        <v>37.445</v>
      </c>
      <c r="C128" s="4">
        <v>37.328000000000003</v>
      </c>
      <c r="D128" s="4">
        <v>37.44</v>
      </c>
      <c r="E128" s="4">
        <v>37.450000000000003</v>
      </c>
      <c r="F128" s="4">
        <v>109684</v>
      </c>
      <c r="G128" s="5">
        <v>44731</v>
      </c>
      <c r="H128" s="16">
        <f t="shared" si="6"/>
        <v>2.6705835225010325E-4</v>
      </c>
      <c r="I128" s="6">
        <f t="shared" si="7"/>
        <v>1.0804516775434037E-2</v>
      </c>
      <c r="L128" s="11"/>
      <c r="M128" s="12"/>
    </row>
    <row r="129" spans="1:13" ht="15" customHeight="1" x14ac:dyDescent="0.2">
      <c r="A129" s="7">
        <v>45870</v>
      </c>
      <c r="B129" s="8">
        <v>37.104999999999997</v>
      </c>
      <c r="C129" s="8">
        <v>36.929000000000002</v>
      </c>
      <c r="D129" s="8">
        <v>37.1</v>
      </c>
      <c r="E129" s="8">
        <v>37.104999999999997</v>
      </c>
      <c r="F129" s="8">
        <v>112751</v>
      </c>
      <c r="G129" s="9">
        <v>65039</v>
      </c>
      <c r="H129" s="16">
        <f t="shared" si="6"/>
        <v>1.3476180850334756E-4</v>
      </c>
      <c r="I129" s="6">
        <f t="shared" si="7"/>
        <v>5.9108738287207974E-3</v>
      </c>
      <c r="L129" s="11"/>
      <c r="M129" s="12"/>
    </row>
    <row r="130" spans="1:13" ht="15" customHeight="1" x14ac:dyDescent="0.2">
      <c r="A130" s="3">
        <v>45869</v>
      </c>
      <c r="B130" s="4">
        <v>36.79</v>
      </c>
      <c r="C130" s="4">
        <v>36.712000000000003</v>
      </c>
      <c r="D130" s="4">
        <v>36.784999999999997</v>
      </c>
      <c r="E130" s="4">
        <v>36.795000000000002</v>
      </c>
      <c r="F130" s="4">
        <v>115827</v>
      </c>
      <c r="G130" s="5">
        <v>66211</v>
      </c>
      <c r="H130" s="16">
        <f t="shared" si="6"/>
        <v>2.7181299266118824E-4</v>
      </c>
      <c r="I130" s="6">
        <f t="shared" si="7"/>
        <v>-2.7213227695487285E-2</v>
      </c>
      <c r="L130" s="11"/>
      <c r="M130" s="12"/>
    </row>
    <row r="131" spans="1:13" ht="15" customHeight="1" x14ac:dyDescent="0.2">
      <c r="A131" s="7">
        <v>45868</v>
      </c>
      <c r="B131" s="8">
        <v>37.174999999999997</v>
      </c>
      <c r="C131" s="8">
        <v>37.738999999999997</v>
      </c>
      <c r="D131" s="8">
        <v>37.17</v>
      </c>
      <c r="E131" s="8">
        <v>37.18</v>
      </c>
      <c r="F131" s="8">
        <v>121325</v>
      </c>
      <c r="G131" s="9">
        <v>71289</v>
      </c>
      <c r="H131" s="16">
        <f t="shared" si="6"/>
        <v>2.6899798251507764E-4</v>
      </c>
      <c r="I131" s="6">
        <f t="shared" si="7"/>
        <v>-1.4287206811889552E-2</v>
      </c>
      <c r="L131" s="11"/>
      <c r="M131" s="12"/>
    </row>
    <row r="132" spans="1:13" ht="15" customHeight="1" x14ac:dyDescent="0.2">
      <c r="A132" s="3">
        <v>45867</v>
      </c>
      <c r="B132" s="4">
        <v>38.380000000000003</v>
      </c>
      <c r="C132" s="4">
        <v>38.286000000000001</v>
      </c>
      <c r="D132" s="4">
        <v>38.375</v>
      </c>
      <c r="E132" s="4">
        <v>38.384999999999998</v>
      </c>
      <c r="F132" s="4">
        <v>122977</v>
      </c>
      <c r="G132" s="5">
        <v>41625</v>
      </c>
      <c r="H132" s="16">
        <f t="shared" si="6"/>
        <v>2.6055237102652455E-4</v>
      </c>
      <c r="I132" s="6">
        <f t="shared" si="7"/>
        <v>1.7006357761442104E-3</v>
      </c>
      <c r="L132" s="11"/>
      <c r="M132" s="12"/>
    </row>
    <row r="133" spans="1:13" ht="15" customHeight="1" x14ac:dyDescent="0.2">
      <c r="A133" s="7">
        <v>45866</v>
      </c>
      <c r="B133" s="8">
        <v>38.33</v>
      </c>
      <c r="C133" s="8">
        <v>38.220999999999997</v>
      </c>
      <c r="D133" s="8">
        <v>38.325000000000003</v>
      </c>
      <c r="E133" s="8">
        <v>38.33</v>
      </c>
      <c r="F133" s="8">
        <v>125217</v>
      </c>
      <c r="G133" s="9">
        <v>45779</v>
      </c>
      <c r="H133" s="16">
        <f t="shared" ref="H133:H196" si="8">(E133-D133)/AVERAGE(D133:E133)</f>
        <v>1.3045463440076844E-4</v>
      </c>
      <c r="I133" s="6">
        <f t="shared" ref="I133:I196" si="9">C133/C134-1</f>
        <v>-3.7534210869283324E-3</v>
      </c>
      <c r="L133" s="11"/>
      <c r="M133" s="12"/>
    </row>
    <row r="134" spans="1:13" ht="15" customHeight="1" x14ac:dyDescent="0.2">
      <c r="A134" s="3">
        <v>45863</v>
      </c>
      <c r="B134" s="4">
        <v>38.325000000000003</v>
      </c>
      <c r="C134" s="4">
        <v>38.365000000000002</v>
      </c>
      <c r="D134" s="4">
        <v>38.325000000000003</v>
      </c>
      <c r="E134" s="4">
        <v>38.335000000000001</v>
      </c>
      <c r="F134" s="4">
        <v>128204</v>
      </c>
      <c r="G134" s="5">
        <v>67280</v>
      </c>
      <c r="H134" s="16">
        <f t="shared" si="8"/>
        <v>2.6089225150007856E-4</v>
      </c>
      <c r="I134" s="6">
        <f t="shared" si="9"/>
        <v>-2.1899857230266995E-2</v>
      </c>
      <c r="L134" s="11"/>
      <c r="M134" s="12"/>
    </row>
    <row r="135" spans="1:13" ht="15" customHeight="1" x14ac:dyDescent="0.2">
      <c r="A135" s="7">
        <v>45862</v>
      </c>
      <c r="B135" s="8">
        <v>39.284999999999997</v>
      </c>
      <c r="C135" s="8">
        <v>39.223999999999997</v>
      </c>
      <c r="D135" s="8">
        <v>39.28</v>
      </c>
      <c r="E135" s="8">
        <v>39.29</v>
      </c>
      <c r="F135" s="8">
        <v>129276</v>
      </c>
      <c r="G135" s="9">
        <v>49802</v>
      </c>
      <c r="H135" s="16">
        <f t="shared" si="8"/>
        <v>2.5455008272872625E-4</v>
      </c>
      <c r="I135" s="6">
        <f t="shared" si="9"/>
        <v>-7.0627547274891844E-3</v>
      </c>
      <c r="L135" s="11"/>
      <c r="M135" s="12"/>
    </row>
    <row r="136" spans="1:13" ht="15" customHeight="1" x14ac:dyDescent="0.2">
      <c r="A136" s="3">
        <v>45861</v>
      </c>
      <c r="B136" s="4">
        <v>39.520000000000003</v>
      </c>
      <c r="C136" s="4">
        <v>39.503</v>
      </c>
      <c r="D136" s="4">
        <v>39.51</v>
      </c>
      <c r="E136" s="4">
        <v>39.520000000000003</v>
      </c>
      <c r="F136" s="4">
        <v>129548</v>
      </c>
      <c r="G136" s="5">
        <v>63665</v>
      </c>
      <c r="H136" s="16">
        <f t="shared" si="8"/>
        <v>2.5306845501721158E-4</v>
      </c>
      <c r="I136" s="6">
        <f t="shared" si="9"/>
        <v>-1.314625205410147E-3</v>
      </c>
      <c r="L136" s="11"/>
      <c r="M136" s="12"/>
    </row>
    <row r="137" spans="1:13" ht="15" customHeight="1" x14ac:dyDescent="0.2">
      <c r="A137" s="7">
        <v>45860</v>
      </c>
      <c r="B137" s="8">
        <v>39.659999999999997</v>
      </c>
      <c r="C137" s="8">
        <v>39.555</v>
      </c>
      <c r="D137" s="8">
        <v>39.65</v>
      </c>
      <c r="E137" s="8">
        <v>39.664999999999999</v>
      </c>
      <c r="F137" s="8">
        <v>129717</v>
      </c>
      <c r="G137" s="9">
        <v>57469</v>
      </c>
      <c r="H137" s="16">
        <f t="shared" si="8"/>
        <v>3.7823866859990085E-4</v>
      </c>
      <c r="I137" s="6">
        <f t="shared" si="9"/>
        <v>5.6185488381552684E-3</v>
      </c>
      <c r="L137" s="11"/>
      <c r="M137" s="12"/>
    </row>
    <row r="138" spans="1:13" ht="15" customHeight="1" x14ac:dyDescent="0.2">
      <c r="A138" s="3">
        <v>45859</v>
      </c>
      <c r="B138" s="4">
        <v>39.24</v>
      </c>
      <c r="C138" s="4">
        <v>39.334000000000003</v>
      </c>
      <c r="D138" s="4">
        <v>39.234999999999999</v>
      </c>
      <c r="E138" s="4">
        <v>39.244999999999997</v>
      </c>
      <c r="F138" s="4">
        <v>128346</v>
      </c>
      <c r="G138" s="5">
        <v>49858</v>
      </c>
      <c r="H138" s="16">
        <f t="shared" si="8"/>
        <v>2.5484199796121335E-4</v>
      </c>
      <c r="I138" s="6">
        <f t="shared" si="9"/>
        <v>2.2618552412645654E-2</v>
      </c>
      <c r="L138" s="11"/>
      <c r="M138" s="12"/>
    </row>
    <row r="139" spans="1:13" ht="15" customHeight="1" x14ac:dyDescent="0.2">
      <c r="A139" s="7">
        <v>45856</v>
      </c>
      <c r="B139" s="8">
        <v>38.42</v>
      </c>
      <c r="C139" s="8">
        <v>38.463999999999999</v>
      </c>
      <c r="D139" s="8">
        <v>38.414999999999999</v>
      </c>
      <c r="E139" s="8">
        <v>38.424999999999997</v>
      </c>
      <c r="F139" s="8">
        <v>129798</v>
      </c>
      <c r="G139" s="9">
        <v>41445</v>
      </c>
      <c r="H139" s="16">
        <f t="shared" si="8"/>
        <v>2.6028110359182746E-4</v>
      </c>
      <c r="I139" s="6">
        <f t="shared" si="9"/>
        <v>4.2033261102263353E-3</v>
      </c>
      <c r="L139" s="11"/>
      <c r="M139" s="12"/>
    </row>
    <row r="140" spans="1:13" ht="15" customHeight="1" x14ac:dyDescent="0.2">
      <c r="A140" s="3">
        <v>45855</v>
      </c>
      <c r="B140" s="4">
        <v>38.435000000000002</v>
      </c>
      <c r="C140" s="4">
        <v>38.302999999999997</v>
      </c>
      <c r="D140" s="4">
        <v>38.424999999999997</v>
      </c>
      <c r="E140" s="4">
        <v>38.435000000000002</v>
      </c>
      <c r="F140" s="4">
        <v>128633</v>
      </c>
      <c r="G140" s="5">
        <v>44163</v>
      </c>
      <c r="H140" s="16">
        <f t="shared" si="8"/>
        <v>2.6021337496760647E-4</v>
      </c>
      <c r="I140" s="6">
        <f t="shared" si="9"/>
        <v>4.8269891655079444E-3</v>
      </c>
      <c r="L140" s="11"/>
      <c r="M140" s="12"/>
    </row>
    <row r="141" spans="1:13" ht="15" customHeight="1" x14ac:dyDescent="0.2">
      <c r="A141" s="7">
        <v>45854</v>
      </c>
      <c r="B141" s="8">
        <v>38.130000000000003</v>
      </c>
      <c r="C141" s="8">
        <v>38.119</v>
      </c>
      <c r="D141" s="8">
        <v>38.125</v>
      </c>
      <c r="E141" s="8">
        <v>38.134999999999998</v>
      </c>
      <c r="F141" s="8">
        <v>128311</v>
      </c>
      <c r="G141" s="9">
        <v>55710</v>
      </c>
      <c r="H141" s="16">
        <f t="shared" si="8"/>
        <v>2.6226068712294811E-4</v>
      </c>
      <c r="I141" s="6">
        <f t="shared" si="9"/>
        <v>2.3615848858571376E-4</v>
      </c>
      <c r="L141" s="11"/>
      <c r="M141" s="12"/>
    </row>
    <row r="142" spans="1:13" ht="15" customHeight="1" x14ac:dyDescent="0.2">
      <c r="A142" s="3">
        <v>45853</v>
      </c>
      <c r="B142" s="4">
        <v>37.984999999999999</v>
      </c>
      <c r="C142" s="4">
        <v>38.11</v>
      </c>
      <c r="D142" s="4">
        <v>37.979999999999997</v>
      </c>
      <c r="E142" s="4">
        <v>37.99</v>
      </c>
      <c r="F142" s="4">
        <v>131041</v>
      </c>
      <c r="G142" s="5">
        <v>54559</v>
      </c>
      <c r="H142" s="16">
        <f t="shared" si="8"/>
        <v>2.6326181387403228E-4</v>
      </c>
      <c r="I142" s="6">
        <f t="shared" si="9"/>
        <v>-1.6313045273862903E-2</v>
      </c>
      <c r="L142" s="11"/>
      <c r="M142" s="12"/>
    </row>
    <row r="143" spans="1:13" ht="15" customHeight="1" x14ac:dyDescent="0.2">
      <c r="A143" s="7">
        <v>45852</v>
      </c>
      <c r="B143" s="8">
        <v>38.405000000000001</v>
      </c>
      <c r="C143" s="8">
        <v>38.741999999999997</v>
      </c>
      <c r="D143" s="8">
        <v>38.4</v>
      </c>
      <c r="E143" s="8">
        <v>38.409999999999997</v>
      </c>
      <c r="F143" s="8">
        <v>135260</v>
      </c>
      <c r="G143" s="9">
        <v>76196</v>
      </c>
      <c r="H143" s="16">
        <f t="shared" si="8"/>
        <v>2.6038276266106004E-4</v>
      </c>
      <c r="I143" s="6">
        <f t="shared" si="9"/>
        <v>-5.4678475163650875E-3</v>
      </c>
      <c r="L143" s="11"/>
      <c r="M143" s="12"/>
    </row>
    <row r="144" spans="1:13" ht="15" customHeight="1" x14ac:dyDescent="0.2">
      <c r="A144" s="3">
        <v>45849</v>
      </c>
      <c r="B144" s="4">
        <v>39.075000000000003</v>
      </c>
      <c r="C144" s="4">
        <v>38.954999999999998</v>
      </c>
      <c r="D144" s="4">
        <v>39.075000000000003</v>
      </c>
      <c r="E144" s="4">
        <v>39.085000000000001</v>
      </c>
      <c r="F144" s="4">
        <v>129957</v>
      </c>
      <c r="G144" s="5">
        <v>99830</v>
      </c>
      <c r="H144" s="16">
        <f t="shared" si="8"/>
        <v>2.5588536335716507E-4</v>
      </c>
      <c r="I144" s="6">
        <f t="shared" si="9"/>
        <v>4.4229995979091274E-2</v>
      </c>
      <c r="L144" s="11"/>
      <c r="M144" s="12"/>
    </row>
    <row r="145" spans="1:13" ht="15" customHeight="1" x14ac:dyDescent="0.2">
      <c r="A145" s="7">
        <v>45848</v>
      </c>
      <c r="B145" s="8">
        <v>37.625</v>
      </c>
      <c r="C145" s="8">
        <v>37.305</v>
      </c>
      <c r="D145" s="8">
        <v>37.619999999999997</v>
      </c>
      <c r="E145" s="8">
        <v>37.625</v>
      </c>
      <c r="F145" s="8">
        <v>125701</v>
      </c>
      <c r="G145" s="9">
        <v>80651</v>
      </c>
      <c r="H145" s="16">
        <f t="shared" si="8"/>
        <v>1.3289919595993243E-4</v>
      </c>
      <c r="I145" s="6">
        <f t="shared" si="9"/>
        <v>1.8427518427518441E-2</v>
      </c>
      <c r="L145" s="11"/>
      <c r="M145" s="12"/>
    </row>
    <row r="146" spans="1:13" ht="15" customHeight="1" x14ac:dyDescent="0.2">
      <c r="A146" s="3">
        <v>45847</v>
      </c>
      <c r="B146" s="4">
        <v>36.61</v>
      </c>
      <c r="C146" s="4">
        <v>36.630000000000003</v>
      </c>
      <c r="D146" s="4">
        <v>36.61</v>
      </c>
      <c r="E146" s="4">
        <v>36.615000000000002</v>
      </c>
      <c r="F146" s="4">
        <v>126860</v>
      </c>
      <c r="G146" s="5">
        <v>45280</v>
      </c>
      <c r="H146" s="16">
        <f t="shared" si="8"/>
        <v>1.365653806760685E-4</v>
      </c>
      <c r="I146" s="6">
        <f t="shared" si="9"/>
        <v>-3.2381833519279368E-3</v>
      </c>
      <c r="L146" s="11"/>
      <c r="M146" s="12"/>
    </row>
    <row r="147" spans="1:13" ht="15" customHeight="1" x14ac:dyDescent="0.2">
      <c r="A147" s="7">
        <v>45846</v>
      </c>
      <c r="B147" s="8">
        <v>36.924999999999997</v>
      </c>
      <c r="C147" s="8">
        <v>36.749000000000002</v>
      </c>
      <c r="D147" s="8">
        <v>36.92</v>
      </c>
      <c r="E147" s="8">
        <v>36.93</v>
      </c>
      <c r="F147" s="8">
        <v>129518</v>
      </c>
      <c r="G147" s="9">
        <v>53700</v>
      </c>
      <c r="H147" s="16">
        <f t="shared" si="8"/>
        <v>2.7081922816514584E-4</v>
      </c>
      <c r="I147" s="6">
        <f t="shared" si="9"/>
        <v>-4.2000867114676543E-3</v>
      </c>
      <c r="L147" s="11"/>
      <c r="M147" s="12"/>
    </row>
    <row r="148" spans="1:13" ht="15" customHeight="1" x14ac:dyDescent="0.2">
      <c r="A148" s="3">
        <v>45845</v>
      </c>
      <c r="B148" s="4">
        <v>36.94</v>
      </c>
      <c r="C148" s="4">
        <v>36.904000000000003</v>
      </c>
      <c r="D148" s="4">
        <v>36.935000000000002</v>
      </c>
      <c r="E148" s="4">
        <v>36.945</v>
      </c>
      <c r="F148" s="4">
        <v>132552</v>
      </c>
      <c r="G148" s="5">
        <v>54382</v>
      </c>
      <c r="H148" s="16">
        <f t="shared" si="8"/>
        <v>2.7070925825657856E-4</v>
      </c>
      <c r="I148" s="6">
        <f t="shared" si="9"/>
        <v>-4.8538453241290247E-3</v>
      </c>
      <c r="L148" s="11"/>
      <c r="M148" s="12"/>
    </row>
    <row r="149" spans="1:13" ht="15" customHeight="1" x14ac:dyDescent="0.2">
      <c r="A149" s="7">
        <v>45841</v>
      </c>
      <c r="B149" s="8">
        <v>37.04</v>
      </c>
      <c r="C149" s="8">
        <v>37.084000000000003</v>
      </c>
      <c r="D149" s="8">
        <v>37.034999999999997</v>
      </c>
      <c r="E149" s="8">
        <v>37.045000000000002</v>
      </c>
      <c r="F149" s="8">
        <v>131773</v>
      </c>
      <c r="G149" s="9">
        <v>54497</v>
      </c>
      <c r="H149" s="16">
        <f t="shared" si="8"/>
        <v>2.6997840172799991E-4</v>
      </c>
      <c r="I149" s="6">
        <f t="shared" si="9"/>
        <v>9.7203692106626605E-3</v>
      </c>
      <c r="L149" s="11"/>
      <c r="M149" s="12"/>
    </row>
    <row r="150" spans="1:13" ht="15" customHeight="1" x14ac:dyDescent="0.2">
      <c r="A150" s="3">
        <v>45840</v>
      </c>
      <c r="B150" s="4">
        <v>36.79</v>
      </c>
      <c r="C150" s="4">
        <v>36.726999999999997</v>
      </c>
      <c r="D150" s="4">
        <v>36.784999999999997</v>
      </c>
      <c r="E150" s="4">
        <v>36.795000000000002</v>
      </c>
      <c r="F150" s="4">
        <v>131315</v>
      </c>
      <c r="G150" s="5">
        <v>39724</v>
      </c>
      <c r="H150" s="16">
        <f t="shared" si="8"/>
        <v>2.7181299266118824E-4</v>
      </c>
      <c r="I150" s="6">
        <f t="shared" si="9"/>
        <v>9.0666813198889695E-3</v>
      </c>
      <c r="L150" s="11"/>
      <c r="M150" s="12"/>
    </row>
    <row r="151" spans="1:13" ht="15" customHeight="1" x14ac:dyDescent="0.2">
      <c r="A151" s="7">
        <v>45839</v>
      </c>
      <c r="B151" s="8">
        <v>36.244999999999997</v>
      </c>
      <c r="C151" s="8">
        <v>36.396999999999998</v>
      </c>
      <c r="D151" s="8">
        <v>36.24</v>
      </c>
      <c r="E151" s="8">
        <v>36.244999999999997</v>
      </c>
      <c r="F151" s="8">
        <v>130370</v>
      </c>
      <c r="G151" s="9">
        <v>52529</v>
      </c>
      <c r="H151" s="16">
        <f t="shared" si="8"/>
        <v>1.3795957784356632E-4</v>
      </c>
      <c r="I151" s="6">
        <f t="shared" si="9"/>
        <v>6.2202808802389598E-3</v>
      </c>
      <c r="L151" s="11"/>
      <c r="M151" s="12"/>
    </row>
    <row r="152" spans="1:13" ht="15" customHeight="1" x14ac:dyDescent="0.2">
      <c r="A152" s="3">
        <v>45838</v>
      </c>
      <c r="B152" s="4">
        <v>36.325000000000003</v>
      </c>
      <c r="C152" s="4">
        <v>36.171999999999997</v>
      </c>
      <c r="D152" s="4">
        <v>36.314999999999998</v>
      </c>
      <c r="E152" s="4">
        <v>36.325000000000003</v>
      </c>
      <c r="F152" s="4">
        <v>129593</v>
      </c>
      <c r="G152" s="5">
        <v>42037</v>
      </c>
      <c r="H152" s="16">
        <f t="shared" si="8"/>
        <v>2.7533039647591179E-4</v>
      </c>
      <c r="I152" s="6">
        <f t="shared" si="9"/>
        <v>-5.4440472917239857E-3</v>
      </c>
      <c r="L152" s="11"/>
      <c r="M152" s="12"/>
    </row>
    <row r="153" spans="1:13" ht="15" customHeight="1" x14ac:dyDescent="0.2">
      <c r="A153" s="7">
        <v>45835</v>
      </c>
      <c r="B153" s="8">
        <v>36.164999999999999</v>
      </c>
      <c r="C153" s="8">
        <v>36.369999999999997</v>
      </c>
      <c r="D153" s="8">
        <v>36.164999999999999</v>
      </c>
      <c r="E153" s="8">
        <v>36.174999999999997</v>
      </c>
      <c r="F153" s="8">
        <v>128906</v>
      </c>
      <c r="G153" s="9">
        <v>65468</v>
      </c>
      <c r="H153" s="16">
        <f t="shared" si="8"/>
        <v>2.7647221454238347E-4</v>
      </c>
      <c r="I153" s="6">
        <f t="shared" si="9"/>
        <v>-6.039736547238439E-3</v>
      </c>
      <c r="L153" s="11"/>
      <c r="M153" s="12"/>
    </row>
    <row r="154" spans="1:13" ht="15" customHeight="1" x14ac:dyDescent="0.2">
      <c r="A154" s="3">
        <v>45834</v>
      </c>
      <c r="B154" s="4">
        <v>36.549999999999997</v>
      </c>
      <c r="C154" s="4">
        <v>36.591000000000001</v>
      </c>
      <c r="D154" s="4">
        <v>36.534999999999997</v>
      </c>
      <c r="E154" s="4">
        <v>36.770000000000003</v>
      </c>
      <c r="F154" s="4">
        <v>24788</v>
      </c>
      <c r="G154" s="5">
        <v>40217</v>
      </c>
      <c r="H154" s="16">
        <f t="shared" si="8"/>
        <v>6.41156810585926E-3</v>
      </c>
      <c r="I154" s="6">
        <f t="shared" si="9"/>
        <v>1.3292348591841918E-2</v>
      </c>
      <c r="L154" s="11"/>
      <c r="M154" s="12"/>
    </row>
    <row r="155" spans="1:13" ht="15" customHeight="1" x14ac:dyDescent="0.2">
      <c r="A155" s="7">
        <v>45833</v>
      </c>
      <c r="B155" s="8">
        <v>36.215000000000003</v>
      </c>
      <c r="C155" s="8">
        <v>36.110999999999997</v>
      </c>
      <c r="D155" s="8">
        <v>36.21</v>
      </c>
      <c r="E155" s="8">
        <v>36.225000000000001</v>
      </c>
      <c r="F155" s="8">
        <v>39659</v>
      </c>
      <c r="G155" s="9">
        <v>47846</v>
      </c>
      <c r="H155" s="16">
        <f t="shared" si="8"/>
        <v>4.1416442327605625E-4</v>
      </c>
      <c r="I155" s="6">
        <f t="shared" si="9"/>
        <v>1.0606739057427372E-2</v>
      </c>
      <c r="L155" s="11"/>
      <c r="M155" s="12"/>
    </row>
    <row r="156" spans="1:13" ht="15" customHeight="1" x14ac:dyDescent="0.2">
      <c r="A156" s="3">
        <v>45832</v>
      </c>
      <c r="B156" s="4">
        <v>35.869999999999997</v>
      </c>
      <c r="C156" s="4">
        <v>35.731999999999999</v>
      </c>
      <c r="D156" s="4">
        <v>35.865000000000002</v>
      </c>
      <c r="E156" s="4">
        <v>35.869999999999997</v>
      </c>
      <c r="F156" s="4">
        <v>52240</v>
      </c>
      <c r="G156" s="5">
        <v>76194</v>
      </c>
      <c r="H156" s="16">
        <f t="shared" si="8"/>
        <v>1.3940196556758773E-4</v>
      </c>
      <c r="I156" s="6">
        <f t="shared" si="9"/>
        <v>-1.257357614612975E-2</v>
      </c>
      <c r="L156" s="11"/>
      <c r="M156" s="12"/>
    </row>
    <row r="157" spans="1:13" ht="15" customHeight="1" x14ac:dyDescent="0.2">
      <c r="A157" s="7">
        <v>45831</v>
      </c>
      <c r="B157" s="8">
        <v>36.049999999999997</v>
      </c>
      <c r="C157" s="8">
        <v>36.186999999999998</v>
      </c>
      <c r="D157" s="8">
        <v>36.045000000000002</v>
      </c>
      <c r="E157" s="8">
        <v>36.055</v>
      </c>
      <c r="F157" s="8">
        <v>71830</v>
      </c>
      <c r="G157" s="9">
        <v>72840</v>
      </c>
      <c r="H157" s="16">
        <f t="shared" si="8"/>
        <v>2.7739251040216395E-4</v>
      </c>
      <c r="I157" s="6">
        <f t="shared" si="9"/>
        <v>4.7199933364798774E-3</v>
      </c>
      <c r="L157" s="11"/>
      <c r="M157" s="12"/>
    </row>
    <row r="158" spans="1:13" ht="15" customHeight="1" x14ac:dyDescent="0.2">
      <c r="A158" s="3">
        <v>45828</v>
      </c>
      <c r="B158" s="4">
        <v>35.954999999999998</v>
      </c>
      <c r="C158" s="4">
        <v>36.017000000000003</v>
      </c>
      <c r="D158" s="4">
        <v>35.950000000000003</v>
      </c>
      <c r="E158" s="4">
        <v>35.96</v>
      </c>
      <c r="F158" s="4">
        <v>78739</v>
      </c>
      <c r="G158" s="5">
        <v>93528</v>
      </c>
      <c r="H158" s="16">
        <f t="shared" si="8"/>
        <v>2.781254345709362E-4</v>
      </c>
      <c r="I158" s="6">
        <f t="shared" si="9"/>
        <v>-2.4273291252404183E-2</v>
      </c>
      <c r="L158" s="11"/>
      <c r="M158" s="12"/>
    </row>
    <row r="159" spans="1:13" ht="15" customHeight="1" x14ac:dyDescent="0.2">
      <c r="A159" s="7">
        <v>45826</v>
      </c>
      <c r="B159" s="8">
        <v>36.76</v>
      </c>
      <c r="C159" s="8">
        <v>36.912999999999997</v>
      </c>
      <c r="D159" s="8">
        <v>36.755000000000003</v>
      </c>
      <c r="E159" s="8">
        <v>36.765000000000001</v>
      </c>
      <c r="F159" s="8">
        <v>83687</v>
      </c>
      <c r="G159" s="9">
        <v>59121</v>
      </c>
      <c r="H159" s="16">
        <f t="shared" si="8"/>
        <v>2.7203482045696435E-4</v>
      </c>
      <c r="I159" s="6">
        <f t="shared" si="9"/>
        <v>-6.4062878522787026E-3</v>
      </c>
      <c r="L159" s="11"/>
      <c r="M159" s="12"/>
    </row>
    <row r="160" spans="1:13" ht="15" customHeight="1" x14ac:dyDescent="0.2">
      <c r="A160" s="3">
        <v>45825</v>
      </c>
      <c r="B160" s="4">
        <v>37.18</v>
      </c>
      <c r="C160" s="4">
        <v>37.151000000000003</v>
      </c>
      <c r="D160" s="4">
        <v>37.17</v>
      </c>
      <c r="E160" s="4">
        <v>37.18</v>
      </c>
      <c r="F160" s="4">
        <v>84818</v>
      </c>
      <c r="G160" s="5">
        <v>79484</v>
      </c>
      <c r="H160" s="16">
        <f t="shared" si="8"/>
        <v>2.6899798251507764E-4</v>
      </c>
      <c r="I160" s="6">
        <f t="shared" si="9"/>
        <v>1.9287752414398618E-2</v>
      </c>
      <c r="L160" s="11"/>
      <c r="M160" s="12"/>
    </row>
    <row r="161" spans="1:13" ht="15" customHeight="1" x14ac:dyDescent="0.2">
      <c r="A161" s="7">
        <v>45824</v>
      </c>
      <c r="B161" s="8">
        <v>36.369999999999997</v>
      </c>
      <c r="C161" s="8">
        <v>36.448</v>
      </c>
      <c r="D161" s="8">
        <v>36.369999999999997</v>
      </c>
      <c r="E161" s="8">
        <v>36.380000000000003</v>
      </c>
      <c r="F161" s="8">
        <v>85740</v>
      </c>
      <c r="G161" s="9">
        <v>48581</v>
      </c>
      <c r="H161" s="16">
        <f t="shared" si="8"/>
        <v>2.7491408934721969E-4</v>
      </c>
      <c r="I161" s="6">
        <f t="shared" si="9"/>
        <v>2.5581075505434203E-3</v>
      </c>
      <c r="L161" s="11"/>
      <c r="M161" s="12"/>
    </row>
    <row r="162" spans="1:13" ht="15" customHeight="1" x14ac:dyDescent="0.2">
      <c r="A162" s="3">
        <v>45821</v>
      </c>
      <c r="B162" s="4">
        <v>36.369999999999997</v>
      </c>
      <c r="C162" s="4">
        <v>36.354999999999997</v>
      </c>
      <c r="D162" s="4">
        <v>36.32</v>
      </c>
      <c r="E162" s="4">
        <v>36.450000000000003</v>
      </c>
      <c r="F162" s="4">
        <v>88969</v>
      </c>
      <c r="G162" s="5">
        <v>57485</v>
      </c>
      <c r="H162" s="16">
        <f t="shared" si="8"/>
        <v>3.5729009207091534E-3</v>
      </c>
      <c r="I162" s="6">
        <f t="shared" si="9"/>
        <v>1.6531202644991527E-3</v>
      </c>
      <c r="L162" s="11"/>
      <c r="M162" s="12"/>
    </row>
    <row r="163" spans="1:13" ht="15" customHeight="1" x14ac:dyDescent="0.2">
      <c r="A163" s="7">
        <v>45820</v>
      </c>
      <c r="B163" s="8">
        <v>36.409999999999997</v>
      </c>
      <c r="C163" s="8">
        <v>36.295000000000002</v>
      </c>
      <c r="D163" s="8">
        <v>36.405000000000001</v>
      </c>
      <c r="E163" s="8">
        <v>36.414999999999999</v>
      </c>
      <c r="F163" s="8">
        <v>93632</v>
      </c>
      <c r="G163" s="9">
        <v>72692</v>
      </c>
      <c r="H163" s="16">
        <f t="shared" si="8"/>
        <v>2.7464982147756145E-4</v>
      </c>
      <c r="I163" s="6">
        <f t="shared" si="9"/>
        <v>9.3764650726679832E-4</v>
      </c>
      <c r="L163" s="11"/>
      <c r="M163" s="12"/>
    </row>
    <row r="164" spans="1:13" ht="15" customHeight="1" x14ac:dyDescent="0.2">
      <c r="A164" s="3">
        <v>45819</v>
      </c>
      <c r="B164" s="4">
        <v>36.365000000000002</v>
      </c>
      <c r="C164" s="4">
        <v>36.261000000000003</v>
      </c>
      <c r="D164" s="4">
        <v>36.36</v>
      </c>
      <c r="E164" s="4">
        <v>36.369999999999997</v>
      </c>
      <c r="F164" s="4">
        <v>100529</v>
      </c>
      <c r="G164" s="5">
        <v>73236</v>
      </c>
      <c r="H164" s="16">
        <f t="shared" si="8"/>
        <v>2.7498968788664956E-4</v>
      </c>
      <c r="I164" s="6">
        <f t="shared" si="9"/>
        <v>-1.0397904044539108E-2</v>
      </c>
      <c r="L164" s="11"/>
      <c r="M164" s="12"/>
    </row>
    <row r="165" spans="1:13" ht="15" customHeight="1" x14ac:dyDescent="0.2">
      <c r="A165" s="7">
        <v>45818</v>
      </c>
      <c r="B165" s="8">
        <v>36.655000000000001</v>
      </c>
      <c r="C165" s="8">
        <v>36.642000000000003</v>
      </c>
      <c r="D165" s="8">
        <v>36.65</v>
      </c>
      <c r="E165" s="8">
        <v>36.659999999999997</v>
      </c>
      <c r="F165" s="8">
        <v>107401</v>
      </c>
      <c r="G165" s="9">
        <v>61961</v>
      </c>
      <c r="H165" s="16">
        <f t="shared" si="8"/>
        <v>2.7281407720632957E-4</v>
      </c>
      <c r="I165" s="6">
        <f t="shared" si="9"/>
        <v>-4.1852375258178975E-3</v>
      </c>
      <c r="L165" s="11"/>
      <c r="M165" s="12"/>
    </row>
    <row r="166" spans="1:13" ht="15" customHeight="1" x14ac:dyDescent="0.2">
      <c r="A166" s="3">
        <v>45817</v>
      </c>
      <c r="B166" s="4">
        <v>36.905000000000001</v>
      </c>
      <c r="C166" s="4">
        <v>36.795999999999999</v>
      </c>
      <c r="D166" s="4">
        <v>36.905000000000001</v>
      </c>
      <c r="E166" s="4">
        <v>36.914999999999999</v>
      </c>
      <c r="F166" s="4">
        <v>113652</v>
      </c>
      <c r="G166" s="5">
        <v>75470</v>
      </c>
      <c r="H166" s="16">
        <f t="shared" si="8"/>
        <v>2.7092928745592012E-4</v>
      </c>
      <c r="I166" s="6">
        <f t="shared" si="9"/>
        <v>1.817980575002065E-2</v>
      </c>
      <c r="L166" s="11"/>
      <c r="M166" s="12"/>
    </row>
    <row r="167" spans="1:13" ht="15" customHeight="1" x14ac:dyDescent="0.2">
      <c r="A167" s="7">
        <v>45814</v>
      </c>
      <c r="B167" s="8">
        <v>36.130000000000003</v>
      </c>
      <c r="C167" s="8">
        <v>36.139000000000003</v>
      </c>
      <c r="D167" s="8">
        <v>36.115000000000002</v>
      </c>
      <c r="E167" s="8">
        <v>36.130000000000003</v>
      </c>
      <c r="F167" s="8">
        <v>118897</v>
      </c>
      <c r="G167" s="9">
        <v>81652</v>
      </c>
      <c r="H167" s="16">
        <f t="shared" si="8"/>
        <v>4.1525365077169541E-4</v>
      </c>
      <c r="I167" s="6">
        <f t="shared" si="9"/>
        <v>9.3283061024997949E-3</v>
      </c>
      <c r="L167" s="11"/>
      <c r="M167" s="12"/>
    </row>
    <row r="168" spans="1:13" ht="15" customHeight="1" x14ac:dyDescent="0.2">
      <c r="A168" s="3">
        <v>45813</v>
      </c>
      <c r="B168" s="4">
        <v>35.799999999999997</v>
      </c>
      <c r="C168" s="4">
        <v>35.805</v>
      </c>
      <c r="D168" s="4">
        <v>35.795000000000002</v>
      </c>
      <c r="E168" s="4">
        <v>35.81</v>
      </c>
      <c r="F168" s="4">
        <v>117516</v>
      </c>
      <c r="G168" s="5">
        <v>110945</v>
      </c>
      <c r="H168" s="16">
        <f t="shared" si="8"/>
        <v>4.189651560645365E-4</v>
      </c>
      <c r="I168" s="6">
        <f t="shared" si="9"/>
        <v>3.339298083583464E-2</v>
      </c>
      <c r="L168" s="11"/>
      <c r="M168" s="12"/>
    </row>
    <row r="169" spans="1:13" ht="15" customHeight="1" x14ac:dyDescent="0.2">
      <c r="A169" s="7">
        <v>45812</v>
      </c>
      <c r="B169" s="8">
        <v>34.655000000000001</v>
      </c>
      <c r="C169" s="8">
        <v>34.648000000000003</v>
      </c>
      <c r="D169" s="8">
        <v>34.65</v>
      </c>
      <c r="E169" s="8">
        <v>34.659999999999997</v>
      </c>
      <c r="F169" s="8">
        <v>118227</v>
      </c>
      <c r="G169" s="9">
        <v>49127</v>
      </c>
      <c r="H169" s="16">
        <f t="shared" si="8"/>
        <v>2.8855864954546273E-4</v>
      </c>
      <c r="I169" s="6">
        <f t="shared" si="9"/>
        <v>4.3311292697723047E-4</v>
      </c>
      <c r="L169" s="11"/>
      <c r="M169" s="12"/>
    </row>
    <row r="170" spans="1:13" ht="15" customHeight="1" x14ac:dyDescent="0.2">
      <c r="A170" s="3">
        <v>45811</v>
      </c>
      <c r="B170" s="4">
        <v>34.674999999999997</v>
      </c>
      <c r="C170" s="4">
        <v>34.633000000000003</v>
      </c>
      <c r="D170" s="4">
        <v>34.67</v>
      </c>
      <c r="E170" s="4">
        <v>34.68</v>
      </c>
      <c r="F170" s="4">
        <v>117815</v>
      </c>
      <c r="G170" s="5">
        <v>73803</v>
      </c>
      <c r="H170" s="16">
        <f t="shared" si="8"/>
        <v>2.8839221341018059E-4</v>
      </c>
      <c r="I170" s="6">
        <f t="shared" si="9"/>
        <v>-1.7582290886032359E-3</v>
      </c>
      <c r="L170" s="11"/>
      <c r="M170" s="12"/>
    </row>
    <row r="171" spans="1:13" ht="15" customHeight="1" x14ac:dyDescent="0.2">
      <c r="A171" s="7">
        <v>45810</v>
      </c>
      <c r="B171" s="8">
        <v>34.93</v>
      </c>
      <c r="C171" s="8">
        <v>34.694000000000003</v>
      </c>
      <c r="D171" s="8">
        <v>34.924999999999997</v>
      </c>
      <c r="E171" s="8">
        <v>34.935000000000002</v>
      </c>
      <c r="F171" s="8">
        <v>110332</v>
      </c>
      <c r="G171" s="9">
        <v>87052</v>
      </c>
      <c r="H171" s="16">
        <f t="shared" si="8"/>
        <v>2.8628685943329847E-4</v>
      </c>
      <c r="I171" s="6">
        <f t="shared" si="9"/>
        <v>5.0410245541796517E-2</v>
      </c>
      <c r="L171" s="11"/>
      <c r="M171" s="12"/>
    </row>
    <row r="172" spans="1:13" ht="15" customHeight="1" x14ac:dyDescent="0.2">
      <c r="A172" s="3">
        <v>45807</v>
      </c>
      <c r="B172" s="4">
        <v>33.075000000000003</v>
      </c>
      <c r="C172" s="4">
        <v>33.029000000000003</v>
      </c>
      <c r="D172" s="4">
        <v>33.064999999999998</v>
      </c>
      <c r="E172" s="4">
        <v>33.075000000000003</v>
      </c>
      <c r="F172" s="4">
        <v>111156</v>
      </c>
      <c r="G172" s="5">
        <v>40787</v>
      </c>
      <c r="H172" s="16">
        <f t="shared" si="8"/>
        <v>3.0238887208966178E-4</v>
      </c>
      <c r="I172" s="6">
        <f t="shared" si="9"/>
        <v>-1.1788289501241556E-2</v>
      </c>
      <c r="L172" s="11"/>
      <c r="M172" s="12"/>
    </row>
    <row r="173" spans="1:13" ht="15" customHeight="1" x14ac:dyDescent="0.2">
      <c r="A173" s="7">
        <v>45806</v>
      </c>
      <c r="B173" s="8">
        <v>33.44</v>
      </c>
      <c r="C173" s="8">
        <v>33.423000000000002</v>
      </c>
      <c r="D173" s="8">
        <v>33.435000000000002</v>
      </c>
      <c r="E173" s="8">
        <v>33.450000000000003</v>
      </c>
      <c r="F173" s="8">
        <v>110346</v>
      </c>
      <c r="G173" s="9">
        <v>49553</v>
      </c>
      <c r="H173" s="16">
        <f t="shared" si="8"/>
        <v>4.4853106077597567E-4</v>
      </c>
      <c r="I173" s="6">
        <f t="shared" si="9"/>
        <v>7.9312424607962395E-3</v>
      </c>
      <c r="L173" s="11"/>
      <c r="M173" s="12"/>
    </row>
    <row r="174" spans="1:13" ht="15" customHeight="1" x14ac:dyDescent="0.2">
      <c r="A174" s="3">
        <v>45805</v>
      </c>
      <c r="B174" s="4">
        <v>33.094999999999999</v>
      </c>
      <c r="C174" s="4">
        <v>33.159999999999997</v>
      </c>
      <c r="D174" s="4">
        <v>33.090000000000003</v>
      </c>
      <c r="E174" s="4">
        <v>33.1</v>
      </c>
      <c r="F174" s="4">
        <v>110730</v>
      </c>
      <c r="G174" s="5">
        <v>40578</v>
      </c>
      <c r="H174" s="16">
        <f t="shared" si="8"/>
        <v>3.0216044719740177E-4</v>
      </c>
      <c r="I174" s="6">
        <f t="shared" si="9"/>
        <v>-4.5330371348805132E-3</v>
      </c>
      <c r="L174" s="11"/>
      <c r="M174" s="12"/>
    </row>
    <row r="175" spans="1:13" ht="15" customHeight="1" x14ac:dyDescent="0.2">
      <c r="A175" s="7">
        <v>45804</v>
      </c>
      <c r="B175" s="8">
        <v>33.384999999999998</v>
      </c>
      <c r="C175" s="8">
        <v>33.311</v>
      </c>
      <c r="D175" s="8">
        <v>33.380000000000003</v>
      </c>
      <c r="E175" s="8">
        <v>33.39</v>
      </c>
      <c r="F175" s="8">
        <v>112720</v>
      </c>
      <c r="G175" s="9">
        <v>59619</v>
      </c>
      <c r="H175" s="16">
        <f t="shared" si="8"/>
        <v>2.9953571963450679E-4</v>
      </c>
      <c r="I175" s="6">
        <f t="shared" si="9"/>
        <v>-8.8666726174536636E-3</v>
      </c>
      <c r="L175" s="11"/>
      <c r="M175" s="12"/>
    </row>
    <row r="176" spans="1:13" ht="15" customHeight="1" x14ac:dyDescent="0.2">
      <c r="A176" s="3">
        <v>45800</v>
      </c>
      <c r="B176" s="4">
        <v>33.64</v>
      </c>
      <c r="C176" s="4">
        <v>33.609000000000002</v>
      </c>
      <c r="D176" s="4">
        <v>33.634999999999998</v>
      </c>
      <c r="E176" s="4">
        <v>33.65</v>
      </c>
      <c r="F176" s="4">
        <v>110427</v>
      </c>
      <c r="G176" s="5">
        <v>44845</v>
      </c>
      <c r="H176" s="16">
        <f t="shared" si="8"/>
        <v>4.4586460578139464E-4</v>
      </c>
      <c r="I176" s="6">
        <f t="shared" si="9"/>
        <v>1.1740269123092117E-2</v>
      </c>
      <c r="L176" s="11"/>
      <c r="M176" s="12"/>
    </row>
    <row r="177" spans="1:13" ht="15" customHeight="1" x14ac:dyDescent="0.2">
      <c r="A177" s="7">
        <v>45799</v>
      </c>
      <c r="B177" s="8">
        <v>33.18</v>
      </c>
      <c r="C177" s="8">
        <v>33.219000000000001</v>
      </c>
      <c r="D177" s="8">
        <v>33.18</v>
      </c>
      <c r="E177" s="8">
        <v>33.185000000000002</v>
      </c>
      <c r="F177" s="8">
        <v>111871</v>
      </c>
      <c r="G177" s="9">
        <v>65592</v>
      </c>
      <c r="H177" s="16">
        <f t="shared" si="8"/>
        <v>1.5068183530483108E-4</v>
      </c>
      <c r="I177" s="6">
        <f t="shared" si="9"/>
        <v>-1.2690958806396035E-2</v>
      </c>
      <c r="L177" s="11"/>
      <c r="M177" s="12"/>
    </row>
    <row r="178" spans="1:13" ht="15" customHeight="1" x14ac:dyDescent="0.2">
      <c r="A178" s="3">
        <v>45798</v>
      </c>
      <c r="B178" s="4">
        <v>33.575000000000003</v>
      </c>
      <c r="C178" s="4">
        <v>33.646000000000001</v>
      </c>
      <c r="D178" s="4">
        <v>33.564999999999998</v>
      </c>
      <c r="E178" s="4">
        <v>33.575000000000003</v>
      </c>
      <c r="F178" s="4">
        <v>108510</v>
      </c>
      <c r="G178" s="5">
        <v>58295</v>
      </c>
      <c r="H178" s="16">
        <f t="shared" si="8"/>
        <v>2.9788501638382828E-4</v>
      </c>
      <c r="I178" s="6">
        <f t="shared" si="9"/>
        <v>1.4228009887261139E-2</v>
      </c>
      <c r="L178" s="11"/>
      <c r="M178" s="12"/>
    </row>
    <row r="179" spans="1:13" ht="15" customHeight="1" x14ac:dyDescent="0.2">
      <c r="A179" s="7">
        <v>45797</v>
      </c>
      <c r="B179" s="8">
        <v>33.26</v>
      </c>
      <c r="C179" s="8">
        <v>33.173999999999999</v>
      </c>
      <c r="D179" s="8">
        <v>33.26</v>
      </c>
      <c r="E179" s="8">
        <v>33.265000000000001</v>
      </c>
      <c r="F179" s="8">
        <v>104823</v>
      </c>
      <c r="G179" s="9">
        <v>49504</v>
      </c>
      <c r="H179" s="16">
        <f t="shared" si="8"/>
        <v>1.503194287862475E-4</v>
      </c>
      <c r="I179" s="6">
        <f t="shared" si="9"/>
        <v>2.051865751991877E-2</v>
      </c>
      <c r="L179" s="11"/>
      <c r="M179" s="12"/>
    </row>
    <row r="180" spans="1:13" ht="15" customHeight="1" x14ac:dyDescent="0.2">
      <c r="A180" s="3">
        <v>45796</v>
      </c>
      <c r="B180" s="4">
        <v>32.494999999999997</v>
      </c>
      <c r="C180" s="4">
        <v>32.506999999999998</v>
      </c>
      <c r="D180" s="4">
        <v>32.494999999999997</v>
      </c>
      <c r="E180" s="4">
        <v>32.5</v>
      </c>
      <c r="F180" s="4">
        <v>104531</v>
      </c>
      <c r="G180" s="5">
        <v>33335</v>
      </c>
      <c r="H180" s="16">
        <f t="shared" si="8"/>
        <v>1.5385798907616147E-4</v>
      </c>
      <c r="I180" s="6">
        <f t="shared" si="9"/>
        <v>4.7289361439080135E-3</v>
      </c>
      <c r="L180" s="11"/>
      <c r="M180" s="12"/>
    </row>
    <row r="181" spans="1:13" ht="15" customHeight="1" x14ac:dyDescent="0.2">
      <c r="A181" s="7">
        <v>45793</v>
      </c>
      <c r="B181" s="8">
        <v>32.43</v>
      </c>
      <c r="C181" s="8">
        <v>32.353999999999999</v>
      </c>
      <c r="D181" s="8">
        <v>32.424999999999997</v>
      </c>
      <c r="E181" s="8">
        <v>32.44</v>
      </c>
      <c r="F181" s="8">
        <v>104831</v>
      </c>
      <c r="G181" s="9">
        <v>40113</v>
      </c>
      <c r="H181" s="16">
        <f t="shared" si="8"/>
        <v>4.6249903646035828E-4</v>
      </c>
      <c r="I181" s="6">
        <f t="shared" si="9"/>
        <v>-9.975520195838472E-3</v>
      </c>
      <c r="L181" s="11"/>
      <c r="M181" s="12"/>
    </row>
    <row r="182" spans="1:13" ht="15" customHeight="1" x14ac:dyDescent="0.2">
      <c r="A182" s="3">
        <v>45792</v>
      </c>
      <c r="B182" s="4">
        <v>32.79</v>
      </c>
      <c r="C182" s="4">
        <v>32.68</v>
      </c>
      <c r="D182" s="4">
        <v>32.784999999999997</v>
      </c>
      <c r="E182" s="4">
        <v>32.799999999999997</v>
      </c>
      <c r="F182" s="4">
        <v>105095</v>
      </c>
      <c r="G182" s="5">
        <v>43996</v>
      </c>
      <c r="H182" s="16">
        <f t="shared" si="8"/>
        <v>4.574216665396225E-4</v>
      </c>
      <c r="I182" s="6">
        <f t="shared" si="9"/>
        <v>7.2740722475650443E-3</v>
      </c>
      <c r="L182" s="11"/>
      <c r="M182" s="12"/>
    </row>
    <row r="183" spans="1:13" ht="15" customHeight="1" x14ac:dyDescent="0.2">
      <c r="A183" s="7">
        <v>45791</v>
      </c>
      <c r="B183" s="8">
        <v>32.39</v>
      </c>
      <c r="C183" s="8">
        <v>32.444000000000003</v>
      </c>
      <c r="D183" s="8">
        <v>32.384999999999998</v>
      </c>
      <c r="E183" s="8">
        <v>32.395000000000003</v>
      </c>
      <c r="F183" s="8">
        <v>105771</v>
      </c>
      <c r="G183" s="9">
        <v>46465</v>
      </c>
      <c r="H183" s="16">
        <f t="shared" si="8"/>
        <v>3.0873726458799367E-4</v>
      </c>
      <c r="I183" s="6">
        <f t="shared" si="9"/>
        <v>-1.9818731117824728E-2</v>
      </c>
      <c r="L183" s="11"/>
      <c r="M183" s="12"/>
    </row>
    <row r="184" spans="1:13" ht="15" customHeight="1" x14ac:dyDescent="0.2">
      <c r="A184" s="3">
        <v>45790</v>
      </c>
      <c r="B184" s="4">
        <v>33.090000000000003</v>
      </c>
      <c r="C184" s="4">
        <v>33.1</v>
      </c>
      <c r="D184" s="4">
        <v>33.08</v>
      </c>
      <c r="E184" s="4">
        <v>33.090000000000003</v>
      </c>
      <c r="F184" s="4">
        <v>106546</v>
      </c>
      <c r="G184" s="5">
        <v>47526</v>
      </c>
      <c r="H184" s="16">
        <f t="shared" si="8"/>
        <v>3.0225177572933701E-4</v>
      </c>
      <c r="I184" s="6">
        <f t="shared" si="9"/>
        <v>1.4590485532123498E-2</v>
      </c>
      <c r="L184" s="11"/>
      <c r="M184" s="12"/>
    </row>
    <row r="185" spans="1:13" ht="15" customHeight="1" x14ac:dyDescent="0.2">
      <c r="A185" s="7">
        <v>45789</v>
      </c>
      <c r="B185" s="8">
        <v>32.795000000000002</v>
      </c>
      <c r="C185" s="8">
        <v>32.624000000000002</v>
      </c>
      <c r="D185" s="8">
        <v>32.79</v>
      </c>
      <c r="E185" s="8">
        <v>32.799999999999997</v>
      </c>
      <c r="F185" s="8">
        <v>106309</v>
      </c>
      <c r="G185" s="9">
        <v>60607</v>
      </c>
      <c r="H185" s="16">
        <f t="shared" si="8"/>
        <v>3.0492453117847261E-4</v>
      </c>
      <c r="I185" s="6">
        <f t="shared" si="9"/>
        <v>-8.8108403718781814E-3</v>
      </c>
      <c r="L185" s="11"/>
      <c r="M185" s="12"/>
    </row>
    <row r="186" spans="1:13" ht="15" customHeight="1" x14ac:dyDescent="0.2">
      <c r="A186" s="3">
        <v>45786</v>
      </c>
      <c r="B186" s="4">
        <v>32.875</v>
      </c>
      <c r="C186" s="4">
        <v>32.914000000000001</v>
      </c>
      <c r="D186" s="4">
        <v>32.869999999999997</v>
      </c>
      <c r="E186" s="4">
        <v>32.884999999999998</v>
      </c>
      <c r="F186" s="4">
        <v>106229</v>
      </c>
      <c r="G186" s="5">
        <v>31573</v>
      </c>
      <c r="H186" s="16">
        <f t="shared" si="8"/>
        <v>4.5623906927231601E-4</v>
      </c>
      <c r="I186" s="6">
        <f t="shared" si="9"/>
        <v>9.105681086550188E-3</v>
      </c>
      <c r="L186" s="11"/>
      <c r="M186" s="12"/>
    </row>
    <row r="187" spans="1:13" ht="15" customHeight="1" x14ac:dyDescent="0.2">
      <c r="A187" s="7">
        <v>45785</v>
      </c>
      <c r="B187" s="8">
        <v>32.61</v>
      </c>
      <c r="C187" s="8">
        <v>32.616999999999997</v>
      </c>
      <c r="D187" s="8">
        <v>32.6</v>
      </c>
      <c r="E187" s="8">
        <v>32.619999999999997</v>
      </c>
      <c r="F187" s="8">
        <v>109220</v>
      </c>
      <c r="G187" s="9">
        <v>47499</v>
      </c>
      <c r="H187" s="16">
        <f t="shared" si="8"/>
        <v>6.1330880098117203E-4</v>
      </c>
      <c r="I187" s="6">
        <f t="shared" si="9"/>
        <v>-5.3063340550760785E-3</v>
      </c>
      <c r="L187" s="11"/>
      <c r="M187" s="12"/>
    </row>
    <row r="188" spans="1:13" ht="15" customHeight="1" x14ac:dyDescent="0.2">
      <c r="A188" s="3">
        <v>45784</v>
      </c>
      <c r="B188" s="4">
        <v>32.61</v>
      </c>
      <c r="C188" s="4">
        <v>32.790999999999997</v>
      </c>
      <c r="D188" s="4">
        <v>32.6</v>
      </c>
      <c r="E188" s="4">
        <v>32.625</v>
      </c>
      <c r="F188" s="4">
        <v>111364</v>
      </c>
      <c r="G188" s="5">
        <v>48612</v>
      </c>
      <c r="H188" s="16">
        <f t="shared" si="8"/>
        <v>7.6657723265614658E-4</v>
      </c>
      <c r="I188" s="6">
        <f t="shared" si="9"/>
        <v>-1.7674725143045578E-2</v>
      </c>
      <c r="L188" s="11"/>
      <c r="M188" s="12"/>
    </row>
    <row r="189" spans="1:13" ht="15" customHeight="1" x14ac:dyDescent="0.2">
      <c r="A189" s="7">
        <v>45783</v>
      </c>
      <c r="B189" s="8">
        <v>33.44</v>
      </c>
      <c r="C189" s="8">
        <v>33.381</v>
      </c>
      <c r="D189" s="8">
        <v>33.435000000000002</v>
      </c>
      <c r="E189" s="8">
        <v>33.454999999999998</v>
      </c>
      <c r="F189" s="8">
        <v>109710</v>
      </c>
      <c r="G189" s="9">
        <v>53799</v>
      </c>
      <c r="H189" s="16">
        <f t="shared" si="8"/>
        <v>5.9799671101797046E-4</v>
      </c>
      <c r="I189" s="6">
        <f t="shared" si="9"/>
        <v>2.7930036336761832E-2</v>
      </c>
      <c r="L189" s="11"/>
      <c r="M189" s="12"/>
    </row>
    <row r="190" spans="1:13" ht="15" customHeight="1" x14ac:dyDescent="0.2">
      <c r="A190" s="3">
        <v>45782</v>
      </c>
      <c r="B190" s="4">
        <v>32.674999999999997</v>
      </c>
      <c r="C190" s="4">
        <v>32.473999999999997</v>
      </c>
      <c r="D190" s="4">
        <v>32.664999999999999</v>
      </c>
      <c r="E190" s="4">
        <v>32.685000000000002</v>
      </c>
      <c r="F190" s="4">
        <v>109764</v>
      </c>
      <c r="G190" s="5">
        <v>32200</v>
      </c>
      <c r="H190" s="16">
        <f t="shared" si="8"/>
        <v>6.1208875286926172E-4</v>
      </c>
      <c r="I190" s="6">
        <f t="shared" si="9"/>
        <v>6.6648067206049877E-3</v>
      </c>
      <c r="L190" s="11"/>
      <c r="M190" s="12"/>
    </row>
    <row r="191" spans="1:13" ht="15" customHeight="1" x14ac:dyDescent="0.2">
      <c r="A191" s="7">
        <v>45779</v>
      </c>
      <c r="B191" s="8">
        <v>32.18</v>
      </c>
      <c r="C191" s="8">
        <v>32.259</v>
      </c>
      <c r="D191" s="8">
        <v>32.174999999999997</v>
      </c>
      <c r="E191" s="8">
        <v>32.19</v>
      </c>
      <c r="F191" s="8">
        <v>111036</v>
      </c>
      <c r="G191" s="9">
        <v>38955</v>
      </c>
      <c r="H191" s="16">
        <f t="shared" si="8"/>
        <v>4.6609182008857514E-4</v>
      </c>
      <c r="I191" s="6">
        <f t="shared" si="9"/>
        <v>-6.4677076596137972E-3</v>
      </c>
      <c r="L191" s="11"/>
      <c r="M191" s="12"/>
    </row>
    <row r="192" spans="1:13" ht="15" customHeight="1" x14ac:dyDescent="0.2">
      <c r="A192" s="3">
        <v>45778</v>
      </c>
      <c r="B192" s="4">
        <v>32.65</v>
      </c>
      <c r="C192" s="4">
        <v>32.469000000000001</v>
      </c>
      <c r="D192" s="4">
        <v>32.64</v>
      </c>
      <c r="E192" s="4">
        <v>32.655000000000001</v>
      </c>
      <c r="F192" s="4">
        <v>110922</v>
      </c>
      <c r="G192" s="5">
        <v>41746</v>
      </c>
      <c r="H192" s="16">
        <f t="shared" si="8"/>
        <v>4.5945325063176563E-4</v>
      </c>
      <c r="I192" s="6">
        <f t="shared" si="9"/>
        <v>-1.0935786523699309E-2</v>
      </c>
      <c r="L192" s="11"/>
      <c r="M192" s="12"/>
    </row>
    <row r="193" spans="1:13" ht="15" customHeight="1" x14ac:dyDescent="0.2">
      <c r="A193" s="7">
        <v>45777</v>
      </c>
      <c r="B193" s="8">
        <v>32.82</v>
      </c>
      <c r="C193" s="8">
        <v>32.828000000000003</v>
      </c>
      <c r="D193" s="8">
        <v>32.81</v>
      </c>
      <c r="E193" s="8">
        <v>32.83</v>
      </c>
      <c r="F193" s="8">
        <v>114602</v>
      </c>
      <c r="G193" s="9">
        <v>50177</v>
      </c>
      <c r="H193" s="16">
        <f t="shared" si="8"/>
        <v>6.0938452163302923E-4</v>
      </c>
      <c r="I193" s="6">
        <f t="shared" si="9"/>
        <v>-2.2306936295678481E-2</v>
      </c>
      <c r="L193" s="11"/>
      <c r="M193" s="12"/>
    </row>
    <row r="194" spans="1:13" ht="15" customHeight="1" x14ac:dyDescent="0.2">
      <c r="A194" s="3">
        <v>45776</v>
      </c>
      <c r="B194" s="4">
        <v>33.215000000000003</v>
      </c>
      <c r="C194" s="4">
        <v>33.576999999999998</v>
      </c>
      <c r="D194" s="4">
        <v>33.204999999999998</v>
      </c>
      <c r="E194" s="4">
        <v>33.225000000000001</v>
      </c>
      <c r="F194" s="4">
        <v>113079</v>
      </c>
      <c r="G194" s="5">
        <v>51708</v>
      </c>
      <c r="H194" s="16">
        <f t="shared" si="8"/>
        <v>6.0213758843905235E-4</v>
      </c>
      <c r="I194" s="6">
        <f t="shared" si="9"/>
        <v>1.7330707468565132E-2</v>
      </c>
      <c r="L194" s="11"/>
      <c r="M194" s="12"/>
    </row>
    <row r="195" spans="1:13" ht="15" customHeight="1" x14ac:dyDescent="0.2">
      <c r="A195" s="7">
        <v>45775</v>
      </c>
      <c r="B195" s="8">
        <v>33.075000000000003</v>
      </c>
      <c r="C195" s="8">
        <v>33.005000000000003</v>
      </c>
      <c r="D195" s="8">
        <v>33.094999999999999</v>
      </c>
      <c r="E195" s="8">
        <v>33.1</v>
      </c>
      <c r="F195" s="8">
        <v>27404</v>
      </c>
      <c r="G195" s="9">
        <v>38136</v>
      </c>
      <c r="H195" s="16">
        <f t="shared" si="8"/>
        <v>1.5106881184387216E-4</v>
      </c>
      <c r="I195" s="6">
        <f t="shared" si="9"/>
        <v>-1.5146925174180925E-4</v>
      </c>
      <c r="L195" s="11"/>
      <c r="M195" s="12"/>
    </row>
    <row r="196" spans="1:13" ht="15" customHeight="1" x14ac:dyDescent="0.2">
      <c r="A196" s="3">
        <v>45772</v>
      </c>
      <c r="B196" s="4">
        <v>33.020000000000003</v>
      </c>
      <c r="C196" s="4">
        <v>33.01</v>
      </c>
      <c r="D196" s="4">
        <v>33.01</v>
      </c>
      <c r="E196" s="4">
        <v>33.03</v>
      </c>
      <c r="F196" s="4">
        <v>34152</v>
      </c>
      <c r="G196" s="5">
        <v>52122</v>
      </c>
      <c r="H196" s="16">
        <f t="shared" si="8"/>
        <v>6.0569351907944059E-4</v>
      </c>
      <c r="I196" s="6">
        <f t="shared" si="9"/>
        <v>-1.4715100140285986E-2</v>
      </c>
      <c r="L196" s="11"/>
      <c r="M196" s="12"/>
    </row>
    <row r="197" spans="1:13" ht="15" customHeight="1" x14ac:dyDescent="0.2">
      <c r="A197" s="7">
        <v>45771</v>
      </c>
      <c r="B197" s="8">
        <v>33.555</v>
      </c>
      <c r="C197" s="8">
        <v>33.503</v>
      </c>
      <c r="D197" s="8">
        <v>33.545000000000002</v>
      </c>
      <c r="E197" s="8">
        <v>33.555</v>
      </c>
      <c r="F197" s="8">
        <v>42362</v>
      </c>
      <c r="G197" s="9">
        <v>52518</v>
      </c>
      <c r="H197" s="16">
        <f t="shared" ref="H197:H260" si="10">(E197-D197)/AVERAGE(D197:E197)</f>
        <v>2.9806259314450111E-4</v>
      </c>
      <c r="I197" s="6">
        <f t="shared" ref="I197:I260" si="11">C197/C198-1</f>
        <v>-1.3115926908515707E-3</v>
      </c>
      <c r="L197" s="11"/>
      <c r="M197" s="12"/>
    </row>
    <row r="198" spans="1:13" ht="15" customHeight="1" x14ac:dyDescent="0.2">
      <c r="A198" s="3">
        <v>45770</v>
      </c>
      <c r="B198" s="4">
        <v>33.564999999999998</v>
      </c>
      <c r="C198" s="4">
        <v>33.546999999999997</v>
      </c>
      <c r="D198" s="4">
        <v>33.549999999999997</v>
      </c>
      <c r="E198" s="4">
        <v>33.57</v>
      </c>
      <c r="F198" s="4">
        <v>46441</v>
      </c>
      <c r="G198" s="5">
        <v>86230</v>
      </c>
      <c r="H198" s="16">
        <f t="shared" si="10"/>
        <v>5.9594755661511098E-4</v>
      </c>
      <c r="I198" s="6">
        <f t="shared" si="11"/>
        <v>1.9510712657650586E-2</v>
      </c>
      <c r="L198" s="11"/>
      <c r="M198" s="12"/>
    </row>
    <row r="199" spans="1:13" ht="15" customHeight="1" x14ac:dyDescent="0.2">
      <c r="A199" s="7">
        <v>45769</v>
      </c>
      <c r="B199" s="8">
        <v>32.494999999999997</v>
      </c>
      <c r="C199" s="8">
        <v>32.905000000000001</v>
      </c>
      <c r="D199" s="8">
        <v>32.479999999999997</v>
      </c>
      <c r="E199" s="8">
        <v>32.5</v>
      </c>
      <c r="F199" s="8">
        <v>50667</v>
      </c>
      <c r="G199" s="9">
        <v>89939</v>
      </c>
      <c r="H199" s="16">
        <f t="shared" si="10"/>
        <v>6.1557402277633521E-4</v>
      </c>
      <c r="I199" s="6">
        <f t="shared" si="11"/>
        <v>1.1807754989084041E-2</v>
      </c>
      <c r="L199" s="11"/>
      <c r="M199" s="12"/>
    </row>
    <row r="200" spans="1:13" ht="15" customHeight="1" x14ac:dyDescent="0.2">
      <c r="A200" s="3">
        <v>45768</v>
      </c>
      <c r="B200" s="4">
        <v>32.634999999999998</v>
      </c>
      <c r="C200" s="4">
        <v>32.521000000000001</v>
      </c>
      <c r="D200" s="4">
        <v>32.625</v>
      </c>
      <c r="E200" s="4">
        <v>32.645000000000003</v>
      </c>
      <c r="F200" s="4">
        <v>51458</v>
      </c>
      <c r="G200" s="5">
        <v>49362</v>
      </c>
      <c r="H200" s="16">
        <f t="shared" si="10"/>
        <v>6.1283897655900488E-4</v>
      </c>
      <c r="I200" s="6">
        <f t="shared" si="11"/>
        <v>1.5706806282722585E-3</v>
      </c>
      <c r="L200" s="11"/>
      <c r="M200" s="12"/>
    </row>
    <row r="201" spans="1:13" ht="15" customHeight="1" x14ac:dyDescent="0.2">
      <c r="A201" s="7">
        <v>45764</v>
      </c>
      <c r="B201" s="8">
        <v>32.545000000000002</v>
      </c>
      <c r="C201" s="8">
        <v>32.47</v>
      </c>
      <c r="D201" s="8">
        <v>32.53</v>
      </c>
      <c r="E201" s="8">
        <v>32.615000000000002</v>
      </c>
      <c r="F201" s="8">
        <v>56015</v>
      </c>
      <c r="G201" s="9">
        <v>49587</v>
      </c>
      <c r="H201" s="16">
        <f t="shared" si="10"/>
        <v>2.609563281909612E-3</v>
      </c>
      <c r="I201" s="6">
        <f t="shared" si="11"/>
        <v>-1.5463917525773141E-2</v>
      </c>
      <c r="L201" s="11"/>
      <c r="M201" s="12"/>
    </row>
    <row r="202" spans="1:13" ht="15" customHeight="1" x14ac:dyDescent="0.2">
      <c r="A202" s="3">
        <v>45763</v>
      </c>
      <c r="B202" s="4">
        <v>32.76</v>
      </c>
      <c r="C202" s="4">
        <v>32.979999999999997</v>
      </c>
      <c r="D202" s="4">
        <v>32.75</v>
      </c>
      <c r="E202" s="4">
        <v>32.770000000000003</v>
      </c>
      <c r="F202" s="4">
        <v>60254</v>
      </c>
      <c r="G202" s="5">
        <v>61903</v>
      </c>
      <c r="H202" s="16">
        <f t="shared" si="10"/>
        <v>6.105006105007058E-4</v>
      </c>
      <c r="I202" s="6">
        <f t="shared" si="11"/>
        <v>2.1147474997677884E-2</v>
      </c>
      <c r="L202" s="11"/>
      <c r="M202" s="12"/>
    </row>
    <row r="203" spans="1:13" ht="15" customHeight="1" x14ac:dyDescent="0.2">
      <c r="A203" s="7">
        <v>45762</v>
      </c>
      <c r="B203" s="8">
        <v>32.31</v>
      </c>
      <c r="C203" s="8">
        <v>32.296999999999997</v>
      </c>
      <c r="D203" s="8">
        <v>32.305</v>
      </c>
      <c r="E203" s="8">
        <v>32.32</v>
      </c>
      <c r="F203" s="8">
        <v>62913</v>
      </c>
      <c r="G203" s="9">
        <v>37894</v>
      </c>
      <c r="H203" s="16">
        <f t="shared" si="10"/>
        <v>4.6421663442941795E-4</v>
      </c>
      <c r="I203" s="6">
        <f t="shared" si="11"/>
        <v>4.0414088973170781E-3</v>
      </c>
      <c r="L203" s="11"/>
      <c r="M203" s="12"/>
    </row>
    <row r="204" spans="1:13" ht="15" customHeight="1" x14ac:dyDescent="0.2">
      <c r="A204" s="3">
        <v>45761</v>
      </c>
      <c r="B204" s="4">
        <v>32.274999999999999</v>
      </c>
      <c r="C204" s="4">
        <v>32.167000000000002</v>
      </c>
      <c r="D204" s="4">
        <v>32.26</v>
      </c>
      <c r="E204" s="4">
        <v>32.274999999999999</v>
      </c>
      <c r="F204" s="4">
        <v>64952</v>
      </c>
      <c r="G204" s="5">
        <v>60119</v>
      </c>
      <c r="H204" s="16">
        <f t="shared" si="10"/>
        <v>4.6486402727204058E-4</v>
      </c>
      <c r="I204" s="6">
        <f t="shared" si="11"/>
        <v>8.053901598245039E-3</v>
      </c>
      <c r="L204" s="11"/>
      <c r="M204" s="12"/>
    </row>
    <row r="205" spans="1:13" ht="15" customHeight="1" x14ac:dyDescent="0.2">
      <c r="A205" s="7">
        <v>45758</v>
      </c>
      <c r="B205" s="8">
        <v>32.195</v>
      </c>
      <c r="C205" s="8">
        <v>31.91</v>
      </c>
      <c r="D205" s="8">
        <v>32.185000000000002</v>
      </c>
      <c r="E205" s="8">
        <v>32.195</v>
      </c>
      <c r="F205" s="8">
        <v>75429</v>
      </c>
      <c r="G205" s="9">
        <v>89276</v>
      </c>
      <c r="H205" s="16">
        <f t="shared" si="10"/>
        <v>3.1065548306921436E-4</v>
      </c>
      <c r="I205" s="6">
        <f t="shared" si="11"/>
        <v>3.7419942130758388E-2</v>
      </c>
      <c r="L205" s="11"/>
      <c r="M205" s="12"/>
    </row>
    <row r="206" spans="1:13" ht="15" customHeight="1" x14ac:dyDescent="0.2">
      <c r="A206" s="3">
        <v>45757</v>
      </c>
      <c r="B206" s="4">
        <v>31.114999999999998</v>
      </c>
      <c r="C206" s="4">
        <v>30.759</v>
      </c>
      <c r="D206" s="4">
        <v>31.105</v>
      </c>
      <c r="E206" s="4">
        <v>31.125</v>
      </c>
      <c r="F206" s="4">
        <v>80091</v>
      </c>
      <c r="G206" s="5">
        <v>77126</v>
      </c>
      <c r="H206" s="16">
        <f t="shared" si="10"/>
        <v>6.4277679575765938E-4</v>
      </c>
      <c r="I206" s="6">
        <f t="shared" si="11"/>
        <v>1.1310208778563258E-2</v>
      </c>
      <c r="L206" s="11"/>
      <c r="M206" s="12"/>
    </row>
    <row r="207" spans="1:13" ht="15" customHeight="1" x14ac:dyDescent="0.2">
      <c r="A207" s="7">
        <v>45756</v>
      </c>
      <c r="B207" s="8">
        <v>30.965</v>
      </c>
      <c r="C207" s="8">
        <v>30.414999999999999</v>
      </c>
      <c r="D207" s="8">
        <v>30.954999999999998</v>
      </c>
      <c r="E207" s="8">
        <v>30.97</v>
      </c>
      <c r="F207" s="8">
        <v>86220</v>
      </c>
      <c r="G207" s="9">
        <v>93412</v>
      </c>
      <c r="H207" s="16">
        <f t="shared" si="10"/>
        <v>4.8445700444087425E-4</v>
      </c>
      <c r="I207" s="6">
        <f t="shared" si="11"/>
        <v>2.4557030249949374E-2</v>
      </c>
      <c r="L207" s="11"/>
      <c r="M207" s="12"/>
    </row>
    <row r="208" spans="1:13" ht="15" customHeight="1" x14ac:dyDescent="0.2">
      <c r="A208" s="3">
        <v>45755</v>
      </c>
      <c r="B208" s="4">
        <v>29.754999999999999</v>
      </c>
      <c r="C208" s="4">
        <v>29.686</v>
      </c>
      <c r="D208" s="4">
        <v>29.75</v>
      </c>
      <c r="E208" s="4">
        <v>29.76</v>
      </c>
      <c r="F208" s="4">
        <v>103924</v>
      </c>
      <c r="G208" s="5">
        <v>71906</v>
      </c>
      <c r="H208" s="16">
        <f t="shared" si="10"/>
        <v>3.3607797008911315E-4</v>
      </c>
      <c r="I208" s="6">
        <f t="shared" si="11"/>
        <v>2.7698959600053197E-3</v>
      </c>
      <c r="L208" s="11"/>
      <c r="M208" s="12"/>
    </row>
    <row r="209" spans="1:13" ht="15" customHeight="1" x14ac:dyDescent="0.2">
      <c r="A209" s="7">
        <v>45754</v>
      </c>
      <c r="B209" s="8">
        <v>30.085000000000001</v>
      </c>
      <c r="C209" s="8">
        <v>29.603999999999999</v>
      </c>
      <c r="D209" s="8">
        <v>30.065000000000001</v>
      </c>
      <c r="E209" s="8">
        <v>30.094999999999999</v>
      </c>
      <c r="F209" s="8">
        <v>106991</v>
      </c>
      <c r="G209" s="9">
        <v>134449</v>
      </c>
      <c r="H209" s="16">
        <f t="shared" si="10"/>
        <v>9.9734042553183458E-4</v>
      </c>
      <c r="I209" s="6">
        <f t="shared" si="11"/>
        <v>1.2795073554567216E-2</v>
      </c>
      <c r="L209" s="11"/>
      <c r="M209" s="12"/>
    </row>
    <row r="210" spans="1:13" ht="15" customHeight="1" x14ac:dyDescent="0.2">
      <c r="A210" s="3">
        <v>45751</v>
      </c>
      <c r="B210" s="4">
        <v>29.524999999999999</v>
      </c>
      <c r="C210" s="4">
        <v>29.23</v>
      </c>
      <c r="D210" s="4">
        <v>29.51</v>
      </c>
      <c r="E210" s="4">
        <v>29.53</v>
      </c>
      <c r="F210" s="4">
        <v>111352</v>
      </c>
      <c r="G210" s="5">
        <v>122155</v>
      </c>
      <c r="H210" s="16">
        <f t="shared" si="10"/>
        <v>6.7750677506773615E-4</v>
      </c>
      <c r="I210" s="6">
        <f t="shared" si="11"/>
        <v>-8.5705348764466671E-2</v>
      </c>
      <c r="L210" s="11"/>
      <c r="M210" s="12"/>
    </row>
    <row r="211" spans="1:13" ht="15" customHeight="1" x14ac:dyDescent="0.2">
      <c r="A211" s="7">
        <v>45750</v>
      </c>
      <c r="B211" s="8">
        <v>31.925000000000001</v>
      </c>
      <c r="C211" s="8">
        <v>31.97</v>
      </c>
      <c r="D211" s="8">
        <v>31.92</v>
      </c>
      <c r="E211" s="8">
        <v>31.93</v>
      </c>
      <c r="F211" s="8">
        <v>120134</v>
      </c>
      <c r="G211" s="9">
        <v>146447</v>
      </c>
      <c r="H211" s="16">
        <f t="shared" si="10"/>
        <v>3.1323414252147251E-4</v>
      </c>
      <c r="I211" s="6">
        <f t="shared" si="11"/>
        <v>-7.7344877344877383E-2</v>
      </c>
      <c r="L211" s="11"/>
      <c r="M211" s="12"/>
    </row>
    <row r="212" spans="1:13" ht="15" customHeight="1" x14ac:dyDescent="0.2">
      <c r="A212" s="3">
        <v>45749</v>
      </c>
      <c r="B212" s="4">
        <v>34.994999999999997</v>
      </c>
      <c r="C212" s="4">
        <v>34.65</v>
      </c>
      <c r="D212" s="4">
        <v>34.9</v>
      </c>
      <c r="E212" s="4">
        <v>35</v>
      </c>
      <c r="F212" s="4">
        <v>121304</v>
      </c>
      <c r="G212" s="5">
        <v>60627</v>
      </c>
      <c r="H212" s="16">
        <f t="shared" si="10"/>
        <v>2.8612303290415282E-3</v>
      </c>
      <c r="I212" s="6">
        <f t="shared" si="11"/>
        <v>9.9390830394356922E-3</v>
      </c>
      <c r="L212" s="11"/>
      <c r="M212" s="12"/>
    </row>
    <row r="213" spans="1:13" ht="15" customHeight="1" x14ac:dyDescent="0.2">
      <c r="A213" s="7">
        <v>45748</v>
      </c>
      <c r="B213" s="8">
        <v>34.369999999999997</v>
      </c>
      <c r="C213" s="8">
        <v>34.308999999999997</v>
      </c>
      <c r="D213" s="8">
        <v>34.365000000000002</v>
      </c>
      <c r="E213" s="8">
        <v>34.375</v>
      </c>
      <c r="F213" s="8">
        <v>123769</v>
      </c>
      <c r="G213" s="9">
        <v>53260</v>
      </c>
      <c r="H213" s="16">
        <f t="shared" si="10"/>
        <v>2.9095141111428597E-4</v>
      </c>
      <c r="I213" s="6">
        <f t="shared" si="11"/>
        <v>-8.7255496807373545E-3</v>
      </c>
      <c r="L213" s="11"/>
      <c r="M213" s="12"/>
    </row>
    <row r="214" spans="1:13" ht="15" customHeight="1" x14ac:dyDescent="0.2">
      <c r="A214" s="3">
        <v>45747</v>
      </c>
      <c r="B214" s="4">
        <v>34.765000000000001</v>
      </c>
      <c r="C214" s="4">
        <v>34.610999999999997</v>
      </c>
      <c r="D214" s="4">
        <v>34.76</v>
      </c>
      <c r="E214" s="4">
        <v>34.770000000000003</v>
      </c>
      <c r="F214" s="4">
        <v>126137</v>
      </c>
      <c r="G214" s="5">
        <v>65330</v>
      </c>
      <c r="H214" s="16">
        <f t="shared" si="10"/>
        <v>2.8764562059557358E-4</v>
      </c>
      <c r="I214" s="6">
        <f t="shared" si="11"/>
        <v>-5.8309875337508865E-3</v>
      </c>
      <c r="L214" s="11"/>
      <c r="M214" s="12"/>
    </row>
    <row r="215" spans="1:13" ht="15" customHeight="1" x14ac:dyDescent="0.2">
      <c r="A215" s="7">
        <v>45744</v>
      </c>
      <c r="B215" s="8">
        <v>34.82</v>
      </c>
      <c r="C215" s="8">
        <v>34.814</v>
      </c>
      <c r="D215" s="8">
        <v>34.814999999999998</v>
      </c>
      <c r="E215" s="8">
        <v>34.825000000000003</v>
      </c>
      <c r="F215" s="8">
        <v>126498</v>
      </c>
      <c r="G215" s="9">
        <v>67031</v>
      </c>
      <c r="H215" s="16">
        <f t="shared" si="10"/>
        <v>2.871912693855576E-4</v>
      </c>
      <c r="I215" s="6">
        <f t="shared" si="11"/>
        <v>-7.667531282957496E-3</v>
      </c>
      <c r="L215" s="11"/>
      <c r="M215" s="12"/>
    </row>
    <row r="216" spans="1:13" ht="15" customHeight="1" x14ac:dyDescent="0.2">
      <c r="A216" s="3">
        <v>45743</v>
      </c>
      <c r="B216" s="4">
        <v>35.32</v>
      </c>
      <c r="C216" s="4">
        <v>35.082999999999998</v>
      </c>
      <c r="D216" s="4">
        <v>35.314999999999998</v>
      </c>
      <c r="E216" s="4">
        <v>35.325000000000003</v>
      </c>
      <c r="F216" s="4">
        <v>123912</v>
      </c>
      <c r="G216" s="5">
        <v>77024</v>
      </c>
      <c r="H216" s="16">
        <f t="shared" si="10"/>
        <v>2.831257078144144E-4</v>
      </c>
      <c r="I216" s="6">
        <f t="shared" si="11"/>
        <v>2.5159254280871846E-2</v>
      </c>
      <c r="L216" s="11"/>
      <c r="M216" s="12"/>
    </row>
    <row r="217" spans="1:13" ht="15" customHeight="1" x14ac:dyDescent="0.2">
      <c r="A217" s="7">
        <v>45742</v>
      </c>
      <c r="B217" s="8">
        <v>34.204999999999998</v>
      </c>
      <c r="C217" s="8">
        <v>34.222000000000001</v>
      </c>
      <c r="D217" s="8">
        <v>34.200000000000003</v>
      </c>
      <c r="E217" s="8">
        <v>34.21</v>
      </c>
      <c r="F217" s="8">
        <v>125591</v>
      </c>
      <c r="G217" s="9">
        <v>42642</v>
      </c>
      <c r="H217" s="16">
        <f t="shared" si="10"/>
        <v>2.9235491887145184E-4</v>
      </c>
      <c r="I217" s="6">
        <f t="shared" si="11"/>
        <v>1.0237809693744993E-3</v>
      </c>
      <c r="L217" s="11"/>
      <c r="M217" s="12"/>
    </row>
    <row r="218" spans="1:13" ht="15" customHeight="1" x14ac:dyDescent="0.2">
      <c r="A218" s="3">
        <v>45741</v>
      </c>
      <c r="B218" s="4">
        <v>34.25</v>
      </c>
      <c r="C218" s="4">
        <v>34.186999999999998</v>
      </c>
      <c r="D218" s="4">
        <v>34.25</v>
      </c>
      <c r="E218" s="4">
        <v>34.255000000000003</v>
      </c>
      <c r="F218" s="4">
        <v>124649</v>
      </c>
      <c r="G218" s="5">
        <v>45747</v>
      </c>
      <c r="H218" s="16">
        <f t="shared" si="10"/>
        <v>1.4597474636895288E-4</v>
      </c>
      <c r="I218" s="6">
        <f t="shared" si="11"/>
        <v>2.2032884902839944E-2</v>
      </c>
      <c r="L218" s="11"/>
      <c r="M218" s="12"/>
    </row>
    <row r="219" spans="1:13" ht="15" customHeight="1" x14ac:dyDescent="0.2">
      <c r="A219" s="7">
        <v>45740</v>
      </c>
      <c r="B219" s="8">
        <v>33.524999999999999</v>
      </c>
      <c r="C219" s="8">
        <v>33.450000000000003</v>
      </c>
      <c r="D219" s="8">
        <v>33.524999999999999</v>
      </c>
      <c r="E219" s="8">
        <v>33.53</v>
      </c>
      <c r="F219" s="8">
        <v>125326</v>
      </c>
      <c r="G219" s="9">
        <v>31732</v>
      </c>
      <c r="H219" s="16">
        <f t="shared" si="10"/>
        <v>1.4913131011863568E-4</v>
      </c>
      <c r="I219" s="6">
        <f t="shared" si="11"/>
        <v>-1.0750761512272611E-3</v>
      </c>
      <c r="L219" s="11"/>
      <c r="M219" s="12"/>
    </row>
    <row r="220" spans="1:13" ht="15" customHeight="1" x14ac:dyDescent="0.2">
      <c r="A220" s="3">
        <v>45737</v>
      </c>
      <c r="B220" s="4">
        <v>33.53</v>
      </c>
      <c r="C220" s="4">
        <v>33.485999999999997</v>
      </c>
      <c r="D220" s="4">
        <v>33.524999999999999</v>
      </c>
      <c r="E220" s="4">
        <v>33.534999999999997</v>
      </c>
      <c r="F220" s="4">
        <v>126961</v>
      </c>
      <c r="G220" s="5">
        <v>52649</v>
      </c>
      <c r="H220" s="16">
        <f t="shared" si="10"/>
        <v>2.9824038174762929E-4</v>
      </c>
      <c r="I220" s="6">
        <f t="shared" si="11"/>
        <v>-1.4856873878379639E-2</v>
      </c>
      <c r="L220" s="11"/>
      <c r="M220" s="12"/>
    </row>
    <row r="221" spans="1:13" ht="15" customHeight="1" x14ac:dyDescent="0.2">
      <c r="A221" s="7">
        <v>45736</v>
      </c>
      <c r="B221" s="8">
        <v>34.115000000000002</v>
      </c>
      <c r="C221" s="8">
        <v>33.991</v>
      </c>
      <c r="D221" s="8">
        <v>34.11</v>
      </c>
      <c r="E221" s="8">
        <v>34.119999999999997</v>
      </c>
      <c r="F221" s="8">
        <v>128154</v>
      </c>
      <c r="G221" s="9">
        <v>48782</v>
      </c>
      <c r="H221" s="16">
        <f t="shared" si="10"/>
        <v>2.9312619082509195E-4</v>
      </c>
      <c r="I221" s="6">
        <f t="shared" si="11"/>
        <v>-6.2563952638502451E-3</v>
      </c>
      <c r="L221" s="11"/>
      <c r="M221" s="12"/>
    </row>
    <row r="222" spans="1:13" ht="15" customHeight="1" x14ac:dyDescent="0.2">
      <c r="A222" s="3">
        <v>45735</v>
      </c>
      <c r="B222" s="4">
        <v>34.424999999999997</v>
      </c>
      <c r="C222" s="4">
        <v>34.204999999999998</v>
      </c>
      <c r="D222" s="4">
        <v>34.424999999999997</v>
      </c>
      <c r="E222" s="4">
        <v>34.43</v>
      </c>
      <c r="F222" s="4">
        <v>129270</v>
      </c>
      <c r="G222" s="5">
        <v>49540</v>
      </c>
      <c r="H222" s="16">
        <f t="shared" si="10"/>
        <v>1.452327354586467E-4</v>
      </c>
      <c r="I222" s="6">
        <f t="shared" si="11"/>
        <v>-1.7605836061807101E-2</v>
      </c>
      <c r="L222" s="11"/>
      <c r="M222" s="12"/>
    </row>
    <row r="223" spans="1:13" ht="15" customHeight="1" x14ac:dyDescent="0.2">
      <c r="A223" s="7">
        <v>45734</v>
      </c>
      <c r="B223" s="8">
        <v>34.65</v>
      </c>
      <c r="C223" s="8">
        <v>34.817999999999998</v>
      </c>
      <c r="D223" s="8">
        <v>34.645000000000003</v>
      </c>
      <c r="E223" s="8">
        <v>34.655000000000001</v>
      </c>
      <c r="F223" s="8">
        <v>127059</v>
      </c>
      <c r="G223" s="9">
        <v>55437</v>
      </c>
      <c r="H223" s="16">
        <f t="shared" si="10"/>
        <v>2.8860028860023114E-4</v>
      </c>
      <c r="I223" s="6">
        <f t="shared" si="11"/>
        <v>1.4865337530605149E-2</v>
      </c>
      <c r="L223" s="11"/>
      <c r="M223" s="12"/>
    </row>
    <row r="224" spans="1:13" ht="15" customHeight="1" x14ac:dyDescent="0.2">
      <c r="A224" s="3">
        <v>45733</v>
      </c>
      <c r="B224" s="4">
        <v>34.409999999999997</v>
      </c>
      <c r="C224" s="4">
        <v>34.308</v>
      </c>
      <c r="D224" s="4">
        <v>34.4</v>
      </c>
      <c r="E224" s="4">
        <v>34.409999999999997</v>
      </c>
      <c r="F224" s="4">
        <v>126978</v>
      </c>
      <c r="G224" s="5">
        <v>44484</v>
      </c>
      <c r="H224" s="16">
        <f t="shared" si="10"/>
        <v>2.9065542799005986E-4</v>
      </c>
      <c r="I224" s="6">
        <f t="shared" si="11"/>
        <v>-3.6302384340602956E-3</v>
      </c>
      <c r="L224" s="11"/>
      <c r="M224" s="12"/>
    </row>
    <row r="225" spans="1:13" ht="15" customHeight="1" x14ac:dyDescent="0.2">
      <c r="A225" s="7">
        <v>45730</v>
      </c>
      <c r="B225" s="8">
        <v>34.36</v>
      </c>
      <c r="C225" s="8">
        <v>34.433</v>
      </c>
      <c r="D225" s="8">
        <v>34.35</v>
      </c>
      <c r="E225" s="8">
        <v>34.365000000000002</v>
      </c>
      <c r="F225" s="8">
        <v>126038</v>
      </c>
      <c r="G225" s="9">
        <v>58183</v>
      </c>
      <c r="H225" s="16">
        <f t="shared" si="10"/>
        <v>4.3658589827550223E-4</v>
      </c>
      <c r="I225" s="6">
        <f t="shared" si="11"/>
        <v>3.7019763306711528E-3</v>
      </c>
      <c r="L225" s="11"/>
      <c r="M225" s="12"/>
    </row>
    <row r="226" spans="1:13" ht="15" customHeight="1" x14ac:dyDescent="0.2">
      <c r="A226" s="3">
        <v>45729</v>
      </c>
      <c r="B226" s="4">
        <v>34.49</v>
      </c>
      <c r="C226" s="4">
        <v>34.305999999999997</v>
      </c>
      <c r="D226" s="4">
        <v>34.484999999999999</v>
      </c>
      <c r="E226" s="4">
        <v>34.494999999999997</v>
      </c>
      <c r="F226" s="4">
        <v>121688</v>
      </c>
      <c r="G226" s="5">
        <v>72649</v>
      </c>
      <c r="H226" s="16">
        <f t="shared" si="10"/>
        <v>2.8993911278625724E-4</v>
      </c>
      <c r="I226" s="6">
        <f t="shared" si="11"/>
        <v>1.6684942062057173E-2</v>
      </c>
      <c r="L226" s="11"/>
      <c r="M226" s="12"/>
    </row>
    <row r="227" spans="1:13" ht="15" customHeight="1" x14ac:dyDescent="0.2">
      <c r="A227" s="7">
        <v>45728</v>
      </c>
      <c r="B227" s="8">
        <v>33.729999999999997</v>
      </c>
      <c r="C227" s="8">
        <v>33.743000000000002</v>
      </c>
      <c r="D227" s="8">
        <v>33.729999999999997</v>
      </c>
      <c r="E227" s="8">
        <v>33.74</v>
      </c>
      <c r="F227" s="8">
        <v>118643</v>
      </c>
      <c r="G227" s="9">
        <v>55659</v>
      </c>
      <c r="H227" s="16">
        <f t="shared" si="10"/>
        <v>2.9642804209293363E-4</v>
      </c>
      <c r="I227" s="6">
        <f t="shared" si="11"/>
        <v>1.7980511056807646E-2</v>
      </c>
      <c r="L227" s="11"/>
      <c r="M227" s="12"/>
    </row>
    <row r="228" spans="1:13" ht="15" customHeight="1" x14ac:dyDescent="0.2">
      <c r="A228" s="3">
        <v>45727</v>
      </c>
      <c r="B228" s="4">
        <v>33.380000000000003</v>
      </c>
      <c r="C228" s="4">
        <v>33.146999999999998</v>
      </c>
      <c r="D228" s="4">
        <v>33.369999999999997</v>
      </c>
      <c r="E228" s="4">
        <v>33.380000000000003</v>
      </c>
      <c r="F228" s="4">
        <v>117147</v>
      </c>
      <c r="G228" s="5">
        <v>56801</v>
      </c>
      <c r="H228" s="16">
        <f t="shared" si="10"/>
        <v>2.9962546816494727E-4</v>
      </c>
      <c r="I228" s="6">
        <f t="shared" si="11"/>
        <v>1.8967107285582374E-2</v>
      </c>
      <c r="L228" s="11"/>
      <c r="M228" s="12"/>
    </row>
    <row r="229" spans="1:13" ht="15" customHeight="1" x14ac:dyDescent="0.2">
      <c r="A229" s="7">
        <v>45726</v>
      </c>
      <c r="B229" s="8">
        <v>32.46</v>
      </c>
      <c r="C229" s="8">
        <v>32.53</v>
      </c>
      <c r="D229" s="8">
        <v>32.454999999999998</v>
      </c>
      <c r="E229" s="8">
        <v>32.465000000000003</v>
      </c>
      <c r="F229" s="8">
        <v>116795</v>
      </c>
      <c r="G229" s="9">
        <v>50093</v>
      </c>
      <c r="H229" s="16">
        <f t="shared" si="10"/>
        <v>3.0807147258179654E-4</v>
      </c>
      <c r="I229" s="6">
        <f t="shared" si="11"/>
        <v>-8.5037642110394884E-3</v>
      </c>
      <c r="L229" s="11"/>
      <c r="M229" s="12"/>
    </row>
    <row r="230" spans="1:13" ht="15" customHeight="1" x14ac:dyDescent="0.2">
      <c r="A230" s="3">
        <v>45723</v>
      </c>
      <c r="B230" s="4">
        <v>32.914999999999999</v>
      </c>
      <c r="C230" s="4">
        <v>32.808999999999997</v>
      </c>
      <c r="D230" s="4">
        <v>32.909999999999997</v>
      </c>
      <c r="E230" s="4">
        <v>32.92</v>
      </c>
      <c r="F230" s="4">
        <v>117329</v>
      </c>
      <c r="G230" s="5">
        <v>57939</v>
      </c>
      <c r="H230" s="16">
        <f t="shared" si="10"/>
        <v>3.0381285128376471E-4</v>
      </c>
      <c r="I230" s="6">
        <f t="shared" si="11"/>
        <v>-1.5867778511008512E-2</v>
      </c>
      <c r="L230" s="11"/>
      <c r="M230" s="12"/>
    </row>
    <row r="231" spans="1:13" ht="15" customHeight="1" x14ac:dyDescent="0.2">
      <c r="A231" s="7">
        <v>45722</v>
      </c>
      <c r="B231" s="8">
        <v>33.21</v>
      </c>
      <c r="C231" s="8">
        <v>33.338000000000001</v>
      </c>
      <c r="D231" s="8">
        <v>33.204999999999998</v>
      </c>
      <c r="E231" s="8">
        <v>33.215000000000003</v>
      </c>
      <c r="F231" s="8">
        <v>116305</v>
      </c>
      <c r="G231" s="9">
        <v>50335</v>
      </c>
      <c r="H231" s="16">
        <f t="shared" si="10"/>
        <v>3.0111412225248765E-4</v>
      </c>
      <c r="I231" s="6">
        <f t="shared" si="11"/>
        <v>6.1568177702662208E-3</v>
      </c>
      <c r="L231" s="11"/>
      <c r="M231" s="12"/>
    </row>
    <row r="232" spans="1:13" ht="15" customHeight="1" x14ac:dyDescent="0.2">
      <c r="A232" s="3">
        <v>45721</v>
      </c>
      <c r="B232" s="4">
        <v>33.24</v>
      </c>
      <c r="C232" s="4">
        <v>33.134</v>
      </c>
      <c r="D232" s="4">
        <v>33.229999999999997</v>
      </c>
      <c r="E232" s="4">
        <v>33.24</v>
      </c>
      <c r="F232" s="4">
        <v>113623</v>
      </c>
      <c r="G232" s="5">
        <v>63190</v>
      </c>
      <c r="H232" s="16">
        <f t="shared" si="10"/>
        <v>3.0088761847465371E-4</v>
      </c>
      <c r="I232" s="6">
        <f t="shared" si="11"/>
        <v>2.3254377567091922E-2</v>
      </c>
      <c r="L232" s="11"/>
      <c r="M232" s="12"/>
    </row>
    <row r="233" spans="1:13" ht="15" customHeight="1" x14ac:dyDescent="0.2">
      <c r="A233" s="7">
        <v>45720</v>
      </c>
      <c r="B233" s="8">
        <v>32.57</v>
      </c>
      <c r="C233" s="8">
        <v>32.381</v>
      </c>
      <c r="D233" s="8">
        <v>32.564999999999998</v>
      </c>
      <c r="E233" s="8">
        <v>32.575000000000003</v>
      </c>
      <c r="F233" s="8">
        <v>114054</v>
      </c>
      <c r="G233" s="9">
        <v>49980</v>
      </c>
      <c r="H233" s="16">
        <f t="shared" si="10"/>
        <v>3.070310101321804E-4</v>
      </c>
      <c r="I233" s="6">
        <f t="shared" si="11"/>
        <v>2.1974620860414351E-3</v>
      </c>
      <c r="L233" s="11"/>
      <c r="M233" s="12"/>
    </row>
    <row r="234" spans="1:13" ht="15" customHeight="1" x14ac:dyDescent="0.2">
      <c r="A234" s="3">
        <v>45719</v>
      </c>
      <c r="B234" s="4">
        <v>32.265000000000001</v>
      </c>
      <c r="C234" s="4">
        <v>32.31</v>
      </c>
      <c r="D234" s="4">
        <v>32.265000000000001</v>
      </c>
      <c r="E234" s="4">
        <v>32.270000000000003</v>
      </c>
      <c r="F234" s="4">
        <v>114517</v>
      </c>
      <c r="G234" s="5">
        <v>60853</v>
      </c>
      <c r="H234" s="16">
        <f t="shared" si="10"/>
        <v>1.5495467575742027E-4</v>
      </c>
      <c r="I234" s="6">
        <f t="shared" si="11"/>
        <v>2.584455168910349E-2</v>
      </c>
      <c r="L234" s="11"/>
      <c r="M234" s="12"/>
    </row>
    <row r="235" spans="1:13" ht="15" customHeight="1" x14ac:dyDescent="0.2">
      <c r="A235" s="7">
        <v>45716</v>
      </c>
      <c r="B235" s="8">
        <v>31.7</v>
      </c>
      <c r="C235" s="8">
        <v>31.495999999999999</v>
      </c>
      <c r="D235" s="8">
        <v>31.69</v>
      </c>
      <c r="E235" s="8">
        <v>31.7</v>
      </c>
      <c r="F235" s="8">
        <v>116279</v>
      </c>
      <c r="G235" s="9">
        <v>53715</v>
      </c>
      <c r="H235" s="16">
        <f t="shared" si="10"/>
        <v>3.1550717778823192E-4</v>
      </c>
      <c r="I235" s="6">
        <f t="shared" si="11"/>
        <v>-1.912176891933981E-2</v>
      </c>
      <c r="L235" s="11"/>
      <c r="M235" s="12"/>
    </row>
    <row r="236" spans="1:13" ht="15" customHeight="1" x14ac:dyDescent="0.2">
      <c r="A236" s="3">
        <v>45715</v>
      </c>
      <c r="B236" s="4">
        <v>31.86</v>
      </c>
      <c r="C236" s="4">
        <v>32.11</v>
      </c>
      <c r="D236" s="4">
        <v>31.855</v>
      </c>
      <c r="E236" s="4">
        <v>31.864999999999998</v>
      </c>
      <c r="F236" s="4">
        <v>113624</v>
      </c>
      <c r="G236" s="5">
        <v>62250</v>
      </c>
      <c r="H236" s="16">
        <f t="shared" si="10"/>
        <v>3.1387319522906501E-4</v>
      </c>
      <c r="I236" s="6">
        <f t="shared" si="11"/>
        <v>-5.0198314328210314E-3</v>
      </c>
      <c r="L236" s="11"/>
      <c r="M236" s="12"/>
    </row>
    <row r="237" spans="1:13" ht="15" customHeight="1" x14ac:dyDescent="0.2">
      <c r="A237" s="7">
        <v>45714</v>
      </c>
      <c r="B237" s="8">
        <v>32.225000000000001</v>
      </c>
      <c r="C237" s="8">
        <v>32.271999999999998</v>
      </c>
      <c r="D237" s="8">
        <v>32.005000000000003</v>
      </c>
      <c r="E237" s="8">
        <v>32.225000000000001</v>
      </c>
      <c r="F237" s="8">
        <v>29794</v>
      </c>
      <c r="G237" s="9">
        <v>36290</v>
      </c>
      <c r="H237" s="16">
        <f t="shared" si="10"/>
        <v>6.8503814416938768E-3</v>
      </c>
      <c r="I237" s="6">
        <f t="shared" si="11"/>
        <v>1.4013699490982079E-2</v>
      </c>
      <c r="L237" s="11"/>
      <c r="M237" s="12"/>
    </row>
    <row r="238" spans="1:13" ht="15" customHeight="1" x14ac:dyDescent="0.2">
      <c r="A238" s="3">
        <v>45713</v>
      </c>
      <c r="B238" s="4">
        <v>32.055</v>
      </c>
      <c r="C238" s="4">
        <v>31.826000000000001</v>
      </c>
      <c r="D238" s="4">
        <v>32.045000000000002</v>
      </c>
      <c r="E238" s="4">
        <v>32.06</v>
      </c>
      <c r="F238" s="4">
        <v>41218</v>
      </c>
      <c r="G238" s="5">
        <v>71045</v>
      </c>
      <c r="H238" s="16">
        <f t="shared" si="10"/>
        <v>4.6798221667578401E-4</v>
      </c>
      <c r="I238" s="6">
        <f t="shared" si="11"/>
        <v>-2.383216268441557E-2</v>
      </c>
      <c r="L238" s="11"/>
      <c r="M238" s="12"/>
    </row>
    <row r="239" spans="1:13" ht="15" customHeight="1" x14ac:dyDescent="0.2">
      <c r="A239" s="7">
        <v>45712</v>
      </c>
      <c r="B239" s="8">
        <v>32.715000000000003</v>
      </c>
      <c r="C239" s="8">
        <v>32.603000000000002</v>
      </c>
      <c r="D239" s="8">
        <v>32.71</v>
      </c>
      <c r="E239" s="8">
        <v>32.72</v>
      </c>
      <c r="F239" s="8">
        <v>52997</v>
      </c>
      <c r="G239" s="9">
        <v>63946</v>
      </c>
      <c r="H239" s="16">
        <f t="shared" si="10"/>
        <v>3.0567018187369738E-4</v>
      </c>
      <c r="I239" s="6">
        <f t="shared" si="11"/>
        <v>-1.238943414515925E-2</v>
      </c>
      <c r="L239" s="11"/>
      <c r="M239" s="12"/>
    </row>
    <row r="240" spans="1:13" ht="15" customHeight="1" x14ac:dyDescent="0.2">
      <c r="A240" s="3">
        <v>45709</v>
      </c>
      <c r="B240" s="4">
        <v>32.83</v>
      </c>
      <c r="C240" s="4">
        <v>33.012</v>
      </c>
      <c r="D240" s="4">
        <v>32.825000000000003</v>
      </c>
      <c r="E240" s="4">
        <v>32.840000000000003</v>
      </c>
      <c r="F240" s="4">
        <v>65740</v>
      </c>
      <c r="G240" s="5">
        <v>62248</v>
      </c>
      <c r="H240" s="16">
        <f t="shared" si="10"/>
        <v>4.5686438742101782E-4</v>
      </c>
      <c r="I240" s="6">
        <f t="shared" si="11"/>
        <v>-1.4155169324493677E-2</v>
      </c>
      <c r="L240" s="11"/>
      <c r="M240" s="12"/>
    </row>
    <row r="241" spans="1:13" ht="15" customHeight="1" x14ac:dyDescent="0.2">
      <c r="A241" s="7">
        <v>45708</v>
      </c>
      <c r="B241" s="8">
        <v>33.454999999999998</v>
      </c>
      <c r="C241" s="8">
        <v>33.485999999999997</v>
      </c>
      <c r="D241" s="8">
        <v>33.445</v>
      </c>
      <c r="E241" s="8">
        <v>33.46</v>
      </c>
      <c r="F241" s="8">
        <v>71765</v>
      </c>
      <c r="G241" s="9">
        <v>55739</v>
      </c>
      <c r="H241" s="16">
        <f t="shared" si="10"/>
        <v>4.4839698079367967E-4</v>
      </c>
      <c r="I241" s="6">
        <f t="shared" si="11"/>
        <v>1.3406772992766935E-2</v>
      </c>
      <c r="L241" s="11"/>
      <c r="M241" s="12"/>
    </row>
    <row r="242" spans="1:13" ht="15" customHeight="1" x14ac:dyDescent="0.2">
      <c r="A242" s="3">
        <v>45707</v>
      </c>
      <c r="B242" s="4">
        <v>33.14</v>
      </c>
      <c r="C242" s="4">
        <v>33.042999999999999</v>
      </c>
      <c r="D242" s="4">
        <v>33.134999999999998</v>
      </c>
      <c r="E242" s="4">
        <v>33.145000000000003</v>
      </c>
      <c r="F242" s="4">
        <v>78626</v>
      </c>
      <c r="G242" s="5">
        <v>53279</v>
      </c>
      <c r="H242" s="16">
        <f t="shared" si="10"/>
        <v>3.0175015087522978E-4</v>
      </c>
      <c r="I242" s="6">
        <f t="shared" si="11"/>
        <v>-9.8882330027266763E-3</v>
      </c>
      <c r="L242" s="11"/>
      <c r="M242" s="12"/>
    </row>
    <row r="243" spans="1:13" ht="15" customHeight="1" x14ac:dyDescent="0.2">
      <c r="A243" s="7">
        <v>45706</v>
      </c>
      <c r="B243" s="8">
        <v>33.414999999999999</v>
      </c>
      <c r="C243" s="8">
        <v>33.372999999999998</v>
      </c>
      <c r="D243" s="8">
        <v>33.414999999999999</v>
      </c>
      <c r="E243" s="8">
        <v>33.424999999999997</v>
      </c>
      <c r="F243" s="8">
        <v>81480</v>
      </c>
      <c r="G243" s="9">
        <v>69972</v>
      </c>
      <c r="H243" s="16">
        <f t="shared" si="10"/>
        <v>2.992220227408142E-4</v>
      </c>
      <c r="I243" s="6">
        <f t="shared" si="11"/>
        <v>1.5766245624714736E-2</v>
      </c>
      <c r="L243" s="11"/>
      <c r="M243" s="12"/>
    </row>
    <row r="244" spans="1:13" ht="15" customHeight="1" x14ac:dyDescent="0.2">
      <c r="A244" s="3">
        <v>45702</v>
      </c>
      <c r="B244" s="4">
        <v>32.655000000000001</v>
      </c>
      <c r="C244" s="4">
        <v>32.854999999999997</v>
      </c>
      <c r="D244" s="4">
        <v>32.645000000000003</v>
      </c>
      <c r="E244" s="4">
        <v>32.659999999999997</v>
      </c>
      <c r="F244" s="4">
        <v>84388</v>
      </c>
      <c r="G244" s="5">
        <v>105479</v>
      </c>
      <c r="H244" s="16">
        <f t="shared" si="10"/>
        <v>4.5938289564331861E-4</v>
      </c>
      <c r="I244" s="6">
        <f t="shared" si="11"/>
        <v>3.9418199596650272E-3</v>
      </c>
      <c r="L244" s="11"/>
      <c r="M244" s="12"/>
    </row>
    <row r="245" spans="1:13" ht="15" customHeight="1" x14ac:dyDescent="0.2">
      <c r="A245" s="7">
        <v>45701</v>
      </c>
      <c r="B245" s="8">
        <v>32.979999999999997</v>
      </c>
      <c r="C245" s="8">
        <v>32.725999999999999</v>
      </c>
      <c r="D245" s="8">
        <v>32.97</v>
      </c>
      <c r="E245" s="8">
        <v>32.99</v>
      </c>
      <c r="F245" s="8">
        <v>90517</v>
      </c>
      <c r="G245" s="9">
        <v>52442</v>
      </c>
      <c r="H245" s="16">
        <f t="shared" si="10"/>
        <v>6.064281382657103E-4</v>
      </c>
      <c r="I245" s="6">
        <f t="shared" si="11"/>
        <v>-1.7996034771998737E-3</v>
      </c>
      <c r="L245" s="11"/>
      <c r="M245" s="12"/>
    </row>
    <row r="246" spans="1:13" ht="15" customHeight="1" x14ac:dyDescent="0.2">
      <c r="A246" s="3">
        <v>45700</v>
      </c>
      <c r="B246" s="4">
        <v>32.704999999999998</v>
      </c>
      <c r="C246" s="4">
        <v>32.784999999999997</v>
      </c>
      <c r="D246" s="4">
        <v>32.695</v>
      </c>
      <c r="E246" s="4">
        <v>32.71</v>
      </c>
      <c r="F246" s="4">
        <v>96391</v>
      </c>
      <c r="G246" s="5">
        <v>61146</v>
      </c>
      <c r="H246" s="16">
        <f t="shared" si="10"/>
        <v>4.5868052901156084E-4</v>
      </c>
      <c r="I246" s="6">
        <f t="shared" si="11"/>
        <v>1.4324608625703616E-2</v>
      </c>
      <c r="L246" s="11"/>
      <c r="M246" s="12"/>
    </row>
    <row r="247" spans="1:13" ht="15" customHeight="1" x14ac:dyDescent="0.2">
      <c r="A247" s="7">
        <v>45699</v>
      </c>
      <c r="B247" s="8">
        <v>32.255000000000003</v>
      </c>
      <c r="C247" s="8">
        <v>32.322000000000003</v>
      </c>
      <c r="D247" s="8">
        <v>32.244999999999997</v>
      </c>
      <c r="E247" s="8">
        <v>32.255000000000003</v>
      </c>
      <c r="F247" s="8">
        <v>104593</v>
      </c>
      <c r="G247" s="9">
        <v>63982</v>
      </c>
      <c r="H247" s="16">
        <f t="shared" si="10"/>
        <v>3.100775193800036E-4</v>
      </c>
      <c r="I247" s="6">
        <f t="shared" si="11"/>
        <v>-5.2014403988795976E-3</v>
      </c>
      <c r="L247" s="11"/>
      <c r="M247" s="12"/>
    </row>
    <row r="248" spans="1:13" ht="15" customHeight="1" x14ac:dyDescent="0.2">
      <c r="A248" s="3">
        <v>45698</v>
      </c>
      <c r="B248" s="4">
        <v>32.494999999999997</v>
      </c>
      <c r="C248" s="4">
        <v>32.491</v>
      </c>
      <c r="D248" s="4">
        <v>32.49</v>
      </c>
      <c r="E248" s="4">
        <v>32.494999999999997</v>
      </c>
      <c r="F248" s="4">
        <v>109247</v>
      </c>
      <c r="G248" s="5">
        <v>52092</v>
      </c>
      <c r="H248" s="16">
        <f t="shared" si="10"/>
        <v>1.5388166499947535E-4</v>
      </c>
      <c r="I248" s="6">
        <f t="shared" si="11"/>
        <v>1.4795179237432343E-3</v>
      </c>
      <c r="L248" s="11"/>
      <c r="M248" s="12"/>
    </row>
    <row r="249" spans="1:13" ht="15" customHeight="1" x14ac:dyDescent="0.2">
      <c r="A249" s="7">
        <v>45695</v>
      </c>
      <c r="B249" s="8">
        <v>32.185000000000002</v>
      </c>
      <c r="C249" s="8">
        <v>32.442999999999998</v>
      </c>
      <c r="D249" s="8">
        <v>32.174999999999997</v>
      </c>
      <c r="E249" s="8">
        <v>32.19</v>
      </c>
      <c r="F249" s="8">
        <v>117576</v>
      </c>
      <c r="G249" s="9">
        <v>75491</v>
      </c>
      <c r="H249" s="16">
        <f t="shared" si="10"/>
        <v>4.6609182008857514E-4</v>
      </c>
      <c r="I249" s="6">
        <f t="shared" si="11"/>
        <v>-5.6090234782075754E-3</v>
      </c>
      <c r="L249" s="11"/>
      <c r="M249" s="12"/>
    </row>
    <row r="250" spans="1:13" ht="15" customHeight="1" x14ac:dyDescent="0.2">
      <c r="A250" s="3">
        <v>45694</v>
      </c>
      <c r="B250" s="4">
        <v>32.655000000000001</v>
      </c>
      <c r="C250" s="4">
        <v>32.625999999999998</v>
      </c>
      <c r="D250" s="4">
        <v>32.65</v>
      </c>
      <c r="E250" s="4">
        <v>32.659999999999997</v>
      </c>
      <c r="F250" s="4">
        <v>118776</v>
      </c>
      <c r="G250" s="5">
        <v>53028</v>
      </c>
      <c r="H250" s="16">
        <f t="shared" si="10"/>
        <v>3.0623181748577587E-4</v>
      </c>
      <c r="I250" s="6">
        <f t="shared" si="11"/>
        <v>-1.0613779718583238E-2</v>
      </c>
      <c r="L250" s="11"/>
      <c r="M250" s="12"/>
    </row>
    <row r="251" spans="1:13" ht="15" customHeight="1" x14ac:dyDescent="0.2">
      <c r="A251" s="7">
        <v>45693</v>
      </c>
      <c r="B251" s="8">
        <v>32.744999999999997</v>
      </c>
      <c r="C251" s="8">
        <v>32.975999999999999</v>
      </c>
      <c r="D251" s="8">
        <v>32.74</v>
      </c>
      <c r="E251" s="8">
        <v>32.755000000000003</v>
      </c>
      <c r="F251" s="8">
        <v>121368</v>
      </c>
      <c r="G251" s="9">
        <v>65296</v>
      </c>
      <c r="H251" s="16">
        <f t="shared" si="10"/>
        <v>4.5805023284221902E-4</v>
      </c>
      <c r="I251" s="6">
        <f t="shared" si="11"/>
        <v>-1.3930107201259867E-3</v>
      </c>
      <c r="L251" s="11"/>
      <c r="M251" s="12"/>
    </row>
    <row r="252" spans="1:13" ht="15" customHeight="1" x14ac:dyDescent="0.2">
      <c r="A252" s="3">
        <v>45692</v>
      </c>
      <c r="B252" s="4">
        <v>32.880000000000003</v>
      </c>
      <c r="C252" s="4">
        <v>33.021999999999998</v>
      </c>
      <c r="D252" s="4">
        <v>32.875</v>
      </c>
      <c r="E252" s="4">
        <v>32.884999999999998</v>
      </c>
      <c r="F252" s="4">
        <v>118634</v>
      </c>
      <c r="G252" s="5">
        <v>59232</v>
      </c>
      <c r="H252" s="16">
        <f t="shared" si="10"/>
        <v>3.0413625304130204E-4</v>
      </c>
      <c r="I252" s="6">
        <f t="shared" si="11"/>
        <v>1.5249338990346084E-2</v>
      </c>
      <c r="L252" s="11"/>
      <c r="M252" s="12"/>
    </row>
    <row r="253" spans="1:13" ht="15" customHeight="1" x14ac:dyDescent="0.2">
      <c r="A253" s="7">
        <v>45691</v>
      </c>
      <c r="B253" s="8">
        <v>32.549999999999997</v>
      </c>
      <c r="C253" s="8">
        <v>32.526000000000003</v>
      </c>
      <c r="D253" s="8">
        <v>32.465000000000003</v>
      </c>
      <c r="E253" s="8">
        <v>32.594999999999999</v>
      </c>
      <c r="F253" s="8">
        <v>120706</v>
      </c>
      <c r="G253" s="9">
        <v>75925</v>
      </c>
      <c r="H253" s="16">
        <f t="shared" si="10"/>
        <v>3.9963110974483695E-3</v>
      </c>
      <c r="I253" s="6">
        <f t="shared" si="11"/>
        <v>8.0892608089262463E-3</v>
      </c>
      <c r="L253" s="11"/>
      <c r="M253" s="12"/>
    </row>
    <row r="254" spans="1:13" ht="15" customHeight="1" x14ac:dyDescent="0.2">
      <c r="A254" s="3">
        <v>45688</v>
      </c>
      <c r="B254" s="4">
        <v>32.234999999999999</v>
      </c>
      <c r="C254" s="4">
        <v>32.265000000000001</v>
      </c>
      <c r="D254" s="4">
        <v>32.225000000000001</v>
      </c>
      <c r="E254" s="4">
        <v>32.234999999999999</v>
      </c>
      <c r="F254" s="4">
        <v>122446</v>
      </c>
      <c r="G254" s="5">
        <v>63335</v>
      </c>
      <c r="H254" s="16">
        <f t="shared" si="10"/>
        <v>3.1026993484325192E-4</v>
      </c>
      <c r="I254" s="6">
        <f t="shared" si="11"/>
        <v>-7.0168959468193126E-3</v>
      </c>
      <c r="L254" s="11"/>
      <c r="M254" s="12"/>
    </row>
    <row r="255" spans="1:13" ht="15" customHeight="1" x14ac:dyDescent="0.2">
      <c r="A255" s="7">
        <v>45687</v>
      </c>
      <c r="B255" s="8">
        <v>32.770000000000003</v>
      </c>
      <c r="C255" s="8">
        <v>32.493000000000002</v>
      </c>
      <c r="D255" s="8">
        <v>32.76</v>
      </c>
      <c r="E255" s="8">
        <v>32.770000000000003</v>
      </c>
      <c r="F255" s="8">
        <v>119231</v>
      </c>
      <c r="G255" s="9">
        <v>65627</v>
      </c>
      <c r="H255" s="16">
        <f t="shared" si="10"/>
        <v>3.0520372348558268E-4</v>
      </c>
      <c r="I255" s="6">
        <f t="shared" si="11"/>
        <v>3.5039658522600714E-2</v>
      </c>
      <c r="L255" s="11"/>
      <c r="M255" s="12"/>
    </row>
    <row r="256" spans="1:13" ht="15" customHeight="1" x14ac:dyDescent="0.2">
      <c r="A256" s="3">
        <v>45686</v>
      </c>
      <c r="B256" s="4">
        <v>31.574999999999999</v>
      </c>
      <c r="C256" s="4">
        <v>31.393000000000001</v>
      </c>
      <c r="D256" s="4">
        <v>31.57</v>
      </c>
      <c r="E256" s="4">
        <v>31.58</v>
      </c>
      <c r="F256" s="4">
        <v>119557</v>
      </c>
      <c r="G256" s="5">
        <v>59407</v>
      </c>
      <c r="H256" s="16">
        <f t="shared" si="10"/>
        <v>3.167062549484722E-4</v>
      </c>
      <c r="I256" s="6">
        <f t="shared" si="11"/>
        <v>1.6546855773589719E-2</v>
      </c>
      <c r="L256" s="11"/>
      <c r="M256" s="12"/>
    </row>
    <row r="257" spans="1:13" ht="15" customHeight="1" x14ac:dyDescent="0.2">
      <c r="A257" s="7">
        <v>45685</v>
      </c>
      <c r="B257" s="8">
        <v>30.945</v>
      </c>
      <c r="C257" s="8">
        <v>30.882000000000001</v>
      </c>
      <c r="D257" s="8">
        <v>30.94</v>
      </c>
      <c r="E257" s="8">
        <v>30.95</v>
      </c>
      <c r="F257" s="8">
        <v>121205</v>
      </c>
      <c r="G257" s="9">
        <v>36793</v>
      </c>
      <c r="H257" s="16">
        <f t="shared" si="10"/>
        <v>3.2315398287277461E-4</v>
      </c>
      <c r="I257" s="6">
        <f t="shared" si="11"/>
        <v>1.5387650424146804E-2</v>
      </c>
      <c r="L257" s="11"/>
      <c r="M257" s="12"/>
    </row>
    <row r="258" spans="1:13" ht="15" customHeight="1" x14ac:dyDescent="0.2">
      <c r="A258" s="3">
        <v>45684</v>
      </c>
      <c r="B258" s="4">
        <v>30.574999999999999</v>
      </c>
      <c r="C258" s="4">
        <v>30.414000000000001</v>
      </c>
      <c r="D258" s="4">
        <v>30.565000000000001</v>
      </c>
      <c r="E258" s="4">
        <v>30.574999999999999</v>
      </c>
      <c r="F258" s="4">
        <v>121920</v>
      </c>
      <c r="G258" s="5">
        <v>51894</v>
      </c>
      <c r="H258" s="16">
        <f t="shared" si="10"/>
        <v>3.2711808963029146E-4</v>
      </c>
      <c r="I258" s="6">
        <f t="shared" si="11"/>
        <v>-2.4723424723424592E-2</v>
      </c>
      <c r="L258" s="11"/>
      <c r="M258" s="12"/>
    </row>
    <row r="259" spans="1:13" ht="15" customHeight="1" x14ac:dyDescent="0.2">
      <c r="A259" s="7">
        <v>45681</v>
      </c>
      <c r="B259" s="8">
        <v>31.04</v>
      </c>
      <c r="C259" s="8">
        <v>31.184999999999999</v>
      </c>
      <c r="D259" s="8">
        <v>31.04</v>
      </c>
      <c r="E259" s="8">
        <v>31.045000000000002</v>
      </c>
      <c r="F259" s="8">
        <v>120972</v>
      </c>
      <c r="G259" s="9">
        <v>48098</v>
      </c>
      <c r="H259" s="16">
        <f t="shared" si="10"/>
        <v>1.6106950148997529E-4</v>
      </c>
      <c r="I259" s="6">
        <f t="shared" si="11"/>
        <v>1.1121198365864782E-2</v>
      </c>
      <c r="L259" s="11"/>
      <c r="M259" s="12"/>
    </row>
    <row r="260" spans="1:13" ht="15" customHeight="1" x14ac:dyDescent="0.2">
      <c r="A260" s="3">
        <v>45680</v>
      </c>
      <c r="B260" s="4">
        <v>30.844999999999999</v>
      </c>
      <c r="C260" s="4">
        <v>30.841999999999999</v>
      </c>
      <c r="D260" s="4">
        <v>30.84</v>
      </c>
      <c r="E260" s="4">
        <v>30.85</v>
      </c>
      <c r="F260" s="4">
        <v>119818</v>
      </c>
      <c r="G260" s="5">
        <v>65411</v>
      </c>
      <c r="H260" s="16">
        <f t="shared" si="10"/>
        <v>3.2420165342848318E-4</v>
      </c>
      <c r="I260" s="6">
        <f t="shared" si="11"/>
        <v>-1.8395926161680509E-2</v>
      </c>
      <c r="L260" s="11"/>
      <c r="M260" s="12"/>
    </row>
    <row r="261" spans="1:13" ht="15" customHeight="1" x14ac:dyDescent="0.2">
      <c r="A261" s="7">
        <v>45679</v>
      </c>
      <c r="B261" s="8">
        <v>31.385000000000002</v>
      </c>
      <c r="C261" s="8">
        <v>31.42</v>
      </c>
      <c r="D261" s="8">
        <v>31.38</v>
      </c>
      <c r="E261" s="8">
        <v>31.39</v>
      </c>
      <c r="F261" s="8">
        <v>119762</v>
      </c>
      <c r="G261" s="9">
        <v>41163</v>
      </c>
      <c r="H261" s="16">
        <f t="shared" ref="H261:H324" si="12">(E261-D261)/AVERAGE(D261:E261)</f>
        <v>3.1862354628011991E-4</v>
      </c>
      <c r="I261" s="6">
        <f t="shared" ref="I261:I324" si="13">C261/C262-1</f>
        <v>-2.4130048260095904E-3</v>
      </c>
      <c r="L261" s="11"/>
      <c r="M261" s="12"/>
    </row>
    <row r="262" spans="1:13" ht="15" customHeight="1" x14ac:dyDescent="0.2">
      <c r="A262" s="3">
        <v>45678</v>
      </c>
      <c r="B262" s="4">
        <v>31.555</v>
      </c>
      <c r="C262" s="4">
        <v>31.495999999999999</v>
      </c>
      <c r="D262" s="4">
        <v>31.55</v>
      </c>
      <c r="E262" s="4">
        <v>31.56</v>
      </c>
      <c r="F262" s="4">
        <v>117214</v>
      </c>
      <c r="G262" s="5">
        <v>68619</v>
      </c>
      <c r="H262" s="16">
        <f t="shared" si="12"/>
        <v>3.1690698779901792E-4</v>
      </c>
      <c r="I262" s="6">
        <f t="shared" si="13"/>
        <v>1.139976237115059E-2</v>
      </c>
      <c r="L262" s="11"/>
      <c r="M262" s="12"/>
    </row>
    <row r="263" spans="1:13" ht="15" customHeight="1" x14ac:dyDescent="0.2">
      <c r="A263" s="7">
        <v>45674</v>
      </c>
      <c r="B263" s="8">
        <v>31.045000000000002</v>
      </c>
      <c r="C263" s="8">
        <v>31.140999999999998</v>
      </c>
      <c r="D263" s="8">
        <v>31.045000000000002</v>
      </c>
      <c r="E263" s="8">
        <v>31.05</v>
      </c>
      <c r="F263" s="8">
        <v>117323</v>
      </c>
      <c r="G263" s="9">
        <v>48172</v>
      </c>
      <c r="H263" s="16">
        <f t="shared" si="12"/>
        <v>1.6104356228356567E-4</v>
      </c>
      <c r="I263" s="6">
        <f t="shared" si="13"/>
        <v>-1.8408195429472141E-2</v>
      </c>
      <c r="L263" s="11"/>
      <c r="M263" s="12"/>
    </row>
    <row r="264" spans="1:13" ht="15" customHeight="1" x14ac:dyDescent="0.2">
      <c r="A264" s="3">
        <v>45673</v>
      </c>
      <c r="B264" s="4">
        <v>31.61</v>
      </c>
      <c r="C264" s="4">
        <v>31.725000000000001</v>
      </c>
      <c r="D264" s="4">
        <v>31.605</v>
      </c>
      <c r="E264" s="4">
        <v>31.61</v>
      </c>
      <c r="F264" s="4">
        <v>117175</v>
      </c>
      <c r="G264" s="5">
        <v>46811</v>
      </c>
      <c r="H264" s="16">
        <f t="shared" si="12"/>
        <v>1.5819030293439865E-4</v>
      </c>
      <c r="I264" s="6">
        <f t="shared" si="13"/>
        <v>6.152675145095321E-3</v>
      </c>
      <c r="L264" s="11"/>
      <c r="M264" s="12"/>
    </row>
    <row r="265" spans="1:13" ht="15" customHeight="1" x14ac:dyDescent="0.2">
      <c r="A265" s="7">
        <v>45672</v>
      </c>
      <c r="B265" s="8">
        <v>31.6</v>
      </c>
      <c r="C265" s="8">
        <v>31.530999999999999</v>
      </c>
      <c r="D265" s="8">
        <v>31.6</v>
      </c>
      <c r="E265" s="8">
        <v>31.61</v>
      </c>
      <c r="F265" s="8">
        <v>114416</v>
      </c>
      <c r="G265" s="9">
        <v>49277</v>
      </c>
      <c r="H265" s="16">
        <f t="shared" si="12"/>
        <v>3.1640563202018702E-4</v>
      </c>
      <c r="I265" s="6">
        <f t="shared" si="13"/>
        <v>3.8878455405093826E-2</v>
      </c>
      <c r="L265" s="11"/>
      <c r="M265" s="12"/>
    </row>
    <row r="266" spans="1:13" ht="15" customHeight="1" x14ac:dyDescent="0.2">
      <c r="A266" s="3">
        <v>45671</v>
      </c>
      <c r="B266" s="4">
        <v>30.555</v>
      </c>
      <c r="C266" s="4">
        <v>30.350999999999999</v>
      </c>
      <c r="D266" s="4">
        <v>30.545000000000002</v>
      </c>
      <c r="E266" s="4">
        <v>30.555</v>
      </c>
      <c r="F266" s="4">
        <v>115372</v>
      </c>
      <c r="G266" s="5">
        <v>40147</v>
      </c>
      <c r="H266" s="16">
        <f t="shared" si="12"/>
        <v>3.2733224222579411E-4</v>
      </c>
      <c r="I266" s="6">
        <f t="shared" si="13"/>
        <v>1.3857270117785259E-3</v>
      </c>
      <c r="L266" s="11"/>
      <c r="M266" s="12"/>
    </row>
    <row r="267" spans="1:13" ht="15" customHeight="1" x14ac:dyDescent="0.2">
      <c r="A267" s="7">
        <v>45670</v>
      </c>
      <c r="B267" s="8">
        <v>30.295000000000002</v>
      </c>
      <c r="C267" s="8">
        <v>30.309000000000001</v>
      </c>
      <c r="D267" s="8">
        <v>30.29</v>
      </c>
      <c r="E267" s="8">
        <v>30.3</v>
      </c>
      <c r="F267" s="8">
        <v>118358</v>
      </c>
      <c r="G267" s="9">
        <v>58808</v>
      </c>
      <c r="H267" s="16">
        <f t="shared" si="12"/>
        <v>3.3008747318044438E-4</v>
      </c>
      <c r="I267" s="6">
        <f t="shared" si="13"/>
        <v>-3.2094270933128888E-2</v>
      </c>
      <c r="L267" s="11"/>
      <c r="M267" s="12"/>
    </row>
    <row r="268" spans="1:13" ht="15" customHeight="1" x14ac:dyDescent="0.2">
      <c r="A268" s="3">
        <v>45667</v>
      </c>
      <c r="B268" s="4">
        <v>31.3</v>
      </c>
      <c r="C268" s="4">
        <v>31.314</v>
      </c>
      <c r="D268" s="4">
        <v>31.295000000000002</v>
      </c>
      <c r="E268" s="4">
        <v>31.305</v>
      </c>
      <c r="F268" s="4">
        <v>117999</v>
      </c>
      <c r="G268" s="5">
        <v>63275</v>
      </c>
      <c r="H268" s="16">
        <f t="shared" si="12"/>
        <v>3.1948881789131022E-4</v>
      </c>
      <c r="I268" s="6">
        <f t="shared" si="13"/>
        <v>2.0332355816226722E-2</v>
      </c>
      <c r="L268" s="11"/>
      <c r="M268" s="12"/>
    </row>
    <row r="269" spans="1:13" ht="15" customHeight="1" x14ac:dyDescent="0.2">
      <c r="A269" s="7">
        <v>45665</v>
      </c>
      <c r="B269" s="8">
        <v>30.745000000000001</v>
      </c>
      <c r="C269" s="8">
        <v>30.69</v>
      </c>
      <c r="D269" s="8">
        <v>30.74</v>
      </c>
      <c r="E269" s="8">
        <v>30.75</v>
      </c>
      <c r="F269" s="8">
        <v>119182</v>
      </c>
      <c r="G269" s="9">
        <v>41649</v>
      </c>
      <c r="H269" s="16">
        <f t="shared" si="12"/>
        <v>3.2525613920967846E-4</v>
      </c>
      <c r="I269" s="6">
        <f t="shared" si="13"/>
        <v>1.3035260379323788E-4</v>
      </c>
      <c r="L269" s="11"/>
      <c r="M269" s="12"/>
    </row>
    <row r="270" spans="1:13" ht="15" customHeight="1" x14ac:dyDescent="0.2">
      <c r="A270" s="3">
        <v>45664</v>
      </c>
      <c r="B270" s="4">
        <v>30.664999999999999</v>
      </c>
      <c r="C270" s="4">
        <v>30.686</v>
      </c>
      <c r="D270" s="4">
        <v>30.664999999999999</v>
      </c>
      <c r="E270" s="4">
        <v>30.675000000000001</v>
      </c>
      <c r="F270" s="4">
        <v>119375</v>
      </c>
      <c r="G270" s="5">
        <v>45578</v>
      </c>
      <c r="H270" s="16">
        <f t="shared" si="12"/>
        <v>3.26051516139601E-4</v>
      </c>
      <c r="I270" s="6">
        <f t="shared" si="13"/>
        <v>3.367884118627984E-3</v>
      </c>
      <c r="L270" s="11"/>
      <c r="M270" s="12"/>
    </row>
    <row r="271" spans="1:13" ht="15" customHeight="1" x14ac:dyDescent="0.2">
      <c r="A271" s="7">
        <v>45663</v>
      </c>
      <c r="B271" s="8">
        <v>30.484999999999999</v>
      </c>
      <c r="C271" s="8">
        <v>30.582999999999998</v>
      </c>
      <c r="D271" s="8">
        <v>30.48</v>
      </c>
      <c r="E271" s="8">
        <v>30.49</v>
      </c>
      <c r="F271" s="8">
        <v>120022</v>
      </c>
      <c r="G271" s="9">
        <v>59440</v>
      </c>
      <c r="H271" s="16">
        <f t="shared" si="12"/>
        <v>3.280301787763822E-4</v>
      </c>
      <c r="I271" s="6">
        <f t="shared" si="13"/>
        <v>1.722933643771829E-2</v>
      </c>
      <c r="L271" s="11"/>
      <c r="M271" s="12"/>
    </row>
    <row r="272" spans="1:13" ht="15" customHeight="1" x14ac:dyDescent="0.2">
      <c r="A272" s="3">
        <v>45660</v>
      </c>
      <c r="B272" s="4">
        <v>30.1</v>
      </c>
      <c r="C272" s="4">
        <v>30.065000000000001</v>
      </c>
      <c r="D272" s="4">
        <v>30.09</v>
      </c>
      <c r="E272" s="4">
        <v>30.1</v>
      </c>
      <c r="F272" s="4">
        <v>120322</v>
      </c>
      <c r="G272" s="5">
        <v>32036</v>
      </c>
      <c r="H272" s="16">
        <f t="shared" si="12"/>
        <v>3.3228110981895875E-4</v>
      </c>
      <c r="I272" s="6">
        <f t="shared" si="13"/>
        <v>5.5183946488295277E-3</v>
      </c>
      <c r="L272" s="11"/>
      <c r="M272" s="12"/>
    </row>
    <row r="273" spans="1:13" ht="15" customHeight="1" x14ac:dyDescent="0.2">
      <c r="A273" s="7">
        <v>45659</v>
      </c>
      <c r="B273" s="8">
        <v>29.984999999999999</v>
      </c>
      <c r="C273" s="8">
        <v>29.9</v>
      </c>
      <c r="D273" s="8">
        <v>29.98</v>
      </c>
      <c r="E273" s="8">
        <v>29.99</v>
      </c>
      <c r="F273" s="8">
        <v>120348</v>
      </c>
      <c r="G273" s="9">
        <v>41833</v>
      </c>
      <c r="H273" s="16">
        <f t="shared" si="12"/>
        <v>3.3350008337495448E-4</v>
      </c>
      <c r="I273" s="6">
        <f t="shared" si="13"/>
        <v>2.2501880856302447E-2</v>
      </c>
      <c r="L273" s="11"/>
      <c r="M273" s="12"/>
    </row>
    <row r="274" spans="1:13" ht="15" customHeight="1" x14ac:dyDescent="0.2">
      <c r="A274" s="3">
        <v>45657</v>
      </c>
      <c r="B274" s="4">
        <v>29.29</v>
      </c>
      <c r="C274" s="4">
        <v>29.242000000000001</v>
      </c>
      <c r="D274" s="4">
        <v>29.29</v>
      </c>
      <c r="E274" s="4">
        <v>29.295000000000002</v>
      </c>
      <c r="F274" s="4">
        <v>118607</v>
      </c>
      <c r="G274" s="5">
        <v>26092</v>
      </c>
      <c r="H274" s="16">
        <f t="shared" si="12"/>
        <v>1.7069215669548716E-4</v>
      </c>
      <c r="I274" s="6">
        <f t="shared" si="13"/>
        <v>-5.7799537603698825E-3</v>
      </c>
      <c r="L274" s="11"/>
      <c r="M274" s="12"/>
    </row>
    <row r="275" spans="1:13" ht="15" customHeight="1" x14ac:dyDescent="0.2">
      <c r="A275" s="7">
        <v>45656</v>
      </c>
      <c r="B275" s="8">
        <v>29.375</v>
      </c>
      <c r="C275" s="8">
        <v>29.411999999999999</v>
      </c>
      <c r="D275" s="8">
        <v>29.37</v>
      </c>
      <c r="E275" s="8">
        <v>29.38</v>
      </c>
      <c r="F275" s="8">
        <v>117336</v>
      </c>
      <c r="G275" s="9">
        <v>35167</v>
      </c>
      <c r="H275" s="16">
        <f t="shared" si="12"/>
        <v>3.4042553191482587E-4</v>
      </c>
      <c r="I275" s="6">
        <f t="shared" si="13"/>
        <v>-1.8553123331553678E-2</v>
      </c>
      <c r="L275" s="11"/>
      <c r="M275" s="12"/>
    </row>
    <row r="276" spans="1:13" ht="15" customHeight="1" x14ac:dyDescent="0.2">
      <c r="A276" s="3">
        <v>45653</v>
      </c>
      <c r="B276" s="4">
        <v>29.98</v>
      </c>
      <c r="C276" s="4">
        <v>29.968</v>
      </c>
      <c r="D276" s="4">
        <v>29.975000000000001</v>
      </c>
      <c r="E276" s="4">
        <v>29.984999999999999</v>
      </c>
      <c r="F276" s="4">
        <v>116487</v>
      </c>
      <c r="G276" s="5">
        <v>28992</v>
      </c>
      <c r="H276" s="16">
        <f t="shared" si="12"/>
        <v>3.3355570380246864E-4</v>
      </c>
      <c r="I276" s="6">
        <f t="shared" si="13"/>
        <v>-1.3853697061436687E-2</v>
      </c>
      <c r="L276" s="11"/>
      <c r="M276" s="12"/>
    </row>
    <row r="277" spans="1:13" ht="15" customHeight="1" x14ac:dyDescent="0.2">
      <c r="A277" s="7">
        <v>45652</v>
      </c>
      <c r="B277" s="8">
        <v>30.41</v>
      </c>
      <c r="C277" s="8">
        <v>30.388999999999999</v>
      </c>
      <c r="D277" s="8">
        <v>30.405000000000001</v>
      </c>
      <c r="E277" s="8">
        <v>30.41</v>
      </c>
      <c r="F277" s="8">
        <v>116652</v>
      </c>
      <c r="G277" s="9">
        <v>25013</v>
      </c>
      <c r="H277" s="16">
        <f t="shared" si="12"/>
        <v>1.6443311682969681E-4</v>
      </c>
      <c r="I277" s="6">
        <f t="shared" si="13"/>
        <v>3.5003137073605917E-3</v>
      </c>
      <c r="L277" s="11"/>
      <c r="M277" s="12"/>
    </row>
    <row r="278" spans="1:13" ht="15" customHeight="1" x14ac:dyDescent="0.2">
      <c r="A278" s="3">
        <v>45650</v>
      </c>
      <c r="B278" s="4">
        <v>30.23</v>
      </c>
      <c r="C278" s="4">
        <v>30.283000000000001</v>
      </c>
      <c r="D278" s="4">
        <v>30.1</v>
      </c>
      <c r="E278" s="4">
        <v>30.254999999999999</v>
      </c>
      <c r="F278" s="4">
        <v>116752</v>
      </c>
      <c r="G278" s="5">
        <v>16573</v>
      </c>
      <c r="H278" s="16">
        <f t="shared" si="12"/>
        <v>5.1362770275866975E-3</v>
      </c>
      <c r="I278" s="6">
        <f t="shared" si="13"/>
        <v>3.1137169167578804E-3</v>
      </c>
      <c r="L278" s="11"/>
      <c r="M278" s="12"/>
    </row>
    <row r="279" spans="1:13" ht="15" customHeight="1" x14ac:dyDescent="0.2">
      <c r="A279" s="7">
        <v>45649</v>
      </c>
      <c r="B279" s="8">
        <v>30.225000000000001</v>
      </c>
      <c r="C279" s="8">
        <v>30.189</v>
      </c>
      <c r="D279" s="8">
        <v>30.22</v>
      </c>
      <c r="E279" s="8">
        <v>30.23</v>
      </c>
      <c r="F279" s="8">
        <v>116813</v>
      </c>
      <c r="G279" s="9">
        <v>33544</v>
      </c>
      <c r="H279" s="16">
        <f t="shared" si="12"/>
        <v>3.3085194375522128E-4</v>
      </c>
      <c r="I279" s="6">
        <f t="shared" si="13"/>
        <v>7.7107951131585306E-3</v>
      </c>
      <c r="L279" s="11"/>
      <c r="M279" s="12"/>
    </row>
    <row r="280" spans="1:13" ht="15" customHeight="1" x14ac:dyDescent="0.2">
      <c r="A280" s="3">
        <v>45646</v>
      </c>
      <c r="B280" s="4">
        <v>30.074999999999999</v>
      </c>
      <c r="C280" s="4">
        <v>29.957999999999998</v>
      </c>
      <c r="D280" s="4">
        <v>30.07</v>
      </c>
      <c r="E280" s="4">
        <v>30.085000000000001</v>
      </c>
      <c r="F280" s="4">
        <v>118072</v>
      </c>
      <c r="G280" s="5">
        <v>56125</v>
      </c>
      <c r="H280" s="16">
        <f t="shared" si="12"/>
        <v>4.9871166154103798E-4</v>
      </c>
      <c r="I280" s="6">
        <f t="shared" si="13"/>
        <v>1.8598483560572365E-2</v>
      </c>
      <c r="L280" s="11"/>
      <c r="M280" s="12"/>
    </row>
    <row r="281" spans="1:13" ht="15" customHeight="1" x14ac:dyDescent="0.2">
      <c r="A281" s="7">
        <v>45645</v>
      </c>
      <c r="B281" s="8">
        <v>29.475000000000001</v>
      </c>
      <c r="C281" s="8">
        <v>29.411000000000001</v>
      </c>
      <c r="D281" s="8">
        <v>29.47</v>
      </c>
      <c r="E281" s="8">
        <v>29.48</v>
      </c>
      <c r="F281" s="8">
        <v>118170</v>
      </c>
      <c r="G281" s="9">
        <v>65099.999999999898</v>
      </c>
      <c r="H281" s="16">
        <f t="shared" si="12"/>
        <v>3.3927056827825488E-4</v>
      </c>
      <c r="I281" s="6">
        <f t="shared" si="13"/>
        <v>-4.3233571893298572E-2</v>
      </c>
      <c r="L281" s="11"/>
      <c r="M281" s="12"/>
    </row>
    <row r="282" spans="1:13" ht="15" customHeight="1" x14ac:dyDescent="0.2">
      <c r="A282" s="3">
        <v>45644</v>
      </c>
      <c r="B282" s="4">
        <v>29.805</v>
      </c>
      <c r="C282" s="4">
        <v>30.74</v>
      </c>
      <c r="D282" s="4">
        <v>29.795000000000002</v>
      </c>
      <c r="E282" s="4">
        <v>29.805</v>
      </c>
      <c r="F282" s="4">
        <v>118241</v>
      </c>
      <c r="G282" s="5">
        <v>48878</v>
      </c>
      <c r="H282" s="16">
        <f t="shared" si="12"/>
        <v>3.3557046979859097E-4</v>
      </c>
      <c r="I282" s="6">
        <f t="shared" si="13"/>
        <v>-5.853626984896998E-3</v>
      </c>
      <c r="L282" s="11"/>
      <c r="M282" s="12"/>
    </row>
    <row r="283" spans="1:13" ht="15" customHeight="1" x14ac:dyDescent="0.2">
      <c r="A283" s="7">
        <v>45643</v>
      </c>
      <c r="B283" s="8">
        <v>30.995000000000001</v>
      </c>
      <c r="C283" s="8">
        <v>30.920999999999999</v>
      </c>
      <c r="D283" s="8">
        <v>30.99</v>
      </c>
      <c r="E283" s="8">
        <v>31</v>
      </c>
      <c r="F283" s="8">
        <v>118969</v>
      </c>
      <c r="G283" s="9">
        <v>38503</v>
      </c>
      <c r="H283" s="16">
        <f t="shared" si="12"/>
        <v>3.2263268269080704E-4</v>
      </c>
      <c r="I283" s="6">
        <f t="shared" si="13"/>
        <v>-4.3790449818076338E-3</v>
      </c>
      <c r="L283" s="11"/>
      <c r="M283" s="12"/>
    </row>
    <row r="284" spans="1:13" ht="15" customHeight="1" x14ac:dyDescent="0.2">
      <c r="A284" s="3">
        <v>45642</v>
      </c>
      <c r="B284" s="4">
        <v>31.04</v>
      </c>
      <c r="C284" s="4">
        <v>31.056999999999999</v>
      </c>
      <c r="D284" s="4">
        <v>31.035</v>
      </c>
      <c r="E284" s="4">
        <v>31.045000000000002</v>
      </c>
      <c r="F284" s="4">
        <v>120679</v>
      </c>
      <c r="G284" s="5">
        <v>32598</v>
      </c>
      <c r="H284" s="16">
        <f t="shared" si="12"/>
        <v>3.221649484536586E-4</v>
      </c>
      <c r="I284" s="6">
        <f t="shared" si="13"/>
        <v>9.3463968028872912E-4</v>
      </c>
      <c r="L284" s="11"/>
      <c r="M284" s="12"/>
    </row>
    <row r="285" spans="1:13" ht="15" customHeight="1" x14ac:dyDescent="0.2">
      <c r="A285" s="7">
        <v>45639</v>
      </c>
      <c r="B285" s="8">
        <v>31</v>
      </c>
      <c r="C285" s="8">
        <v>31.027999999999999</v>
      </c>
      <c r="D285" s="8">
        <v>30.995000000000001</v>
      </c>
      <c r="E285" s="8">
        <v>31.004999999999999</v>
      </c>
      <c r="F285" s="8">
        <v>122461</v>
      </c>
      <c r="G285" s="9">
        <v>60606</v>
      </c>
      <c r="H285" s="16">
        <f t="shared" si="12"/>
        <v>3.2258064516122614E-4</v>
      </c>
      <c r="I285" s="6">
        <f t="shared" si="13"/>
        <v>-1.8691293209778914E-2</v>
      </c>
      <c r="L285" s="11"/>
      <c r="M285" s="12"/>
    </row>
    <row r="286" spans="1:13" ht="15" customHeight="1" x14ac:dyDescent="0.2">
      <c r="A286" s="3">
        <v>45638</v>
      </c>
      <c r="B286" s="4">
        <v>31.56</v>
      </c>
      <c r="C286" s="4">
        <v>31.619</v>
      </c>
      <c r="D286" s="4">
        <v>31.55</v>
      </c>
      <c r="E286" s="4">
        <v>31.56</v>
      </c>
      <c r="F286" s="4">
        <v>123469</v>
      </c>
      <c r="G286" s="5">
        <v>89935</v>
      </c>
      <c r="H286" s="16">
        <f t="shared" si="12"/>
        <v>3.1690698779901792E-4</v>
      </c>
      <c r="I286" s="6">
        <f t="shared" si="13"/>
        <v>-4.0889374222707553E-2</v>
      </c>
      <c r="L286" s="11"/>
      <c r="M286" s="12"/>
    </row>
    <row r="287" spans="1:13" ht="15" customHeight="1" x14ac:dyDescent="0.2">
      <c r="A287" s="7">
        <v>45637</v>
      </c>
      <c r="B287" s="8">
        <v>32.79</v>
      </c>
      <c r="C287" s="8">
        <v>32.966999999999999</v>
      </c>
      <c r="D287" s="8">
        <v>32.78</v>
      </c>
      <c r="E287" s="8">
        <v>32.79</v>
      </c>
      <c r="F287" s="8">
        <v>123261</v>
      </c>
      <c r="G287" s="9">
        <v>75291</v>
      </c>
      <c r="H287" s="16">
        <f t="shared" si="12"/>
        <v>3.050175385084036E-4</v>
      </c>
      <c r="I287" s="6">
        <f t="shared" si="13"/>
        <v>6.7181726570373357E-3</v>
      </c>
      <c r="L287" s="11"/>
      <c r="M287" s="12"/>
    </row>
    <row r="288" spans="1:13" ht="15" customHeight="1" x14ac:dyDescent="0.2">
      <c r="A288" s="3">
        <v>45636</v>
      </c>
      <c r="B288" s="4">
        <v>32.655000000000001</v>
      </c>
      <c r="C288" s="4">
        <v>32.747</v>
      </c>
      <c r="D288" s="4">
        <v>32.65</v>
      </c>
      <c r="E288" s="4">
        <v>32.664999999999999</v>
      </c>
      <c r="F288" s="4">
        <v>122363</v>
      </c>
      <c r="G288" s="5">
        <v>57482</v>
      </c>
      <c r="H288" s="16">
        <f t="shared" si="12"/>
        <v>4.5931256219859353E-4</v>
      </c>
      <c r="I288" s="6">
        <f t="shared" si="13"/>
        <v>4.1703719603816136E-3</v>
      </c>
      <c r="L288" s="11"/>
      <c r="M288" s="12"/>
    </row>
    <row r="289" spans="1:13" ht="15" customHeight="1" x14ac:dyDescent="0.2">
      <c r="A289" s="7">
        <v>45635</v>
      </c>
      <c r="B289" s="8">
        <v>32.450000000000003</v>
      </c>
      <c r="C289" s="8">
        <v>32.610999999999997</v>
      </c>
      <c r="D289" s="8">
        <v>32.450000000000003</v>
      </c>
      <c r="E289" s="8">
        <v>32.46</v>
      </c>
      <c r="F289" s="8">
        <v>117626</v>
      </c>
      <c r="G289" s="9">
        <v>88243</v>
      </c>
      <c r="H289" s="16">
        <f t="shared" si="12"/>
        <v>3.0811893390842739E-4</v>
      </c>
      <c r="I289" s="6">
        <f t="shared" si="13"/>
        <v>3.2385716094719408E-2</v>
      </c>
      <c r="L289" s="11"/>
      <c r="M289" s="12"/>
    </row>
    <row r="290" spans="1:13" ht="15" customHeight="1" x14ac:dyDescent="0.2">
      <c r="A290" s="3">
        <v>45632</v>
      </c>
      <c r="B290" s="4">
        <v>31.484999999999999</v>
      </c>
      <c r="C290" s="4">
        <v>31.588000000000001</v>
      </c>
      <c r="D290" s="4">
        <v>31.475000000000001</v>
      </c>
      <c r="E290" s="4">
        <v>31.49</v>
      </c>
      <c r="F290" s="4">
        <v>116957</v>
      </c>
      <c r="G290" s="5">
        <v>60289</v>
      </c>
      <c r="H290" s="16">
        <f t="shared" si="12"/>
        <v>4.7645517350899751E-4</v>
      </c>
      <c r="I290" s="6">
        <f t="shared" si="13"/>
        <v>1.6489091831557445E-3</v>
      </c>
      <c r="L290" s="11"/>
      <c r="M290" s="12"/>
    </row>
    <row r="291" spans="1:13" ht="15" customHeight="1" x14ac:dyDescent="0.2">
      <c r="A291" s="7">
        <v>45631</v>
      </c>
      <c r="B291" s="8">
        <v>31.824999999999999</v>
      </c>
      <c r="C291" s="8">
        <v>31.536000000000001</v>
      </c>
      <c r="D291" s="8">
        <v>31.82</v>
      </c>
      <c r="E291" s="8">
        <v>31.824999999999999</v>
      </c>
      <c r="F291" s="8">
        <v>114430</v>
      </c>
      <c r="G291" s="9">
        <v>46580</v>
      </c>
      <c r="H291" s="16">
        <f t="shared" si="12"/>
        <v>1.5712153350613578E-4</v>
      </c>
      <c r="I291" s="6">
        <f t="shared" si="13"/>
        <v>-1.1875293749020743E-2</v>
      </c>
      <c r="L291" s="11"/>
      <c r="M291" s="12"/>
    </row>
    <row r="292" spans="1:13" ht="15" customHeight="1" x14ac:dyDescent="0.2">
      <c r="A292" s="3">
        <v>45630</v>
      </c>
      <c r="B292" s="4">
        <v>31.835000000000001</v>
      </c>
      <c r="C292" s="4">
        <v>31.914999999999999</v>
      </c>
      <c r="D292" s="4">
        <v>31.835000000000001</v>
      </c>
      <c r="E292" s="4">
        <v>31.844999999999999</v>
      </c>
      <c r="F292" s="4">
        <v>113492</v>
      </c>
      <c r="G292" s="5">
        <v>71468</v>
      </c>
      <c r="H292" s="16">
        <f t="shared" si="12"/>
        <v>3.1407035175873147E-4</v>
      </c>
      <c r="I292" s="6">
        <f t="shared" si="13"/>
        <v>1.3431982725771618E-2</v>
      </c>
      <c r="L292" s="11"/>
      <c r="M292" s="12"/>
    </row>
    <row r="293" spans="1:13" ht="15" customHeight="1" x14ac:dyDescent="0.2">
      <c r="A293" s="7">
        <v>45629</v>
      </c>
      <c r="B293" s="8">
        <v>31.515000000000001</v>
      </c>
      <c r="C293" s="8">
        <v>31.492000000000001</v>
      </c>
      <c r="D293" s="8">
        <v>31.51</v>
      </c>
      <c r="E293" s="8">
        <v>31.52</v>
      </c>
      <c r="F293" s="8">
        <v>111525</v>
      </c>
      <c r="G293" s="9">
        <v>51364</v>
      </c>
      <c r="H293" s="16">
        <f t="shared" si="12"/>
        <v>3.1730921783271491E-4</v>
      </c>
      <c r="I293" s="6">
        <f t="shared" si="13"/>
        <v>2.0347330222913351E-2</v>
      </c>
      <c r="L293" s="11"/>
      <c r="M293" s="12"/>
    </row>
    <row r="294" spans="1:13" ht="15" customHeight="1" x14ac:dyDescent="0.2">
      <c r="A294" s="3">
        <v>45628</v>
      </c>
      <c r="B294" s="4">
        <v>30.975000000000001</v>
      </c>
      <c r="C294" s="4">
        <v>30.864000000000001</v>
      </c>
      <c r="D294" s="4">
        <v>30.97</v>
      </c>
      <c r="E294" s="4">
        <v>30.98</v>
      </c>
      <c r="F294" s="4">
        <v>110840</v>
      </c>
      <c r="G294" s="5">
        <v>45249</v>
      </c>
      <c r="H294" s="16">
        <f t="shared" si="12"/>
        <v>3.2284100080715294E-4</v>
      </c>
      <c r="I294" s="6">
        <f t="shared" si="13"/>
        <v>5.8334691217207801E-3</v>
      </c>
      <c r="L294" s="11"/>
      <c r="M294" s="12"/>
    </row>
    <row r="295" spans="1:13" ht="15" customHeight="1" x14ac:dyDescent="0.2">
      <c r="A295" s="7">
        <v>45625</v>
      </c>
      <c r="B295" s="8">
        <v>30.63</v>
      </c>
      <c r="C295" s="8">
        <v>30.684999999999999</v>
      </c>
      <c r="D295" s="8">
        <v>30.63</v>
      </c>
      <c r="E295" s="8">
        <v>31.17</v>
      </c>
      <c r="F295" s="8">
        <v>8087</v>
      </c>
      <c r="G295" s="9">
        <v>2230</v>
      </c>
      <c r="H295" s="16">
        <f t="shared" si="12"/>
        <v>1.7475728155339893E-2</v>
      </c>
      <c r="I295" s="6">
        <f t="shared" si="13"/>
        <v>1.9062800969745108E-2</v>
      </c>
      <c r="L295" s="11"/>
      <c r="M295" s="12"/>
    </row>
    <row r="296" spans="1:13" ht="15" customHeight="1" x14ac:dyDescent="0.2">
      <c r="A296" s="3">
        <v>45623</v>
      </c>
      <c r="B296" s="4">
        <v>30.12</v>
      </c>
      <c r="C296" s="4">
        <v>30.111000000000001</v>
      </c>
      <c r="D296" s="4">
        <v>30.094999999999999</v>
      </c>
      <c r="E296" s="4">
        <v>30.12</v>
      </c>
      <c r="F296" s="4">
        <v>12478</v>
      </c>
      <c r="G296" s="5">
        <v>19454</v>
      </c>
      <c r="H296" s="16">
        <f t="shared" si="12"/>
        <v>8.3035788424818172E-4</v>
      </c>
      <c r="I296" s="6">
        <f t="shared" si="13"/>
        <v>-9.6694622594968305E-3</v>
      </c>
      <c r="L296" s="11"/>
      <c r="M296" s="12"/>
    </row>
    <row r="297" spans="1:13" ht="15" customHeight="1" x14ac:dyDescent="0.2">
      <c r="A297" s="7">
        <v>45622</v>
      </c>
      <c r="B297" s="8">
        <v>30.48</v>
      </c>
      <c r="C297" s="8">
        <v>30.405000000000001</v>
      </c>
      <c r="D297" s="8">
        <v>30.475000000000001</v>
      </c>
      <c r="E297" s="8">
        <v>30.49</v>
      </c>
      <c r="F297" s="8">
        <v>26430</v>
      </c>
      <c r="G297" s="9">
        <v>53403</v>
      </c>
      <c r="H297" s="16">
        <f t="shared" si="12"/>
        <v>4.9208562289828641E-4</v>
      </c>
      <c r="I297" s="6">
        <f t="shared" si="13"/>
        <v>5.4895995237937978E-3</v>
      </c>
      <c r="L297" s="11"/>
      <c r="M297" s="12"/>
    </row>
    <row r="298" spans="1:13" ht="15" customHeight="1" x14ac:dyDescent="0.2">
      <c r="A298" s="3">
        <v>45621</v>
      </c>
      <c r="B298" s="4">
        <v>30.35</v>
      </c>
      <c r="C298" s="4">
        <v>30.239000000000001</v>
      </c>
      <c r="D298" s="4">
        <v>30.34</v>
      </c>
      <c r="E298" s="4">
        <v>30.355</v>
      </c>
      <c r="F298" s="4">
        <v>39287</v>
      </c>
      <c r="G298" s="5">
        <v>83187</v>
      </c>
      <c r="H298" s="16">
        <f t="shared" si="12"/>
        <v>4.942746519482847E-4</v>
      </c>
      <c r="I298" s="6">
        <f t="shared" si="13"/>
        <v>-3.5069245006062899E-2</v>
      </c>
      <c r="L298" s="11"/>
      <c r="M298" s="12"/>
    </row>
    <row r="299" spans="1:13" ht="15" customHeight="1" x14ac:dyDescent="0.2">
      <c r="A299" s="7">
        <v>45618</v>
      </c>
      <c r="B299" s="8">
        <v>31.405000000000001</v>
      </c>
      <c r="C299" s="8">
        <v>31.338000000000001</v>
      </c>
      <c r="D299" s="8">
        <v>31.395</v>
      </c>
      <c r="E299" s="8">
        <v>31.405000000000001</v>
      </c>
      <c r="F299" s="8">
        <v>46129</v>
      </c>
      <c r="G299" s="9">
        <v>61659</v>
      </c>
      <c r="H299" s="16">
        <f t="shared" si="12"/>
        <v>3.1847133757966764E-4</v>
      </c>
      <c r="I299" s="6">
        <f t="shared" si="13"/>
        <v>1.2765407361923442E-2</v>
      </c>
      <c r="L299" s="11"/>
      <c r="M299" s="12"/>
    </row>
    <row r="300" spans="1:13" ht="15" customHeight="1" x14ac:dyDescent="0.2">
      <c r="A300" s="3">
        <v>45617</v>
      </c>
      <c r="B300" s="4">
        <v>30.87</v>
      </c>
      <c r="C300" s="4">
        <v>30.943000000000001</v>
      </c>
      <c r="D300" s="4">
        <v>30.864999999999998</v>
      </c>
      <c r="E300" s="4">
        <v>30.88</v>
      </c>
      <c r="F300" s="4">
        <v>53760</v>
      </c>
      <c r="G300" s="5">
        <v>61406</v>
      </c>
      <c r="H300" s="16">
        <f t="shared" si="12"/>
        <v>4.8586930115800695E-4</v>
      </c>
      <c r="I300" s="6">
        <f t="shared" si="13"/>
        <v>-1.9996774713755272E-3</v>
      </c>
      <c r="L300" s="11"/>
      <c r="M300" s="12"/>
    </row>
    <row r="301" spans="1:13" ht="15" customHeight="1" x14ac:dyDescent="0.2">
      <c r="A301" s="7">
        <v>45616</v>
      </c>
      <c r="B301" s="8">
        <v>30.94</v>
      </c>
      <c r="C301" s="8">
        <v>31.004999999999999</v>
      </c>
      <c r="D301" s="8">
        <v>30.93</v>
      </c>
      <c r="E301" s="8">
        <v>30.945</v>
      </c>
      <c r="F301" s="8">
        <v>57435</v>
      </c>
      <c r="G301" s="9">
        <v>54410</v>
      </c>
      <c r="H301" s="16">
        <f t="shared" si="12"/>
        <v>4.8484848484850321E-4</v>
      </c>
      <c r="I301" s="6">
        <f t="shared" si="13"/>
        <v>-8.220843196212746E-3</v>
      </c>
      <c r="L301" s="11"/>
      <c r="M301" s="12"/>
    </row>
    <row r="302" spans="1:13" ht="15" customHeight="1" x14ac:dyDescent="0.2">
      <c r="A302" s="3">
        <v>45615</v>
      </c>
      <c r="B302" s="4">
        <v>31.295000000000002</v>
      </c>
      <c r="C302" s="4">
        <v>31.262</v>
      </c>
      <c r="D302" s="4">
        <v>31.29</v>
      </c>
      <c r="E302" s="4">
        <v>31.3</v>
      </c>
      <c r="F302" s="4">
        <v>61504</v>
      </c>
      <c r="G302" s="5">
        <v>58354</v>
      </c>
      <c r="H302" s="16">
        <f t="shared" si="12"/>
        <v>3.1953986259790904E-4</v>
      </c>
      <c r="I302" s="6">
        <f t="shared" si="13"/>
        <v>1.2170125544452848E-3</v>
      </c>
      <c r="L302" s="11"/>
      <c r="M302" s="12"/>
    </row>
    <row r="303" spans="1:13" ht="15" customHeight="1" x14ac:dyDescent="0.2">
      <c r="A303" s="7">
        <v>45614</v>
      </c>
      <c r="B303" s="8">
        <v>31.26</v>
      </c>
      <c r="C303" s="8">
        <v>31.224</v>
      </c>
      <c r="D303" s="8">
        <v>31.25</v>
      </c>
      <c r="E303" s="8">
        <v>31.26</v>
      </c>
      <c r="F303" s="8">
        <v>64396</v>
      </c>
      <c r="G303" s="9">
        <v>56093</v>
      </c>
      <c r="H303" s="16">
        <f t="shared" si="12"/>
        <v>3.199488081907395E-4</v>
      </c>
      <c r="I303" s="6">
        <f t="shared" si="13"/>
        <v>2.6025236593059997E-2</v>
      </c>
      <c r="L303" s="11"/>
      <c r="M303" s="12"/>
    </row>
    <row r="304" spans="1:13" ht="15" customHeight="1" x14ac:dyDescent="0.2">
      <c r="A304" s="3">
        <v>45611</v>
      </c>
      <c r="B304" s="4">
        <v>30.335000000000001</v>
      </c>
      <c r="C304" s="4">
        <v>30.431999999999999</v>
      </c>
      <c r="D304" s="4">
        <v>30.33</v>
      </c>
      <c r="E304" s="4">
        <v>30.34</v>
      </c>
      <c r="F304" s="4">
        <v>66390</v>
      </c>
      <c r="G304" s="5">
        <v>55135</v>
      </c>
      <c r="H304" s="16">
        <f t="shared" si="12"/>
        <v>3.2965221691121023E-4</v>
      </c>
      <c r="I304" s="6">
        <f t="shared" si="13"/>
        <v>-4.4816644312866138E-3</v>
      </c>
      <c r="L304" s="11"/>
      <c r="M304" s="12"/>
    </row>
    <row r="305" spans="1:13" ht="15" customHeight="1" x14ac:dyDescent="0.2">
      <c r="A305" s="7">
        <v>45610</v>
      </c>
      <c r="B305" s="8">
        <v>30.535</v>
      </c>
      <c r="C305" s="8">
        <v>30.568999999999999</v>
      </c>
      <c r="D305" s="8">
        <v>30.535</v>
      </c>
      <c r="E305" s="8">
        <v>30.545000000000002</v>
      </c>
      <c r="F305" s="8">
        <v>72376</v>
      </c>
      <c r="G305" s="9">
        <v>74050</v>
      </c>
      <c r="H305" s="16">
        <f t="shared" si="12"/>
        <v>3.2743942370666546E-4</v>
      </c>
      <c r="I305" s="6">
        <f t="shared" si="13"/>
        <v>-3.0655839285131936E-3</v>
      </c>
      <c r="L305" s="11"/>
      <c r="M305" s="12"/>
    </row>
    <row r="306" spans="1:13" ht="15" customHeight="1" x14ac:dyDescent="0.2">
      <c r="A306" s="3">
        <v>45609</v>
      </c>
      <c r="B306" s="4">
        <v>30.405000000000001</v>
      </c>
      <c r="C306" s="4">
        <v>30.663</v>
      </c>
      <c r="D306" s="4">
        <v>30.4</v>
      </c>
      <c r="E306" s="4">
        <v>30.414999999999999</v>
      </c>
      <c r="F306" s="4">
        <v>78053</v>
      </c>
      <c r="G306" s="5">
        <v>67115</v>
      </c>
      <c r="H306" s="16">
        <f t="shared" si="12"/>
        <v>4.932993504892072E-4</v>
      </c>
      <c r="I306" s="6">
        <f t="shared" si="13"/>
        <v>-3.1210377450502369E-3</v>
      </c>
      <c r="L306" s="11"/>
      <c r="M306" s="12"/>
    </row>
    <row r="307" spans="1:13" ht="15" customHeight="1" x14ac:dyDescent="0.2">
      <c r="A307" s="7">
        <v>45608</v>
      </c>
      <c r="B307" s="8">
        <v>30.824999999999999</v>
      </c>
      <c r="C307" s="8">
        <v>30.759</v>
      </c>
      <c r="D307" s="8">
        <v>30.82</v>
      </c>
      <c r="E307" s="8">
        <v>30.83</v>
      </c>
      <c r="F307" s="8">
        <v>85763</v>
      </c>
      <c r="G307" s="9">
        <v>69433</v>
      </c>
      <c r="H307" s="16">
        <f t="shared" si="12"/>
        <v>3.2441200324405552E-4</v>
      </c>
      <c r="I307" s="6">
        <f t="shared" si="13"/>
        <v>4.7692156926795182E-3</v>
      </c>
      <c r="L307" s="11"/>
      <c r="M307" s="12"/>
    </row>
    <row r="308" spans="1:13" ht="15" customHeight="1" x14ac:dyDescent="0.2">
      <c r="A308" s="3">
        <v>45607</v>
      </c>
      <c r="B308" s="4">
        <v>30.785</v>
      </c>
      <c r="C308" s="4">
        <v>30.613</v>
      </c>
      <c r="D308" s="4">
        <v>30.78</v>
      </c>
      <c r="E308" s="4">
        <v>30.79</v>
      </c>
      <c r="F308" s="4">
        <v>92835</v>
      </c>
      <c r="G308" s="5">
        <v>73482</v>
      </c>
      <c r="H308" s="16">
        <f t="shared" si="12"/>
        <v>3.2483352281949035E-4</v>
      </c>
      <c r="I308" s="6">
        <f t="shared" si="13"/>
        <v>-2.6582721231199757E-2</v>
      </c>
      <c r="L308" s="11"/>
      <c r="M308" s="12"/>
    </row>
    <row r="309" spans="1:13" ht="15" customHeight="1" x14ac:dyDescent="0.2">
      <c r="A309" s="7">
        <v>45604</v>
      </c>
      <c r="B309" s="8">
        <v>31.42</v>
      </c>
      <c r="C309" s="8">
        <v>31.449000000000002</v>
      </c>
      <c r="D309" s="8">
        <v>31.414999999999999</v>
      </c>
      <c r="E309" s="8">
        <v>31.425000000000001</v>
      </c>
      <c r="F309" s="8">
        <v>99644</v>
      </c>
      <c r="G309" s="9">
        <v>69247</v>
      </c>
      <c r="H309" s="16">
        <f t="shared" si="12"/>
        <v>3.1826861871424452E-4</v>
      </c>
      <c r="I309" s="6">
        <f t="shared" si="13"/>
        <v>-1.2745251922775092E-2</v>
      </c>
      <c r="L309" s="11"/>
      <c r="M309" s="12"/>
    </row>
    <row r="310" spans="1:13" ht="15" customHeight="1" x14ac:dyDescent="0.2">
      <c r="A310" s="3">
        <v>45603</v>
      </c>
      <c r="B310" s="4">
        <v>32.14</v>
      </c>
      <c r="C310" s="4">
        <v>31.855</v>
      </c>
      <c r="D310" s="4">
        <v>32.130000000000003</v>
      </c>
      <c r="E310" s="4">
        <v>32.14</v>
      </c>
      <c r="F310" s="4">
        <v>106682</v>
      </c>
      <c r="G310" s="5">
        <v>73464</v>
      </c>
      <c r="H310" s="16">
        <f t="shared" si="12"/>
        <v>3.111871790881596E-4</v>
      </c>
      <c r="I310" s="6">
        <f t="shared" si="13"/>
        <v>1.6724649707956951E-2</v>
      </c>
      <c r="L310" s="11"/>
      <c r="M310" s="12"/>
    </row>
    <row r="311" spans="1:13" ht="15" customHeight="1" x14ac:dyDescent="0.2">
      <c r="A311" s="7">
        <v>45602</v>
      </c>
      <c r="B311" s="8">
        <v>31.285</v>
      </c>
      <c r="C311" s="8">
        <v>31.331</v>
      </c>
      <c r="D311" s="8">
        <v>31.285</v>
      </c>
      <c r="E311" s="8">
        <v>31.295000000000002</v>
      </c>
      <c r="F311" s="8">
        <v>111136</v>
      </c>
      <c r="G311" s="9">
        <v>119541</v>
      </c>
      <c r="H311" s="16">
        <f t="shared" si="12"/>
        <v>3.1959092361781924E-4</v>
      </c>
      <c r="I311" s="6">
        <f t="shared" si="13"/>
        <v>-4.4057971014492714E-2</v>
      </c>
      <c r="L311" s="11"/>
      <c r="M311" s="12"/>
    </row>
    <row r="312" spans="1:13" ht="15" customHeight="1" x14ac:dyDescent="0.2">
      <c r="A312" s="3">
        <v>45601</v>
      </c>
      <c r="B312" s="4">
        <v>32.774999999999999</v>
      </c>
      <c r="C312" s="4">
        <v>32.774999999999999</v>
      </c>
      <c r="D312" s="4">
        <v>32.770000000000003</v>
      </c>
      <c r="E312" s="4">
        <v>32.784999999999997</v>
      </c>
      <c r="F312" s="4">
        <v>114921</v>
      </c>
      <c r="G312" s="5">
        <v>46492</v>
      </c>
      <c r="H312" s="16">
        <f t="shared" si="12"/>
        <v>4.5763099687265538E-4</v>
      </c>
      <c r="I312" s="6">
        <f t="shared" si="13"/>
        <v>5.0906191542210433E-3</v>
      </c>
      <c r="L312" s="11"/>
      <c r="M312" s="12"/>
    </row>
    <row r="313" spans="1:13" ht="15" customHeight="1" x14ac:dyDescent="0.2">
      <c r="A313" s="7">
        <v>45600</v>
      </c>
      <c r="B313" s="8">
        <v>32.58</v>
      </c>
      <c r="C313" s="8">
        <v>32.609000000000002</v>
      </c>
      <c r="D313" s="8">
        <v>32.58</v>
      </c>
      <c r="E313" s="8">
        <v>32.590000000000003</v>
      </c>
      <c r="F313" s="8">
        <v>117215</v>
      </c>
      <c r="G313" s="9">
        <v>49211</v>
      </c>
      <c r="H313" s="16">
        <f t="shared" si="12"/>
        <v>3.0688967316265509E-4</v>
      </c>
      <c r="I313" s="6">
        <f t="shared" si="13"/>
        <v>-2.2031149597624422E-3</v>
      </c>
      <c r="L313" s="11"/>
      <c r="M313" s="12"/>
    </row>
    <row r="314" spans="1:13" ht="15" customHeight="1" x14ac:dyDescent="0.2">
      <c r="A314" s="3">
        <v>45597</v>
      </c>
      <c r="B314" s="4">
        <v>32.575000000000003</v>
      </c>
      <c r="C314" s="4">
        <v>32.680999999999997</v>
      </c>
      <c r="D314" s="4">
        <v>32.57</v>
      </c>
      <c r="E314" s="4">
        <v>32.58</v>
      </c>
      <c r="F314" s="4">
        <v>121873</v>
      </c>
      <c r="G314" s="5">
        <v>66102</v>
      </c>
      <c r="H314" s="16">
        <f t="shared" si="12"/>
        <v>3.0698388334606322E-4</v>
      </c>
      <c r="I314" s="6">
        <f t="shared" si="13"/>
        <v>-3.5065251859983659E-3</v>
      </c>
      <c r="L314" s="11"/>
      <c r="M314" s="12"/>
    </row>
    <row r="315" spans="1:13" ht="15" customHeight="1" x14ac:dyDescent="0.2">
      <c r="A315" s="7">
        <v>45596</v>
      </c>
      <c r="B315" s="8">
        <v>32.799999999999997</v>
      </c>
      <c r="C315" s="8">
        <v>32.795999999999999</v>
      </c>
      <c r="D315" s="8">
        <v>32.795000000000002</v>
      </c>
      <c r="E315" s="8">
        <v>32.799999999999997</v>
      </c>
      <c r="F315" s="8">
        <v>123941</v>
      </c>
      <c r="G315" s="9">
        <v>90885</v>
      </c>
      <c r="H315" s="16">
        <f t="shared" si="12"/>
        <v>1.5245064410383268E-4</v>
      </c>
      <c r="I315" s="6">
        <f t="shared" si="13"/>
        <v>-3.7534849596478459E-2</v>
      </c>
      <c r="L315" s="11"/>
      <c r="M315" s="12"/>
    </row>
    <row r="316" spans="1:13" ht="15" customHeight="1" x14ac:dyDescent="0.2">
      <c r="A316" s="3">
        <v>45595</v>
      </c>
      <c r="B316" s="4">
        <v>33.935000000000002</v>
      </c>
      <c r="C316" s="4">
        <v>34.075000000000003</v>
      </c>
      <c r="D316" s="4">
        <v>33.93</v>
      </c>
      <c r="E316" s="4">
        <v>33.94</v>
      </c>
      <c r="F316" s="4">
        <v>125255</v>
      </c>
      <c r="G316" s="5">
        <v>71594</v>
      </c>
      <c r="H316" s="16">
        <f t="shared" si="12"/>
        <v>2.9468100780898808E-4</v>
      </c>
      <c r="I316" s="6">
        <f t="shared" si="13"/>
        <v>-1.0626869138526729E-2</v>
      </c>
      <c r="L316" s="11"/>
      <c r="M316" s="12"/>
    </row>
    <row r="317" spans="1:13" ht="15" customHeight="1" x14ac:dyDescent="0.2">
      <c r="A317" s="7">
        <v>45594</v>
      </c>
      <c r="B317" s="8">
        <v>34.625</v>
      </c>
      <c r="C317" s="8">
        <v>34.441000000000003</v>
      </c>
      <c r="D317" s="8">
        <v>34.619999999999997</v>
      </c>
      <c r="E317" s="8">
        <v>34.630000000000003</v>
      </c>
      <c r="F317" s="8">
        <v>124757</v>
      </c>
      <c r="G317" s="9">
        <v>73528</v>
      </c>
      <c r="H317" s="16">
        <f t="shared" si="12"/>
        <v>2.8880866426007554E-4</v>
      </c>
      <c r="I317" s="6">
        <f t="shared" si="13"/>
        <v>1.2940795858945364E-2</v>
      </c>
      <c r="L317" s="11"/>
      <c r="M317" s="12"/>
    </row>
    <row r="318" spans="1:13" ht="15" customHeight="1" x14ac:dyDescent="0.2">
      <c r="A318" s="3">
        <v>45593</v>
      </c>
      <c r="B318" s="4">
        <v>33.85</v>
      </c>
      <c r="C318" s="4">
        <v>34.000999999999998</v>
      </c>
      <c r="D318" s="4">
        <v>33.840000000000003</v>
      </c>
      <c r="E318" s="4">
        <v>33.85</v>
      </c>
      <c r="F318" s="4">
        <v>125447</v>
      </c>
      <c r="G318" s="5">
        <v>61696</v>
      </c>
      <c r="H318" s="16">
        <f t="shared" si="12"/>
        <v>2.9546461811192233E-4</v>
      </c>
      <c r="I318" s="6">
        <f t="shared" si="13"/>
        <v>6.572130613694771E-3</v>
      </c>
      <c r="L318" s="11"/>
      <c r="M318" s="12"/>
    </row>
    <row r="319" spans="1:13" ht="15" customHeight="1" x14ac:dyDescent="0.2">
      <c r="A319" s="7">
        <v>45590</v>
      </c>
      <c r="B319" s="8">
        <v>33.880000000000003</v>
      </c>
      <c r="C319" s="8">
        <v>33.779000000000003</v>
      </c>
      <c r="D319" s="8">
        <v>33.880000000000003</v>
      </c>
      <c r="E319" s="8">
        <v>33.89</v>
      </c>
      <c r="F319" s="8">
        <v>126496</v>
      </c>
      <c r="G319" s="9">
        <v>67793</v>
      </c>
      <c r="H319" s="16">
        <f t="shared" si="12"/>
        <v>2.951158329643798E-4</v>
      </c>
      <c r="I319" s="6">
        <f t="shared" si="13"/>
        <v>-4.734428169846927E-4</v>
      </c>
      <c r="L319" s="11"/>
      <c r="M319" s="12"/>
    </row>
    <row r="320" spans="1:13" ht="15" customHeight="1" x14ac:dyDescent="0.2">
      <c r="A320" s="3">
        <v>45589</v>
      </c>
      <c r="B320" s="4">
        <v>33.86</v>
      </c>
      <c r="C320" s="4">
        <v>33.795000000000002</v>
      </c>
      <c r="D320" s="4">
        <v>33.85</v>
      </c>
      <c r="E320" s="4">
        <v>33.86</v>
      </c>
      <c r="F320" s="4">
        <v>127540</v>
      </c>
      <c r="G320" s="5">
        <v>76972</v>
      </c>
      <c r="H320" s="16">
        <f t="shared" si="12"/>
        <v>2.953773445576136E-4</v>
      </c>
      <c r="I320" s="6">
        <f t="shared" si="13"/>
        <v>-1.3002748308164058E-3</v>
      </c>
      <c r="L320" s="11"/>
      <c r="M320" s="12"/>
    </row>
    <row r="321" spans="1:13" ht="15" customHeight="1" x14ac:dyDescent="0.2">
      <c r="A321" s="7">
        <v>45588</v>
      </c>
      <c r="B321" s="8">
        <v>33.884999999999998</v>
      </c>
      <c r="C321" s="8">
        <v>33.838999999999999</v>
      </c>
      <c r="D321" s="8">
        <v>33.880000000000003</v>
      </c>
      <c r="E321" s="8">
        <v>33.89</v>
      </c>
      <c r="F321" s="8">
        <v>129586</v>
      </c>
      <c r="G321" s="9">
        <v>98601</v>
      </c>
      <c r="H321" s="16">
        <f t="shared" si="12"/>
        <v>2.951158329643798E-4</v>
      </c>
      <c r="I321" s="6">
        <f t="shared" si="13"/>
        <v>-3.4302674010444845E-2</v>
      </c>
      <c r="L321" s="11"/>
      <c r="M321" s="12"/>
    </row>
    <row r="322" spans="1:13" ht="15" customHeight="1" x14ac:dyDescent="0.2">
      <c r="A322" s="3">
        <v>45587</v>
      </c>
      <c r="B322" s="4">
        <v>35.06</v>
      </c>
      <c r="C322" s="4">
        <v>35.040999999999997</v>
      </c>
      <c r="D322" s="4">
        <v>35.049999999999997</v>
      </c>
      <c r="E322" s="4">
        <v>35.06</v>
      </c>
      <c r="F322" s="4">
        <v>126760</v>
      </c>
      <c r="G322" s="5">
        <v>82873</v>
      </c>
      <c r="H322" s="16">
        <f t="shared" si="12"/>
        <v>2.8526601055498831E-4</v>
      </c>
      <c r="I322" s="6">
        <f t="shared" si="13"/>
        <v>2.8258700627970867E-2</v>
      </c>
      <c r="L322" s="11"/>
      <c r="M322" s="12"/>
    </row>
    <row r="323" spans="1:13" ht="15" customHeight="1" x14ac:dyDescent="0.2">
      <c r="A323" s="7">
        <v>45586</v>
      </c>
      <c r="B323" s="8">
        <v>33.99</v>
      </c>
      <c r="C323" s="8">
        <v>34.078000000000003</v>
      </c>
      <c r="D323" s="8">
        <v>33.979999999999997</v>
      </c>
      <c r="E323" s="8">
        <v>33.99</v>
      </c>
      <c r="F323" s="8">
        <v>125651</v>
      </c>
      <c r="G323" s="9">
        <v>102387</v>
      </c>
      <c r="H323" s="16">
        <f t="shared" si="12"/>
        <v>2.9424746211578978E-4</v>
      </c>
      <c r="I323" s="6">
        <f t="shared" si="13"/>
        <v>2.5395679123788817E-2</v>
      </c>
      <c r="L323" s="11"/>
      <c r="M323" s="12"/>
    </row>
    <row r="324" spans="1:13" ht="15" customHeight="1" x14ac:dyDescent="0.2">
      <c r="A324" s="3">
        <v>45583</v>
      </c>
      <c r="B324" s="4">
        <v>33.924999999999997</v>
      </c>
      <c r="C324" s="4">
        <v>33.234000000000002</v>
      </c>
      <c r="D324" s="4">
        <v>33.914999999999999</v>
      </c>
      <c r="E324" s="4">
        <v>33.924999999999997</v>
      </c>
      <c r="F324" s="4">
        <v>116993</v>
      </c>
      <c r="G324" s="5">
        <v>100527</v>
      </c>
      <c r="H324" s="16">
        <f t="shared" si="12"/>
        <v>2.9481132075465831E-4</v>
      </c>
      <c r="I324" s="6">
        <f t="shared" si="13"/>
        <v>4.5949518474224238E-2</v>
      </c>
      <c r="L324" s="11"/>
      <c r="M324" s="12"/>
    </row>
    <row r="325" spans="1:13" ht="15" customHeight="1" x14ac:dyDescent="0.2">
      <c r="A325" s="7">
        <v>45582</v>
      </c>
      <c r="B325" s="8">
        <v>31.87</v>
      </c>
      <c r="C325" s="8">
        <v>31.774000000000001</v>
      </c>
      <c r="D325" s="8">
        <v>31.864999999999998</v>
      </c>
      <c r="E325" s="8">
        <v>31.875</v>
      </c>
      <c r="F325" s="8">
        <v>117674</v>
      </c>
      <c r="G325" s="9">
        <v>61404</v>
      </c>
      <c r="H325" s="16">
        <f t="shared" ref="H325:H388" si="14">(E325-D325)/AVERAGE(D325:E325)</f>
        <v>3.1377470975844257E-4</v>
      </c>
      <c r="I325" s="6">
        <f t="shared" ref="I325:I388" si="15">C325/C326-1</f>
        <v>-6.2550822543315787E-3</v>
      </c>
      <c r="L325" s="11"/>
      <c r="M325" s="12"/>
    </row>
    <row r="326" spans="1:13" ht="15" customHeight="1" x14ac:dyDescent="0.2">
      <c r="A326" s="3">
        <v>45581</v>
      </c>
      <c r="B326" s="4">
        <v>31.89</v>
      </c>
      <c r="C326" s="4">
        <v>31.974</v>
      </c>
      <c r="D326" s="4">
        <v>31.88</v>
      </c>
      <c r="E326" s="4">
        <v>31.89</v>
      </c>
      <c r="F326" s="4">
        <v>117647</v>
      </c>
      <c r="G326" s="5">
        <v>48800</v>
      </c>
      <c r="H326" s="16">
        <f t="shared" si="14"/>
        <v>3.136270973812628E-4</v>
      </c>
      <c r="I326" s="6">
        <f t="shared" si="15"/>
        <v>6.8648444388461627E-3</v>
      </c>
      <c r="L326" s="11"/>
      <c r="M326" s="12"/>
    </row>
    <row r="327" spans="1:13" ht="15" customHeight="1" x14ac:dyDescent="0.2">
      <c r="A327" s="7">
        <v>45580</v>
      </c>
      <c r="B327" s="8">
        <v>31.69</v>
      </c>
      <c r="C327" s="8">
        <v>31.756</v>
      </c>
      <c r="D327" s="8">
        <v>31.684999999999999</v>
      </c>
      <c r="E327" s="8">
        <v>31.695</v>
      </c>
      <c r="F327" s="8">
        <v>117496</v>
      </c>
      <c r="G327" s="9">
        <v>52284</v>
      </c>
      <c r="H327" s="16">
        <f t="shared" si="14"/>
        <v>3.1555695803097393E-4</v>
      </c>
      <c r="I327" s="6">
        <f t="shared" si="15"/>
        <v>1.4050325712096079E-2</v>
      </c>
      <c r="L327" s="11"/>
      <c r="M327" s="12"/>
    </row>
    <row r="328" spans="1:13" ht="15" customHeight="1" x14ac:dyDescent="0.2">
      <c r="A328" s="3">
        <v>45579</v>
      </c>
      <c r="B328" s="4">
        <v>31.4</v>
      </c>
      <c r="C328" s="4">
        <v>31.315999999999999</v>
      </c>
      <c r="D328" s="4">
        <v>31.39</v>
      </c>
      <c r="E328" s="4">
        <v>31.4</v>
      </c>
      <c r="F328" s="4">
        <v>117788</v>
      </c>
      <c r="G328" s="5">
        <v>43865</v>
      </c>
      <c r="H328" s="16">
        <f t="shared" si="14"/>
        <v>3.1852205765242907E-4</v>
      </c>
      <c r="I328" s="6">
        <f t="shared" si="15"/>
        <v>-1.3824594552039104E-2</v>
      </c>
      <c r="L328" s="11"/>
      <c r="M328" s="12"/>
    </row>
    <row r="329" spans="1:13" ht="15" customHeight="1" x14ac:dyDescent="0.2">
      <c r="A329" s="7">
        <v>45576</v>
      </c>
      <c r="B329" s="8">
        <v>31.74</v>
      </c>
      <c r="C329" s="8">
        <v>31.754999999999999</v>
      </c>
      <c r="D329" s="8">
        <v>31.734999999999999</v>
      </c>
      <c r="E329" s="8">
        <v>31.745000000000001</v>
      </c>
      <c r="F329" s="8">
        <v>117383</v>
      </c>
      <c r="G329" s="9">
        <v>43017</v>
      </c>
      <c r="H329" s="16">
        <f t="shared" si="14"/>
        <v>3.1505986137371023E-4</v>
      </c>
      <c r="I329" s="6">
        <f t="shared" si="15"/>
        <v>1.6485275288092183E-2</v>
      </c>
      <c r="L329" s="11"/>
      <c r="M329" s="12"/>
    </row>
    <row r="330" spans="1:13" ht="15" customHeight="1" x14ac:dyDescent="0.2">
      <c r="A330" s="3">
        <v>45575</v>
      </c>
      <c r="B330" s="4">
        <v>31.375</v>
      </c>
      <c r="C330" s="4">
        <v>31.24</v>
      </c>
      <c r="D330" s="4">
        <v>31.37</v>
      </c>
      <c r="E330" s="4">
        <v>31.38</v>
      </c>
      <c r="F330" s="4">
        <v>117696</v>
      </c>
      <c r="G330" s="5">
        <v>54611</v>
      </c>
      <c r="H330" s="16">
        <f t="shared" si="14"/>
        <v>3.1872509960153021E-4</v>
      </c>
      <c r="I330" s="6">
        <f t="shared" si="15"/>
        <v>1.8584936419954179E-2</v>
      </c>
      <c r="L330" s="11"/>
      <c r="M330" s="12"/>
    </row>
    <row r="331" spans="1:13" ht="15" customHeight="1" x14ac:dyDescent="0.2">
      <c r="A331" s="7">
        <v>45574</v>
      </c>
      <c r="B331" s="8">
        <v>30.73</v>
      </c>
      <c r="C331" s="8">
        <v>30.67</v>
      </c>
      <c r="D331" s="8">
        <v>30.72</v>
      </c>
      <c r="E331" s="8">
        <v>30.73</v>
      </c>
      <c r="F331" s="8">
        <v>120026</v>
      </c>
      <c r="G331" s="9">
        <v>51023</v>
      </c>
      <c r="H331" s="16">
        <f t="shared" si="14"/>
        <v>3.2546786004887106E-4</v>
      </c>
      <c r="I331" s="6">
        <f t="shared" si="15"/>
        <v>2.2875816993463971E-3</v>
      </c>
      <c r="L331" s="11"/>
      <c r="M331" s="12"/>
    </row>
    <row r="332" spans="1:13" ht="15" customHeight="1" x14ac:dyDescent="0.2">
      <c r="A332" s="3">
        <v>45573</v>
      </c>
      <c r="B332" s="4">
        <v>30.89</v>
      </c>
      <c r="C332" s="4">
        <v>30.6</v>
      </c>
      <c r="D332" s="4">
        <v>30.885000000000002</v>
      </c>
      <c r="E332" s="4">
        <v>30.895</v>
      </c>
      <c r="F332" s="4">
        <v>123667</v>
      </c>
      <c r="G332" s="5">
        <v>93341</v>
      </c>
      <c r="H332" s="16">
        <f t="shared" si="14"/>
        <v>3.2372936225309197E-4</v>
      </c>
      <c r="I332" s="6">
        <f t="shared" si="15"/>
        <v>-4.3869516310461099E-2</v>
      </c>
      <c r="L332" s="11"/>
      <c r="M332" s="12"/>
    </row>
    <row r="333" spans="1:13" ht="15" customHeight="1" x14ac:dyDescent="0.2">
      <c r="A333" s="7">
        <v>45572</v>
      </c>
      <c r="B333" s="8">
        <v>31.94</v>
      </c>
      <c r="C333" s="8">
        <v>32.003999999999998</v>
      </c>
      <c r="D333" s="8">
        <v>31.934999999999999</v>
      </c>
      <c r="E333" s="8">
        <v>31.945</v>
      </c>
      <c r="F333" s="8">
        <v>126061</v>
      </c>
      <c r="G333" s="9">
        <v>54410</v>
      </c>
      <c r="H333" s="16">
        <f t="shared" si="14"/>
        <v>3.1308703819666765E-4</v>
      </c>
      <c r="I333" s="6">
        <f t="shared" si="15"/>
        <v>-1.2039266530839088E-2</v>
      </c>
      <c r="L333" s="11"/>
      <c r="M333" s="12"/>
    </row>
    <row r="334" spans="1:13" ht="15" customHeight="1" x14ac:dyDescent="0.2">
      <c r="A334" s="3">
        <v>45569</v>
      </c>
      <c r="B334" s="4">
        <v>32.445</v>
      </c>
      <c r="C334" s="4">
        <v>32.393999999999998</v>
      </c>
      <c r="D334" s="4">
        <v>32.44</v>
      </c>
      <c r="E334" s="4">
        <v>32.450000000000003</v>
      </c>
      <c r="F334" s="4">
        <v>125784</v>
      </c>
      <c r="G334" s="5">
        <v>85593</v>
      </c>
      <c r="H334" s="16">
        <f t="shared" si="14"/>
        <v>3.0821390044706782E-4</v>
      </c>
      <c r="I334" s="6">
        <f t="shared" si="15"/>
        <v>-2.1562345983242581E-3</v>
      </c>
      <c r="L334" s="11"/>
      <c r="M334" s="12"/>
    </row>
    <row r="335" spans="1:13" ht="15" customHeight="1" x14ac:dyDescent="0.2">
      <c r="A335" s="7">
        <v>45568</v>
      </c>
      <c r="B335" s="8">
        <v>32.295000000000002</v>
      </c>
      <c r="C335" s="8">
        <v>32.463999999999999</v>
      </c>
      <c r="D335" s="8">
        <v>32.29</v>
      </c>
      <c r="E335" s="8">
        <v>32.299999999999997</v>
      </c>
      <c r="F335" s="8">
        <v>126224</v>
      </c>
      <c r="G335" s="9">
        <v>55702</v>
      </c>
      <c r="H335" s="16">
        <f t="shared" si="14"/>
        <v>3.0964545595287229E-4</v>
      </c>
      <c r="I335" s="6">
        <f t="shared" si="15"/>
        <v>1.7042606516290526E-2</v>
      </c>
      <c r="L335" s="11"/>
      <c r="M335" s="12"/>
    </row>
    <row r="336" spans="1:13" ht="15" customHeight="1" x14ac:dyDescent="0.2">
      <c r="A336" s="3">
        <v>45567</v>
      </c>
      <c r="B336" s="4">
        <v>32.115000000000002</v>
      </c>
      <c r="C336" s="4">
        <v>31.92</v>
      </c>
      <c r="D336" s="4">
        <v>32.11</v>
      </c>
      <c r="E336" s="4">
        <v>32.115000000000002</v>
      </c>
      <c r="F336" s="4">
        <v>125384</v>
      </c>
      <c r="G336" s="5">
        <v>69133</v>
      </c>
      <c r="H336" s="16">
        <f t="shared" si="14"/>
        <v>1.5570260801876399E-4</v>
      </c>
      <c r="I336" s="6">
        <f t="shared" si="15"/>
        <v>5.6077121794468887E-3</v>
      </c>
      <c r="L336" s="11"/>
      <c r="M336" s="12"/>
    </row>
    <row r="337" spans="1:13" ht="15" customHeight="1" x14ac:dyDescent="0.2">
      <c r="A337" s="7">
        <v>45566</v>
      </c>
      <c r="B337" s="8">
        <v>31.715</v>
      </c>
      <c r="C337" s="8">
        <v>31.742000000000001</v>
      </c>
      <c r="D337" s="8">
        <v>31.704999999999998</v>
      </c>
      <c r="E337" s="8">
        <v>31.715</v>
      </c>
      <c r="F337" s="8">
        <v>125561</v>
      </c>
      <c r="G337" s="9">
        <v>60171</v>
      </c>
      <c r="H337" s="16">
        <f t="shared" si="14"/>
        <v>3.1535793125202026E-4</v>
      </c>
      <c r="I337" s="6">
        <f t="shared" si="15"/>
        <v>9.027910229512548E-3</v>
      </c>
      <c r="L337" s="11"/>
      <c r="M337" s="12"/>
    </row>
    <row r="338" spans="1:13" ht="15" customHeight="1" x14ac:dyDescent="0.2">
      <c r="A338" s="3">
        <v>45565</v>
      </c>
      <c r="B338" s="4">
        <v>31.425000000000001</v>
      </c>
      <c r="C338" s="4">
        <v>31.457999999999998</v>
      </c>
      <c r="D338" s="4">
        <v>31.425000000000001</v>
      </c>
      <c r="E338" s="4">
        <v>31.434999999999999</v>
      </c>
      <c r="F338" s="4">
        <v>126892</v>
      </c>
      <c r="G338" s="5">
        <v>56238</v>
      </c>
      <c r="H338" s="16">
        <f t="shared" si="14"/>
        <v>3.1816735602920807E-4</v>
      </c>
      <c r="I338" s="6">
        <f t="shared" si="15"/>
        <v>-1.1252200150867475E-2</v>
      </c>
      <c r="L338" s="11"/>
      <c r="M338" s="12"/>
    </row>
    <row r="339" spans="1:13" ht="15" customHeight="1" x14ac:dyDescent="0.2">
      <c r="A339" s="7">
        <v>45562</v>
      </c>
      <c r="B339" s="8">
        <v>31.914999999999999</v>
      </c>
      <c r="C339" s="8">
        <v>31.815999999999999</v>
      </c>
      <c r="D339" s="8">
        <v>31.91</v>
      </c>
      <c r="E339" s="8">
        <v>31.92</v>
      </c>
      <c r="F339" s="8">
        <v>127078</v>
      </c>
      <c r="G339" s="9">
        <v>73451</v>
      </c>
      <c r="H339" s="16">
        <f t="shared" si="14"/>
        <v>3.1333228889241936E-4</v>
      </c>
      <c r="I339" s="6">
        <f t="shared" si="15"/>
        <v>-1.6233264277542458E-2</v>
      </c>
      <c r="L339" s="11"/>
      <c r="M339" s="12"/>
    </row>
    <row r="340" spans="1:13" ht="15" customHeight="1" x14ac:dyDescent="0.2">
      <c r="A340" s="3">
        <v>45561</v>
      </c>
      <c r="B340" s="4">
        <v>32.31</v>
      </c>
      <c r="C340" s="4">
        <v>32.341000000000001</v>
      </c>
      <c r="D340" s="4">
        <v>32.305</v>
      </c>
      <c r="E340" s="4">
        <v>32.314999999999998</v>
      </c>
      <c r="F340" s="4">
        <v>127444</v>
      </c>
      <c r="G340" s="5">
        <v>90777</v>
      </c>
      <c r="H340" s="16">
        <f t="shared" si="14"/>
        <v>3.0950170225930084E-4</v>
      </c>
      <c r="I340" s="6">
        <f t="shared" si="15"/>
        <v>1.008807545755519E-2</v>
      </c>
      <c r="L340" s="11"/>
      <c r="M340" s="12"/>
    </row>
    <row r="341" spans="1:13" ht="15" customHeight="1" x14ac:dyDescent="0.2">
      <c r="A341" s="7">
        <v>45560</v>
      </c>
      <c r="B341" s="8">
        <v>32.125</v>
      </c>
      <c r="C341" s="8">
        <v>32.018000000000001</v>
      </c>
      <c r="D341" s="8">
        <v>32.115000000000002</v>
      </c>
      <c r="E341" s="8">
        <v>32.134999999999998</v>
      </c>
      <c r="F341" s="8">
        <v>130947</v>
      </c>
      <c r="G341" s="9">
        <v>84038</v>
      </c>
      <c r="H341" s="16">
        <f t="shared" si="14"/>
        <v>6.2256809338509013E-4</v>
      </c>
      <c r="I341" s="6">
        <f t="shared" si="15"/>
        <v>-1.2704286154794908E-2</v>
      </c>
      <c r="L341" s="11"/>
      <c r="M341" s="12"/>
    </row>
    <row r="342" spans="1:13" ht="15" customHeight="1" x14ac:dyDescent="0.2">
      <c r="A342" s="3">
        <v>45559</v>
      </c>
      <c r="B342" s="4">
        <v>32.43</v>
      </c>
      <c r="C342" s="4">
        <v>32.43</v>
      </c>
      <c r="D342" s="4">
        <v>32.424999999999997</v>
      </c>
      <c r="E342" s="4">
        <v>32.435000000000002</v>
      </c>
      <c r="F342" s="4">
        <v>126078</v>
      </c>
      <c r="G342" s="5">
        <v>110550</v>
      </c>
      <c r="H342" s="16">
        <f t="shared" si="14"/>
        <v>3.0835646006799615E-4</v>
      </c>
      <c r="I342" s="6">
        <f t="shared" si="15"/>
        <v>4.326845745536434E-2</v>
      </c>
      <c r="L342" s="11"/>
      <c r="M342" s="12"/>
    </row>
    <row r="343" spans="1:13" ht="15" customHeight="1" x14ac:dyDescent="0.2">
      <c r="A343" s="7">
        <v>45558</v>
      </c>
      <c r="B343" s="8">
        <v>31.01</v>
      </c>
      <c r="C343" s="8">
        <v>31.085000000000001</v>
      </c>
      <c r="D343" s="8">
        <v>31.01</v>
      </c>
      <c r="E343" s="8">
        <v>31.02</v>
      </c>
      <c r="F343" s="8">
        <v>125094</v>
      </c>
      <c r="G343" s="9">
        <v>60524</v>
      </c>
      <c r="H343" s="16">
        <f t="shared" si="14"/>
        <v>3.2242463324191553E-4</v>
      </c>
      <c r="I343" s="6">
        <f t="shared" si="15"/>
        <v>-1.3331217267100404E-2</v>
      </c>
      <c r="L343" s="11"/>
      <c r="M343" s="12"/>
    </row>
    <row r="344" spans="1:13" ht="15" customHeight="1" x14ac:dyDescent="0.2">
      <c r="A344" s="3">
        <v>45555</v>
      </c>
      <c r="B344" s="4">
        <v>31.495000000000001</v>
      </c>
      <c r="C344" s="4">
        <v>31.504999999999999</v>
      </c>
      <c r="D344" s="4">
        <v>31.484999999999999</v>
      </c>
      <c r="E344" s="4">
        <v>31.495000000000001</v>
      </c>
      <c r="F344" s="4">
        <v>122861</v>
      </c>
      <c r="G344" s="5">
        <v>74064</v>
      </c>
      <c r="H344" s="16">
        <f t="shared" si="14"/>
        <v>3.1756113051767426E-4</v>
      </c>
      <c r="I344" s="6">
        <f t="shared" si="15"/>
        <v>2.6095535117589552E-3</v>
      </c>
      <c r="L344" s="11"/>
      <c r="M344" s="12"/>
    </row>
    <row r="345" spans="1:13" ht="15" customHeight="1" x14ac:dyDescent="0.2">
      <c r="A345" s="7">
        <v>45554</v>
      </c>
      <c r="B345" s="8">
        <v>31.105</v>
      </c>
      <c r="C345" s="8">
        <v>31.422999999999998</v>
      </c>
      <c r="D345" s="8">
        <v>31.1</v>
      </c>
      <c r="E345" s="8">
        <v>31.11</v>
      </c>
      <c r="F345" s="8">
        <v>123435</v>
      </c>
      <c r="G345" s="9">
        <v>74857</v>
      </c>
      <c r="H345" s="16">
        <f t="shared" si="14"/>
        <v>3.2149172158810516E-4</v>
      </c>
      <c r="I345" s="6">
        <f t="shared" si="15"/>
        <v>2.3984097500570289E-2</v>
      </c>
      <c r="L345" s="11"/>
      <c r="M345" s="12"/>
    </row>
    <row r="346" spans="1:13" ht="15" customHeight="1" x14ac:dyDescent="0.2">
      <c r="A346" s="3">
        <v>45553</v>
      </c>
      <c r="B346" s="4">
        <v>30.41</v>
      </c>
      <c r="C346" s="4">
        <v>30.687000000000001</v>
      </c>
      <c r="D346" s="4">
        <v>30.4</v>
      </c>
      <c r="E346" s="4">
        <v>30.41</v>
      </c>
      <c r="F346" s="4">
        <v>123007</v>
      </c>
      <c r="G346" s="5">
        <v>83309</v>
      </c>
      <c r="H346" s="16">
        <f t="shared" si="14"/>
        <v>3.2889327413259539E-4</v>
      </c>
      <c r="I346" s="6">
        <f t="shared" si="15"/>
        <v>-9.4257400174311279E-3</v>
      </c>
      <c r="L346" s="11"/>
      <c r="M346" s="12"/>
    </row>
    <row r="347" spans="1:13" ht="15" customHeight="1" x14ac:dyDescent="0.2">
      <c r="A347" s="7">
        <v>45552</v>
      </c>
      <c r="B347" s="8">
        <v>31.05</v>
      </c>
      <c r="C347" s="8">
        <v>30.978999999999999</v>
      </c>
      <c r="D347" s="8">
        <v>31.045000000000002</v>
      </c>
      <c r="E347" s="8">
        <v>31.055</v>
      </c>
      <c r="F347" s="8">
        <v>121897</v>
      </c>
      <c r="G347" s="9">
        <v>46661</v>
      </c>
      <c r="H347" s="16">
        <f t="shared" si="14"/>
        <v>3.2206119162634495E-4</v>
      </c>
      <c r="I347" s="6">
        <f t="shared" si="15"/>
        <v>-5.0104384133612401E-3</v>
      </c>
      <c r="L347" s="11"/>
      <c r="M347" s="12"/>
    </row>
    <row r="348" spans="1:13" ht="15" customHeight="1" x14ac:dyDescent="0.2">
      <c r="A348" s="3">
        <v>45551</v>
      </c>
      <c r="B348" s="4">
        <v>31.08</v>
      </c>
      <c r="C348" s="4">
        <v>31.135000000000002</v>
      </c>
      <c r="D348" s="4">
        <v>31.074999999999999</v>
      </c>
      <c r="E348" s="4">
        <v>31.085000000000001</v>
      </c>
      <c r="F348" s="4">
        <v>120295</v>
      </c>
      <c r="G348" s="5">
        <v>48623</v>
      </c>
      <c r="H348" s="16">
        <f t="shared" si="14"/>
        <v>3.2175032175037205E-4</v>
      </c>
      <c r="I348" s="6">
        <f t="shared" si="15"/>
        <v>1.9630559310033213E-3</v>
      </c>
      <c r="L348" s="11"/>
      <c r="M348" s="12"/>
    </row>
    <row r="349" spans="1:13" ht="15" customHeight="1" x14ac:dyDescent="0.2">
      <c r="A349" s="7">
        <v>45548</v>
      </c>
      <c r="B349" s="8">
        <v>31.065000000000001</v>
      </c>
      <c r="C349" s="8">
        <v>31.074000000000002</v>
      </c>
      <c r="D349" s="8">
        <v>31.06</v>
      </c>
      <c r="E349" s="8">
        <v>31.07</v>
      </c>
      <c r="F349" s="8">
        <v>115841</v>
      </c>
      <c r="G349" s="9">
        <v>78971</v>
      </c>
      <c r="H349" s="16">
        <f t="shared" si="14"/>
        <v>3.2190568163533123E-4</v>
      </c>
      <c r="I349" s="6">
        <f t="shared" si="15"/>
        <v>3.2118776364300716E-2</v>
      </c>
      <c r="L349" s="11"/>
      <c r="M349" s="12"/>
    </row>
    <row r="350" spans="1:13" ht="15" customHeight="1" x14ac:dyDescent="0.2">
      <c r="A350" s="3">
        <v>45547</v>
      </c>
      <c r="B350" s="4">
        <v>30.215</v>
      </c>
      <c r="C350" s="4">
        <v>30.106999999999999</v>
      </c>
      <c r="D350" s="4">
        <v>30.204999999999998</v>
      </c>
      <c r="E350" s="4">
        <v>30.215</v>
      </c>
      <c r="F350" s="4">
        <v>114411</v>
      </c>
      <c r="G350" s="5">
        <v>76240</v>
      </c>
      <c r="H350" s="16">
        <f t="shared" si="14"/>
        <v>3.3101621979482167E-4</v>
      </c>
      <c r="I350" s="6">
        <f t="shared" si="15"/>
        <v>4.0756360619468968E-2</v>
      </c>
      <c r="L350" s="11"/>
      <c r="M350" s="12"/>
    </row>
    <row r="351" spans="1:13" ht="15" customHeight="1" x14ac:dyDescent="0.2">
      <c r="A351" s="7">
        <v>45546</v>
      </c>
      <c r="B351" s="8">
        <v>29.004999999999999</v>
      </c>
      <c r="C351" s="8">
        <v>28.928000000000001</v>
      </c>
      <c r="D351" s="8">
        <v>29</v>
      </c>
      <c r="E351" s="8">
        <v>29.01</v>
      </c>
      <c r="F351" s="8">
        <v>113376</v>
      </c>
      <c r="G351" s="9">
        <v>68981</v>
      </c>
      <c r="H351" s="16">
        <f t="shared" si="14"/>
        <v>3.4476814342360152E-4</v>
      </c>
      <c r="I351" s="6">
        <f t="shared" si="15"/>
        <v>1.0973649262598695E-2</v>
      </c>
      <c r="L351" s="11"/>
      <c r="M351" s="12"/>
    </row>
    <row r="352" spans="1:13" ht="15" customHeight="1" x14ac:dyDescent="0.2">
      <c r="A352" s="3">
        <v>45545</v>
      </c>
      <c r="B352" s="4">
        <v>28.725000000000001</v>
      </c>
      <c r="C352" s="4">
        <v>28.614000000000001</v>
      </c>
      <c r="D352" s="4">
        <v>28.72</v>
      </c>
      <c r="E352" s="4">
        <v>28.73</v>
      </c>
      <c r="F352" s="4">
        <v>113333</v>
      </c>
      <c r="G352" s="5">
        <v>45799</v>
      </c>
      <c r="H352" s="16">
        <f t="shared" si="14"/>
        <v>3.4812880765888819E-4</v>
      </c>
      <c r="I352" s="6">
        <f t="shared" si="15"/>
        <v>-1.2914034414156506E-3</v>
      </c>
      <c r="L352" s="11"/>
      <c r="M352" s="12"/>
    </row>
    <row r="353" spans="1:13" ht="15" customHeight="1" x14ac:dyDescent="0.2">
      <c r="A353" s="7">
        <v>45544</v>
      </c>
      <c r="B353" s="8">
        <v>28.695</v>
      </c>
      <c r="C353" s="8">
        <v>28.651</v>
      </c>
      <c r="D353" s="8">
        <v>28.695</v>
      </c>
      <c r="E353" s="8">
        <v>28.704999999999998</v>
      </c>
      <c r="F353" s="8">
        <v>114585</v>
      </c>
      <c r="G353" s="9">
        <v>47153</v>
      </c>
      <c r="H353" s="16">
        <f t="shared" si="14"/>
        <v>3.4843205574905958E-4</v>
      </c>
      <c r="I353" s="6">
        <f t="shared" si="15"/>
        <v>1.6605755242522058E-2</v>
      </c>
      <c r="L353" s="11"/>
      <c r="M353" s="12"/>
    </row>
    <row r="354" spans="1:13" ht="15" customHeight="1" x14ac:dyDescent="0.2">
      <c r="A354" s="3">
        <v>45541</v>
      </c>
      <c r="B354" s="4">
        <v>28.27</v>
      </c>
      <c r="C354" s="4">
        <v>28.183</v>
      </c>
      <c r="D354" s="4">
        <v>28.26</v>
      </c>
      <c r="E354" s="4">
        <v>28.27</v>
      </c>
      <c r="F354" s="4">
        <v>114125</v>
      </c>
      <c r="G354" s="5">
        <v>85975</v>
      </c>
      <c r="H354" s="16">
        <f t="shared" si="14"/>
        <v>3.5379444542713641E-4</v>
      </c>
      <c r="I354" s="6">
        <f t="shared" si="15"/>
        <v>-3.1478744974054118E-2</v>
      </c>
      <c r="L354" s="11"/>
      <c r="M354" s="12"/>
    </row>
    <row r="355" spans="1:13" ht="15" customHeight="1" x14ac:dyDescent="0.2">
      <c r="A355" s="7">
        <v>45540</v>
      </c>
      <c r="B355" s="8">
        <v>29.164999999999999</v>
      </c>
      <c r="C355" s="8">
        <v>29.099</v>
      </c>
      <c r="D355" s="8">
        <v>29.164999999999999</v>
      </c>
      <c r="E355" s="8">
        <v>29.175000000000001</v>
      </c>
      <c r="F355" s="8">
        <v>116167</v>
      </c>
      <c r="G355" s="9">
        <v>60451</v>
      </c>
      <c r="H355" s="16">
        <f t="shared" si="14"/>
        <v>3.4281796366134943E-4</v>
      </c>
      <c r="I355" s="6">
        <f t="shared" si="15"/>
        <v>1.8979584690268725E-2</v>
      </c>
      <c r="L355" s="11"/>
      <c r="M355" s="12"/>
    </row>
    <row r="356" spans="1:13" ht="15" customHeight="1" x14ac:dyDescent="0.2">
      <c r="A356" s="3">
        <v>45539</v>
      </c>
      <c r="B356" s="4">
        <v>28.62</v>
      </c>
      <c r="C356" s="4">
        <v>28.556999999999999</v>
      </c>
      <c r="D356" s="4">
        <v>28.614999999999998</v>
      </c>
      <c r="E356" s="4">
        <v>28.625</v>
      </c>
      <c r="F356" s="4">
        <v>116894</v>
      </c>
      <c r="G356" s="5">
        <v>46136</v>
      </c>
      <c r="H356" s="16">
        <f t="shared" si="14"/>
        <v>3.494060097834229E-4</v>
      </c>
      <c r="I356" s="6">
        <f t="shared" si="15"/>
        <v>7.5148179508890411E-3</v>
      </c>
      <c r="L356" s="11"/>
      <c r="M356" s="12"/>
    </row>
    <row r="357" spans="1:13" ht="15" customHeight="1" x14ac:dyDescent="0.2">
      <c r="A357" s="7">
        <v>45538</v>
      </c>
      <c r="B357" s="8">
        <v>28.4</v>
      </c>
      <c r="C357" s="8">
        <v>28.344000000000001</v>
      </c>
      <c r="D357" s="8">
        <v>28.395</v>
      </c>
      <c r="E357" s="8">
        <v>28.405000000000001</v>
      </c>
      <c r="F357" s="8">
        <v>117830</v>
      </c>
      <c r="G357" s="9">
        <v>89402</v>
      </c>
      <c r="H357" s="16">
        <f t="shared" si="14"/>
        <v>3.5211267605639307E-4</v>
      </c>
      <c r="I357" s="6">
        <f t="shared" si="15"/>
        <v>-2.7416532271900662E-2</v>
      </c>
      <c r="L357" s="11"/>
      <c r="M357" s="12"/>
    </row>
    <row r="358" spans="1:13" ht="15" customHeight="1" x14ac:dyDescent="0.2">
      <c r="A358" s="3">
        <v>45534</v>
      </c>
      <c r="B358" s="4">
        <v>29.245000000000001</v>
      </c>
      <c r="C358" s="4">
        <v>29.143000000000001</v>
      </c>
      <c r="D358" s="4">
        <v>29.24</v>
      </c>
      <c r="E358" s="4">
        <v>29.25</v>
      </c>
      <c r="F358" s="4">
        <v>117082</v>
      </c>
      <c r="G358" s="5">
        <v>58194</v>
      </c>
      <c r="H358" s="16">
        <f t="shared" si="14"/>
        <v>3.4193879295611436E-4</v>
      </c>
      <c r="I358" s="6">
        <f t="shared" si="15"/>
        <v>-2.8210343792724024E-2</v>
      </c>
      <c r="L358" s="11"/>
      <c r="M358" s="12"/>
    </row>
    <row r="359" spans="1:13" ht="15" customHeight="1" x14ac:dyDescent="0.2">
      <c r="A359" s="7">
        <v>45533</v>
      </c>
      <c r="B359" s="8">
        <v>29.835000000000001</v>
      </c>
      <c r="C359" s="8">
        <v>29.989000000000001</v>
      </c>
      <c r="D359" s="8">
        <v>29.835000000000001</v>
      </c>
      <c r="E359" s="8">
        <v>29.844999999999999</v>
      </c>
      <c r="F359" s="8">
        <v>115351</v>
      </c>
      <c r="G359" s="9">
        <v>69348</v>
      </c>
      <c r="H359" s="16">
        <f t="shared" si="14"/>
        <v>3.3512064343156872E-4</v>
      </c>
      <c r="I359" s="6">
        <f t="shared" si="15"/>
        <v>2.698537721310923E-2</v>
      </c>
      <c r="L359" s="11"/>
      <c r="M359" s="12"/>
    </row>
    <row r="360" spans="1:13" ht="15" customHeight="1" x14ac:dyDescent="0.2">
      <c r="A360" s="3">
        <v>45532</v>
      </c>
      <c r="B360" s="4">
        <v>29.125</v>
      </c>
      <c r="C360" s="4">
        <v>29.201000000000001</v>
      </c>
      <c r="D360" s="4">
        <v>29.094999999999999</v>
      </c>
      <c r="E360" s="4">
        <v>29.92</v>
      </c>
      <c r="F360" s="4">
        <v>19652</v>
      </c>
      <c r="G360" s="5">
        <v>42183</v>
      </c>
      <c r="H360" s="16">
        <f t="shared" si="14"/>
        <v>2.7958993476234952E-2</v>
      </c>
      <c r="I360" s="6">
        <f t="shared" si="15"/>
        <v>-2.5983989326217483E-2</v>
      </c>
      <c r="L360" s="11"/>
      <c r="M360" s="12"/>
    </row>
    <row r="361" spans="1:13" ht="15" customHeight="1" x14ac:dyDescent="0.2">
      <c r="A361" s="7">
        <v>45531</v>
      </c>
      <c r="B361" s="8">
        <v>29.984999999999999</v>
      </c>
      <c r="C361" s="8">
        <v>29.98</v>
      </c>
      <c r="D361" s="8">
        <v>29.975000000000001</v>
      </c>
      <c r="E361" s="8">
        <v>29.99</v>
      </c>
      <c r="F361" s="8">
        <v>29625</v>
      </c>
      <c r="G361" s="9">
        <v>48411</v>
      </c>
      <c r="H361" s="16">
        <f t="shared" si="14"/>
        <v>5.0029183690476157E-4</v>
      </c>
      <c r="I361" s="6">
        <f t="shared" si="15"/>
        <v>-8.9979004898865789E-4</v>
      </c>
      <c r="L361" s="11"/>
      <c r="M361" s="12"/>
    </row>
    <row r="362" spans="1:13" ht="15" customHeight="1" x14ac:dyDescent="0.2">
      <c r="A362" s="3">
        <v>45530</v>
      </c>
      <c r="B362" s="4">
        <v>29.91</v>
      </c>
      <c r="C362" s="4">
        <v>30.007000000000001</v>
      </c>
      <c r="D362" s="4">
        <v>29.905000000000001</v>
      </c>
      <c r="E362" s="4">
        <v>29.91</v>
      </c>
      <c r="F362" s="4">
        <v>36423</v>
      </c>
      <c r="G362" s="5">
        <v>53243</v>
      </c>
      <c r="H362" s="16">
        <f t="shared" si="14"/>
        <v>1.671821449468864E-4</v>
      </c>
      <c r="I362" s="6">
        <f t="shared" si="15"/>
        <v>6.2709590878604615E-3</v>
      </c>
      <c r="L362" s="11"/>
      <c r="M362" s="12"/>
    </row>
    <row r="363" spans="1:13" ht="15" customHeight="1" x14ac:dyDescent="0.2">
      <c r="A363" s="7">
        <v>45527</v>
      </c>
      <c r="B363" s="8">
        <v>29.864999999999998</v>
      </c>
      <c r="C363" s="8">
        <v>29.82</v>
      </c>
      <c r="D363" s="8">
        <v>29.86</v>
      </c>
      <c r="E363" s="8">
        <v>29.87</v>
      </c>
      <c r="F363" s="8">
        <v>40820</v>
      </c>
      <c r="G363" s="9">
        <v>71307</v>
      </c>
      <c r="H363" s="16">
        <f t="shared" si="14"/>
        <v>3.3484011384569105E-4</v>
      </c>
      <c r="I363" s="6">
        <f t="shared" si="15"/>
        <v>2.6612042551726445E-2</v>
      </c>
      <c r="L363" s="11"/>
      <c r="M363" s="12"/>
    </row>
    <row r="364" spans="1:13" ht="15" customHeight="1" x14ac:dyDescent="0.2">
      <c r="A364" s="3">
        <v>45526</v>
      </c>
      <c r="B364" s="4">
        <v>28.995000000000001</v>
      </c>
      <c r="C364" s="4">
        <v>29.047000000000001</v>
      </c>
      <c r="D364" s="4">
        <v>28.99</v>
      </c>
      <c r="E364" s="4">
        <v>29</v>
      </c>
      <c r="F364" s="4">
        <v>47551</v>
      </c>
      <c r="G364" s="5">
        <v>75388</v>
      </c>
      <c r="H364" s="16">
        <f t="shared" si="14"/>
        <v>3.4488704949134553E-4</v>
      </c>
      <c r="I364" s="6">
        <f t="shared" si="15"/>
        <v>-1.6522769595395226E-2</v>
      </c>
      <c r="L364" s="11"/>
      <c r="M364" s="12"/>
    </row>
    <row r="365" spans="1:13" ht="15" customHeight="1" x14ac:dyDescent="0.2">
      <c r="A365" s="7">
        <v>45525</v>
      </c>
      <c r="B365" s="8">
        <v>29.635000000000002</v>
      </c>
      <c r="C365" s="8">
        <v>29.535</v>
      </c>
      <c r="D365" s="8">
        <v>29.635000000000002</v>
      </c>
      <c r="E365" s="8">
        <v>29.64</v>
      </c>
      <c r="F365" s="8">
        <v>51207</v>
      </c>
      <c r="G365" s="9">
        <v>51259</v>
      </c>
      <c r="H365" s="16">
        <f t="shared" si="14"/>
        <v>1.6870518768448772E-4</v>
      </c>
      <c r="I365" s="6">
        <f t="shared" si="15"/>
        <v>5.4202378129342144E-4</v>
      </c>
      <c r="L365" s="11"/>
      <c r="M365" s="12"/>
    </row>
    <row r="366" spans="1:13" ht="15" customHeight="1" x14ac:dyDescent="0.2">
      <c r="A366" s="3">
        <v>45524</v>
      </c>
      <c r="B366" s="4">
        <v>29.47</v>
      </c>
      <c r="C366" s="4">
        <v>29.518999999999998</v>
      </c>
      <c r="D366" s="4">
        <v>29.47</v>
      </c>
      <c r="E366" s="4">
        <v>29.48</v>
      </c>
      <c r="F366" s="4">
        <v>56588</v>
      </c>
      <c r="G366" s="5">
        <v>74438</v>
      </c>
      <c r="H366" s="16">
        <f t="shared" si="14"/>
        <v>3.3927056827825488E-4</v>
      </c>
      <c r="I366" s="6">
        <f t="shared" si="15"/>
        <v>7.3368823368822333E-3</v>
      </c>
      <c r="L366" s="11"/>
      <c r="M366" s="12"/>
    </row>
    <row r="367" spans="1:13" ht="15" customHeight="1" x14ac:dyDescent="0.2">
      <c r="A367" s="7">
        <v>45523</v>
      </c>
      <c r="B367" s="8">
        <v>29.495000000000001</v>
      </c>
      <c r="C367" s="8">
        <v>29.303999999999998</v>
      </c>
      <c r="D367" s="8">
        <v>29.495000000000001</v>
      </c>
      <c r="E367" s="8">
        <v>29.504999999999999</v>
      </c>
      <c r="F367" s="8">
        <v>59913</v>
      </c>
      <c r="G367" s="9">
        <v>63753</v>
      </c>
      <c r="H367" s="16">
        <f t="shared" si="14"/>
        <v>3.3898305084739021E-4</v>
      </c>
      <c r="I367" s="6">
        <f t="shared" si="15"/>
        <v>1.5771777184651059E-2</v>
      </c>
      <c r="L367" s="11"/>
      <c r="M367" s="12"/>
    </row>
    <row r="368" spans="1:13" ht="15" customHeight="1" x14ac:dyDescent="0.2">
      <c r="A368" s="3">
        <v>45520</v>
      </c>
      <c r="B368" s="4">
        <v>29.085000000000001</v>
      </c>
      <c r="C368" s="4">
        <v>28.849</v>
      </c>
      <c r="D368" s="4">
        <v>29.074999999999999</v>
      </c>
      <c r="E368" s="4">
        <v>29.085000000000001</v>
      </c>
      <c r="F368" s="4">
        <v>61698</v>
      </c>
      <c r="G368" s="5">
        <v>61533</v>
      </c>
      <c r="H368" s="16">
        <f t="shared" si="14"/>
        <v>3.4387895460803177E-4</v>
      </c>
      <c r="I368" s="6">
        <f t="shared" si="15"/>
        <v>1.5166443803223295E-2</v>
      </c>
      <c r="L368" s="11"/>
      <c r="M368" s="12"/>
    </row>
    <row r="369" spans="1:13" ht="15" customHeight="1" x14ac:dyDescent="0.2">
      <c r="A369" s="7">
        <v>45519</v>
      </c>
      <c r="B369" s="8">
        <v>28.42</v>
      </c>
      <c r="C369" s="8">
        <v>28.417999999999999</v>
      </c>
      <c r="D369" s="8">
        <v>28.414999999999999</v>
      </c>
      <c r="E369" s="8">
        <v>28.425000000000001</v>
      </c>
      <c r="F369" s="8">
        <v>64211</v>
      </c>
      <c r="G369" s="9">
        <v>85058</v>
      </c>
      <c r="H369" s="16">
        <f t="shared" si="14"/>
        <v>3.5186488388464328E-4</v>
      </c>
      <c r="I369" s="6">
        <f t="shared" si="15"/>
        <v>3.9467427484545903E-2</v>
      </c>
      <c r="L369" s="11"/>
      <c r="M369" s="12"/>
    </row>
    <row r="370" spans="1:13" ht="15" customHeight="1" x14ac:dyDescent="0.2">
      <c r="A370" s="3">
        <v>45518</v>
      </c>
      <c r="B370" s="4">
        <v>27.61</v>
      </c>
      <c r="C370" s="4">
        <v>27.338999999999999</v>
      </c>
      <c r="D370" s="4">
        <v>27.61</v>
      </c>
      <c r="E370" s="4">
        <v>27.614999999999998</v>
      </c>
      <c r="F370" s="4">
        <v>66500</v>
      </c>
      <c r="G370" s="5">
        <v>64492.999999999898</v>
      </c>
      <c r="H370" s="16">
        <f t="shared" si="14"/>
        <v>1.8107741059299252E-4</v>
      </c>
      <c r="I370" s="6">
        <f t="shared" si="15"/>
        <v>-1.6087238177499574E-2</v>
      </c>
      <c r="L370" s="11"/>
      <c r="M370" s="12"/>
    </row>
    <row r="371" spans="1:13" ht="15" customHeight="1" x14ac:dyDescent="0.2">
      <c r="A371" s="7">
        <v>45517</v>
      </c>
      <c r="B371" s="8">
        <v>27.91</v>
      </c>
      <c r="C371" s="8">
        <v>27.786000000000001</v>
      </c>
      <c r="D371" s="8">
        <v>27.905000000000001</v>
      </c>
      <c r="E371" s="8">
        <v>27.914999999999999</v>
      </c>
      <c r="F371" s="8">
        <v>71453</v>
      </c>
      <c r="G371" s="9">
        <v>55178</v>
      </c>
      <c r="H371" s="16">
        <f t="shared" si="14"/>
        <v>3.582945180938019E-4</v>
      </c>
      <c r="I371" s="6">
        <f t="shared" si="15"/>
        <v>-7.9263067694943512E-3</v>
      </c>
      <c r="L371" s="11"/>
      <c r="M371" s="12"/>
    </row>
    <row r="372" spans="1:13" ht="15" customHeight="1" x14ac:dyDescent="0.2">
      <c r="A372" s="3">
        <v>45516</v>
      </c>
      <c r="B372" s="4">
        <v>28.05</v>
      </c>
      <c r="C372" s="4">
        <v>28.007999999999999</v>
      </c>
      <c r="D372" s="4">
        <v>28.04</v>
      </c>
      <c r="E372" s="4">
        <v>28.05</v>
      </c>
      <c r="F372" s="4">
        <v>76788</v>
      </c>
      <c r="G372" s="5">
        <v>61104</v>
      </c>
      <c r="H372" s="16">
        <f t="shared" si="14"/>
        <v>3.5656979853811952E-4</v>
      </c>
      <c r="I372" s="6">
        <f t="shared" si="15"/>
        <v>1.5224010439321312E-2</v>
      </c>
      <c r="L372" s="11"/>
      <c r="M372" s="12"/>
    </row>
    <row r="373" spans="1:13" ht="15" customHeight="1" x14ac:dyDescent="0.2">
      <c r="A373" s="7">
        <v>45513</v>
      </c>
      <c r="B373" s="8">
        <v>27.54</v>
      </c>
      <c r="C373" s="8">
        <v>27.588000000000001</v>
      </c>
      <c r="D373" s="8">
        <v>27.53</v>
      </c>
      <c r="E373" s="8">
        <v>27.54</v>
      </c>
      <c r="F373" s="8">
        <v>82338</v>
      </c>
      <c r="G373" s="9">
        <v>58718</v>
      </c>
      <c r="H373" s="16">
        <f t="shared" si="14"/>
        <v>3.6317414200101724E-4</v>
      </c>
      <c r="I373" s="6">
        <f t="shared" si="15"/>
        <v>-6.5203216692022448E-4</v>
      </c>
      <c r="L373" s="11"/>
      <c r="M373" s="12"/>
    </row>
    <row r="374" spans="1:13" ht="15" customHeight="1" x14ac:dyDescent="0.2">
      <c r="A374" s="3">
        <v>45512</v>
      </c>
      <c r="B374" s="4">
        <v>27.625</v>
      </c>
      <c r="C374" s="4">
        <v>27.606000000000002</v>
      </c>
      <c r="D374" s="4">
        <v>27.62</v>
      </c>
      <c r="E374" s="4">
        <v>27.635000000000002</v>
      </c>
      <c r="F374" s="4">
        <v>88706</v>
      </c>
      <c r="G374" s="5">
        <v>68548</v>
      </c>
      <c r="H374" s="16">
        <f t="shared" si="14"/>
        <v>5.4293729074293977E-4</v>
      </c>
      <c r="I374" s="6">
        <f t="shared" si="15"/>
        <v>2.456947743467941E-2</v>
      </c>
      <c r="L374" s="11"/>
      <c r="M374" s="12"/>
    </row>
    <row r="375" spans="1:13" ht="15" customHeight="1" x14ac:dyDescent="0.2">
      <c r="A375" s="7">
        <v>45511</v>
      </c>
      <c r="B375" s="8">
        <v>26.7</v>
      </c>
      <c r="C375" s="8">
        <v>26.943999999999999</v>
      </c>
      <c r="D375" s="8">
        <v>26.7</v>
      </c>
      <c r="E375" s="8">
        <v>26.704999999999998</v>
      </c>
      <c r="F375" s="8">
        <v>93889</v>
      </c>
      <c r="G375" s="9">
        <v>62888</v>
      </c>
      <c r="H375" s="16">
        <f t="shared" si="14"/>
        <v>1.8724838498264228E-4</v>
      </c>
      <c r="I375" s="6">
        <f t="shared" si="15"/>
        <v>-9.9941211052323453E-3</v>
      </c>
      <c r="L375" s="11"/>
      <c r="M375" s="12"/>
    </row>
    <row r="376" spans="1:13" ht="15" customHeight="1" x14ac:dyDescent="0.2">
      <c r="A376" s="3">
        <v>45510</v>
      </c>
      <c r="B376" s="4">
        <v>27.1</v>
      </c>
      <c r="C376" s="4">
        <v>27.216000000000001</v>
      </c>
      <c r="D376" s="4">
        <v>27.094999999999999</v>
      </c>
      <c r="E376" s="4">
        <v>27.105</v>
      </c>
      <c r="F376" s="4">
        <v>97325</v>
      </c>
      <c r="G376" s="5">
        <v>62464</v>
      </c>
      <c r="H376" s="16">
        <f t="shared" si="14"/>
        <v>3.6900369003695804E-4</v>
      </c>
      <c r="I376" s="6">
        <f t="shared" si="15"/>
        <v>3.3079722130335831E-4</v>
      </c>
      <c r="L376" s="11"/>
      <c r="M376" s="12"/>
    </row>
    <row r="377" spans="1:13" ht="15" customHeight="1" x14ac:dyDescent="0.2">
      <c r="A377" s="7">
        <v>45509</v>
      </c>
      <c r="B377" s="8">
        <v>27.364999999999998</v>
      </c>
      <c r="C377" s="8">
        <v>27.207000000000001</v>
      </c>
      <c r="D377" s="8">
        <v>27.364999999999998</v>
      </c>
      <c r="E377" s="8">
        <v>27.375</v>
      </c>
      <c r="F377" s="8">
        <v>101859</v>
      </c>
      <c r="G377" s="9">
        <v>123609</v>
      </c>
      <c r="H377" s="16">
        <f t="shared" si="14"/>
        <v>3.6536353671909257E-4</v>
      </c>
      <c r="I377" s="6">
        <f t="shared" si="15"/>
        <v>-4.1737109044801324E-2</v>
      </c>
      <c r="L377" s="11"/>
      <c r="M377" s="12"/>
    </row>
    <row r="378" spans="1:13" ht="15" customHeight="1" x14ac:dyDescent="0.2">
      <c r="A378" s="3">
        <v>45506</v>
      </c>
      <c r="B378" s="4">
        <v>28.684999999999999</v>
      </c>
      <c r="C378" s="4">
        <v>28.391999999999999</v>
      </c>
      <c r="D378" s="4">
        <v>28.675000000000001</v>
      </c>
      <c r="E378" s="4">
        <v>28.69</v>
      </c>
      <c r="F378" s="4">
        <v>103135</v>
      </c>
      <c r="G378" s="5">
        <v>97008</v>
      </c>
      <c r="H378" s="16">
        <f t="shared" si="14"/>
        <v>5.2296696592000591E-4</v>
      </c>
      <c r="I378" s="6">
        <f t="shared" si="15"/>
        <v>-2.9848649787548309E-3</v>
      </c>
      <c r="L378" s="11"/>
      <c r="M378" s="12"/>
    </row>
    <row r="379" spans="1:13" ht="15" customHeight="1" x14ac:dyDescent="0.2">
      <c r="A379" s="7">
        <v>45505</v>
      </c>
      <c r="B379" s="8">
        <v>28.635000000000002</v>
      </c>
      <c r="C379" s="8">
        <v>28.477</v>
      </c>
      <c r="D379" s="8">
        <v>28.63</v>
      </c>
      <c r="E379" s="8">
        <v>28.64</v>
      </c>
      <c r="F379" s="8">
        <v>104207</v>
      </c>
      <c r="G379" s="9">
        <v>77238</v>
      </c>
      <c r="H379" s="16">
        <f t="shared" si="14"/>
        <v>3.492229788720644E-4</v>
      </c>
      <c r="I379" s="6">
        <f t="shared" si="15"/>
        <v>-1.5930610270232903E-2</v>
      </c>
      <c r="L379" s="11"/>
      <c r="M379" s="12"/>
    </row>
    <row r="380" spans="1:13" ht="15" customHeight="1" x14ac:dyDescent="0.2">
      <c r="A380" s="3">
        <v>45504</v>
      </c>
      <c r="B380" s="4">
        <v>29.16</v>
      </c>
      <c r="C380" s="4">
        <v>28.937999999999999</v>
      </c>
      <c r="D380" s="4">
        <v>29.15</v>
      </c>
      <c r="E380" s="4">
        <v>29.164999999999999</v>
      </c>
      <c r="F380" s="4">
        <v>105457</v>
      </c>
      <c r="G380" s="5">
        <v>60352</v>
      </c>
      <c r="H380" s="16">
        <f t="shared" si="14"/>
        <v>5.1444739775359917E-4</v>
      </c>
      <c r="I380" s="6">
        <f t="shared" si="15"/>
        <v>1.4478527607362013E-2</v>
      </c>
      <c r="L380" s="11"/>
      <c r="M380" s="12"/>
    </row>
    <row r="381" spans="1:13" ht="15" customHeight="1" x14ac:dyDescent="0.2">
      <c r="A381" s="7">
        <v>45503</v>
      </c>
      <c r="B381" s="8">
        <v>28.53</v>
      </c>
      <c r="C381" s="8">
        <v>28.524999999999999</v>
      </c>
      <c r="D381" s="8">
        <v>28.52</v>
      </c>
      <c r="E381" s="8">
        <v>28.53</v>
      </c>
      <c r="F381" s="8">
        <v>107817</v>
      </c>
      <c r="G381" s="9">
        <v>53683</v>
      </c>
      <c r="H381" s="16">
        <f t="shared" si="14"/>
        <v>3.5056967572310476E-4</v>
      </c>
      <c r="I381" s="6">
        <f t="shared" si="15"/>
        <v>2.3648891121797133E-2</v>
      </c>
      <c r="L381" s="11"/>
      <c r="M381" s="12"/>
    </row>
    <row r="382" spans="1:13" ht="15" customHeight="1" x14ac:dyDescent="0.2">
      <c r="A382" s="3">
        <v>45502</v>
      </c>
      <c r="B382" s="4">
        <v>28.02</v>
      </c>
      <c r="C382" s="4">
        <v>27.866</v>
      </c>
      <c r="D382" s="4">
        <v>28.015000000000001</v>
      </c>
      <c r="E382" s="4">
        <v>28.024999999999999</v>
      </c>
      <c r="F382" s="4">
        <v>109787</v>
      </c>
      <c r="G382" s="5">
        <v>62629</v>
      </c>
      <c r="H382" s="16">
        <f t="shared" si="14"/>
        <v>3.5688793718765204E-4</v>
      </c>
      <c r="I382" s="6">
        <f t="shared" si="15"/>
        <v>-5.4960742326909395E-3</v>
      </c>
      <c r="L382" s="11"/>
      <c r="M382" s="12"/>
    </row>
    <row r="383" spans="1:13" ht="15" customHeight="1" x14ac:dyDescent="0.2">
      <c r="A383" s="7">
        <v>45499</v>
      </c>
      <c r="B383" s="8">
        <v>28.07</v>
      </c>
      <c r="C383" s="8">
        <v>28.02</v>
      </c>
      <c r="D383" s="8">
        <v>28.06</v>
      </c>
      <c r="E383" s="8">
        <v>28.07</v>
      </c>
      <c r="F383" s="8">
        <v>112523</v>
      </c>
      <c r="G383" s="9">
        <v>58766</v>
      </c>
      <c r="H383" s="16">
        <f t="shared" si="14"/>
        <v>3.563156957064516E-4</v>
      </c>
      <c r="I383" s="6">
        <f t="shared" si="15"/>
        <v>1.6085790884716733E-3</v>
      </c>
      <c r="L383" s="11"/>
      <c r="M383" s="12"/>
    </row>
    <row r="384" spans="1:13" ht="15" customHeight="1" x14ac:dyDescent="0.2">
      <c r="A384" s="3">
        <v>45498</v>
      </c>
      <c r="B384" s="4">
        <v>27.98</v>
      </c>
      <c r="C384" s="4">
        <v>27.975000000000001</v>
      </c>
      <c r="D384" s="4">
        <v>27.98</v>
      </c>
      <c r="E384" s="4">
        <v>27.99</v>
      </c>
      <c r="F384" s="4">
        <v>118259</v>
      </c>
      <c r="G384" s="5">
        <v>113718</v>
      </c>
      <c r="H384" s="16">
        <f t="shared" si="14"/>
        <v>3.5733428622469217E-4</v>
      </c>
      <c r="I384" s="6">
        <f t="shared" si="15"/>
        <v>-4.5742939009414618E-2</v>
      </c>
      <c r="L384" s="11"/>
      <c r="M384" s="12"/>
    </row>
    <row r="385" spans="1:13" ht="15" customHeight="1" x14ac:dyDescent="0.2">
      <c r="A385" s="7">
        <v>45497</v>
      </c>
      <c r="B385" s="8">
        <v>29.08</v>
      </c>
      <c r="C385" s="8">
        <v>29.315999999999999</v>
      </c>
      <c r="D385" s="8">
        <v>29.07</v>
      </c>
      <c r="E385" s="8">
        <v>29.08</v>
      </c>
      <c r="F385" s="8">
        <v>119807</v>
      </c>
      <c r="G385" s="9">
        <v>53992</v>
      </c>
      <c r="H385" s="16">
        <f t="shared" si="14"/>
        <v>3.4393809114352574E-4</v>
      </c>
      <c r="I385" s="6">
        <f t="shared" si="15"/>
        <v>-5.1140431625240623E-4</v>
      </c>
      <c r="L385" s="11"/>
      <c r="M385" s="12"/>
    </row>
    <row r="386" spans="1:13" ht="15" customHeight="1" x14ac:dyDescent="0.2">
      <c r="A386" s="3">
        <v>45496</v>
      </c>
      <c r="B386" s="4">
        <v>29.414999999999999</v>
      </c>
      <c r="C386" s="4">
        <v>29.331</v>
      </c>
      <c r="D386" s="4">
        <v>29.405000000000001</v>
      </c>
      <c r="E386" s="4">
        <v>29.414999999999999</v>
      </c>
      <c r="F386" s="4">
        <v>122207</v>
      </c>
      <c r="G386" s="5">
        <v>53201</v>
      </c>
      <c r="H386" s="16">
        <f t="shared" si="14"/>
        <v>3.400204012240058E-4</v>
      </c>
      <c r="I386" s="6">
        <f t="shared" si="15"/>
        <v>3.4105248797788867E-4</v>
      </c>
      <c r="L386" s="11"/>
      <c r="M386" s="12"/>
    </row>
    <row r="387" spans="1:13" ht="15" customHeight="1" x14ac:dyDescent="0.2">
      <c r="A387" s="7">
        <v>45495</v>
      </c>
      <c r="B387" s="8">
        <v>29.315000000000001</v>
      </c>
      <c r="C387" s="8">
        <v>29.321000000000002</v>
      </c>
      <c r="D387" s="8">
        <v>29.305</v>
      </c>
      <c r="E387" s="8">
        <v>29.315000000000001</v>
      </c>
      <c r="F387" s="8">
        <v>124812</v>
      </c>
      <c r="G387" s="9">
        <v>59767</v>
      </c>
      <c r="H387" s="16">
        <f t="shared" si="14"/>
        <v>3.4118048447634127E-4</v>
      </c>
      <c r="I387" s="6">
        <f t="shared" si="15"/>
        <v>7.5087886958602468E-4</v>
      </c>
      <c r="L387" s="11"/>
      <c r="M387" s="12"/>
    </row>
    <row r="388" spans="1:13" ht="15" customHeight="1" x14ac:dyDescent="0.2">
      <c r="A388" s="3">
        <v>45492</v>
      </c>
      <c r="B388" s="4">
        <v>29.405000000000001</v>
      </c>
      <c r="C388" s="4">
        <v>29.298999999999999</v>
      </c>
      <c r="D388" s="4">
        <v>29.405000000000001</v>
      </c>
      <c r="E388" s="4">
        <v>29.41</v>
      </c>
      <c r="F388" s="4">
        <v>127866</v>
      </c>
      <c r="G388" s="5">
        <v>75794</v>
      </c>
      <c r="H388" s="16">
        <f t="shared" si="14"/>
        <v>1.7002465357473452E-4</v>
      </c>
      <c r="I388" s="6">
        <f t="shared" si="15"/>
        <v>-3.0604817363684478E-2</v>
      </c>
      <c r="L388" s="11"/>
      <c r="M388" s="12"/>
    </row>
    <row r="389" spans="1:13" ht="15" customHeight="1" x14ac:dyDescent="0.2">
      <c r="A389" s="7">
        <v>45491</v>
      </c>
      <c r="B389" s="8">
        <v>30.02</v>
      </c>
      <c r="C389" s="8">
        <v>30.224</v>
      </c>
      <c r="D389" s="8">
        <v>30.01</v>
      </c>
      <c r="E389" s="8">
        <v>30.02</v>
      </c>
      <c r="F389" s="8">
        <v>130340</v>
      </c>
      <c r="G389" s="9">
        <v>69115</v>
      </c>
      <c r="H389" s="16">
        <f t="shared" ref="H389:H452" si="16">(E389-D389)/AVERAGE(D389:E389)</f>
        <v>3.3316674995828788E-4</v>
      </c>
      <c r="I389" s="6">
        <f t="shared" ref="I389:I452" si="17">C389/C390-1</f>
        <v>-5.0367054021134283E-3</v>
      </c>
      <c r="L389" s="11"/>
      <c r="M389" s="12"/>
    </row>
    <row r="390" spans="1:13" ht="15" customHeight="1" x14ac:dyDescent="0.2">
      <c r="A390" s="3">
        <v>45490</v>
      </c>
      <c r="B390" s="4">
        <v>30.52</v>
      </c>
      <c r="C390" s="4">
        <v>30.376999999999999</v>
      </c>
      <c r="D390" s="4">
        <v>30.51</v>
      </c>
      <c r="E390" s="4">
        <v>30.52</v>
      </c>
      <c r="F390" s="4">
        <v>132099</v>
      </c>
      <c r="G390" s="5">
        <v>95213</v>
      </c>
      <c r="H390" s="16">
        <f t="shared" si="16"/>
        <v>3.277076847451421E-4</v>
      </c>
      <c r="I390" s="6">
        <f t="shared" si="17"/>
        <v>-3.4363278021488974E-2</v>
      </c>
      <c r="L390" s="11"/>
      <c r="M390" s="12"/>
    </row>
    <row r="391" spans="1:13" ht="15" customHeight="1" x14ac:dyDescent="0.2">
      <c r="A391" s="7">
        <v>45489</v>
      </c>
      <c r="B391" s="8">
        <v>31.484999999999999</v>
      </c>
      <c r="C391" s="8">
        <v>31.457999999999998</v>
      </c>
      <c r="D391" s="8">
        <v>31.48</v>
      </c>
      <c r="E391" s="8">
        <v>31.49</v>
      </c>
      <c r="F391" s="8">
        <v>130222</v>
      </c>
      <c r="G391" s="9">
        <v>68887</v>
      </c>
      <c r="H391" s="16">
        <f t="shared" si="16"/>
        <v>3.1761156106075941E-4</v>
      </c>
      <c r="I391" s="6">
        <f t="shared" si="17"/>
        <v>1.6873545384018529E-2</v>
      </c>
      <c r="L391" s="11"/>
      <c r="M391" s="12"/>
    </row>
    <row r="392" spans="1:13" ht="15" customHeight="1" x14ac:dyDescent="0.2">
      <c r="A392" s="3">
        <v>45488</v>
      </c>
      <c r="B392" s="4">
        <v>30.905000000000001</v>
      </c>
      <c r="C392" s="4">
        <v>30.936</v>
      </c>
      <c r="D392" s="4">
        <v>30.9</v>
      </c>
      <c r="E392" s="4">
        <v>30.91</v>
      </c>
      <c r="F392" s="4">
        <v>130613</v>
      </c>
      <c r="G392" s="5">
        <v>57563</v>
      </c>
      <c r="H392" s="16">
        <f t="shared" si="16"/>
        <v>3.2357223750207291E-4</v>
      </c>
      <c r="I392" s="6">
        <f t="shared" si="17"/>
        <v>-7.2524228226685805E-3</v>
      </c>
      <c r="L392" s="11"/>
      <c r="M392" s="12"/>
    </row>
    <row r="393" spans="1:13" ht="15" customHeight="1" x14ac:dyDescent="0.2">
      <c r="A393" s="7">
        <v>45485</v>
      </c>
      <c r="B393" s="8">
        <v>31.024999999999999</v>
      </c>
      <c r="C393" s="8">
        <v>31.161999999999999</v>
      </c>
      <c r="D393" s="8">
        <v>31.024999999999999</v>
      </c>
      <c r="E393" s="8">
        <v>31.035</v>
      </c>
      <c r="F393" s="8">
        <v>132409</v>
      </c>
      <c r="G393" s="9">
        <v>69791</v>
      </c>
      <c r="H393" s="16">
        <f t="shared" si="16"/>
        <v>3.2226877215602847E-4</v>
      </c>
      <c r="I393" s="6">
        <f t="shared" si="17"/>
        <v>-1.6071484954690463E-2</v>
      </c>
      <c r="L393" s="11"/>
      <c r="M393" s="12"/>
    </row>
    <row r="394" spans="1:13" ht="15" customHeight="1" x14ac:dyDescent="0.2">
      <c r="A394" s="3">
        <v>45484</v>
      </c>
      <c r="B394" s="4">
        <v>31.72</v>
      </c>
      <c r="C394" s="4">
        <v>31.670999999999999</v>
      </c>
      <c r="D394" s="4">
        <v>31.71</v>
      </c>
      <c r="E394" s="4">
        <v>31.725000000000001</v>
      </c>
      <c r="F394" s="4">
        <v>132015</v>
      </c>
      <c r="G394" s="5">
        <v>78459</v>
      </c>
      <c r="H394" s="16">
        <f t="shared" si="16"/>
        <v>4.7292504138095901E-4</v>
      </c>
      <c r="I394" s="6">
        <f t="shared" si="17"/>
        <v>2.118398142774236E-2</v>
      </c>
      <c r="L394" s="11"/>
      <c r="M394" s="12"/>
    </row>
    <row r="395" spans="1:13" ht="15" customHeight="1" x14ac:dyDescent="0.2">
      <c r="A395" s="7">
        <v>45483</v>
      </c>
      <c r="B395" s="8">
        <v>31.08</v>
      </c>
      <c r="C395" s="8">
        <v>31.013999999999999</v>
      </c>
      <c r="D395" s="8">
        <v>31.08</v>
      </c>
      <c r="E395" s="8">
        <v>31.09</v>
      </c>
      <c r="F395" s="8">
        <v>131774</v>
      </c>
      <c r="G395" s="9">
        <v>49717</v>
      </c>
      <c r="H395" s="16">
        <f t="shared" si="16"/>
        <v>3.2169856844142071E-4</v>
      </c>
      <c r="I395" s="6">
        <f t="shared" si="17"/>
        <v>-1.352395672333917E-3</v>
      </c>
      <c r="L395" s="11"/>
      <c r="M395" s="12"/>
    </row>
    <row r="396" spans="1:13" ht="15" customHeight="1" x14ac:dyDescent="0.2">
      <c r="A396" s="3">
        <v>45482</v>
      </c>
      <c r="B396" s="4">
        <v>31.085000000000001</v>
      </c>
      <c r="C396" s="4">
        <v>31.056000000000001</v>
      </c>
      <c r="D396" s="4">
        <v>31.08</v>
      </c>
      <c r="E396" s="4">
        <v>31.09</v>
      </c>
      <c r="F396" s="4">
        <v>131250</v>
      </c>
      <c r="G396" s="5">
        <v>54299</v>
      </c>
      <c r="H396" s="16">
        <f t="shared" si="16"/>
        <v>3.2169856844142071E-4</v>
      </c>
      <c r="I396" s="6">
        <f t="shared" si="17"/>
        <v>4.6258855497687268E-3</v>
      </c>
      <c r="L396" s="11"/>
      <c r="M396" s="12"/>
    </row>
    <row r="397" spans="1:13" ht="15" customHeight="1" x14ac:dyDescent="0.2">
      <c r="A397" s="7">
        <v>45481</v>
      </c>
      <c r="B397" s="8">
        <v>31.03</v>
      </c>
      <c r="C397" s="8">
        <v>30.913</v>
      </c>
      <c r="D397" s="8">
        <v>31.03</v>
      </c>
      <c r="E397" s="8">
        <v>31.04</v>
      </c>
      <c r="F397" s="8">
        <v>131549</v>
      </c>
      <c r="G397" s="9">
        <v>65480.999999999898</v>
      </c>
      <c r="H397" s="16">
        <f t="shared" si="16"/>
        <v>3.2221685194129242E-4</v>
      </c>
      <c r="I397" s="6">
        <f t="shared" si="17"/>
        <v>-2.4487992678847492E-2</v>
      </c>
      <c r="L397" s="11"/>
      <c r="M397" s="12"/>
    </row>
    <row r="398" spans="1:13" ht="15" customHeight="1" x14ac:dyDescent="0.2">
      <c r="A398" s="3">
        <v>45478</v>
      </c>
      <c r="B398" s="4">
        <v>31.524999999999999</v>
      </c>
      <c r="C398" s="4">
        <v>31.689</v>
      </c>
      <c r="D398" s="4">
        <v>31.52</v>
      </c>
      <c r="E398" s="4">
        <v>31.53</v>
      </c>
      <c r="F398" s="4">
        <v>128490</v>
      </c>
      <c r="G398" s="5">
        <v>97705</v>
      </c>
      <c r="H398" s="16">
        <f t="shared" si="16"/>
        <v>3.1720856463129466E-4</v>
      </c>
      <c r="I398" s="6">
        <f t="shared" si="17"/>
        <v>2.7462551066727237E-2</v>
      </c>
      <c r="L398" s="11"/>
      <c r="M398" s="12"/>
    </row>
    <row r="399" spans="1:13" ht="15" customHeight="1" x14ac:dyDescent="0.2">
      <c r="A399" s="7">
        <v>45476</v>
      </c>
      <c r="B399" s="8">
        <v>30.805</v>
      </c>
      <c r="C399" s="8">
        <v>30.841999999999999</v>
      </c>
      <c r="D399" s="8">
        <v>30.8</v>
      </c>
      <c r="E399" s="8">
        <v>30.81</v>
      </c>
      <c r="F399" s="8">
        <v>129132</v>
      </c>
      <c r="G399" s="9">
        <v>72543</v>
      </c>
      <c r="H399" s="16">
        <f t="shared" si="16"/>
        <v>3.2462262619698136E-4</v>
      </c>
      <c r="I399" s="6">
        <f t="shared" si="17"/>
        <v>3.9921774900532725E-2</v>
      </c>
      <c r="L399" s="11"/>
      <c r="M399" s="12"/>
    </row>
    <row r="400" spans="1:13" ht="15" customHeight="1" x14ac:dyDescent="0.2">
      <c r="A400" s="3">
        <v>45475</v>
      </c>
      <c r="B400" s="4">
        <v>29.82</v>
      </c>
      <c r="C400" s="4">
        <v>29.658000000000001</v>
      </c>
      <c r="D400" s="4">
        <v>29.815000000000001</v>
      </c>
      <c r="E400" s="4">
        <v>29.824999999999999</v>
      </c>
      <c r="F400" s="4">
        <v>129058</v>
      </c>
      <c r="G400" s="5">
        <v>50390</v>
      </c>
      <c r="H400" s="16">
        <f t="shared" si="16"/>
        <v>3.3534540576787424E-4</v>
      </c>
      <c r="I400" s="6">
        <f t="shared" si="17"/>
        <v>1.519602877114945E-3</v>
      </c>
      <c r="L400" s="11"/>
      <c r="M400" s="12"/>
    </row>
    <row r="401" spans="1:13" ht="15" customHeight="1" x14ac:dyDescent="0.2">
      <c r="A401" s="7">
        <v>45474</v>
      </c>
      <c r="B401" s="8">
        <v>29.75</v>
      </c>
      <c r="C401" s="8">
        <v>29.613</v>
      </c>
      <c r="D401" s="8">
        <v>29.745000000000001</v>
      </c>
      <c r="E401" s="8">
        <v>29.754999999999999</v>
      </c>
      <c r="F401" s="8">
        <v>129532</v>
      </c>
      <c r="G401" s="9">
        <v>44971</v>
      </c>
      <c r="H401" s="16">
        <f t="shared" si="16"/>
        <v>3.3613445378144572E-4</v>
      </c>
      <c r="I401" s="6">
        <f t="shared" si="17"/>
        <v>1.7929634641407066E-3</v>
      </c>
      <c r="L401" s="11"/>
      <c r="M401" s="12"/>
    </row>
    <row r="402" spans="1:13" ht="15" customHeight="1" x14ac:dyDescent="0.2">
      <c r="A402" s="3">
        <v>45471</v>
      </c>
      <c r="B402" s="4">
        <v>29.434999999999999</v>
      </c>
      <c r="C402" s="4">
        <v>29.56</v>
      </c>
      <c r="D402" s="4">
        <v>29.434999999999999</v>
      </c>
      <c r="E402" s="4">
        <v>29.445</v>
      </c>
      <c r="F402" s="4">
        <v>129396</v>
      </c>
      <c r="G402" s="5">
        <v>50007</v>
      </c>
      <c r="H402" s="16">
        <f t="shared" si="16"/>
        <v>3.3967391304353138E-4</v>
      </c>
      <c r="I402" s="6">
        <f t="shared" si="17"/>
        <v>1.0391030899644438E-2</v>
      </c>
      <c r="L402" s="11"/>
      <c r="M402" s="12"/>
    </row>
    <row r="403" spans="1:13" ht="15" customHeight="1" x14ac:dyDescent="0.2">
      <c r="A403" s="7">
        <v>45470</v>
      </c>
      <c r="B403" s="8">
        <v>29.285</v>
      </c>
      <c r="C403" s="8">
        <v>29.256</v>
      </c>
      <c r="D403" s="8">
        <v>29.28</v>
      </c>
      <c r="E403" s="8">
        <v>29.29</v>
      </c>
      <c r="F403" s="8">
        <v>125615</v>
      </c>
      <c r="G403" s="9">
        <v>62229</v>
      </c>
      <c r="H403" s="16">
        <f t="shared" si="16"/>
        <v>3.4147174321318114E-4</v>
      </c>
      <c r="I403" s="6">
        <f t="shared" si="17"/>
        <v>1.1268579329415829E-2</v>
      </c>
      <c r="L403" s="11"/>
      <c r="M403" s="12"/>
    </row>
    <row r="404" spans="1:13" ht="15" customHeight="1" x14ac:dyDescent="0.2">
      <c r="A404" s="3">
        <v>45469</v>
      </c>
      <c r="B404" s="4">
        <v>28.765000000000001</v>
      </c>
      <c r="C404" s="4">
        <v>28.93</v>
      </c>
      <c r="D404" s="4">
        <v>28.7</v>
      </c>
      <c r="E404" s="4">
        <v>28.765000000000001</v>
      </c>
      <c r="F404" s="4">
        <v>26443</v>
      </c>
      <c r="G404" s="5">
        <v>51476</v>
      </c>
      <c r="H404" s="16">
        <f t="shared" si="16"/>
        <v>2.2622465848777962E-3</v>
      </c>
      <c r="I404" s="6">
        <f t="shared" si="17"/>
        <v>2.1477068033810554E-3</v>
      </c>
      <c r="L404" s="11"/>
      <c r="M404" s="12"/>
    </row>
    <row r="405" spans="1:13" ht="15" customHeight="1" x14ac:dyDescent="0.2">
      <c r="A405" s="7">
        <v>45468</v>
      </c>
      <c r="B405" s="8">
        <v>28.92</v>
      </c>
      <c r="C405" s="8">
        <v>28.867999999999999</v>
      </c>
      <c r="D405" s="8">
        <v>28.91</v>
      </c>
      <c r="E405" s="8">
        <v>28.93</v>
      </c>
      <c r="F405" s="8">
        <v>43213</v>
      </c>
      <c r="G405" s="9">
        <v>76955</v>
      </c>
      <c r="H405" s="16">
        <f t="shared" si="16"/>
        <v>6.9156293222681782E-4</v>
      </c>
      <c r="I405" s="6">
        <f t="shared" si="17"/>
        <v>-2.2252328535139698E-2</v>
      </c>
      <c r="L405" s="11"/>
      <c r="M405" s="12"/>
    </row>
    <row r="406" spans="1:13" ht="15" customHeight="1" x14ac:dyDescent="0.2">
      <c r="A406" s="3">
        <v>45467</v>
      </c>
      <c r="B406" s="4">
        <v>29.605</v>
      </c>
      <c r="C406" s="4">
        <v>29.524999999999999</v>
      </c>
      <c r="D406" s="4">
        <v>29.6</v>
      </c>
      <c r="E406" s="4">
        <v>29.605</v>
      </c>
      <c r="F406" s="4">
        <v>51413</v>
      </c>
      <c r="G406" s="5">
        <v>51636</v>
      </c>
      <c r="H406" s="16">
        <f t="shared" si="16"/>
        <v>1.6890465332316545E-4</v>
      </c>
      <c r="I406" s="6">
        <f t="shared" si="17"/>
        <v>-3.0053353143784101E-3</v>
      </c>
      <c r="L406" s="11"/>
      <c r="M406" s="12"/>
    </row>
    <row r="407" spans="1:13" ht="15" customHeight="1" x14ac:dyDescent="0.2">
      <c r="A407" s="7">
        <v>45464</v>
      </c>
      <c r="B407" s="8">
        <v>29.58</v>
      </c>
      <c r="C407" s="8">
        <v>29.614000000000001</v>
      </c>
      <c r="D407" s="8">
        <v>29.58</v>
      </c>
      <c r="E407" s="8">
        <v>29.585000000000001</v>
      </c>
      <c r="F407" s="8">
        <v>61183</v>
      </c>
      <c r="G407" s="9">
        <v>101698</v>
      </c>
      <c r="H407" s="16">
        <f t="shared" si="16"/>
        <v>1.6901884560137102E-4</v>
      </c>
      <c r="I407" s="6">
        <f t="shared" si="17"/>
        <v>-3.9161610590182083E-2</v>
      </c>
      <c r="L407" s="11"/>
      <c r="M407" s="12"/>
    </row>
    <row r="408" spans="1:13" ht="15" customHeight="1" x14ac:dyDescent="0.2">
      <c r="A408" s="3">
        <v>45463</v>
      </c>
      <c r="B408" s="4">
        <v>30.785</v>
      </c>
      <c r="C408" s="4">
        <v>30.821000000000002</v>
      </c>
      <c r="D408" s="4">
        <v>30.78</v>
      </c>
      <c r="E408" s="4">
        <v>30.79</v>
      </c>
      <c r="F408" s="4">
        <v>70554</v>
      </c>
      <c r="G408" s="5">
        <v>129074.999999999</v>
      </c>
      <c r="H408" s="16">
        <f t="shared" si="16"/>
        <v>3.2483352281949035E-4</v>
      </c>
      <c r="I408" s="6">
        <f t="shared" si="17"/>
        <v>4.2517927208767459E-2</v>
      </c>
      <c r="L408" s="11"/>
      <c r="M408" s="12"/>
    </row>
    <row r="409" spans="1:13" ht="15" customHeight="1" x14ac:dyDescent="0.2">
      <c r="A409" s="7">
        <v>45461</v>
      </c>
      <c r="B409" s="8">
        <v>29.61</v>
      </c>
      <c r="C409" s="8">
        <v>29.564</v>
      </c>
      <c r="D409" s="8">
        <v>29.605</v>
      </c>
      <c r="E409" s="8">
        <v>29.614999999999998</v>
      </c>
      <c r="F409" s="8">
        <v>76051</v>
      </c>
      <c r="G409" s="9">
        <v>70488</v>
      </c>
      <c r="H409" s="16">
        <f t="shared" si="16"/>
        <v>3.3772374197899393E-4</v>
      </c>
      <c r="I409" s="6">
        <f t="shared" si="17"/>
        <v>5.8861556258720249E-3</v>
      </c>
      <c r="L409" s="11"/>
      <c r="M409" s="12"/>
    </row>
    <row r="410" spans="1:13" ht="15" customHeight="1" x14ac:dyDescent="0.2">
      <c r="A410" s="3">
        <v>45460</v>
      </c>
      <c r="B410" s="4">
        <v>29.53</v>
      </c>
      <c r="C410" s="4">
        <v>29.390999999999998</v>
      </c>
      <c r="D410" s="4">
        <v>29.53</v>
      </c>
      <c r="E410" s="4">
        <v>29.54</v>
      </c>
      <c r="F410" s="4">
        <v>79973</v>
      </c>
      <c r="G410" s="5">
        <v>51128</v>
      </c>
      <c r="H410" s="16">
        <f t="shared" si="16"/>
        <v>3.3858134416786897E-4</v>
      </c>
      <c r="I410" s="6">
        <f t="shared" si="17"/>
        <v>-2.7483713355049844E-3</v>
      </c>
      <c r="L410" s="11"/>
      <c r="M410" s="12"/>
    </row>
    <row r="411" spans="1:13" ht="15" customHeight="1" x14ac:dyDescent="0.2">
      <c r="A411" s="7">
        <v>45457</v>
      </c>
      <c r="B411" s="8">
        <v>29.625</v>
      </c>
      <c r="C411" s="8">
        <v>29.472000000000001</v>
      </c>
      <c r="D411" s="8">
        <v>29.62</v>
      </c>
      <c r="E411" s="8">
        <v>29.63</v>
      </c>
      <c r="F411" s="8">
        <v>86083</v>
      </c>
      <c r="G411" s="9">
        <v>74083</v>
      </c>
      <c r="H411" s="16">
        <f t="shared" si="16"/>
        <v>3.3755274261596657E-4</v>
      </c>
      <c r="I411" s="6">
        <f t="shared" si="17"/>
        <v>1.3968210280052462E-2</v>
      </c>
      <c r="L411" s="11"/>
      <c r="M411" s="12"/>
    </row>
    <row r="412" spans="1:13" ht="15" customHeight="1" x14ac:dyDescent="0.2">
      <c r="A412" s="3">
        <v>45456</v>
      </c>
      <c r="B412" s="4">
        <v>29.035</v>
      </c>
      <c r="C412" s="4">
        <v>29.065999999999999</v>
      </c>
      <c r="D412" s="4">
        <v>29.03</v>
      </c>
      <c r="E412" s="4">
        <v>29.04</v>
      </c>
      <c r="F412" s="4">
        <v>94477</v>
      </c>
      <c r="G412" s="5">
        <v>112507</v>
      </c>
      <c r="H412" s="16">
        <f t="shared" si="16"/>
        <v>3.4441191665224763E-4</v>
      </c>
      <c r="I412" s="6">
        <f t="shared" si="17"/>
        <v>-3.9680179733703413E-2</v>
      </c>
      <c r="L412" s="11"/>
      <c r="M412" s="12"/>
    </row>
    <row r="413" spans="1:13" ht="15" customHeight="1" x14ac:dyDescent="0.2">
      <c r="A413" s="7">
        <v>45455</v>
      </c>
      <c r="B413" s="8">
        <v>29.81</v>
      </c>
      <c r="C413" s="8">
        <v>30.266999999999999</v>
      </c>
      <c r="D413" s="8">
        <v>29.805</v>
      </c>
      <c r="E413" s="8">
        <v>29.815000000000001</v>
      </c>
      <c r="F413" s="8">
        <v>102752</v>
      </c>
      <c r="G413" s="9">
        <v>105348</v>
      </c>
      <c r="H413" s="16">
        <f t="shared" si="16"/>
        <v>3.3545790003359821E-4</v>
      </c>
      <c r="I413" s="6">
        <f t="shared" si="17"/>
        <v>3.5441825459272547E-2</v>
      </c>
      <c r="L413" s="11"/>
      <c r="M413" s="12"/>
    </row>
    <row r="414" spans="1:13" ht="15" customHeight="1" x14ac:dyDescent="0.2">
      <c r="A414" s="3">
        <v>45454</v>
      </c>
      <c r="B414" s="4">
        <v>29.385000000000002</v>
      </c>
      <c r="C414" s="4">
        <v>29.231000000000002</v>
      </c>
      <c r="D414" s="4">
        <v>29.375</v>
      </c>
      <c r="E414" s="4">
        <v>29.385000000000002</v>
      </c>
      <c r="F414" s="4">
        <v>112319</v>
      </c>
      <c r="G414" s="5">
        <v>82192</v>
      </c>
      <c r="H414" s="16">
        <f t="shared" si="16"/>
        <v>3.4036759700481831E-4</v>
      </c>
      <c r="I414" s="6">
        <f t="shared" si="17"/>
        <v>-2.1523733011983515E-2</v>
      </c>
      <c r="L414" s="11"/>
      <c r="M414" s="12"/>
    </row>
    <row r="415" spans="1:13" ht="15" customHeight="1" x14ac:dyDescent="0.2">
      <c r="A415" s="7">
        <v>45453</v>
      </c>
      <c r="B415" s="8">
        <v>29.844999999999999</v>
      </c>
      <c r="C415" s="8">
        <v>29.873999999999999</v>
      </c>
      <c r="D415" s="8">
        <v>29.84</v>
      </c>
      <c r="E415" s="8">
        <v>29.85</v>
      </c>
      <c r="F415" s="8">
        <v>119571</v>
      </c>
      <c r="G415" s="9">
        <v>64169</v>
      </c>
      <c r="H415" s="16">
        <f t="shared" si="16"/>
        <v>3.3506449991628625E-4</v>
      </c>
      <c r="I415" s="6">
        <f t="shared" si="17"/>
        <v>1.4741847826086785E-2</v>
      </c>
      <c r="L415" s="11"/>
      <c r="M415" s="12"/>
    </row>
    <row r="416" spans="1:13" ht="15" customHeight="1" x14ac:dyDescent="0.2">
      <c r="A416" s="3">
        <v>45450</v>
      </c>
      <c r="B416" s="4">
        <v>29.27</v>
      </c>
      <c r="C416" s="4">
        <v>29.44</v>
      </c>
      <c r="D416" s="4">
        <v>29.215</v>
      </c>
      <c r="E416" s="4">
        <v>29.32</v>
      </c>
      <c r="F416" s="4">
        <v>126719</v>
      </c>
      <c r="G416" s="5">
        <v>132316</v>
      </c>
      <c r="H416" s="16">
        <f t="shared" si="16"/>
        <v>3.5875971640898755E-3</v>
      </c>
      <c r="I416" s="6">
        <f t="shared" si="17"/>
        <v>-6.1433991137182398E-2</v>
      </c>
      <c r="L416" s="11"/>
      <c r="M416" s="12"/>
    </row>
    <row r="417" spans="1:13" ht="15" customHeight="1" x14ac:dyDescent="0.2">
      <c r="A417" s="7">
        <v>45449</v>
      </c>
      <c r="B417" s="8">
        <v>31.46</v>
      </c>
      <c r="C417" s="8">
        <v>31.367000000000001</v>
      </c>
      <c r="D417" s="8">
        <v>31.45</v>
      </c>
      <c r="E417" s="8">
        <v>31.46</v>
      </c>
      <c r="F417" s="8">
        <v>128479</v>
      </c>
      <c r="G417" s="9">
        <v>92485</v>
      </c>
      <c r="H417" s="16">
        <f t="shared" si="16"/>
        <v>3.1791448100465948E-4</v>
      </c>
      <c r="I417" s="6">
        <f t="shared" si="17"/>
        <v>4.3028630332856643E-2</v>
      </c>
      <c r="L417" s="11"/>
      <c r="M417" s="12"/>
    </row>
    <row r="418" spans="1:13" ht="15" customHeight="1" x14ac:dyDescent="0.2">
      <c r="A418" s="3">
        <v>45448</v>
      </c>
      <c r="B418" s="4">
        <v>30.135000000000002</v>
      </c>
      <c r="C418" s="4">
        <v>30.073</v>
      </c>
      <c r="D418" s="4">
        <v>30.135000000000002</v>
      </c>
      <c r="E418" s="4">
        <v>30.14</v>
      </c>
      <c r="F418" s="4">
        <v>130489</v>
      </c>
      <c r="G418" s="5">
        <v>68305</v>
      </c>
      <c r="H418" s="16">
        <f t="shared" si="16"/>
        <v>1.6590626296139377E-4</v>
      </c>
      <c r="I418" s="6">
        <f t="shared" si="17"/>
        <v>1.5396562784887102E-2</v>
      </c>
      <c r="L418" s="11"/>
      <c r="M418" s="12"/>
    </row>
    <row r="419" spans="1:13" ht="15" customHeight="1" x14ac:dyDescent="0.2">
      <c r="A419" s="7">
        <v>45447</v>
      </c>
      <c r="B419" s="8">
        <v>29.625</v>
      </c>
      <c r="C419" s="8">
        <v>29.617000000000001</v>
      </c>
      <c r="D419" s="8">
        <v>29.625</v>
      </c>
      <c r="E419" s="8">
        <v>29.635000000000002</v>
      </c>
      <c r="F419" s="8">
        <v>135718</v>
      </c>
      <c r="G419" s="9">
        <v>107378</v>
      </c>
      <c r="H419" s="16">
        <f t="shared" si="16"/>
        <v>3.3749578130278646E-4</v>
      </c>
      <c r="I419" s="6">
        <f t="shared" si="17"/>
        <v>-3.790930353430344E-2</v>
      </c>
      <c r="L419" s="11"/>
      <c r="M419" s="12"/>
    </row>
    <row r="420" spans="1:13" ht="15" customHeight="1" x14ac:dyDescent="0.2">
      <c r="A420" s="3">
        <v>45446</v>
      </c>
      <c r="B420" s="4">
        <v>30.88</v>
      </c>
      <c r="C420" s="4">
        <v>30.783999999999999</v>
      </c>
      <c r="D420" s="4">
        <v>30.88</v>
      </c>
      <c r="E420" s="4">
        <v>30.89</v>
      </c>
      <c r="F420" s="4">
        <v>136629</v>
      </c>
      <c r="G420" s="5">
        <v>82792</v>
      </c>
      <c r="H420" s="16">
        <f t="shared" si="16"/>
        <v>3.2378177108633848E-4</v>
      </c>
      <c r="I420" s="6">
        <f t="shared" si="17"/>
        <v>1.1300919842312629E-2</v>
      </c>
      <c r="L420" s="11"/>
      <c r="M420" s="12"/>
    </row>
    <row r="421" spans="1:13" ht="15" customHeight="1" x14ac:dyDescent="0.2">
      <c r="A421" s="7">
        <v>45443</v>
      </c>
      <c r="B421" s="8">
        <v>30.555</v>
      </c>
      <c r="C421" s="8">
        <v>30.44</v>
      </c>
      <c r="D421" s="8">
        <v>30.555</v>
      </c>
      <c r="E421" s="8">
        <v>30.565000000000001</v>
      </c>
      <c r="F421" s="8">
        <v>141276</v>
      </c>
      <c r="G421" s="9">
        <v>109663</v>
      </c>
      <c r="H421" s="16">
        <f t="shared" si="16"/>
        <v>3.272251308901035E-4</v>
      </c>
      <c r="I421" s="6">
        <f t="shared" si="17"/>
        <v>-3.4692712627639954E-2</v>
      </c>
      <c r="L421" s="11"/>
      <c r="M421" s="12"/>
    </row>
    <row r="422" spans="1:13" ht="15" customHeight="1" x14ac:dyDescent="0.2">
      <c r="A422" s="3">
        <v>45442</v>
      </c>
      <c r="B422" s="4">
        <v>31.34</v>
      </c>
      <c r="C422" s="4">
        <v>31.533999999999999</v>
      </c>
      <c r="D422" s="4">
        <v>31.335000000000001</v>
      </c>
      <c r="E422" s="4">
        <v>31.344999999999999</v>
      </c>
      <c r="F422" s="4">
        <v>145196</v>
      </c>
      <c r="G422" s="5">
        <v>95591</v>
      </c>
      <c r="H422" s="16">
        <f t="shared" si="16"/>
        <v>3.1908104658576934E-4</v>
      </c>
      <c r="I422" s="6">
        <f t="shared" si="17"/>
        <v>-2.5916658944181825E-2</v>
      </c>
      <c r="L422" s="11"/>
      <c r="M422" s="12"/>
    </row>
    <row r="423" spans="1:13" ht="15" customHeight="1" x14ac:dyDescent="0.2">
      <c r="A423" s="7">
        <v>45441</v>
      </c>
      <c r="B423" s="8">
        <v>32.159999999999997</v>
      </c>
      <c r="C423" s="8">
        <v>32.372999999999998</v>
      </c>
      <c r="D423" s="8">
        <v>32.159999999999997</v>
      </c>
      <c r="E423" s="8">
        <v>32.17</v>
      </c>
      <c r="F423" s="8">
        <v>144686</v>
      </c>
      <c r="G423" s="9">
        <v>85054</v>
      </c>
      <c r="H423" s="16">
        <f t="shared" si="16"/>
        <v>3.1089693766532306E-4</v>
      </c>
      <c r="I423" s="6">
        <f t="shared" si="17"/>
        <v>7.3435603821139228E-3</v>
      </c>
      <c r="L423" s="11"/>
      <c r="M423" s="12"/>
    </row>
    <row r="424" spans="1:13" ht="15" customHeight="1" x14ac:dyDescent="0.2">
      <c r="A424" s="3">
        <v>45440</v>
      </c>
      <c r="B424" s="4">
        <v>32.31</v>
      </c>
      <c r="C424" s="4">
        <v>32.137</v>
      </c>
      <c r="D424" s="4">
        <v>32.305</v>
      </c>
      <c r="E424" s="4">
        <v>32.314999999999998</v>
      </c>
      <c r="F424" s="4">
        <v>147339</v>
      </c>
      <c r="G424" s="5">
        <v>140560</v>
      </c>
      <c r="H424" s="16">
        <f t="shared" si="16"/>
        <v>3.0950170225930084E-4</v>
      </c>
      <c r="I424" s="6">
        <f t="shared" si="17"/>
        <v>5.3706678907505134E-2</v>
      </c>
      <c r="L424" s="11"/>
      <c r="M424" s="12"/>
    </row>
    <row r="425" spans="1:13" ht="15" customHeight="1" x14ac:dyDescent="0.2">
      <c r="A425" s="7">
        <v>45436</v>
      </c>
      <c r="B425" s="8">
        <v>30.54</v>
      </c>
      <c r="C425" s="8">
        <v>30.498999999999999</v>
      </c>
      <c r="D425" s="8">
        <v>30.54</v>
      </c>
      <c r="E425" s="8">
        <v>30.55</v>
      </c>
      <c r="F425" s="8">
        <v>146683</v>
      </c>
      <c r="G425" s="9">
        <v>53989</v>
      </c>
      <c r="H425" s="16">
        <f t="shared" si="16"/>
        <v>3.2738582419386357E-4</v>
      </c>
      <c r="I425" s="6">
        <f t="shared" si="17"/>
        <v>1.4447545559022057E-3</v>
      </c>
      <c r="L425" s="11"/>
      <c r="M425" s="12"/>
    </row>
    <row r="426" spans="1:13" ht="15" customHeight="1" x14ac:dyDescent="0.2">
      <c r="A426" s="3">
        <v>45435</v>
      </c>
      <c r="B426" s="4">
        <v>30.324999999999999</v>
      </c>
      <c r="C426" s="4">
        <v>30.454999999999998</v>
      </c>
      <c r="D426" s="4">
        <v>30.32</v>
      </c>
      <c r="E426" s="4">
        <v>30.33</v>
      </c>
      <c r="F426" s="4">
        <v>147226</v>
      </c>
      <c r="G426" s="5">
        <v>105037</v>
      </c>
      <c r="H426" s="16">
        <f t="shared" si="16"/>
        <v>3.2976092333051975E-4</v>
      </c>
      <c r="I426" s="6">
        <f t="shared" si="17"/>
        <v>-3.305181610363217E-2</v>
      </c>
      <c r="L426" s="11"/>
      <c r="M426" s="12"/>
    </row>
    <row r="427" spans="1:13" ht="15" customHeight="1" x14ac:dyDescent="0.2">
      <c r="A427" s="7">
        <v>45434</v>
      </c>
      <c r="B427" s="8">
        <v>30.99</v>
      </c>
      <c r="C427" s="8">
        <v>31.495999999999999</v>
      </c>
      <c r="D427" s="8">
        <v>30.984999999999999</v>
      </c>
      <c r="E427" s="8">
        <v>31.004999999999999</v>
      </c>
      <c r="F427" s="8">
        <v>149926</v>
      </c>
      <c r="G427" s="9">
        <v>91006</v>
      </c>
      <c r="H427" s="16">
        <f t="shared" si="16"/>
        <v>6.4526536538149948E-4</v>
      </c>
      <c r="I427" s="6">
        <f t="shared" si="17"/>
        <v>-1.8143275765322153E-2</v>
      </c>
      <c r="L427" s="11"/>
      <c r="M427" s="12"/>
    </row>
    <row r="428" spans="1:13" ht="15" customHeight="1" x14ac:dyDescent="0.2">
      <c r="A428" s="3">
        <v>45433</v>
      </c>
      <c r="B428" s="4">
        <v>32.204999999999998</v>
      </c>
      <c r="C428" s="4">
        <v>32.078000000000003</v>
      </c>
      <c r="D428" s="4">
        <v>32.200000000000003</v>
      </c>
      <c r="E428" s="4">
        <v>32.21</v>
      </c>
      <c r="F428" s="4">
        <v>151374</v>
      </c>
      <c r="G428" s="5">
        <v>107066</v>
      </c>
      <c r="H428" s="16">
        <f t="shared" si="16"/>
        <v>3.1051079024989943E-4</v>
      </c>
      <c r="I428" s="6">
        <f t="shared" si="17"/>
        <v>-1.0732128538826879E-2</v>
      </c>
      <c r="L428" s="11"/>
      <c r="M428" s="12"/>
    </row>
    <row r="429" spans="1:13" ht="15" customHeight="1" x14ac:dyDescent="0.2">
      <c r="A429" s="7">
        <v>45432</v>
      </c>
      <c r="B429" s="8">
        <v>32.055</v>
      </c>
      <c r="C429" s="8">
        <v>32.426000000000002</v>
      </c>
      <c r="D429" s="8">
        <v>32.055</v>
      </c>
      <c r="E429" s="8">
        <v>32.064999999999998</v>
      </c>
      <c r="F429" s="8">
        <v>152725</v>
      </c>
      <c r="G429" s="9">
        <v>156596</v>
      </c>
      <c r="H429" s="16">
        <f t="shared" si="16"/>
        <v>3.1191515907666906E-4</v>
      </c>
      <c r="I429" s="6">
        <f t="shared" si="17"/>
        <v>3.7333248024568944E-2</v>
      </c>
      <c r="L429" s="11"/>
      <c r="M429" s="12"/>
    </row>
    <row r="430" spans="1:13" ht="15" customHeight="1" x14ac:dyDescent="0.2">
      <c r="A430" s="3">
        <v>45429</v>
      </c>
      <c r="B430" s="4">
        <v>31.774999999999999</v>
      </c>
      <c r="C430" s="4">
        <v>31.259</v>
      </c>
      <c r="D430" s="4">
        <v>31.765000000000001</v>
      </c>
      <c r="E430" s="4">
        <v>31.774999999999999</v>
      </c>
      <c r="F430" s="4">
        <v>144196</v>
      </c>
      <c r="G430" s="5">
        <v>128223.999999999</v>
      </c>
      <c r="H430" s="16">
        <f t="shared" si="16"/>
        <v>3.1476235442234846E-4</v>
      </c>
      <c r="I430" s="6">
        <f t="shared" si="17"/>
        <v>4.6291337528450827E-2</v>
      </c>
      <c r="L430" s="11"/>
      <c r="M430" s="12"/>
    </row>
    <row r="431" spans="1:13" ht="15" customHeight="1" x14ac:dyDescent="0.2">
      <c r="A431" s="7">
        <v>45428</v>
      </c>
      <c r="B431" s="8">
        <v>29.81</v>
      </c>
      <c r="C431" s="8">
        <v>29.876000000000001</v>
      </c>
      <c r="D431" s="8">
        <v>29.805</v>
      </c>
      <c r="E431" s="8">
        <v>29.815000000000001</v>
      </c>
      <c r="F431" s="8">
        <v>142539</v>
      </c>
      <c r="G431" s="9">
        <v>88482</v>
      </c>
      <c r="H431" s="16">
        <f t="shared" si="16"/>
        <v>3.3545790003359821E-4</v>
      </c>
      <c r="I431" s="6">
        <f t="shared" si="17"/>
        <v>4.9446668236403646E-3</v>
      </c>
      <c r="L431" s="11"/>
      <c r="M431" s="12"/>
    </row>
    <row r="432" spans="1:13" ht="15" customHeight="1" x14ac:dyDescent="0.2">
      <c r="A432" s="3">
        <v>45427</v>
      </c>
      <c r="B432" s="4">
        <v>29.92</v>
      </c>
      <c r="C432" s="4">
        <v>29.728999999999999</v>
      </c>
      <c r="D432" s="4">
        <v>29.92</v>
      </c>
      <c r="E432" s="4">
        <v>29.93</v>
      </c>
      <c r="F432" s="4">
        <v>138766</v>
      </c>
      <c r="G432" s="5">
        <v>109926</v>
      </c>
      <c r="H432" s="16">
        <f t="shared" si="16"/>
        <v>3.341687552213203E-4</v>
      </c>
      <c r="I432" s="6">
        <f t="shared" si="17"/>
        <v>3.5781478642603171E-2</v>
      </c>
      <c r="L432" s="11"/>
      <c r="M432" s="12"/>
    </row>
    <row r="433" spans="1:13" ht="15" customHeight="1" x14ac:dyDescent="0.2">
      <c r="A433" s="7">
        <v>45426</v>
      </c>
      <c r="B433" s="8">
        <v>28.87</v>
      </c>
      <c r="C433" s="8">
        <v>28.702000000000002</v>
      </c>
      <c r="D433" s="8">
        <v>28.864999999999998</v>
      </c>
      <c r="E433" s="8">
        <v>28.875</v>
      </c>
      <c r="F433" s="8">
        <v>136005</v>
      </c>
      <c r="G433" s="9">
        <v>68399</v>
      </c>
      <c r="H433" s="16">
        <f t="shared" si="16"/>
        <v>3.4638032559756023E-4</v>
      </c>
      <c r="I433" s="6">
        <f t="shared" si="17"/>
        <v>9.1059311605667936E-3</v>
      </c>
      <c r="L433" s="11"/>
      <c r="M433" s="12"/>
    </row>
    <row r="434" spans="1:13" ht="15" customHeight="1" x14ac:dyDescent="0.2">
      <c r="A434" s="3">
        <v>45425</v>
      </c>
      <c r="B434" s="4">
        <v>28.425000000000001</v>
      </c>
      <c r="C434" s="4">
        <v>28.443000000000001</v>
      </c>
      <c r="D434" s="4">
        <v>28.425000000000001</v>
      </c>
      <c r="E434" s="4">
        <v>28.434999999999999</v>
      </c>
      <c r="F434" s="4">
        <v>136051</v>
      </c>
      <c r="G434" s="5">
        <v>54157</v>
      </c>
      <c r="H434" s="16">
        <f t="shared" si="16"/>
        <v>3.5174111853668696E-4</v>
      </c>
      <c r="I434" s="6">
        <f t="shared" si="17"/>
        <v>-2.2100610397810527E-3</v>
      </c>
      <c r="L434" s="11"/>
      <c r="M434" s="12"/>
    </row>
    <row r="435" spans="1:13" ht="15" customHeight="1" x14ac:dyDescent="0.2">
      <c r="A435" s="7">
        <v>45422</v>
      </c>
      <c r="B435" s="8">
        <v>28.395</v>
      </c>
      <c r="C435" s="8">
        <v>28.506</v>
      </c>
      <c r="D435" s="8">
        <v>28.39</v>
      </c>
      <c r="E435" s="8">
        <v>28.4</v>
      </c>
      <c r="F435" s="8">
        <v>136745</v>
      </c>
      <c r="G435" s="9">
        <v>76262</v>
      </c>
      <c r="H435" s="16">
        <f t="shared" si="16"/>
        <v>3.5217467864053566E-4</v>
      </c>
      <c r="I435" s="6">
        <f t="shared" si="17"/>
        <v>4.970914859862674E-3</v>
      </c>
      <c r="L435" s="11"/>
      <c r="M435" s="12"/>
    </row>
    <row r="436" spans="1:13" ht="15" customHeight="1" x14ac:dyDescent="0.2">
      <c r="A436" s="3">
        <v>45421</v>
      </c>
      <c r="B436" s="4">
        <v>28.574999999999999</v>
      </c>
      <c r="C436" s="4">
        <v>28.364999999999998</v>
      </c>
      <c r="D436" s="4">
        <v>28.57</v>
      </c>
      <c r="E436" s="4">
        <v>28.58</v>
      </c>
      <c r="F436" s="4">
        <v>132305</v>
      </c>
      <c r="G436" s="5">
        <v>76788</v>
      </c>
      <c r="H436" s="16">
        <f t="shared" si="16"/>
        <v>3.4995625546799686E-4</v>
      </c>
      <c r="I436" s="6">
        <f t="shared" si="17"/>
        <v>2.7680156516068255E-2</v>
      </c>
      <c r="L436" s="11"/>
      <c r="M436" s="12"/>
    </row>
    <row r="437" spans="1:13" ht="15" customHeight="1" x14ac:dyDescent="0.2">
      <c r="A437" s="7">
        <v>45420</v>
      </c>
      <c r="B437" s="8">
        <v>27.565000000000001</v>
      </c>
      <c r="C437" s="8">
        <v>27.600999999999999</v>
      </c>
      <c r="D437" s="8">
        <v>27.56</v>
      </c>
      <c r="E437" s="8">
        <v>27.57</v>
      </c>
      <c r="F437" s="8">
        <v>131843</v>
      </c>
      <c r="G437" s="9">
        <v>50284</v>
      </c>
      <c r="H437" s="16">
        <f t="shared" si="16"/>
        <v>3.627788862688759E-4</v>
      </c>
      <c r="I437" s="6">
        <f t="shared" si="17"/>
        <v>2.0694162067962374E-3</v>
      </c>
      <c r="L437" s="11"/>
      <c r="M437" s="12"/>
    </row>
    <row r="438" spans="1:13" ht="15" customHeight="1" x14ac:dyDescent="0.2">
      <c r="A438" s="3">
        <v>45419</v>
      </c>
      <c r="B438" s="4">
        <v>27.484999999999999</v>
      </c>
      <c r="C438" s="4">
        <v>27.544</v>
      </c>
      <c r="D438" s="4">
        <v>27.484999999999999</v>
      </c>
      <c r="E438" s="4">
        <v>27.49</v>
      </c>
      <c r="F438" s="4">
        <v>133998</v>
      </c>
      <c r="G438" s="5">
        <v>45666</v>
      </c>
      <c r="H438" s="16">
        <f t="shared" si="16"/>
        <v>1.8190086402906797E-4</v>
      </c>
      <c r="I438" s="6">
        <f t="shared" si="17"/>
        <v>-2.5349460418628844E-3</v>
      </c>
      <c r="L438" s="11"/>
      <c r="M438" s="12"/>
    </row>
    <row r="439" spans="1:13" ht="15" customHeight="1" x14ac:dyDescent="0.2">
      <c r="A439" s="7">
        <v>45418</v>
      </c>
      <c r="B439" s="8">
        <v>27.684999999999999</v>
      </c>
      <c r="C439" s="8">
        <v>27.614000000000001</v>
      </c>
      <c r="D439" s="8">
        <v>27.675000000000001</v>
      </c>
      <c r="E439" s="8">
        <v>27.684999999999999</v>
      </c>
      <c r="F439" s="8">
        <v>132767</v>
      </c>
      <c r="G439" s="9">
        <v>66084</v>
      </c>
      <c r="H439" s="16">
        <f t="shared" si="16"/>
        <v>3.6127167630050619E-4</v>
      </c>
      <c r="I439" s="6">
        <f t="shared" si="17"/>
        <v>3.4619707755713769E-2</v>
      </c>
      <c r="L439" s="11"/>
      <c r="M439" s="12"/>
    </row>
    <row r="440" spans="1:13" ht="15" customHeight="1" x14ac:dyDescent="0.2">
      <c r="A440" s="3">
        <v>45415</v>
      </c>
      <c r="B440" s="4">
        <v>26.785</v>
      </c>
      <c r="C440" s="4">
        <v>26.69</v>
      </c>
      <c r="D440" s="4">
        <v>26.785</v>
      </c>
      <c r="E440" s="4">
        <v>26.79</v>
      </c>
      <c r="F440" s="4">
        <v>135754</v>
      </c>
      <c r="G440" s="5">
        <v>65050</v>
      </c>
      <c r="H440" s="16">
        <f t="shared" si="16"/>
        <v>1.866542230517594E-4</v>
      </c>
      <c r="I440" s="6">
        <f t="shared" si="17"/>
        <v>-5.1809609005181168E-3</v>
      </c>
      <c r="L440" s="11"/>
      <c r="M440" s="12"/>
    </row>
    <row r="441" spans="1:13" ht="15" customHeight="1" x14ac:dyDescent="0.2">
      <c r="A441" s="7">
        <v>45414</v>
      </c>
      <c r="B441" s="8">
        <v>26.93</v>
      </c>
      <c r="C441" s="8">
        <v>26.829000000000001</v>
      </c>
      <c r="D441" s="8">
        <v>26.92</v>
      </c>
      <c r="E441" s="8">
        <v>26.93</v>
      </c>
      <c r="F441" s="8">
        <v>135744</v>
      </c>
      <c r="G441" s="9">
        <v>62532</v>
      </c>
      <c r="H441" s="16">
        <f t="shared" si="16"/>
        <v>3.71402042711161E-4</v>
      </c>
      <c r="I441" s="6">
        <f t="shared" si="17"/>
        <v>3.0282637954239799E-3</v>
      </c>
      <c r="L441" s="11"/>
      <c r="M441" s="12"/>
    </row>
    <row r="442" spans="1:13" ht="15" customHeight="1" x14ac:dyDescent="0.2">
      <c r="A442" s="3">
        <v>45413</v>
      </c>
      <c r="B442" s="4">
        <v>26.93</v>
      </c>
      <c r="C442" s="4">
        <v>26.748000000000001</v>
      </c>
      <c r="D442" s="4">
        <v>26.925000000000001</v>
      </c>
      <c r="E442" s="4">
        <v>26.934999999999999</v>
      </c>
      <c r="F442" s="4">
        <v>135729</v>
      </c>
      <c r="G442" s="5">
        <v>63886</v>
      </c>
      <c r="H442" s="16">
        <f t="shared" si="16"/>
        <v>3.7133308577786892E-4</v>
      </c>
      <c r="I442" s="6">
        <f t="shared" si="17"/>
        <v>3.5266751707061506E-3</v>
      </c>
      <c r="L442" s="11"/>
      <c r="M442" s="12"/>
    </row>
    <row r="443" spans="1:13" ht="15" customHeight="1" x14ac:dyDescent="0.2">
      <c r="A443" s="7">
        <v>45412</v>
      </c>
      <c r="B443" s="8">
        <v>26.57</v>
      </c>
      <c r="C443" s="8">
        <v>26.654</v>
      </c>
      <c r="D443" s="8">
        <v>26.565000000000001</v>
      </c>
      <c r="E443" s="8">
        <v>26.574999999999999</v>
      </c>
      <c r="F443" s="8">
        <v>137364</v>
      </c>
      <c r="G443" s="9">
        <v>84375</v>
      </c>
      <c r="H443" s="16">
        <f t="shared" si="16"/>
        <v>3.763643206623263E-4</v>
      </c>
      <c r="I443" s="6">
        <f t="shared" si="17"/>
        <v>-2.6266759215285207E-2</v>
      </c>
      <c r="L443" s="11"/>
      <c r="M443" s="12"/>
    </row>
    <row r="444" spans="1:13" ht="15" customHeight="1" x14ac:dyDescent="0.2">
      <c r="A444" s="3">
        <v>45411</v>
      </c>
      <c r="B444" s="4">
        <v>27.145</v>
      </c>
      <c r="C444" s="4">
        <v>27.373000000000001</v>
      </c>
      <c r="D444" s="4">
        <v>27.184999999999999</v>
      </c>
      <c r="E444" s="4">
        <v>27.145</v>
      </c>
      <c r="F444" s="4">
        <v>10701</v>
      </c>
      <c r="G444" s="5">
        <v>11706</v>
      </c>
      <c r="H444" s="16">
        <f t="shared" si="16"/>
        <v>-1.4724829744155769E-3</v>
      </c>
      <c r="I444" s="6">
        <f t="shared" si="17"/>
        <v>4.4400410979010818E-3</v>
      </c>
      <c r="L444" s="11"/>
      <c r="M444" s="12"/>
    </row>
    <row r="445" spans="1:13" ht="15" customHeight="1" x14ac:dyDescent="0.2">
      <c r="A445" s="7">
        <v>45408</v>
      </c>
      <c r="B445" s="8">
        <v>27.225000000000001</v>
      </c>
      <c r="C445" s="8">
        <v>27.251999999999999</v>
      </c>
      <c r="D445" s="8">
        <v>27</v>
      </c>
      <c r="E445" s="8">
        <v>27.23</v>
      </c>
      <c r="F445" s="8">
        <v>19976</v>
      </c>
      <c r="G445" s="9">
        <v>67388</v>
      </c>
      <c r="H445" s="16">
        <f t="shared" si="16"/>
        <v>8.4823898211322298E-3</v>
      </c>
      <c r="I445" s="6">
        <f t="shared" si="17"/>
        <v>-3.6924651774943307E-3</v>
      </c>
      <c r="L445" s="11"/>
      <c r="M445" s="12"/>
    </row>
    <row r="446" spans="1:13" ht="15" customHeight="1" x14ac:dyDescent="0.2">
      <c r="A446" s="3">
        <v>45407</v>
      </c>
      <c r="B446" s="4">
        <v>27.465</v>
      </c>
      <c r="C446" s="4">
        <v>27.353000000000002</v>
      </c>
      <c r="D446" s="4">
        <v>27.46</v>
      </c>
      <c r="E446" s="4">
        <v>27.47</v>
      </c>
      <c r="F446" s="4">
        <v>33912</v>
      </c>
      <c r="G446" s="5">
        <v>82860</v>
      </c>
      <c r="H446" s="16">
        <f t="shared" si="16"/>
        <v>3.6409976333508139E-4</v>
      </c>
      <c r="I446" s="6">
        <f t="shared" si="17"/>
        <v>2.5597893659035087E-4</v>
      </c>
      <c r="L446" s="11"/>
      <c r="M446" s="12"/>
    </row>
    <row r="447" spans="1:13" ht="15" customHeight="1" x14ac:dyDescent="0.2">
      <c r="A447" s="7">
        <v>45406</v>
      </c>
      <c r="B447" s="8">
        <v>27.195</v>
      </c>
      <c r="C447" s="8">
        <v>27.346</v>
      </c>
      <c r="D447" s="8">
        <v>27.19</v>
      </c>
      <c r="E447" s="8">
        <v>27.2</v>
      </c>
      <c r="F447" s="8">
        <v>44523</v>
      </c>
      <c r="G447" s="9">
        <v>68884</v>
      </c>
      <c r="H447" s="16">
        <f t="shared" si="16"/>
        <v>3.6771465342886597E-4</v>
      </c>
      <c r="I447" s="6">
        <f t="shared" si="17"/>
        <v>-5.8475257656598334E-4</v>
      </c>
      <c r="L447" s="11"/>
      <c r="M447" s="12"/>
    </row>
    <row r="448" spans="1:13" ht="15" customHeight="1" x14ac:dyDescent="0.2">
      <c r="A448" s="3">
        <v>45405</v>
      </c>
      <c r="B448" s="4">
        <v>27.35</v>
      </c>
      <c r="C448" s="4">
        <v>27.361999999999998</v>
      </c>
      <c r="D448" s="4">
        <v>27.34</v>
      </c>
      <c r="E448" s="4">
        <v>27.35</v>
      </c>
      <c r="F448" s="4">
        <v>52475</v>
      </c>
      <c r="G448" s="5">
        <v>106240</v>
      </c>
      <c r="H448" s="16">
        <f t="shared" si="16"/>
        <v>3.6569756811122924E-4</v>
      </c>
      <c r="I448" s="6">
        <f t="shared" si="17"/>
        <v>4.2943659387042477E-3</v>
      </c>
      <c r="L448" s="11"/>
      <c r="M448" s="12"/>
    </row>
    <row r="449" spans="1:13" ht="15" customHeight="1" x14ac:dyDescent="0.2">
      <c r="A449" s="7">
        <v>45404</v>
      </c>
      <c r="B449" s="8">
        <v>27.234999999999999</v>
      </c>
      <c r="C449" s="8">
        <v>27.245000000000001</v>
      </c>
      <c r="D449" s="8">
        <v>27.23</v>
      </c>
      <c r="E449" s="8">
        <v>27.24</v>
      </c>
      <c r="F449" s="8">
        <v>66323</v>
      </c>
      <c r="G449" s="9">
        <v>105412</v>
      </c>
      <c r="H449" s="16">
        <f t="shared" si="16"/>
        <v>3.6717459151819392E-4</v>
      </c>
      <c r="I449" s="6">
        <f t="shared" si="17"/>
        <v>-5.5436139231729298E-2</v>
      </c>
      <c r="L449" s="11"/>
      <c r="M449" s="12"/>
    </row>
    <row r="450" spans="1:13" ht="15" customHeight="1" x14ac:dyDescent="0.2">
      <c r="A450" s="3">
        <v>45401</v>
      </c>
      <c r="B450" s="4">
        <v>28.745000000000001</v>
      </c>
      <c r="C450" s="4">
        <v>28.844000000000001</v>
      </c>
      <c r="D450" s="4">
        <v>28.745000000000001</v>
      </c>
      <c r="E450" s="4">
        <v>28.754999999999999</v>
      </c>
      <c r="F450" s="4">
        <v>71349</v>
      </c>
      <c r="G450" s="5">
        <v>88027</v>
      </c>
      <c r="H450" s="16">
        <f t="shared" si="16"/>
        <v>3.4782608695645254E-4</v>
      </c>
      <c r="I450" s="6">
        <f t="shared" si="17"/>
        <v>1.6349541930937406E-2</v>
      </c>
      <c r="L450" s="11"/>
      <c r="M450" s="12"/>
    </row>
    <row r="451" spans="1:13" ht="15" customHeight="1" x14ac:dyDescent="0.2">
      <c r="A451" s="7">
        <v>45400</v>
      </c>
      <c r="B451" s="8">
        <v>28.32</v>
      </c>
      <c r="C451" s="8">
        <v>28.38</v>
      </c>
      <c r="D451" s="8">
        <v>28.31</v>
      </c>
      <c r="E451" s="8">
        <v>28.32</v>
      </c>
      <c r="F451" s="8">
        <v>74292</v>
      </c>
      <c r="G451" s="9">
        <v>70874</v>
      </c>
      <c r="H451" s="16">
        <f t="shared" si="16"/>
        <v>3.5316969803996342E-4</v>
      </c>
      <c r="I451" s="6">
        <f t="shared" si="17"/>
        <v>-7.0422535211267512E-4</v>
      </c>
      <c r="L451" s="11"/>
      <c r="M451" s="12"/>
    </row>
    <row r="452" spans="1:13" ht="15" customHeight="1" x14ac:dyDescent="0.2">
      <c r="A452" s="3">
        <v>45399</v>
      </c>
      <c r="B452" s="4">
        <v>28.295000000000002</v>
      </c>
      <c r="C452" s="4">
        <v>28.4</v>
      </c>
      <c r="D452" s="4">
        <v>28.285</v>
      </c>
      <c r="E452" s="4">
        <v>28.305</v>
      </c>
      <c r="F452" s="4">
        <v>78889</v>
      </c>
      <c r="G452" s="5">
        <v>100995</v>
      </c>
      <c r="H452" s="16">
        <f t="shared" si="16"/>
        <v>7.0683866407490975E-4</v>
      </c>
      <c r="I452" s="6">
        <f t="shared" si="17"/>
        <v>8.4578517056654867E-4</v>
      </c>
      <c r="L452" s="11"/>
      <c r="M452" s="12"/>
    </row>
    <row r="453" spans="1:13" ht="15" customHeight="1" x14ac:dyDescent="0.2">
      <c r="A453" s="7">
        <v>45398</v>
      </c>
      <c r="B453" s="8">
        <v>28.184999999999999</v>
      </c>
      <c r="C453" s="8">
        <v>28.376000000000001</v>
      </c>
      <c r="D453" s="8">
        <v>28.184999999999999</v>
      </c>
      <c r="E453" s="8">
        <v>28.195</v>
      </c>
      <c r="F453" s="8">
        <v>84067</v>
      </c>
      <c r="G453" s="9">
        <v>105347</v>
      </c>
      <c r="H453" s="16">
        <f t="shared" ref="H453:H516" si="18">(E453-D453)/AVERAGE(D453:E453)</f>
        <v>3.5473572188724953E-4</v>
      </c>
      <c r="I453" s="6">
        <f t="shared" ref="I453:I516" si="19">C453/C454-1</f>
        <v>-1.1874499425427398E-2</v>
      </c>
      <c r="L453" s="11"/>
      <c r="M453" s="12"/>
    </row>
    <row r="454" spans="1:13" ht="15" customHeight="1" x14ac:dyDescent="0.2">
      <c r="A454" s="3">
        <v>45397</v>
      </c>
      <c r="B454" s="4">
        <v>28.954999999999998</v>
      </c>
      <c r="C454" s="4">
        <v>28.716999999999999</v>
      </c>
      <c r="D454" s="4">
        <v>28.945</v>
      </c>
      <c r="E454" s="4">
        <v>28.954999999999998</v>
      </c>
      <c r="F454" s="4">
        <v>84760</v>
      </c>
      <c r="G454" s="5">
        <v>118203</v>
      </c>
      <c r="H454" s="16">
        <f t="shared" si="18"/>
        <v>3.4542314335053579E-4</v>
      </c>
      <c r="I454" s="6">
        <f t="shared" si="19"/>
        <v>1.3660430638898768E-2</v>
      </c>
      <c r="L454" s="11"/>
      <c r="M454" s="12"/>
    </row>
    <row r="455" spans="1:13" ht="15" customHeight="1" x14ac:dyDescent="0.2">
      <c r="A455" s="7">
        <v>45394</v>
      </c>
      <c r="B455" s="8">
        <v>27.97</v>
      </c>
      <c r="C455" s="8">
        <v>28.33</v>
      </c>
      <c r="D455" s="8">
        <v>27.96</v>
      </c>
      <c r="E455" s="8">
        <v>27.98</v>
      </c>
      <c r="F455" s="8">
        <v>91849</v>
      </c>
      <c r="G455" s="9">
        <v>188827</v>
      </c>
      <c r="H455" s="16">
        <f t="shared" si="18"/>
        <v>7.1505184125847604E-4</v>
      </c>
      <c r="I455" s="6">
        <f t="shared" si="19"/>
        <v>2.8318584070796682E-3</v>
      </c>
      <c r="L455" s="11"/>
      <c r="M455" s="12"/>
    </row>
    <row r="456" spans="1:13" ht="15" customHeight="1" x14ac:dyDescent="0.2">
      <c r="A456" s="3">
        <v>45393</v>
      </c>
      <c r="B456" s="4">
        <v>28.545000000000002</v>
      </c>
      <c r="C456" s="4">
        <v>28.25</v>
      </c>
      <c r="D456" s="4">
        <v>28.535</v>
      </c>
      <c r="E456" s="4">
        <v>28.55</v>
      </c>
      <c r="F456" s="4">
        <v>95935</v>
      </c>
      <c r="G456" s="5">
        <v>86711</v>
      </c>
      <c r="H456" s="16">
        <f t="shared" si="18"/>
        <v>5.2553210125253803E-4</v>
      </c>
      <c r="I456" s="6">
        <f t="shared" si="19"/>
        <v>7.0583202623699659E-3</v>
      </c>
      <c r="L456" s="11"/>
      <c r="M456" s="12"/>
    </row>
    <row r="457" spans="1:13" ht="15" customHeight="1" x14ac:dyDescent="0.2">
      <c r="A457" s="7">
        <v>45392</v>
      </c>
      <c r="B457" s="8">
        <v>28.05</v>
      </c>
      <c r="C457" s="8">
        <v>28.052</v>
      </c>
      <c r="D457" s="8">
        <v>28.045000000000002</v>
      </c>
      <c r="E457" s="8">
        <v>28.05</v>
      </c>
      <c r="F457" s="8">
        <v>102256</v>
      </c>
      <c r="G457" s="9">
        <v>153200</v>
      </c>
      <c r="H457" s="16">
        <f t="shared" si="18"/>
        <v>1.7826900793293539E-4</v>
      </c>
      <c r="I457" s="6">
        <f t="shared" si="19"/>
        <v>2.4299599771298031E-3</v>
      </c>
      <c r="L457" s="11"/>
      <c r="M457" s="12"/>
    </row>
    <row r="458" spans="1:13" ht="15" customHeight="1" x14ac:dyDescent="0.2">
      <c r="A458" s="3">
        <v>45391</v>
      </c>
      <c r="B458" s="4">
        <v>28.28</v>
      </c>
      <c r="C458" s="4">
        <v>27.984000000000002</v>
      </c>
      <c r="D458" s="4">
        <v>28.27</v>
      </c>
      <c r="E458" s="4">
        <v>28.285</v>
      </c>
      <c r="F458" s="4">
        <v>108484</v>
      </c>
      <c r="G458" s="5">
        <v>121187</v>
      </c>
      <c r="H458" s="16">
        <f t="shared" si="18"/>
        <v>5.3045707718152486E-4</v>
      </c>
      <c r="I458" s="6">
        <f t="shared" si="19"/>
        <v>6.3653037005071411E-3</v>
      </c>
      <c r="L458" s="11"/>
      <c r="M458" s="12"/>
    </row>
    <row r="459" spans="1:13" ht="15" customHeight="1" x14ac:dyDescent="0.2">
      <c r="A459" s="7">
        <v>45390</v>
      </c>
      <c r="B459" s="8">
        <v>27.97</v>
      </c>
      <c r="C459" s="8">
        <v>27.806999999999999</v>
      </c>
      <c r="D459" s="8">
        <v>27.965</v>
      </c>
      <c r="E459" s="8">
        <v>27.975000000000001</v>
      </c>
      <c r="F459" s="8">
        <v>113968</v>
      </c>
      <c r="G459" s="9">
        <v>127046</v>
      </c>
      <c r="H459" s="16">
        <f t="shared" si="18"/>
        <v>3.575259206293015E-4</v>
      </c>
      <c r="I459" s="6">
        <f t="shared" si="19"/>
        <v>1.1053339635676007E-2</v>
      </c>
      <c r="L459" s="11"/>
      <c r="M459" s="12"/>
    </row>
    <row r="460" spans="1:13" ht="15" customHeight="1" x14ac:dyDescent="0.2">
      <c r="A460" s="3">
        <v>45387</v>
      </c>
      <c r="B460" s="4">
        <v>27.6</v>
      </c>
      <c r="C460" s="4">
        <v>27.503</v>
      </c>
      <c r="D460" s="4">
        <v>27.594999999999999</v>
      </c>
      <c r="E460" s="4">
        <v>27.605</v>
      </c>
      <c r="F460" s="4">
        <v>119141</v>
      </c>
      <c r="G460" s="5">
        <v>116261</v>
      </c>
      <c r="H460" s="16">
        <f t="shared" si="18"/>
        <v>3.6231884057976674E-4</v>
      </c>
      <c r="I460" s="6">
        <f t="shared" si="19"/>
        <v>9.3955297830954354E-3</v>
      </c>
      <c r="L460" s="11"/>
      <c r="M460" s="12"/>
    </row>
    <row r="461" spans="1:13" ht="15" customHeight="1" x14ac:dyDescent="0.2">
      <c r="A461" s="7">
        <v>45386</v>
      </c>
      <c r="B461" s="8">
        <v>27.024999999999999</v>
      </c>
      <c r="C461" s="8">
        <v>27.247</v>
      </c>
      <c r="D461" s="8">
        <v>27.015000000000001</v>
      </c>
      <c r="E461" s="8">
        <v>27.024999999999999</v>
      </c>
      <c r="F461" s="8">
        <v>120581</v>
      </c>
      <c r="G461" s="9">
        <v>101416</v>
      </c>
      <c r="H461" s="16">
        <f t="shared" si="18"/>
        <v>3.7009622501843118E-4</v>
      </c>
      <c r="I461" s="6">
        <f t="shared" si="19"/>
        <v>6.9105691056912111E-3</v>
      </c>
      <c r="L461" s="11"/>
      <c r="M461" s="12"/>
    </row>
    <row r="462" spans="1:13" ht="15" customHeight="1" x14ac:dyDescent="0.2">
      <c r="A462" s="3">
        <v>45385</v>
      </c>
      <c r="B462" s="4">
        <v>27.32</v>
      </c>
      <c r="C462" s="4">
        <v>27.06</v>
      </c>
      <c r="D462" s="4">
        <v>27.32</v>
      </c>
      <c r="E462" s="4">
        <v>27.33</v>
      </c>
      <c r="F462" s="4">
        <v>120034</v>
      </c>
      <c r="G462" s="5">
        <v>134805</v>
      </c>
      <c r="H462" s="16">
        <f t="shared" si="18"/>
        <v>3.6596523330276344E-4</v>
      </c>
      <c r="I462" s="6">
        <f t="shared" si="19"/>
        <v>4.3860664274968153E-2</v>
      </c>
      <c r="L462" s="11"/>
      <c r="M462" s="12"/>
    </row>
    <row r="463" spans="1:13" ht="15" customHeight="1" x14ac:dyDescent="0.2">
      <c r="A463" s="7">
        <v>45384</v>
      </c>
      <c r="B463" s="8">
        <v>26.254999999999999</v>
      </c>
      <c r="C463" s="8">
        <v>25.922999999999998</v>
      </c>
      <c r="D463" s="8">
        <v>26.25</v>
      </c>
      <c r="E463" s="8">
        <v>26.254999999999999</v>
      </c>
      <c r="F463" s="8">
        <v>117708</v>
      </c>
      <c r="G463" s="9">
        <v>130287</v>
      </c>
      <c r="H463" s="16">
        <f t="shared" si="18"/>
        <v>1.9045805161409411E-4</v>
      </c>
      <c r="I463" s="6">
        <f t="shared" si="19"/>
        <v>3.3901009053563413E-2</v>
      </c>
      <c r="L463" s="11"/>
      <c r="M463" s="12"/>
    </row>
    <row r="464" spans="1:13" ht="15" customHeight="1" x14ac:dyDescent="0.2">
      <c r="A464" s="3">
        <v>45383</v>
      </c>
      <c r="B464" s="4">
        <v>25.22</v>
      </c>
      <c r="C464" s="4">
        <v>25.073</v>
      </c>
      <c r="D464" s="4">
        <v>25.21</v>
      </c>
      <c r="E464" s="4">
        <v>25.22</v>
      </c>
      <c r="F464" s="4">
        <v>118160</v>
      </c>
      <c r="G464" s="5">
        <v>94571</v>
      </c>
      <c r="H464" s="16">
        <f t="shared" si="18"/>
        <v>3.9658933174689713E-4</v>
      </c>
      <c r="I464" s="6">
        <f t="shared" si="19"/>
        <v>6.3011719377106257E-3</v>
      </c>
      <c r="L464" s="11"/>
      <c r="M464" s="12"/>
    </row>
    <row r="465" spans="1:13" ht="15" customHeight="1" x14ac:dyDescent="0.2">
      <c r="A465" s="7">
        <v>45379</v>
      </c>
      <c r="B465" s="8">
        <v>25.1</v>
      </c>
      <c r="C465" s="8">
        <v>24.916</v>
      </c>
      <c r="D465" s="8">
        <v>25.094999999999999</v>
      </c>
      <c r="E465" s="8">
        <v>25.105</v>
      </c>
      <c r="F465" s="8">
        <v>118329</v>
      </c>
      <c r="G465" s="9">
        <v>71451</v>
      </c>
      <c r="H465" s="16">
        <f t="shared" si="18"/>
        <v>3.9840637450205428E-4</v>
      </c>
      <c r="I465" s="6">
        <f t="shared" si="19"/>
        <v>6.6257272139624845E-3</v>
      </c>
      <c r="L465" s="11"/>
      <c r="M465" s="12"/>
    </row>
    <row r="466" spans="1:13" ht="15" customHeight="1" x14ac:dyDescent="0.2">
      <c r="A466" s="3">
        <v>45378</v>
      </c>
      <c r="B466" s="4">
        <v>24.765000000000001</v>
      </c>
      <c r="C466" s="4">
        <v>24.751999999999999</v>
      </c>
      <c r="D466" s="4">
        <v>24.765000000000001</v>
      </c>
      <c r="E466" s="4">
        <v>24.77</v>
      </c>
      <c r="F466" s="4">
        <v>119305</v>
      </c>
      <c r="G466" s="5">
        <v>55164</v>
      </c>
      <c r="H466" s="16">
        <f t="shared" si="18"/>
        <v>2.0187746038150824E-4</v>
      </c>
      <c r="I466" s="6">
        <f t="shared" si="19"/>
        <v>5.2390041830807643E-3</v>
      </c>
      <c r="L466" s="11"/>
      <c r="M466" s="12"/>
    </row>
    <row r="467" spans="1:13" ht="15" customHeight="1" x14ac:dyDescent="0.2">
      <c r="A467" s="7">
        <v>45377</v>
      </c>
      <c r="B467" s="8">
        <v>24.605</v>
      </c>
      <c r="C467" s="8">
        <v>24.623000000000001</v>
      </c>
      <c r="D467" s="8">
        <v>24.6</v>
      </c>
      <c r="E467" s="8">
        <v>24.61</v>
      </c>
      <c r="F467" s="8">
        <v>120171</v>
      </c>
      <c r="G467" s="9">
        <v>66819</v>
      </c>
      <c r="H467" s="16">
        <f t="shared" si="18"/>
        <v>4.0642145905295712E-4</v>
      </c>
      <c r="I467" s="6">
        <f t="shared" si="19"/>
        <v>-1.0766943875296198E-2</v>
      </c>
      <c r="L467" s="11"/>
      <c r="M467" s="12"/>
    </row>
    <row r="468" spans="1:13" ht="15" customHeight="1" x14ac:dyDescent="0.2">
      <c r="A468" s="3">
        <v>45376</v>
      </c>
      <c r="B468" s="4">
        <v>24.835000000000001</v>
      </c>
      <c r="C468" s="4">
        <v>24.890999999999998</v>
      </c>
      <c r="D468" s="4">
        <v>24.83</v>
      </c>
      <c r="E468" s="4">
        <v>24.84</v>
      </c>
      <c r="F468" s="4">
        <v>120037</v>
      </c>
      <c r="G468" s="5">
        <v>38617</v>
      </c>
      <c r="H468" s="16">
        <f t="shared" si="18"/>
        <v>4.0265753976249496E-4</v>
      </c>
      <c r="I468" s="6">
        <f t="shared" si="19"/>
        <v>1.9321338002655786E-3</v>
      </c>
      <c r="L468" s="11"/>
      <c r="M468" s="12"/>
    </row>
    <row r="469" spans="1:13" ht="15" customHeight="1" x14ac:dyDescent="0.2">
      <c r="A469" s="7">
        <v>45373</v>
      </c>
      <c r="B469" s="8">
        <v>24.835000000000001</v>
      </c>
      <c r="C469" s="8">
        <v>24.843</v>
      </c>
      <c r="D469" s="8">
        <v>24.83</v>
      </c>
      <c r="E469" s="8">
        <v>24.84</v>
      </c>
      <c r="F469" s="8">
        <v>121732</v>
      </c>
      <c r="G469" s="9">
        <v>55996</v>
      </c>
      <c r="H469" s="16">
        <f t="shared" si="18"/>
        <v>4.0265753976249496E-4</v>
      </c>
      <c r="I469" s="6">
        <f t="shared" si="19"/>
        <v>-6.5581637141600702E-3</v>
      </c>
      <c r="L469" s="11"/>
      <c r="M469" s="12"/>
    </row>
    <row r="470" spans="1:13" ht="15" customHeight="1" x14ac:dyDescent="0.2">
      <c r="A470" s="3">
        <v>45372</v>
      </c>
      <c r="B470" s="4">
        <v>24.914999999999999</v>
      </c>
      <c r="C470" s="4">
        <v>25.007000000000001</v>
      </c>
      <c r="D470" s="4">
        <v>24.914999999999999</v>
      </c>
      <c r="E470" s="4">
        <v>24.92</v>
      </c>
      <c r="F470" s="4">
        <v>120201</v>
      </c>
      <c r="G470" s="5">
        <v>102916</v>
      </c>
      <c r="H470" s="16">
        <f t="shared" si="18"/>
        <v>2.0066218521129961E-4</v>
      </c>
      <c r="I470" s="6">
        <f t="shared" si="19"/>
        <v>-3.8639260675589204E-3</v>
      </c>
      <c r="L470" s="11"/>
      <c r="M470" s="12"/>
    </row>
    <row r="471" spans="1:13" ht="15" customHeight="1" x14ac:dyDescent="0.2">
      <c r="A471" s="7">
        <v>45371</v>
      </c>
      <c r="B471" s="8">
        <v>25.774999999999999</v>
      </c>
      <c r="C471" s="8">
        <v>25.103999999999999</v>
      </c>
      <c r="D471" s="8">
        <v>25.774999999999999</v>
      </c>
      <c r="E471" s="8">
        <v>25.78</v>
      </c>
      <c r="F471" s="8">
        <v>117744</v>
      </c>
      <c r="G471" s="9">
        <v>67269</v>
      </c>
      <c r="H471" s="16">
        <f t="shared" si="18"/>
        <v>1.9396760740966184E-4</v>
      </c>
      <c r="I471" s="6">
        <f t="shared" si="19"/>
        <v>-1.2333399641935028E-3</v>
      </c>
      <c r="L471" s="11"/>
      <c r="M471" s="12"/>
    </row>
    <row r="472" spans="1:13" ht="15" customHeight="1" x14ac:dyDescent="0.2">
      <c r="A472" s="3">
        <v>45370</v>
      </c>
      <c r="B472" s="4">
        <v>25.105</v>
      </c>
      <c r="C472" s="4">
        <v>25.135000000000002</v>
      </c>
      <c r="D472" s="4">
        <v>25.1</v>
      </c>
      <c r="E472" s="4">
        <v>25.11</v>
      </c>
      <c r="F472" s="4">
        <v>117162</v>
      </c>
      <c r="G472" s="5">
        <v>48367</v>
      </c>
      <c r="H472" s="16">
        <f t="shared" si="18"/>
        <v>3.98327026488668E-4</v>
      </c>
      <c r="I472" s="6">
        <f t="shared" si="19"/>
        <v>-5.1454581436769509E-3</v>
      </c>
      <c r="L472" s="11"/>
      <c r="M472" s="12"/>
    </row>
    <row r="473" spans="1:13" ht="15" customHeight="1" x14ac:dyDescent="0.2">
      <c r="A473" s="7">
        <v>45369</v>
      </c>
      <c r="B473" s="8">
        <v>25.24</v>
      </c>
      <c r="C473" s="8">
        <v>25.265000000000001</v>
      </c>
      <c r="D473" s="8">
        <v>25.234999999999999</v>
      </c>
      <c r="E473" s="8">
        <v>25.245000000000001</v>
      </c>
      <c r="F473" s="8">
        <v>116756</v>
      </c>
      <c r="G473" s="9">
        <v>47368</v>
      </c>
      <c r="H473" s="16">
        <f t="shared" si="18"/>
        <v>3.9619651347074338E-4</v>
      </c>
      <c r="I473" s="6">
        <f t="shared" si="19"/>
        <v>-4.5703478980338996E-3</v>
      </c>
      <c r="L473" s="11"/>
      <c r="M473" s="12"/>
    </row>
    <row r="474" spans="1:13" ht="15" customHeight="1" x14ac:dyDescent="0.2">
      <c r="A474" s="3">
        <v>45366</v>
      </c>
      <c r="B474" s="4">
        <v>25.405000000000001</v>
      </c>
      <c r="C474" s="4">
        <v>25.381</v>
      </c>
      <c r="D474" s="4">
        <v>25.4</v>
      </c>
      <c r="E474" s="4">
        <v>25.405000000000001</v>
      </c>
      <c r="F474" s="4">
        <v>115848</v>
      </c>
      <c r="G474" s="5">
        <v>72751</v>
      </c>
      <c r="H474" s="16">
        <f t="shared" si="18"/>
        <v>1.9683102056894234E-4</v>
      </c>
      <c r="I474" s="6">
        <f t="shared" si="19"/>
        <v>1.2809257781324801E-2</v>
      </c>
      <c r="L474" s="11"/>
      <c r="M474" s="12"/>
    </row>
    <row r="475" spans="1:13" ht="15" customHeight="1" x14ac:dyDescent="0.2">
      <c r="A475" s="7">
        <v>45365</v>
      </c>
      <c r="B475" s="8">
        <v>25.024999999999999</v>
      </c>
      <c r="C475" s="8">
        <v>25.06</v>
      </c>
      <c r="D475" s="8">
        <v>25.02</v>
      </c>
      <c r="E475" s="8">
        <v>25.03</v>
      </c>
      <c r="F475" s="8">
        <v>115511</v>
      </c>
      <c r="G475" s="9">
        <v>71049</v>
      </c>
      <c r="H475" s="16">
        <f t="shared" si="18"/>
        <v>3.996003996004621E-4</v>
      </c>
      <c r="I475" s="6">
        <f t="shared" si="19"/>
        <v>-3.8161869931626624E-3</v>
      </c>
      <c r="L475" s="11"/>
      <c r="M475" s="12"/>
    </row>
    <row r="476" spans="1:13" ht="15" customHeight="1" x14ac:dyDescent="0.2">
      <c r="A476" s="3">
        <v>45364</v>
      </c>
      <c r="B476" s="4">
        <v>25.225000000000001</v>
      </c>
      <c r="C476" s="4">
        <v>25.155999999999999</v>
      </c>
      <c r="D476" s="4">
        <v>25.22</v>
      </c>
      <c r="E476" s="4">
        <v>25.23</v>
      </c>
      <c r="F476" s="4">
        <v>113354</v>
      </c>
      <c r="G476" s="5">
        <v>75011</v>
      </c>
      <c r="H476" s="16">
        <f t="shared" si="18"/>
        <v>3.9643211100105302E-4</v>
      </c>
      <c r="I476" s="6">
        <f t="shared" si="19"/>
        <v>3.123718947282117E-2</v>
      </c>
      <c r="L476" s="11"/>
      <c r="M476" s="12"/>
    </row>
    <row r="477" spans="1:13" ht="15" customHeight="1" x14ac:dyDescent="0.2">
      <c r="A477" s="7">
        <v>45363</v>
      </c>
      <c r="B477" s="8">
        <v>24.34</v>
      </c>
      <c r="C477" s="8">
        <v>24.393999999999998</v>
      </c>
      <c r="D477" s="8">
        <v>24.335000000000001</v>
      </c>
      <c r="E477" s="8">
        <v>24.344999999999999</v>
      </c>
      <c r="F477" s="8">
        <v>114567</v>
      </c>
      <c r="G477" s="9">
        <v>73496</v>
      </c>
      <c r="H477" s="16">
        <f t="shared" si="18"/>
        <v>4.1084634346746143E-4</v>
      </c>
      <c r="I477" s="6">
        <f t="shared" si="19"/>
        <v>-1.2988063928788263E-2</v>
      </c>
      <c r="L477" s="11"/>
      <c r="M477" s="12"/>
    </row>
    <row r="478" spans="1:13" ht="15" customHeight="1" x14ac:dyDescent="0.2">
      <c r="A478" s="3">
        <v>45362</v>
      </c>
      <c r="B478" s="4">
        <v>24.68</v>
      </c>
      <c r="C478" s="4">
        <v>24.715</v>
      </c>
      <c r="D478" s="4">
        <v>24.675000000000001</v>
      </c>
      <c r="E478" s="4">
        <v>24.684999999999999</v>
      </c>
      <c r="F478" s="4">
        <v>113356</v>
      </c>
      <c r="G478" s="5">
        <v>47000</v>
      </c>
      <c r="H478" s="16">
        <f t="shared" si="18"/>
        <v>4.0518638573735859E-4</v>
      </c>
      <c r="I478" s="6">
        <f t="shared" si="19"/>
        <v>6.7619862316183887E-3</v>
      </c>
      <c r="L478" s="11"/>
      <c r="M478" s="12"/>
    </row>
    <row r="479" spans="1:13" ht="15" customHeight="1" x14ac:dyDescent="0.2">
      <c r="A479" s="7">
        <v>45359</v>
      </c>
      <c r="B479" s="8">
        <v>24.524999999999999</v>
      </c>
      <c r="C479" s="8">
        <v>24.548999999999999</v>
      </c>
      <c r="D479" s="8">
        <v>24.52</v>
      </c>
      <c r="E479" s="8">
        <v>24.53</v>
      </c>
      <c r="F479" s="8">
        <v>114996</v>
      </c>
      <c r="G479" s="9">
        <v>83512</v>
      </c>
      <c r="H479" s="16">
        <f t="shared" si="18"/>
        <v>4.0774719673808619E-4</v>
      </c>
      <c r="I479" s="6">
        <f t="shared" si="19"/>
        <v>-1.1799169989421543E-3</v>
      </c>
      <c r="L479" s="11"/>
      <c r="M479" s="12"/>
    </row>
    <row r="480" spans="1:13" ht="15" customHeight="1" x14ac:dyDescent="0.2">
      <c r="A480" s="3">
        <v>45358</v>
      </c>
      <c r="B480" s="4">
        <v>24.545000000000002</v>
      </c>
      <c r="C480" s="4">
        <v>24.577999999999999</v>
      </c>
      <c r="D480" s="4">
        <v>24.545000000000002</v>
      </c>
      <c r="E480" s="4">
        <v>24.55</v>
      </c>
      <c r="F480" s="4">
        <v>113157</v>
      </c>
      <c r="G480" s="5">
        <v>80308</v>
      </c>
      <c r="H480" s="16">
        <f t="shared" si="18"/>
        <v>2.036867298095124E-4</v>
      </c>
      <c r="I480" s="6">
        <f t="shared" si="19"/>
        <v>3.4703792920427468E-3</v>
      </c>
      <c r="L480" s="11"/>
      <c r="M480" s="12"/>
    </row>
    <row r="481" spans="1:13" ht="15" customHeight="1" x14ac:dyDescent="0.2">
      <c r="A481" s="7">
        <v>45357</v>
      </c>
      <c r="B481" s="8">
        <v>24.4</v>
      </c>
      <c r="C481" s="8">
        <v>24.492999999999999</v>
      </c>
      <c r="D481" s="8">
        <v>24.395</v>
      </c>
      <c r="E481" s="8">
        <v>24.405000000000001</v>
      </c>
      <c r="F481" s="8">
        <v>113226</v>
      </c>
      <c r="G481" s="9">
        <v>80598</v>
      </c>
      <c r="H481" s="16">
        <f t="shared" si="18"/>
        <v>4.0983606557383457E-4</v>
      </c>
      <c r="I481" s="6">
        <f t="shared" si="19"/>
        <v>2.1222481654436187E-2</v>
      </c>
      <c r="L481" s="11"/>
      <c r="M481" s="12"/>
    </row>
    <row r="482" spans="1:13" ht="15" customHeight="1" x14ac:dyDescent="0.2">
      <c r="A482" s="3">
        <v>45356</v>
      </c>
      <c r="B482" s="4">
        <v>23.89</v>
      </c>
      <c r="C482" s="4">
        <v>23.984000000000002</v>
      </c>
      <c r="D482" s="4">
        <v>23.885000000000002</v>
      </c>
      <c r="E482" s="4">
        <v>23.895</v>
      </c>
      <c r="F482" s="4">
        <v>115590</v>
      </c>
      <c r="G482" s="5">
        <v>95129</v>
      </c>
      <c r="H482" s="16">
        <f t="shared" si="18"/>
        <v>4.1858518208447089E-4</v>
      </c>
      <c r="I482" s="6">
        <f t="shared" si="19"/>
        <v>-2.9177608269759236E-4</v>
      </c>
      <c r="L482" s="11"/>
      <c r="M482" s="12"/>
    </row>
    <row r="483" spans="1:13" ht="15" customHeight="1" x14ac:dyDescent="0.2">
      <c r="A483" s="7">
        <v>45355</v>
      </c>
      <c r="B483" s="8">
        <v>24.105</v>
      </c>
      <c r="C483" s="8">
        <v>23.991</v>
      </c>
      <c r="D483" s="8">
        <v>24.105</v>
      </c>
      <c r="E483" s="8">
        <v>24.11</v>
      </c>
      <c r="F483" s="8">
        <v>116834</v>
      </c>
      <c r="G483" s="9">
        <v>83748</v>
      </c>
      <c r="H483" s="16">
        <f t="shared" si="18"/>
        <v>2.07404334750555E-4</v>
      </c>
      <c r="I483" s="6">
        <f t="shared" si="19"/>
        <v>2.6836158192090398E-2</v>
      </c>
      <c r="L483" s="11"/>
      <c r="M483" s="12"/>
    </row>
    <row r="484" spans="1:13" ht="15" customHeight="1" x14ac:dyDescent="0.2">
      <c r="A484" s="3">
        <v>45352</v>
      </c>
      <c r="B484" s="4">
        <v>23.344999999999999</v>
      </c>
      <c r="C484" s="4">
        <v>23.364000000000001</v>
      </c>
      <c r="D484" s="4">
        <v>23.34</v>
      </c>
      <c r="E484" s="4">
        <v>23.35</v>
      </c>
      <c r="F484" s="4">
        <v>116090</v>
      </c>
      <c r="G484" s="5">
        <v>69132</v>
      </c>
      <c r="H484" s="16">
        <f t="shared" si="18"/>
        <v>4.2835724994652233E-4</v>
      </c>
      <c r="I484" s="6">
        <f t="shared" si="19"/>
        <v>2.0930740659820701E-2</v>
      </c>
      <c r="L484" s="11"/>
      <c r="M484" s="12"/>
    </row>
    <row r="485" spans="1:13" ht="15" customHeight="1" x14ac:dyDescent="0.2">
      <c r="A485" s="7">
        <v>45351</v>
      </c>
      <c r="B485" s="8">
        <v>22.88</v>
      </c>
      <c r="C485" s="8">
        <v>22.885000000000002</v>
      </c>
      <c r="D485" s="8">
        <v>22.875</v>
      </c>
      <c r="E485" s="8">
        <v>22.885000000000002</v>
      </c>
      <c r="F485" s="8">
        <v>117198</v>
      </c>
      <c r="G485" s="9">
        <v>55427</v>
      </c>
      <c r="H485" s="16">
        <f t="shared" si="18"/>
        <v>4.3706293706300531E-4</v>
      </c>
      <c r="I485" s="6">
        <f t="shared" si="19"/>
        <v>1.1000176709666132E-2</v>
      </c>
      <c r="L485" s="11"/>
      <c r="M485" s="12"/>
    </row>
    <row r="486" spans="1:13" ht="15" customHeight="1" x14ac:dyDescent="0.2">
      <c r="A486" s="3">
        <v>45350</v>
      </c>
      <c r="B486" s="4">
        <v>22.675000000000001</v>
      </c>
      <c r="C486" s="4">
        <v>22.635999999999999</v>
      </c>
      <c r="D486" s="4">
        <v>22.664999999999999</v>
      </c>
      <c r="E486" s="4">
        <v>22.675000000000001</v>
      </c>
      <c r="F486" s="4">
        <v>113777</v>
      </c>
      <c r="G486" s="5">
        <v>43137</v>
      </c>
      <c r="H486" s="16">
        <f t="shared" si="18"/>
        <v>4.4111160123518143E-4</v>
      </c>
      <c r="I486" s="6">
        <f t="shared" si="19"/>
        <v>4.61565773122663E-3</v>
      </c>
      <c r="L486" s="11"/>
      <c r="M486" s="12"/>
    </row>
    <row r="487" spans="1:13" ht="15" customHeight="1" x14ac:dyDescent="0.2">
      <c r="A487" s="7">
        <v>45349</v>
      </c>
      <c r="B487" s="8">
        <v>22.44</v>
      </c>
      <c r="C487" s="8">
        <v>22.532</v>
      </c>
      <c r="D487" s="8">
        <v>22.4</v>
      </c>
      <c r="E487" s="8">
        <v>22.475000000000001</v>
      </c>
      <c r="F487" s="8">
        <v>17800</v>
      </c>
      <c r="G487" s="9">
        <v>38360</v>
      </c>
      <c r="H487" s="16">
        <f t="shared" si="18"/>
        <v>3.3426183844012408E-3</v>
      </c>
      <c r="I487" s="6">
        <f t="shared" si="19"/>
        <v>2.663588741897982E-4</v>
      </c>
      <c r="L487" s="11"/>
      <c r="M487" s="12"/>
    </row>
    <row r="488" spans="1:13" ht="15" customHeight="1" x14ac:dyDescent="0.2">
      <c r="A488" s="3">
        <v>45348</v>
      </c>
      <c r="B488" s="4">
        <v>22.524999999999999</v>
      </c>
      <c r="C488" s="4">
        <v>22.526</v>
      </c>
      <c r="D488" s="4">
        <v>22.515000000000001</v>
      </c>
      <c r="E488" s="4">
        <v>22.53</v>
      </c>
      <c r="F488" s="4">
        <v>30419</v>
      </c>
      <c r="G488" s="5">
        <v>53064</v>
      </c>
      <c r="H488" s="16">
        <f t="shared" si="18"/>
        <v>6.6600066600069126E-4</v>
      </c>
      <c r="I488" s="6">
        <f t="shared" si="19"/>
        <v>-1.9841615177095151E-2</v>
      </c>
      <c r="L488" s="11"/>
      <c r="M488" s="12"/>
    </row>
    <row r="489" spans="1:13" ht="15" customHeight="1" x14ac:dyDescent="0.2">
      <c r="A489" s="7">
        <v>45345</v>
      </c>
      <c r="B489" s="8">
        <v>22.975000000000001</v>
      </c>
      <c r="C489" s="8">
        <v>22.981999999999999</v>
      </c>
      <c r="D489" s="8">
        <v>22.975000000000001</v>
      </c>
      <c r="E489" s="8">
        <v>22.98</v>
      </c>
      <c r="F489" s="8">
        <v>40735</v>
      </c>
      <c r="G489" s="9">
        <v>61639</v>
      </c>
      <c r="H489" s="16">
        <f t="shared" si="18"/>
        <v>2.1760417800017432E-4</v>
      </c>
      <c r="I489" s="6">
        <f t="shared" si="19"/>
        <v>8.690308988763995E-3</v>
      </c>
      <c r="L489" s="11"/>
      <c r="M489" s="12"/>
    </row>
    <row r="490" spans="1:13" ht="15" customHeight="1" x14ac:dyDescent="0.2">
      <c r="A490" s="3">
        <v>45344</v>
      </c>
      <c r="B490" s="4">
        <v>22.78</v>
      </c>
      <c r="C490" s="4">
        <v>22.783999999999999</v>
      </c>
      <c r="D490" s="4">
        <v>22.774999999999999</v>
      </c>
      <c r="E490" s="4">
        <v>22.78</v>
      </c>
      <c r="F490" s="4">
        <v>49845</v>
      </c>
      <c r="G490" s="5">
        <v>50326</v>
      </c>
      <c r="H490" s="16">
        <f t="shared" si="18"/>
        <v>2.1951487213269928E-4</v>
      </c>
      <c r="I490" s="6">
        <f t="shared" si="19"/>
        <v>-3.9345982338025998E-3</v>
      </c>
      <c r="L490" s="11"/>
      <c r="M490" s="12"/>
    </row>
    <row r="491" spans="1:13" ht="15" customHeight="1" x14ac:dyDescent="0.2">
      <c r="A491" s="7">
        <v>45343</v>
      </c>
      <c r="B491" s="8">
        <v>22.93</v>
      </c>
      <c r="C491" s="8">
        <v>22.873999999999999</v>
      </c>
      <c r="D491" s="8">
        <v>22.925000000000001</v>
      </c>
      <c r="E491" s="8">
        <v>22.934999999999999</v>
      </c>
      <c r="F491" s="8">
        <v>57012</v>
      </c>
      <c r="G491" s="9">
        <v>56480</v>
      </c>
      <c r="H491" s="16">
        <f t="shared" si="18"/>
        <v>4.3610989969463629E-4</v>
      </c>
      <c r="I491" s="6">
        <f t="shared" si="19"/>
        <v>-1.1324343015214455E-2</v>
      </c>
      <c r="L491" s="11"/>
      <c r="M491" s="12"/>
    </row>
    <row r="492" spans="1:13" ht="15" customHeight="1" x14ac:dyDescent="0.2">
      <c r="A492" s="3">
        <v>45342</v>
      </c>
      <c r="B492" s="4">
        <v>23.045000000000002</v>
      </c>
      <c r="C492" s="4">
        <v>23.135999999999999</v>
      </c>
      <c r="D492" s="4">
        <v>23.04</v>
      </c>
      <c r="E492" s="4">
        <v>23.05</v>
      </c>
      <c r="F492" s="4">
        <v>68225</v>
      </c>
      <c r="G492" s="5">
        <v>96977</v>
      </c>
      <c r="H492" s="16">
        <f t="shared" si="18"/>
        <v>4.3393360815801961E-4</v>
      </c>
      <c r="I492" s="6">
        <f t="shared" si="19"/>
        <v>-1.4440894568690243E-2</v>
      </c>
      <c r="L492" s="11"/>
      <c r="M492" s="12"/>
    </row>
    <row r="493" spans="1:13" ht="15" customHeight="1" x14ac:dyDescent="0.2">
      <c r="A493" s="7">
        <v>45338</v>
      </c>
      <c r="B493" s="8">
        <v>23.475000000000001</v>
      </c>
      <c r="C493" s="8">
        <v>23.475000000000001</v>
      </c>
      <c r="D493" s="8">
        <v>23.475000000000001</v>
      </c>
      <c r="E493" s="8">
        <v>23.484999999999999</v>
      </c>
      <c r="F493" s="8">
        <v>68172</v>
      </c>
      <c r="G493" s="9">
        <v>75535</v>
      </c>
      <c r="H493" s="16">
        <f t="shared" si="18"/>
        <v>4.2589437819412311E-4</v>
      </c>
      <c r="I493" s="6">
        <f t="shared" si="19"/>
        <v>2.2831249183042246E-2</v>
      </c>
      <c r="L493" s="11"/>
      <c r="M493" s="12"/>
    </row>
    <row r="494" spans="1:13" ht="15" customHeight="1" x14ac:dyDescent="0.2">
      <c r="A494" s="3">
        <v>45337</v>
      </c>
      <c r="B494" s="4">
        <v>22.97</v>
      </c>
      <c r="C494" s="4">
        <v>22.951000000000001</v>
      </c>
      <c r="D494" s="4">
        <v>22.965</v>
      </c>
      <c r="E494" s="4">
        <v>22.975000000000001</v>
      </c>
      <c r="F494" s="4">
        <v>73348</v>
      </c>
      <c r="G494" s="5">
        <v>94270</v>
      </c>
      <c r="H494" s="16">
        <f t="shared" si="18"/>
        <v>4.3535045711804804E-4</v>
      </c>
      <c r="I494" s="6">
        <f t="shared" si="19"/>
        <v>2.5193192477777293E-2</v>
      </c>
      <c r="L494" s="11"/>
      <c r="M494" s="12"/>
    </row>
    <row r="495" spans="1:13" ht="15" customHeight="1" x14ac:dyDescent="0.2">
      <c r="A495" s="7">
        <v>45336</v>
      </c>
      <c r="B495" s="8">
        <v>22.425000000000001</v>
      </c>
      <c r="C495" s="8">
        <v>22.387</v>
      </c>
      <c r="D495" s="8">
        <v>22.42</v>
      </c>
      <c r="E495" s="8">
        <v>22.43</v>
      </c>
      <c r="F495" s="8">
        <v>77619</v>
      </c>
      <c r="G495" s="9">
        <v>79424</v>
      </c>
      <c r="H495" s="16">
        <f t="shared" si="18"/>
        <v>4.4593088071340068E-4</v>
      </c>
      <c r="I495" s="6">
        <f t="shared" si="19"/>
        <v>1.0517288074388453E-2</v>
      </c>
      <c r="L495" s="11"/>
      <c r="M495" s="12"/>
    </row>
    <row r="496" spans="1:13" ht="15" customHeight="1" x14ac:dyDescent="0.2">
      <c r="A496" s="3">
        <v>45335</v>
      </c>
      <c r="B496" s="4">
        <v>22.164999999999999</v>
      </c>
      <c r="C496" s="4">
        <v>22.154</v>
      </c>
      <c r="D496" s="4">
        <v>22.16</v>
      </c>
      <c r="E496" s="4">
        <v>22.17</v>
      </c>
      <c r="F496" s="4">
        <v>78718</v>
      </c>
      <c r="G496" s="5">
        <v>90471</v>
      </c>
      <c r="H496" s="16">
        <f t="shared" si="18"/>
        <v>4.5116174148439266E-4</v>
      </c>
      <c r="I496" s="6">
        <f t="shared" si="19"/>
        <v>-2.6924935213247236E-2</v>
      </c>
      <c r="L496" s="11"/>
      <c r="M496" s="12"/>
    </row>
    <row r="497" spans="1:13" ht="15" customHeight="1" x14ac:dyDescent="0.2">
      <c r="A497" s="7">
        <v>45334</v>
      </c>
      <c r="B497" s="8">
        <v>22.754999999999999</v>
      </c>
      <c r="C497" s="8">
        <v>22.766999999999999</v>
      </c>
      <c r="D497" s="8">
        <v>22.75</v>
      </c>
      <c r="E497" s="8">
        <v>22.76</v>
      </c>
      <c r="F497" s="8">
        <v>84559</v>
      </c>
      <c r="G497" s="9">
        <v>73387</v>
      </c>
      <c r="H497" s="16">
        <f t="shared" si="18"/>
        <v>4.3946385409806909E-4</v>
      </c>
      <c r="I497" s="6">
        <f t="shared" si="19"/>
        <v>7.6569000619632899E-3</v>
      </c>
      <c r="L497" s="11"/>
      <c r="M497" s="12"/>
    </row>
    <row r="498" spans="1:13" ht="15" customHeight="1" x14ac:dyDescent="0.2">
      <c r="A498" s="3">
        <v>45331</v>
      </c>
      <c r="B498" s="4">
        <v>22.67</v>
      </c>
      <c r="C498" s="4">
        <v>22.594000000000001</v>
      </c>
      <c r="D498" s="4">
        <v>22.664999999999999</v>
      </c>
      <c r="E498" s="4">
        <v>22.675000000000001</v>
      </c>
      <c r="F498" s="4">
        <v>90010</v>
      </c>
      <c r="G498" s="5">
        <v>47051</v>
      </c>
      <c r="H498" s="16">
        <f t="shared" si="18"/>
        <v>4.4111160123518143E-4</v>
      </c>
      <c r="I498" s="6">
        <f t="shared" si="19"/>
        <v>-1.8554514931965471E-3</v>
      </c>
      <c r="L498" s="11"/>
      <c r="M498" s="12"/>
    </row>
    <row r="499" spans="1:13" ht="15" customHeight="1" x14ac:dyDescent="0.2">
      <c r="A499" s="7">
        <v>45330</v>
      </c>
      <c r="B499" s="8">
        <v>22.66</v>
      </c>
      <c r="C499" s="8">
        <v>22.635999999999999</v>
      </c>
      <c r="D499" s="8">
        <v>22.655000000000001</v>
      </c>
      <c r="E499" s="8">
        <v>22.664999999999999</v>
      </c>
      <c r="F499" s="8">
        <v>95074</v>
      </c>
      <c r="G499" s="9">
        <v>65811</v>
      </c>
      <c r="H499" s="16">
        <f t="shared" si="18"/>
        <v>4.4130626654889719E-4</v>
      </c>
      <c r="I499" s="6">
        <f t="shared" si="19"/>
        <v>1.2343470483005436E-2</v>
      </c>
      <c r="L499" s="11"/>
      <c r="M499" s="12"/>
    </row>
    <row r="500" spans="1:13" ht="15" customHeight="1" x14ac:dyDescent="0.2">
      <c r="A500" s="3">
        <v>45329</v>
      </c>
      <c r="B500" s="4">
        <v>22.295000000000002</v>
      </c>
      <c r="C500" s="4">
        <v>22.36</v>
      </c>
      <c r="D500" s="4">
        <v>22.29</v>
      </c>
      <c r="E500" s="4">
        <v>22.295000000000002</v>
      </c>
      <c r="F500" s="4">
        <v>98261</v>
      </c>
      <c r="G500" s="5">
        <v>55486</v>
      </c>
      <c r="H500" s="16">
        <f t="shared" si="18"/>
        <v>2.2429068072233073E-4</v>
      </c>
      <c r="I500" s="6">
        <f t="shared" si="19"/>
        <v>-5.2495773645343524E-3</v>
      </c>
      <c r="L500" s="11"/>
      <c r="M500" s="12"/>
    </row>
    <row r="501" spans="1:13" ht="15" customHeight="1" x14ac:dyDescent="0.2">
      <c r="A501" s="7">
        <v>45328</v>
      </c>
      <c r="B501" s="8">
        <v>22.504999999999999</v>
      </c>
      <c r="C501" s="8">
        <v>22.478000000000002</v>
      </c>
      <c r="D501" s="8">
        <v>22.504999999999999</v>
      </c>
      <c r="E501" s="8">
        <v>22.515000000000001</v>
      </c>
      <c r="F501" s="8">
        <v>98552</v>
      </c>
      <c r="G501" s="9">
        <v>42414</v>
      </c>
      <c r="H501" s="16">
        <f t="shared" si="18"/>
        <v>4.4424700133281048E-4</v>
      </c>
      <c r="I501" s="6">
        <f t="shared" si="19"/>
        <v>2.4975470520025578E-3</v>
      </c>
      <c r="L501" s="11"/>
      <c r="M501" s="12"/>
    </row>
    <row r="502" spans="1:13" ht="15" customHeight="1" x14ac:dyDescent="0.2">
      <c r="A502" s="3">
        <v>45327</v>
      </c>
      <c r="B502" s="4">
        <v>22.434999999999999</v>
      </c>
      <c r="C502" s="4">
        <v>22.422000000000001</v>
      </c>
      <c r="D502" s="4">
        <v>22.434999999999999</v>
      </c>
      <c r="E502" s="4">
        <v>22.44</v>
      </c>
      <c r="F502" s="4">
        <v>95668</v>
      </c>
      <c r="G502" s="5">
        <v>53406</v>
      </c>
      <c r="H502" s="16">
        <f t="shared" si="18"/>
        <v>2.2284122562685494E-4</v>
      </c>
      <c r="I502" s="6">
        <f t="shared" si="19"/>
        <v>-1.64063870854535E-2</v>
      </c>
      <c r="L502" s="11"/>
      <c r="M502" s="12"/>
    </row>
    <row r="503" spans="1:13" ht="15" customHeight="1" x14ac:dyDescent="0.2">
      <c r="A503" s="7">
        <v>45324</v>
      </c>
      <c r="B503" s="8">
        <v>22.79</v>
      </c>
      <c r="C503" s="8">
        <v>22.795999999999999</v>
      </c>
      <c r="D503" s="8">
        <v>22.785</v>
      </c>
      <c r="E503" s="8">
        <v>22.79</v>
      </c>
      <c r="F503" s="8">
        <v>95637</v>
      </c>
      <c r="G503" s="9">
        <v>88374</v>
      </c>
      <c r="H503" s="16">
        <f t="shared" si="18"/>
        <v>2.1941854086665957E-4</v>
      </c>
      <c r="I503" s="6">
        <f t="shared" si="19"/>
        <v>-1.893613358581514E-2</v>
      </c>
      <c r="L503" s="11"/>
      <c r="M503" s="12"/>
    </row>
    <row r="504" spans="1:13" ht="15" customHeight="1" x14ac:dyDescent="0.2">
      <c r="A504" s="3">
        <v>45323</v>
      </c>
      <c r="B504" s="4">
        <v>23.29</v>
      </c>
      <c r="C504" s="4">
        <v>23.236000000000001</v>
      </c>
      <c r="D504" s="4">
        <v>23.285</v>
      </c>
      <c r="E504" s="4">
        <v>23.29</v>
      </c>
      <c r="F504" s="4">
        <v>96487</v>
      </c>
      <c r="G504" s="5">
        <v>83589</v>
      </c>
      <c r="H504" s="16">
        <f t="shared" si="18"/>
        <v>2.1470746108422995E-4</v>
      </c>
      <c r="I504" s="6">
        <f t="shared" si="19"/>
        <v>2.891795071000125E-3</v>
      </c>
      <c r="L504" s="11"/>
      <c r="M504" s="12"/>
    </row>
    <row r="505" spans="1:13" ht="15" customHeight="1" x14ac:dyDescent="0.2">
      <c r="A505" s="7">
        <v>45322</v>
      </c>
      <c r="B505" s="8">
        <v>23.06</v>
      </c>
      <c r="C505" s="8">
        <v>23.169</v>
      </c>
      <c r="D505" s="8">
        <v>23.05</v>
      </c>
      <c r="E505" s="8">
        <v>23.06</v>
      </c>
      <c r="F505" s="8">
        <v>97275</v>
      </c>
      <c r="G505" s="9">
        <v>65884</v>
      </c>
      <c r="H505" s="16">
        <f t="shared" si="18"/>
        <v>4.3374539145512952E-4</v>
      </c>
      <c r="I505" s="6">
        <f t="shared" si="19"/>
        <v>-2.4111948331539956E-3</v>
      </c>
      <c r="L505" s="11"/>
      <c r="M505" s="12"/>
    </row>
    <row r="506" spans="1:13" ht="15" customHeight="1" x14ac:dyDescent="0.2">
      <c r="A506" s="3">
        <v>45321</v>
      </c>
      <c r="B506" s="4">
        <v>23.29</v>
      </c>
      <c r="C506" s="4">
        <v>23.225000000000001</v>
      </c>
      <c r="D506" s="4">
        <v>23.285</v>
      </c>
      <c r="E506" s="4">
        <v>23.295000000000002</v>
      </c>
      <c r="F506" s="4">
        <v>99481</v>
      </c>
      <c r="G506" s="5">
        <v>52017</v>
      </c>
      <c r="H506" s="16">
        <f t="shared" si="18"/>
        <v>4.2936882782316718E-4</v>
      </c>
      <c r="I506" s="6">
        <f t="shared" si="19"/>
        <v>-1.1182314739150989E-3</v>
      </c>
      <c r="L506" s="11"/>
      <c r="M506" s="12"/>
    </row>
    <row r="507" spans="1:13" ht="15" customHeight="1" x14ac:dyDescent="0.2">
      <c r="A507" s="7">
        <v>45320</v>
      </c>
      <c r="B507" s="8">
        <v>23.324999999999999</v>
      </c>
      <c r="C507" s="8">
        <v>23.251000000000001</v>
      </c>
      <c r="D507" s="8">
        <v>23.315000000000001</v>
      </c>
      <c r="E507" s="8">
        <v>23.324999999999999</v>
      </c>
      <c r="F507" s="8">
        <v>100113</v>
      </c>
      <c r="G507" s="9">
        <v>59186</v>
      </c>
      <c r="H507" s="16">
        <f t="shared" si="18"/>
        <v>4.2881646655223028E-4</v>
      </c>
      <c r="I507" s="6">
        <f t="shared" si="19"/>
        <v>1.6570479188527498E-2</v>
      </c>
      <c r="L507" s="11"/>
      <c r="M507" s="12"/>
    </row>
    <row r="508" spans="1:13" ht="15" customHeight="1" x14ac:dyDescent="0.2">
      <c r="A508" s="3">
        <v>45317</v>
      </c>
      <c r="B508" s="4">
        <v>22.905000000000001</v>
      </c>
      <c r="C508" s="4">
        <v>22.872</v>
      </c>
      <c r="D508" s="4">
        <v>22.9</v>
      </c>
      <c r="E508" s="4">
        <v>22.91</v>
      </c>
      <c r="F508" s="4">
        <v>101349</v>
      </c>
      <c r="G508" s="5">
        <v>43458</v>
      </c>
      <c r="H508" s="16">
        <f t="shared" si="18"/>
        <v>4.3658589827555395E-4</v>
      </c>
      <c r="I508" s="6">
        <f t="shared" si="19"/>
        <v>-2.3989183059275332E-3</v>
      </c>
      <c r="L508" s="11"/>
      <c r="M508" s="12"/>
    </row>
    <row r="509" spans="1:13" ht="15" customHeight="1" x14ac:dyDescent="0.2">
      <c r="A509" s="7">
        <v>45316</v>
      </c>
      <c r="B509" s="8">
        <v>23.03</v>
      </c>
      <c r="C509" s="8">
        <v>22.927</v>
      </c>
      <c r="D509" s="8">
        <v>23.024999999999999</v>
      </c>
      <c r="E509" s="8">
        <v>23.035</v>
      </c>
      <c r="F509" s="8">
        <v>103323</v>
      </c>
      <c r="G509" s="9">
        <v>55563</v>
      </c>
      <c r="H509" s="16">
        <f t="shared" si="18"/>
        <v>4.3421623968743214E-4</v>
      </c>
      <c r="I509" s="6">
        <f t="shared" si="19"/>
        <v>1.6601861156013697E-3</v>
      </c>
      <c r="L509" s="11"/>
      <c r="M509" s="12"/>
    </row>
    <row r="510" spans="1:13" ht="15" customHeight="1" x14ac:dyDescent="0.2">
      <c r="A510" s="3">
        <v>45315</v>
      </c>
      <c r="B510" s="4">
        <v>22.805</v>
      </c>
      <c r="C510" s="4">
        <v>22.888999999999999</v>
      </c>
      <c r="D510" s="4">
        <v>22.795000000000002</v>
      </c>
      <c r="E510" s="4">
        <v>22.805</v>
      </c>
      <c r="F510" s="4">
        <v>105088</v>
      </c>
      <c r="G510" s="5">
        <v>75733</v>
      </c>
      <c r="H510" s="16">
        <f t="shared" si="18"/>
        <v>4.3859649122798291E-4</v>
      </c>
      <c r="I510" s="6">
        <f t="shared" si="19"/>
        <v>1.9009883358561019E-2</v>
      </c>
      <c r="L510" s="11"/>
      <c r="M510" s="12"/>
    </row>
    <row r="511" spans="1:13" ht="15" customHeight="1" x14ac:dyDescent="0.2">
      <c r="A511" s="7">
        <v>45314</v>
      </c>
      <c r="B511" s="8">
        <v>22.574999999999999</v>
      </c>
      <c r="C511" s="8">
        <v>22.462</v>
      </c>
      <c r="D511" s="8">
        <v>22.565000000000001</v>
      </c>
      <c r="E511" s="8">
        <v>22.574999999999999</v>
      </c>
      <c r="F511" s="8">
        <v>105961</v>
      </c>
      <c r="G511" s="9">
        <v>48175</v>
      </c>
      <c r="H511" s="16">
        <f t="shared" si="18"/>
        <v>4.4306601683642048E-4</v>
      </c>
      <c r="I511" s="6">
        <f t="shared" si="19"/>
        <v>7.4452816648726827E-3</v>
      </c>
      <c r="L511" s="11"/>
      <c r="M511" s="12"/>
    </row>
    <row r="512" spans="1:13" ht="15" customHeight="1" x14ac:dyDescent="0.2">
      <c r="A512" s="3">
        <v>45313</v>
      </c>
      <c r="B512" s="4">
        <v>22.204999999999998</v>
      </c>
      <c r="C512" s="4">
        <v>22.295999999999999</v>
      </c>
      <c r="D512" s="4">
        <v>22.2</v>
      </c>
      <c r="E512" s="4">
        <v>22.21</v>
      </c>
      <c r="F512" s="4">
        <v>103876</v>
      </c>
      <c r="G512" s="5">
        <v>72128</v>
      </c>
      <c r="H512" s="16">
        <f t="shared" si="18"/>
        <v>4.5034902049095085E-4</v>
      </c>
      <c r="I512" s="6">
        <f t="shared" si="19"/>
        <v>-1.8273083527805878E-2</v>
      </c>
      <c r="L512" s="11"/>
      <c r="M512" s="12"/>
    </row>
    <row r="513" spans="1:13" ht="15" customHeight="1" x14ac:dyDescent="0.2">
      <c r="A513" s="7">
        <v>45310</v>
      </c>
      <c r="B513" s="8">
        <v>22.75</v>
      </c>
      <c r="C513" s="8">
        <v>22.710999999999999</v>
      </c>
      <c r="D513" s="8">
        <v>22.745000000000001</v>
      </c>
      <c r="E513" s="8">
        <v>22.754999999999999</v>
      </c>
      <c r="F513" s="8">
        <v>102195</v>
      </c>
      <c r="G513" s="9">
        <v>40328</v>
      </c>
      <c r="H513" s="16">
        <f t="shared" si="18"/>
        <v>4.3956043956035212E-4</v>
      </c>
      <c r="I513" s="6">
        <f t="shared" si="19"/>
        <v>-4.2092340071030465E-3</v>
      </c>
      <c r="L513" s="11"/>
      <c r="M513" s="12"/>
    </row>
    <row r="514" spans="1:13" ht="15" customHeight="1" x14ac:dyDescent="0.2">
      <c r="A514" s="3">
        <v>45309</v>
      </c>
      <c r="B514" s="4">
        <v>22.88</v>
      </c>
      <c r="C514" s="4">
        <v>22.806999999999999</v>
      </c>
      <c r="D514" s="4">
        <v>22.88</v>
      </c>
      <c r="E514" s="4">
        <v>22.89</v>
      </c>
      <c r="F514" s="4">
        <v>102037</v>
      </c>
      <c r="G514" s="5">
        <v>45111</v>
      </c>
      <c r="H514" s="16">
        <f t="shared" si="18"/>
        <v>4.3696744592534691E-4</v>
      </c>
      <c r="I514" s="6">
        <f t="shared" si="19"/>
        <v>6.0876086285235331E-3</v>
      </c>
      <c r="L514" s="11"/>
      <c r="M514" s="12"/>
    </row>
    <row r="515" spans="1:13" ht="15" customHeight="1" x14ac:dyDescent="0.2">
      <c r="A515" s="7">
        <v>45308</v>
      </c>
      <c r="B515" s="8">
        <v>22.71</v>
      </c>
      <c r="C515" s="8">
        <v>22.669</v>
      </c>
      <c r="D515" s="8">
        <v>22.71</v>
      </c>
      <c r="E515" s="8">
        <v>22.715</v>
      </c>
      <c r="F515" s="8">
        <v>101956</v>
      </c>
      <c r="G515" s="9">
        <v>50602</v>
      </c>
      <c r="H515" s="16">
        <f t="shared" si="18"/>
        <v>2.2014309301041302E-4</v>
      </c>
      <c r="I515" s="6">
        <f t="shared" si="19"/>
        <v>-1.8360542155631543E-2</v>
      </c>
      <c r="L515" s="11"/>
      <c r="M515" s="12"/>
    </row>
    <row r="516" spans="1:13" ht="15" customHeight="1" x14ac:dyDescent="0.2">
      <c r="A516" s="3">
        <v>45307</v>
      </c>
      <c r="B516" s="4">
        <v>23.085000000000001</v>
      </c>
      <c r="C516" s="4">
        <v>23.093</v>
      </c>
      <c r="D516" s="4">
        <v>23.085000000000001</v>
      </c>
      <c r="E516" s="4">
        <v>23.09</v>
      </c>
      <c r="F516" s="4">
        <v>102831</v>
      </c>
      <c r="G516" s="5">
        <v>60349</v>
      </c>
      <c r="H516" s="16">
        <f t="shared" si="18"/>
        <v>2.1656740660526283E-4</v>
      </c>
      <c r="I516" s="6">
        <f t="shared" si="19"/>
        <v>-1.0116164430537089E-2</v>
      </c>
      <c r="L516" s="11"/>
      <c r="M516" s="12"/>
    </row>
    <row r="517" spans="1:13" ht="15" customHeight="1" x14ac:dyDescent="0.2">
      <c r="A517" s="7">
        <v>45303</v>
      </c>
      <c r="B517" s="8">
        <v>23.36</v>
      </c>
      <c r="C517" s="8">
        <v>23.329000000000001</v>
      </c>
      <c r="D517" s="8">
        <v>23.355</v>
      </c>
      <c r="E517" s="8">
        <v>23.364999999999998</v>
      </c>
      <c r="F517" s="8">
        <v>105034</v>
      </c>
      <c r="G517" s="9">
        <v>70306</v>
      </c>
      <c r="H517" s="16">
        <f t="shared" ref="H517:H580" si="20">(E517-D517)/AVERAGE(D517:E517)</f>
        <v>4.2808219178073678E-4</v>
      </c>
      <c r="I517" s="6">
        <f t="shared" ref="I517:I580" si="21">C517/C518-1</f>
        <v>2.7482933274609156E-2</v>
      </c>
      <c r="L517" s="11"/>
      <c r="M517" s="12"/>
    </row>
    <row r="518" spans="1:13" ht="15" customHeight="1" x14ac:dyDescent="0.2">
      <c r="A518" s="3">
        <v>45302</v>
      </c>
      <c r="B518" s="4">
        <v>22.91</v>
      </c>
      <c r="C518" s="4">
        <v>22.704999999999998</v>
      </c>
      <c r="D518" s="4">
        <v>22.905000000000001</v>
      </c>
      <c r="E518" s="4">
        <v>22.914999999999999</v>
      </c>
      <c r="F518" s="4">
        <v>103351</v>
      </c>
      <c r="G518" s="5">
        <v>78484</v>
      </c>
      <c r="H518" s="16">
        <f t="shared" si="20"/>
        <v>4.3649061545168093E-4</v>
      </c>
      <c r="I518" s="6">
        <f t="shared" si="21"/>
        <v>-1.5650741350906161E-2</v>
      </c>
      <c r="L518" s="11"/>
      <c r="M518" s="12"/>
    </row>
    <row r="519" spans="1:13" ht="15" customHeight="1" x14ac:dyDescent="0.2">
      <c r="A519" s="7">
        <v>45301</v>
      </c>
      <c r="B519" s="8">
        <v>23.085000000000001</v>
      </c>
      <c r="C519" s="8">
        <v>23.065999999999999</v>
      </c>
      <c r="D519" s="8">
        <v>23.08</v>
      </c>
      <c r="E519" s="8">
        <v>23.085000000000001</v>
      </c>
      <c r="F519" s="8">
        <v>104480</v>
      </c>
      <c r="G519" s="9">
        <v>41065</v>
      </c>
      <c r="H519" s="16">
        <f t="shared" si="20"/>
        <v>2.1661431820654427E-4</v>
      </c>
      <c r="I519" s="6">
        <f t="shared" si="21"/>
        <v>-1.0826729028626803E-3</v>
      </c>
      <c r="L519" s="11"/>
      <c r="M519" s="12"/>
    </row>
    <row r="520" spans="1:13" ht="15" customHeight="1" x14ac:dyDescent="0.2">
      <c r="A520" s="3">
        <v>45300</v>
      </c>
      <c r="B520" s="4">
        <v>23.164999999999999</v>
      </c>
      <c r="C520" s="4">
        <v>23.091000000000001</v>
      </c>
      <c r="D520" s="4">
        <v>23.16</v>
      </c>
      <c r="E520" s="4">
        <v>23.164999999999999</v>
      </c>
      <c r="F520" s="4">
        <v>104463</v>
      </c>
      <c r="G520" s="5">
        <v>41534</v>
      </c>
      <c r="H520" s="16">
        <f t="shared" si="20"/>
        <v>2.1586616297891009E-4</v>
      </c>
      <c r="I520" s="6">
        <f t="shared" si="21"/>
        <v>-9.3951093951093467E-3</v>
      </c>
      <c r="L520" s="11"/>
      <c r="M520" s="12"/>
    </row>
    <row r="521" spans="1:13" ht="15" customHeight="1" x14ac:dyDescent="0.2">
      <c r="A521" s="7">
        <v>45299</v>
      </c>
      <c r="B521" s="8">
        <v>23.31</v>
      </c>
      <c r="C521" s="8">
        <v>23.31</v>
      </c>
      <c r="D521" s="8">
        <v>23.3</v>
      </c>
      <c r="E521" s="8">
        <v>23.31</v>
      </c>
      <c r="F521" s="8">
        <v>105500</v>
      </c>
      <c r="G521" s="9">
        <v>45241</v>
      </c>
      <c r="H521" s="16">
        <f t="shared" si="20"/>
        <v>4.2909246942707621E-4</v>
      </c>
      <c r="I521" s="6">
        <f t="shared" si="21"/>
        <v>-2.1445421402543907E-4</v>
      </c>
      <c r="L521" s="11"/>
      <c r="M521" s="12"/>
    </row>
    <row r="522" spans="1:13" ht="15" customHeight="1" x14ac:dyDescent="0.2">
      <c r="A522" s="3">
        <v>45296</v>
      </c>
      <c r="B522" s="4">
        <v>23.385000000000002</v>
      </c>
      <c r="C522" s="4">
        <v>23.315000000000001</v>
      </c>
      <c r="D522" s="4">
        <v>23.38</v>
      </c>
      <c r="E522" s="4">
        <v>23.39</v>
      </c>
      <c r="F522" s="4">
        <v>107600</v>
      </c>
      <c r="G522" s="5">
        <v>60321</v>
      </c>
      <c r="H522" s="16">
        <f t="shared" si="20"/>
        <v>4.2762454564898713E-4</v>
      </c>
      <c r="I522" s="6">
        <f t="shared" si="21"/>
        <v>5.5203346702894507E-3</v>
      </c>
      <c r="L522" s="11"/>
      <c r="M522" s="12"/>
    </row>
    <row r="523" spans="1:13" ht="15" customHeight="1" x14ac:dyDescent="0.2">
      <c r="A523" s="7">
        <v>45295</v>
      </c>
      <c r="B523" s="8">
        <v>23.2</v>
      </c>
      <c r="C523" s="8">
        <v>23.187000000000001</v>
      </c>
      <c r="D523" s="8">
        <v>23.2</v>
      </c>
      <c r="E523" s="8">
        <v>23.204999999999998</v>
      </c>
      <c r="F523" s="8">
        <v>110612</v>
      </c>
      <c r="G523" s="9">
        <v>50503</v>
      </c>
      <c r="H523" s="16">
        <f t="shared" si="20"/>
        <v>2.1549402004090098E-4</v>
      </c>
      <c r="I523" s="6">
        <f t="shared" si="21"/>
        <v>1.295504599041486E-3</v>
      </c>
      <c r="L523" s="11"/>
      <c r="M523" s="12"/>
    </row>
    <row r="524" spans="1:13" ht="15" customHeight="1" x14ac:dyDescent="0.2">
      <c r="A524" s="3">
        <v>45294</v>
      </c>
      <c r="B524" s="4">
        <v>23.2</v>
      </c>
      <c r="C524" s="4">
        <v>23.157</v>
      </c>
      <c r="D524" s="4">
        <v>23.195</v>
      </c>
      <c r="E524" s="4">
        <v>23.204999999999998</v>
      </c>
      <c r="F524" s="4">
        <v>110528</v>
      </c>
      <c r="G524" s="5">
        <v>82186</v>
      </c>
      <c r="H524" s="16">
        <f t="shared" si="20"/>
        <v>4.3103448275853492E-4</v>
      </c>
      <c r="I524" s="6">
        <f t="shared" si="21"/>
        <v>-3.3231745501607235E-2</v>
      </c>
      <c r="L524" s="11"/>
      <c r="M524" s="12"/>
    </row>
    <row r="525" spans="1:13" ht="15" customHeight="1" x14ac:dyDescent="0.2">
      <c r="A525" s="7">
        <v>45293</v>
      </c>
      <c r="B525" s="8">
        <v>23.89</v>
      </c>
      <c r="C525" s="8">
        <v>23.952999999999999</v>
      </c>
      <c r="D525" s="8">
        <v>23.885000000000002</v>
      </c>
      <c r="E525" s="8">
        <v>23.89</v>
      </c>
      <c r="F525" s="8">
        <v>110819</v>
      </c>
      <c r="G525" s="9">
        <v>45478</v>
      </c>
      <c r="H525" s="16">
        <f t="shared" si="20"/>
        <v>2.0931449502873908E-4</v>
      </c>
      <c r="I525" s="6">
        <f t="shared" si="21"/>
        <v>-5.5218799302498844E-3</v>
      </c>
      <c r="L525" s="11"/>
      <c r="M525" s="12"/>
    </row>
    <row r="526" spans="1:13" ht="15" customHeight="1" x14ac:dyDescent="0.2">
      <c r="A526" s="3">
        <v>45289</v>
      </c>
      <c r="B526" s="4">
        <v>24.024999999999999</v>
      </c>
      <c r="C526" s="4">
        <v>24.085999999999999</v>
      </c>
      <c r="D526" s="4">
        <v>24.02</v>
      </c>
      <c r="E526" s="4">
        <v>24.03</v>
      </c>
      <c r="F526" s="4">
        <v>111120</v>
      </c>
      <c r="G526" s="5">
        <v>45455</v>
      </c>
      <c r="H526" s="16">
        <f t="shared" si="20"/>
        <v>4.1623309053076226E-4</v>
      </c>
      <c r="I526" s="6">
        <f t="shared" si="21"/>
        <v>-1.1734777613655045E-2</v>
      </c>
      <c r="L526" s="11"/>
      <c r="M526" s="12"/>
    </row>
    <row r="527" spans="1:13" ht="15" customHeight="1" x14ac:dyDescent="0.2">
      <c r="A527" s="7">
        <v>45288</v>
      </c>
      <c r="B527" s="8">
        <v>24.234999999999999</v>
      </c>
      <c r="C527" s="8">
        <v>24.372</v>
      </c>
      <c r="D527" s="8">
        <v>24.225000000000001</v>
      </c>
      <c r="E527" s="8">
        <v>24.234999999999999</v>
      </c>
      <c r="F527" s="8">
        <v>110408</v>
      </c>
      <c r="G527" s="9">
        <v>35081</v>
      </c>
      <c r="H527" s="16">
        <f t="shared" si="20"/>
        <v>4.1271151465117667E-4</v>
      </c>
      <c r="I527" s="6">
        <f t="shared" si="21"/>
        <v>-1.0916764741690566E-2</v>
      </c>
      <c r="L527" s="11"/>
      <c r="M527" s="12"/>
    </row>
    <row r="528" spans="1:13" ht="15" customHeight="1" x14ac:dyDescent="0.2">
      <c r="A528" s="3">
        <v>45287</v>
      </c>
      <c r="B528" s="4">
        <v>24.545000000000002</v>
      </c>
      <c r="C528" s="4">
        <v>24.640999999999998</v>
      </c>
      <c r="D528" s="4">
        <v>24.545000000000002</v>
      </c>
      <c r="E528" s="4">
        <v>24.55</v>
      </c>
      <c r="F528" s="4">
        <v>108928</v>
      </c>
      <c r="G528" s="5">
        <v>42321</v>
      </c>
      <c r="H528" s="16">
        <f t="shared" si="20"/>
        <v>2.036867298095124E-4</v>
      </c>
      <c r="I528" s="6">
        <f t="shared" si="21"/>
        <v>1.0042629939334136E-2</v>
      </c>
      <c r="L528" s="11"/>
      <c r="M528" s="12"/>
    </row>
    <row r="529" spans="1:13" ht="15" customHeight="1" x14ac:dyDescent="0.2">
      <c r="A529" s="7">
        <v>45286</v>
      </c>
      <c r="B529" s="8">
        <v>24.5</v>
      </c>
      <c r="C529" s="8">
        <v>24.396000000000001</v>
      </c>
      <c r="D529" s="8">
        <v>24.495000000000001</v>
      </c>
      <c r="E529" s="8">
        <v>24.504999999999999</v>
      </c>
      <c r="F529" s="8">
        <v>108607</v>
      </c>
      <c r="G529" s="9">
        <v>27003</v>
      </c>
      <c r="H529" s="16">
        <f t="shared" si="20"/>
        <v>4.0816326530604126E-4</v>
      </c>
      <c r="I529" s="6">
        <f t="shared" si="21"/>
        <v>-6.8797069000611222E-3</v>
      </c>
      <c r="L529" s="11"/>
      <c r="M529" s="12"/>
    </row>
    <row r="530" spans="1:13" ht="15" customHeight="1" x14ac:dyDescent="0.2">
      <c r="A530" s="3">
        <v>45282</v>
      </c>
      <c r="B530" s="4">
        <v>24.47</v>
      </c>
      <c r="C530" s="4">
        <v>24.565000000000001</v>
      </c>
      <c r="D530" s="4">
        <v>24.47</v>
      </c>
      <c r="E530" s="4">
        <v>24.48</v>
      </c>
      <c r="F530" s="4">
        <v>108212</v>
      </c>
      <c r="G530" s="5">
        <v>47671</v>
      </c>
      <c r="H530" s="16">
        <f t="shared" si="20"/>
        <v>4.085801838611466E-4</v>
      </c>
      <c r="I530" s="6">
        <f t="shared" si="21"/>
        <v>-8.1350416920888957E-4</v>
      </c>
      <c r="L530" s="11"/>
      <c r="M530" s="12"/>
    </row>
    <row r="531" spans="1:13" ht="15" customHeight="1" x14ac:dyDescent="0.2">
      <c r="A531" s="7">
        <v>45281</v>
      </c>
      <c r="B531" s="8">
        <v>24.704999999999998</v>
      </c>
      <c r="C531" s="8">
        <v>24.585000000000001</v>
      </c>
      <c r="D531" s="8">
        <v>24.695</v>
      </c>
      <c r="E531" s="8">
        <v>24.704999999999998</v>
      </c>
      <c r="F531" s="8">
        <v>107663</v>
      </c>
      <c r="G531" s="9">
        <v>45075</v>
      </c>
      <c r="H531" s="16">
        <f t="shared" si="20"/>
        <v>4.0485829959506118E-4</v>
      </c>
      <c r="I531" s="6">
        <f t="shared" si="21"/>
        <v>-1.8675652632861306E-3</v>
      </c>
      <c r="L531" s="11"/>
      <c r="M531" s="12"/>
    </row>
    <row r="532" spans="1:13" ht="15" customHeight="1" x14ac:dyDescent="0.2">
      <c r="A532" s="3">
        <v>45280</v>
      </c>
      <c r="B532" s="4">
        <v>24.454999999999998</v>
      </c>
      <c r="C532" s="4">
        <v>24.631</v>
      </c>
      <c r="D532" s="4">
        <v>24.45</v>
      </c>
      <c r="E532" s="4">
        <v>24.46</v>
      </c>
      <c r="F532" s="4">
        <v>105580</v>
      </c>
      <c r="G532" s="5">
        <v>45871</v>
      </c>
      <c r="H532" s="16">
        <f t="shared" si="20"/>
        <v>4.0891433244741624E-4</v>
      </c>
      <c r="I532" s="6">
        <f t="shared" si="21"/>
        <v>1.2746186423255645E-2</v>
      </c>
      <c r="L532" s="11"/>
      <c r="M532" s="12"/>
    </row>
    <row r="533" spans="1:13" ht="15" customHeight="1" x14ac:dyDescent="0.2">
      <c r="A533" s="7">
        <v>45279</v>
      </c>
      <c r="B533" s="8">
        <v>24.355</v>
      </c>
      <c r="C533" s="8">
        <v>24.321000000000002</v>
      </c>
      <c r="D533" s="8">
        <v>24.344999999999999</v>
      </c>
      <c r="E533" s="8">
        <v>24.355</v>
      </c>
      <c r="F533" s="8">
        <v>105140</v>
      </c>
      <c r="G533" s="9">
        <v>36943</v>
      </c>
      <c r="H533" s="16">
        <f t="shared" si="20"/>
        <v>4.1067761806987937E-4</v>
      </c>
      <c r="I533" s="6">
        <f t="shared" si="21"/>
        <v>8.8770896420127254E-3</v>
      </c>
      <c r="L533" s="11"/>
      <c r="M533" s="12"/>
    </row>
    <row r="534" spans="1:13" ht="15" customHeight="1" x14ac:dyDescent="0.2">
      <c r="A534" s="3">
        <v>45278</v>
      </c>
      <c r="B534" s="4">
        <v>24.11</v>
      </c>
      <c r="C534" s="4">
        <v>24.106999999999999</v>
      </c>
      <c r="D534" s="4">
        <v>24.1</v>
      </c>
      <c r="E534" s="4">
        <v>24.11</v>
      </c>
      <c r="F534" s="4">
        <v>105939</v>
      </c>
      <c r="G534" s="5">
        <v>41128</v>
      </c>
      <c r="H534" s="16">
        <f t="shared" si="20"/>
        <v>4.1485169052055631E-4</v>
      </c>
      <c r="I534" s="6">
        <f t="shared" si="21"/>
        <v>-1.9458474786785418E-3</v>
      </c>
      <c r="L534" s="11"/>
      <c r="M534" s="12"/>
    </row>
    <row r="535" spans="1:13" ht="15" customHeight="1" x14ac:dyDescent="0.2">
      <c r="A535" s="7">
        <v>45275</v>
      </c>
      <c r="B535" s="8">
        <v>24.17</v>
      </c>
      <c r="C535" s="8">
        <v>24.154</v>
      </c>
      <c r="D535" s="8">
        <v>24.17</v>
      </c>
      <c r="E535" s="8">
        <v>24.175000000000001</v>
      </c>
      <c r="F535" s="8">
        <v>106804</v>
      </c>
      <c r="G535" s="9">
        <v>55983</v>
      </c>
      <c r="H535" s="16">
        <f t="shared" si="20"/>
        <v>2.0684662322883465E-4</v>
      </c>
      <c r="I535" s="6">
        <f t="shared" si="21"/>
        <v>-9.5136553760354348E-3</v>
      </c>
      <c r="L535" s="11"/>
      <c r="M535" s="12"/>
    </row>
    <row r="536" spans="1:13" ht="15" customHeight="1" x14ac:dyDescent="0.2">
      <c r="A536" s="3">
        <v>45274</v>
      </c>
      <c r="B536" s="4">
        <v>24.47</v>
      </c>
      <c r="C536" s="4">
        <v>24.385999999999999</v>
      </c>
      <c r="D536" s="4">
        <v>24.465</v>
      </c>
      <c r="E536" s="4">
        <v>24.475000000000001</v>
      </c>
      <c r="F536" s="4">
        <v>111372</v>
      </c>
      <c r="G536" s="5">
        <v>93478</v>
      </c>
      <c r="H536" s="16">
        <f t="shared" si="20"/>
        <v>4.0866366979981872E-4</v>
      </c>
      <c r="I536" s="6">
        <f t="shared" si="21"/>
        <v>6.391518694646825E-2</v>
      </c>
      <c r="L536" s="11"/>
      <c r="M536" s="12"/>
    </row>
    <row r="537" spans="1:13" ht="15" customHeight="1" x14ac:dyDescent="0.2">
      <c r="A537" s="7">
        <v>45273</v>
      </c>
      <c r="B537" s="8">
        <v>24.114999999999998</v>
      </c>
      <c r="C537" s="8">
        <v>22.920999999999999</v>
      </c>
      <c r="D537" s="8">
        <v>24.11</v>
      </c>
      <c r="E537" s="8">
        <v>24.125</v>
      </c>
      <c r="F537" s="8">
        <v>112168</v>
      </c>
      <c r="G537" s="9">
        <v>77775</v>
      </c>
      <c r="H537" s="16">
        <f t="shared" si="20"/>
        <v>6.2195501192082792E-4</v>
      </c>
      <c r="I537" s="6">
        <f t="shared" si="21"/>
        <v>-4.127563434132675E-3</v>
      </c>
      <c r="L537" s="11"/>
      <c r="M537" s="12"/>
    </row>
    <row r="538" spans="1:13" ht="15" customHeight="1" x14ac:dyDescent="0.2">
      <c r="A538" s="3">
        <v>45272</v>
      </c>
      <c r="B538" s="4">
        <v>23.065000000000001</v>
      </c>
      <c r="C538" s="4">
        <v>23.015999999999998</v>
      </c>
      <c r="D538" s="4">
        <v>23.055</v>
      </c>
      <c r="E538" s="4">
        <v>23.065000000000001</v>
      </c>
      <c r="F538" s="4">
        <v>112150</v>
      </c>
      <c r="G538" s="5">
        <v>54186</v>
      </c>
      <c r="H538" s="16">
        <f t="shared" si="20"/>
        <v>4.3365134431923514E-4</v>
      </c>
      <c r="I538" s="6">
        <f t="shared" si="21"/>
        <v>-1.8214936247723523E-3</v>
      </c>
      <c r="L538" s="11"/>
      <c r="M538" s="12"/>
    </row>
    <row r="539" spans="1:13" ht="15" customHeight="1" x14ac:dyDescent="0.2">
      <c r="A539" s="7">
        <v>45271</v>
      </c>
      <c r="B539" s="8">
        <v>23.13</v>
      </c>
      <c r="C539" s="8">
        <v>23.058</v>
      </c>
      <c r="D539" s="8">
        <v>23.12</v>
      </c>
      <c r="E539" s="8">
        <v>23.13</v>
      </c>
      <c r="F539" s="8">
        <v>115534</v>
      </c>
      <c r="G539" s="9">
        <v>54773</v>
      </c>
      <c r="H539" s="16">
        <f t="shared" si="20"/>
        <v>4.324324324323464E-4</v>
      </c>
      <c r="I539" s="6">
        <f t="shared" si="21"/>
        <v>-9.3658704244715674E-3</v>
      </c>
      <c r="L539" s="11"/>
      <c r="M539" s="12"/>
    </row>
    <row r="540" spans="1:13" ht="15" customHeight="1" x14ac:dyDescent="0.2">
      <c r="A540" s="3">
        <v>45268</v>
      </c>
      <c r="B540" s="4">
        <v>23.29</v>
      </c>
      <c r="C540" s="4">
        <v>23.276</v>
      </c>
      <c r="D540" s="4">
        <v>23.29</v>
      </c>
      <c r="E540" s="4">
        <v>23.3</v>
      </c>
      <c r="F540" s="4">
        <v>116426</v>
      </c>
      <c r="G540" s="5">
        <v>83188</v>
      </c>
      <c r="H540" s="16">
        <f t="shared" si="20"/>
        <v>4.2927666881311706E-4</v>
      </c>
      <c r="I540" s="6">
        <f t="shared" si="21"/>
        <v>-3.2544993557504509E-2</v>
      </c>
      <c r="L540" s="11"/>
      <c r="M540" s="12"/>
    </row>
    <row r="541" spans="1:13" ht="15" customHeight="1" x14ac:dyDescent="0.2">
      <c r="A541" s="7">
        <v>45267</v>
      </c>
      <c r="B541" s="8">
        <v>24.125</v>
      </c>
      <c r="C541" s="8">
        <v>24.059000000000001</v>
      </c>
      <c r="D541" s="8">
        <v>24.12</v>
      </c>
      <c r="E541" s="8">
        <v>24.13</v>
      </c>
      <c r="F541" s="8">
        <v>119379</v>
      </c>
      <c r="G541" s="9">
        <v>56304</v>
      </c>
      <c r="H541" s="16">
        <f t="shared" si="20"/>
        <v>4.1450777202064294E-4</v>
      </c>
      <c r="I541" s="6">
        <f t="shared" si="21"/>
        <v>-6.9754003632160888E-3</v>
      </c>
      <c r="L541" s="11"/>
      <c r="M541" s="12"/>
    </row>
    <row r="542" spans="1:13" ht="15" customHeight="1" x14ac:dyDescent="0.2">
      <c r="A542" s="3">
        <v>45266</v>
      </c>
      <c r="B542" s="4">
        <v>24.234999999999999</v>
      </c>
      <c r="C542" s="4">
        <v>24.228000000000002</v>
      </c>
      <c r="D542" s="4">
        <v>24.23</v>
      </c>
      <c r="E542" s="4">
        <v>24.24</v>
      </c>
      <c r="F542" s="4">
        <v>120402</v>
      </c>
      <c r="G542" s="5">
        <v>57163</v>
      </c>
      <c r="H542" s="16">
        <f t="shared" si="20"/>
        <v>4.1262636682475804E-4</v>
      </c>
      <c r="I542" s="6">
        <f t="shared" si="21"/>
        <v>-1.2955267660718528E-2</v>
      </c>
      <c r="L542" s="11"/>
      <c r="M542" s="12"/>
    </row>
    <row r="543" spans="1:13" ht="15" customHeight="1" x14ac:dyDescent="0.2">
      <c r="A543" s="7">
        <v>45265</v>
      </c>
      <c r="B543" s="8">
        <v>24.524999999999999</v>
      </c>
      <c r="C543" s="8">
        <v>24.545999999999999</v>
      </c>
      <c r="D543" s="8">
        <v>24.524999999999999</v>
      </c>
      <c r="E543" s="8">
        <v>24.535</v>
      </c>
      <c r="F543" s="8">
        <v>123759</v>
      </c>
      <c r="G543" s="9">
        <v>73616</v>
      </c>
      <c r="H543" s="16">
        <f t="shared" si="20"/>
        <v>4.0766408479419333E-4</v>
      </c>
      <c r="I543" s="6">
        <f t="shared" si="21"/>
        <v>-1.4493917372626175E-2</v>
      </c>
      <c r="L543" s="11"/>
      <c r="M543" s="12"/>
    </row>
    <row r="544" spans="1:13" ht="15" customHeight="1" x14ac:dyDescent="0.2">
      <c r="A544" s="3">
        <v>45264</v>
      </c>
      <c r="B544" s="4">
        <v>24.895</v>
      </c>
      <c r="C544" s="4">
        <v>24.907</v>
      </c>
      <c r="D544" s="4">
        <v>24.89</v>
      </c>
      <c r="E544" s="4">
        <v>24.9</v>
      </c>
      <c r="F544" s="4">
        <v>126340</v>
      </c>
      <c r="G544" s="5">
        <v>110364</v>
      </c>
      <c r="H544" s="16">
        <f t="shared" si="20"/>
        <v>4.016870857601129E-4</v>
      </c>
      <c r="I544" s="6">
        <f t="shared" si="21"/>
        <v>-3.6740534478091003E-2</v>
      </c>
      <c r="L544" s="11"/>
      <c r="M544" s="12"/>
    </row>
    <row r="545" spans="1:13" ht="15" customHeight="1" x14ac:dyDescent="0.2">
      <c r="A545" s="7">
        <v>45261</v>
      </c>
      <c r="B545" s="8">
        <v>25.895</v>
      </c>
      <c r="C545" s="8">
        <v>25.856999999999999</v>
      </c>
      <c r="D545" s="8">
        <v>25.89</v>
      </c>
      <c r="E545" s="8">
        <v>25.905000000000001</v>
      </c>
      <c r="F545" s="8">
        <v>123500</v>
      </c>
      <c r="G545" s="9">
        <v>68016</v>
      </c>
      <c r="H545" s="16">
        <f t="shared" si="20"/>
        <v>5.7920648711267764E-4</v>
      </c>
      <c r="I545" s="6">
        <f t="shared" si="21"/>
        <v>7.6773187840997181E-3</v>
      </c>
      <c r="L545" s="11"/>
      <c r="M545" s="12"/>
    </row>
    <row r="546" spans="1:13" ht="15" customHeight="1" x14ac:dyDescent="0.2">
      <c r="A546" s="3">
        <v>45260</v>
      </c>
      <c r="B546" s="4">
        <v>25.684999999999999</v>
      </c>
      <c r="C546" s="4">
        <v>25.66</v>
      </c>
      <c r="D546" s="4">
        <v>25.68</v>
      </c>
      <c r="E546" s="4">
        <v>25.69</v>
      </c>
      <c r="F546" s="4">
        <v>123814</v>
      </c>
      <c r="G546" s="5">
        <v>49428</v>
      </c>
      <c r="H546" s="16">
        <f t="shared" si="20"/>
        <v>3.8933229511394055E-4</v>
      </c>
      <c r="I546" s="6">
        <f t="shared" si="21"/>
        <v>8.5288684510473889E-3</v>
      </c>
      <c r="L546" s="11"/>
      <c r="M546" s="12"/>
    </row>
    <row r="547" spans="1:13" ht="15" customHeight="1" x14ac:dyDescent="0.2">
      <c r="A547" s="7">
        <v>45259</v>
      </c>
      <c r="B547" s="8">
        <v>25.425000000000001</v>
      </c>
      <c r="C547" s="8">
        <v>25.443000000000001</v>
      </c>
      <c r="D547" s="8">
        <v>25.425000000000001</v>
      </c>
      <c r="E547" s="8">
        <v>25.43</v>
      </c>
      <c r="F547" s="8">
        <v>115630</v>
      </c>
      <c r="G547" s="9">
        <v>65823</v>
      </c>
      <c r="H547" s="16">
        <f t="shared" si="20"/>
        <v>1.966374987709765E-4</v>
      </c>
      <c r="I547" s="6">
        <f t="shared" si="21"/>
        <v>2.0372969721275336E-2</v>
      </c>
      <c r="L547" s="11"/>
      <c r="M547" s="12"/>
    </row>
    <row r="548" spans="1:13" ht="15" customHeight="1" x14ac:dyDescent="0.2">
      <c r="A548" s="3">
        <v>45258</v>
      </c>
      <c r="B548" s="4">
        <v>25.045000000000002</v>
      </c>
      <c r="C548" s="4">
        <v>24.934999999999999</v>
      </c>
      <c r="D548" s="4">
        <v>24.79</v>
      </c>
      <c r="E548" s="4">
        <v>25.08</v>
      </c>
      <c r="F548" s="4">
        <v>20757</v>
      </c>
      <c r="G548" s="5">
        <v>58995</v>
      </c>
      <c r="H548" s="16">
        <f t="shared" si="20"/>
        <v>1.163023862041304E-2</v>
      </c>
      <c r="I548" s="6">
        <f t="shared" si="21"/>
        <v>1.0291317207568484E-2</v>
      </c>
      <c r="L548" s="11"/>
      <c r="M548" s="12"/>
    </row>
    <row r="549" spans="1:13" ht="15" customHeight="1" x14ac:dyDescent="0.2">
      <c r="A549" s="7">
        <v>45257</v>
      </c>
      <c r="B549" s="8">
        <v>24.69</v>
      </c>
      <c r="C549" s="8">
        <v>24.681000000000001</v>
      </c>
      <c r="D549" s="8">
        <v>24.69</v>
      </c>
      <c r="E549" s="8">
        <v>24.7</v>
      </c>
      <c r="F549" s="8">
        <v>31037</v>
      </c>
      <c r="G549" s="9">
        <v>76442</v>
      </c>
      <c r="H549" s="16">
        <f t="shared" si="20"/>
        <v>4.049402713099012E-4</v>
      </c>
      <c r="I549" s="6">
        <f t="shared" si="21"/>
        <v>1.3968201799433144E-2</v>
      </c>
      <c r="L549" s="11"/>
      <c r="M549" s="12"/>
    </row>
    <row r="550" spans="1:13" ht="15" customHeight="1" x14ac:dyDescent="0.2">
      <c r="A550" s="3">
        <v>45254</v>
      </c>
      <c r="B550" s="4">
        <v>24.385000000000002</v>
      </c>
      <c r="C550" s="4">
        <v>24.341000000000001</v>
      </c>
      <c r="D550" s="4">
        <v>24.38</v>
      </c>
      <c r="E550" s="4">
        <v>24.39</v>
      </c>
      <c r="F550" s="4">
        <v>35259</v>
      </c>
      <c r="G550" s="5">
        <v>64721.999999999898</v>
      </c>
      <c r="H550" s="16">
        <f t="shared" si="20"/>
        <v>4.1008816895638975E-4</v>
      </c>
      <c r="I550" s="6">
        <f t="shared" si="21"/>
        <v>2.756670043904097E-2</v>
      </c>
      <c r="L550" s="11"/>
      <c r="M550" s="12"/>
    </row>
    <row r="551" spans="1:13" ht="15" customHeight="1" x14ac:dyDescent="0.2">
      <c r="A551" s="7">
        <v>45252</v>
      </c>
      <c r="B551" s="8">
        <v>23.68</v>
      </c>
      <c r="C551" s="8">
        <v>23.687999999999999</v>
      </c>
      <c r="D551" s="8">
        <v>23.68</v>
      </c>
      <c r="E551" s="8">
        <v>23.69</v>
      </c>
      <c r="F551" s="8">
        <v>43196</v>
      </c>
      <c r="G551" s="9">
        <v>53272</v>
      </c>
      <c r="H551" s="16">
        <f t="shared" si="20"/>
        <v>4.2220814861733429E-4</v>
      </c>
      <c r="I551" s="6">
        <f t="shared" si="21"/>
        <v>-7.5830575223092556E-3</v>
      </c>
      <c r="L551" s="11"/>
      <c r="M551" s="12"/>
    </row>
    <row r="552" spans="1:13" ht="15" customHeight="1" x14ac:dyDescent="0.2">
      <c r="A552" s="3">
        <v>45251</v>
      </c>
      <c r="B552" s="4">
        <v>23.8</v>
      </c>
      <c r="C552" s="4">
        <v>23.869</v>
      </c>
      <c r="D552" s="4">
        <v>23.795000000000002</v>
      </c>
      <c r="E552" s="4">
        <v>23.805</v>
      </c>
      <c r="F552" s="4">
        <v>49626</v>
      </c>
      <c r="G552" s="5">
        <v>64881</v>
      </c>
      <c r="H552" s="16">
        <f t="shared" si="20"/>
        <v>4.2016806722680714E-4</v>
      </c>
      <c r="I552" s="6">
        <f t="shared" si="21"/>
        <v>1.0798678749894153E-2</v>
      </c>
      <c r="L552" s="11"/>
      <c r="M552" s="12"/>
    </row>
    <row r="553" spans="1:13" ht="15" customHeight="1" x14ac:dyDescent="0.2">
      <c r="A553" s="7">
        <v>45250</v>
      </c>
      <c r="B553" s="8">
        <v>23.49</v>
      </c>
      <c r="C553" s="8">
        <v>23.614000000000001</v>
      </c>
      <c r="D553" s="8">
        <v>23.49</v>
      </c>
      <c r="E553" s="8">
        <v>23.5</v>
      </c>
      <c r="F553" s="8">
        <v>54834</v>
      </c>
      <c r="G553" s="9">
        <v>58928</v>
      </c>
      <c r="H553" s="16">
        <f t="shared" si="20"/>
        <v>4.2562247286663394E-4</v>
      </c>
      <c r="I553" s="6">
        <f t="shared" si="21"/>
        <v>-9.978198893174528E-3</v>
      </c>
      <c r="L553" s="11"/>
      <c r="M553" s="12"/>
    </row>
    <row r="554" spans="1:13" ht="15" customHeight="1" x14ac:dyDescent="0.2">
      <c r="A554" s="3">
        <v>45247</v>
      </c>
      <c r="B554" s="4">
        <v>23.774999999999999</v>
      </c>
      <c r="C554" s="4">
        <v>23.852</v>
      </c>
      <c r="D554" s="4">
        <v>23.774999999999999</v>
      </c>
      <c r="E554" s="4">
        <v>23.785</v>
      </c>
      <c r="F554" s="4">
        <v>59439</v>
      </c>
      <c r="G554" s="5">
        <v>52717</v>
      </c>
      <c r="H554" s="16">
        <f t="shared" si="20"/>
        <v>4.2052144659384202E-4</v>
      </c>
      <c r="I554" s="6">
        <f t="shared" si="21"/>
        <v>-3.3844482513684104E-3</v>
      </c>
      <c r="L554" s="11"/>
      <c r="M554" s="12"/>
    </row>
    <row r="555" spans="1:13" ht="15" customHeight="1" x14ac:dyDescent="0.2">
      <c r="A555" s="7">
        <v>45246</v>
      </c>
      <c r="B555" s="8">
        <v>23.82</v>
      </c>
      <c r="C555" s="8">
        <v>23.933</v>
      </c>
      <c r="D555" s="8">
        <v>23.815000000000001</v>
      </c>
      <c r="E555" s="8">
        <v>23.82</v>
      </c>
      <c r="F555" s="8">
        <v>62346</v>
      </c>
      <c r="G555" s="9">
        <v>81399</v>
      </c>
      <c r="H555" s="16">
        <f t="shared" si="20"/>
        <v>2.0992967355931583E-4</v>
      </c>
      <c r="I555" s="6">
        <f t="shared" si="21"/>
        <v>1.6781374798198634E-2</v>
      </c>
      <c r="L555" s="11"/>
      <c r="M555" s="12"/>
    </row>
    <row r="556" spans="1:13" ht="15" customHeight="1" x14ac:dyDescent="0.2">
      <c r="A556" s="3">
        <v>45245</v>
      </c>
      <c r="B556" s="4">
        <v>23.515000000000001</v>
      </c>
      <c r="C556" s="4">
        <v>23.538</v>
      </c>
      <c r="D556" s="4">
        <v>23.515000000000001</v>
      </c>
      <c r="E556" s="4">
        <v>23.52</v>
      </c>
      <c r="F556" s="4">
        <v>64474</v>
      </c>
      <c r="G556" s="5">
        <v>70517</v>
      </c>
      <c r="H556" s="16">
        <f t="shared" si="20"/>
        <v>2.1260763261396855E-4</v>
      </c>
      <c r="I556" s="6">
        <f t="shared" si="21"/>
        <v>1.7551443887255713E-2</v>
      </c>
      <c r="L556" s="11"/>
      <c r="M556" s="12"/>
    </row>
    <row r="557" spans="1:13" ht="15" customHeight="1" x14ac:dyDescent="0.2">
      <c r="A557" s="7">
        <v>45244</v>
      </c>
      <c r="B557" s="8">
        <v>23.15</v>
      </c>
      <c r="C557" s="8">
        <v>23.132000000000001</v>
      </c>
      <c r="D557" s="8">
        <v>23.15</v>
      </c>
      <c r="E557" s="8">
        <v>23.155000000000001</v>
      </c>
      <c r="F557" s="8">
        <v>67330</v>
      </c>
      <c r="G557" s="9">
        <v>75657</v>
      </c>
      <c r="H557" s="16">
        <f t="shared" si="20"/>
        <v>2.1595939963297951E-4</v>
      </c>
      <c r="I557" s="6">
        <f t="shared" si="21"/>
        <v>3.4618481080597618E-2</v>
      </c>
      <c r="L557" s="11"/>
      <c r="M557" s="12"/>
    </row>
    <row r="558" spans="1:13" ht="15" customHeight="1" x14ac:dyDescent="0.2">
      <c r="A558" s="3">
        <v>45243</v>
      </c>
      <c r="B558" s="4">
        <v>22.364999999999998</v>
      </c>
      <c r="C558" s="4">
        <v>22.358000000000001</v>
      </c>
      <c r="D558" s="4">
        <v>22.36</v>
      </c>
      <c r="E558" s="4">
        <v>22.37</v>
      </c>
      <c r="F558" s="4">
        <v>72751</v>
      </c>
      <c r="G558" s="5">
        <v>59134</v>
      </c>
      <c r="H558" s="16">
        <f t="shared" si="20"/>
        <v>4.4712720769065782E-4</v>
      </c>
      <c r="I558" s="6">
        <f t="shared" si="21"/>
        <v>3.4558592522777598E-3</v>
      </c>
      <c r="L558" s="11"/>
      <c r="M558" s="12"/>
    </row>
    <row r="559" spans="1:13" ht="15" customHeight="1" x14ac:dyDescent="0.2">
      <c r="A559" s="7">
        <v>45240</v>
      </c>
      <c r="B559" s="8">
        <v>22.305</v>
      </c>
      <c r="C559" s="8">
        <v>22.280999999999999</v>
      </c>
      <c r="D559" s="8">
        <v>22.3</v>
      </c>
      <c r="E559" s="8">
        <v>22.315000000000001</v>
      </c>
      <c r="F559" s="8">
        <v>73980</v>
      </c>
      <c r="G559" s="9">
        <v>58708</v>
      </c>
      <c r="H559" s="16">
        <f t="shared" si="20"/>
        <v>6.724195898240757E-4</v>
      </c>
      <c r="I559" s="6">
        <f t="shared" si="21"/>
        <v>-2.7242960052390464E-2</v>
      </c>
      <c r="L559" s="11"/>
      <c r="M559" s="12"/>
    </row>
    <row r="560" spans="1:13" ht="15" customHeight="1" x14ac:dyDescent="0.2">
      <c r="A560" s="3">
        <v>45239</v>
      </c>
      <c r="B560" s="4">
        <v>22.7</v>
      </c>
      <c r="C560" s="4">
        <v>22.905000000000001</v>
      </c>
      <c r="D560" s="4">
        <v>22.7</v>
      </c>
      <c r="E560" s="4">
        <v>22.704999999999998</v>
      </c>
      <c r="F560" s="4">
        <v>80129</v>
      </c>
      <c r="G560" s="5">
        <v>69618</v>
      </c>
      <c r="H560" s="16">
        <f t="shared" si="20"/>
        <v>2.2024006166717345E-4</v>
      </c>
      <c r="I560" s="6">
        <f t="shared" si="21"/>
        <v>7.7877507919745792E-3</v>
      </c>
      <c r="L560" s="11"/>
      <c r="M560" s="12"/>
    </row>
    <row r="561" spans="1:13" ht="15" customHeight="1" x14ac:dyDescent="0.2">
      <c r="A561" s="7">
        <v>45238</v>
      </c>
      <c r="B561" s="8">
        <v>22.625</v>
      </c>
      <c r="C561" s="8">
        <v>22.728000000000002</v>
      </c>
      <c r="D561" s="8">
        <v>22.625</v>
      </c>
      <c r="E561" s="8">
        <v>22.63</v>
      </c>
      <c r="F561" s="8">
        <v>86828</v>
      </c>
      <c r="G561" s="9">
        <v>62026</v>
      </c>
      <c r="H561" s="16">
        <f t="shared" si="20"/>
        <v>2.2097005855702158E-4</v>
      </c>
      <c r="I561" s="6">
        <f t="shared" si="21"/>
        <v>6.1534375138343478E-3</v>
      </c>
      <c r="L561" s="11"/>
      <c r="M561" s="12"/>
    </row>
    <row r="562" spans="1:13" ht="15" customHeight="1" x14ac:dyDescent="0.2">
      <c r="A562" s="3">
        <v>45237</v>
      </c>
      <c r="B562" s="4">
        <v>22.704999999999998</v>
      </c>
      <c r="C562" s="4">
        <v>22.588999999999999</v>
      </c>
      <c r="D562" s="4">
        <v>22.7</v>
      </c>
      <c r="E562" s="4">
        <v>22.71</v>
      </c>
      <c r="F562" s="4">
        <v>90657</v>
      </c>
      <c r="G562" s="5">
        <v>73393</v>
      </c>
      <c r="H562" s="16">
        <f t="shared" si="20"/>
        <v>4.4043162299059962E-4</v>
      </c>
      <c r="I562" s="6">
        <f t="shared" si="21"/>
        <v>-2.7761039855384473E-2</v>
      </c>
      <c r="L562" s="11"/>
      <c r="M562" s="12"/>
    </row>
    <row r="563" spans="1:13" ht="15" customHeight="1" x14ac:dyDescent="0.2">
      <c r="A563" s="7">
        <v>45236</v>
      </c>
      <c r="B563" s="8">
        <v>23.125</v>
      </c>
      <c r="C563" s="8">
        <v>23.234000000000002</v>
      </c>
      <c r="D563" s="8">
        <v>23.12</v>
      </c>
      <c r="E563" s="8">
        <v>23.13</v>
      </c>
      <c r="F563" s="8">
        <v>93816</v>
      </c>
      <c r="G563" s="9">
        <v>40317</v>
      </c>
      <c r="H563" s="16">
        <f t="shared" si="20"/>
        <v>4.324324324323464E-4</v>
      </c>
      <c r="I563" s="6">
        <f t="shared" si="21"/>
        <v>-2.1902512347004022E-3</v>
      </c>
      <c r="L563" s="11"/>
      <c r="M563" s="12"/>
    </row>
    <row r="564" spans="1:13" ht="15" customHeight="1" x14ac:dyDescent="0.2">
      <c r="A564" s="3">
        <v>45233</v>
      </c>
      <c r="B564" s="4">
        <v>23.335000000000001</v>
      </c>
      <c r="C564" s="4">
        <v>23.285</v>
      </c>
      <c r="D564" s="4">
        <v>23.324999999999999</v>
      </c>
      <c r="E564" s="4">
        <v>23.335000000000001</v>
      </c>
      <c r="F564" s="4">
        <v>92695</v>
      </c>
      <c r="G564" s="5">
        <v>75137</v>
      </c>
      <c r="H564" s="16">
        <f t="shared" si="20"/>
        <v>4.2863266180889688E-4</v>
      </c>
      <c r="I564" s="6">
        <f t="shared" si="21"/>
        <v>1.92156176135867E-2</v>
      </c>
      <c r="L564" s="11"/>
      <c r="M564" s="12"/>
    </row>
    <row r="565" spans="1:13" ht="15" customHeight="1" x14ac:dyDescent="0.2">
      <c r="A565" s="7">
        <v>45232</v>
      </c>
      <c r="B565" s="8">
        <v>22.864999999999998</v>
      </c>
      <c r="C565" s="8">
        <v>22.846</v>
      </c>
      <c r="D565" s="8">
        <v>22.86</v>
      </c>
      <c r="E565" s="8">
        <v>22.875</v>
      </c>
      <c r="F565" s="8">
        <v>93089</v>
      </c>
      <c r="G565" s="9">
        <v>43235</v>
      </c>
      <c r="H565" s="16">
        <f t="shared" si="20"/>
        <v>6.5595277140048408E-4</v>
      </c>
      <c r="I565" s="6">
        <f t="shared" si="21"/>
        <v>2.4572180781043951E-3</v>
      </c>
      <c r="L565" s="11"/>
      <c r="M565" s="12"/>
    </row>
    <row r="566" spans="1:13" ht="15" customHeight="1" x14ac:dyDescent="0.2">
      <c r="A566" s="3">
        <v>45231</v>
      </c>
      <c r="B566" s="4">
        <v>23.05</v>
      </c>
      <c r="C566" s="4">
        <v>22.79</v>
      </c>
      <c r="D566" s="4">
        <v>23.04</v>
      </c>
      <c r="E566" s="4">
        <v>23.06</v>
      </c>
      <c r="F566" s="4">
        <v>93944</v>
      </c>
      <c r="G566" s="5">
        <v>52760</v>
      </c>
      <c r="H566" s="16">
        <f t="shared" si="20"/>
        <v>8.676789587852311E-4</v>
      </c>
      <c r="I566" s="6">
        <f t="shared" si="21"/>
        <v>-7.0582084349949392E-3</v>
      </c>
      <c r="L566" s="11"/>
      <c r="M566" s="12"/>
    </row>
    <row r="567" spans="1:13" ht="15" customHeight="1" x14ac:dyDescent="0.2">
      <c r="A567" s="7">
        <v>45230</v>
      </c>
      <c r="B567" s="8">
        <v>22.96</v>
      </c>
      <c r="C567" s="8">
        <v>22.952000000000002</v>
      </c>
      <c r="D567" s="8">
        <v>22.954999999999998</v>
      </c>
      <c r="E567" s="8">
        <v>22.97</v>
      </c>
      <c r="F567" s="8">
        <v>94448</v>
      </c>
      <c r="G567" s="9">
        <v>53422</v>
      </c>
      <c r="H567" s="16">
        <f t="shared" si="20"/>
        <v>6.5323897659229477E-4</v>
      </c>
      <c r="I567" s="6">
        <f t="shared" si="21"/>
        <v>-1.8977603009061372E-2</v>
      </c>
      <c r="L567" s="11"/>
      <c r="M567" s="12"/>
    </row>
    <row r="568" spans="1:13" ht="15" customHeight="1" x14ac:dyDescent="0.2">
      <c r="A568" s="3">
        <v>45229</v>
      </c>
      <c r="B568" s="4">
        <v>23.454999999999998</v>
      </c>
      <c r="C568" s="4">
        <v>23.396000000000001</v>
      </c>
      <c r="D568" s="4">
        <v>23.4</v>
      </c>
      <c r="E568" s="4">
        <v>23.5</v>
      </c>
      <c r="F568" s="4">
        <v>93523</v>
      </c>
      <c r="G568" s="5">
        <v>57268</v>
      </c>
      <c r="H568" s="16">
        <f t="shared" si="20"/>
        <v>4.2643923240938773E-3</v>
      </c>
      <c r="I568" s="6">
        <f t="shared" si="21"/>
        <v>2.2239699392668344E-2</v>
      </c>
      <c r="L568" s="11"/>
      <c r="M568" s="12"/>
    </row>
    <row r="569" spans="1:13" ht="15" customHeight="1" x14ac:dyDescent="0.2">
      <c r="A569" s="7">
        <v>45226</v>
      </c>
      <c r="B569" s="8">
        <v>23.24</v>
      </c>
      <c r="C569" s="8">
        <v>22.887</v>
      </c>
      <c r="D569" s="8">
        <v>23.1</v>
      </c>
      <c r="E569" s="8">
        <v>23.26</v>
      </c>
      <c r="F569" s="8">
        <v>92761</v>
      </c>
      <c r="G569" s="9">
        <v>45217</v>
      </c>
      <c r="H569" s="16">
        <f t="shared" si="20"/>
        <v>6.9025021570319305E-3</v>
      </c>
      <c r="I569" s="6">
        <f t="shared" si="21"/>
        <v>-9.1671031953910465E-4</v>
      </c>
      <c r="L569" s="11"/>
      <c r="M569" s="12"/>
    </row>
    <row r="570" spans="1:13" ht="15" customHeight="1" x14ac:dyDescent="0.2">
      <c r="A570" s="3">
        <v>45225</v>
      </c>
      <c r="B570" s="4">
        <v>22.93</v>
      </c>
      <c r="C570" s="4">
        <v>22.908000000000001</v>
      </c>
      <c r="D570" s="4">
        <v>22.85</v>
      </c>
      <c r="E570" s="4">
        <v>22.995000000000001</v>
      </c>
      <c r="F570" s="4">
        <v>94531</v>
      </c>
      <c r="G570" s="5">
        <v>58346</v>
      </c>
      <c r="H570" s="16">
        <f t="shared" si="20"/>
        <v>6.3256625586214235E-3</v>
      </c>
      <c r="I570" s="6">
        <f t="shared" si="21"/>
        <v>-4.3030382057634986E-3</v>
      </c>
      <c r="L570" s="11"/>
      <c r="M570" s="12"/>
    </row>
    <row r="571" spans="1:13" ht="15" customHeight="1" x14ac:dyDescent="0.2">
      <c r="A571" s="7">
        <v>45224</v>
      </c>
      <c r="B571" s="8">
        <v>23.01</v>
      </c>
      <c r="C571" s="8">
        <v>23.007000000000001</v>
      </c>
      <c r="D571" s="8">
        <v>22.96</v>
      </c>
      <c r="E571" s="8">
        <v>23.1</v>
      </c>
      <c r="F571" s="8">
        <v>95782</v>
      </c>
      <c r="G571" s="9">
        <v>52904</v>
      </c>
      <c r="H571" s="16">
        <f t="shared" si="20"/>
        <v>6.0790273556231246E-3</v>
      </c>
      <c r="I571" s="6">
        <f t="shared" si="21"/>
        <v>-4.7153486762414598E-3</v>
      </c>
      <c r="L571" s="11"/>
      <c r="M571" s="12"/>
    </row>
    <row r="572" spans="1:13" ht="15" customHeight="1" x14ac:dyDescent="0.2">
      <c r="A572" s="3">
        <v>45223</v>
      </c>
      <c r="B572" s="4">
        <v>23.06</v>
      </c>
      <c r="C572" s="4">
        <v>23.116</v>
      </c>
      <c r="D572" s="4">
        <v>23.055</v>
      </c>
      <c r="E572" s="4">
        <v>23.065000000000001</v>
      </c>
      <c r="F572" s="4">
        <v>96959</v>
      </c>
      <c r="G572" s="5">
        <v>46430</v>
      </c>
      <c r="H572" s="16">
        <f t="shared" si="20"/>
        <v>4.3365134431923514E-4</v>
      </c>
      <c r="I572" s="6">
        <f t="shared" si="21"/>
        <v>-4.0499784575614983E-3</v>
      </c>
      <c r="L572" s="11"/>
      <c r="M572" s="12"/>
    </row>
    <row r="573" spans="1:13" ht="15" customHeight="1" x14ac:dyDescent="0.2">
      <c r="A573" s="7">
        <v>45222</v>
      </c>
      <c r="B573" s="8">
        <v>23.125</v>
      </c>
      <c r="C573" s="8">
        <v>23.21</v>
      </c>
      <c r="D573" s="8">
        <v>23.125</v>
      </c>
      <c r="E573" s="8">
        <v>23.13</v>
      </c>
      <c r="F573" s="8">
        <v>98132</v>
      </c>
      <c r="G573" s="9">
        <v>50916</v>
      </c>
      <c r="H573" s="16">
        <f t="shared" si="20"/>
        <v>2.1619284401682006E-4</v>
      </c>
      <c r="I573" s="6">
        <f t="shared" si="21"/>
        <v>-1.2508509189925188E-2</v>
      </c>
      <c r="L573" s="11"/>
      <c r="M573" s="12"/>
    </row>
    <row r="574" spans="1:13" ht="15" customHeight="1" x14ac:dyDescent="0.2">
      <c r="A574" s="3">
        <v>45219</v>
      </c>
      <c r="B574" s="4">
        <v>23.53</v>
      </c>
      <c r="C574" s="4">
        <v>23.504000000000001</v>
      </c>
      <c r="D574" s="4">
        <v>23.45</v>
      </c>
      <c r="E574" s="4">
        <v>23.565000000000001</v>
      </c>
      <c r="F574" s="4">
        <v>99235</v>
      </c>
      <c r="G574" s="5">
        <v>78838</v>
      </c>
      <c r="H574" s="16">
        <f t="shared" si="20"/>
        <v>4.8920557268957564E-3</v>
      </c>
      <c r="I574" s="6">
        <f t="shared" si="21"/>
        <v>2.0537536364031217E-2</v>
      </c>
      <c r="L574" s="11"/>
      <c r="M574" s="12"/>
    </row>
    <row r="575" spans="1:13" ht="15" customHeight="1" x14ac:dyDescent="0.2">
      <c r="A575" s="7">
        <v>45218</v>
      </c>
      <c r="B575" s="8">
        <v>23.195</v>
      </c>
      <c r="C575" s="8">
        <v>23.030999999999999</v>
      </c>
      <c r="D575" s="8">
        <v>23.11</v>
      </c>
      <c r="E575" s="8">
        <v>23.245000000000001</v>
      </c>
      <c r="F575" s="8">
        <v>98023</v>
      </c>
      <c r="G575" s="9">
        <v>57408</v>
      </c>
      <c r="H575" s="16">
        <f t="shared" si="20"/>
        <v>5.8246143889548723E-3</v>
      </c>
      <c r="I575" s="6">
        <f t="shared" si="21"/>
        <v>-2.943850383133495E-3</v>
      </c>
      <c r="L575" s="11"/>
      <c r="M575" s="12"/>
    </row>
    <row r="576" spans="1:13" ht="15" customHeight="1" x14ac:dyDescent="0.2">
      <c r="A576" s="3">
        <v>45217</v>
      </c>
      <c r="B576" s="4">
        <v>23</v>
      </c>
      <c r="C576" s="4">
        <v>23.099</v>
      </c>
      <c r="D576" s="4">
        <v>23</v>
      </c>
      <c r="E576" s="4">
        <v>23.01</v>
      </c>
      <c r="F576" s="4">
        <v>98495</v>
      </c>
      <c r="G576" s="5">
        <v>65242</v>
      </c>
      <c r="H576" s="16">
        <f t="shared" si="20"/>
        <v>4.3468811128022437E-4</v>
      </c>
      <c r="I576" s="6">
        <f t="shared" si="21"/>
        <v>3.2574704656009867E-3</v>
      </c>
      <c r="L576" s="11"/>
      <c r="M576" s="12"/>
    </row>
    <row r="577" spans="1:13" ht="15" customHeight="1" x14ac:dyDescent="0.2">
      <c r="A577" s="7">
        <v>45216</v>
      </c>
      <c r="B577" s="8">
        <v>22.97</v>
      </c>
      <c r="C577" s="8">
        <v>23.024000000000001</v>
      </c>
      <c r="D577" s="8">
        <v>22.96</v>
      </c>
      <c r="E577" s="8">
        <v>22.975000000000001</v>
      </c>
      <c r="F577" s="8">
        <v>99423</v>
      </c>
      <c r="G577" s="9">
        <v>47657</v>
      </c>
      <c r="H577" s="16">
        <f t="shared" si="20"/>
        <v>6.5309676717102726E-4</v>
      </c>
      <c r="I577" s="6">
        <f t="shared" si="21"/>
        <v>1.1377113990775234E-2</v>
      </c>
      <c r="L577" s="11"/>
      <c r="M577" s="12"/>
    </row>
    <row r="578" spans="1:13" ht="15" customHeight="1" x14ac:dyDescent="0.2">
      <c r="A578" s="3">
        <v>45215</v>
      </c>
      <c r="B578" s="4">
        <v>22.774999999999999</v>
      </c>
      <c r="C578" s="4">
        <v>22.765000000000001</v>
      </c>
      <c r="D578" s="4">
        <v>22.77</v>
      </c>
      <c r="E578" s="4">
        <v>22.88</v>
      </c>
      <c r="F578" s="4">
        <v>101208</v>
      </c>
      <c r="G578" s="5">
        <v>35125</v>
      </c>
      <c r="H578" s="16">
        <f t="shared" si="20"/>
        <v>4.8192771084337102E-3</v>
      </c>
      <c r="I578" s="6">
        <f t="shared" si="21"/>
        <v>-5.6780956540728456E-3</v>
      </c>
      <c r="L578" s="11"/>
      <c r="M578" s="12"/>
    </row>
    <row r="579" spans="1:13" ht="15" customHeight="1" x14ac:dyDescent="0.2">
      <c r="A579" s="7">
        <v>45212</v>
      </c>
      <c r="B579" s="8">
        <v>22.895</v>
      </c>
      <c r="C579" s="8">
        <v>22.895</v>
      </c>
      <c r="D579" s="8">
        <v>22.805</v>
      </c>
      <c r="E579" s="8">
        <v>22.98</v>
      </c>
      <c r="F579" s="8">
        <v>103196</v>
      </c>
      <c r="G579" s="9">
        <v>74419</v>
      </c>
      <c r="H579" s="16">
        <f t="shared" si="20"/>
        <v>7.6444250300317018E-3</v>
      </c>
      <c r="I579" s="6">
        <f t="shared" si="21"/>
        <v>4.2624891843890955E-2</v>
      </c>
      <c r="L579" s="11"/>
      <c r="M579" s="12"/>
    </row>
    <row r="580" spans="1:13" ht="15" customHeight="1" x14ac:dyDescent="0.2">
      <c r="A580" s="3">
        <v>45211</v>
      </c>
      <c r="B580" s="4">
        <v>21.975000000000001</v>
      </c>
      <c r="C580" s="4">
        <v>21.959</v>
      </c>
      <c r="D580" s="4">
        <v>21.965</v>
      </c>
      <c r="E580" s="4">
        <v>21.98</v>
      </c>
      <c r="F580" s="4">
        <v>103317</v>
      </c>
      <c r="G580" s="5">
        <v>49432</v>
      </c>
      <c r="H580" s="16">
        <f t="shared" si="20"/>
        <v>6.8267152121973234E-4</v>
      </c>
      <c r="I580" s="6">
        <f t="shared" si="21"/>
        <v>-7.8615641801834668E-3</v>
      </c>
      <c r="L580" s="11"/>
      <c r="M580" s="12"/>
    </row>
    <row r="581" spans="1:13" ht="15" customHeight="1" x14ac:dyDescent="0.2">
      <c r="A581" s="7">
        <v>45210</v>
      </c>
      <c r="B581" s="8">
        <v>22.2</v>
      </c>
      <c r="C581" s="8">
        <v>22.132999999999999</v>
      </c>
      <c r="D581" s="8">
        <v>22.195</v>
      </c>
      <c r="E581" s="8">
        <v>22.21</v>
      </c>
      <c r="F581" s="8">
        <v>104646</v>
      </c>
      <c r="G581" s="9">
        <v>43371</v>
      </c>
      <c r="H581" s="16">
        <f t="shared" ref="H581:H644" si="22">(E581-D581)/AVERAGE(D581:E581)</f>
        <v>6.7559959464026881E-4</v>
      </c>
      <c r="I581" s="6">
        <f t="shared" ref="I581:I644" si="23">C581/C582-1</f>
        <v>8.1993349428324258E-3</v>
      </c>
      <c r="L581" s="11"/>
      <c r="M581" s="12"/>
    </row>
    <row r="582" spans="1:13" ht="15" customHeight="1" x14ac:dyDescent="0.2">
      <c r="A582" s="3">
        <v>45209</v>
      </c>
      <c r="B582" s="4">
        <v>22.004999999999999</v>
      </c>
      <c r="C582" s="4">
        <v>21.952999999999999</v>
      </c>
      <c r="D582" s="4">
        <v>22</v>
      </c>
      <c r="E582" s="4">
        <v>22.01</v>
      </c>
      <c r="F582" s="4">
        <v>105220</v>
      </c>
      <c r="G582" s="5">
        <v>42606</v>
      </c>
      <c r="H582" s="16">
        <f t="shared" si="22"/>
        <v>4.5444217223365426E-4</v>
      </c>
      <c r="I582" s="6">
        <f t="shared" si="23"/>
        <v>1.3227513227513921E-3</v>
      </c>
      <c r="L582" s="11"/>
      <c r="M582" s="12"/>
    </row>
    <row r="583" spans="1:13" ht="15" customHeight="1" x14ac:dyDescent="0.2">
      <c r="A583" s="7">
        <v>45208</v>
      </c>
      <c r="B583" s="8">
        <v>22.02</v>
      </c>
      <c r="C583" s="8">
        <v>21.923999999999999</v>
      </c>
      <c r="D583" s="8">
        <v>22.015000000000001</v>
      </c>
      <c r="E583" s="8">
        <v>22.03</v>
      </c>
      <c r="F583" s="8">
        <v>106476</v>
      </c>
      <c r="G583" s="9">
        <v>57208</v>
      </c>
      <c r="H583" s="16">
        <f t="shared" si="22"/>
        <v>6.811215802020918E-4</v>
      </c>
      <c r="I583" s="6">
        <f t="shared" si="23"/>
        <v>9.2528656262946818E-3</v>
      </c>
      <c r="L583" s="11"/>
      <c r="M583" s="12"/>
    </row>
    <row r="584" spans="1:13" ht="15" customHeight="1" x14ac:dyDescent="0.2">
      <c r="A584" s="3">
        <v>45205</v>
      </c>
      <c r="B584" s="4">
        <v>21.765000000000001</v>
      </c>
      <c r="C584" s="4">
        <v>21.722999999999999</v>
      </c>
      <c r="D584" s="4">
        <v>21.765000000000001</v>
      </c>
      <c r="E584" s="4">
        <v>21.78</v>
      </c>
      <c r="F584" s="4">
        <v>108937</v>
      </c>
      <c r="G584" s="5">
        <v>82069</v>
      </c>
      <c r="H584" s="16">
        <f t="shared" si="22"/>
        <v>6.8894247330350523E-4</v>
      </c>
      <c r="I584" s="6">
        <f t="shared" si="23"/>
        <v>3.3493505875636265E-2</v>
      </c>
      <c r="L584" s="11"/>
      <c r="M584" s="12"/>
    </row>
    <row r="585" spans="1:13" ht="15" customHeight="1" x14ac:dyDescent="0.2">
      <c r="A585" s="7">
        <v>45204</v>
      </c>
      <c r="B585" s="8">
        <v>21.12</v>
      </c>
      <c r="C585" s="8">
        <v>21.018999999999998</v>
      </c>
      <c r="D585" s="8">
        <v>21.114999999999998</v>
      </c>
      <c r="E585" s="8">
        <v>21.125</v>
      </c>
      <c r="F585" s="8">
        <v>108409</v>
      </c>
      <c r="G585" s="9">
        <v>56587</v>
      </c>
      <c r="H585" s="16">
        <f t="shared" si="22"/>
        <v>4.7348484848492255E-4</v>
      </c>
      <c r="I585" s="6">
        <f t="shared" si="23"/>
        <v>-6.0058639931903635E-3</v>
      </c>
      <c r="L585" s="11"/>
      <c r="M585" s="12"/>
    </row>
    <row r="586" spans="1:13" ht="15" customHeight="1" x14ac:dyDescent="0.2">
      <c r="A586" s="3">
        <v>45203</v>
      </c>
      <c r="B586" s="4">
        <v>21.17</v>
      </c>
      <c r="C586" s="4">
        <v>21.146000000000001</v>
      </c>
      <c r="D586" s="4">
        <v>21.164999999999999</v>
      </c>
      <c r="E586" s="4">
        <v>21.18</v>
      </c>
      <c r="F586" s="4">
        <v>109729</v>
      </c>
      <c r="G586" s="5">
        <v>65061</v>
      </c>
      <c r="H586" s="16">
        <f t="shared" si="22"/>
        <v>7.0846617074037403E-4</v>
      </c>
      <c r="I586" s="6">
        <f t="shared" si="23"/>
        <v>-1.0806006455536199E-2</v>
      </c>
      <c r="L586" s="11"/>
      <c r="M586" s="12"/>
    </row>
    <row r="587" spans="1:13" ht="15" customHeight="1" x14ac:dyDescent="0.2">
      <c r="A587" s="7">
        <v>45202</v>
      </c>
      <c r="B587" s="8">
        <v>21.34</v>
      </c>
      <c r="C587" s="8">
        <v>21.376999999999999</v>
      </c>
      <c r="D587" s="8">
        <v>21.335000000000001</v>
      </c>
      <c r="E587" s="8">
        <v>21.35</v>
      </c>
      <c r="F587" s="8">
        <v>113108</v>
      </c>
      <c r="G587" s="9">
        <v>77913</v>
      </c>
      <c r="H587" s="16">
        <f t="shared" si="22"/>
        <v>7.0282300573974786E-4</v>
      </c>
      <c r="I587" s="6">
        <f t="shared" si="23"/>
        <v>-2.0540591008822995E-3</v>
      </c>
      <c r="L587" s="11"/>
      <c r="M587" s="12"/>
    </row>
    <row r="588" spans="1:13" ht="15" customHeight="1" x14ac:dyDescent="0.2">
      <c r="A588" s="3">
        <v>45201</v>
      </c>
      <c r="B588" s="4">
        <v>21.24</v>
      </c>
      <c r="C588" s="4">
        <v>21.420999999999999</v>
      </c>
      <c r="D588" s="4">
        <v>21.23</v>
      </c>
      <c r="E588" s="4">
        <v>21.24</v>
      </c>
      <c r="F588" s="4">
        <v>113061</v>
      </c>
      <c r="G588" s="5">
        <v>93210</v>
      </c>
      <c r="H588" s="16">
        <f t="shared" si="22"/>
        <v>4.7092064987040315E-4</v>
      </c>
      <c r="I588" s="6">
        <f t="shared" si="23"/>
        <v>-4.5835189309576863E-2</v>
      </c>
      <c r="L588" s="11"/>
      <c r="M588" s="12"/>
    </row>
    <row r="589" spans="1:13" ht="15" customHeight="1" x14ac:dyDescent="0.2">
      <c r="A589" s="7">
        <v>45198</v>
      </c>
      <c r="B589" s="8">
        <v>22.39</v>
      </c>
      <c r="C589" s="8">
        <v>22.45</v>
      </c>
      <c r="D589" s="8">
        <v>22.39</v>
      </c>
      <c r="E589" s="8">
        <v>22.4</v>
      </c>
      <c r="F589" s="8">
        <v>112893</v>
      </c>
      <c r="G589" s="9">
        <v>109554</v>
      </c>
      <c r="H589" s="16">
        <f t="shared" si="22"/>
        <v>4.4652824291127531E-4</v>
      </c>
      <c r="I589" s="6">
        <f t="shared" si="23"/>
        <v>-1.2796271052284425E-2</v>
      </c>
      <c r="L589" s="11"/>
      <c r="M589" s="12"/>
    </row>
    <row r="590" spans="1:13" ht="15" customHeight="1" x14ac:dyDescent="0.2">
      <c r="A590" s="3">
        <v>45197</v>
      </c>
      <c r="B590" s="4">
        <v>22.835000000000001</v>
      </c>
      <c r="C590" s="4">
        <v>22.741</v>
      </c>
      <c r="D590" s="4">
        <v>22.83</v>
      </c>
      <c r="E590" s="4">
        <v>22.844999999999999</v>
      </c>
      <c r="F590" s="4">
        <v>113046</v>
      </c>
      <c r="G590" s="5">
        <v>65852</v>
      </c>
      <c r="H590" s="16">
        <f t="shared" si="22"/>
        <v>6.5681444991792315E-4</v>
      </c>
      <c r="I590" s="6">
        <f t="shared" si="23"/>
        <v>7.4810772751265908E-4</v>
      </c>
      <c r="L590" s="11"/>
      <c r="M590" s="12"/>
    </row>
    <row r="591" spans="1:13" ht="15" customHeight="1" x14ac:dyDescent="0.2">
      <c r="A591" s="7">
        <v>45196</v>
      </c>
      <c r="B591" s="8">
        <v>22.78</v>
      </c>
      <c r="C591" s="8">
        <v>22.724</v>
      </c>
      <c r="D591" s="8">
        <v>22.774999999999999</v>
      </c>
      <c r="E591" s="8">
        <v>22.79</v>
      </c>
      <c r="F591" s="8">
        <v>112520</v>
      </c>
      <c r="G591" s="9">
        <v>64671</v>
      </c>
      <c r="H591" s="16">
        <f t="shared" si="22"/>
        <v>6.5840008778670332E-4</v>
      </c>
      <c r="I591" s="6">
        <f t="shared" si="23"/>
        <v>-2.0348335919986305E-2</v>
      </c>
      <c r="L591" s="11"/>
      <c r="M591" s="12"/>
    </row>
    <row r="592" spans="1:13" ht="15" customHeight="1" x14ac:dyDescent="0.2">
      <c r="A592" s="3">
        <v>45195</v>
      </c>
      <c r="B592" s="4">
        <v>23.11</v>
      </c>
      <c r="C592" s="4">
        <v>23.196000000000002</v>
      </c>
      <c r="D592" s="4">
        <v>23.105</v>
      </c>
      <c r="E592" s="4">
        <v>23.114999999999998</v>
      </c>
      <c r="F592" s="4">
        <v>112388</v>
      </c>
      <c r="G592" s="5">
        <v>51307</v>
      </c>
      <c r="H592" s="16">
        <f t="shared" si="22"/>
        <v>4.3271311120718348E-4</v>
      </c>
      <c r="I592" s="6">
        <f t="shared" si="23"/>
        <v>-8.0821039127646488E-3</v>
      </c>
      <c r="L592" s="11"/>
      <c r="M592" s="12"/>
    </row>
    <row r="593" spans="1:13" ht="15" customHeight="1" x14ac:dyDescent="0.2">
      <c r="A593" s="7">
        <v>45194</v>
      </c>
      <c r="B593" s="8">
        <v>23.385000000000002</v>
      </c>
      <c r="C593" s="8">
        <v>23.385000000000002</v>
      </c>
      <c r="D593" s="8">
        <v>23.38</v>
      </c>
      <c r="E593" s="8">
        <v>23.39</v>
      </c>
      <c r="F593" s="8">
        <v>113228</v>
      </c>
      <c r="G593" s="9">
        <v>54792</v>
      </c>
      <c r="H593" s="16">
        <f t="shared" si="22"/>
        <v>4.2762454564898713E-4</v>
      </c>
      <c r="I593" s="6">
        <f t="shared" si="23"/>
        <v>-1.9250125817815822E-2</v>
      </c>
      <c r="L593" s="11"/>
      <c r="M593" s="12"/>
    </row>
    <row r="594" spans="1:13" ht="15" customHeight="1" x14ac:dyDescent="0.2">
      <c r="A594" s="3">
        <v>45191</v>
      </c>
      <c r="B594" s="4">
        <v>23.82</v>
      </c>
      <c r="C594" s="4">
        <v>23.844000000000001</v>
      </c>
      <c r="D594" s="4">
        <v>23.82</v>
      </c>
      <c r="E594" s="4">
        <v>23.83</v>
      </c>
      <c r="F594" s="4">
        <v>113920</v>
      </c>
      <c r="G594" s="5">
        <v>51520</v>
      </c>
      <c r="H594" s="16">
        <f t="shared" si="22"/>
        <v>4.1972717733464892E-4</v>
      </c>
      <c r="I594" s="6">
        <f t="shared" si="23"/>
        <v>6.6281082450290185E-3</v>
      </c>
      <c r="L594" s="11"/>
      <c r="M594" s="12"/>
    </row>
    <row r="595" spans="1:13" ht="15" customHeight="1" x14ac:dyDescent="0.2">
      <c r="A595" s="7">
        <v>45190</v>
      </c>
      <c r="B595" s="8">
        <v>23.68</v>
      </c>
      <c r="C595" s="8">
        <v>23.687000000000001</v>
      </c>
      <c r="D595" s="8">
        <v>23.67</v>
      </c>
      <c r="E595" s="8">
        <v>23.684999999999999</v>
      </c>
      <c r="F595" s="8">
        <v>112637</v>
      </c>
      <c r="G595" s="9">
        <v>72422</v>
      </c>
      <c r="H595" s="16">
        <f t="shared" si="22"/>
        <v>6.3351282863465376E-4</v>
      </c>
      <c r="I595" s="6">
        <f t="shared" si="23"/>
        <v>-6.2510488336968706E-3</v>
      </c>
      <c r="L595" s="11"/>
      <c r="M595" s="12"/>
    </row>
    <row r="596" spans="1:13" ht="15" customHeight="1" x14ac:dyDescent="0.2">
      <c r="A596" s="3">
        <v>45189</v>
      </c>
      <c r="B596" s="4">
        <v>23.52</v>
      </c>
      <c r="C596" s="4">
        <v>23.835999999999999</v>
      </c>
      <c r="D596" s="4">
        <v>23.51</v>
      </c>
      <c r="E596" s="4">
        <v>23.524999999999999</v>
      </c>
      <c r="F596" s="4">
        <v>113253</v>
      </c>
      <c r="G596" s="5">
        <v>56524</v>
      </c>
      <c r="H596" s="16">
        <f t="shared" si="22"/>
        <v>6.3782289784190566E-4</v>
      </c>
      <c r="I596" s="6">
        <f t="shared" si="23"/>
        <v>1.6200545702591995E-2</v>
      </c>
      <c r="L596" s="11"/>
      <c r="M596" s="12"/>
    </row>
    <row r="597" spans="1:13" ht="15" customHeight="1" x14ac:dyDescent="0.2">
      <c r="A597" s="7">
        <v>45188</v>
      </c>
      <c r="B597" s="8">
        <v>23.475000000000001</v>
      </c>
      <c r="C597" s="8">
        <v>23.456</v>
      </c>
      <c r="D597" s="8">
        <v>23.47</v>
      </c>
      <c r="E597" s="8">
        <v>23.475000000000001</v>
      </c>
      <c r="F597" s="8">
        <v>112973</v>
      </c>
      <c r="G597" s="9">
        <v>39112</v>
      </c>
      <c r="H597" s="16">
        <f t="shared" si="22"/>
        <v>2.130152305890961E-4</v>
      </c>
      <c r="I597" s="6">
        <f t="shared" si="23"/>
        <v>-1.787386160524318E-3</v>
      </c>
      <c r="L597" s="11"/>
      <c r="M597" s="12"/>
    </row>
    <row r="598" spans="1:13" ht="15" customHeight="1" x14ac:dyDescent="0.2">
      <c r="A598" s="3">
        <v>45187</v>
      </c>
      <c r="B598" s="4">
        <v>23.524999999999999</v>
      </c>
      <c r="C598" s="4">
        <v>23.498000000000001</v>
      </c>
      <c r="D598" s="4">
        <v>23.52</v>
      </c>
      <c r="E598" s="4">
        <v>23.535</v>
      </c>
      <c r="F598" s="4">
        <v>112808</v>
      </c>
      <c r="G598" s="5">
        <v>45368</v>
      </c>
      <c r="H598" s="16">
        <f t="shared" si="22"/>
        <v>6.375518010838622E-4</v>
      </c>
      <c r="I598" s="6">
        <f t="shared" si="23"/>
        <v>4.7891901137433468E-3</v>
      </c>
      <c r="L598" s="11"/>
      <c r="M598" s="12"/>
    </row>
    <row r="599" spans="1:13" ht="15" customHeight="1" x14ac:dyDescent="0.2">
      <c r="A599" s="7">
        <v>45184</v>
      </c>
      <c r="B599" s="8">
        <v>23.305</v>
      </c>
      <c r="C599" s="8">
        <v>23.385999999999999</v>
      </c>
      <c r="D599" s="8">
        <v>23.3</v>
      </c>
      <c r="E599" s="8">
        <v>23.315000000000001</v>
      </c>
      <c r="F599" s="8">
        <v>115186</v>
      </c>
      <c r="G599" s="9">
        <v>65790</v>
      </c>
      <c r="H599" s="16">
        <f t="shared" si="22"/>
        <v>6.4356966641641389E-4</v>
      </c>
      <c r="I599" s="6">
        <f t="shared" si="23"/>
        <v>1.7047925545794484E-2</v>
      </c>
      <c r="L599" s="11"/>
      <c r="M599" s="12"/>
    </row>
    <row r="600" spans="1:13" ht="15" customHeight="1" x14ac:dyDescent="0.2">
      <c r="A600" s="3">
        <v>45183</v>
      </c>
      <c r="B600" s="4">
        <v>22.94</v>
      </c>
      <c r="C600" s="4">
        <v>22.994</v>
      </c>
      <c r="D600" s="4">
        <v>22.93</v>
      </c>
      <c r="E600" s="4">
        <v>22.94</v>
      </c>
      <c r="F600" s="4">
        <v>114475</v>
      </c>
      <c r="G600" s="5">
        <v>81585</v>
      </c>
      <c r="H600" s="16">
        <f t="shared" si="22"/>
        <v>4.3601482450410125E-4</v>
      </c>
      <c r="I600" s="6">
        <f t="shared" si="23"/>
        <v>-8.0669513825978312E-3</v>
      </c>
      <c r="L600" s="11"/>
      <c r="M600" s="12"/>
    </row>
    <row r="601" spans="1:13" ht="15" customHeight="1" x14ac:dyDescent="0.2">
      <c r="A601" s="7">
        <v>45182</v>
      </c>
      <c r="B601" s="8">
        <v>23.13</v>
      </c>
      <c r="C601" s="8">
        <v>23.181000000000001</v>
      </c>
      <c r="D601" s="8">
        <v>23.125</v>
      </c>
      <c r="E601" s="8">
        <v>23.14</v>
      </c>
      <c r="F601" s="8">
        <v>113251</v>
      </c>
      <c r="G601" s="9">
        <v>48150</v>
      </c>
      <c r="H601" s="16">
        <f t="shared" si="22"/>
        <v>6.4843834432078541E-4</v>
      </c>
      <c r="I601" s="6">
        <f t="shared" si="23"/>
        <v>-9.443637295957652E-3</v>
      </c>
      <c r="L601" s="11"/>
      <c r="M601" s="12"/>
    </row>
    <row r="602" spans="1:13" ht="15" customHeight="1" x14ac:dyDescent="0.2">
      <c r="A602" s="3">
        <v>45181</v>
      </c>
      <c r="B602" s="4">
        <v>23.37</v>
      </c>
      <c r="C602" s="4">
        <v>23.402000000000001</v>
      </c>
      <c r="D602" s="4">
        <v>23.364999999999998</v>
      </c>
      <c r="E602" s="4">
        <v>23.375</v>
      </c>
      <c r="F602" s="4">
        <v>113684</v>
      </c>
      <c r="G602" s="5">
        <v>40133</v>
      </c>
      <c r="H602" s="16">
        <f t="shared" si="22"/>
        <v>4.2789901583233054E-4</v>
      </c>
      <c r="I602" s="6">
        <f t="shared" si="23"/>
        <v>8.12556130522335E-4</v>
      </c>
      <c r="L602" s="11"/>
      <c r="M602" s="12"/>
    </row>
    <row r="603" spans="1:13" ht="15" customHeight="1" x14ac:dyDescent="0.2">
      <c r="A603" s="7">
        <v>45180</v>
      </c>
      <c r="B603" s="8">
        <v>23.375</v>
      </c>
      <c r="C603" s="8">
        <v>23.382999999999999</v>
      </c>
      <c r="D603" s="8">
        <v>23.375</v>
      </c>
      <c r="E603" s="8">
        <v>23.385000000000002</v>
      </c>
      <c r="F603" s="8">
        <v>112785</v>
      </c>
      <c r="G603" s="9">
        <v>41244</v>
      </c>
      <c r="H603" s="16">
        <f t="shared" si="22"/>
        <v>4.2771599657833885E-4</v>
      </c>
      <c r="I603" s="6">
        <f t="shared" si="23"/>
        <v>9.0187278846982633E-3</v>
      </c>
      <c r="L603" s="11"/>
      <c r="M603" s="12"/>
    </row>
    <row r="604" spans="1:13" ht="15" customHeight="1" x14ac:dyDescent="0.2">
      <c r="A604" s="3">
        <v>45177</v>
      </c>
      <c r="B604" s="4">
        <v>23.195</v>
      </c>
      <c r="C604" s="4">
        <v>23.173999999999999</v>
      </c>
      <c r="D604" s="4">
        <v>23.195</v>
      </c>
      <c r="E604" s="4">
        <v>23.204999999999998</v>
      </c>
      <c r="F604" s="4">
        <v>113200</v>
      </c>
      <c r="G604" s="5">
        <v>51199</v>
      </c>
      <c r="H604" s="16">
        <f t="shared" si="22"/>
        <v>4.3103448275853492E-4</v>
      </c>
      <c r="I604" s="6">
        <f t="shared" si="23"/>
        <v>-2.8399311531841498E-3</v>
      </c>
      <c r="L604" s="11"/>
      <c r="M604" s="12"/>
    </row>
    <row r="605" spans="1:13" ht="15" customHeight="1" x14ac:dyDescent="0.2">
      <c r="A605" s="7">
        <v>45176</v>
      </c>
      <c r="B605" s="8">
        <v>23.25</v>
      </c>
      <c r="C605" s="8">
        <v>23.24</v>
      </c>
      <c r="D605" s="8">
        <v>23.245000000000001</v>
      </c>
      <c r="E605" s="8">
        <v>23.254999999999999</v>
      </c>
      <c r="F605" s="8">
        <v>113513</v>
      </c>
      <c r="G605" s="9">
        <v>49499</v>
      </c>
      <c r="H605" s="16">
        <f t="shared" si="22"/>
        <v>4.3010752688163489E-4</v>
      </c>
      <c r="I605" s="6">
        <f t="shared" si="23"/>
        <v>-1.1190060843296656E-2</v>
      </c>
      <c r="L605" s="11"/>
      <c r="M605" s="12"/>
    </row>
    <row r="606" spans="1:13" ht="15" customHeight="1" x14ac:dyDescent="0.2">
      <c r="A606" s="3">
        <v>45175</v>
      </c>
      <c r="B606" s="4">
        <v>23.495000000000001</v>
      </c>
      <c r="C606" s="4">
        <v>23.503</v>
      </c>
      <c r="D606" s="4">
        <v>23.484999999999999</v>
      </c>
      <c r="E606" s="4">
        <v>23.495000000000001</v>
      </c>
      <c r="F606" s="4">
        <v>116126</v>
      </c>
      <c r="G606" s="5">
        <v>65610</v>
      </c>
      <c r="H606" s="16">
        <f t="shared" si="22"/>
        <v>4.2571306939129683E-4</v>
      </c>
      <c r="I606" s="6">
        <f t="shared" si="23"/>
        <v>-1.5498680517739727E-2</v>
      </c>
      <c r="L606" s="11"/>
      <c r="M606" s="12"/>
    </row>
    <row r="607" spans="1:13" ht="15" customHeight="1" x14ac:dyDescent="0.2">
      <c r="A607" s="7">
        <v>45174</v>
      </c>
      <c r="B607" s="8">
        <v>23.88</v>
      </c>
      <c r="C607" s="8">
        <v>23.873000000000001</v>
      </c>
      <c r="D607" s="8">
        <v>23.87</v>
      </c>
      <c r="E607" s="8">
        <v>23.885000000000002</v>
      </c>
      <c r="F607" s="8">
        <v>118312</v>
      </c>
      <c r="G607" s="9">
        <v>89314</v>
      </c>
      <c r="H607" s="16">
        <f t="shared" si="22"/>
        <v>6.2820647052667022E-4</v>
      </c>
      <c r="I607" s="6">
        <f t="shared" si="23"/>
        <v>-2.8051461607360939E-2</v>
      </c>
      <c r="L607" s="11"/>
      <c r="M607" s="12"/>
    </row>
    <row r="608" spans="1:13" ht="15" customHeight="1" x14ac:dyDescent="0.2">
      <c r="A608" s="3">
        <v>45170</v>
      </c>
      <c r="B608" s="4">
        <v>24.545000000000002</v>
      </c>
      <c r="C608" s="4">
        <v>24.562000000000001</v>
      </c>
      <c r="D608" s="4">
        <v>24.535</v>
      </c>
      <c r="E608" s="4">
        <v>24.545000000000002</v>
      </c>
      <c r="F608" s="4">
        <v>118590</v>
      </c>
      <c r="G608" s="5">
        <v>60053</v>
      </c>
      <c r="H608" s="16">
        <f t="shared" si="22"/>
        <v>4.0749796251025118E-4</v>
      </c>
      <c r="I608" s="6">
        <f t="shared" si="23"/>
        <v>-1.0075769788811861E-2</v>
      </c>
      <c r="L608" s="11"/>
      <c r="M608" s="12"/>
    </row>
    <row r="609" spans="1:13" ht="15" customHeight="1" x14ac:dyDescent="0.2">
      <c r="A609" s="7">
        <v>45169</v>
      </c>
      <c r="B609" s="8">
        <v>24.82</v>
      </c>
      <c r="C609" s="8">
        <v>24.812000000000001</v>
      </c>
      <c r="D609" s="8">
        <v>24.82</v>
      </c>
      <c r="E609" s="8">
        <v>24.83</v>
      </c>
      <c r="F609" s="8">
        <v>117421</v>
      </c>
      <c r="G609" s="9">
        <v>45630</v>
      </c>
      <c r="H609" s="16">
        <f t="shared" si="22"/>
        <v>4.0281973816709007E-4</v>
      </c>
      <c r="I609" s="6">
        <f t="shared" si="23"/>
        <v>3.1535538125657681E-3</v>
      </c>
      <c r="L609" s="11"/>
      <c r="M609" s="12"/>
    </row>
    <row r="610" spans="1:13" ht="15" customHeight="1" x14ac:dyDescent="0.2">
      <c r="A610" s="3">
        <v>45168</v>
      </c>
      <c r="B610" s="4">
        <v>24.664999999999999</v>
      </c>
      <c r="C610" s="4">
        <v>24.734000000000002</v>
      </c>
      <c r="D610" s="4">
        <v>24.64</v>
      </c>
      <c r="E610" s="4">
        <v>24.675000000000001</v>
      </c>
      <c r="F610" s="4">
        <v>6147</v>
      </c>
      <c r="G610" s="5">
        <v>7105</v>
      </c>
      <c r="H610" s="16">
        <f t="shared" si="22"/>
        <v>1.4194464158978058E-3</v>
      </c>
      <c r="I610" s="6">
        <f t="shared" si="23"/>
        <v>-2.1784734548975226E-3</v>
      </c>
      <c r="L610" s="11"/>
      <c r="M610" s="12"/>
    </row>
    <row r="611" spans="1:13" ht="15" customHeight="1" x14ac:dyDescent="0.2">
      <c r="A611" s="7">
        <v>45167</v>
      </c>
      <c r="B611" s="8">
        <v>24.774999999999999</v>
      </c>
      <c r="C611" s="8">
        <v>24.788</v>
      </c>
      <c r="D611" s="8">
        <v>24.51</v>
      </c>
      <c r="E611" s="8">
        <v>24.78</v>
      </c>
      <c r="F611" s="8">
        <v>14309</v>
      </c>
      <c r="G611" s="9">
        <v>52176</v>
      </c>
      <c r="H611" s="16">
        <f t="shared" si="22"/>
        <v>1.0955569080949464E-2</v>
      </c>
      <c r="I611" s="6">
        <f t="shared" si="23"/>
        <v>2.2101269998350714E-2</v>
      </c>
      <c r="L611" s="11"/>
      <c r="M611" s="12"/>
    </row>
    <row r="612" spans="1:13" ht="15" customHeight="1" x14ac:dyDescent="0.2">
      <c r="A612" s="3">
        <v>45166</v>
      </c>
      <c r="B612" s="4">
        <v>24.28</v>
      </c>
      <c r="C612" s="4">
        <v>24.251999999999999</v>
      </c>
      <c r="D612" s="4">
        <v>24.27</v>
      </c>
      <c r="E612" s="4">
        <v>24.28</v>
      </c>
      <c r="F612" s="4">
        <v>22154</v>
      </c>
      <c r="G612" s="5">
        <v>35729</v>
      </c>
      <c r="H612" s="16">
        <f t="shared" si="22"/>
        <v>4.1194644696195936E-4</v>
      </c>
      <c r="I612" s="6">
        <f t="shared" si="23"/>
        <v>7.4275810844248724E-4</v>
      </c>
      <c r="L612" s="11"/>
      <c r="M612" s="12"/>
    </row>
    <row r="613" spans="1:13" ht="15" customHeight="1" x14ac:dyDescent="0.2">
      <c r="A613" s="7">
        <v>45163</v>
      </c>
      <c r="B613" s="8">
        <v>24.285</v>
      </c>
      <c r="C613" s="8">
        <v>24.234000000000002</v>
      </c>
      <c r="D613" s="8">
        <v>24.28</v>
      </c>
      <c r="E613" s="8">
        <v>24.29</v>
      </c>
      <c r="F613" s="8">
        <v>27720</v>
      </c>
      <c r="G613" s="9">
        <v>55368</v>
      </c>
      <c r="H613" s="16">
        <f t="shared" si="22"/>
        <v>4.1177681696512292E-4</v>
      </c>
      <c r="I613" s="6">
        <f t="shared" si="23"/>
        <v>1.6508460586051044E-4</v>
      </c>
      <c r="L613" s="11"/>
      <c r="M613" s="12"/>
    </row>
    <row r="614" spans="1:13" ht="15" customHeight="1" x14ac:dyDescent="0.2">
      <c r="A614" s="3">
        <v>45162</v>
      </c>
      <c r="B614" s="4">
        <v>24.18</v>
      </c>
      <c r="C614" s="4">
        <v>24.23</v>
      </c>
      <c r="D614" s="4">
        <v>24.17</v>
      </c>
      <c r="E614" s="4">
        <v>24.184999999999999</v>
      </c>
      <c r="F614" s="4">
        <v>39083</v>
      </c>
      <c r="G614" s="5">
        <v>66664</v>
      </c>
      <c r="H614" s="16">
        <f t="shared" si="22"/>
        <v>6.2041153965451408E-4</v>
      </c>
      <c r="I614" s="6">
        <f t="shared" si="23"/>
        <v>-6.6415218104296514E-3</v>
      </c>
      <c r="L614" s="11"/>
      <c r="M614" s="12"/>
    </row>
    <row r="615" spans="1:13" ht="15" customHeight="1" x14ac:dyDescent="0.2">
      <c r="A615" s="7">
        <v>45161</v>
      </c>
      <c r="B615" s="8">
        <v>24.385000000000002</v>
      </c>
      <c r="C615" s="8">
        <v>24.391999999999999</v>
      </c>
      <c r="D615" s="8">
        <v>24.385000000000002</v>
      </c>
      <c r="E615" s="8">
        <v>24.39</v>
      </c>
      <c r="F615" s="8">
        <v>43083</v>
      </c>
      <c r="G615" s="9">
        <v>84645</v>
      </c>
      <c r="H615" s="16">
        <f t="shared" si="22"/>
        <v>2.0502306509478235E-4</v>
      </c>
      <c r="I615" s="6">
        <f t="shared" si="23"/>
        <v>4.0170575692963784E-2</v>
      </c>
      <c r="L615" s="11"/>
      <c r="M615" s="12"/>
    </row>
    <row r="616" spans="1:13" ht="15" customHeight="1" x14ac:dyDescent="0.2">
      <c r="A616" s="3">
        <v>45160</v>
      </c>
      <c r="B616" s="4">
        <v>23.47</v>
      </c>
      <c r="C616" s="4">
        <v>23.45</v>
      </c>
      <c r="D616" s="4">
        <v>23.465</v>
      </c>
      <c r="E616" s="4">
        <v>23.475000000000001</v>
      </c>
      <c r="F616" s="4">
        <v>46801</v>
      </c>
      <c r="G616" s="5">
        <v>52659</v>
      </c>
      <c r="H616" s="16">
        <f t="shared" si="22"/>
        <v>4.2607584149985357E-4</v>
      </c>
      <c r="I616" s="6">
        <f t="shared" si="23"/>
        <v>4.7129391602398485E-3</v>
      </c>
      <c r="L616" s="11"/>
      <c r="M616" s="12"/>
    </row>
    <row r="617" spans="1:13" ht="15" customHeight="1" x14ac:dyDescent="0.2">
      <c r="A617" s="7">
        <v>45159</v>
      </c>
      <c r="B617" s="8">
        <v>23.375</v>
      </c>
      <c r="C617" s="8">
        <v>23.34</v>
      </c>
      <c r="D617" s="8">
        <v>23.364999999999998</v>
      </c>
      <c r="E617" s="8">
        <v>23.375</v>
      </c>
      <c r="F617" s="8">
        <v>50978</v>
      </c>
      <c r="G617" s="9">
        <v>64022.999999999898</v>
      </c>
      <c r="H617" s="16">
        <f t="shared" si="22"/>
        <v>4.2789901583233054E-4</v>
      </c>
      <c r="I617" s="6">
        <f t="shared" si="23"/>
        <v>2.6701271279637506E-2</v>
      </c>
      <c r="L617" s="11"/>
      <c r="M617" s="12"/>
    </row>
    <row r="618" spans="1:13" ht="15" customHeight="1" x14ac:dyDescent="0.2">
      <c r="A618" s="3">
        <v>45156</v>
      </c>
      <c r="B618" s="4">
        <v>22.8</v>
      </c>
      <c r="C618" s="4">
        <v>22.733000000000001</v>
      </c>
      <c r="D618" s="4">
        <v>22.79</v>
      </c>
      <c r="E618" s="4">
        <v>22.8</v>
      </c>
      <c r="F618" s="4">
        <v>54154</v>
      </c>
      <c r="G618" s="5">
        <v>53105</v>
      </c>
      <c r="H618" s="16">
        <f t="shared" si="22"/>
        <v>4.3869269576668403E-4</v>
      </c>
      <c r="I618" s="6">
        <f t="shared" si="23"/>
        <v>7.9242791107203558E-4</v>
      </c>
      <c r="L618" s="11"/>
      <c r="M618" s="12"/>
    </row>
    <row r="619" spans="1:13" ht="15" customHeight="1" x14ac:dyDescent="0.2">
      <c r="A619" s="7">
        <v>45155</v>
      </c>
      <c r="B619" s="8">
        <v>22.74</v>
      </c>
      <c r="C619" s="8">
        <v>22.715</v>
      </c>
      <c r="D619" s="8">
        <v>22.73</v>
      </c>
      <c r="E619" s="8">
        <v>22.745000000000001</v>
      </c>
      <c r="F619" s="8">
        <v>58109</v>
      </c>
      <c r="G619" s="9">
        <v>65010.999999999898</v>
      </c>
      <c r="H619" s="16">
        <f t="shared" si="22"/>
        <v>6.5970313358990952E-4</v>
      </c>
      <c r="I619" s="6">
        <f t="shared" si="23"/>
        <v>7.9875748835145366E-3</v>
      </c>
      <c r="L619" s="11"/>
      <c r="M619" s="12"/>
    </row>
    <row r="620" spans="1:13" ht="15" customHeight="1" x14ac:dyDescent="0.2">
      <c r="A620" s="3">
        <v>45154</v>
      </c>
      <c r="B620" s="4">
        <v>22.46</v>
      </c>
      <c r="C620" s="4">
        <v>22.535</v>
      </c>
      <c r="D620" s="4">
        <v>22.45</v>
      </c>
      <c r="E620" s="4">
        <v>22.465</v>
      </c>
      <c r="F620" s="4">
        <v>60285</v>
      </c>
      <c r="G620" s="5">
        <v>45707</v>
      </c>
      <c r="H620" s="16">
        <f t="shared" si="22"/>
        <v>6.6792830902818968E-4</v>
      </c>
      <c r="I620" s="6">
        <f t="shared" si="23"/>
        <v>-5.3407485875706096E-3</v>
      </c>
      <c r="L620" s="11"/>
      <c r="M620" s="12"/>
    </row>
    <row r="621" spans="1:13" ht="15" customHeight="1" x14ac:dyDescent="0.2">
      <c r="A621" s="7">
        <v>45153</v>
      </c>
      <c r="B621" s="8">
        <v>22.585000000000001</v>
      </c>
      <c r="C621" s="8">
        <v>22.655999999999999</v>
      </c>
      <c r="D621" s="8">
        <v>22.574999999999999</v>
      </c>
      <c r="E621" s="8">
        <v>22.585000000000001</v>
      </c>
      <c r="F621" s="8">
        <v>62218</v>
      </c>
      <c r="G621" s="9">
        <v>60396</v>
      </c>
      <c r="H621" s="16">
        <f t="shared" si="22"/>
        <v>4.4286979627996295E-4</v>
      </c>
      <c r="I621" s="6">
        <f t="shared" si="23"/>
        <v>-2.2899418707063024E-3</v>
      </c>
      <c r="L621" s="11"/>
      <c r="M621" s="12"/>
    </row>
    <row r="622" spans="1:13" ht="15" customHeight="1" x14ac:dyDescent="0.2">
      <c r="A622" s="3">
        <v>45152</v>
      </c>
      <c r="B622" s="4">
        <v>22.65</v>
      </c>
      <c r="C622" s="4">
        <v>22.707999999999998</v>
      </c>
      <c r="D622" s="4">
        <v>22.64</v>
      </c>
      <c r="E622" s="4">
        <v>22.65</v>
      </c>
      <c r="F622" s="4">
        <v>67491</v>
      </c>
      <c r="G622" s="5">
        <v>51908</v>
      </c>
      <c r="H622" s="16">
        <f t="shared" si="22"/>
        <v>4.4159858688443414E-4</v>
      </c>
      <c r="I622" s="6">
        <f t="shared" si="23"/>
        <v>-1.5389350569405824E-3</v>
      </c>
      <c r="L622" s="11"/>
      <c r="M622" s="12"/>
    </row>
    <row r="623" spans="1:13" ht="15" customHeight="1" x14ac:dyDescent="0.2">
      <c r="A623" s="7">
        <v>45149</v>
      </c>
      <c r="B623" s="8">
        <v>22.745000000000001</v>
      </c>
      <c r="C623" s="8">
        <v>22.742999999999999</v>
      </c>
      <c r="D623" s="8">
        <v>22.74</v>
      </c>
      <c r="E623" s="8">
        <v>22.75</v>
      </c>
      <c r="F623" s="8">
        <v>71333</v>
      </c>
      <c r="G623" s="9">
        <v>48043</v>
      </c>
      <c r="H623" s="16">
        <f t="shared" si="22"/>
        <v>4.3965706748742866E-4</v>
      </c>
      <c r="I623" s="6">
        <f t="shared" si="23"/>
        <v>-3.417904561588192E-3</v>
      </c>
      <c r="L623" s="11"/>
      <c r="M623" s="12"/>
    </row>
    <row r="624" spans="1:13" ht="15" customHeight="1" x14ac:dyDescent="0.2">
      <c r="A624" s="3">
        <v>45148</v>
      </c>
      <c r="B624" s="4">
        <v>22.754999999999999</v>
      </c>
      <c r="C624" s="4">
        <v>22.821000000000002</v>
      </c>
      <c r="D624" s="4">
        <v>22.75</v>
      </c>
      <c r="E624" s="4">
        <v>22.76</v>
      </c>
      <c r="F624" s="4">
        <v>77187</v>
      </c>
      <c r="G624" s="5">
        <v>71226</v>
      </c>
      <c r="H624" s="16">
        <f t="shared" si="22"/>
        <v>4.3946385409806909E-4</v>
      </c>
      <c r="I624" s="6">
        <f t="shared" si="23"/>
        <v>3.9593506664907796E-3</v>
      </c>
      <c r="L624" s="11"/>
      <c r="M624" s="12"/>
    </row>
    <row r="625" spans="1:13" ht="15" customHeight="1" x14ac:dyDescent="0.2">
      <c r="A625" s="7">
        <v>45147</v>
      </c>
      <c r="B625" s="8">
        <v>22.73</v>
      </c>
      <c r="C625" s="8">
        <v>22.731000000000002</v>
      </c>
      <c r="D625" s="8">
        <v>22.72</v>
      </c>
      <c r="E625" s="8">
        <v>22.73</v>
      </c>
      <c r="F625" s="8">
        <v>83452</v>
      </c>
      <c r="G625" s="9">
        <v>60561</v>
      </c>
      <c r="H625" s="16">
        <f t="shared" si="22"/>
        <v>4.4004400440050882E-4</v>
      </c>
      <c r="I625" s="6">
        <f t="shared" si="23"/>
        <v>-3.3323102556231943E-3</v>
      </c>
      <c r="L625" s="11"/>
      <c r="M625" s="12"/>
    </row>
    <row r="626" spans="1:13" ht="15" customHeight="1" x14ac:dyDescent="0.2">
      <c r="A626" s="3">
        <v>45146</v>
      </c>
      <c r="B626" s="4">
        <v>22.835000000000001</v>
      </c>
      <c r="C626" s="4">
        <v>22.806999999999999</v>
      </c>
      <c r="D626" s="4">
        <v>22.83</v>
      </c>
      <c r="E626" s="4">
        <v>22.844999999999999</v>
      </c>
      <c r="F626" s="4">
        <v>92515</v>
      </c>
      <c r="G626" s="5">
        <v>73338</v>
      </c>
      <c r="H626" s="16">
        <f t="shared" si="22"/>
        <v>6.5681444991792315E-4</v>
      </c>
      <c r="I626" s="6">
        <f t="shared" si="23"/>
        <v>-1.8293732782369232E-2</v>
      </c>
      <c r="L626" s="11"/>
      <c r="M626" s="12"/>
    </row>
    <row r="627" spans="1:13" ht="15" customHeight="1" x14ac:dyDescent="0.2">
      <c r="A627" s="7">
        <v>45145</v>
      </c>
      <c r="B627" s="8">
        <v>23.204999999999998</v>
      </c>
      <c r="C627" s="8">
        <v>23.231999999999999</v>
      </c>
      <c r="D627" s="8">
        <v>23.19</v>
      </c>
      <c r="E627" s="8">
        <v>23.21</v>
      </c>
      <c r="F627" s="8">
        <v>94911</v>
      </c>
      <c r="G627" s="9">
        <v>55345</v>
      </c>
      <c r="H627" s="16">
        <f t="shared" si="22"/>
        <v>8.6206896551722294E-4</v>
      </c>
      <c r="I627" s="6">
        <f t="shared" si="23"/>
        <v>-2.0408163265306145E-2</v>
      </c>
      <c r="L627" s="11"/>
      <c r="M627" s="12"/>
    </row>
    <row r="628" spans="1:13" ht="15" customHeight="1" x14ac:dyDescent="0.2">
      <c r="A628" s="3">
        <v>45142</v>
      </c>
      <c r="B628" s="4">
        <v>23.725000000000001</v>
      </c>
      <c r="C628" s="4">
        <v>23.716000000000001</v>
      </c>
      <c r="D628" s="4">
        <v>23.72</v>
      </c>
      <c r="E628" s="4">
        <v>23.73</v>
      </c>
      <c r="F628" s="4">
        <v>98652</v>
      </c>
      <c r="G628" s="5">
        <v>56747</v>
      </c>
      <c r="H628" s="16">
        <f t="shared" si="22"/>
        <v>4.214963119073367E-4</v>
      </c>
      <c r="I628" s="6">
        <f t="shared" si="23"/>
        <v>8.0178925602414353E-4</v>
      </c>
      <c r="L628" s="11"/>
      <c r="M628" s="12"/>
    </row>
    <row r="629" spans="1:13" ht="15" customHeight="1" x14ac:dyDescent="0.2">
      <c r="A629" s="7">
        <v>45141</v>
      </c>
      <c r="B629" s="8">
        <v>23.675000000000001</v>
      </c>
      <c r="C629" s="8">
        <v>23.696999999999999</v>
      </c>
      <c r="D629" s="8">
        <v>23.67</v>
      </c>
      <c r="E629" s="8">
        <v>23.684999999999999</v>
      </c>
      <c r="F629" s="8">
        <v>106144</v>
      </c>
      <c r="G629" s="9">
        <v>58992</v>
      </c>
      <c r="H629" s="16">
        <f t="shared" si="22"/>
        <v>6.3351282863465376E-4</v>
      </c>
      <c r="I629" s="6">
        <f t="shared" si="23"/>
        <v>-7.3307640750670533E-3</v>
      </c>
      <c r="L629" s="11"/>
      <c r="M629" s="12"/>
    </row>
    <row r="630" spans="1:13" ht="15" customHeight="1" x14ac:dyDescent="0.2">
      <c r="A630" s="3">
        <v>45140</v>
      </c>
      <c r="B630" s="4">
        <v>23.824999999999999</v>
      </c>
      <c r="C630" s="4">
        <v>23.872</v>
      </c>
      <c r="D630" s="4">
        <v>23.82</v>
      </c>
      <c r="E630" s="4">
        <v>23.83</v>
      </c>
      <c r="F630" s="4">
        <v>112212</v>
      </c>
      <c r="G630" s="5">
        <v>71917</v>
      </c>
      <c r="H630" s="16">
        <f t="shared" si="22"/>
        <v>4.1972717733464892E-4</v>
      </c>
      <c r="I630" s="6">
        <f t="shared" si="23"/>
        <v>-1.8663158760174325E-2</v>
      </c>
      <c r="L630" s="11"/>
      <c r="M630" s="12"/>
    </row>
    <row r="631" spans="1:13" ht="15" customHeight="1" x14ac:dyDescent="0.2">
      <c r="A631" s="7">
        <v>45139</v>
      </c>
      <c r="B631" s="8">
        <v>24.43</v>
      </c>
      <c r="C631" s="8">
        <v>24.326000000000001</v>
      </c>
      <c r="D631" s="8">
        <v>24.42</v>
      </c>
      <c r="E631" s="8">
        <v>24.434999999999999</v>
      </c>
      <c r="F631" s="8">
        <v>114008</v>
      </c>
      <c r="G631" s="9">
        <v>51464</v>
      </c>
      <c r="H631" s="16">
        <f t="shared" si="22"/>
        <v>6.140620202639244E-4</v>
      </c>
      <c r="I631" s="6">
        <f t="shared" si="23"/>
        <v>-2.5868973250040117E-2</v>
      </c>
      <c r="L631" s="11"/>
      <c r="M631" s="12"/>
    </row>
    <row r="632" spans="1:13" ht="15" customHeight="1" x14ac:dyDescent="0.2">
      <c r="A632" s="3">
        <v>45138</v>
      </c>
      <c r="B632" s="4">
        <v>24.895</v>
      </c>
      <c r="C632" s="4">
        <v>24.972000000000001</v>
      </c>
      <c r="D632" s="4">
        <v>24.89</v>
      </c>
      <c r="E632" s="4">
        <v>24.905000000000001</v>
      </c>
      <c r="F632" s="4">
        <v>112827</v>
      </c>
      <c r="G632" s="5">
        <v>44254</v>
      </c>
      <c r="H632" s="16">
        <f t="shared" si="22"/>
        <v>6.0247012752286642E-4</v>
      </c>
      <c r="I632" s="6">
        <f t="shared" si="23"/>
        <v>1.9473361910594011E-2</v>
      </c>
      <c r="L632" s="11"/>
      <c r="M632" s="12"/>
    </row>
    <row r="633" spans="1:13" ht="15" customHeight="1" x14ac:dyDescent="0.2">
      <c r="A633" s="7">
        <v>45135</v>
      </c>
      <c r="B633" s="8">
        <v>24.475000000000001</v>
      </c>
      <c r="C633" s="8">
        <v>24.495000000000001</v>
      </c>
      <c r="D633" s="8">
        <v>24.465</v>
      </c>
      <c r="E633" s="8">
        <v>24.475000000000001</v>
      </c>
      <c r="F633" s="8">
        <v>116276</v>
      </c>
      <c r="G633" s="9">
        <v>38405</v>
      </c>
      <c r="H633" s="16">
        <f t="shared" si="22"/>
        <v>4.0866366979981872E-4</v>
      </c>
      <c r="I633" s="6">
        <f t="shared" si="23"/>
        <v>5.2530061148274854E-3</v>
      </c>
      <c r="L633" s="11"/>
      <c r="M633" s="12"/>
    </row>
    <row r="634" spans="1:13" ht="15" customHeight="1" x14ac:dyDescent="0.2">
      <c r="A634" s="3">
        <v>45134</v>
      </c>
      <c r="B634" s="4">
        <v>24.285</v>
      </c>
      <c r="C634" s="4">
        <v>24.367000000000001</v>
      </c>
      <c r="D634" s="4">
        <v>24.274999999999999</v>
      </c>
      <c r="E634" s="4">
        <v>24.295000000000002</v>
      </c>
      <c r="F634" s="4">
        <v>118767</v>
      </c>
      <c r="G634" s="5">
        <v>81985</v>
      </c>
      <c r="H634" s="16">
        <f t="shared" si="22"/>
        <v>8.2355363393053847E-4</v>
      </c>
      <c r="I634" s="6">
        <f t="shared" si="23"/>
        <v>-2.4148978774529373E-2</v>
      </c>
      <c r="L634" s="11"/>
      <c r="M634" s="12"/>
    </row>
    <row r="635" spans="1:13" ht="15" customHeight="1" x14ac:dyDescent="0.2">
      <c r="A635" s="7">
        <v>45133</v>
      </c>
      <c r="B635" s="8">
        <v>25.094999999999999</v>
      </c>
      <c r="C635" s="8">
        <v>24.97</v>
      </c>
      <c r="D635" s="8">
        <v>25.085000000000001</v>
      </c>
      <c r="E635" s="8">
        <v>25.094999999999999</v>
      </c>
      <c r="F635" s="8">
        <v>120106</v>
      </c>
      <c r="G635" s="9">
        <v>56413</v>
      </c>
      <c r="H635" s="16">
        <f t="shared" si="22"/>
        <v>3.9856516540446435E-4</v>
      </c>
      <c r="I635" s="6">
        <f t="shared" si="23"/>
        <v>5.8814050918465366E-3</v>
      </c>
      <c r="L635" s="11"/>
      <c r="M635" s="12"/>
    </row>
    <row r="636" spans="1:13" ht="15" customHeight="1" x14ac:dyDescent="0.2">
      <c r="A636" s="3">
        <v>45132</v>
      </c>
      <c r="B636" s="4">
        <v>24.86</v>
      </c>
      <c r="C636" s="4">
        <v>24.824000000000002</v>
      </c>
      <c r="D636" s="4">
        <v>24.855</v>
      </c>
      <c r="E636" s="4">
        <v>24.864999999999998</v>
      </c>
      <c r="F636" s="4">
        <v>122502</v>
      </c>
      <c r="G636" s="5">
        <v>48131</v>
      </c>
      <c r="H636" s="16">
        <f t="shared" si="22"/>
        <v>4.0225261464191513E-4</v>
      </c>
      <c r="I636" s="6">
        <f t="shared" si="23"/>
        <v>9.8856840649281796E-3</v>
      </c>
      <c r="L636" s="11"/>
      <c r="M636" s="12"/>
    </row>
    <row r="637" spans="1:13" ht="15" customHeight="1" x14ac:dyDescent="0.2">
      <c r="A637" s="7">
        <v>45131</v>
      </c>
      <c r="B637" s="8">
        <v>24.515000000000001</v>
      </c>
      <c r="C637" s="8">
        <v>24.581</v>
      </c>
      <c r="D637" s="8">
        <v>24.504999999999999</v>
      </c>
      <c r="E637" s="8">
        <v>24.515000000000001</v>
      </c>
      <c r="F637" s="8">
        <v>125126</v>
      </c>
      <c r="G637" s="9">
        <v>53203</v>
      </c>
      <c r="H637" s="16">
        <f t="shared" si="22"/>
        <v>4.079967360261756E-4</v>
      </c>
      <c r="I637" s="6">
        <f t="shared" si="23"/>
        <v>-1.1023938845302839E-2</v>
      </c>
      <c r="L637" s="11"/>
      <c r="M637" s="12"/>
    </row>
    <row r="638" spans="1:13" ht="15" customHeight="1" x14ac:dyDescent="0.2">
      <c r="A638" s="3">
        <v>45128</v>
      </c>
      <c r="B638" s="4">
        <v>24.78</v>
      </c>
      <c r="C638" s="4">
        <v>24.855</v>
      </c>
      <c r="D638" s="4">
        <v>24.774999999999999</v>
      </c>
      <c r="E638" s="4">
        <v>24.795000000000002</v>
      </c>
      <c r="F638" s="4">
        <v>126069</v>
      </c>
      <c r="G638" s="5">
        <v>36128</v>
      </c>
      <c r="H638" s="16">
        <f t="shared" si="22"/>
        <v>8.0693968125895204E-4</v>
      </c>
      <c r="I638" s="6">
        <f t="shared" si="23"/>
        <v>-4.2865155035654023E-3</v>
      </c>
      <c r="L638" s="11"/>
      <c r="M638" s="12"/>
    </row>
    <row r="639" spans="1:13" ht="15" customHeight="1" x14ac:dyDescent="0.2">
      <c r="A639" s="7">
        <v>45127</v>
      </c>
      <c r="B639" s="8">
        <v>24.945</v>
      </c>
      <c r="C639" s="8">
        <v>24.962</v>
      </c>
      <c r="D639" s="8">
        <v>24.94</v>
      </c>
      <c r="E639" s="8">
        <v>24.945</v>
      </c>
      <c r="F639" s="8">
        <v>127435</v>
      </c>
      <c r="G639" s="9">
        <v>53695</v>
      </c>
      <c r="H639" s="16">
        <f t="shared" si="22"/>
        <v>2.0046106043896983E-4</v>
      </c>
      <c r="I639" s="6">
        <f t="shared" si="23"/>
        <v>-1.6740851616969366E-2</v>
      </c>
      <c r="L639" s="11"/>
      <c r="M639" s="12"/>
    </row>
    <row r="640" spans="1:13" ht="15" customHeight="1" x14ac:dyDescent="0.2">
      <c r="A640" s="3">
        <v>45126</v>
      </c>
      <c r="B640" s="4">
        <v>25.35</v>
      </c>
      <c r="C640" s="4">
        <v>25.387</v>
      </c>
      <c r="D640" s="4">
        <v>25.344999999999999</v>
      </c>
      <c r="E640" s="4">
        <v>25.36</v>
      </c>
      <c r="F640" s="4">
        <v>124883</v>
      </c>
      <c r="G640" s="5">
        <v>40806</v>
      </c>
      <c r="H640" s="16">
        <f t="shared" si="22"/>
        <v>5.9165762745293639E-4</v>
      </c>
      <c r="I640" s="6">
        <f t="shared" si="23"/>
        <v>5.1868862844473007E-3</v>
      </c>
      <c r="L640" s="11"/>
      <c r="M640" s="12"/>
    </row>
    <row r="641" spans="1:13" ht="15" customHeight="1" x14ac:dyDescent="0.2">
      <c r="A641" s="7">
        <v>45125</v>
      </c>
      <c r="B641" s="8">
        <v>25.27</v>
      </c>
      <c r="C641" s="8">
        <v>25.256</v>
      </c>
      <c r="D641" s="8">
        <v>25.26</v>
      </c>
      <c r="E641" s="8">
        <v>25.274999999999999</v>
      </c>
      <c r="F641" s="8">
        <v>124363</v>
      </c>
      <c r="G641" s="9">
        <v>59656</v>
      </c>
      <c r="H641" s="16">
        <f t="shared" si="22"/>
        <v>5.9364796675559581E-4</v>
      </c>
      <c r="I641" s="6">
        <f t="shared" si="23"/>
        <v>9.513150531617276E-3</v>
      </c>
      <c r="L641" s="11"/>
      <c r="M641" s="12"/>
    </row>
    <row r="642" spans="1:13" ht="15" customHeight="1" x14ac:dyDescent="0.2">
      <c r="A642" s="3">
        <v>45124</v>
      </c>
      <c r="B642" s="4">
        <v>25.06</v>
      </c>
      <c r="C642" s="4">
        <v>25.018000000000001</v>
      </c>
      <c r="D642" s="4">
        <v>25.055</v>
      </c>
      <c r="E642" s="4">
        <v>25.07</v>
      </c>
      <c r="F642" s="4">
        <v>121842</v>
      </c>
      <c r="G642" s="5">
        <v>43197</v>
      </c>
      <c r="H642" s="16">
        <f t="shared" si="22"/>
        <v>5.9850374064840178E-4</v>
      </c>
      <c r="I642" s="6">
        <f t="shared" si="23"/>
        <v>-6.9857902675239947E-3</v>
      </c>
      <c r="L642" s="11"/>
      <c r="M642" s="12"/>
    </row>
    <row r="643" spans="1:13" ht="15" customHeight="1" x14ac:dyDescent="0.2">
      <c r="A643" s="7">
        <v>45121</v>
      </c>
      <c r="B643" s="8">
        <v>25.16</v>
      </c>
      <c r="C643" s="8">
        <v>25.193999999999999</v>
      </c>
      <c r="D643" s="8">
        <v>25.145</v>
      </c>
      <c r="E643" s="8">
        <v>25.164999999999999</v>
      </c>
      <c r="F643" s="8">
        <v>118685</v>
      </c>
      <c r="G643" s="9">
        <v>69262</v>
      </c>
      <c r="H643" s="16">
        <f t="shared" si="22"/>
        <v>7.9507056251240595E-4</v>
      </c>
      <c r="I643" s="6">
        <f t="shared" si="23"/>
        <v>9.8200328670485781E-3</v>
      </c>
      <c r="L643" s="11"/>
      <c r="M643" s="12"/>
    </row>
    <row r="644" spans="1:13" ht="15" customHeight="1" x14ac:dyDescent="0.2">
      <c r="A644" s="3">
        <v>45120</v>
      </c>
      <c r="B644" s="4">
        <v>25.105</v>
      </c>
      <c r="C644" s="4">
        <v>24.949000000000002</v>
      </c>
      <c r="D644" s="4">
        <v>25.094999999999999</v>
      </c>
      <c r="E644" s="4">
        <v>25.105</v>
      </c>
      <c r="F644" s="4">
        <v>107746</v>
      </c>
      <c r="G644" s="5">
        <v>85219</v>
      </c>
      <c r="H644" s="16">
        <f t="shared" si="22"/>
        <v>3.9840637450205428E-4</v>
      </c>
      <c r="I644" s="6">
        <f t="shared" si="23"/>
        <v>2.6285479226655806E-2</v>
      </c>
      <c r="L644" s="11"/>
      <c r="M644" s="12"/>
    </row>
    <row r="645" spans="1:13" ht="15" customHeight="1" x14ac:dyDescent="0.2">
      <c r="A645" s="7">
        <v>45119</v>
      </c>
      <c r="B645" s="8">
        <v>24.335000000000001</v>
      </c>
      <c r="C645" s="8">
        <v>24.31</v>
      </c>
      <c r="D645" s="8">
        <v>24.33</v>
      </c>
      <c r="E645" s="8">
        <v>24.34</v>
      </c>
      <c r="F645" s="8">
        <v>102993</v>
      </c>
      <c r="G645" s="9">
        <v>78832</v>
      </c>
      <c r="H645" s="16">
        <f t="shared" ref="H645:H708" si="24">(E645-D645)/AVERAGE(D645:E645)</f>
        <v>4.1093075816731305E-4</v>
      </c>
      <c r="I645" s="6">
        <f t="shared" ref="I645:I708" si="25">C645/C646-1</f>
        <v>4.4199132339676206E-2</v>
      </c>
      <c r="L645" s="11"/>
      <c r="M645" s="12"/>
    </row>
    <row r="646" spans="1:13" ht="15" customHeight="1" x14ac:dyDescent="0.2">
      <c r="A646" s="3">
        <v>45118</v>
      </c>
      <c r="B646" s="4">
        <v>23.32</v>
      </c>
      <c r="C646" s="4">
        <v>23.280999999999999</v>
      </c>
      <c r="D646" s="4">
        <v>23.31</v>
      </c>
      <c r="E646" s="4">
        <v>23.33</v>
      </c>
      <c r="F646" s="4">
        <v>105104</v>
      </c>
      <c r="G646" s="5">
        <v>34111</v>
      </c>
      <c r="H646" s="16">
        <f t="shared" si="24"/>
        <v>8.5763293310461288E-4</v>
      </c>
      <c r="I646" s="6">
        <f t="shared" si="25"/>
        <v>-2.7414863996573224E-3</v>
      </c>
      <c r="L646" s="11"/>
      <c r="M646" s="12"/>
    </row>
    <row r="647" spans="1:13" ht="15" customHeight="1" x14ac:dyDescent="0.2">
      <c r="A647" s="7">
        <v>45117</v>
      </c>
      <c r="B647" s="8">
        <v>23.335000000000001</v>
      </c>
      <c r="C647" s="8">
        <v>23.344999999999999</v>
      </c>
      <c r="D647" s="8">
        <v>23.33</v>
      </c>
      <c r="E647" s="8">
        <v>23.34</v>
      </c>
      <c r="F647" s="8">
        <v>104076</v>
      </c>
      <c r="G647" s="9">
        <v>37091</v>
      </c>
      <c r="H647" s="16">
        <f t="shared" si="24"/>
        <v>4.2854081851303034E-4</v>
      </c>
      <c r="I647" s="6">
        <f t="shared" si="25"/>
        <v>2.4045686804927691E-3</v>
      </c>
      <c r="L647" s="11"/>
      <c r="M647" s="12"/>
    </row>
    <row r="648" spans="1:13" ht="15" customHeight="1" x14ac:dyDescent="0.2">
      <c r="A648" s="3">
        <v>45114</v>
      </c>
      <c r="B648" s="4">
        <v>23.285</v>
      </c>
      <c r="C648" s="4">
        <v>23.289000000000001</v>
      </c>
      <c r="D648" s="4">
        <v>23.28</v>
      </c>
      <c r="E648" s="4">
        <v>23.3</v>
      </c>
      <c r="F648" s="4">
        <v>103633</v>
      </c>
      <c r="G648" s="5">
        <v>47682</v>
      </c>
      <c r="H648" s="16">
        <f t="shared" si="24"/>
        <v>8.5873765564618181E-4</v>
      </c>
      <c r="I648" s="6">
        <f t="shared" si="25"/>
        <v>1.7431192660550598E-2</v>
      </c>
      <c r="L648" s="11"/>
      <c r="M648" s="12"/>
    </row>
    <row r="649" spans="1:13" ht="15" customHeight="1" x14ac:dyDescent="0.2">
      <c r="A649" s="7">
        <v>45113</v>
      </c>
      <c r="B649" s="8">
        <v>22.914999999999999</v>
      </c>
      <c r="C649" s="8">
        <v>22.89</v>
      </c>
      <c r="D649" s="8">
        <v>22.91</v>
      </c>
      <c r="E649" s="8">
        <v>22.925000000000001</v>
      </c>
      <c r="F649" s="8">
        <v>102649</v>
      </c>
      <c r="G649" s="9">
        <v>59995</v>
      </c>
      <c r="H649" s="16">
        <f t="shared" si="24"/>
        <v>6.5452165375806995E-4</v>
      </c>
      <c r="I649" s="6">
        <f t="shared" si="25"/>
        <v>-2.1878471925476428E-2</v>
      </c>
      <c r="L649" s="11"/>
      <c r="M649" s="12"/>
    </row>
    <row r="650" spans="1:13" ht="15" customHeight="1" x14ac:dyDescent="0.2">
      <c r="A650" s="3">
        <v>45112</v>
      </c>
      <c r="B650" s="4">
        <v>23.344999999999999</v>
      </c>
      <c r="C650" s="4">
        <v>23.402000000000001</v>
      </c>
      <c r="D650" s="4">
        <v>23.34</v>
      </c>
      <c r="E650" s="4">
        <v>23.355</v>
      </c>
      <c r="F650" s="4">
        <v>100005</v>
      </c>
      <c r="G650" s="5">
        <v>80611</v>
      </c>
      <c r="H650" s="16">
        <f t="shared" si="24"/>
        <v>6.4246707356250426E-4</v>
      </c>
      <c r="I650" s="6">
        <f t="shared" si="25"/>
        <v>1.254759432329533E-2</v>
      </c>
      <c r="L650" s="11"/>
      <c r="M650" s="12"/>
    </row>
    <row r="651" spans="1:13" ht="15" customHeight="1" x14ac:dyDescent="0.2">
      <c r="A651" s="7">
        <v>45110</v>
      </c>
      <c r="B651" s="8">
        <v>23.11</v>
      </c>
      <c r="C651" s="8">
        <v>23.111999999999998</v>
      </c>
      <c r="D651" s="8">
        <v>23.105</v>
      </c>
      <c r="E651" s="8">
        <v>23.114999999999998</v>
      </c>
      <c r="F651" s="8">
        <v>99538</v>
      </c>
      <c r="G651" s="9">
        <v>44809</v>
      </c>
      <c r="H651" s="16">
        <f t="shared" si="24"/>
        <v>4.3271311120718348E-4</v>
      </c>
      <c r="I651" s="6">
        <f t="shared" si="25"/>
        <v>3.9965247610773691E-3</v>
      </c>
      <c r="L651" s="11"/>
      <c r="M651" s="12"/>
    </row>
    <row r="652" spans="1:13" ht="15" customHeight="1" x14ac:dyDescent="0.2">
      <c r="A652" s="3">
        <v>45107</v>
      </c>
      <c r="B652" s="4">
        <v>22.984999999999999</v>
      </c>
      <c r="C652" s="4">
        <v>23.02</v>
      </c>
      <c r="D652" s="4">
        <v>22.975000000000001</v>
      </c>
      <c r="E652" s="4">
        <v>22.99</v>
      </c>
      <c r="F652" s="4">
        <v>100421</v>
      </c>
      <c r="G652" s="5">
        <v>43745</v>
      </c>
      <c r="H652" s="16">
        <f t="shared" si="24"/>
        <v>6.5267051017065219E-4</v>
      </c>
      <c r="I652" s="6">
        <f t="shared" si="25"/>
        <v>9.7376962891482233E-3</v>
      </c>
      <c r="L652" s="11"/>
      <c r="M652" s="12"/>
    </row>
    <row r="653" spans="1:13" ht="15" customHeight="1" x14ac:dyDescent="0.2">
      <c r="A653" s="7">
        <v>45106</v>
      </c>
      <c r="B653" s="8">
        <v>22.77</v>
      </c>
      <c r="C653" s="8">
        <v>22.797999999999998</v>
      </c>
      <c r="D653" s="8">
        <v>22.765000000000001</v>
      </c>
      <c r="E653" s="8">
        <v>22.78</v>
      </c>
      <c r="F653" s="8">
        <v>98087</v>
      </c>
      <c r="G653" s="9">
        <v>54795</v>
      </c>
      <c r="H653" s="16">
        <f t="shared" si="24"/>
        <v>6.586892084751594E-4</v>
      </c>
      <c r="I653" s="6">
        <f t="shared" si="25"/>
        <v>-3.9757088557823561E-3</v>
      </c>
      <c r="L653" s="11"/>
      <c r="M653" s="12"/>
    </row>
    <row r="654" spans="1:13" ht="15" customHeight="1" x14ac:dyDescent="0.2">
      <c r="A654" s="3">
        <v>45105</v>
      </c>
      <c r="B654" s="4">
        <v>22.745000000000001</v>
      </c>
      <c r="C654" s="4">
        <v>22.888999999999999</v>
      </c>
      <c r="D654" s="4">
        <v>22.734999999999999</v>
      </c>
      <c r="E654" s="4">
        <v>22.754999999999999</v>
      </c>
      <c r="F654" s="4">
        <v>16610</v>
      </c>
      <c r="G654" s="5">
        <v>34261</v>
      </c>
      <c r="H654" s="16">
        <f t="shared" si="24"/>
        <v>8.7931413497470108E-4</v>
      </c>
      <c r="I654" s="6">
        <f t="shared" si="25"/>
        <v>-3.0923344947735298E-3</v>
      </c>
      <c r="L654" s="11"/>
      <c r="M654" s="12"/>
    </row>
    <row r="655" spans="1:13" ht="15" customHeight="1" x14ac:dyDescent="0.2">
      <c r="A655" s="7">
        <v>45104</v>
      </c>
      <c r="B655" s="8">
        <v>22.91</v>
      </c>
      <c r="C655" s="8">
        <v>22.96</v>
      </c>
      <c r="D655" s="8">
        <v>22.905000000000001</v>
      </c>
      <c r="E655" s="8">
        <v>22.92</v>
      </c>
      <c r="F655" s="8">
        <v>27870</v>
      </c>
      <c r="G655" s="9">
        <v>48212</v>
      </c>
      <c r="H655" s="16">
        <f t="shared" si="24"/>
        <v>6.5466448445174327E-4</v>
      </c>
      <c r="I655" s="6">
        <f t="shared" si="25"/>
        <v>5.8704985542801236E-3</v>
      </c>
      <c r="L655" s="11"/>
      <c r="M655" s="12"/>
    </row>
    <row r="656" spans="1:13" ht="15" customHeight="1" x14ac:dyDescent="0.2">
      <c r="A656" s="3">
        <v>45103</v>
      </c>
      <c r="B656" s="4">
        <v>22.824999999999999</v>
      </c>
      <c r="C656" s="4">
        <v>22.826000000000001</v>
      </c>
      <c r="D656" s="4">
        <v>22.82</v>
      </c>
      <c r="E656" s="4">
        <v>22.835000000000001</v>
      </c>
      <c r="F656" s="4">
        <v>39367</v>
      </c>
      <c r="G656" s="5">
        <v>57053</v>
      </c>
      <c r="H656" s="16">
        <f t="shared" si="24"/>
        <v>6.5710217938891985E-4</v>
      </c>
      <c r="I656" s="6">
        <f t="shared" si="25"/>
        <v>2.1114789299454317E-2</v>
      </c>
      <c r="L656" s="11"/>
      <c r="M656" s="12"/>
    </row>
    <row r="657" spans="1:13" ht="15" customHeight="1" x14ac:dyDescent="0.2">
      <c r="A657" s="7">
        <v>45100</v>
      </c>
      <c r="B657" s="8">
        <v>22.454999999999998</v>
      </c>
      <c r="C657" s="8">
        <v>22.353999999999999</v>
      </c>
      <c r="D657" s="8">
        <v>22.45</v>
      </c>
      <c r="E657" s="8">
        <v>22.46</v>
      </c>
      <c r="F657" s="8">
        <v>46770</v>
      </c>
      <c r="G657" s="9">
        <v>51717</v>
      </c>
      <c r="H657" s="16">
        <f t="shared" si="24"/>
        <v>4.4533511467386165E-4</v>
      </c>
      <c r="I657" s="6">
        <f t="shared" si="25"/>
        <v>-5.0295989673743158E-3</v>
      </c>
      <c r="L657" s="11"/>
      <c r="M657" s="12"/>
    </row>
    <row r="658" spans="1:13" ht="15" customHeight="1" x14ac:dyDescent="0.2">
      <c r="A658" s="3">
        <v>45099</v>
      </c>
      <c r="B658" s="4">
        <v>22.28</v>
      </c>
      <c r="C658" s="4">
        <v>22.466999999999999</v>
      </c>
      <c r="D658" s="4">
        <v>22.274999999999999</v>
      </c>
      <c r="E658" s="4">
        <v>22.285</v>
      </c>
      <c r="F658" s="4">
        <v>53520</v>
      </c>
      <c r="G658" s="5">
        <v>56020</v>
      </c>
      <c r="H658" s="16">
        <f t="shared" si="24"/>
        <v>4.4883303411138076E-4</v>
      </c>
      <c r="I658" s="6">
        <f t="shared" si="25"/>
        <v>-1.5037264357737778E-2</v>
      </c>
      <c r="L658" s="11"/>
      <c r="M658" s="12"/>
    </row>
    <row r="659" spans="1:13" ht="15" customHeight="1" x14ac:dyDescent="0.2">
      <c r="A659" s="7">
        <v>45098</v>
      </c>
      <c r="B659" s="8">
        <v>22.695</v>
      </c>
      <c r="C659" s="8">
        <v>22.81</v>
      </c>
      <c r="D659" s="8">
        <v>22.684999999999999</v>
      </c>
      <c r="E659" s="8">
        <v>22.7</v>
      </c>
      <c r="F659" s="8">
        <v>60955</v>
      </c>
      <c r="G659" s="9">
        <v>75547</v>
      </c>
      <c r="H659" s="16">
        <f t="shared" si="24"/>
        <v>6.6101134736148807E-4</v>
      </c>
      <c r="I659" s="6">
        <f t="shared" si="25"/>
        <v>-1.8249117672376802E-2</v>
      </c>
      <c r="L659" s="11"/>
      <c r="M659" s="12"/>
    </row>
    <row r="660" spans="1:13" ht="15" customHeight="1" x14ac:dyDescent="0.2">
      <c r="A660" s="3">
        <v>45097</v>
      </c>
      <c r="B660" s="4">
        <v>23.21</v>
      </c>
      <c r="C660" s="4">
        <v>23.234000000000002</v>
      </c>
      <c r="D660" s="4">
        <v>23.204999999999998</v>
      </c>
      <c r="E660" s="4">
        <v>23.215</v>
      </c>
      <c r="F660" s="4">
        <v>63549</v>
      </c>
      <c r="G660" s="5">
        <v>108963</v>
      </c>
      <c r="H660" s="16">
        <f t="shared" si="24"/>
        <v>4.3084877208106689E-4</v>
      </c>
      <c r="I660" s="6">
        <f t="shared" si="25"/>
        <v>-3.6972560722871584E-2</v>
      </c>
      <c r="L660" s="11"/>
      <c r="M660" s="12"/>
    </row>
    <row r="661" spans="1:13" ht="15" customHeight="1" x14ac:dyDescent="0.2">
      <c r="A661" s="7">
        <v>45093</v>
      </c>
      <c r="B661" s="8">
        <v>24.27</v>
      </c>
      <c r="C661" s="8">
        <v>24.126000000000001</v>
      </c>
      <c r="D661" s="8">
        <v>24.265000000000001</v>
      </c>
      <c r="E661" s="8">
        <v>24.274999999999999</v>
      </c>
      <c r="F661" s="8">
        <v>67907</v>
      </c>
      <c r="G661" s="9">
        <v>61394</v>
      </c>
      <c r="H661" s="16">
        <f t="shared" si="24"/>
        <v>4.1203131437981091E-4</v>
      </c>
      <c r="I661" s="6">
        <f t="shared" si="25"/>
        <v>7.4748402722679685E-3</v>
      </c>
      <c r="L661" s="11"/>
      <c r="M661" s="12"/>
    </row>
    <row r="662" spans="1:13" ht="15" customHeight="1" x14ac:dyDescent="0.2">
      <c r="A662" s="3">
        <v>45092</v>
      </c>
      <c r="B662" s="4">
        <v>23.965</v>
      </c>
      <c r="C662" s="4">
        <v>23.946999999999999</v>
      </c>
      <c r="D662" s="4">
        <v>23.96</v>
      </c>
      <c r="E662" s="4">
        <v>23.97</v>
      </c>
      <c r="F662" s="4">
        <v>71912</v>
      </c>
      <c r="G662" s="5">
        <v>86909</v>
      </c>
      <c r="H662" s="16">
        <f t="shared" si="24"/>
        <v>4.1727519298969372E-4</v>
      </c>
      <c r="I662" s="6">
        <f t="shared" si="25"/>
        <v>-6.5546567102261477E-3</v>
      </c>
      <c r="L662" s="11"/>
      <c r="M662" s="12"/>
    </row>
    <row r="663" spans="1:13" ht="15" customHeight="1" x14ac:dyDescent="0.2">
      <c r="A663" s="7">
        <v>45091</v>
      </c>
      <c r="B663" s="8">
        <v>24.01</v>
      </c>
      <c r="C663" s="8">
        <v>24.105</v>
      </c>
      <c r="D663" s="8">
        <v>24.004999999999999</v>
      </c>
      <c r="E663" s="8">
        <v>24.02</v>
      </c>
      <c r="F663" s="8">
        <v>78244</v>
      </c>
      <c r="G663" s="9">
        <v>57204</v>
      </c>
      <c r="H663" s="16">
        <f t="shared" si="24"/>
        <v>6.2467464862053389E-4</v>
      </c>
      <c r="I663" s="6">
        <f t="shared" si="25"/>
        <v>1.187977499790116E-2</v>
      </c>
      <c r="L663" s="11"/>
      <c r="M663" s="12"/>
    </row>
    <row r="664" spans="1:13" ht="15" customHeight="1" x14ac:dyDescent="0.2">
      <c r="A664" s="3">
        <v>45090</v>
      </c>
      <c r="B664" s="4">
        <v>23.734999999999999</v>
      </c>
      <c r="C664" s="4">
        <v>23.821999999999999</v>
      </c>
      <c r="D664" s="4">
        <v>23.73</v>
      </c>
      <c r="E664" s="4">
        <v>23.745000000000001</v>
      </c>
      <c r="F664" s="4">
        <v>81411</v>
      </c>
      <c r="G664" s="5">
        <v>70666</v>
      </c>
      <c r="H664" s="16">
        <f t="shared" si="24"/>
        <v>6.3191153238548994E-4</v>
      </c>
      <c r="I664" s="6">
        <f t="shared" si="25"/>
        <v>-9.8507834905857683E-3</v>
      </c>
      <c r="L664" s="11"/>
      <c r="M664" s="12"/>
    </row>
    <row r="665" spans="1:13" ht="15" customHeight="1" x14ac:dyDescent="0.2">
      <c r="A665" s="7">
        <v>45089</v>
      </c>
      <c r="B665" s="8">
        <v>24.15</v>
      </c>
      <c r="C665" s="8">
        <v>24.059000000000001</v>
      </c>
      <c r="D665" s="8">
        <v>24.14</v>
      </c>
      <c r="E665" s="8">
        <v>24.15</v>
      </c>
      <c r="F665" s="8">
        <v>86163</v>
      </c>
      <c r="G665" s="9">
        <v>54070</v>
      </c>
      <c r="H665" s="16">
        <f t="shared" si="24"/>
        <v>4.1416442327595819E-4</v>
      </c>
      <c r="I665" s="6">
        <f t="shared" si="25"/>
        <v>-1.4379352724293248E-2</v>
      </c>
      <c r="L665" s="11"/>
      <c r="M665" s="12"/>
    </row>
    <row r="666" spans="1:13" ht="15" customHeight="1" x14ac:dyDescent="0.2">
      <c r="A666" s="3">
        <v>45086</v>
      </c>
      <c r="B666" s="4">
        <v>24.395</v>
      </c>
      <c r="C666" s="4">
        <v>24.41</v>
      </c>
      <c r="D666" s="4">
        <v>24.38</v>
      </c>
      <c r="E666" s="4">
        <v>24.395</v>
      </c>
      <c r="F666" s="4">
        <v>89922</v>
      </c>
      <c r="G666" s="5">
        <v>61691</v>
      </c>
      <c r="H666" s="16">
        <f t="shared" si="24"/>
        <v>6.1506919528449278E-4</v>
      </c>
      <c r="I666" s="6">
        <f t="shared" si="25"/>
        <v>2.5464103827830264E-3</v>
      </c>
      <c r="L666" s="11"/>
      <c r="M666" s="12"/>
    </row>
    <row r="667" spans="1:13" ht="15" customHeight="1" x14ac:dyDescent="0.2">
      <c r="A667" s="7">
        <v>45085</v>
      </c>
      <c r="B667" s="8">
        <v>24.364999999999998</v>
      </c>
      <c r="C667" s="8">
        <v>24.347999999999999</v>
      </c>
      <c r="D667" s="8">
        <v>24.36</v>
      </c>
      <c r="E667" s="8">
        <v>24.37</v>
      </c>
      <c r="F667" s="8">
        <v>91494</v>
      </c>
      <c r="G667" s="9">
        <v>80525</v>
      </c>
      <c r="H667" s="16">
        <f t="shared" si="24"/>
        <v>4.1042478965735941E-4</v>
      </c>
      <c r="I667" s="6">
        <f t="shared" si="25"/>
        <v>3.4808109141909904E-2</v>
      </c>
      <c r="L667" s="11"/>
      <c r="M667" s="12"/>
    </row>
    <row r="668" spans="1:13" ht="15" customHeight="1" x14ac:dyDescent="0.2">
      <c r="A668" s="3">
        <v>45084</v>
      </c>
      <c r="B668" s="4">
        <v>23.515000000000001</v>
      </c>
      <c r="C668" s="4">
        <v>23.529</v>
      </c>
      <c r="D668" s="4">
        <v>23.515000000000001</v>
      </c>
      <c r="E668" s="4">
        <v>23.53</v>
      </c>
      <c r="F668" s="4">
        <v>95542</v>
      </c>
      <c r="G668" s="5">
        <v>70593</v>
      </c>
      <c r="H668" s="16">
        <f t="shared" si="24"/>
        <v>6.3768732065046523E-4</v>
      </c>
      <c r="I668" s="6">
        <f t="shared" si="25"/>
        <v>-5.9569074778200726E-3</v>
      </c>
      <c r="L668" s="11"/>
      <c r="M668" s="12"/>
    </row>
    <row r="669" spans="1:13" ht="15" customHeight="1" x14ac:dyDescent="0.2">
      <c r="A669" s="7">
        <v>45083</v>
      </c>
      <c r="B669" s="8">
        <v>23.675000000000001</v>
      </c>
      <c r="C669" s="8">
        <v>23.67</v>
      </c>
      <c r="D669" s="8">
        <v>23.67</v>
      </c>
      <c r="E669" s="8">
        <v>23.68</v>
      </c>
      <c r="F669" s="8">
        <v>95176</v>
      </c>
      <c r="G669" s="9">
        <v>43603</v>
      </c>
      <c r="H669" s="16">
        <f t="shared" si="24"/>
        <v>4.2238648363243972E-4</v>
      </c>
      <c r="I669" s="6">
        <f t="shared" si="25"/>
        <v>1.4808546646922771E-3</v>
      </c>
      <c r="L669" s="11"/>
      <c r="M669" s="12"/>
    </row>
    <row r="670" spans="1:13" ht="15" customHeight="1" x14ac:dyDescent="0.2">
      <c r="A670" s="3">
        <v>45082</v>
      </c>
      <c r="B670" s="4">
        <v>23.66</v>
      </c>
      <c r="C670" s="4">
        <v>23.635000000000002</v>
      </c>
      <c r="D670" s="4">
        <v>23.655000000000001</v>
      </c>
      <c r="E670" s="4">
        <v>23.664999999999999</v>
      </c>
      <c r="F670" s="4">
        <v>96975</v>
      </c>
      <c r="G670" s="5">
        <v>46347</v>
      </c>
      <c r="H670" s="16">
        <f t="shared" si="24"/>
        <v>4.2265426880803086E-4</v>
      </c>
      <c r="I670" s="6">
        <f t="shared" si="25"/>
        <v>-4.7163852276076446E-3</v>
      </c>
      <c r="L670" s="11"/>
      <c r="M670" s="12"/>
    </row>
    <row r="671" spans="1:13" ht="15" customHeight="1" x14ac:dyDescent="0.2">
      <c r="A671" s="7">
        <v>45079</v>
      </c>
      <c r="B671" s="8">
        <v>23.695</v>
      </c>
      <c r="C671" s="8">
        <v>23.747</v>
      </c>
      <c r="D671" s="8">
        <v>23.695</v>
      </c>
      <c r="E671" s="8">
        <v>23.704999999999998</v>
      </c>
      <c r="F671" s="8">
        <v>98638</v>
      </c>
      <c r="G671" s="9">
        <v>59741</v>
      </c>
      <c r="H671" s="16">
        <f t="shared" si="24"/>
        <v>4.2194092826995828E-4</v>
      </c>
      <c r="I671" s="6">
        <f t="shared" si="25"/>
        <v>-1.0005419602284515E-2</v>
      </c>
      <c r="L671" s="11"/>
      <c r="M671" s="12"/>
    </row>
    <row r="672" spans="1:13" ht="15" customHeight="1" x14ac:dyDescent="0.2">
      <c r="A672" s="3">
        <v>45078</v>
      </c>
      <c r="B672" s="4">
        <v>23.98</v>
      </c>
      <c r="C672" s="4">
        <v>23.986999999999998</v>
      </c>
      <c r="D672" s="4">
        <v>23.975000000000001</v>
      </c>
      <c r="E672" s="4">
        <v>23.99</v>
      </c>
      <c r="F672" s="4">
        <v>100616</v>
      </c>
      <c r="G672" s="5">
        <v>75885</v>
      </c>
      <c r="H672" s="16">
        <f t="shared" si="24"/>
        <v>6.2545606171154032E-4</v>
      </c>
      <c r="I672" s="6">
        <f t="shared" si="25"/>
        <v>1.6958494085725029E-2</v>
      </c>
      <c r="L672" s="11"/>
      <c r="M672" s="12"/>
    </row>
    <row r="673" spans="1:13" ht="15" customHeight="1" x14ac:dyDescent="0.2">
      <c r="A673" s="7">
        <v>45077</v>
      </c>
      <c r="B673" s="8">
        <v>23.614999999999998</v>
      </c>
      <c r="C673" s="8">
        <v>23.587</v>
      </c>
      <c r="D673" s="8">
        <v>23.61</v>
      </c>
      <c r="E673" s="8">
        <v>23.62</v>
      </c>
      <c r="F673" s="8">
        <v>102106</v>
      </c>
      <c r="G673" s="9">
        <v>75524</v>
      </c>
      <c r="H673" s="16">
        <f t="shared" si="24"/>
        <v>4.2345966546693042E-4</v>
      </c>
      <c r="I673" s="6">
        <f t="shared" si="25"/>
        <v>1.4974826799776242E-2</v>
      </c>
      <c r="L673" s="11"/>
      <c r="M673" s="12"/>
    </row>
    <row r="674" spans="1:13" ht="15" customHeight="1" x14ac:dyDescent="0.2">
      <c r="A674" s="3">
        <v>45076</v>
      </c>
      <c r="B674" s="4">
        <v>23.29</v>
      </c>
      <c r="C674" s="4">
        <v>23.239000000000001</v>
      </c>
      <c r="D674" s="4">
        <v>23.28</v>
      </c>
      <c r="E674" s="4">
        <v>23.295000000000002</v>
      </c>
      <c r="F674" s="4">
        <v>104925</v>
      </c>
      <c r="G674" s="5">
        <v>77804</v>
      </c>
      <c r="H674" s="16">
        <f t="shared" si="24"/>
        <v>6.4412238325284245E-4</v>
      </c>
      <c r="I674" s="6">
        <f t="shared" si="25"/>
        <v>-5.1797945205478424E-3</v>
      </c>
      <c r="L674" s="11"/>
      <c r="M674" s="12"/>
    </row>
    <row r="675" spans="1:13" ht="15" customHeight="1" x14ac:dyDescent="0.2">
      <c r="A675" s="7">
        <v>45072</v>
      </c>
      <c r="B675" s="8">
        <v>23.445</v>
      </c>
      <c r="C675" s="8">
        <v>23.36</v>
      </c>
      <c r="D675" s="8">
        <v>23.445</v>
      </c>
      <c r="E675" s="8">
        <v>23.46</v>
      </c>
      <c r="F675" s="8">
        <v>106540</v>
      </c>
      <c r="G675" s="9">
        <v>58990</v>
      </c>
      <c r="H675" s="16">
        <f t="shared" si="24"/>
        <v>6.3959066197635936E-4</v>
      </c>
      <c r="I675" s="6">
        <f t="shared" si="25"/>
        <v>1.9642077695329441E-2</v>
      </c>
      <c r="L675" s="11"/>
      <c r="M675" s="12"/>
    </row>
    <row r="676" spans="1:13" ht="15" customHeight="1" x14ac:dyDescent="0.2">
      <c r="A676" s="3">
        <v>45071</v>
      </c>
      <c r="B676" s="4">
        <v>22.85</v>
      </c>
      <c r="C676" s="4">
        <v>22.91</v>
      </c>
      <c r="D676" s="4">
        <v>22.835000000000001</v>
      </c>
      <c r="E676" s="4">
        <v>22.85</v>
      </c>
      <c r="F676" s="4">
        <v>107296</v>
      </c>
      <c r="G676" s="5">
        <v>61485</v>
      </c>
      <c r="H676" s="16">
        <f t="shared" si="24"/>
        <v>6.5667067965417825E-4</v>
      </c>
      <c r="I676" s="6">
        <f t="shared" si="25"/>
        <v>-1.4199655765920749E-2</v>
      </c>
      <c r="L676" s="11"/>
      <c r="M676" s="12"/>
    </row>
    <row r="677" spans="1:13" ht="15" customHeight="1" x14ac:dyDescent="0.2">
      <c r="A677" s="7">
        <v>45070</v>
      </c>
      <c r="B677" s="8">
        <v>23.17</v>
      </c>
      <c r="C677" s="8">
        <v>23.24</v>
      </c>
      <c r="D677" s="8">
        <v>23.164999999999999</v>
      </c>
      <c r="E677" s="8">
        <v>23.18</v>
      </c>
      <c r="F677" s="8">
        <v>109343</v>
      </c>
      <c r="G677" s="9">
        <v>50310</v>
      </c>
      <c r="H677" s="16">
        <f t="shared" si="24"/>
        <v>6.4731902039057371E-4</v>
      </c>
      <c r="I677" s="6">
        <f t="shared" si="25"/>
        <v>-1.6254656281747382E-2</v>
      </c>
      <c r="L677" s="11"/>
      <c r="M677" s="12"/>
    </row>
    <row r="678" spans="1:13" ht="15" customHeight="1" x14ac:dyDescent="0.2">
      <c r="A678" s="3">
        <v>45069</v>
      </c>
      <c r="B678" s="4">
        <v>23.585000000000001</v>
      </c>
      <c r="C678" s="4">
        <v>23.623999999999999</v>
      </c>
      <c r="D678" s="4">
        <v>23.585000000000001</v>
      </c>
      <c r="E678" s="4">
        <v>23.594999999999999</v>
      </c>
      <c r="F678" s="4">
        <v>112144</v>
      </c>
      <c r="G678" s="5">
        <v>59099</v>
      </c>
      <c r="H678" s="16">
        <f t="shared" si="24"/>
        <v>4.2390843577778763E-4</v>
      </c>
      <c r="I678" s="6">
        <f t="shared" si="25"/>
        <v>-9.9325258790495807E-3</v>
      </c>
      <c r="L678" s="11"/>
      <c r="M678" s="12"/>
    </row>
    <row r="679" spans="1:13" ht="15" customHeight="1" x14ac:dyDescent="0.2">
      <c r="A679" s="7">
        <v>45068</v>
      </c>
      <c r="B679" s="8">
        <v>23.79</v>
      </c>
      <c r="C679" s="8">
        <v>23.861000000000001</v>
      </c>
      <c r="D679" s="8">
        <v>23.785</v>
      </c>
      <c r="E679" s="8">
        <v>23.795000000000002</v>
      </c>
      <c r="F679" s="8">
        <v>112391</v>
      </c>
      <c r="G679" s="9">
        <v>38483</v>
      </c>
      <c r="H679" s="16">
        <f t="shared" si="24"/>
        <v>4.2034468263983031E-4</v>
      </c>
      <c r="I679" s="6">
        <f t="shared" si="25"/>
        <v>-8.2709891936824098E-3</v>
      </c>
      <c r="L679" s="11"/>
      <c r="M679" s="12"/>
    </row>
    <row r="680" spans="1:13" ht="15" customHeight="1" x14ac:dyDescent="0.2">
      <c r="A680" s="3">
        <v>45065</v>
      </c>
      <c r="B680" s="4">
        <v>24.02</v>
      </c>
      <c r="C680" s="4">
        <v>24.06</v>
      </c>
      <c r="D680" s="4">
        <v>24.015000000000001</v>
      </c>
      <c r="E680" s="4">
        <v>24.024999999999999</v>
      </c>
      <c r="F680" s="4">
        <v>113675</v>
      </c>
      <c r="G680" s="5">
        <v>55419</v>
      </c>
      <c r="H680" s="16">
        <f t="shared" si="24"/>
        <v>4.163197335552877E-4</v>
      </c>
      <c r="I680" s="6">
        <f t="shared" si="25"/>
        <v>1.8067955824482729E-2</v>
      </c>
      <c r="L680" s="11"/>
      <c r="M680" s="12"/>
    </row>
    <row r="681" spans="1:13" ht="15" customHeight="1" x14ac:dyDescent="0.2">
      <c r="A681" s="7">
        <v>45064</v>
      </c>
      <c r="B681" s="8">
        <v>23.66</v>
      </c>
      <c r="C681" s="8">
        <v>23.632999999999999</v>
      </c>
      <c r="D681" s="8">
        <v>23.65</v>
      </c>
      <c r="E681" s="8">
        <v>23.66</v>
      </c>
      <c r="F681" s="8">
        <v>114555</v>
      </c>
      <c r="G681" s="9">
        <v>45061</v>
      </c>
      <c r="H681" s="16">
        <f t="shared" si="24"/>
        <v>4.2274360600302527E-4</v>
      </c>
      <c r="I681" s="6">
        <f t="shared" si="25"/>
        <v>-1.1047411809013696E-2</v>
      </c>
      <c r="L681" s="11"/>
      <c r="M681" s="12"/>
    </row>
    <row r="682" spans="1:13" ht="15" customHeight="1" x14ac:dyDescent="0.2">
      <c r="A682" s="3">
        <v>45063</v>
      </c>
      <c r="B682" s="4">
        <v>23.934999999999999</v>
      </c>
      <c r="C682" s="4">
        <v>23.896999999999998</v>
      </c>
      <c r="D682" s="4">
        <v>23.93</v>
      </c>
      <c r="E682" s="4">
        <v>23.94</v>
      </c>
      <c r="F682" s="4">
        <v>115507</v>
      </c>
      <c r="G682" s="5">
        <v>48929</v>
      </c>
      <c r="H682" s="16">
        <f t="shared" si="24"/>
        <v>4.1779820346779035E-4</v>
      </c>
      <c r="I682" s="6">
        <f t="shared" si="25"/>
        <v>1.6741304984724259E-4</v>
      </c>
      <c r="L682" s="11"/>
      <c r="M682" s="12"/>
    </row>
    <row r="683" spans="1:13" ht="15" customHeight="1" x14ac:dyDescent="0.2">
      <c r="A683" s="7">
        <v>45062</v>
      </c>
      <c r="B683" s="8">
        <v>23.92</v>
      </c>
      <c r="C683" s="8">
        <v>23.893000000000001</v>
      </c>
      <c r="D683" s="8">
        <v>23.914999999999999</v>
      </c>
      <c r="E683" s="8">
        <v>23.925000000000001</v>
      </c>
      <c r="F683" s="8">
        <v>116842</v>
      </c>
      <c r="G683" s="9">
        <v>62380</v>
      </c>
      <c r="H683" s="16">
        <f t="shared" si="24"/>
        <v>4.1806020066896164E-4</v>
      </c>
      <c r="I683" s="6">
        <f t="shared" si="25"/>
        <v>-1.638466921905235E-2</v>
      </c>
      <c r="L683" s="11"/>
      <c r="M683" s="12"/>
    </row>
    <row r="684" spans="1:13" ht="15" customHeight="1" x14ac:dyDescent="0.2">
      <c r="A684" s="3">
        <v>45061</v>
      </c>
      <c r="B684" s="4">
        <v>24.265000000000001</v>
      </c>
      <c r="C684" s="4">
        <v>24.291</v>
      </c>
      <c r="D684" s="4">
        <v>24.265000000000001</v>
      </c>
      <c r="E684" s="4">
        <v>24.274999999999999</v>
      </c>
      <c r="F684" s="4">
        <v>119088</v>
      </c>
      <c r="G684" s="5">
        <v>41304</v>
      </c>
      <c r="H684" s="16">
        <f t="shared" si="24"/>
        <v>4.1203131437981091E-4</v>
      </c>
      <c r="I684" s="6">
        <f t="shared" si="25"/>
        <v>5.6719383952967828E-3</v>
      </c>
      <c r="L684" s="11"/>
      <c r="M684" s="12"/>
    </row>
    <row r="685" spans="1:13" ht="15" customHeight="1" x14ac:dyDescent="0.2">
      <c r="A685" s="7">
        <v>45058</v>
      </c>
      <c r="B685" s="8">
        <v>24.13</v>
      </c>
      <c r="C685" s="8">
        <v>24.154</v>
      </c>
      <c r="D685" s="8">
        <v>24.125</v>
      </c>
      <c r="E685" s="8">
        <v>24.145</v>
      </c>
      <c r="F685" s="8">
        <v>124714</v>
      </c>
      <c r="G685" s="9">
        <v>71249</v>
      </c>
      <c r="H685" s="16">
        <f t="shared" si="24"/>
        <v>8.2867205303499385E-4</v>
      </c>
      <c r="I685" s="6">
        <f t="shared" si="25"/>
        <v>-1.1054700294791941E-2</v>
      </c>
      <c r="L685" s="11"/>
      <c r="M685" s="12"/>
    </row>
    <row r="686" spans="1:13" ht="15" customHeight="1" x14ac:dyDescent="0.2">
      <c r="A686" s="3">
        <v>45057</v>
      </c>
      <c r="B686" s="4">
        <v>24.36</v>
      </c>
      <c r="C686" s="4">
        <v>24.423999999999999</v>
      </c>
      <c r="D686" s="4">
        <v>24.355</v>
      </c>
      <c r="E686" s="4">
        <v>24.37</v>
      </c>
      <c r="F686" s="4">
        <v>124182</v>
      </c>
      <c r="G686" s="5">
        <v>102692</v>
      </c>
      <c r="H686" s="16">
        <f t="shared" si="24"/>
        <v>6.1570035915856612E-4</v>
      </c>
      <c r="I686" s="6">
        <f t="shared" si="25"/>
        <v>-4.8094161664977819E-2</v>
      </c>
      <c r="L686" s="11"/>
      <c r="M686" s="12"/>
    </row>
    <row r="687" spans="1:13" ht="15" customHeight="1" x14ac:dyDescent="0.2">
      <c r="A687" s="7">
        <v>45056</v>
      </c>
      <c r="B687" s="8">
        <v>25.625</v>
      </c>
      <c r="C687" s="8">
        <v>25.658000000000001</v>
      </c>
      <c r="D687" s="8">
        <v>25.614999999999998</v>
      </c>
      <c r="E687" s="8">
        <v>25.63</v>
      </c>
      <c r="F687" s="8">
        <v>122975</v>
      </c>
      <c r="G687" s="9">
        <v>76799</v>
      </c>
      <c r="H687" s="16">
        <f t="shared" si="24"/>
        <v>5.8542296809447041E-4</v>
      </c>
      <c r="I687" s="6">
        <f t="shared" si="25"/>
        <v>-9.2671248745076484E-3</v>
      </c>
      <c r="L687" s="11"/>
      <c r="M687" s="12"/>
    </row>
    <row r="688" spans="1:13" ht="15" customHeight="1" x14ac:dyDescent="0.2">
      <c r="A688" s="3">
        <v>45055</v>
      </c>
      <c r="B688" s="4">
        <v>25.86</v>
      </c>
      <c r="C688" s="4">
        <v>25.898</v>
      </c>
      <c r="D688" s="4">
        <v>25.85</v>
      </c>
      <c r="E688" s="4">
        <v>25.86</v>
      </c>
      <c r="F688" s="4">
        <v>123021</v>
      </c>
      <c r="G688" s="5">
        <v>45094</v>
      </c>
      <c r="H688" s="16">
        <f t="shared" si="24"/>
        <v>3.867723844516732E-4</v>
      </c>
      <c r="I688" s="6">
        <f t="shared" si="25"/>
        <v>2.4773554230859141E-3</v>
      </c>
      <c r="L688" s="11"/>
      <c r="M688" s="12"/>
    </row>
    <row r="689" spans="1:13" ht="15" customHeight="1" x14ac:dyDescent="0.2">
      <c r="A689" s="7">
        <v>45054</v>
      </c>
      <c r="B689" s="8">
        <v>25.795000000000002</v>
      </c>
      <c r="C689" s="8">
        <v>25.834</v>
      </c>
      <c r="D689" s="8">
        <v>25.79</v>
      </c>
      <c r="E689" s="8">
        <v>25.805</v>
      </c>
      <c r="F689" s="8">
        <v>122959</v>
      </c>
      <c r="G689" s="9">
        <v>33812</v>
      </c>
      <c r="H689" s="16">
        <f t="shared" si="24"/>
        <v>5.814516910553569E-4</v>
      </c>
      <c r="I689" s="6">
        <f t="shared" si="25"/>
        <v>-3.7022753567296229E-3</v>
      </c>
      <c r="L689" s="11"/>
      <c r="M689" s="12"/>
    </row>
    <row r="690" spans="1:13" ht="15" customHeight="1" x14ac:dyDescent="0.2">
      <c r="A690" s="3">
        <v>45051</v>
      </c>
      <c r="B690" s="4">
        <v>25.93</v>
      </c>
      <c r="C690" s="4">
        <v>25.93</v>
      </c>
      <c r="D690" s="4">
        <v>25.925000000000001</v>
      </c>
      <c r="E690" s="4">
        <v>25.94</v>
      </c>
      <c r="F690" s="4">
        <v>125341</v>
      </c>
      <c r="G690" s="5">
        <v>66745</v>
      </c>
      <c r="H690" s="16">
        <f t="shared" si="24"/>
        <v>5.7842475657960345E-4</v>
      </c>
      <c r="I690" s="6">
        <f t="shared" si="25"/>
        <v>-1.1324207877378312E-2</v>
      </c>
      <c r="L690" s="11"/>
      <c r="M690" s="12"/>
    </row>
    <row r="691" spans="1:13" ht="15" customHeight="1" x14ac:dyDescent="0.2">
      <c r="A691" s="7">
        <v>45050</v>
      </c>
      <c r="B691" s="8">
        <v>26.34</v>
      </c>
      <c r="C691" s="8">
        <v>26.227</v>
      </c>
      <c r="D691" s="8">
        <v>26.33</v>
      </c>
      <c r="E691" s="8">
        <v>26.35</v>
      </c>
      <c r="F691" s="8">
        <v>120710</v>
      </c>
      <c r="G691" s="9">
        <v>70418</v>
      </c>
      <c r="H691" s="16">
        <f t="shared" si="24"/>
        <v>7.5930144267285973E-4</v>
      </c>
      <c r="I691" s="6">
        <f t="shared" si="25"/>
        <v>2.1260854328102541E-2</v>
      </c>
      <c r="L691" s="11"/>
      <c r="M691" s="12"/>
    </row>
    <row r="692" spans="1:13" ht="15" customHeight="1" x14ac:dyDescent="0.2">
      <c r="A692" s="3">
        <v>45049</v>
      </c>
      <c r="B692" s="4">
        <v>25.88</v>
      </c>
      <c r="C692" s="4">
        <v>25.681000000000001</v>
      </c>
      <c r="D692" s="4">
        <v>25.844999999999999</v>
      </c>
      <c r="E692" s="4">
        <v>25.905000000000001</v>
      </c>
      <c r="F692" s="4">
        <v>121227</v>
      </c>
      <c r="G692" s="5">
        <v>49165</v>
      </c>
      <c r="H692" s="16">
        <f t="shared" si="24"/>
        <v>2.3188405797102329E-3</v>
      </c>
      <c r="I692" s="6">
        <f t="shared" si="25"/>
        <v>2.4200788477302115E-3</v>
      </c>
      <c r="L692" s="11"/>
      <c r="M692" s="12"/>
    </row>
    <row r="693" spans="1:13" ht="15" customHeight="1" x14ac:dyDescent="0.2">
      <c r="A693" s="7">
        <v>45048</v>
      </c>
      <c r="B693" s="8">
        <v>25.65</v>
      </c>
      <c r="C693" s="8">
        <v>25.619</v>
      </c>
      <c r="D693" s="8">
        <v>25.645</v>
      </c>
      <c r="E693" s="8">
        <v>25.655000000000001</v>
      </c>
      <c r="F693" s="8">
        <v>120704</v>
      </c>
      <c r="G693" s="9">
        <v>61113</v>
      </c>
      <c r="H693" s="16">
        <f t="shared" si="24"/>
        <v>3.8986354775834558E-4</v>
      </c>
      <c r="I693" s="6">
        <f t="shared" si="25"/>
        <v>1.5418152992469292E-2</v>
      </c>
      <c r="L693" s="11"/>
      <c r="M693" s="12"/>
    </row>
    <row r="694" spans="1:13" ht="15" customHeight="1" x14ac:dyDescent="0.2">
      <c r="A694" s="3">
        <v>45047</v>
      </c>
      <c r="B694" s="4">
        <v>25.245000000000001</v>
      </c>
      <c r="C694" s="4">
        <v>25.23</v>
      </c>
      <c r="D694" s="4">
        <v>25.24</v>
      </c>
      <c r="E694" s="4">
        <v>25.26</v>
      </c>
      <c r="F694" s="4">
        <v>118759</v>
      </c>
      <c r="G694" s="5">
        <v>74368</v>
      </c>
      <c r="H694" s="16">
        <f t="shared" si="24"/>
        <v>7.9207920792091595E-4</v>
      </c>
      <c r="I694" s="6">
        <f t="shared" si="25"/>
        <v>1.5856655831281152E-4</v>
      </c>
      <c r="L694" s="11"/>
      <c r="M694" s="12"/>
    </row>
    <row r="695" spans="1:13" ht="15" customHeight="1" x14ac:dyDescent="0.2">
      <c r="A695" s="7">
        <v>45044</v>
      </c>
      <c r="B695" s="8">
        <v>25.335000000000001</v>
      </c>
      <c r="C695" s="8">
        <v>25.225999999999999</v>
      </c>
      <c r="D695" s="8">
        <v>25.324999999999999</v>
      </c>
      <c r="E695" s="8">
        <v>25.34</v>
      </c>
      <c r="F695" s="8">
        <v>118475</v>
      </c>
      <c r="G695" s="9">
        <v>44193</v>
      </c>
      <c r="H695" s="16">
        <f t="shared" si="24"/>
        <v>5.921247409454483E-4</v>
      </c>
      <c r="I695" s="6">
        <f t="shared" si="25"/>
        <v>9.7266140975862392E-3</v>
      </c>
      <c r="L695" s="11"/>
      <c r="M695" s="12"/>
    </row>
    <row r="696" spans="1:13" ht="15" customHeight="1" x14ac:dyDescent="0.2">
      <c r="A696" s="3">
        <v>45043</v>
      </c>
      <c r="B696" s="4">
        <v>24.965</v>
      </c>
      <c r="C696" s="4">
        <v>24.983000000000001</v>
      </c>
      <c r="D696" s="4">
        <v>24.96</v>
      </c>
      <c r="E696" s="4">
        <v>24.97</v>
      </c>
      <c r="F696" s="4">
        <v>7720</v>
      </c>
      <c r="G696" s="5">
        <v>8478</v>
      </c>
      <c r="H696" s="16">
        <f t="shared" si="24"/>
        <v>4.0056078509905912E-4</v>
      </c>
      <c r="I696" s="6">
        <f t="shared" si="25"/>
        <v>4.3013346197138258E-3</v>
      </c>
      <c r="L696" s="11"/>
      <c r="M696" s="12"/>
    </row>
    <row r="697" spans="1:13" ht="15" customHeight="1" x14ac:dyDescent="0.2">
      <c r="A697" s="7">
        <v>45042</v>
      </c>
      <c r="B697" s="8">
        <v>24.95</v>
      </c>
      <c r="C697" s="8">
        <v>24.876000000000001</v>
      </c>
      <c r="D697" s="8">
        <v>24.95</v>
      </c>
      <c r="E697" s="8">
        <v>24.97</v>
      </c>
      <c r="F697" s="8">
        <v>20919</v>
      </c>
      <c r="G697" s="9">
        <v>62045</v>
      </c>
      <c r="H697" s="16">
        <f t="shared" si="24"/>
        <v>8.0128205128203412E-4</v>
      </c>
      <c r="I697" s="6">
        <f t="shared" si="25"/>
        <v>-2.4113817217263911E-4</v>
      </c>
      <c r="L697" s="11"/>
      <c r="M697" s="12"/>
    </row>
    <row r="698" spans="1:13" ht="15" customHeight="1" x14ac:dyDescent="0.2">
      <c r="A698" s="3">
        <v>45041</v>
      </c>
      <c r="B698" s="4">
        <v>25.06</v>
      </c>
      <c r="C698" s="4">
        <v>24.882000000000001</v>
      </c>
      <c r="D698" s="4">
        <v>25.06</v>
      </c>
      <c r="E698" s="4">
        <v>25.07</v>
      </c>
      <c r="F698" s="4">
        <v>34893</v>
      </c>
      <c r="G698" s="5">
        <v>72471</v>
      </c>
      <c r="H698" s="16">
        <f t="shared" si="24"/>
        <v>3.9896269698789404E-4</v>
      </c>
      <c r="I698" s="6">
        <f t="shared" si="25"/>
        <v>-1.6949152542372836E-2</v>
      </c>
      <c r="L698" s="11"/>
      <c r="M698" s="12"/>
    </row>
    <row r="699" spans="1:13" ht="15" customHeight="1" x14ac:dyDescent="0.2">
      <c r="A699" s="7">
        <v>45040</v>
      </c>
      <c r="B699" s="8">
        <v>25.234999999999999</v>
      </c>
      <c r="C699" s="8">
        <v>25.311</v>
      </c>
      <c r="D699" s="8">
        <v>25.23</v>
      </c>
      <c r="E699" s="8">
        <v>25.25</v>
      </c>
      <c r="F699" s="8">
        <v>44821</v>
      </c>
      <c r="G699" s="9">
        <v>54397</v>
      </c>
      <c r="H699" s="16">
        <f t="shared" si="24"/>
        <v>7.9239302694134592E-4</v>
      </c>
      <c r="I699" s="6">
        <f t="shared" si="25"/>
        <v>1.0096575943810304E-2</v>
      </c>
      <c r="L699" s="11"/>
      <c r="M699" s="12"/>
    </row>
    <row r="700" spans="1:13" ht="15" customHeight="1" x14ac:dyDescent="0.2">
      <c r="A700" s="3">
        <v>45037</v>
      </c>
      <c r="B700" s="4">
        <v>25.155000000000001</v>
      </c>
      <c r="C700" s="4">
        <v>25.058</v>
      </c>
      <c r="D700" s="4">
        <v>25.155000000000001</v>
      </c>
      <c r="E700" s="4">
        <v>25.16</v>
      </c>
      <c r="F700" s="4">
        <v>51280</v>
      </c>
      <c r="G700" s="5">
        <v>60729</v>
      </c>
      <c r="H700" s="16">
        <f t="shared" si="24"/>
        <v>1.9874788830364723E-4</v>
      </c>
      <c r="I700" s="6">
        <f t="shared" si="25"/>
        <v>-1.2414771607614394E-2</v>
      </c>
      <c r="L700" s="11"/>
      <c r="M700" s="12"/>
    </row>
    <row r="701" spans="1:13" ht="15" customHeight="1" x14ac:dyDescent="0.2">
      <c r="A701" s="7">
        <v>45036</v>
      </c>
      <c r="B701" s="8">
        <v>25.364999999999998</v>
      </c>
      <c r="C701" s="8">
        <v>25.373000000000001</v>
      </c>
      <c r="D701" s="8">
        <v>25.355</v>
      </c>
      <c r="E701" s="8">
        <v>25.37</v>
      </c>
      <c r="F701" s="8">
        <v>60957</v>
      </c>
      <c r="G701" s="9">
        <v>62698</v>
      </c>
      <c r="H701" s="16">
        <f t="shared" si="24"/>
        <v>5.9142434696897266E-4</v>
      </c>
      <c r="I701" s="6">
        <f t="shared" si="25"/>
        <v>7.8830160419540718E-5</v>
      </c>
      <c r="L701" s="11"/>
      <c r="M701" s="12"/>
    </row>
    <row r="702" spans="1:13" ht="15" customHeight="1" x14ac:dyDescent="0.2">
      <c r="A702" s="3">
        <v>45035</v>
      </c>
      <c r="B702" s="4">
        <v>25.375</v>
      </c>
      <c r="C702" s="4">
        <v>25.370999999999999</v>
      </c>
      <c r="D702" s="4">
        <v>25.37</v>
      </c>
      <c r="E702" s="4">
        <v>25.385000000000002</v>
      </c>
      <c r="F702" s="4">
        <v>66264</v>
      </c>
      <c r="G702" s="5">
        <v>73634</v>
      </c>
      <c r="H702" s="16">
        <f t="shared" si="24"/>
        <v>5.9107477095854866E-4</v>
      </c>
      <c r="I702" s="6">
        <f t="shared" si="25"/>
        <v>4.2750267189168856E-3</v>
      </c>
      <c r="L702" s="11"/>
      <c r="M702" s="12"/>
    </row>
    <row r="703" spans="1:13" ht="15" customHeight="1" x14ac:dyDescent="0.2">
      <c r="A703" s="7">
        <v>45034</v>
      </c>
      <c r="B703" s="8">
        <v>25.29</v>
      </c>
      <c r="C703" s="8">
        <v>25.263000000000002</v>
      </c>
      <c r="D703" s="8">
        <v>25.28</v>
      </c>
      <c r="E703" s="8">
        <v>25.29</v>
      </c>
      <c r="F703" s="8">
        <v>71895</v>
      </c>
      <c r="G703" s="9">
        <v>46800</v>
      </c>
      <c r="H703" s="16">
        <f t="shared" si="24"/>
        <v>3.9549139806201346E-4</v>
      </c>
      <c r="I703" s="6">
        <f t="shared" si="25"/>
        <v>6.9754464285713969E-3</v>
      </c>
      <c r="L703" s="11"/>
      <c r="M703" s="12"/>
    </row>
    <row r="704" spans="1:13" ht="15" customHeight="1" x14ac:dyDescent="0.2">
      <c r="A704" s="3">
        <v>45033</v>
      </c>
      <c r="B704" s="4">
        <v>25.13</v>
      </c>
      <c r="C704" s="4">
        <v>25.088000000000001</v>
      </c>
      <c r="D704" s="4">
        <v>25.125</v>
      </c>
      <c r="E704" s="4">
        <v>25.135000000000002</v>
      </c>
      <c r="F704" s="4">
        <v>74584</v>
      </c>
      <c r="G704" s="5">
        <v>62539</v>
      </c>
      <c r="H704" s="16">
        <f t="shared" si="24"/>
        <v>3.9793076004781386E-4</v>
      </c>
      <c r="I704" s="6">
        <f t="shared" si="25"/>
        <v>-1.4611154752553035E-2</v>
      </c>
      <c r="L704" s="11"/>
      <c r="M704" s="12"/>
    </row>
    <row r="705" spans="1:13" ht="15" customHeight="1" x14ac:dyDescent="0.2">
      <c r="A705" s="7">
        <v>45030</v>
      </c>
      <c r="B705" s="8">
        <v>25.465</v>
      </c>
      <c r="C705" s="8">
        <v>25.46</v>
      </c>
      <c r="D705" s="8">
        <v>25.46</v>
      </c>
      <c r="E705" s="8">
        <v>25.475000000000001</v>
      </c>
      <c r="F705" s="8">
        <v>79904</v>
      </c>
      <c r="G705" s="9">
        <v>91385</v>
      </c>
      <c r="H705" s="16">
        <f t="shared" si="24"/>
        <v>5.8898596250124937E-4</v>
      </c>
      <c r="I705" s="6">
        <f t="shared" si="25"/>
        <v>-1.7936354869816817E-2</v>
      </c>
      <c r="L705" s="11"/>
      <c r="M705" s="12"/>
    </row>
    <row r="706" spans="1:13" ht="15" customHeight="1" x14ac:dyDescent="0.2">
      <c r="A706" s="3">
        <v>45029</v>
      </c>
      <c r="B706" s="4">
        <v>25.97</v>
      </c>
      <c r="C706" s="4">
        <v>25.925000000000001</v>
      </c>
      <c r="D706" s="4">
        <v>25.96</v>
      </c>
      <c r="E706" s="4">
        <v>25.98</v>
      </c>
      <c r="F706" s="4">
        <v>81853</v>
      </c>
      <c r="G706" s="5">
        <v>71838</v>
      </c>
      <c r="H706" s="16">
        <f t="shared" si="24"/>
        <v>7.7011936850210144E-4</v>
      </c>
      <c r="I706" s="6">
        <f t="shared" si="25"/>
        <v>1.8343939036845169E-2</v>
      </c>
      <c r="L706" s="11"/>
      <c r="M706" s="12"/>
    </row>
    <row r="707" spans="1:13" ht="15" customHeight="1" x14ac:dyDescent="0.2">
      <c r="A707" s="7">
        <v>45028</v>
      </c>
      <c r="B707" s="8">
        <v>25.63</v>
      </c>
      <c r="C707" s="8">
        <v>25.457999999999998</v>
      </c>
      <c r="D707" s="8">
        <v>25.614999999999998</v>
      </c>
      <c r="E707" s="8">
        <v>25.63</v>
      </c>
      <c r="F707" s="8">
        <v>85559</v>
      </c>
      <c r="G707" s="9">
        <v>85287</v>
      </c>
      <c r="H707" s="16">
        <f t="shared" si="24"/>
        <v>5.8542296809447041E-4</v>
      </c>
      <c r="I707" s="6">
        <f t="shared" si="25"/>
        <v>1.0799650599539357E-2</v>
      </c>
      <c r="L707" s="11"/>
      <c r="M707" s="12"/>
    </row>
    <row r="708" spans="1:13" ht="15" customHeight="1" x14ac:dyDescent="0.2">
      <c r="A708" s="3">
        <v>45027</v>
      </c>
      <c r="B708" s="4">
        <v>25.19</v>
      </c>
      <c r="C708" s="4">
        <v>25.186</v>
      </c>
      <c r="D708" s="4">
        <v>25.18</v>
      </c>
      <c r="E708" s="4">
        <v>25.195</v>
      </c>
      <c r="F708" s="4">
        <v>89809</v>
      </c>
      <c r="G708" s="5">
        <v>49488</v>
      </c>
      <c r="H708" s="16">
        <f t="shared" si="24"/>
        <v>5.9553349875932776E-4</v>
      </c>
      <c r="I708" s="6">
        <f t="shared" si="25"/>
        <v>1.09987154784843E-2</v>
      </c>
      <c r="L708" s="11"/>
      <c r="M708" s="12"/>
    </row>
    <row r="709" spans="1:13" ht="15" customHeight="1" x14ac:dyDescent="0.2">
      <c r="A709" s="7">
        <v>45026</v>
      </c>
      <c r="B709" s="8">
        <v>25.01</v>
      </c>
      <c r="C709" s="8">
        <v>24.911999999999999</v>
      </c>
      <c r="D709" s="8">
        <v>25</v>
      </c>
      <c r="E709" s="8">
        <v>25.015000000000001</v>
      </c>
      <c r="F709" s="8">
        <v>92141</v>
      </c>
      <c r="G709" s="9">
        <v>45594</v>
      </c>
      <c r="H709" s="16">
        <f t="shared" ref="H709:H757" si="26">(E709-D709)/AVERAGE(D709:E709)</f>
        <v>5.9982005398382754E-4</v>
      </c>
      <c r="I709" s="6">
        <f t="shared" ref="I709:I757" si="27">C709/C710-1</f>
        <v>-7.2131670186904584E-3</v>
      </c>
      <c r="L709" s="11"/>
      <c r="M709" s="12"/>
    </row>
    <row r="710" spans="1:13" ht="15" customHeight="1" x14ac:dyDescent="0.2">
      <c r="A710" s="3">
        <v>45022</v>
      </c>
      <c r="B710" s="4">
        <v>25.13</v>
      </c>
      <c r="C710" s="4">
        <v>25.093</v>
      </c>
      <c r="D710" s="4">
        <v>25.125</v>
      </c>
      <c r="E710" s="4">
        <v>25.14</v>
      </c>
      <c r="F710" s="4">
        <v>92558</v>
      </c>
      <c r="G710" s="5">
        <v>48181</v>
      </c>
      <c r="H710" s="16">
        <f t="shared" si="26"/>
        <v>5.968367651447555E-4</v>
      </c>
      <c r="I710" s="6">
        <f t="shared" si="27"/>
        <v>2.2366896992451757E-3</v>
      </c>
      <c r="L710" s="11"/>
      <c r="M710" s="12"/>
    </row>
    <row r="711" spans="1:13" ht="15" customHeight="1" x14ac:dyDescent="0.2">
      <c r="A711" s="7">
        <v>45021</v>
      </c>
      <c r="B711" s="8">
        <v>25.09</v>
      </c>
      <c r="C711" s="8">
        <v>25.036999999999999</v>
      </c>
      <c r="D711" s="8">
        <v>25.08</v>
      </c>
      <c r="E711" s="8">
        <v>25.094999999999999</v>
      </c>
      <c r="F711" s="8">
        <v>93420</v>
      </c>
      <c r="G711" s="9">
        <v>62709</v>
      </c>
      <c r="H711" s="16">
        <f t="shared" si="26"/>
        <v>5.9790732436474617E-4</v>
      </c>
      <c r="I711" s="6">
        <f t="shared" si="27"/>
        <v>-2.5496992151706754E-3</v>
      </c>
      <c r="L711" s="11"/>
      <c r="M711" s="12"/>
    </row>
    <row r="712" spans="1:13" ht="15" customHeight="1" x14ac:dyDescent="0.2">
      <c r="A712" s="3">
        <v>45020</v>
      </c>
      <c r="B712" s="4">
        <v>25.175000000000001</v>
      </c>
      <c r="C712" s="4">
        <v>25.100999999999999</v>
      </c>
      <c r="D712" s="4">
        <v>25.164999999999999</v>
      </c>
      <c r="E712" s="4">
        <v>25.18</v>
      </c>
      <c r="F712" s="4">
        <v>89718</v>
      </c>
      <c r="G712" s="5">
        <v>75518</v>
      </c>
      <c r="H712" s="16">
        <f t="shared" si="26"/>
        <v>5.9588837024532998E-4</v>
      </c>
      <c r="I712" s="6">
        <f t="shared" si="27"/>
        <v>4.4960659423004756E-2</v>
      </c>
      <c r="L712" s="11"/>
      <c r="M712" s="12"/>
    </row>
    <row r="713" spans="1:13" ht="15" customHeight="1" x14ac:dyDescent="0.2">
      <c r="A713" s="7">
        <v>45019</v>
      </c>
      <c r="B713" s="8">
        <v>24.105</v>
      </c>
      <c r="C713" s="8">
        <v>24.021000000000001</v>
      </c>
      <c r="D713" s="8">
        <v>24.1</v>
      </c>
      <c r="E713" s="8">
        <v>24.114999999999998</v>
      </c>
      <c r="F713" s="8">
        <v>89957</v>
      </c>
      <c r="G713" s="9">
        <v>57723</v>
      </c>
      <c r="H713" s="16">
        <f t="shared" si="26"/>
        <v>6.2221300425166503E-4</v>
      </c>
      <c r="I713" s="6">
        <f t="shared" si="27"/>
        <v>-5.5886736214604271E-3</v>
      </c>
      <c r="L713" s="11"/>
      <c r="M713" s="12"/>
    </row>
    <row r="714" spans="1:13" ht="15" customHeight="1" x14ac:dyDescent="0.2">
      <c r="A714" s="3">
        <v>45016</v>
      </c>
      <c r="B714" s="4">
        <v>24.234999999999999</v>
      </c>
      <c r="C714" s="4">
        <v>24.155999999999999</v>
      </c>
      <c r="D714" s="4">
        <v>24.215</v>
      </c>
      <c r="E714" s="4">
        <v>24.24</v>
      </c>
      <c r="F714" s="4">
        <v>91056</v>
      </c>
      <c r="G714" s="5">
        <v>56435</v>
      </c>
      <c r="H714" s="16">
        <f t="shared" si="26"/>
        <v>1.0318852543596566E-3</v>
      </c>
      <c r="I714" s="6">
        <f t="shared" si="27"/>
        <v>6.9615240318479099E-3</v>
      </c>
      <c r="L714" s="11"/>
      <c r="M714" s="12"/>
    </row>
    <row r="715" spans="1:13" ht="15" customHeight="1" x14ac:dyDescent="0.2">
      <c r="A715" s="7">
        <v>45015</v>
      </c>
      <c r="B715" s="8">
        <v>24.045000000000002</v>
      </c>
      <c r="C715" s="8">
        <v>23.989000000000001</v>
      </c>
      <c r="D715" s="8">
        <v>24.04</v>
      </c>
      <c r="E715" s="8">
        <v>24.055</v>
      </c>
      <c r="F715" s="8">
        <v>89797</v>
      </c>
      <c r="G715" s="9">
        <v>62569</v>
      </c>
      <c r="H715" s="16">
        <f t="shared" si="26"/>
        <v>6.2376546418548993E-4</v>
      </c>
      <c r="I715" s="6">
        <f t="shared" si="27"/>
        <v>2.2287564987641728E-2</v>
      </c>
      <c r="L715" s="11"/>
      <c r="M715" s="12"/>
    </row>
    <row r="716" spans="1:13" ht="15" customHeight="1" x14ac:dyDescent="0.2">
      <c r="A716" s="3">
        <v>45014</v>
      </c>
      <c r="B716" s="4">
        <v>23.47</v>
      </c>
      <c r="C716" s="4">
        <v>23.466000000000001</v>
      </c>
      <c r="D716" s="4">
        <v>23.46</v>
      </c>
      <c r="E716" s="4">
        <v>23.475000000000001</v>
      </c>
      <c r="F716" s="4">
        <v>89950</v>
      </c>
      <c r="G716" s="5">
        <v>38757</v>
      </c>
      <c r="H716" s="16">
        <f t="shared" si="26"/>
        <v>6.3918184723556269E-4</v>
      </c>
      <c r="I716" s="6">
        <f t="shared" si="27"/>
        <v>1.9641332194704209E-3</v>
      </c>
      <c r="L716" s="11"/>
      <c r="M716" s="12"/>
    </row>
    <row r="717" spans="1:13" ht="15" customHeight="1" x14ac:dyDescent="0.2">
      <c r="A717" s="7">
        <v>45013</v>
      </c>
      <c r="B717" s="8">
        <v>23.475000000000001</v>
      </c>
      <c r="C717" s="8">
        <v>23.42</v>
      </c>
      <c r="D717" s="8">
        <v>23.46</v>
      </c>
      <c r="E717" s="8">
        <v>23.484999999999999</v>
      </c>
      <c r="F717" s="8">
        <v>91459</v>
      </c>
      <c r="G717" s="9">
        <v>40347</v>
      </c>
      <c r="H717" s="16">
        <f t="shared" si="26"/>
        <v>1.065076152944875E-3</v>
      </c>
      <c r="I717" s="6">
        <f t="shared" si="27"/>
        <v>1.1881615899762554E-2</v>
      </c>
      <c r="L717" s="11"/>
      <c r="M717" s="12"/>
    </row>
    <row r="718" spans="1:13" ht="15" customHeight="1" x14ac:dyDescent="0.2">
      <c r="A718" s="3">
        <v>45012</v>
      </c>
      <c r="B718" s="4">
        <v>23.22</v>
      </c>
      <c r="C718" s="4">
        <v>23.145</v>
      </c>
      <c r="D718" s="4">
        <v>23.21</v>
      </c>
      <c r="E718" s="4">
        <v>23.225000000000001</v>
      </c>
      <c r="F718" s="4">
        <v>92566</v>
      </c>
      <c r="G718" s="5">
        <v>45551</v>
      </c>
      <c r="H718" s="16">
        <f t="shared" si="26"/>
        <v>6.4606439108433583E-4</v>
      </c>
      <c r="I718" s="6">
        <f t="shared" si="27"/>
        <v>-8.312267020866293E-3</v>
      </c>
      <c r="L718" s="11"/>
      <c r="M718" s="12"/>
    </row>
    <row r="719" spans="1:13" ht="15" customHeight="1" x14ac:dyDescent="0.2">
      <c r="A719" s="7">
        <v>45009</v>
      </c>
      <c r="B719" s="8">
        <v>23.364999999999998</v>
      </c>
      <c r="C719" s="8">
        <v>23.338999999999999</v>
      </c>
      <c r="D719" s="8">
        <v>23.225000000000001</v>
      </c>
      <c r="E719" s="8">
        <v>23.5</v>
      </c>
      <c r="F719" s="8">
        <v>93460</v>
      </c>
      <c r="G719" s="9">
        <v>62860</v>
      </c>
      <c r="H719" s="16">
        <f t="shared" si="26"/>
        <v>1.1771000535045418E-2</v>
      </c>
      <c r="I719" s="6">
        <f t="shared" si="27"/>
        <v>3.5689714482283197E-3</v>
      </c>
      <c r="L719" s="11"/>
      <c r="M719" s="12"/>
    </row>
    <row r="720" spans="1:13" ht="15" customHeight="1" x14ac:dyDescent="0.2">
      <c r="A720" s="3">
        <v>45008</v>
      </c>
      <c r="B720" s="4">
        <v>23.22</v>
      </c>
      <c r="C720" s="4">
        <v>23.256</v>
      </c>
      <c r="D720" s="4">
        <v>23.21</v>
      </c>
      <c r="E720" s="4">
        <v>23.23</v>
      </c>
      <c r="F720" s="4">
        <v>95316</v>
      </c>
      <c r="G720" s="5">
        <v>58377</v>
      </c>
      <c r="H720" s="16">
        <f t="shared" si="26"/>
        <v>8.6132644272177324E-4</v>
      </c>
      <c r="I720" s="6">
        <f t="shared" si="27"/>
        <v>2.0626700605635095E-2</v>
      </c>
      <c r="L720" s="11"/>
      <c r="M720" s="12"/>
    </row>
    <row r="721" spans="1:13" ht="15" customHeight="1" x14ac:dyDescent="0.2">
      <c r="A721" s="7">
        <v>45007</v>
      </c>
      <c r="B721" s="8">
        <v>23.114999999999998</v>
      </c>
      <c r="C721" s="8">
        <v>22.786000000000001</v>
      </c>
      <c r="D721" s="8">
        <v>23.06</v>
      </c>
      <c r="E721" s="8">
        <v>23.135000000000002</v>
      </c>
      <c r="F721" s="8">
        <v>95803</v>
      </c>
      <c r="G721" s="9">
        <v>55436</v>
      </c>
      <c r="H721" s="16">
        <f t="shared" si="26"/>
        <v>3.2471046650071585E-3</v>
      </c>
      <c r="I721" s="6">
        <f t="shared" si="27"/>
        <v>1.6098104793756951E-2</v>
      </c>
      <c r="L721" s="11"/>
      <c r="M721" s="12"/>
    </row>
    <row r="722" spans="1:13" ht="15" customHeight="1" x14ac:dyDescent="0.2">
      <c r="A722" s="3">
        <v>45006</v>
      </c>
      <c r="B722" s="4">
        <v>22.52</v>
      </c>
      <c r="C722" s="4">
        <v>22.425000000000001</v>
      </c>
      <c r="D722" s="4">
        <v>22.45</v>
      </c>
      <c r="E722" s="4">
        <v>22.55</v>
      </c>
      <c r="F722" s="4">
        <v>97907</v>
      </c>
      <c r="G722" s="5">
        <v>43480</v>
      </c>
      <c r="H722" s="16">
        <f t="shared" si="26"/>
        <v>4.4444444444445078E-3</v>
      </c>
      <c r="I722" s="6">
        <f t="shared" si="27"/>
        <v>-9.7588978185992881E-3</v>
      </c>
      <c r="L722" s="11"/>
      <c r="M722" s="12"/>
    </row>
    <row r="723" spans="1:13" ht="15" customHeight="1" x14ac:dyDescent="0.2">
      <c r="A723" s="7">
        <v>45005</v>
      </c>
      <c r="B723" s="8">
        <v>22.67</v>
      </c>
      <c r="C723" s="8">
        <v>22.646000000000001</v>
      </c>
      <c r="D723" s="8">
        <v>22.6</v>
      </c>
      <c r="E723" s="8">
        <v>22.7</v>
      </c>
      <c r="F723" s="8">
        <v>97992</v>
      </c>
      <c r="G723" s="9">
        <v>63065</v>
      </c>
      <c r="H723" s="16">
        <f t="shared" si="26"/>
        <v>4.4150110375275001E-3</v>
      </c>
      <c r="I723" s="6">
        <f t="shared" si="27"/>
        <v>8.1916125011129992E-3</v>
      </c>
      <c r="L723" s="11"/>
      <c r="M723" s="12"/>
    </row>
    <row r="724" spans="1:13" ht="15" customHeight="1" x14ac:dyDescent="0.2">
      <c r="A724" s="3">
        <v>45002</v>
      </c>
      <c r="B724" s="4">
        <v>22.75</v>
      </c>
      <c r="C724" s="4">
        <v>22.462</v>
      </c>
      <c r="D724" s="4">
        <v>22.74</v>
      </c>
      <c r="E724" s="4">
        <v>22.76</v>
      </c>
      <c r="F724" s="4">
        <v>96998</v>
      </c>
      <c r="G724" s="5">
        <v>66889</v>
      </c>
      <c r="H724" s="16">
        <f t="shared" si="26"/>
        <v>8.791208791210166E-4</v>
      </c>
      <c r="I724" s="6">
        <f t="shared" si="27"/>
        <v>3.5496957403650997E-2</v>
      </c>
      <c r="L724" s="11"/>
      <c r="M724" s="12"/>
    </row>
    <row r="725" spans="1:13" ht="15" customHeight="1" x14ac:dyDescent="0.2">
      <c r="A725" s="7">
        <v>45001</v>
      </c>
      <c r="B725" s="8">
        <v>21.81</v>
      </c>
      <c r="C725" s="8">
        <v>21.692</v>
      </c>
      <c r="D725" s="8">
        <v>21.7</v>
      </c>
      <c r="E725" s="8">
        <v>21.95</v>
      </c>
      <c r="F725" s="8">
        <v>99074</v>
      </c>
      <c r="G725" s="9">
        <v>55978</v>
      </c>
      <c r="H725" s="16">
        <f t="shared" si="26"/>
        <v>1.1454753722794961E-2</v>
      </c>
      <c r="I725" s="6">
        <f t="shared" si="27"/>
        <v>-8.6829357462755441E-3</v>
      </c>
      <c r="L725" s="11"/>
      <c r="M725" s="12"/>
    </row>
    <row r="726" spans="1:13" ht="15" customHeight="1" x14ac:dyDescent="0.2">
      <c r="A726" s="3">
        <v>45000</v>
      </c>
      <c r="B726" s="4">
        <v>21.925000000000001</v>
      </c>
      <c r="C726" s="4">
        <v>21.882000000000001</v>
      </c>
      <c r="D726" s="4">
        <v>21.885000000000002</v>
      </c>
      <c r="E726" s="4">
        <v>22.03</v>
      </c>
      <c r="F726" s="4">
        <v>99875</v>
      </c>
      <c r="G726" s="5">
        <v>87028</v>
      </c>
      <c r="H726" s="16">
        <f t="shared" si="26"/>
        <v>6.6036661732892885E-3</v>
      </c>
      <c r="I726" s="6">
        <f t="shared" si="27"/>
        <v>-7.1687840290379778E-3</v>
      </c>
      <c r="L726" s="11"/>
      <c r="M726" s="12"/>
    </row>
    <row r="727" spans="1:13" ht="15" customHeight="1" x14ac:dyDescent="0.2">
      <c r="A727" s="7">
        <v>44999</v>
      </c>
      <c r="B727" s="8">
        <v>21.79</v>
      </c>
      <c r="C727" s="8">
        <v>22.04</v>
      </c>
      <c r="D727" s="8">
        <v>21.785</v>
      </c>
      <c r="E727" s="8">
        <v>21.8</v>
      </c>
      <c r="F727" s="8">
        <v>102417</v>
      </c>
      <c r="G727" s="9">
        <v>71860</v>
      </c>
      <c r="H727" s="16">
        <f t="shared" si="26"/>
        <v>6.8831019846279993E-4</v>
      </c>
      <c r="I727" s="6">
        <f t="shared" si="27"/>
        <v>5.3368608310906396E-3</v>
      </c>
      <c r="L727" s="11"/>
      <c r="M727" s="12"/>
    </row>
    <row r="728" spans="1:13" ht="15" customHeight="1" x14ac:dyDescent="0.2">
      <c r="A728" s="3">
        <v>44998</v>
      </c>
      <c r="B728" s="4">
        <v>21.91</v>
      </c>
      <c r="C728" s="4">
        <v>21.922999999999998</v>
      </c>
      <c r="D728" s="4">
        <v>21.88</v>
      </c>
      <c r="E728" s="4">
        <v>21.93</v>
      </c>
      <c r="F728" s="4">
        <v>108591</v>
      </c>
      <c r="G728" s="5">
        <v>117304</v>
      </c>
      <c r="H728" s="16">
        <f t="shared" si="26"/>
        <v>2.2825838849578044E-3</v>
      </c>
      <c r="I728" s="6">
        <f t="shared" si="27"/>
        <v>6.9101726324002577E-2</v>
      </c>
      <c r="L728" s="11"/>
      <c r="M728" s="12"/>
    </row>
    <row r="729" spans="1:13" ht="15" customHeight="1" x14ac:dyDescent="0.2">
      <c r="A729" s="7">
        <v>44995</v>
      </c>
      <c r="B729" s="8">
        <v>20.61</v>
      </c>
      <c r="C729" s="8">
        <v>20.506</v>
      </c>
      <c r="D729" s="8">
        <v>20.6</v>
      </c>
      <c r="E729" s="8">
        <v>20.62</v>
      </c>
      <c r="F729" s="8">
        <v>108573</v>
      </c>
      <c r="G729" s="9">
        <v>72112</v>
      </c>
      <c r="H729" s="16">
        <f t="shared" si="26"/>
        <v>9.7040271712758733E-4</v>
      </c>
      <c r="I729" s="6">
        <f t="shared" si="27"/>
        <v>1.6910488470121443E-2</v>
      </c>
      <c r="L729" s="11"/>
      <c r="M729" s="12"/>
    </row>
    <row r="730" spans="1:13" ht="15" customHeight="1" x14ac:dyDescent="0.2">
      <c r="A730" s="3">
        <v>44994</v>
      </c>
      <c r="B730" s="4">
        <v>20.13</v>
      </c>
      <c r="C730" s="4">
        <v>20.164999999999999</v>
      </c>
      <c r="D730" s="4">
        <v>20.125</v>
      </c>
      <c r="E730" s="4">
        <v>20.145</v>
      </c>
      <c r="F730" s="4">
        <v>109238</v>
      </c>
      <c r="G730" s="5">
        <v>45902</v>
      </c>
      <c r="H730" s="16">
        <f t="shared" si="26"/>
        <v>9.9329525701512657E-4</v>
      </c>
      <c r="I730" s="6">
        <f t="shared" si="27"/>
        <v>6.9475460274914802E-4</v>
      </c>
      <c r="L730" s="11"/>
      <c r="M730" s="12"/>
    </row>
    <row r="731" spans="1:13" ht="15" customHeight="1" x14ac:dyDescent="0.2">
      <c r="A731" s="7">
        <v>44993</v>
      </c>
      <c r="B731" s="8">
        <v>20.105</v>
      </c>
      <c r="C731" s="8">
        <v>20.151</v>
      </c>
      <c r="D731" s="8">
        <v>20.09</v>
      </c>
      <c r="E731" s="8">
        <v>20.114999999999998</v>
      </c>
      <c r="F731" s="8">
        <v>108874</v>
      </c>
      <c r="G731" s="9">
        <v>59234</v>
      </c>
      <c r="H731" s="16">
        <f t="shared" si="26"/>
        <v>1.2436264146249759E-3</v>
      </c>
      <c r="I731" s="6">
        <f t="shared" si="27"/>
        <v>-2.3763552651122621E-3</v>
      </c>
      <c r="L731" s="11"/>
      <c r="M731" s="12"/>
    </row>
    <row r="732" spans="1:13" ht="15" customHeight="1" x14ac:dyDescent="0.2">
      <c r="A732" s="3">
        <v>44992</v>
      </c>
      <c r="B732" s="4">
        <v>20.14</v>
      </c>
      <c r="C732" s="4">
        <v>20.199000000000002</v>
      </c>
      <c r="D732" s="4">
        <v>20.13</v>
      </c>
      <c r="E732" s="4">
        <v>20.149999999999999</v>
      </c>
      <c r="F732" s="4">
        <v>104962</v>
      </c>
      <c r="G732" s="5">
        <v>67839</v>
      </c>
      <c r="H732" s="16">
        <f t="shared" si="26"/>
        <v>9.9304865938428855E-4</v>
      </c>
      <c r="I732" s="6">
        <f t="shared" si="27"/>
        <v>-4.4286728176011314E-2</v>
      </c>
      <c r="L732" s="11"/>
      <c r="M732" s="12"/>
    </row>
    <row r="733" spans="1:13" ht="15" customHeight="1" x14ac:dyDescent="0.2">
      <c r="A733" s="7">
        <v>44991</v>
      </c>
      <c r="B733" s="8">
        <v>21.145</v>
      </c>
      <c r="C733" s="8">
        <v>21.135000000000002</v>
      </c>
      <c r="D733" s="8">
        <v>21.13</v>
      </c>
      <c r="E733" s="8">
        <v>21.15</v>
      </c>
      <c r="F733" s="8">
        <v>105651</v>
      </c>
      <c r="G733" s="9">
        <v>56221</v>
      </c>
      <c r="H733" s="16">
        <f t="shared" si="26"/>
        <v>9.4607379375589279E-4</v>
      </c>
      <c r="I733" s="6">
        <f t="shared" si="27"/>
        <v>-4.8497975327242981E-3</v>
      </c>
      <c r="L733" s="11"/>
      <c r="M733" s="12"/>
    </row>
    <row r="734" spans="1:13" ht="15" customHeight="1" x14ac:dyDescent="0.2">
      <c r="A734" s="3">
        <v>44988</v>
      </c>
      <c r="B734" s="4">
        <v>21.385000000000002</v>
      </c>
      <c r="C734" s="4">
        <v>21.238</v>
      </c>
      <c r="D734" s="4">
        <v>21.364999999999998</v>
      </c>
      <c r="E734" s="4">
        <v>21.39</v>
      </c>
      <c r="F734" s="4">
        <v>105334</v>
      </c>
      <c r="G734" s="5">
        <v>52553</v>
      </c>
      <c r="H734" s="16">
        <f t="shared" si="26"/>
        <v>1.1694538650451238E-3</v>
      </c>
      <c r="I734" s="6">
        <f t="shared" si="27"/>
        <v>1.6123630448303894E-2</v>
      </c>
      <c r="L734" s="11"/>
      <c r="M734" s="12"/>
    </row>
    <row r="735" spans="1:13" ht="15" customHeight="1" x14ac:dyDescent="0.2">
      <c r="A735" s="7">
        <v>44987</v>
      </c>
      <c r="B735" s="8">
        <v>20.984999999999999</v>
      </c>
      <c r="C735" s="8">
        <v>20.901</v>
      </c>
      <c r="D735" s="8">
        <v>20.98</v>
      </c>
      <c r="E735" s="8">
        <v>21</v>
      </c>
      <c r="F735" s="8">
        <v>107110</v>
      </c>
      <c r="G735" s="9">
        <v>43625</v>
      </c>
      <c r="H735" s="16">
        <f t="shared" si="26"/>
        <v>9.5283468318244741E-4</v>
      </c>
      <c r="I735" s="6">
        <f t="shared" si="27"/>
        <v>-9.1964920597297217E-3</v>
      </c>
      <c r="L735" s="11"/>
      <c r="M735" s="12"/>
    </row>
    <row r="736" spans="1:13" ht="15" customHeight="1" x14ac:dyDescent="0.2">
      <c r="A736" s="3">
        <v>44986</v>
      </c>
      <c r="B736" s="4">
        <v>21.08</v>
      </c>
      <c r="C736" s="4">
        <v>21.094999999999999</v>
      </c>
      <c r="D736" s="4">
        <v>21.07</v>
      </c>
      <c r="E736" s="4">
        <v>21.09</v>
      </c>
      <c r="F736" s="4">
        <v>106904</v>
      </c>
      <c r="G736" s="5">
        <v>56890</v>
      </c>
      <c r="H736" s="16">
        <f t="shared" si="26"/>
        <v>9.4876660341553962E-4</v>
      </c>
      <c r="I736" s="6">
        <f t="shared" si="27"/>
        <v>1.1390062170755222E-3</v>
      </c>
      <c r="L736" s="11"/>
      <c r="M736" s="12"/>
    </row>
    <row r="737" spans="1:13" ht="15" customHeight="1" x14ac:dyDescent="0.2">
      <c r="A737" s="7">
        <v>44985</v>
      </c>
      <c r="B737" s="8">
        <v>21.024999999999999</v>
      </c>
      <c r="C737" s="8">
        <v>21.071000000000002</v>
      </c>
      <c r="D737" s="8">
        <v>21.015000000000001</v>
      </c>
      <c r="E737" s="8">
        <v>21.035</v>
      </c>
      <c r="F737" s="8">
        <v>106839</v>
      </c>
      <c r="G737" s="9">
        <v>59677</v>
      </c>
      <c r="H737" s="16">
        <f t="shared" si="26"/>
        <v>9.5124851367417722E-4</v>
      </c>
      <c r="I737" s="6">
        <f t="shared" si="27"/>
        <v>1.336988409560913E-2</v>
      </c>
      <c r="L737" s="11"/>
      <c r="M737" s="12"/>
    </row>
    <row r="738" spans="1:13" ht="15" customHeight="1" x14ac:dyDescent="0.2">
      <c r="A738" s="3">
        <v>44984</v>
      </c>
      <c r="B738" s="4">
        <v>20.734999999999999</v>
      </c>
      <c r="C738" s="4">
        <v>20.792999999999999</v>
      </c>
      <c r="D738" s="4">
        <v>20.72</v>
      </c>
      <c r="E738" s="4">
        <v>20.74</v>
      </c>
      <c r="F738" s="4">
        <v>103424</v>
      </c>
      <c r="G738" s="5">
        <v>64885.999999999898</v>
      </c>
      <c r="H738" s="16">
        <f t="shared" si="26"/>
        <v>9.6478533526288355E-4</v>
      </c>
      <c r="I738" s="6">
        <f t="shared" si="27"/>
        <v>-8.1691494473812298E-4</v>
      </c>
      <c r="L738" s="11"/>
      <c r="M738" s="12"/>
    </row>
    <row r="739" spans="1:13" ht="15" customHeight="1" x14ac:dyDescent="0.2">
      <c r="A739" s="7">
        <v>44981</v>
      </c>
      <c r="B739" s="8">
        <v>20.74</v>
      </c>
      <c r="C739" s="8">
        <v>20.81</v>
      </c>
      <c r="D739" s="8">
        <v>20.734999999999999</v>
      </c>
      <c r="E739" s="8">
        <v>20.774999999999999</v>
      </c>
      <c r="F739" s="8">
        <v>17487</v>
      </c>
      <c r="G739" s="9">
        <v>50800</v>
      </c>
      <c r="H739" s="16">
        <f t="shared" si="26"/>
        <v>1.927246446639323E-3</v>
      </c>
      <c r="I739" s="6">
        <f t="shared" si="27"/>
        <v>-2.3279827278700926E-2</v>
      </c>
      <c r="L739" s="11"/>
      <c r="M739" s="12"/>
    </row>
    <row r="740" spans="1:13" ht="15" customHeight="1" x14ac:dyDescent="0.2">
      <c r="A740" s="3">
        <v>44980</v>
      </c>
      <c r="B740" s="4">
        <v>21.32</v>
      </c>
      <c r="C740" s="4">
        <v>21.306000000000001</v>
      </c>
      <c r="D740" s="4">
        <v>21.315000000000001</v>
      </c>
      <c r="E740" s="4">
        <v>21.335000000000001</v>
      </c>
      <c r="F740" s="4">
        <v>29020</v>
      </c>
      <c r="G740" s="5">
        <v>51545</v>
      </c>
      <c r="H740" s="16">
        <f t="shared" si="26"/>
        <v>9.3786635404452849E-4</v>
      </c>
      <c r="I740" s="6">
        <f t="shared" si="27"/>
        <v>-1.7114914425427785E-2</v>
      </c>
      <c r="L740" s="11"/>
      <c r="M740" s="12"/>
    </row>
    <row r="741" spans="1:13" ht="15" customHeight="1" x14ac:dyDescent="0.2">
      <c r="A741" s="7">
        <v>44979</v>
      </c>
      <c r="B741" s="8">
        <v>21.504999999999999</v>
      </c>
      <c r="C741" s="8">
        <v>21.677</v>
      </c>
      <c r="D741" s="8">
        <v>21.495000000000001</v>
      </c>
      <c r="E741" s="8">
        <v>21.52</v>
      </c>
      <c r="F741" s="8">
        <v>36000</v>
      </c>
      <c r="G741" s="9">
        <v>49628</v>
      </c>
      <c r="H741" s="16">
        <f t="shared" si="26"/>
        <v>1.1623852144600059E-3</v>
      </c>
      <c r="I741" s="6">
        <f t="shared" si="27"/>
        <v>-9.7304705344907205E-3</v>
      </c>
      <c r="L741" s="11"/>
      <c r="M741" s="12"/>
    </row>
    <row r="742" spans="1:13" ht="15" customHeight="1" x14ac:dyDescent="0.2">
      <c r="A742" s="3">
        <v>44978</v>
      </c>
      <c r="B742" s="4">
        <v>21.86</v>
      </c>
      <c r="C742" s="4">
        <v>21.89</v>
      </c>
      <c r="D742" s="4">
        <v>21.855</v>
      </c>
      <c r="E742" s="4">
        <v>21.87</v>
      </c>
      <c r="F742" s="4">
        <v>48189</v>
      </c>
      <c r="G742" s="5">
        <v>84946</v>
      </c>
      <c r="H742" s="16">
        <f t="shared" si="26"/>
        <v>6.8610634648373094E-4</v>
      </c>
      <c r="I742" s="6">
        <f t="shared" si="27"/>
        <v>8.0589454294266449E-3</v>
      </c>
      <c r="L742" s="11"/>
      <c r="M742" s="12"/>
    </row>
    <row r="743" spans="1:13" ht="15" customHeight="1" x14ac:dyDescent="0.2">
      <c r="A743" s="7">
        <v>44974</v>
      </c>
      <c r="B743" s="8">
        <v>21.72</v>
      </c>
      <c r="C743" s="8">
        <v>21.715</v>
      </c>
      <c r="D743" s="8">
        <v>21.715</v>
      </c>
      <c r="E743" s="8">
        <v>21.745000000000001</v>
      </c>
      <c r="F743" s="8">
        <v>53644</v>
      </c>
      <c r="G743" s="9">
        <v>65470</v>
      </c>
      <c r="H743" s="16">
        <f t="shared" si="26"/>
        <v>1.3805798435343366E-3</v>
      </c>
      <c r="I743" s="6">
        <f t="shared" si="27"/>
        <v>2.3030861354200738E-4</v>
      </c>
      <c r="L743" s="11"/>
      <c r="M743" s="12"/>
    </row>
    <row r="744" spans="1:13" ht="15" customHeight="1" x14ac:dyDescent="0.2">
      <c r="A744" s="3">
        <v>44973</v>
      </c>
      <c r="B744" s="4">
        <v>21.56</v>
      </c>
      <c r="C744" s="4">
        <v>21.71</v>
      </c>
      <c r="D744" s="4">
        <v>21.555</v>
      </c>
      <c r="E744" s="4">
        <v>21.574999999999999</v>
      </c>
      <c r="F744" s="4">
        <v>59463</v>
      </c>
      <c r="G744" s="5">
        <v>54574</v>
      </c>
      <c r="H744" s="16">
        <f t="shared" si="26"/>
        <v>9.2742870391836663E-4</v>
      </c>
      <c r="I744" s="6">
        <f t="shared" si="27"/>
        <v>6.3971815316150593E-3</v>
      </c>
      <c r="L744" s="11"/>
      <c r="M744" s="12"/>
    </row>
    <row r="745" spans="1:13" ht="15" customHeight="1" x14ac:dyDescent="0.2">
      <c r="A745" s="7">
        <v>44972</v>
      </c>
      <c r="B745" s="8">
        <v>21.62</v>
      </c>
      <c r="C745" s="8">
        <v>21.571999999999999</v>
      </c>
      <c r="D745" s="8">
        <v>21.61</v>
      </c>
      <c r="E745" s="8">
        <v>21.63</v>
      </c>
      <c r="F745" s="8">
        <v>62178</v>
      </c>
      <c r="G745" s="9">
        <v>54284</v>
      </c>
      <c r="H745" s="16">
        <f t="shared" si="26"/>
        <v>9.2506938020349568E-4</v>
      </c>
      <c r="I745" s="6">
        <f t="shared" si="27"/>
        <v>-1.3761258172175883E-2</v>
      </c>
      <c r="L745" s="11"/>
      <c r="M745" s="12"/>
    </row>
    <row r="746" spans="1:13" ht="15" customHeight="1" x14ac:dyDescent="0.2">
      <c r="A746" s="3">
        <v>44971</v>
      </c>
      <c r="B746" s="4">
        <v>21.85</v>
      </c>
      <c r="C746" s="4">
        <v>21.873000000000001</v>
      </c>
      <c r="D746" s="4">
        <v>21.84</v>
      </c>
      <c r="E746" s="4">
        <v>21.864999999999998</v>
      </c>
      <c r="F746" s="4">
        <v>65323</v>
      </c>
      <c r="G746" s="5">
        <v>72485</v>
      </c>
      <c r="H746" s="16">
        <f t="shared" si="26"/>
        <v>1.1440338634022917E-3</v>
      </c>
      <c r="I746" s="6">
        <f t="shared" si="27"/>
        <v>9.6101043382756934E-4</v>
      </c>
      <c r="L746" s="11"/>
      <c r="M746" s="12"/>
    </row>
    <row r="747" spans="1:13" ht="15" customHeight="1" x14ac:dyDescent="0.2">
      <c r="A747" s="7">
        <v>44970</v>
      </c>
      <c r="B747" s="8">
        <v>22</v>
      </c>
      <c r="C747" s="8">
        <v>21.852</v>
      </c>
      <c r="D747" s="8">
        <v>21.99</v>
      </c>
      <c r="E747" s="8">
        <v>22.01</v>
      </c>
      <c r="F747" s="8">
        <v>69083</v>
      </c>
      <c r="G747" s="9">
        <v>45962</v>
      </c>
      <c r="H747" s="16">
        <f t="shared" si="26"/>
        <v>9.0909090909105123E-4</v>
      </c>
      <c r="I747" s="6">
        <f t="shared" si="27"/>
        <v>-1.0101925254813127E-2</v>
      </c>
      <c r="L747" s="11"/>
      <c r="M747" s="12"/>
    </row>
    <row r="748" spans="1:13" ht="15" customHeight="1" x14ac:dyDescent="0.2">
      <c r="A748" s="3">
        <v>44967</v>
      </c>
      <c r="B748" s="4">
        <v>22.004999999999999</v>
      </c>
      <c r="C748" s="4">
        <v>22.074999999999999</v>
      </c>
      <c r="D748" s="4">
        <v>22.004999999999999</v>
      </c>
      <c r="E748" s="4">
        <v>22.024999999999999</v>
      </c>
      <c r="F748" s="4">
        <v>75446</v>
      </c>
      <c r="G748" s="5">
        <v>65973</v>
      </c>
      <c r="H748" s="16">
        <f t="shared" si="26"/>
        <v>9.0847149670677141E-4</v>
      </c>
      <c r="I748" s="6">
        <f t="shared" si="27"/>
        <v>-3.0709479293682396E-3</v>
      </c>
      <c r="L748" s="11"/>
      <c r="M748" s="12"/>
    </row>
    <row r="749" spans="1:13" ht="15" customHeight="1" x14ac:dyDescent="0.2">
      <c r="A749" s="7">
        <v>44966</v>
      </c>
      <c r="B749" s="8">
        <v>21.984999999999999</v>
      </c>
      <c r="C749" s="8">
        <v>22.143000000000001</v>
      </c>
      <c r="D749" s="8">
        <v>21.984999999999999</v>
      </c>
      <c r="E749" s="8">
        <v>22</v>
      </c>
      <c r="F749" s="8">
        <v>80559</v>
      </c>
      <c r="G749" s="9">
        <v>64714</v>
      </c>
      <c r="H749" s="16">
        <f t="shared" si="26"/>
        <v>6.8205069910199246E-4</v>
      </c>
      <c r="I749" s="6">
        <f t="shared" si="27"/>
        <v>-1.2355040142729701E-2</v>
      </c>
      <c r="L749" s="11"/>
      <c r="M749" s="12"/>
    </row>
    <row r="750" spans="1:13" ht="15" customHeight="1" x14ac:dyDescent="0.2">
      <c r="A750" s="3">
        <v>44965</v>
      </c>
      <c r="B750" s="4">
        <v>22.344999999999999</v>
      </c>
      <c r="C750" s="4">
        <v>22.42</v>
      </c>
      <c r="D750" s="4">
        <v>22.34</v>
      </c>
      <c r="E750" s="4">
        <v>22.355</v>
      </c>
      <c r="F750" s="4">
        <v>87855</v>
      </c>
      <c r="G750" s="5">
        <v>54749</v>
      </c>
      <c r="H750" s="16">
        <f t="shared" si="26"/>
        <v>6.7121601968902871E-4</v>
      </c>
      <c r="I750" s="6">
        <f t="shared" si="27"/>
        <v>1.0957298101637036E-2</v>
      </c>
      <c r="L750" s="11"/>
      <c r="M750" s="12"/>
    </row>
    <row r="751" spans="1:13" ht="15" customHeight="1" x14ac:dyDescent="0.2">
      <c r="A751" s="7">
        <v>44964</v>
      </c>
      <c r="B751" s="8">
        <v>22.19</v>
      </c>
      <c r="C751" s="8">
        <v>22.177</v>
      </c>
      <c r="D751" s="8">
        <v>22.18</v>
      </c>
      <c r="E751" s="8">
        <v>22.204999999999998</v>
      </c>
      <c r="F751" s="8">
        <v>95488</v>
      </c>
      <c r="G751" s="9">
        <v>68426</v>
      </c>
      <c r="H751" s="16">
        <f t="shared" si="26"/>
        <v>1.1265067027148171E-3</v>
      </c>
      <c r="I751" s="6">
        <f t="shared" si="27"/>
        <v>-2.6982056932139953E-3</v>
      </c>
      <c r="L751" s="11"/>
      <c r="M751" s="12"/>
    </row>
    <row r="752" spans="1:13" ht="15" customHeight="1" x14ac:dyDescent="0.2">
      <c r="A752" s="3">
        <v>44963</v>
      </c>
      <c r="B752" s="4">
        <v>22.295000000000002</v>
      </c>
      <c r="C752" s="4">
        <v>22.236999999999998</v>
      </c>
      <c r="D752" s="4">
        <v>22.285</v>
      </c>
      <c r="E752" s="4">
        <v>22.305</v>
      </c>
      <c r="F752" s="4">
        <v>102251</v>
      </c>
      <c r="G752" s="5">
        <v>64941</v>
      </c>
      <c r="H752" s="16">
        <f t="shared" si="26"/>
        <v>8.9706212155189833E-4</v>
      </c>
      <c r="I752" s="6">
        <f t="shared" si="27"/>
        <v>-7.4983262664585215E-3</v>
      </c>
      <c r="L752" s="11"/>
      <c r="M752" s="12"/>
    </row>
    <row r="753" spans="1:13" ht="15" customHeight="1" x14ac:dyDescent="0.2">
      <c r="A753" s="7">
        <v>44960</v>
      </c>
      <c r="B753" s="8">
        <v>22.395</v>
      </c>
      <c r="C753" s="8">
        <v>22.405000000000001</v>
      </c>
      <c r="D753" s="8">
        <v>22.38</v>
      </c>
      <c r="E753" s="8">
        <v>22.4</v>
      </c>
      <c r="F753" s="8">
        <v>105863</v>
      </c>
      <c r="G753" s="9">
        <v>106640</v>
      </c>
      <c r="H753" s="16">
        <f t="shared" si="26"/>
        <v>8.9325591782043654E-4</v>
      </c>
      <c r="I753" s="6">
        <f t="shared" si="27"/>
        <v>-5.1238619521490447E-2</v>
      </c>
      <c r="L753" s="11"/>
      <c r="M753" s="12"/>
    </row>
    <row r="754" spans="1:13" ht="15" customHeight="1" x14ac:dyDescent="0.2">
      <c r="A754" s="3">
        <v>44959</v>
      </c>
      <c r="B754" s="4">
        <v>23.545000000000002</v>
      </c>
      <c r="C754" s="4">
        <v>23.614999999999998</v>
      </c>
      <c r="D754" s="4">
        <v>23.53</v>
      </c>
      <c r="E754" s="4">
        <v>23.545000000000002</v>
      </c>
      <c r="F754" s="4">
        <v>105278</v>
      </c>
      <c r="G754" s="5">
        <v>107525</v>
      </c>
      <c r="H754" s="16">
        <f t="shared" si="26"/>
        <v>6.3728093467872835E-4</v>
      </c>
      <c r="I754" s="6">
        <f t="shared" si="27"/>
        <v>2.5414037019766411E-4</v>
      </c>
      <c r="L754" s="11"/>
      <c r="M754" s="12"/>
    </row>
    <row r="755" spans="1:13" ht="15" customHeight="1" x14ac:dyDescent="0.2">
      <c r="A755" s="7">
        <v>44958</v>
      </c>
      <c r="B755" s="8">
        <v>24.08</v>
      </c>
      <c r="C755" s="8">
        <v>23.609000000000002</v>
      </c>
      <c r="D755" s="8">
        <v>24.07</v>
      </c>
      <c r="E755" s="8">
        <v>24.09</v>
      </c>
      <c r="F755" s="8">
        <v>106009</v>
      </c>
      <c r="G755" s="9">
        <v>63731</v>
      </c>
      <c r="H755" s="16">
        <f t="shared" si="26"/>
        <v>8.3056478405313849E-4</v>
      </c>
      <c r="I755" s="6">
        <f t="shared" si="27"/>
        <v>-9.5234099681152928E-3</v>
      </c>
      <c r="L755" s="11"/>
      <c r="M755" s="12"/>
    </row>
    <row r="756" spans="1:13" ht="15" customHeight="1" x14ac:dyDescent="0.2">
      <c r="A756" s="3">
        <v>44957</v>
      </c>
      <c r="B756" s="4">
        <v>23.824999999999999</v>
      </c>
      <c r="C756" s="4">
        <v>23.835999999999999</v>
      </c>
      <c r="D756" s="4">
        <v>23.815000000000001</v>
      </c>
      <c r="E756" s="4">
        <v>23.835000000000001</v>
      </c>
      <c r="F756" s="4">
        <v>106027</v>
      </c>
      <c r="G756" s="5">
        <v>65290</v>
      </c>
      <c r="H756" s="16">
        <f t="shared" si="26"/>
        <v>8.3945435466944681E-4</v>
      </c>
      <c r="I756" s="6">
        <f t="shared" si="27"/>
        <v>4.3399485947834826E-3</v>
      </c>
      <c r="L756" s="11"/>
      <c r="M756" s="12"/>
    </row>
    <row r="757" spans="1:13" ht="15" customHeight="1" x14ac:dyDescent="0.2">
      <c r="A757" s="7">
        <v>44956</v>
      </c>
      <c r="B757" s="8">
        <v>23.69</v>
      </c>
      <c r="C757" s="8">
        <v>23.733000000000001</v>
      </c>
      <c r="D757" s="8">
        <v>23.684999999999999</v>
      </c>
      <c r="E757" s="8">
        <v>23.7</v>
      </c>
      <c r="F757" s="8">
        <v>107431</v>
      </c>
      <c r="G757" s="9">
        <v>55497</v>
      </c>
      <c r="H757" s="16">
        <f t="shared" si="26"/>
        <v>6.331117442228794E-4</v>
      </c>
      <c r="I757" s="6" t="e">
        <f t="shared" si="27"/>
        <v>#DIV/0!</v>
      </c>
      <c r="L757" s="11"/>
      <c r="M757" s="1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AE032-0CB4-423A-BDB5-E8ABB8EAB0A0}">
  <dimension ref="B3:O20"/>
  <sheetViews>
    <sheetView topLeftCell="B1" zoomScale="130" zoomScaleNormal="130" workbookViewId="0">
      <selection activeCell="F18" sqref="F18"/>
    </sheetView>
  </sheetViews>
  <sheetFormatPr baseColWidth="10" defaultRowHeight="12.75" x14ac:dyDescent="0.2"/>
  <sheetData>
    <row r="3" spans="2:15" x14ac:dyDescent="0.2">
      <c r="B3" t="s">
        <v>12</v>
      </c>
    </row>
    <row r="4" spans="2:15" x14ac:dyDescent="0.2">
      <c r="B4" s="13" t="s">
        <v>19</v>
      </c>
    </row>
    <row r="5" spans="2:15" s="1" customFormat="1" x14ac:dyDescent="0.2">
      <c r="B5" s="1" t="s">
        <v>11</v>
      </c>
      <c r="I5" s="14"/>
      <c r="J5" s="14"/>
    </row>
    <row r="7" spans="2:15" x14ac:dyDescent="0.2">
      <c r="B7" t="s">
        <v>14</v>
      </c>
    </row>
    <row r="8" spans="2:15" x14ac:dyDescent="0.2">
      <c r="B8" s="18" t="s">
        <v>26</v>
      </c>
    </row>
    <row r="9" spans="2:15" x14ac:dyDescent="0.2">
      <c r="B9" t="s">
        <v>8</v>
      </c>
    </row>
    <row r="11" spans="2:15" x14ac:dyDescent="0.2">
      <c r="B11" s="1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3" spans="2:15" x14ac:dyDescent="0.2">
      <c r="B13" t="s">
        <v>13</v>
      </c>
    </row>
    <row r="16" spans="2:15" x14ac:dyDescent="0.2">
      <c r="B16" s="10" t="s">
        <v>10</v>
      </c>
    </row>
    <row r="18" spans="2:2" x14ac:dyDescent="0.2">
      <c r="B18" t="s">
        <v>15</v>
      </c>
    </row>
    <row r="20" spans="2:2" x14ac:dyDescent="0.2">
      <c r="B20" s="25" t="s">
        <v>27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7E541-BDC2-4B6F-AC97-1975A24A2F0B}">
  <sheetPr>
    <outlinePr summaryBelow="0" summaryRight="0"/>
  </sheetPr>
  <dimension ref="A1:I757"/>
  <sheetViews>
    <sheetView zoomScale="140" zoomScaleNormal="140" workbookViewId="0">
      <pane ySplit="3" topLeftCell="A4" activePane="bottomLeft" state="frozen"/>
      <selection pane="bottomLeft" activeCell="K6" sqref="K6"/>
    </sheetView>
  </sheetViews>
  <sheetFormatPr baseColWidth="10" defaultColWidth="9.140625" defaultRowHeight="15" customHeight="1" x14ac:dyDescent="0.2"/>
  <cols>
    <col min="1" max="1" width="8.42578125" customWidth="1"/>
    <col min="2" max="2" width="6.85546875" customWidth="1"/>
    <col min="3" max="3" width="16.42578125" customWidth="1"/>
    <col min="4" max="5" width="6.85546875" customWidth="1"/>
    <col min="6" max="6" width="13.42578125" customWidth="1"/>
    <col min="7" max="7" width="7.7109375" bestFit="1" customWidth="1"/>
    <col min="9" max="9" width="11" bestFit="1" customWidth="1"/>
  </cols>
  <sheetData>
    <row r="1" spans="1:9" ht="15" customHeight="1" x14ac:dyDescent="0.2">
      <c r="A1" s="1" t="s">
        <v>0</v>
      </c>
    </row>
    <row r="3" spans="1:9" ht="15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20</v>
      </c>
      <c r="I3" s="2" t="s">
        <v>16</v>
      </c>
    </row>
    <row r="4" spans="1:9" ht="15" customHeight="1" x14ac:dyDescent="0.2">
      <c r="A4" s="3">
        <v>46052</v>
      </c>
      <c r="B4" s="4">
        <v>85.25</v>
      </c>
      <c r="C4" s="4">
        <v>78.531000000000006</v>
      </c>
      <c r="D4" s="4">
        <v>85.084999999999994</v>
      </c>
      <c r="E4" s="4">
        <v>85.27</v>
      </c>
      <c r="F4" s="4">
        <v>97949</v>
      </c>
      <c r="G4" s="5">
        <v>306578</v>
      </c>
      <c r="H4" s="6">
        <f>AVERAGE(D4:E4)</f>
        <v>85.177499999999995</v>
      </c>
      <c r="I4">
        <f>H4/H75-1</f>
        <v>0.68301719027860108</v>
      </c>
    </row>
    <row r="5" spans="1:9" ht="15" customHeight="1" x14ac:dyDescent="0.2">
      <c r="A5" s="7">
        <v>46051</v>
      </c>
      <c r="B5" s="8">
        <v>115.785</v>
      </c>
      <c r="C5" s="8">
        <v>114.429</v>
      </c>
      <c r="D5" s="8">
        <v>115.74</v>
      </c>
      <c r="E5" s="8">
        <v>115.965</v>
      </c>
      <c r="F5" s="8">
        <v>99020</v>
      </c>
      <c r="G5" s="9">
        <v>190647</v>
      </c>
      <c r="H5" s="6">
        <f t="shared" ref="H5:H68" si="0">AVERAGE(D5:E5)</f>
        <v>115.85249999999999</v>
      </c>
      <c r="I5">
        <f t="shared" ref="I5:I68" si="1">H5/H6-1</f>
        <v>-6.5812039101356135E-3</v>
      </c>
    </row>
    <row r="6" spans="1:9" ht="15" customHeight="1" x14ac:dyDescent="0.2">
      <c r="A6" s="3">
        <v>46050</v>
      </c>
      <c r="B6" s="4">
        <v>116.625</v>
      </c>
      <c r="C6" s="4">
        <v>113.53400000000001</v>
      </c>
      <c r="D6" s="4">
        <v>116.55</v>
      </c>
      <c r="E6" s="4">
        <v>116.69</v>
      </c>
      <c r="F6" s="4">
        <v>99276</v>
      </c>
      <c r="G6" s="5">
        <v>174176</v>
      </c>
      <c r="H6" s="6">
        <f t="shared" si="0"/>
        <v>116.62</v>
      </c>
      <c r="I6">
        <f t="shared" si="1"/>
        <v>3.6714374611076517E-2</v>
      </c>
    </row>
    <row r="7" spans="1:9" ht="15" customHeight="1" x14ac:dyDescent="0.2">
      <c r="A7" s="7">
        <v>46049</v>
      </c>
      <c r="B7" s="8">
        <v>112.28</v>
      </c>
      <c r="C7" s="8">
        <v>105.95699999999999</v>
      </c>
      <c r="D7" s="8">
        <v>112.205</v>
      </c>
      <c r="E7" s="8">
        <v>112.77500000000001</v>
      </c>
      <c r="F7" s="8">
        <v>104650</v>
      </c>
      <c r="G7" s="9">
        <v>220647</v>
      </c>
      <c r="H7" s="6">
        <f t="shared" si="0"/>
        <v>112.49000000000001</v>
      </c>
      <c r="I7">
        <f t="shared" si="1"/>
        <v>8.3431653463677868E-2</v>
      </c>
    </row>
    <row r="8" spans="1:9" ht="15" customHeight="1" x14ac:dyDescent="0.2">
      <c r="A8" s="3">
        <v>46048</v>
      </c>
      <c r="B8" s="4">
        <v>103.89</v>
      </c>
      <c r="C8" s="4">
        <v>115.504</v>
      </c>
      <c r="D8" s="4">
        <v>103.7</v>
      </c>
      <c r="E8" s="4">
        <v>103.955</v>
      </c>
      <c r="F8" s="4">
        <v>104072</v>
      </c>
      <c r="G8" s="5">
        <v>312346</v>
      </c>
      <c r="H8" s="6">
        <f t="shared" si="0"/>
        <v>103.8275</v>
      </c>
      <c r="I8">
        <f t="shared" si="1"/>
        <v>4.790361212590355E-3</v>
      </c>
    </row>
    <row r="9" spans="1:9" ht="15" customHeight="1" x14ac:dyDescent="0.2">
      <c r="A9" s="7">
        <v>46045</v>
      </c>
      <c r="B9" s="8">
        <v>103.285</v>
      </c>
      <c r="C9" s="8">
        <v>101.333</v>
      </c>
      <c r="D9" s="8">
        <v>103.18</v>
      </c>
      <c r="E9" s="8">
        <v>103.485</v>
      </c>
      <c r="F9" s="8">
        <v>102025</v>
      </c>
      <c r="G9" s="9">
        <v>136206</v>
      </c>
      <c r="H9" s="6">
        <f t="shared" si="0"/>
        <v>103.33250000000001</v>
      </c>
      <c r="I9">
        <f t="shared" si="1"/>
        <v>7.4030766032636919E-2</v>
      </c>
    </row>
    <row r="10" spans="1:9" ht="15" customHeight="1" x14ac:dyDescent="0.2">
      <c r="A10" s="3">
        <v>46044</v>
      </c>
      <c r="B10" s="4">
        <v>96.215000000000003</v>
      </c>
      <c r="C10" s="4">
        <v>96.372</v>
      </c>
      <c r="D10" s="4">
        <v>96.004999999999995</v>
      </c>
      <c r="E10" s="4">
        <v>96.415000000000006</v>
      </c>
      <c r="F10" s="4">
        <v>100935</v>
      </c>
      <c r="G10" s="5">
        <v>104613</v>
      </c>
      <c r="H10" s="6">
        <f t="shared" si="0"/>
        <v>96.210000000000008</v>
      </c>
      <c r="I10">
        <f t="shared" si="1"/>
        <v>3.468301338925639E-2</v>
      </c>
    </row>
    <row r="11" spans="1:9" ht="15" customHeight="1" x14ac:dyDescent="0.2">
      <c r="A11" s="7">
        <v>46043</v>
      </c>
      <c r="B11" s="8">
        <v>92.954999999999998</v>
      </c>
      <c r="C11" s="8">
        <v>92.637</v>
      </c>
      <c r="D11" s="8">
        <v>92.685000000000002</v>
      </c>
      <c r="E11" s="8">
        <v>93.284999999999997</v>
      </c>
      <c r="F11" s="8">
        <v>100827</v>
      </c>
      <c r="G11" s="9">
        <v>126385</v>
      </c>
      <c r="H11" s="6">
        <f t="shared" si="0"/>
        <v>92.984999999999999</v>
      </c>
      <c r="I11">
        <f t="shared" si="1"/>
        <v>-1.6291986247024659E-2</v>
      </c>
    </row>
    <row r="12" spans="1:9" ht="15" customHeight="1" x14ac:dyDescent="0.2">
      <c r="A12" s="3">
        <v>46042</v>
      </c>
      <c r="B12" s="4">
        <v>94.46</v>
      </c>
      <c r="C12" s="4">
        <v>94.635999999999996</v>
      </c>
      <c r="D12" s="4">
        <v>94.44</v>
      </c>
      <c r="E12" s="4">
        <v>94.61</v>
      </c>
      <c r="F12" s="4">
        <v>98902</v>
      </c>
      <c r="G12" s="5">
        <v>196697</v>
      </c>
      <c r="H12" s="6">
        <f t="shared" si="0"/>
        <v>94.525000000000006</v>
      </c>
      <c r="I12">
        <f t="shared" si="1"/>
        <v>5.0773976600060999E-2</v>
      </c>
    </row>
    <row r="13" spans="1:9" ht="15" customHeight="1" x14ac:dyDescent="0.2">
      <c r="A13" s="7">
        <v>46038</v>
      </c>
      <c r="B13" s="8">
        <v>89.944999999999993</v>
      </c>
      <c r="C13" s="8">
        <v>88.537000000000006</v>
      </c>
      <c r="D13" s="8">
        <v>89.93</v>
      </c>
      <c r="E13" s="8">
        <v>89.984999999999999</v>
      </c>
      <c r="F13" s="8">
        <v>99035</v>
      </c>
      <c r="G13" s="9">
        <v>154592</v>
      </c>
      <c r="H13" s="6">
        <f t="shared" si="0"/>
        <v>89.95750000000001</v>
      </c>
      <c r="I13">
        <f t="shared" si="1"/>
        <v>-2.4533723704185495E-2</v>
      </c>
    </row>
    <row r="14" spans="1:9" ht="15" customHeight="1" x14ac:dyDescent="0.2">
      <c r="A14" s="3">
        <v>46037</v>
      </c>
      <c r="B14" s="4">
        <v>92.21</v>
      </c>
      <c r="C14" s="4">
        <v>92.346999999999994</v>
      </c>
      <c r="D14" s="4">
        <v>92.105000000000004</v>
      </c>
      <c r="E14" s="4">
        <v>92.334999999999994</v>
      </c>
      <c r="F14" s="4">
        <v>101291</v>
      </c>
      <c r="G14" s="5">
        <v>204941</v>
      </c>
      <c r="H14" s="6">
        <f t="shared" si="0"/>
        <v>92.22</v>
      </c>
      <c r="I14">
        <f t="shared" si="1"/>
        <v>-6.7851373182552521E-3</v>
      </c>
    </row>
    <row r="15" spans="1:9" ht="15" customHeight="1" x14ac:dyDescent="0.2">
      <c r="A15" s="7">
        <v>46036</v>
      </c>
      <c r="B15" s="8">
        <v>93.174999999999997</v>
      </c>
      <c r="C15" s="8">
        <v>91.385000000000005</v>
      </c>
      <c r="D15" s="8">
        <v>92.3</v>
      </c>
      <c r="E15" s="8">
        <v>93.4</v>
      </c>
      <c r="F15" s="8">
        <v>100602</v>
      </c>
      <c r="G15" s="9">
        <v>210014</v>
      </c>
      <c r="H15" s="6">
        <f t="shared" si="0"/>
        <v>92.85</v>
      </c>
      <c r="I15">
        <f t="shared" si="1"/>
        <v>6.9515636698727068E-2</v>
      </c>
    </row>
    <row r="16" spans="1:9" ht="15" customHeight="1" x14ac:dyDescent="0.2">
      <c r="A16" s="3">
        <v>46035</v>
      </c>
      <c r="B16" s="4">
        <v>86.855000000000004</v>
      </c>
      <c r="C16" s="4">
        <v>86.337999999999994</v>
      </c>
      <c r="D16" s="4">
        <v>86.71</v>
      </c>
      <c r="E16" s="4">
        <v>86.92</v>
      </c>
      <c r="F16" s="4">
        <v>100764</v>
      </c>
      <c r="G16" s="5">
        <v>159191</v>
      </c>
      <c r="H16" s="6">
        <f t="shared" si="0"/>
        <v>86.814999999999998</v>
      </c>
      <c r="I16">
        <f t="shared" si="1"/>
        <v>2.2044324101598178E-2</v>
      </c>
    </row>
    <row r="17" spans="1:9" ht="15" customHeight="1" x14ac:dyDescent="0.2">
      <c r="A17" s="7">
        <v>46034</v>
      </c>
      <c r="B17" s="8">
        <v>85.17</v>
      </c>
      <c r="C17" s="8">
        <v>85.090999999999994</v>
      </c>
      <c r="D17" s="8">
        <v>84.71</v>
      </c>
      <c r="E17" s="8">
        <v>85.174999999999997</v>
      </c>
      <c r="F17" s="8">
        <v>101490</v>
      </c>
      <c r="G17" s="9">
        <v>145956</v>
      </c>
      <c r="H17" s="6">
        <f t="shared" si="0"/>
        <v>84.942499999999995</v>
      </c>
      <c r="I17">
        <f t="shared" si="1"/>
        <v>6.6714805977646563E-2</v>
      </c>
    </row>
    <row r="18" spans="1:9" ht="15" customHeight="1" x14ac:dyDescent="0.2">
      <c r="A18" s="3">
        <v>46031</v>
      </c>
      <c r="B18" s="4">
        <v>79.790000000000006</v>
      </c>
      <c r="C18" s="4">
        <v>79.340999999999994</v>
      </c>
      <c r="D18" s="4">
        <v>79.41</v>
      </c>
      <c r="E18" s="4">
        <v>79.849999999999994</v>
      </c>
      <c r="F18" s="4">
        <v>101487</v>
      </c>
      <c r="G18" s="5">
        <v>116587</v>
      </c>
      <c r="H18" s="6">
        <f t="shared" si="0"/>
        <v>79.63</v>
      </c>
      <c r="I18">
        <f t="shared" si="1"/>
        <v>3.9793686547187734E-2</v>
      </c>
    </row>
    <row r="19" spans="1:9" ht="15" customHeight="1" x14ac:dyDescent="0.2">
      <c r="A19" s="7">
        <v>46030</v>
      </c>
      <c r="B19" s="8">
        <v>76.69</v>
      </c>
      <c r="C19" s="8">
        <v>75.144000000000005</v>
      </c>
      <c r="D19" s="8">
        <v>76.454999999999998</v>
      </c>
      <c r="E19" s="8">
        <v>76.709999999999994</v>
      </c>
      <c r="F19" s="8">
        <v>104574</v>
      </c>
      <c r="G19" s="9">
        <v>121268</v>
      </c>
      <c r="H19" s="6">
        <f t="shared" si="0"/>
        <v>76.582499999999996</v>
      </c>
      <c r="I19">
        <f t="shared" si="1"/>
        <v>-1.7133506593512315E-2</v>
      </c>
    </row>
    <row r="20" spans="1:9" ht="15" customHeight="1" x14ac:dyDescent="0.2">
      <c r="A20" s="3">
        <v>46029</v>
      </c>
      <c r="B20" s="4">
        <v>77.984999999999999</v>
      </c>
      <c r="C20" s="4">
        <v>77.613</v>
      </c>
      <c r="D20" s="4">
        <v>77.77</v>
      </c>
      <c r="E20" s="4">
        <v>78.064999999999998</v>
      </c>
      <c r="F20" s="4">
        <v>107626</v>
      </c>
      <c r="G20" s="5">
        <v>148089</v>
      </c>
      <c r="H20" s="6">
        <f t="shared" si="0"/>
        <v>77.91749999999999</v>
      </c>
      <c r="I20">
        <f t="shared" si="1"/>
        <v>-3.9626536837888637E-2</v>
      </c>
    </row>
    <row r="21" spans="1:9" ht="15" customHeight="1" x14ac:dyDescent="0.2">
      <c r="A21" s="7">
        <v>46028</v>
      </c>
      <c r="B21" s="8">
        <v>81.22</v>
      </c>
      <c r="C21" s="8">
        <v>81.039000000000001</v>
      </c>
      <c r="D21" s="8">
        <v>81.03</v>
      </c>
      <c r="E21" s="8">
        <v>81.234999999999999</v>
      </c>
      <c r="F21" s="8">
        <v>107298</v>
      </c>
      <c r="G21" s="9">
        <v>136240</v>
      </c>
      <c r="H21" s="6">
        <f t="shared" si="0"/>
        <v>81.132499999999993</v>
      </c>
      <c r="I21">
        <f t="shared" si="1"/>
        <v>6.0486242729233419E-2</v>
      </c>
    </row>
    <row r="22" spans="1:9" ht="15" customHeight="1" x14ac:dyDescent="0.2">
      <c r="A22" s="3">
        <v>46027</v>
      </c>
      <c r="B22" s="4">
        <v>76.504999999999995</v>
      </c>
      <c r="C22" s="4">
        <v>76.656999999999996</v>
      </c>
      <c r="D22" s="4">
        <v>76.495000000000005</v>
      </c>
      <c r="E22" s="4">
        <v>76.515000000000001</v>
      </c>
      <c r="F22" s="4">
        <v>106835</v>
      </c>
      <c r="G22" s="5">
        <v>131071</v>
      </c>
      <c r="H22" s="6">
        <f t="shared" si="0"/>
        <v>76.504999999999995</v>
      </c>
      <c r="I22">
        <f t="shared" si="1"/>
        <v>6.0066509630040121E-2</v>
      </c>
    </row>
    <row r="23" spans="1:9" ht="15" customHeight="1" x14ac:dyDescent="0.2">
      <c r="A23" s="7">
        <v>46024</v>
      </c>
      <c r="B23" s="8">
        <v>72.25</v>
      </c>
      <c r="C23" s="8">
        <v>71.015000000000001</v>
      </c>
      <c r="D23" s="8">
        <v>72.03</v>
      </c>
      <c r="E23" s="8">
        <v>72.31</v>
      </c>
      <c r="F23" s="8">
        <v>108819</v>
      </c>
      <c r="G23" s="9">
        <v>99463</v>
      </c>
      <c r="H23" s="6">
        <f t="shared" si="0"/>
        <v>72.17</v>
      </c>
      <c r="I23">
        <f t="shared" si="1"/>
        <v>1.7195207892882314E-2</v>
      </c>
    </row>
    <row r="24" spans="1:9" ht="15" customHeight="1" x14ac:dyDescent="0.2">
      <c r="A24" s="3">
        <v>46022</v>
      </c>
      <c r="B24" s="4">
        <v>70.98</v>
      </c>
      <c r="C24" s="4">
        <v>70.602999999999994</v>
      </c>
      <c r="D24" s="4">
        <v>70.900000000000006</v>
      </c>
      <c r="E24" s="4">
        <v>71</v>
      </c>
      <c r="F24" s="4">
        <v>110681</v>
      </c>
      <c r="G24" s="5">
        <v>144777</v>
      </c>
      <c r="H24" s="6">
        <f t="shared" si="0"/>
        <v>70.95</v>
      </c>
      <c r="I24">
        <f t="shared" si="1"/>
        <v>-6.6631585871209653E-2</v>
      </c>
    </row>
    <row r="25" spans="1:9" ht="15" customHeight="1" x14ac:dyDescent="0.2">
      <c r="A25" s="7">
        <v>46021</v>
      </c>
      <c r="B25" s="8">
        <v>76.02</v>
      </c>
      <c r="C25" s="8">
        <v>77.918999999999997</v>
      </c>
      <c r="D25" s="8">
        <v>75.935000000000002</v>
      </c>
      <c r="E25" s="8">
        <v>76.094999999999999</v>
      </c>
      <c r="F25" s="8">
        <v>111252</v>
      </c>
      <c r="G25" s="9">
        <v>167114</v>
      </c>
      <c r="H25" s="6">
        <f t="shared" si="0"/>
        <v>76.015000000000001</v>
      </c>
      <c r="I25">
        <f t="shared" si="1"/>
        <v>6.1699081671846123E-2</v>
      </c>
    </row>
    <row r="26" spans="1:9" ht="15" customHeight="1" x14ac:dyDescent="0.2">
      <c r="A26" s="3">
        <v>46020</v>
      </c>
      <c r="B26" s="4">
        <v>71.64</v>
      </c>
      <c r="C26" s="4">
        <v>70.459999999999994</v>
      </c>
      <c r="D26" s="4">
        <v>71.510000000000005</v>
      </c>
      <c r="E26" s="4">
        <v>71.685000000000002</v>
      </c>
      <c r="F26" s="4">
        <v>113795</v>
      </c>
      <c r="G26" s="5">
        <v>248836</v>
      </c>
      <c r="H26" s="6">
        <f t="shared" si="0"/>
        <v>71.597499999999997</v>
      </c>
      <c r="I26">
        <f t="shared" si="1"/>
        <v>-9.9572407721813416E-2</v>
      </c>
    </row>
    <row r="27" spans="1:9" ht="15" customHeight="1" x14ac:dyDescent="0.2">
      <c r="A27" s="7">
        <v>46017</v>
      </c>
      <c r="B27" s="8">
        <v>79.674999999999997</v>
      </c>
      <c r="C27" s="8">
        <v>77.195999999999998</v>
      </c>
      <c r="D27" s="8">
        <v>79.319999999999993</v>
      </c>
      <c r="E27" s="8">
        <v>79.709999999999994</v>
      </c>
      <c r="F27" s="8">
        <v>112004</v>
      </c>
      <c r="G27" s="9">
        <v>171043</v>
      </c>
      <c r="H27" s="6">
        <f t="shared" si="0"/>
        <v>79.514999999999986</v>
      </c>
      <c r="I27">
        <f t="shared" si="1"/>
        <v>0.10656507671433024</v>
      </c>
    </row>
    <row r="28" spans="1:9" ht="15" customHeight="1" x14ac:dyDescent="0.2">
      <c r="A28" s="3">
        <v>46015</v>
      </c>
      <c r="B28" s="4">
        <v>71.88</v>
      </c>
      <c r="C28" s="4">
        <v>71.685000000000002</v>
      </c>
      <c r="D28" s="4">
        <v>71.734999999999999</v>
      </c>
      <c r="E28" s="4">
        <v>71.98</v>
      </c>
      <c r="F28" s="4">
        <v>112919</v>
      </c>
      <c r="G28" s="5">
        <v>94695</v>
      </c>
      <c r="H28" s="6">
        <f t="shared" si="0"/>
        <v>71.857500000000002</v>
      </c>
      <c r="I28">
        <f t="shared" si="1"/>
        <v>3.9118438056651161E-3</v>
      </c>
    </row>
    <row r="29" spans="1:9" ht="15" customHeight="1" x14ac:dyDescent="0.2">
      <c r="A29" s="7">
        <v>46014</v>
      </c>
      <c r="B29" s="8">
        <v>71.61</v>
      </c>
      <c r="C29" s="8">
        <v>71.137</v>
      </c>
      <c r="D29" s="8">
        <v>71.504999999999995</v>
      </c>
      <c r="E29" s="8">
        <v>71.650000000000006</v>
      </c>
      <c r="F29" s="8">
        <v>114525</v>
      </c>
      <c r="G29" s="9">
        <v>127435</v>
      </c>
      <c r="H29" s="6">
        <f t="shared" si="0"/>
        <v>71.577500000000001</v>
      </c>
      <c r="I29">
        <f t="shared" si="1"/>
        <v>3.6078743576753114E-2</v>
      </c>
    </row>
    <row r="30" spans="1:9" ht="15" customHeight="1" x14ac:dyDescent="0.2">
      <c r="A30" s="3">
        <v>46013</v>
      </c>
      <c r="B30" s="4">
        <v>69.09</v>
      </c>
      <c r="C30" s="4">
        <v>68.564999999999998</v>
      </c>
      <c r="D30" s="4">
        <v>69.05</v>
      </c>
      <c r="E30" s="4">
        <v>69.12</v>
      </c>
      <c r="F30" s="4">
        <v>115432</v>
      </c>
      <c r="G30" s="5">
        <v>97372</v>
      </c>
      <c r="H30" s="6">
        <f t="shared" si="0"/>
        <v>69.085000000000008</v>
      </c>
      <c r="I30">
        <f t="shared" si="1"/>
        <v>2.4543971526026942E-2</v>
      </c>
    </row>
    <row r="31" spans="1:9" ht="15" customHeight="1" x14ac:dyDescent="0.2">
      <c r="A31" s="7">
        <v>46010</v>
      </c>
      <c r="B31" s="8">
        <v>67.394999999999996</v>
      </c>
      <c r="C31" s="8">
        <v>67.489000000000004</v>
      </c>
      <c r="D31" s="8">
        <v>67.37</v>
      </c>
      <c r="E31" s="8">
        <v>67.489999999999995</v>
      </c>
      <c r="F31" s="8">
        <v>115045</v>
      </c>
      <c r="G31" s="9">
        <v>94531</v>
      </c>
      <c r="H31" s="6">
        <f t="shared" si="0"/>
        <v>67.430000000000007</v>
      </c>
      <c r="I31">
        <f t="shared" si="1"/>
        <v>3.0685161832702867E-2</v>
      </c>
    </row>
    <row r="32" spans="1:9" ht="15" customHeight="1" x14ac:dyDescent="0.2">
      <c r="A32" s="3">
        <v>46009</v>
      </c>
      <c r="B32" s="4">
        <v>65.45</v>
      </c>
      <c r="C32" s="4">
        <v>65.218999999999994</v>
      </c>
      <c r="D32" s="4">
        <v>65.344999999999999</v>
      </c>
      <c r="E32" s="4">
        <v>65.5</v>
      </c>
      <c r="F32" s="4">
        <v>114701</v>
      </c>
      <c r="G32" s="5">
        <v>110401</v>
      </c>
      <c r="H32" s="6">
        <f t="shared" si="0"/>
        <v>65.422499999999999</v>
      </c>
      <c r="I32">
        <f t="shared" si="1"/>
        <v>-1.531456953642385E-2</v>
      </c>
    </row>
    <row r="33" spans="1:9" ht="15" customHeight="1" x14ac:dyDescent="0.2">
      <c r="A33" s="7">
        <v>46008</v>
      </c>
      <c r="B33" s="8">
        <v>66.44</v>
      </c>
      <c r="C33" s="8">
        <v>66.900999999999996</v>
      </c>
      <c r="D33" s="8">
        <v>66.349999999999994</v>
      </c>
      <c r="E33" s="8">
        <v>66.53</v>
      </c>
      <c r="F33" s="8">
        <v>113857</v>
      </c>
      <c r="G33" s="9">
        <v>145011</v>
      </c>
      <c r="H33" s="6">
        <f t="shared" si="0"/>
        <v>66.44</v>
      </c>
      <c r="I33">
        <f t="shared" si="1"/>
        <v>4.0849097246700161E-2</v>
      </c>
    </row>
    <row r="34" spans="1:9" ht="15" customHeight="1" x14ac:dyDescent="0.2">
      <c r="A34" s="3">
        <v>46007</v>
      </c>
      <c r="B34" s="4">
        <v>63.795000000000002</v>
      </c>
      <c r="C34" s="4">
        <v>63.323</v>
      </c>
      <c r="D34" s="4">
        <v>63.77</v>
      </c>
      <c r="E34" s="4">
        <v>63.895000000000003</v>
      </c>
      <c r="F34" s="4">
        <v>115429</v>
      </c>
      <c r="G34" s="5">
        <v>95023</v>
      </c>
      <c r="H34" s="6">
        <f t="shared" si="0"/>
        <v>63.832500000000003</v>
      </c>
      <c r="I34">
        <f t="shared" si="1"/>
        <v>-3.7457567599203934E-3</v>
      </c>
    </row>
    <row r="35" spans="1:9" ht="15" customHeight="1" x14ac:dyDescent="0.2">
      <c r="A35" s="7">
        <v>46006</v>
      </c>
      <c r="B35" s="8">
        <v>64.13</v>
      </c>
      <c r="C35" s="8">
        <v>63.588999999999999</v>
      </c>
      <c r="D35" s="8">
        <v>63.99</v>
      </c>
      <c r="E35" s="8">
        <v>64.155000000000001</v>
      </c>
      <c r="F35" s="8">
        <v>116186</v>
      </c>
      <c r="G35" s="9">
        <v>111259</v>
      </c>
      <c r="H35" s="6">
        <f t="shared" si="0"/>
        <v>64.072500000000005</v>
      </c>
      <c r="I35">
        <f t="shared" si="1"/>
        <v>3.2054121531832847E-2</v>
      </c>
    </row>
    <row r="36" spans="1:9" ht="15" customHeight="1" x14ac:dyDescent="0.2">
      <c r="A36" s="3">
        <v>46003</v>
      </c>
      <c r="B36" s="4">
        <v>62.085000000000001</v>
      </c>
      <c r="C36" s="4">
        <v>62.006999999999998</v>
      </c>
      <c r="D36" s="4">
        <v>62.07</v>
      </c>
      <c r="E36" s="4">
        <v>62.094999999999999</v>
      </c>
      <c r="F36" s="4">
        <v>118308</v>
      </c>
      <c r="G36" s="5">
        <v>187300</v>
      </c>
      <c r="H36" s="6">
        <f t="shared" si="0"/>
        <v>62.082499999999996</v>
      </c>
      <c r="I36">
        <f t="shared" si="1"/>
        <v>-2.9619788206791564E-2</v>
      </c>
    </row>
    <row r="37" spans="1:9" ht="15" customHeight="1" x14ac:dyDescent="0.2">
      <c r="A37" s="7">
        <v>46002</v>
      </c>
      <c r="B37" s="8">
        <v>63.975000000000001</v>
      </c>
      <c r="C37" s="8">
        <v>64.591999999999999</v>
      </c>
      <c r="D37" s="8">
        <v>63.965000000000003</v>
      </c>
      <c r="E37" s="8">
        <v>63.99</v>
      </c>
      <c r="F37" s="8">
        <v>118097</v>
      </c>
      <c r="G37" s="9">
        <v>131321</v>
      </c>
      <c r="H37" s="6">
        <f t="shared" si="0"/>
        <v>63.977500000000006</v>
      </c>
      <c r="I37">
        <f t="shared" si="1"/>
        <v>2.8701209952968876E-2</v>
      </c>
    </row>
    <row r="38" spans="1:9" ht="15" customHeight="1" x14ac:dyDescent="0.2">
      <c r="A38" s="3">
        <v>46001</v>
      </c>
      <c r="B38" s="4">
        <v>62.204999999999998</v>
      </c>
      <c r="C38" s="4">
        <v>61.029000000000003</v>
      </c>
      <c r="D38" s="4">
        <v>62.134999999999998</v>
      </c>
      <c r="E38" s="4">
        <v>62.25</v>
      </c>
      <c r="F38" s="4">
        <v>119397</v>
      </c>
      <c r="G38" s="5">
        <v>118368</v>
      </c>
      <c r="H38" s="6">
        <f t="shared" si="0"/>
        <v>62.192499999999995</v>
      </c>
      <c r="I38">
        <f t="shared" si="1"/>
        <v>1.6715710315513999E-2</v>
      </c>
    </row>
    <row r="39" spans="1:9" ht="15" customHeight="1" x14ac:dyDescent="0.2">
      <c r="A39" s="7">
        <v>46000</v>
      </c>
      <c r="B39" s="8">
        <v>61.16</v>
      </c>
      <c r="C39" s="8">
        <v>60.84</v>
      </c>
      <c r="D39" s="8">
        <v>61.12</v>
      </c>
      <c r="E39" s="8">
        <v>61.22</v>
      </c>
      <c r="F39" s="8">
        <v>115934</v>
      </c>
      <c r="G39" s="9">
        <v>115710</v>
      </c>
      <c r="H39" s="6">
        <f t="shared" si="0"/>
        <v>61.17</v>
      </c>
      <c r="I39">
        <f t="shared" si="1"/>
        <v>4.5775099371714312E-2</v>
      </c>
    </row>
    <row r="40" spans="1:9" ht="15" customHeight="1" x14ac:dyDescent="0.2">
      <c r="A40" s="3">
        <v>45999</v>
      </c>
      <c r="B40" s="4">
        <v>58.5</v>
      </c>
      <c r="C40" s="4">
        <v>58.405000000000001</v>
      </c>
      <c r="D40" s="4">
        <v>58.46</v>
      </c>
      <c r="E40" s="4">
        <v>58.524999999999999</v>
      </c>
      <c r="F40" s="4">
        <v>116989</v>
      </c>
      <c r="G40" s="5">
        <v>60317</v>
      </c>
      <c r="H40" s="6">
        <f t="shared" si="0"/>
        <v>58.4925</v>
      </c>
      <c r="I40">
        <f t="shared" si="1"/>
        <v>-5.990313535559455E-3</v>
      </c>
    </row>
    <row r="41" spans="1:9" ht="15" customHeight="1" x14ac:dyDescent="0.2">
      <c r="A41" s="7">
        <v>45996</v>
      </c>
      <c r="B41" s="8">
        <v>58.8</v>
      </c>
      <c r="C41" s="8">
        <v>59.052999999999997</v>
      </c>
      <c r="D41" s="8">
        <v>58.7</v>
      </c>
      <c r="E41" s="8">
        <v>58.99</v>
      </c>
      <c r="F41" s="8">
        <v>118803</v>
      </c>
      <c r="G41" s="9">
        <v>102351</v>
      </c>
      <c r="H41" s="6">
        <f t="shared" si="0"/>
        <v>58.844999999999999</v>
      </c>
      <c r="I41">
        <f t="shared" si="1"/>
        <v>2.2591015726822539E-2</v>
      </c>
    </row>
    <row r="42" spans="1:9" ht="15" customHeight="1" x14ac:dyDescent="0.2">
      <c r="A42" s="3">
        <v>45995</v>
      </c>
      <c r="B42" s="4">
        <v>57.53</v>
      </c>
      <c r="C42" s="4">
        <v>57.491</v>
      </c>
      <c r="D42" s="4">
        <v>57.49</v>
      </c>
      <c r="E42" s="4">
        <v>57.6</v>
      </c>
      <c r="F42" s="4">
        <v>117557</v>
      </c>
      <c r="G42" s="5">
        <v>97124</v>
      </c>
      <c r="H42" s="6">
        <f t="shared" si="0"/>
        <v>57.545000000000002</v>
      </c>
      <c r="I42">
        <f t="shared" si="1"/>
        <v>-2.3875153725456899E-2</v>
      </c>
    </row>
    <row r="43" spans="1:9" ht="15" customHeight="1" x14ac:dyDescent="0.2">
      <c r="A43" s="7">
        <v>45994</v>
      </c>
      <c r="B43" s="8">
        <v>58.935000000000002</v>
      </c>
      <c r="C43" s="8">
        <v>58.62</v>
      </c>
      <c r="D43" s="8">
        <v>58.924999999999997</v>
      </c>
      <c r="E43" s="8">
        <v>58.98</v>
      </c>
      <c r="F43" s="8">
        <v>118110</v>
      </c>
      <c r="G43" s="9">
        <v>102474</v>
      </c>
      <c r="H43" s="6">
        <f t="shared" si="0"/>
        <v>58.952500000000001</v>
      </c>
      <c r="I43">
        <f t="shared" si="1"/>
        <v>-3.549545742657978E-3</v>
      </c>
    </row>
    <row r="44" spans="1:9" ht="15" customHeight="1" x14ac:dyDescent="0.2">
      <c r="A44" s="3">
        <v>45993</v>
      </c>
      <c r="B44" s="4">
        <v>59.15</v>
      </c>
      <c r="C44" s="4">
        <v>58.703000000000003</v>
      </c>
      <c r="D44" s="4">
        <v>59.125</v>
      </c>
      <c r="E44" s="4">
        <v>59.2</v>
      </c>
      <c r="F44" s="4">
        <v>117642</v>
      </c>
      <c r="G44" s="5">
        <v>107261</v>
      </c>
      <c r="H44" s="6">
        <f t="shared" si="0"/>
        <v>59.162500000000001</v>
      </c>
      <c r="I44">
        <f t="shared" si="1"/>
        <v>1.141123172920766E-2</v>
      </c>
    </row>
    <row r="45" spans="1:9" ht="15" customHeight="1" x14ac:dyDescent="0.2">
      <c r="A45" s="7">
        <v>45992</v>
      </c>
      <c r="B45" s="8">
        <v>58.45</v>
      </c>
      <c r="C45" s="8">
        <v>59.142000000000003</v>
      </c>
      <c r="D45" s="8">
        <v>58.45</v>
      </c>
      <c r="E45" s="8">
        <v>58.54</v>
      </c>
      <c r="F45" s="8">
        <v>117993</v>
      </c>
      <c r="G45" s="9">
        <v>138240</v>
      </c>
      <c r="H45" s="6">
        <f t="shared" si="0"/>
        <v>58.495000000000005</v>
      </c>
      <c r="I45">
        <f t="shared" si="1"/>
        <v>2.4296283325307533E-2</v>
      </c>
    </row>
    <row r="46" spans="1:9" ht="15" customHeight="1" x14ac:dyDescent="0.2">
      <c r="A46" s="3">
        <v>45989</v>
      </c>
      <c r="B46" s="4">
        <v>57.085000000000001</v>
      </c>
      <c r="C46" s="4">
        <v>57.162999999999997</v>
      </c>
      <c r="D46" s="4">
        <v>56.97</v>
      </c>
      <c r="E46" s="4">
        <v>57.244999999999997</v>
      </c>
      <c r="F46" s="4">
        <v>112132</v>
      </c>
      <c r="G46" s="5">
        <v>95722</v>
      </c>
      <c r="H46" s="6">
        <f t="shared" si="0"/>
        <v>57.107500000000002</v>
      </c>
      <c r="I46">
        <f t="shared" si="1"/>
        <v>6.276170093979716E-2</v>
      </c>
    </row>
    <row r="47" spans="1:9" ht="15" customHeight="1" x14ac:dyDescent="0.2">
      <c r="A47" s="7">
        <v>45987</v>
      </c>
      <c r="B47" s="8">
        <v>53.76</v>
      </c>
      <c r="C47" s="8">
        <v>53.606999999999999</v>
      </c>
      <c r="D47" s="8">
        <v>53.67</v>
      </c>
      <c r="E47" s="8">
        <v>53.8</v>
      </c>
      <c r="F47" s="8">
        <v>102422</v>
      </c>
      <c r="G47" s="9">
        <v>83948</v>
      </c>
      <c r="H47" s="6">
        <f t="shared" si="0"/>
        <v>53.734999999999999</v>
      </c>
      <c r="I47">
        <f t="shared" si="1"/>
        <v>5.3162820324366811E-2</v>
      </c>
    </row>
    <row r="48" spans="1:9" ht="15" customHeight="1" x14ac:dyDescent="0.2">
      <c r="A48" s="3">
        <v>45986</v>
      </c>
      <c r="B48" s="4">
        <v>51.08</v>
      </c>
      <c r="C48" s="4">
        <v>50.965000000000003</v>
      </c>
      <c r="D48" s="4">
        <v>50.884999999999998</v>
      </c>
      <c r="E48" s="4">
        <v>51.16</v>
      </c>
      <c r="F48" s="4">
        <v>28643</v>
      </c>
      <c r="G48" s="5">
        <v>48792</v>
      </c>
      <c r="H48" s="6">
        <f t="shared" si="0"/>
        <v>51.022499999999994</v>
      </c>
      <c r="I48">
        <f t="shared" si="1"/>
        <v>-2.3951510411575061E-3</v>
      </c>
    </row>
    <row r="49" spans="1:9" ht="15" customHeight="1" x14ac:dyDescent="0.2">
      <c r="A49" s="7">
        <v>45985</v>
      </c>
      <c r="B49" s="8">
        <v>51.155000000000001</v>
      </c>
      <c r="C49" s="8">
        <v>50.326000000000001</v>
      </c>
      <c r="D49" s="8">
        <v>51.055</v>
      </c>
      <c r="E49" s="8">
        <v>51.234999999999999</v>
      </c>
      <c r="F49" s="8">
        <v>42744</v>
      </c>
      <c r="G49" s="9">
        <v>56483</v>
      </c>
      <c r="H49" s="6">
        <f t="shared" si="0"/>
        <v>51.144999999999996</v>
      </c>
      <c r="I49">
        <f t="shared" si="1"/>
        <v>2.860877872190648E-2</v>
      </c>
    </row>
    <row r="50" spans="1:9" ht="15" customHeight="1" x14ac:dyDescent="0.2">
      <c r="A50" s="3">
        <v>45982</v>
      </c>
      <c r="B50" s="4">
        <v>49.664999999999999</v>
      </c>
      <c r="C50" s="4">
        <v>49.912999999999997</v>
      </c>
      <c r="D50" s="4">
        <v>49.47</v>
      </c>
      <c r="E50" s="4">
        <v>49.975000000000001</v>
      </c>
      <c r="F50" s="4">
        <v>48499</v>
      </c>
      <c r="G50" s="5">
        <v>105797</v>
      </c>
      <c r="H50" s="6">
        <f t="shared" si="0"/>
        <v>49.722499999999997</v>
      </c>
      <c r="I50">
        <f t="shared" si="1"/>
        <v>-1.2609839646527399E-2</v>
      </c>
    </row>
    <row r="51" spans="1:9" ht="15" customHeight="1" x14ac:dyDescent="0.2">
      <c r="A51" s="7">
        <v>45981</v>
      </c>
      <c r="B51" s="8">
        <v>50.354999999999997</v>
      </c>
      <c r="C51" s="8">
        <v>50.301000000000002</v>
      </c>
      <c r="D51" s="8">
        <v>50.28</v>
      </c>
      <c r="E51" s="8">
        <v>50.435000000000002</v>
      </c>
      <c r="F51" s="8">
        <v>53208</v>
      </c>
      <c r="G51" s="9">
        <v>96073</v>
      </c>
      <c r="H51" s="6">
        <f t="shared" si="0"/>
        <v>50.357500000000002</v>
      </c>
      <c r="I51">
        <f t="shared" si="1"/>
        <v>-1.2307541433755009E-2</v>
      </c>
    </row>
    <row r="52" spans="1:9" ht="15" customHeight="1" x14ac:dyDescent="0.2">
      <c r="A52" s="3">
        <v>45980</v>
      </c>
      <c r="B52" s="4">
        <v>51.06</v>
      </c>
      <c r="C52" s="4">
        <v>50.853999999999999</v>
      </c>
      <c r="D52" s="4">
        <v>50.825000000000003</v>
      </c>
      <c r="E52" s="4">
        <v>51.145000000000003</v>
      </c>
      <c r="F52" s="4">
        <v>59430</v>
      </c>
      <c r="G52" s="5">
        <v>98090</v>
      </c>
      <c r="H52" s="6">
        <f t="shared" si="0"/>
        <v>50.984999999999999</v>
      </c>
      <c r="I52">
        <f t="shared" si="1"/>
        <v>7.9074824552733958E-3</v>
      </c>
    </row>
    <row r="53" spans="1:9" ht="15" customHeight="1" x14ac:dyDescent="0.2">
      <c r="A53" s="7">
        <v>45979</v>
      </c>
      <c r="B53" s="8">
        <v>50.545000000000002</v>
      </c>
      <c r="C53" s="8">
        <v>50.521000000000001</v>
      </c>
      <c r="D53" s="8">
        <v>50.51</v>
      </c>
      <c r="E53" s="8">
        <v>50.66</v>
      </c>
      <c r="F53" s="8">
        <v>62332</v>
      </c>
      <c r="G53" s="9">
        <v>75851</v>
      </c>
      <c r="H53" s="6">
        <f t="shared" si="0"/>
        <v>50.584999999999994</v>
      </c>
      <c r="I53">
        <f t="shared" si="1"/>
        <v>1.104282216559227E-2</v>
      </c>
    </row>
    <row r="54" spans="1:9" ht="15" customHeight="1" x14ac:dyDescent="0.2">
      <c r="A54" s="3">
        <v>45978</v>
      </c>
      <c r="B54" s="4">
        <v>50.05</v>
      </c>
      <c r="C54" s="4">
        <v>50.710999999999999</v>
      </c>
      <c r="D54" s="4">
        <v>50.005000000000003</v>
      </c>
      <c r="E54" s="4">
        <v>50.06</v>
      </c>
      <c r="F54" s="4">
        <v>70253</v>
      </c>
      <c r="G54" s="5">
        <v>73053</v>
      </c>
      <c r="H54" s="6">
        <f t="shared" si="0"/>
        <v>50.032499999999999</v>
      </c>
      <c r="I54">
        <f t="shared" si="1"/>
        <v>-9.6986491167300182E-3</v>
      </c>
    </row>
    <row r="55" spans="1:9" ht="15" customHeight="1" x14ac:dyDescent="0.2">
      <c r="A55" s="7">
        <v>45975</v>
      </c>
      <c r="B55" s="8">
        <v>50.4</v>
      </c>
      <c r="C55" s="8">
        <v>50.686</v>
      </c>
      <c r="D55" s="8">
        <v>50.354999999999997</v>
      </c>
      <c r="E55" s="8">
        <v>50.69</v>
      </c>
      <c r="F55" s="8">
        <v>78456</v>
      </c>
      <c r="G55" s="9">
        <v>125985</v>
      </c>
      <c r="H55" s="6">
        <f t="shared" si="0"/>
        <v>50.522499999999994</v>
      </c>
      <c r="I55">
        <f t="shared" si="1"/>
        <v>-3.3339711087726154E-2</v>
      </c>
    </row>
    <row r="56" spans="1:9" ht="15" customHeight="1" x14ac:dyDescent="0.2">
      <c r="A56" s="3">
        <v>45974</v>
      </c>
      <c r="B56" s="4">
        <v>52.225000000000001</v>
      </c>
      <c r="C56" s="4">
        <v>53.17</v>
      </c>
      <c r="D56" s="4">
        <v>52.21</v>
      </c>
      <c r="E56" s="4">
        <v>52.32</v>
      </c>
      <c r="F56" s="4">
        <v>84452</v>
      </c>
      <c r="G56" s="5">
        <v>122388</v>
      </c>
      <c r="H56" s="6">
        <f t="shared" si="0"/>
        <v>52.265000000000001</v>
      </c>
      <c r="I56">
        <f t="shared" si="1"/>
        <v>-1.8727998122506473E-2</v>
      </c>
    </row>
    <row r="57" spans="1:9" ht="15" customHeight="1" x14ac:dyDescent="0.2">
      <c r="A57" s="7">
        <v>45973</v>
      </c>
      <c r="B57" s="8">
        <v>53.23</v>
      </c>
      <c r="C57" s="8">
        <v>53.457000000000001</v>
      </c>
      <c r="D57" s="8">
        <v>53.17</v>
      </c>
      <c r="E57" s="8">
        <v>53.354999999999997</v>
      </c>
      <c r="F57" s="8">
        <v>88600</v>
      </c>
      <c r="G57" s="9">
        <v>101561</v>
      </c>
      <c r="H57" s="6">
        <f t="shared" si="0"/>
        <v>53.262500000000003</v>
      </c>
      <c r="I57">
        <f t="shared" si="1"/>
        <v>4.2471987082252749E-2</v>
      </c>
    </row>
    <row r="58" spans="1:9" ht="15" customHeight="1" x14ac:dyDescent="0.2">
      <c r="A58" s="3">
        <v>45972</v>
      </c>
      <c r="B58" s="4">
        <v>51.075000000000003</v>
      </c>
      <c r="C58" s="4">
        <v>50.744</v>
      </c>
      <c r="D58" s="4">
        <v>51.055</v>
      </c>
      <c r="E58" s="4">
        <v>51.13</v>
      </c>
      <c r="F58" s="4">
        <v>94353</v>
      </c>
      <c r="G58" s="5">
        <v>69857</v>
      </c>
      <c r="H58" s="6">
        <f t="shared" si="0"/>
        <v>51.092500000000001</v>
      </c>
      <c r="I58">
        <f t="shared" si="1"/>
        <v>1.298636926889718E-2</v>
      </c>
    </row>
    <row r="59" spans="1:9" ht="15" customHeight="1" x14ac:dyDescent="0.2">
      <c r="A59" s="7">
        <v>45971</v>
      </c>
      <c r="B59" s="8">
        <v>50.405000000000001</v>
      </c>
      <c r="C59" s="8">
        <v>50.311</v>
      </c>
      <c r="D59" s="8">
        <v>50.395000000000003</v>
      </c>
      <c r="E59" s="8">
        <v>50.48</v>
      </c>
      <c r="F59" s="8">
        <v>96354</v>
      </c>
      <c r="G59" s="9">
        <v>78080</v>
      </c>
      <c r="H59" s="6">
        <f t="shared" si="0"/>
        <v>50.4375</v>
      </c>
      <c r="I59">
        <f t="shared" si="1"/>
        <v>4.5282627843117096E-2</v>
      </c>
    </row>
    <row r="60" spans="1:9" ht="15" customHeight="1" x14ac:dyDescent="0.2">
      <c r="A60" s="3">
        <v>45968</v>
      </c>
      <c r="B60" s="4">
        <v>48.225000000000001</v>
      </c>
      <c r="C60" s="4">
        <v>48.143000000000001</v>
      </c>
      <c r="D60" s="4">
        <v>48.19</v>
      </c>
      <c r="E60" s="4">
        <v>48.314999999999998</v>
      </c>
      <c r="F60" s="4">
        <v>102295</v>
      </c>
      <c r="G60" s="5">
        <v>61360</v>
      </c>
      <c r="H60" s="6">
        <f t="shared" si="0"/>
        <v>48.252499999999998</v>
      </c>
      <c r="I60">
        <f t="shared" si="1"/>
        <v>8.5697862778908451E-3</v>
      </c>
    </row>
    <row r="61" spans="1:9" ht="15" customHeight="1" x14ac:dyDescent="0.2">
      <c r="A61" s="7">
        <v>45967</v>
      </c>
      <c r="B61" s="8">
        <v>47.844999999999999</v>
      </c>
      <c r="C61" s="8">
        <v>47.95</v>
      </c>
      <c r="D61" s="8">
        <v>47.825000000000003</v>
      </c>
      <c r="E61" s="8">
        <v>47.86</v>
      </c>
      <c r="F61" s="8">
        <v>102764</v>
      </c>
      <c r="G61" s="9">
        <v>50143</v>
      </c>
      <c r="H61" s="6">
        <f t="shared" si="0"/>
        <v>47.842500000000001</v>
      </c>
      <c r="I61">
        <f t="shared" si="1"/>
        <v>-7.8320802005016343E-4</v>
      </c>
    </row>
    <row r="62" spans="1:9" ht="15" customHeight="1" x14ac:dyDescent="0.2">
      <c r="A62" s="3">
        <v>45966</v>
      </c>
      <c r="B62" s="4">
        <v>47.86</v>
      </c>
      <c r="C62" s="4">
        <v>48.021999999999998</v>
      </c>
      <c r="D62" s="4">
        <v>47.81</v>
      </c>
      <c r="E62" s="4">
        <v>47.95</v>
      </c>
      <c r="F62" s="4">
        <v>102717</v>
      </c>
      <c r="G62" s="5">
        <v>46942</v>
      </c>
      <c r="H62" s="6">
        <f t="shared" si="0"/>
        <v>47.88</v>
      </c>
      <c r="I62">
        <f t="shared" si="1"/>
        <v>2.1113243761996303E-2</v>
      </c>
    </row>
    <row r="63" spans="1:9" ht="15" customHeight="1" x14ac:dyDescent="0.2">
      <c r="A63" s="7">
        <v>45965</v>
      </c>
      <c r="B63" s="8">
        <v>46.895000000000003</v>
      </c>
      <c r="C63" s="8">
        <v>47.290999999999997</v>
      </c>
      <c r="D63" s="8">
        <v>46.84</v>
      </c>
      <c r="E63" s="8">
        <v>46.94</v>
      </c>
      <c r="F63" s="8">
        <v>105295</v>
      </c>
      <c r="G63" s="9">
        <v>60177</v>
      </c>
      <c r="H63" s="6">
        <f t="shared" si="0"/>
        <v>46.89</v>
      </c>
      <c r="I63">
        <f t="shared" si="1"/>
        <v>-2.128991859736995E-2</v>
      </c>
    </row>
    <row r="64" spans="1:9" ht="15" customHeight="1" x14ac:dyDescent="0.2">
      <c r="A64" s="3">
        <v>45964</v>
      </c>
      <c r="B64" s="4">
        <v>47.91</v>
      </c>
      <c r="C64" s="4">
        <v>48.048999999999999</v>
      </c>
      <c r="D64" s="4">
        <v>47.88</v>
      </c>
      <c r="E64" s="4">
        <v>47.94</v>
      </c>
      <c r="F64" s="4">
        <v>105276</v>
      </c>
      <c r="G64" s="5">
        <v>51400</v>
      </c>
      <c r="H64" s="6">
        <f t="shared" si="0"/>
        <v>47.91</v>
      </c>
      <c r="I64">
        <f t="shared" si="1"/>
        <v>-7.3552263545012542E-3</v>
      </c>
    </row>
    <row r="65" spans="1:9" ht="15" customHeight="1" x14ac:dyDescent="0.2">
      <c r="A65" s="7">
        <v>45961</v>
      </c>
      <c r="B65" s="8">
        <v>48.25</v>
      </c>
      <c r="C65" s="8">
        <v>48.16</v>
      </c>
      <c r="D65" s="8">
        <v>48.2</v>
      </c>
      <c r="E65" s="8">
        <v>48.33</v>
      </c>
      <c r="F65" s="8">
        <v>106951</v>
      </c>
      <c r="G65" s="9">
        <v>56017</v>
      </c>
      <c r="H65" s="6">
        <f t="shared" si="0"/>
        <v>48.265000000000001</v>
      </c>
      <c r="I65">
        <f t="shared" si="1"/>
        <v>-1.0202512176365031E-2</v>
      </c>
    </row>
    <row r="66" spans="1:9" ht="15" customHeight="1" x14ac:dyDescent="0.2">
      <c r="A66" s="3">
        <v>45960</v>
      </c>
      <c r="B66" s="4">
        <v>48.734999999999999</v>
      </c>
      <c r="C66" s="4">
        <v>48.616</v>
      </c>
      <c r="D66" s="4">
        <v>48.725000000000001</v>
      </c>
      <c r="E66" s="4">
        <v>48.8</v>
      </c>
      <c r="F66" s="4">
        <v>106724</v>
      </c>
      <c r="G66" s="5">
        <v>62166</v>
      </c>
      <c r="H66" s="6">
        <f t="shared" si="0"/>
        <v>48.762500000000003</v>
      </c>
      <c r="I66">
        <f t="shared" si="1"/>
        <v>2.9178978471929184E-2</v>
      </c>
    </row>
    <row r="67" spans="1:9" ht="15" customHeight="1" x14ac:dyDescent="0.2">
      <c r="A67" s="7">
        <v>45959</v>
      </c>
      <c r="B67" s="8">
        <v>47.265000000000001</v>
      </c>
      <c r="C67" s="8">
        <v>47.912999999999997</v>
      </c>
      <c r="D67" s="8">
        <v>47.22</v>
      </c>
      <c r="E67" s="8">
        <v>47.54</v>
      </c>
      <c r="F67" s="8">
        <v>107513</v>
      </c>
      <c r="G67" s="9">
        <v>74607</v>
      </c>
      <c r="H67" s="6">
        <f t="shared" si="0"/>
        <v>47.379999999999995</v>
      </c>
      <c r="I67">
        <f t="shared" si="1"/>
        <v>4.7182314584106599E-3</v>
      </c>
    </row>
    <row r="68" spans="1:9" ht="15" customHeight="1" x14ac:dyDescent="0.2">
      <c r="A68" s="3">
        <v>45958</v>
      </c>
      <c r="B68" s="4">
        <v>47.14</v>
      </c>
      <c r="C68" s="4">
        <v>47.323999999999998</v>
      </c>
      <c r="D68" s="4">
        <v>47.115000000000002</v>
      </c>
      <c r="E68" s="4">
        <v>47.2</v>
      </c>
      <c r="F68" s="4">
        <v>111208</v>
      </c>
      <c r="G68" s="5">
        <v>77521</v>
      </c>
      <c r="H68" s="6">
        <f t="shared" si="0"/>
        <v>47.157499999999999</v>
      </c>
      <c r="I68">
        <f t="shared" si="1"/>
        <v>7.9619536176125383E-3</v>
      </c>
    </row>
    <row r="69" spans="1:9" ht="15" customHeight="1" x14ac:dyDescent="0.2">
      <c r="A69" s="7">
        <v>45957</v>
      </c>
      <c r="B69" s="8">
        <v>46.83</v>
      </c>
      <c r="C69" s="8">
        <v>46.774000000000001</v>
      </c>
      <c r="D69" s="8">
        <v>46.704999999999998</v>
      </c>
      <c r="E69" s="8">
        <v>46.865000000000002</v>
      </c>
      <c r="F69" s="8">
        <v>113856</v>
      </c>
      <c r="G69" s="9">
        <v>94606</v>
      </c>
      <c r="H69" s="6">
        <f t="shared" ref="H69:H132" si="2">AVERAGE(D69:E69)</f>
        <v>46.784999999999997</v>
      </c>
      <c r="I69">
        <f t="shared" ref="I69:I132" si="3">H69/H70-1</f>
        <v>-3.5659074513037292E-2</v>
      </c>
    </row>
    <row r="70" spans="1:9" ht="15" customHeight="1" x14ac:dyDescent="0.2">
      <c r="A70" s="3">
        <v>45954</v>
      </c>
      <c r="B70" s="4">
        <v>48.41</v>
      </c>
      <c r="C70" s="4">
        <v>48.585999999999999</v>
      </c>
      <c r="D70" s="4">
        <v>48.33</v>
      </c>
      <c r="E70" s="4">
        <v>48.7</v>
      </c>
      <c r="F70" s="4">
        <v>115483</v>
      </c>
      <c r="G70" s="5">
        <v>72046</v>
      </c>
      <c r="H70" s="6">
        <f t="shared" si="2"/>
        <v>48.515000000000001</v>
      </c>
      <c r="I70">
        <f t="shared" si="3"/>
        <v>-1.3893891833478555E-3</v>
      </c>
    </row>
    <row r="71" spans="1:9" ht="15" customHeight="1" x14ac:dyDescent="0.2">
      <c r="A71" s="7">
        <v>45953</v>
      </c>
      <c r="B71" s="8">
        <v>48.65</v>
      </c>
      <c r="C71" s="8">
        <v>48.704000000000001</v>
      </c>
      <c r="D71" s="8">
        <v>48.5</v>
      </c>
      <c r="E71" s="8">
        <v>48.664999999999999</v>
      </c>
      <c r="F71" s="8">
        <v>115405</v>
      </c>
      <c r="G71" s="9">
        <v>67041</v>
      </c>
      <c r="H71" s="6">
        <f t="shared" si="2"/>
        <v>48.582499999999996</v>
      </c>
      <c r="I71">
        <f t="shared" si="3"/>
        <v>8.0925455205684838E-3</v>
      </c>
    </row>
    <row r="72" spans="1:9" ht="15" customHeight="1" x14ac:dyDescent="0.2">
      <c r="A72" s="3">
        <v>45952</v>
      </c>
      <c r="B72" s="4">
        <v>48.18</v>
      </c>
      <c r="C72" s="4">
        <v>47.680999999999997</v>
      </c>
      <c r="D72" s="4">
        <v>48.14</v>
      </c>
      <c r="E72" s="4">
        <v>48.244999999999997</v>
      </c>
      <c r="F72" s="4">
        <v>118963</v>
      </c>
      <c r="G72" s="5">
        <v>112719</v>
      </c>
      <c r="H72" s="6">
        <f t="shared" si="2"/>
        <v>48.192499999999995</v>
      </c>
      <c r="I72">
        <f t="shared" si="3"/>
        <v>1.35057919069137E-3</v>
      </c>
    </row>
    <row r="73" spans="1:9" ht="15" customHeight="1" x14ac:dyDescent="0.2">
      <c r="A73" s="7">
        <v>45951</v>
      </c>
      <c r="B73" s="8">
        <v>48.15</v>
      </c>
      <c r="C73" s="8">
        <v>47.704000000000001</v>
      </c>
      <c r="D73" s="8">
        <v>48.075000000000003</v>
      </c>
      <c r="E73" s="8">
        <v>48.18</v>
      </c>
      <c r="F73" s="8">
        <v>122583</v>
      </c>
      <c r="G73" s="9">
        <v>155458</v>
      </c>
      <c r="H73" s="6">
        <f t="shared" si="2"/>
        <v>48.127499999999998</v>
      </c>
      <c r="I73">
        <f t="shared" si="3"/>
        <v>-6.4122508507535203E-2</v>
      </c>
    </row>
    <row r="74" spans="1:9" ht="15" customHeight="1" x14ac:dyDescent="0.2">
      <c r="A74" s="3">
        <v>45950</v>
      </c>
      <c r="B74" s="4">
        <v>51.405000000000001</v>
      </c>
      <c r="C74" s="4">
        <v>51.384</v>
      </c>
      <c r="D74" s="4">
        <v>51.365000000000002</v>
      </c>
      <c r="E74" s="4">
        <v>51.484999999999999</v>
      </c>
      <c r="F74" s="4">
        <v>127367</v>
      </c>
      <c r="G74" s="5">
        <v>97483</v>
      </c>
      <c r="H74" s="6">
        <f t="shared" si="2"/>
        <v>51.424999999999997</v>
      </c>
      <c r="I74">
        <f t="shared" si="3"/>
        <v>1.610353685042476E-2</v>
      </c>
    </row>
    <row r="75" spans="1:9" ht="15" customHeight="1" x14ac:dyDescent="0.2">
      <c r="A75" s="7">
        <v>45947</v>
      </c>
      <c r="B75" s="8">
        <v>50.63</v>
      </c>
      <c r="C75" s="8">
        <v>50.103999999999999</v>
      </c>
      <c r="D75" s="8">
        <v>50.555</v>
      </c>
      <c r="E75" s="8">
        <v>50.664999999999999</v>
      </c>
      <c r="F75" s="8">
        <v>127469</v>
      </c>
      <c r="G75" s="9">
        <v>180330</v>
      </c>
      <c r="H75" s="6">
        <f t="shared" si="2"/>
        <v>50.61</v>
      </c>
      <c r="I75">
        <f t="shared" si="3"/>
        <v>-5.1581166549543145E-2</v>
      </c>
    </row>
    <row r="76" spans="1:9" ht="15" customHeight="1" x14ac:dyDescent="0.2">
      <c r="A76" s="3">
        <v>45946</v>
      </c>
      <c r="B76" s="4">
        <v>53.435000000000002</v>
      </c>
      <c r="C76" s="4">
        <v>53.295999999999999</v>
      </c>
      <c r="D76" s="4">
        <v>53.274999999999999</v>
      </c>
      <c r="E76" s="4">
        <v>53.45</v>
      </c>
      <c r="F76" s="4">
        <v>126863</v>
      </c>
      <c r="G76" s="5">
        <v>144130</v>
      </c>
      <c r="H76" s="6">
        <f t="shared" si="2"/>
        <v>53.362499999999997</v>
      </c>
      <c r="I76">
        <f t="shared" si="3"/>
        <v>1.5364855865283911E-2</v>
      </c>
    </row>
    <row r="77" spans="1:9" ht="15" customHeight="1" x14ac:dyDescent="0.2">
      <c r="A77" s="7">
        <v>45945</v>
      </c>
      <c r="B77" s="8">
        <v>52.524999999999999</v>
      </c>
      <c r="C77" s="8">
        <v>51.378</v>
      </c>
      <c r="D77" s="8">
        <v>52.494999999999997</v>
      </c>
      <c r="E77" s="8">
        <v>52.615000000000002</v>
      </c>
      <c r="F77" s="8">
        <v>126690</v>
      </c>
      <c r="G77" s="9">
        <v>122064</v>
      </c>
      <c r="H77" s="6">
        <f t="shared" si="2"/>
        <v>52.555</v>
      </c>
      <c r="I77">
        <f t="shared" si="3"/>
        <v>4.3171893608574985E-2</v>
      </c>
    </row>
    <row r="78" spans="1:9" ht="15" customHeight="1" x14ac:dyDescent="0.2">
      <c r="A78" s="3">
        <v>45944</v>
      </c>
      <c r="B78" s="4">
        <v>50.344999999999999</v>
      </c>
      <c r="C78" s="4">
        <v>50.622</v>
      </c>
      <c r="D78" s="4">
        <v>50.3</v>
      </c>
      <c r="E78" s="4">
        <v>50.46</v>
      </c>
      <c r="F78" s="4">
        <v>126571</v>
      </c>
      <c r="G78" s="5">
        <v>179251</v>
      </c>
      <c r="H78" s="6">
        <f t="shared" si="2"/>
        <v>50.379999999999995</v>
      </c>
      <c r="I78">
        <f t="shared" si="3"/>
        <v>-7.828270395352388E-3</v>
      </c>
    </row>
    <row r="79" spans="1:9" ht="15" customHeight="1" x14ac:dyDescent="0.2">
      <c r="A79" s="7">
        <v>45943</v>
      </c>
      <c r="B79" s="8">
        <v>50.774999999999999</v>
      </c>
      <c r="C79" s="8">
        <v>50.429000000000002</v>
      </c>
      <c r="D79" s="8">
        <v>50.765000000000001</v>
      </c>
      <c r="E79" s="8">
        <v>50.79</v>
      </c>
      <c r="F79" s="8">
        <v>128204</v>
      </c>
      <c r="G79" s="9">
        <v>132137</v>
      </c>
      <c r="H79" s="6">
        <f t="shared" si="2"/>
        <v>50.777500000000003</v>
      </c>
      <c r="I79">
        <f t="shared" si="3"/>
        <v>6.9619253251882895E-2</v>
      </c>
    </row>
    <row r="80" spans="1:9" ht="15" customHeight="1" x14ac:dyDescent="0.2">
      <c r="A80" s="3">
        <v>45940</v>
      </c>
      <c r="B80" s="4">
        <v>47.52</v>
      </c>
      <c r="C80" s="4">
        <v>47.247</v>
      </c>
      <c r="D80" s="4">
        <v>47.405000000000001</v>
      </c>
      <c r="E80" s="4">
        <v>47.54</v>
      </c>
      <c r="F80" s="4">
        <v>128281</v>
      </c>
      <c r="G80" s="5">
        <v>141909</v>
      </c>
      <c r="H80" s="6">
        <f t="shared" si="2"/>
        <v>47.472499999999997</v>
      </c>
      <c r="I80">
        <f t="shared" si="3"/>
        <v>-3.8296086454727707E-3</v>
      </c>
    </row>
    <row r="81" spans="1:9" ht="15" customHeight="1" x14ac:dyDescent="0.2">
      <c r="A81" s="7">
        <v>45939</v>
      </c>
      <c r="B81" s="8">
        <v>47.655000000000001</v>
      </c>
      <c r="C81" s="8">
        <v>47.156999999999996</v>
      </c>
      <c r="D81" s="8">
        <v>47.64</v>
      </c>
      <c r="E81" s="8">
        <v>47.67</v>
      </c>
      <c r="F81" s="8">
        <v>129757</v>
      </c>
      <c r="G81" s="9">
        <v>186872</v>
      </c>
      <c r="H81" s="6">
        <f t="shared" si="2"/>
        <v>47.655000000000001</v>
      </c>
      <c r="I81">
        <f t="shared" si="3"/>
        <v>-1.620561519405439E-2</v>
      </c>
    </row>
    <row r="82" spans="1:9" ht="15" customHeight="1" x14ac:dyDescent="0.2">
      <c r="A82" s="3">
        <v>45938</v>
      </c>
      <c r="B82" s="4">
        <v>48.44</v>
      </c>
      <c r="C82" s="4">
        <v>48.994</v>
      </c>
      <c r="D82" s="4">
        <v>48.424999999999997</v>
      </c>
      <c r="E82" s="4">
        <v>48.454999999999998</v>
      </c>
      <c r="F82" s="4">
        <v>130385</v>
      </c>
      <c r="G82" s="5">
        <v>97283</v>
      </c>
      <c r="H82" s="6">
        <f t="shared" si="2"/>
        <v>48.44</v>
      </c>
      <c r="I82">
        <f t="shared" si="3"/>
        <v>1.6472563214772862E-2</v>
      </c>
    </row>
    <row r="83" spans="1:9" ht="15" customHeight="1" x14ac:dyDescent="0.2">
      <c r="A83" s="7">
        <v>45937</v>
      </c>
      <c r="B83" s="8">
        <v>47.655000000000001</v>
      </c>
      <c r="C83" s="8">
        <v>47.515000000000001</v>
      </c>
      <c r="D83" s="8">
        <v>47.64</v>
      </c>
      <c r="E83" s="8">
        <v>47.67</v>
      </c>
      <c r="F83" s="8">
        <v>130757</v>
      </c>
      <c r="G83" s="9">
        <v>101062</v>
      </c>
      <c r="H83" s="6">
        <f t="shared" si="2"/>
        <v>47.655000000000001</v>
      </c>
      <c r="I83">
        <f t="shared" si="3"/>
        <v>-1.5392561983471165E-2</v>
      </c>
    </row>
    <row r="84" spans="1:9" ht="15" customHeight="1" x14ac:dyDescent="0.2">
      <c r="A84" s="3">
        <v>45936</v>
      </c>
      <c r="B84" s="4">
        <v>48.4</v>
      </c>
      <c r="C84" s="4">
        <v>48.448</v>
      </c>
      <c r="D84" s="4">
        <v>48.395000000000003</v>
      </c>
      <c r="E84" s="4">
        <v>48.405000000000001</v>
      </c>
      <c r="F84" s="4">
        <v>132736</v>
      </c>
      <c r="G84" s="5">
        <v>79541</v>
      </c>
      <c r="H84" s="6">
        <f t="shared" si="2"/>
        <v>48.400000000000006</v>
      </c>
      <c r="I84">
        <f t="shared" si="3"/>
        <v>8.9113554640680714E-3</v>
      </c>
    </row>
    <row r="85" spans="1:9" ht="15" customHeight="1" x14ac:dyDescent="0.2">
      <c r="A85" s="7">
        <v>45933</v>
      </c>
      <c r="B85" s="8">
        <v>47.97</v>
      </c>
      <c r="C85" s="8">
        <v>47.965000000000003</v>
      </c>
      <c r="D85" s="8">
        <v>47.954999999999998</v>
      </c>
      <c r="E85" s="8">
        <v>47.99</v>
      </c>
      <c r="F85" s="8">
        <v>131902</v>
      </c>
      <c r="G85" s="9">
        <v>92319</v>
      </c>
      <c r="H85" s="6">
        <f t="shared" si="2"/>
        <v>47.972499999999997</v>
      </c>
      <c r="I85">
        <f t="shared" si="3"/>
        <v>2.3467918288975209E-2</v>
      </c>
    </row>
    <row r="86" spans="1:9" ht="15" customHeight="1" x14ac:dyDescent="0.2">
      <c r="A86" s="3">
        <v>45932</v>
      </c>
      <c r="B86" s="4">
        <v>46.87</v>
      </c>
      <c r="C86" s="4">
        <v>46.369</v>
      </c>
      <c r="D86" s="4">
        <v>46.865000000000002</v>
      </c>
      <c r="E86" s="4">
        <v>46.88</v>
      </c>
      <c r="F86" s="4">
        <v>132956</v>
      </c>
      <c r="G86" s="5">
        <v>114581</v>
      </c>
      <c r="H86" s="6">
        <f t="shared" si="2"/>
        <v>46.872500000000002</v>
      </c>
      <c r="I86">
        <f t="shared" si="3"/>
        <v>-1.1702071582942231E-2</v>
      </c>
    </row>
    <row r="87" spans="1:9" ht="15" customHeight="1" x14ac:dyDescent="0.2">
      <c r="A87" s="7">
        <v>45931</v>
      </c>
      <c r="B87" s="8">
        <v>47.42</v>
      </c>
      <c r="C87" s="8">
        <v>47.679000000000002</v>
      </c>
      <c r="D87" s="8">
        <v>47.414999999999999</v>
      </c>
      <c r="E87" s="8">
        <v>47.44</v>
      </c>
      <c r="F87" s="8">
        <v>132230</v>
      </c>
      <c r="G87" s="9">
        <v>94442</v>
      </c>
      <c r="H87" s="6">
        <f t="shared" si="2"/>
        <v>47.427499999999995</v>
      </c>
      <c r="I87">
        <f t="shared" si="3"/>
        <v>1.2596744061916132E-2</v>
      </c>
    </row>
    <row r="88" spans="1:9" ht="15" customHeight="1" x14ac:dyDescent="0.2">
      <c r="A88" s="3">
        <v>45930</v>
      </c>
      <c r="B88" s="4">
        <v>46.84</v>
      </c>
      <c r="C88" s="4">
        <v>46.64</v>
      </c>
      <c r="D88" s="4">
        <v>46.83</v>
      </c>
      <c r="E88" s="4">
        <v>46.844999999999999</v>
      </c>
      <c r="F88" s="4">
        <v>133005</v>
      </c>
      <c r="G88" s="5">
        <v>99974</v>
      </c>
      <c r="H88" s="6">
        <f t="shared" si="2"/>
        <v>46.837499999999999</v>
      </c>
      <c r="I88">
        <f t="shared" si="3"/>
        <v>-5.8370920668612269E-3</v>
      </c>
    </row>
    <row r="89" spans="1:9" ht="15" customHeight="1" x14ac:dyDescent="0.2">
      <c r="A89" s="7">
        <v>45929</v>
      </c>
      <c r="B89" s="8">
        <v>47.11</v>
      </c>
      <c r="C89" s="8">
        <v>47.015999999999998</v>
      </c>
      <c r="D89" s="8">
        <v>47.104999999999997</v>
      </c>
      <c r="E89" s="8">
        <v>47.12</v>
      </c>
      <c r="F89" s="8">
        <v>136556</v>
      </c>
      <c r="G89" s="9">
        <v>110796</v>
      </c>
      <c r="H89" s="6">
        <f t="shared" si="2"/>
        <v>47.112499999999997</v>
      </c>
      <c r="I89">
        <f t="shared" si="3"/>
        <v>1.6012508087125177E-2</v>
      </c>
    </row>
    <row r="90" spans="1:9" ht="15" customHeight="1" x14ac:dyDescent="0.2">
      <c r="A90" s="3">
        <v>45926</v>
      </c>
      <c r="B90" s="4">
        <v>46.365000000000002</v>
      </c>
      <c r="C90" s="4">
        <v>46.655999999999999</v>
      </c>
      <c r="D90" s="4">
        <v>46.365000000000002</v>
      </c>
      <c r="E90" s="4">
        <v>46.375</v>
      </c>
      <c r="F90" s="4">
        <v>134631</v>
      </c>
      <c r="G90" s="5">
        <v>101291</v>
      </c>
      <c r="H90" s="6">
        <f t="shared" si="2"/>
        <v>46.370000000000005</v>
      </c>
      <c r="I90">
        <f t="shared" si="3"/>
        <v>1.9681143485431818E-2</v>
      </c>
    </row>
    <row r="91" spans="1:9" ht="15" customHeight="1" x14ac:dyDescent="0.2">
      <c r="A91" s="7">
        <v>45925</v>
      </c>
      <c r="B91" s="8">
        <v>45.475000000000001</v>
      </c>
      <c r="C91" s="8">
        <v>45.113999999999997</v>
      </c>
      <c r="D91" s="8">
        <v>45.47</v>
      </c>
      <c r="E91" s="8">
        <v>45.48</v>
      </c>
      <c r="F91" s="8">
        <v>133421</v>
      </c>
      <c r="G91" s="9">
        <v>99665</v>
      </c>
      <c r="H91" s="6">
        <f t="shared" si="2"/>
        <v>45.474999999999994</v>
      </c>
      <c r="I91">
        <f t="shared" si="3"/>
        <v>3.0711695376246295E-2</v>
      </c>
    </row>
    <row r="92" spans="1:9" ht="15" customHeight="1" x14ac:dyDescent="0.2">
      <c r="A92" s="3">
        <v>45924</v>
      </c>
      <c r="B92" s="4">
        <v>44.115000000000002</v>
      </c>
      <c r="C92" s="4">
        <v>44.192</v>
      </c>
      <c r="D92" s="4">
        <v>44.115000000000002</v>
      </c>
      <c r="E92" s="4">
        <v>44.125</v>
      </c>
      <c r="F92" s="4">
        <v>133396</v>
      </c>
      <c r="G92" s="5">
        <v>60129</v>
      </c>
      <c r="H92" s="6">
        <f t="shared" si="2"/>
        <v>44.120000000000005</v>
      </c>
      <c r="I92">
        <f t="shared" si="3"/>
        <v>-3.2757257426859754E-3</v>
      </c>
    </row>
    <row r="93" spans="1:9" ht="15" customHeight="1" x14ac:dyDescent="0.2">
      <c r="A93" s="7">
        <v>45923</v>
      </c>
      <c r="B93" s="8">
        <v>44.265000000000001</v>
      </c>
      <c r="C93" s="8">
        <v>44.607999999999997</v>
      </c>
      <c r="D93" s="8">
        <v>44.26</v>
      </c>
      <c r="E93" s="8">
        <v>44.27</v>
      </c>
      <c r="F93" s="8">
        <v>135369</v>
      </c>
      <c r="G93" s="9">
        <v>75307</v>
      </c>
      <c r="H93" s="6">
        <f t="shared" si="2"/>
        <v>44.265000000000001</v>
      </c>
      <c r="I93">
        <f t="shared" si="3"/>
        <v>-1.1282861333633543E-3</v>
      </c>
    </row>
    <row r="94" spans="1:9" ht="15" customHeight="1" x14ac:dyDescent="0.2">
      <c r="A94" s="3">
        <v>45922</v>
      </c>
      <c r="B94" s="4">
        <v>44.314999999999998</v>
      </c>
      <c r="C94" s="4">
        <v>44.213999999999999</v>
      </c>
      <c r="D94" s="4">
        <v>44.31</v>
      </c>
      <c r="E94" s="4">
        <v>44.32</v>
      </c>
      <c r="F94" s="4">
        <v>132963</v>
      </c>
      <c r="G94" s="5">
        <v>75969</v>
      </c>
      <c r="H94" s="6">
        <f t="shared" si="2"/>
        <v>44.314999999999998</v>
      </c>
      <c r="I94">
        <f t="shared" si="3"/>
        <v>2.2024907749077505E-2</v>
      </c>
    </row>
    <row r="95" spans="1:9" ht="15" customHeight="1" x14ac:dyDescent="0.2">
      <c r="A95" s="7">
        <v>45919</v>
      </c>
      <c r="B95" s="8">
        <v>43.365000000000002</v>
      </c>
      <c r="C95" s="8">
        <v>42.951999999999998</v>
      </c>
      <c r="D95" s="8">
        <v>43.35</v>
      </c>
      <c r="E95" s="8">
        <v>43.37</v>
      </c>
      <c r="F95" s="8">
        <v>131247</v>
      </c>
      <c r="G95" s="9">
        <v>74040</v>
      </c>
      <c r="H95" s="6">
        <f t="shared" si="2"/>
        <v>43.36</v>
      </c>
      <c r="I95">
        <f t="shared" si="3"/>
        <v>2.9806436290226612E-2</v>
      </c>
    </row>
    <row r="96" spans="1:9" ht="15" customHeight="1" x14ac:dyDescent="0.2">
      <c r="A96" s="3">
        <v>45918</v>
      </c>
      <c r="B96" s="4">
        <v>42.104999999999997</v>
      </c>
      <c r="C96" s="4">
        <v>42.118000000000002</v>
      </c>
      <c r="D96" s="4">
        <v>42.1</v>
      </c>
      <c r="E96" s="4">
        <v>42.11</v>
      </c>
      <c r="F96" s="4">
        <v>131335</v>
      </c>
      <c r="G96" s="5">
        <v>57628</v>
      </c>
      <c r="H96" s="6">
        <f t="shared" si="2"/>
        <v>42.105000000000004</v>
      </c>
      <c r="I96">
        <f t="shared" si="3"/>
        <v>2.6193594475532045E-3</v>
      </c>
    </row>
    <row r="97" spans="1:9" ht="15" customHeight="1" x14ac:dyDescent="0.2">
      <c r="A97" s="7">
        <v>45917</v>
      </c>
      <c r="B97" s="8">
        <v>41.994999999999997</v>
      </c>
      <c r="C97" s="8">
        <v>42.152000000000001</v>
      </c>
      <c r="D97" s="8">
        <v>41.99</v>
      </c>
      <c r="E97" s="8">
        <v>42</v>
      </c>
      <c r="F97" s="8">
        <v>133481</v>
      </c>
      <c r="G97" s="9">
        <v>89156</v>
      </c>
      <c r="H97" s="6">
        <f t="shared" si="2"/>
        <v>41.995000000000005</v>
      </c>
      <c r="I97">
        <f t="shared" si="3"/>
        <v>-2.0581890268788872E-2</v>
      </c>
    </row>
    <row r="98" spans="1:9" ht="15" customHeight="1" x14ac:dyDescent="0.2">
      <c r="A98" s="3">
        <v>45916</v>
      </c>
      <c r="B98" s="4">
        <v>42.88</v>
      </c>
      <c r="C98" s="4">
        <v>42.917000000000002</v>
      </c>
      <c r="D98" s="4">
        <v>42.87</v>
      </c>
      <c r="E98" s="4">
        <v>42.884999999999998</v>
      </c>
      <c r="F98" s="4">
        <v>134849</v>
      </c>
      <c r="G98" s="5">
        <v>63715</v>
      </c>
      <c r="H98" s="6">
        <f t="shared" si="2"/>
        <v>42.877499999999998</v>
      </c>
      <c r="I98">
        <f t="shared" si="3"/>
        <v>-7.4652777777779455E-3</v>
      </c>
    </row>
    <row r="99" spans="1:9" ht="15" customHeight="1" x14ac:dyDescent="0.2">
      <c r="A99" s="7">
        <v>45915</v>
      </c>
      <c r="B99" s="8">
        <v>43.195</v>
      </c>
      <c r="C99" s="8">
        <v>42.962000000000003</v>
      </c>
      <c r="D99" s="8">
        <v>43.195</v>
      </c>
      <c r="E99" s="8">
        <v>43.204999999999998</v>
      </c>
      <c r="F99" s="8">
        <v>134910</v>
      </c>
      <c r="G99" s="9">
        <v>46674</v>
      </c>
      <c r="H99" s="6">
        <f t="shared" si="2"/>
        <v>43.2</v>
      </c>
      <c r="I99">
        <f t="shared" si="3"/>
        <v>1.2065128265198455E-2</v>
      </c>
    </row>
    <row r="100" spans="1:9" ht="15" customHeight="1" x14ac:dyDescent="0.2">
      <c r="A100" s="3">
        <v>45912</v>
      </c>
      <c r="B100" s="4">
        <v>42.68</v>
      </c>
      <c r="C100" s="4">
        <v>42.83</v>
      </c>
      <c r="D100" s="4">
        <v>42.68</v>
      </c>
      <c r="E100" s="4">
        <v>42.69</v>
      </c>
      <c r="F100" s="4">
        <v>133690</v>
      </c>
      <c r="G100" s="5">
        <v>70339</v>
      </c>
      <c r="H100" s="6">
        <f t="shared" si="2"/>
        <v>42.685000000000002</v>
      </c>
      <c r="I100">
        <f t="shared" si="3"/>
        <v>1.4859724203518887E-2</v>
      </c>
    </row>
    <row r="101" spans="1:9" ht="15" customHeight="1" x14ac:dyDescent="0.2">
      <c r="A101" s="7">
        <v>45911</v>
      </c>
      <c r="B101" s="8">
        <v>42.06</v>
      </c>
      <c r="C101" s="8">
        <v>42.149000000000001</v>
      </c>
      <c r="D101" s="8">
        <v>42.055</v>
      </c>
      <c r="E101" s="8">
        <v>42.064999999999998</v>
      </c>
      <c r="F101" s="8">
        <v>131400</v>
      </c>
      <c r="G101" s="9">
        <v>59084</v>
      </c>
      <c r="H101" s="6">
        <f t="shared" si="2"/>
        <v>42.06</v>
      </c>
      <c r="I101">
        <f t="shared" si="3"/>
        <v>9.8439375750298819E-3</v>
      </c>
    </row>
    <row r="102" spans="1:9" ht="15" customHeight="1" x14ac:dyDescent="0.2">
      <c r="A102" s="3">
        <v>45910</v>
      </c>
      <c r="B102" s="4">
        <v>41.65</v>
      </c>
      <c r="C102" s="4">
        <v>41.6</v>
      </c>
      <c r="D102" s="4">
        <v>41.645000000000003</v>
      </c>
      <c r="E102" s="4">
        <v>41.655000000000001</v>
      </c>
      <c r="F102" s="4">
        <v>131190</v>
      </c>
      <c r="G102" s="5">
        <v>40523</v>
      </c>
      <c r="H102" s="6">
        <f t="shared" si="2"/>
        <v>41.650000000000006</v>
      </c>
      <c r="I102">
        <f t="shared" si="3"/>
        <v>7.1942446043167241E-3</v>
      </c>
    </row>
    <row r="103" spans="1:9" ht="15" customHeight="1" x14ac:dyDescent="0.2">
      <c r="A103" s="7">
        <v>45909</v>
      </c>
      <c r="B103" s="8">
        <v>41.354999999999997</v>
      </c>
      <c r="C103" s="8">
        <v>41.341000000000001</v>
      </c>
      <c r="D103" s="8">
        <v>41.344999999999999</v>
      </c>
      <c r="E103" s="8">
        <v>41.36</v>
      </c>
      <c r="F103" s="8">
        <v>132634</v>
      </c>
      <c r="G103" s="9">
        <v>66018</v>
      </c>
      <c r="H103" s="6">
        <f t="shared" si="2"/>
        <v>41.352499999999999</v>
      </c>
      <c r="I103">
        <f t="shared" si="3"/>
        <v>-1.4008106819265564E-2</v>
      </c>
    </row>
    <row r="104" spans="1:9" ht="15" customHeight="1" x14ac:dyDescent="0.2">
      <c r="A104" s="3">
        <v>45908</v>
      </c>
      <c r="B104" s="4">
        <v>41.94</v>
      </c>
      <c r="C104" s="4">
        <v>41.902000000000001</v>
      </c>
      <c r="D104" s="4">
        <v>41.935000000000002</v>
      </c>
      <c r="E104" s="4">
        <v>41.945</v>
      </c>
      <c r="F104" s="4">
        <v>131645</v>
      </c>
      <c r="G104" s="5">
        <v>67937</v>
      </c>
      <c r="H104" s="6">
        <f t="shared" si="2"/>
        <v>41.94</v>
      </c>
      <c r="I104">
        <f t="shared" si="3"/>
        <v>1.0298102981029622E-2</v>
      </c>
    </row>
    <row r="105" spans="1:9" ht="15" customHeight="1" x14ac:dyDescent="0.2">
      <c r="A105" s="7">
        <v>45905</v>
      </c>
      <c r="B105" s="8">
        <v>41.51</v>
      </c>
      <c r="C105" s="8">
        <v>41.552</v>
      </c>
      <c r="D105" s="8">
        <v>41.505000000000003</v>
      </c>
      <c r="E105" s="8">
        <v>41.52</v>
      </c>
      <c r="F105" s="8">
        <v>132766</v>
      </c>
      <c r="G105" s="9">
        <v>68285</v>
      </c>
      <c r="H105" s="6">
        <f t="shared" si="2"/>
        <v>41.512500000000003</v>
      </c>
      <c r="I105">
        <f t="shared" si="3"/>
        <v>4.7803461212636567E-3</v>
      </c>
    </row>
    <row r="106" spans="1:9" ht="15" customHeight="1" x14ac:dyDescent="0.2">
      <c r="A106" s="3">
        <v>45904</v>
      </c>
      <c r="B106" s="4">
        <v>41.314999999999998</v>
      </c>
      <c r="C106" s="4">
        <v>41.417000000000002</v>
      </c>
      <c r="D106" s="4">
        <v>41.31</v>
      </c>
      <c r="E106" s="4">
        <v>41.32</v>
      </c>
      <c r="F106" s="4">
        <v>133761</v>
      </c>
      <c r="G106" s="5">
        <v>66072</v>
      </c>
      <c r="H106" s="6">
        <f t="shared" si="2"/>
        <v>41.314999999999998</v>
      </c>
      <c r="I106">
        <f t="shared" si="3"/>
        <v>-1.1898355754858092E-2</v>
      </c>
    </row>
    <row r="107" spans="1:9" ht="15" customHeight="1" x14ac:dyDescent="0.2">
      <c r="A107" s="7">
        <v>45903</v>
      </c>
      <c r="B107" s="8">
        <v>41.81</v>
      </c>
      <c r="C107" s="8">
        <v>42.06</v>
      </c>
      <c r="D107" s="8">
        <v>41.81</v>
      </c>
      <c r="E107" s="8">
        <v>41.814999999999998</v>
      </c>
      <c r="F107" s="8">
        <v>133616</v>
      </c>
      <c r="G107" s="9">
        <v>63634</v>
      </c>
      <c r="H107" s="6">
        <f t="shared" si="2"/>
        <v>41.8125</v>
      </c>
      <c r="I107">
        <f t="shared" si="3"/>
        <v>1.9769949676491372E-3</v>
      </c>
    </row>
    <row r="108" spans="1:9" ht="15" customHeight="1" x14ac:dyDescent="0.2">
      <c r="A108" s="3">
        <v>45902</v>
      </c>
      <c r="B108" s="4">
        <v>41.73</v>
      </c>
      <c r="C108" s="4">
        <v>41.591999999999999</v>
      </c>
      <c r="D108" s="4">
        <v>41.725000000000001</v>
      </c>
      <c r="E108" s="4">
        <v>41.734999999999999</v>
      </c>
      <c r="F108" s="4">
        <v>130251</v>
      </c>
      <c r="G108" s="5">
        <v>123433</v>
      </c>
      <c r="H108" s="6">
        <f t="shared" si="2"/>
        <v>41.730000000000004</v>
      </c>
      <c r="I108">
        <f t="shared" si="3"/>
        <v>2.4174745367529837E-2</v>
      </c>
    </row>
    <row r="109" spans="1:9" ht="15" customHeight="1" x14ac:dyDescent="0.2">
      <c r="A109" s="7">
        <v>45898</v>
      </c>
      <c r="B109" s="8">
        <v>40.75</v>
      </c>
      <c r="C109" s="8">
        <v>40.722999999999999</v>
      </c>
      <c r="D109" s="8">
        <v>40.74</v>
      </c>
      <c r="E109" s="8">
        <v>40.75</v>
      </c>
      <c r="F109" s="8">
        <v>125975</v>
      </c>
      <c r="G109" s="9">
        <v>67755</v>
      </c>
      <c r="H109" s="6">
        <f t="shared" si="2"/>
        <v>40.745000000000005</v>
      </c>
      <c r="I109">
        <f t="shared" si="3"/>
        <v>2.5999370475291217E-2</v>
      </c>
    </row>
    <row r="110" spans="1:9" ht="15" customHeight="1" x14ac:dyDescent="0.2">
      <c r="A110" s="3">
        <v>45897</v>
      </c>
      <c r="B110" s="4">
        <v>39.71</v>
      </c>
      <c r="C110" s="4">
        <v>39.703000000000003</v>
      </c>
      <c r="D110" s="4">
        <v>39.71</v>
      </c>
      <c r="E110" s="4">
        <v>39.715000000000003</v>
      </c>
      <c r="F110" s="4">
        <v>121586</v>
      </c>
      <c r="G110" s="5">
        <v>54907</v>
      </c>
      <c r="H110" s="6">
        <f t="shared" si="2"/>
        <v>39.712500000000006</v>
      </c>
      <c r="I110">
        <f t="shared" si="3"/>
        <v>2.6361698003489309E-2</v>
      </c>
    </row>
    <row r="111" spans="1:9" ht="15" customHeight="1" x14ac:dyDescent="0.2">
      <c r="A111" s="7">
        <v>45896</v>
      </c>
      <c r="B111" s="8">
        <v>38.69</v>
      </c>
      <c r="C111" s="8">
        <v>38.713000000000001</v>
      </c>
      <c r="D111" s="8">
        <v>38.69</v>
      </c>
      <c r="E111" s="8">
        <v>38.695</v>
      </c>
      <c r="F111" s="8">
        <v>24586</v>
      </c>
      <c r="G111" s="9">
        <v>37841</v>
      </c>
      <c r="H111" s="6">
        <f t="shared" si="2"/>
        <v>38.692499999999995</v>
      </c>
      <c r="I111">
        <f t="shared" si="3"/>
        <v>6.4616179891396897E-5</v>
      </c>
    </row>
    <row r="112" spans="1:9" ht="15" customHeight="1" x14ac:dyDescent="0.2">
      <c r="A112" s="3">
        <v>45895</v>
      </c>
      <c r="B112" s="4">
        <v>38.695</v>
      </c>
      <c r="C112" s="4">
        <v>38.606000000000002</v>
      </c>
      <c r="D112" s="4">
        <v>38.674999999999997</v>
      </c>
      <c r="E112" s="4">
        <v>38.704999999999998</v>
      </c>
      <c r="F112" s="4">
        <v>37000</v>
      </c>
      <c r="G112" s="5">
        <v>55047</v>
      </c>
      <c r="H112" s="6">
        <f t="shared" si="2"/>
        <v>38.69</v>
      </c>
      <c r="I112">
        <f t="shared" si="3"/>
        <v>3.6316472114137355E-3</v>
      </c>
    </row>
    <row r="113" spans="1:9" ht="15" customHeight="1" x14ac:dyDescent="0.2">
      <c r="A113" s="7">
        <v>45894</v>
      </c>
      <c r="B113" s="8">
        <v>38.549999999999997</v>
      </c>
      <c r="C113" s="8">
        <v>38.703000000000003</v>
      </c>
      <c r="D113" s="8">
        <v>38.545000000000002</v>
      </c>
      <c r="E113" s="8">
        <v>38.555</v>
      </c>
      <c r="F113" s="8">
        <v>44783</v>
      </c>
      <c r="G113" s="9">
        <v>41605</v>
      </c>
      <c r="H113" s="6">
        <f t="shared" si="2"/>
        <v>38.549999999999997</v>
      </c>
      <c r="I113">
        <f t="shared" si="3"/>
        <v>-8.4876543209876365E-3</v>
      </c>
    </row>
    <row r="114" spans="1:9" ht="15" customHeight="1" x14ac:dyDescent="0.2">
      <c r="A114" s="3">
        <v>45891</v>
      </c>
      <c r="B114" s="4">
        <v>38.880000000000003</v>
      </c>
      <c r="C114" s="4">
        <v>39.054000000000002</v>
      </c>
      <c r="D114" s="4">
        <v>38.875</v>
      </c>
      <c r="E114" s="4">
        <v>38.884999999999998</v>
      </c>
      <c r="F114" s="4">
        <v>53171</v>
      </c>
      <c r="G114" s="5">
        <v>70315</v>
      </c>
      <c r="H114" s="6">
        <f t="shared" si="2"/>
        <v>38.879999999999995</v>
      </c>
      <c r="I114">
        <f t="shared" si="3"/>
        <v>2.0472440944881987E-2</v>
      </c>
    </row>
    <row r="115" spans="1:9" ht="15" customHeight="1" x14ac:dyDescent="0.2">
      <c r="A115" s="7">
        <v>45890</v>
      </c>
      <c r="B115" s="8">
        <v>38.1</v>
      </c>
      <c r="C115" s="8">
        <v>38.079000000000001</v>
      </c>
      <c r="D115" s="8">
        <v>38.094999999999999</v>
      </c>
      <c r="E115" s="8">
        <v>38.104999999999997</v>
      </c>
      <c r="F115" s="8">
        <v>59387</v>
      </c>
      <c r="G115" s="9">
        <v>45967</v>
      </c>
      <c r="H115" s="6">
        <f t="shared" si="2"/>
        <v>38.099999999999994</v>
      </c>
      <c r="I115">
        <f t="shared" si="3"/>
        <v>5.4760176815991102E-3</v>
      </c>
    </row>
    <row r="116" spans="1:9" ht="15" customHeight="1" x14ac:dyDescent="0.2">
      <c r="A116" s="3">
        <v>45889</v>
      </c>
      <c r="B116" s="4">
        <v>37.895000000000003</v>
      </c>
      <c r="C116" s="4">
        <v>37.773000000000003</v>
      </c>
      <c r="D116" s="4">
        <v>37.89</v>
      </c>
      <c r="E116" s="4">
        <v>37.895000000000003</v>
      </c>
      <c r="F116" s="4">
        <v>62636</v>
      </c>
      <c r="G116" s="5">
        <v>52616</v>
      </c>
      <c r="H116" s="6">
        <f t="shared" si="2"/>
        <v>37.892499999999998</v>
      </c>
      <c r="I116">
        <f t="shared" si="3"/>
        <v>1.5000334828902506E-2</v>
      </c>
    </row>
    <row r="117" spans="1:9" ht="15" customHeight="1" x14ac:dyDescent="0.2">
      <c r="A117" s="7">
        <v>45888</v>
      </c>
      <c r="B117" s="8">
        <v>37.33</v>
      </c>
      <c r="C117" s="8">
        <v>37.332000000000001</v>
      </c>
      <c r="D117" s="8">
        <v>37.33</v>
      </c>
      <c r="E117" s="8">
        <v>37.335000000000001</v>
      </c>
      <c r="F117" s="8">
        <v>64853</v>
      </c>
      <c r="G117" s="9">
        <v>50237</v>
      </c>
      <c r="H117" s="6">
        <f t="shared" si="2"/>
        <v>37.332499999999996</v>
      </c>
      <c r="I117">
        <f t="shared" si="3"/>
        <v>-1.9243399448312104E-2</v>
      </c>
    </row>
    <row r="118" spans="1:9" ht="15" customHeight="1" x14ac:dyDescent="0.2">
      <c r="A118" s="3">
        <v>45887</v>
      </c>
      <c r="B118" s="4">
        <v>38.064999999999998</v>
      </c>
      <c r="C118" s="4">
        <v>38.029000000000003</v>
      </c>
      <c r="D118" s="4">
        <v>38.06</v>
      </c>
      <c r="E118" s="4">
        <v>38.07</v>
      </c>
      <c r="F118" s="4">
        <v>67485</v>
      </c>
      <c r="G118" s="5">
        <v>36396</v>
      </c>
      <c r="H118" s="6">
        <f t="shared" si="2"/>
        <v>38.064999999999998</v>
      </c>
      <c r="I118">
        <f t="shared" si="3"/>
        <v>1.183587585481316E-3</v>
      </c>
    </row>
    <row r="119" spans="1:9" ht="15" customHeight="1" x14ac:dyDescent="0.2">
      <c r="A119" s="7">
        <v>45884</v>
      </c>
      <c r="B119" s="8">
        <v>38.020000000000003</v>
      </c>
      <c r="C119" s="8">
        <v>37.975000000000001</v>
      </c>
      <c r="D119" s="8">
        <v>38.015000000000001</v>
      </c>
      <c r="E119" s="8">
        <v>38.024999999999999</v>
      </c>
      <c r="F119" s="8">
        <v>70294</v>
      </c>
      <c r="G119" s="9">
        <v>34505</v>
      </c>
      <c r="H119" s="6">
        <f t="shared" si="2"/>
        <v>38.019999999999996</v>
      </c>
      <c r="I119">
        <f t="shared" si="3"/>
        <v>-5.2576235541546001E-4</v>
      </c>
    </row>
    <row r="120" spans="1:9" ht="15" customHeight="1" x14ac:dyDescent="0.2">
      <c r="A120" s="3">
        <v>45883</v>
      </c>
      <c r="B120" s="4">
        <v>38.04</v>
      </c>
      <c r="C120" s="4">
        <v>38.069000000000003</v>
      </c>
      <c r="D120" s="4">
        <v>38.034999999999997</v>
      </c>
      <c r="E120" s="4">
        <v>38.045000000000002</v>
      </c>
      <c r="F120" s="4">
        <v>72158</v>
      </c>
      <c r="G120" s="5">
        <v>54425</v>
      </c>
      <c r="H120" s="6">
        <f t="shared" si="2"/>
        <v>38.04</v>
      </c>
      <c r="I120">
        <f t="shared" si="3"/>
        <v>-1.3293560728876108E-2</v>
      </c>
    </row>
    <row r="121" spans="1:9" ht="15" customHeight="1" x14ac:dyDescent="0.2">
      <c r="A121" s="7">
        <v>45882</v>
      </c>
      <c r="B121" s="8">
        <v>38.549999999999997</v>
      </c>
      <c r="C121" s="8">
        <v>38.601999999999997</v>
      </c>
      <c r="D121" s="8">
        <v>38.549999999999997</v>
      </c>
      <c r="E121" s="8">
        <v>38.555</v>
      </c>
      <c r="F121" s="8">
        <v>77668</v>
      </c>
      <c r="G121" s="9">
        <v>52876</v>
      </c>
      <c r="H121" s="6">
        <f t="shared" si="2"/>
        <v>38.552499999999995</v>
      </c>
      <c r="I121">
        <f t="shared" si="3"/>
        <v>1.6143911439114422E-2</v>
      </c>
    </row>
    <row r="122" spans="1:9" ht="15" customHeight="1" x14ac:dyDescent="0.2">
      <c r="A122" s="3">
        <v>45881</v>
      </c>
      <c r="B122" s="4">
        <v>37.94</v>
      </c>
      <c r="C122" s="4">
        <v>38.002000000000002</v>
      </c>
      <c r="D122" s="4">
        <v>37.935000000000002</v>
      </c>
      <c r="E122" s="4">
        <v>37.945</v>
      </c>
      <c r="F122" s="4">
        <v>82044</v>
      </c>
      <c r="G122" s="5">
        <v>63049</v>
      </c>
      <c r="H122" s="6">
        <f t="shared" si="2"/>
        <v>37.94</v>
      </c>
      <c r="I122">
        <f t="shared" si="3"/>
        <v>7.836366051268584E-3</v>
      </c>
    </row>
    <row r="123" spans="1:9" ht="15" customHeight="1" x14ac:dyDescent="0.2">
      <c r="A123" s="7">
        <v>45880</v>
      </c>
      <c r="B123" s="8">
        <v>37.64</v>
      </c>
      <c r="C123" s="8">
        <v>37.786999999999999</v>
      </c>
      <c r="D123" s="8">
        <v>37.64</v>
      </c>
      <c r="E123" s="8">
        <v>37.65</v>
      </c>
      <c r="F123" s="8">
        <v>90899</v>
      </c>
      <c r="G123" s="9">
        <v>67543</v>
      </c>
      <c r="H123" s="6">
        <f t="shared" si="2"/>
        <v>37.644999999999996</v>
      </c>
      <c r="I123">
        <f t="shared" si="3"/>
        <v>-2.233476171925719E-2</v>
      </c>
    </row>
    <row r="124" spans="1:9" ht="15" customHeight="1" x14ac:dyDescent="0.2">
      <c r="A124" s="3">
        <v>45877</v>
      </c>
      <c r="B124" s="4">
        <v>38.51</v>
      </c>
      <c r="C124" s="4">
        <v>38.542000000000002</v>
      </c>
      <c r="D124" s="4">
        <v>38.5</v>
      </c>
      <c r="E124" s="4">
        <v>38.51</v>
      </c>
      <c r="F124" s="4">
        <v>97342</v>
      </c>
      <c r="G124" s="5">
        <v>76568</v>
      </c>
      <c r="H124" s="6">
        <f t="shared" si="2"/>
        <v>38.504999999999995</v>
      </c>
      <c r="I124">
        <f t="shared" si="3"/>
        <v>-5.1914341336822822E-4</v>
      </c>
    </row>
    <row r="125" spans="1:9" ht="15" customHeight="1" x14ac:dyDescent="0.2">
      <c r="A125" s="7">
        <v>45876</v>
      </c>
      <c r="B125" s="8">
        <v>38.524999999999999</v>
      </c>
      <c r="C125" s="8">
        <v>38.293999999999997</v>
      </c>
      <c r="D125" s="8">
        <v>38.520000000000003</v>
      </c>
      <c r="E125" s="8">
        <v>38.53</v>
      </c>
      <c r="F125" s="8">
        <v>105253</v>
      </c>
      <c r="G125" s="9">
        <v>86225</v>
      </c>
      <c r="H125" s="6">
        <f t="shared" si="2"/>
        <v>38.525000000000006</v>
      </c>
      <c r="I125">
        <f t="shared" si="3"/>
        <v>1.5552919467510362E-2</v>
      </c>
    </row>
    <row r="126" spans="1:9" ht="15" customHeight="1" x14ac:dyDescent="0.2">
      <c r="A126" s="3">
        <v>45875</v>
      </c>
      <c r="B126" s="4">
        <v>37.935000000000002</v>
      </c>
      <c r="C126" s="4">
        <v>37.902000000000001</v>
      </c>
      <c r="D126" s="4">
        <v>37.93</v>
      </c>
      <c r="E126" s="4">
        <v>37.94</v>
      </c>
      <c r="F126" s="4">
        <v>107815</v>
      </c>
      <c r="G126" s="5">
        <v>38956</v>
      </c>
      <c r="H126" s="6">
        <f t="shared" si="2"/>
        <v>37.935000000000002</v>
      </c>
      <c r="I126">
        <f t="shared" si="3"/>
        <v>2.5105708245243274E-3</v>
      </c>
    </row>
    <row r="127" spans="1:9" ht="15" customHeight="1" x14ac:dyDescent="0.2">
      <c r="A127" s="7">
        <v>45874</v>
      </c>
      <c r="B127" s="8">
        <v>37.835000000000001</v>
      </c>
      <c r="C127" s="8">
        <v>37.823</v>
      </c>
      <c r="D127" s="8">
        <v>37.835000000000001</v>
      </c>
      <c r="E127" s="8">
        <v>37.844999999999999</v>
      </c>
      <c r="F127" s="8">
        <v>108526</v>
      </c>
      <c r="G127" s="9">
        <v>50388</v>
      </c>
      <c r="H127" s="6">
        <f t="shared" si="2"/>
        <v>37.840000000000003</v>
      </c>
      <c r="I127">
        <f t="shared" si="3"/>
        <v>1.0548804913873777E-2</v>
      </c>
    </row>
    <row r="128" spans="1:9" ht="15" customHeight="1" x14ac:dyDescent="0.2">
      <c r="A128" s="3">
        <v>45873</v>
      </c>
      <c r="B128" s="4">
        <v>37.445</v>
      </c>
      <c r="C128" s="4">
        <v>37.328000000000003</v>
      </c>
      <c r="D128" s="4">
        <v>37.44</v>
      </c>
      <c r="E128" s="4">
        <v>37.450000000000003</v>
      </c>
      <c r="F128" s="4">
        <v>109684</v>
      </c>
      <c r="G128" s="5">
        <v>44731</v>
      </c>
      <c r="H128" s="6">
        <f t="shared" si="2"/>
        <v>37.445</v>
      </c>
      <c r="I128">
        <f t="shared" si="3"/>
        <v>9.2311838824876702E-3</v>
      </c>
    </row>
    <row r="129" spans="1:9" ht="15" customHeight="1" x14ac:dyDescent="0.2">
      <c r="A129" s="7">
        <v>45870</v>
      </c>
      <c r="B129" s="8">
        <v>37.104999999999997</v>
      </c>
      <c r="C129" s="8">
        <v>36.929000000000002</v>
      </c>
      <c r="D129" s="8">
        <v>37.1</v>
      </c>
      <c r="E129" s="8">
        <v>37.104999999999997</v>
      </c>
      <c r="F129" s="8">
        <v>112751</v>
      </c>
      <c r="G129" s="9">
        <v>65039</v>
      </c>
      <c r="H129" s="6">
        <f t="shared" si="2"/>
        <v>37.102499999999999</v>
      </c>
      <c r="I129">
        <f t="shared" si="3"/>
        <v>8.4941560206577282E-3</v>
      </c>
    </row>
    <row r="130" spans="1:9" ht="15" customHeight="1" x14ac:dyDescent="0.2">
      <c r="A130" s="3">
        <v>45869</v>
      </c>
      <c r="B130" s="4">
        <v>36.79</v>
      </c>
      <c r="C130" s="4">
        <v>36.712000000000003</v>
      </c>
      <c r="D130" s="4">
        <v>36.784999999999997</v>
      </c>
      <c r="E130" s="4">
        <v>36.795000000000002</v>
      </c>
      <c r="F130" s="4">
        <v>115827</v>
      </c>
      <c r="G130" s="5">
        <v>66211</v>
      </c>
      <c r="H130" s="6">
        <f t="shared" si="2"/>
        <v>36.79</v>
      </c>
      <c r="I130">
        <f t="shared" si="3"/>
        <v>-1.0356422326832537E-2</v>
      </c>
    </row>
    <row r="131" spans="1:9" ht="15" customHeight="1" x14ac:dyDescent="0.2">
      <c r="A131" s="7">
        <v>45868</v>
      </c>
      <c r="B131" s="8">
        <v>37.174999999999997</v>
      </c>
      <c r="C131" s="8">
        <v>37.738999999999997</v>
      </c>
      <c r="D131" s="8">
        <v>37.17</v>
      </c>
      <c r="E131" s="8">
        <v>37.18</v>
      </c>
      <c r="F131" s="8">
        <v>121325</v>
      </c>
      <c r="G131" s="9">
        <v>71289</v>
      </c>
      <c r="H131" s="6">
        <f t="shared" si="2"/>
        <v>37.174999999999997</v>
      </c>
      <c r="I131">
        <f t="shared" si="3"/>
        <v>-3.1396560708702448E-2</v>
      </c>
    </row>
    <row r="132" spans="1:9" ht="15" customHeight="1" x14ac:dyDescent="0.2">
      <c r="A132" s="3">
        <v>45867</v>
      </c>
      <c r="B132" s="4">
        <v>38.380000000000003</v>
      </c>
      <c r="C132" s="4">
        <v>38.286000000000001</v>
      </c>
      <c r="D132" s="4">
        <v>38.375</v>
      </c>
      <c r="E132" s="4">
        <v>38.384999999999998</v>
      </c>
      <c r="F132" s="4">
        <v>122977</v>
      </c>
      <c r="G132" s="5">
        <v>41625</v>
      </c>
      <c r="H132" s="6">
        <f t="shared" si="2"/>
        <v>38.379999999999995</v>
      </c>
      <c r="I132">
        <f t="shared" si="3"/>
        <v>1.3697736612092726E-3</v>
      </c>
    </row>
    <row r="133" spans="1:9" ht="15" customHeight="1" x14ac:dyDescent="0.2">
      <c r="A133" s="7">
        <v>45866</v>
      </c>
      <c r="B133" s="8">
        <v>38.33</v>
      </c>
      <c r="C133" s="8">
        <v>38.220999999999997</v>
      </c>
      <c r="D133" s="8">
        <v>38.325000000000003</v>
      </c>
      <c r="E133" s="8">
        <v>38.33</v>
      </c>
      <c r="F133" s="8">
        <v>125217</v>
      </c>
      <c r="G133" s="9">
        <v>45779</v>
      </c>
      <c r="H133" s="6">
        <f t="shared" ref="H133:H196" si="4">AVERAGE(D133:E133)</f>
        <v>38.327500000000001</v>
      </c>
      <c r="I133">
        <f t="shared" ref="I133:I196" si="5">H133/H134-1</f>
        <v>-6.5223062874930626E-5</v>
      </c>
    </row>
    <row r="134" spans="1:9" ht="15" customHeight="1" x14ac:dyDescent="0.2">
      <c r="A134" s="3">
        <v>45863</v>
      </c>
      <c r="B134" s="4">
        <v>38.325000000000003</v>
      </c>
      <c r="C134" s="4">
        <v>38.365000000000002</v>
      </c>
      <c r="D134" s="4">
        <v>38.325000000000003</v>
      </c>
      <c r="E134" s="4">
        <v>38.335000000000001</v>
      </c>
      <c r="F134" s="4">
        <v>128204</v>
      </c>
      <c r="G134" s="5">
        <v>67280</v>
      </c>
      <c r="H134" s="6">
        <f t="shared" si="4"/>
        <v>38.33</v>
      </c>
      <c r="I134">
        <f t="shared" si="5"/>
        <v>-2.4309532900598119E-2</v>
      </c>
    </row>
    <row r="135" spans="1:9" ht="15" customHeight="1" x14ac:dyDescent="0.2">
      <c r="A135" s="7">
        <v>45862</v>
      </c>
      <c r="B135" s="8">
        <v>39.284999999999997</v>
      </c>
      <c r="C135" s="8">
        <v>39.223999999999997</v>
      </c>
      <c r="D135" s="8">
        <v>39.28</v>
      </c>
      <c r="E135" s="8">
        <v>39.29</v>
      </c>
      <c r="F135" s="8">
        <v>129276</v>
      </c>
      <c r="G135" s="9">
        <v>49802</v>
      </c>
      <c r="H135" s="6">
        <f t="shared" si="4"/>
        <v>39.284999999999997</v>
      </c>
      <c r="I135">
        <f t="shared" si="5"/>
        <v>-5.8205744653929692E-3</v>
      </c>
    </row>
    <row r="136" spans="1:9" ht="15" customHeight="1" x14ac:dyDescent="0.2">
      <c r="A136" s="3">
        <v>45861</v>
      </c>
      <c r="B136" s="4">
        <v>39.520000000000003</v>
      </c>
      <c r="C136" s="4">
        <v>39.503</v>
      </c>
      <c r="D136" s="4">
        <v>39.51</v>
      </c>
      <c r="E136" s="4">
        <v>39.520000000000003</v>
      </c>
      <c r="F136" s="4">
        <v>129548</v>
      </c>
      <c r="G136" s="5">
        <v>63665</v>
      </c>
      <c r="H136" s="6">
        <f t="shared" si="4"/>
        <v>39.515000000000001</v>
      </c>
      <c r="I136">
        <f t="shared" si="5"/>
        <v>-3.5932673516988478E-3</v>
      </c>
    </row>
    <row r="137" spans="1:9" ht="15" customHeight="1" x14ac:dyDescent="0.2">
      <c r="A137" s="7">
        <v>45860</v>
      </c>
      <c r="B137" s="8">
        <v>39.659999999999997</v>
      </c>
      <c r="C137" s="8">
        <v>39.555</v>
      </c>
      <c r="D137" s="8">
        <v>39.65</v>
      </c>
      <c r="E137" s="8">
        <v>39.664999999999999</v>
      </c>
      <c r="F137" s="8">
        <v>129717</v>
      </c>
      <c r="G137" s="9">
        <v>57469</v>
      </c>
      <c r="H137" s="6">
        <f t="shared" si="4"/>
        <v>39.657499999999999</v>
      </c>
      <c r="I137">
        <f t="shared" si="5"/>
        <v>1.0639653414882932E-2</v>
      </c>
    </row>
    <row r="138" spans="1:9" ht="15" customHeight="1" x14ac:dyDescent="0.2">
      <c r="A138" s="3">
        <v>45859</v>
      </c>
      <c r="B138" s="4">
        <v>39.24</v>
      </c>
      <c r="C138" s="4">
        <v>39.334000000000003</v>
      </c>
      <c r="D138" s="4">
        <v>39.234999999999999</v>
      </c>
      <c r="E138" s="4">
        <v>39.244999999999997</v>
      </c>
      <c r="F138" s="4">
        <v>128346</v>
      </c>
      <c r="G138" s="5">
        <v>49858</v>
      </c>
      <c r="H138" s="6">
        <f t="shared" si="4"/>
        <v>39.239999999999995</v>
      </c>
      <c r="I138">
        <f t="shared" si="5"/>
        <v>2.1343050494533999E-2</v>
      </c>
    </row>
    <row r="139" spans="1:9" ht="15" customHeight="1" x14ac:dyDescent="0.2">
      <c r="A139" s="7">
        <v>45856</v>
      </c>
      <c r="B139" s="8">
        <v>38.42</v>
      </c>
      <c r="C139" s="8">
        <v>38.463999999999999</v>
      </c>
      <c r="D139" s="8">
        <v>38.414999999999999</v>
      </c>
      <c r="E139" s="8">
        <v>38.424999999999997</v>
      </c>
      <c r="F139" s="8">
        <v>129798</v>
      </c>
      <c r="G139" s="9">
        <v>41445</v>
      </c>
      <c r="H139" s="6">
        <f t="shared" si="4"/>
        <v>38.42</v>
      </c>
      <c r="I139">
        <f t="shared" si="5"/>
        <v>-2.602133749673996E-4</v>
      </c>
    </row>
    <row r="140" spans="1:9" ht="15" customHeight="1" x14ac:dyDescent="0.2">
      <c r="A140" s="3">
        <v>45855</v>
      </c>
      <c r="B140" s="4">
        <v>38.435000000000002</v>
      </c>
      <c r="C140" s="4">
        <v>38.302999999999997</v>
      </c>
      <c r="D140" s="4">
        <v>38.424999999999997</v>
      </c>
      <c r="E140" s="4">
        <v>38.435000000000002</v>
      </c>
      <c r="F140" s="4">
        <v>128633</v>
      </c>
      <c r="G140" s="5">
        <v>44163</v>
      </c>
      <c r="H140" s="6">
        <f t="shared" si="4"/>
        <v>38.43</v>
      </c>
      <c r="I140">
        <f t="shared" si="5"/>
        <v>7.8678206136901796E-3</v>
      </c>
    </row>
    <row r="141" spans="1:9" ht="15" customHeight="1" x14ac:dyDescent="0.2">
      <c r="A141" s="7">
        <v>45854</v>
      </c>
      <c r="B141" s="8">
        <v>38.130000000000003</v>
      </c>
      <c r="C141" s="8">
        <v>38.119</v>
      </c>
      <c r="D141" s="8">
        <v>38.125</v>
      </c>
      <c r="E141" s="8">
        <v>38.134999999999998</v>
      </c>
      <c r="F141" s="8">
        <v>128311</v>
      </c>
      <c r="G141" s="9">
        <v>55710</v>
      </c>
      <c r="H141" s="6">
        <f t="shared" si="4"/>
        <v>38.129999999999995</v>
      </c>
      <c r="I141">
        <f t="shared" si="5"/>
        <v>3.8172963011713357E-3</v>
      </c>
    </row>
    <row r="142" spans="1:9" ht="15" customHeight="1" x14ac:dyDescent="0.2">
      <c r="A142" s="3">
        <v>45853</v>
      </c>
      <c r="B142" s="4">
        <v>37.984999999999999</v>
      </c>
      <c r="C142" s="4">
        <v>38.11</v>
      </c>
      <c r="D142" s="4">
        <v>37.979999999999997</v>
      </c>
      <c r="E142" s="4">
        <v>37.99</v>
      </c>
      <c r="F142" s="4">
        <v>131041</v>
      </c>
      <c r="G142" s="5">
        <v>54559</v>
      </c>
      <c r="H142" s="6">
        <f t="shared" si="4"/>
        <v>37.984999999999999</v>
      </c>
      <c r="I142">
        <f t="shared" si="5"/>
        <v>-1.0936076031766717E-2</v>
      </c>
    </row>
    <row r="143" spans="1:9" ht="15" customHeight="1" x14ac:dyDescent="0.2">
      <c r="A143" s="7">
        <v>45852</v>
      </c>
      <c r="B143" s="8">
        <v>38.405000000000001</v>
      </c>
      <c r="C143" s="8">
        <v>38.741999999999997</v>
      </c>
      <c r="D143" s="8">
        <v>38.4</v>
      </c>
      <c r="E143" s="8">
        <v>38.409999999999997</v>
      </c>
      <c r="F143" s="8">
        <v>135260</v>
      </c>
      <c r="G143" s="9">
        <v>76196</v>
      </c>
      <c r="H143" s="6">
        <f t="shared" si="4"/>
        <v>38.405000000000001</v>
      </c>
      <c r="I143">
        <f t="shared" si="5"/>
        <v>-1.7272262026612029E-2</v>
      </c>
    </row>
    <row r="144" spans="1:9" ht="15" customHeight="1" x14ac:dyDescent="0.2">
      <c r="A144" s="3">
        <v>45849</v>
      </c>
      <c r="B144" s="4">
        <v>39.075000000000003</v>
      </c>
      <c r="C144" s="4">
        <v>38.954999999999998</v>
      </c>
      <c r="D144" s="4">
        <v>39.075000000000003</v>
      </c>
      <c r="E144" s="4">
        <v>39.085000000000001</v>
      </c>
      <c r="F144" s="4">
        <v>129957</v>
      </c>
      <c r="G144" s="5">
        <v>99830</v>
      </c>
      <c r="H144" s="6">
        <f t="shared" si="4"/>
        <v>39.08</v>
      </c>
      <c r="I144">
        <f t="shared" si="5"/>
        <v>3.8740115622300397E-2</v>
      </c>
    </row>
    <row r="145" spans="1:9" ht="15" customHeight="1" x14ac:dyDescent="0.2">
      <c r="A145" s="7">
        <v>45848</v>
      </c>
      <c r="B145" s="8">
        <v>37.625</v>
      </c>
      <c r="C145" s="8">
        <v>37.305</v>
      </c>
      <c r="D145" s="8">
        <v>37.619999999999997</v>
      </c>
      <c r="E145" s="8">
        <v>37.625</v>
      </c>
      <c r="F145" s="8">
        <v>125701</v>
      </c>
      <c r="G145" s="9">
        <v>80651</v>
      </c>
      <c r="H145" s="6">
        <f t="shared" si="4"/>
        <v>37.622500000000002</v>
      </c>
      <c r="I145">
        <f t="shared" si="5"/>
        <v>2.7586206896551779E-2</v>
      </c>
    </row>
    <row r="146" spans="1:9" ht="15" customHeight="1" x14ac:dyDescent="0.2">
      <c r="A146" s="3">
        <v>45847</v>
      </c>
      <c r="B146" s="4">
        <v>36.61</v>
      </c>
      <c r="C146" s="4">
        <v>36.630000000000003</v>
      </c>
      <c r="D146" s="4">
        <v>36.61</v>
      </c>
      <c r="E146" s="4">
        <v>36.615000000000002</v>
      </c>
      <c r="F146" s="4">
        <v>126860</v>
      </c>
      <c r="G146" s="5">
        <v>45280</v>
      </c>
      <c r="H146" s="6">
        <f t="shared" si="4"/>
        <v>36.612499999999997</v>
      </c>
      <c r="I146">
        <f t="shared" si="5"/>
        <v>-8.4631008801624441E-3</v>
      </c>
    </row>
    <row r="147" spans="1:9" ht="15" customHeight="1" x14ac:dyDescent="0.2">
      <c r="A147" s="7">
        <v>45846</v>
      </c>
      <c r="B147" s="8">
        <v>36.924999999999997</v>
      </c>
      <c r="C147" s="8">
        <v>36.749000000000002</v>
      </c>
      <c r="D147" s="8">
        <v>36.92</v>
      </c>
      <c r="E147" s="8">
        <v>36.93</v>
      </c>
      <c r="F147" s="8">
        <v>129518</v>
      </c>
      <c r="G147" s="9">
        <v>53700</v>
      </c>
      <c r="H147" s="6">
        <f t="shared" si="4"/>
        <v>36.924999999999997</v>
      </c>
      <c r="I147">
        <f t="shared" si="5"/>
        <v>-4.0606388738495536E-4</v>
      </c>
    </row>
    <row r="148" spans="1:9" ht="15" customHeight="1" x14ac:dyDescent="0.2">
      <c r="A148" s="3">
        <v>45845</v>
      </c>
      <c r="B148" s="4">
        <v>36.94</v>
      </c>
      <c r="C148" s="4">
        <v>36.904000000000003</v>
      </c>
      <c r="D148" s="4">
        <v>36.935000000000002</v>
      </c>
      <c r="E148" s="4">
        <v>36.945</v>
      </c>
      <c r="F148" s="4">
        <v>132552</v>
      </c>
      <c r="G148" s="5">
        <v>54382</v>
      </c>
      <c r="H148" s="6">
        <f t="shared" si="4"/>
        <v>36.94</v>
      </c>
      <c r="I148">
        <f t="shared" si="5"/>
        <v>-2.6997840172786614E-3</v>
      </c>
    </row>
    <row r="149" spans="1:9" ht="15" customHeight="1" x14ac:dyDescent="0.2">
      <c r="A149" s="7">
        <v>45841</v>
      </c>
      <c r="B149" s="8">
        <v>37.04</v>
      </c>
      <c r="C149" s="8">
        <v>37.084000000000003</v>
      </c>
      <c r="D149" s="8">
        <v>37.034999999999997</v>
      </c>
      <c r="E149" s="8">
        <v>37.045000000000002</v>
      </c>
      <c r="F149" s="8">
        <v>131773</v>
      </c>
      <c r="G149" s="9">
        <v>54497</v>
      </c>
      <c r="H149" s="6">
        <f t="shared" si="4"/>
        <v>37.04</v>
      </c>
      <c r="I149">
        <f t="shared" si="5"/>
        <v>6.795324816526227E-3</v>
      </c>
    </row>
    <row r="150" spans="1:9" ht="15" customHeight="1" x14ac:dyDescent="0.2">
      <c r="A150" s="3">
        <v>45840</v>
      </c>
      <c r="B150" s="4">
        <v>36.79</v>
      </c>
      <c r="C150" s="4">
        <v>36.726999999999997</v>
      </c>
      <c r="D150" s="4">
        <v>36.784999999999997</v>
      </c>
      <c r="E150" s="4">
        <v>36.795000000000002</v>
      </c>
      <c r="F150" s="4">
        <v>131315</v>
      </c>
      <c r="G150" s="5">
        <v>39724</v>
      </c>
      <c r="H150" s="6">
        <f t="shared" si="4"/>
        <v>36.79</v>
      </c>
      <c r="I150">
        <f t="shared" si="5"/>
        <v>1.5106573773884246E-2</v>
      </c>
    </row>
    <row r="151" spans="1:9" ht="15" customHeight="1" x14ac:dyDescent="0.2">
      <c r="A151" s="7">
        <v>45839</v>
      </c>
      <c r="B151" s="8">
        <v>36.244999999999997</v>
      </c>
      <c r="C151" s="8">
        <v>36.396999999999998</v>
      </c>
      <c r="D151" s="8">
        <v>36.24</v>
      </c>
      <c r="E151" s="8">
        <v>36.244999999999997</v>
      </c>
      <c r="F151" s="8">
        <v>130370</v>
      </c>
      <c r="G151" s="9">
        <v>52529</v>
      </c>
      <c r="H151" s="6">
        <f t="shared" si="4"/>
        <v>36.2425</v>
      </c>
      <c r="I151">
        <f t="shared" si="5"/>
        <v>-2.1338105726872447E-3</v>
      </c>
    </row>
    <row r="152" spans="1:9" ht="15" customHeight="1" x14ac:dyDescent="0.2">
      <c r="A152" s="3">
        <v>45838</v>
      </c>
      <c r="B152" s="4">
        <v>36.325000000000003</v>
      </c>
      <c r="C152" s="4">
        <v>36.171999999999997</v>
      </c>
      <c r="D152" s="4">
        <v>36.314999999999998</v>
      </c>
      <c r="E152" s="4">
        <v>36.325000000000003</v>
      </c>
      <c r="F152" s="4">
        <v>129593</v>
      </c>
      <c r="G152" s="5">
        <v>42037</v>
      </c>
      <c r="H152" s="6">
        <f t="shared" si="4"/>
        <v>36.32</v>
      </c>
      <c r="I152">
        <f t="shared" si="5"/>
        <v>4.1470832181365047E-3</v>
      </c>
    </row>
    <row r="153" spans="1:9" ht="15" customHeight="1" x14ac:dyDescent="0.2">
      <c r="A153" s="7">
        <v>45835</v>
      </c>
      <c r="B153" s="8">
        <v>36.164999999999999</v>
      </c>
      <c r="C153" s="8">
        <v>36.369999999999997</v>
      </c>
      <c r="D153" s="8">
        <v>36.164999999999999</v>
      </c>
      <c r="E153" s="8">
        <v>36.174999999999997</v>
      </c>
      <c r="F153" s="8">
        <v>128906</v>
      </c>
      <c r="G153" s="9">
        <v>65468</v>
      </c>
      <c r="H153" s="6">
        <f t="shared" si="4"/>
        <v>36.17</v>
      </c>
      <c r="I153">
        <f t="shared" si="5"/>
        <v>-1.3164177068412886E-2</v>
      </c>
    </row>
    <row r="154" spans="1:9" ht="15" customHeight="1" x14ac:dyDescent="0.2">
      <c r="A154" s="3">
        <v>45834</v>
      </c>
      <c r="B154" s="4">
        <v>36.549999999999997</v>
      </c>
      <c r="C154" s="4">
        <v>36.591000000000001</v>
      </c>
      <c r="D154" s="4">
        <v>36.534999999999997</v>
      </c>
      <c r="E154" s="4">
        <v>36.770000000000003</v>
      </c>
      <c r="F154" s="4">
        <v>24788</v>
      </c>
      <c r="G154" s="5">
        <v>40217</v>
      </c>
      <c r="H154" s="6">
        <f t="shared" si="4"/>
        <v>36.652500000000003</v>
      </c>
      <c r="I154">
        <f t="shared" si="5"/>
        <v>1.2010768275005246E-2</v>
      </c>
    </row>
    <row r="155" spans="1:9" ht="15" customHeight="1" x14ac:dyDescent="0.2">
      <c r="A155" s="7">
        <v>45833</v>
      </c>
      <c r="B155" s="8">
        <v>36.215000000000003</v>
      </c>
      <c r="C155" s="8">
        <v>36.110999999999997</v>
      </c>
      <c r="D155" s="8">
        <v>36.21</v>
      </c>
      <c r="E155" s="8">
        <v>36.225000000000001</v>
      </c>
      <c r="F155" s="8">
        <v>39659</v>
      </c>
      <c r="G155" s="9">
        <v>47846</v>
      </c>
      <c r="H155" s="6">
        <f t="shared" si="4"/>
        <v>36.217500000000001</v>
      </c>
      <c r="I155">
        <f t="shared" si="5"/>
        <v>9.7581375897399791E-3</v>
      </c>
    </row>
    <row r="156" spans="1:9" ht="15" customHeight="1" x14ac:dyDescent="0.2">
      <c r="A156" s="3">
        <v>45832</v>
      </c>
      <c r="B156" s="4">
        <v>35.869999999999997</v>
      </c>
      <c r="C156" s="4">
        <v>35.731999999999999</v>
      </c>
      <c r="D156" s="4">
        <v>35.865000000000002</v>
      </c>
      <c r="E156" s="4">
        <v>35.869999999999997</v>
      </c>
      <c r="F156" s="4">
        <v>52240</v>
      </c>
      <c r="G156" s="5">
        <v>76194</v>
      </c>
      <c r="H156" s="6">
        <f t="shared" si="4"/>
        <v>35.8675</v>
      </c>
      <c r="I156">
        <f t="shared" si="5"/>
        <v>-5.0624133148404749E-3</v>
      </c>
    </row>
    <row r="157" spans="1:9" ht="15" customHeight="1" x14ac:dyDescent="0.2">
      <c r="A157" s="7">
        <v>45831</v>
      </c>
      <c r="B157" s="8">
        <v>36.049999999999997</v>
      </c>
      <c r="C157" s="8">
        <v>36.186999999999998</v>
      </c>
      <c r="D157" s="8">
        <v>36.045000000000002</v>
      </c>
      <c r="E157" s="8">
        <v>36.055</v>
      </c>
      <c r="F157" s="8">
        <v>71830</v>
      </c>
      <c r="G157" s="9">
        <v>72840</v>
      </c>
      <c r="H157" s="6">
        <f t="shared" si="4"/>
        <v>36.049999999999997</v>
      </c>
      <c r="I157">
        <f t="shared" si="5"/>
        <v>2.6421916284244951E-3</v>
      </c>
    </row>
    <row r="158" spans="1:9" ht="15" customHeight="1" x14ac:dyDescent="0.2">
      <c r="A158" s="3">
        <v>45828</v>
      </c>
      <c r="B158" s="4">
        <v>35.954999999999998</v>
      </c>
      <c r="C158" s="4">
        <v>36.017000000000003</v>
      </c>
      <c r="D158" s="4">
        <v>35.950000000000003</v>
      </c>
      <c r="E158" s="4">
        <v>35.96</v>
      </c>
      <c r="F158" s="4">
        <v>78739</v>
      </c>
      <c r="G158" s="5">
        <v>93528</v>
      </c>
      <c r="H158" s="6">
        <f t="shared" si="4"/>
        <v>35.954999999999998</v>
      </c>
      <c r="I158">
        <f t="shared" si="5"/>
        <v>-2.189880304679015E-2</v>
      </c>
    </row>
    <row r="159" spans="1:9" ht="15" customHeight="1" x14ac:dyDescent="0.2">
      <c r="A159" s="7">
        <v>45826</v>
      </c>
      <c r="B159" s="8">
        <v>36.76</v>
      </c>
      <c r="C159" s="8">
        <v>36.912999999999997</v>
      </c>
      <c r="D159" s="8">
        <v>36.755000000000003</v>
      </c>
      <c r="E159" s="8">
        <v>36.765000000000001</v>
      </c>
      <c r="F159" s="8">
        <v>83687</v>
      </c>
      <c r="G159" s="9">
        <v>59121</v>
      </c>
      <c r="H159" s="6">
        <f t="shared" si="4"/>
        <v>36.760000000000005</v>
      </c>
      <c r="I159">
        <f t="shared" si="5"/>
        <v>-1.116341627437778E-2</v>
      </c>
    </row>
    <row r="160" spans="1:9" ht="15" customHeight="1" x14ac:dyDescent="0.2">
      <c r="A160" s="3">
        <v>45825</v>
      </c>
      <c r="B160" s="4">
        <v>37.18</v>
      </c>
      <c r="C160" s="4">
        <v>37.151000000000003</v>
      </c>
      <c r="D160" s="4">
        <v>37.17</v>
      </c>
      <c r="E160" s="4">
        <v>37.18</v>
      </c>
      <c r="F160" s="4">
        <v>84818</v>
      </c>
      <c r="G160" s="5">
        <v>79484</v>
      </c>
      <c r="H160" s="6">
        <f t="shared" si="4"/>
        <v>37.174999999999997</v>
      </c>
      <c r="I160">
        <f t="shared" si="5"/>
        <v>2.1993127147766245E-2</v>
      </c>
    </row>
    <row r="161" spans="1:9" ht="15" customHeight="1" x14ac:dyDescent="0.2">
      <c r="A161" s="7">
        <v>45824</v>
      </c>
      <c r="B161" s="8">
        <v>36.369999999999997</v>
      </c>
      <c r="C161" s="8">
        <v>36.448</v>
      </c>
      <c r="D161" s="8">
        <v>36.369999999999997</v>
      </c>
      <c r="E161" s="8">
        <v>36.380000000000003</v>
      </c>
      <c r="F161" s="8">
        <v>85740</v>
      </c>
      <c r="G161" s="9">
        <v>48581</v>
      </c>
      <c r="H161" s="6">
        <f t="shared" si="4"/>
        <v>36.375</v>
      </c>
      <c r="I161">
        <f t="shared" si="5"/>
        <v>-2.7483853236243139E-4</v>
      </c>
    </row>
    <row r="162" spans="1:9" ht="15" customHeight="1" x14ac:dyDescent="0.2">
      <c r="A162" s="3">
        <v>45821</v>
      </c>
      <c r="B162" s="4">
        <v>36.369999999999997</v>
      </c>
      <c r="C162" s="4">
        <v>36.354999999999997</v>
      </c>
      <c r="D162" s="4">
        <v>36.32</v>
      </c>
      <c r="E162" s="4">
        <v>36.450000000000003</v>
      </c>
      <c r="F162" s="4">
        <v>88969</v>
      </c>
      <c r="G162" s="5">
        <v>57485</v>
      </c>
      <c r="H162" s="6">
        <f t="shared" si="4"/>
        <v>36.385000000000005</v>
      </c>
      <c r="I162">
        <f t="shared" si="5"/>
        <v>-6.8662455369383757E-4</v>
      </c>
    </row>
    <row r="163" spans="1:9" ht="15" customHeight="1" x14ac:dyDescent="0.2">
      <c r="A163" s="7">
        <v>45820</v>
      </c>
      <c r="B163" s="8">
        <v>36.409999999999997</v>
      </c>
      <c r="C163" s="8">
        <v>36.295000000000002</v>
      </c>
      <c r="D163" s="8">
        <v>36.405000000000001</v>
      </c>
      <c r="E163" s="8">
        <v>36.414999999999999</v>
      </c>
      <c r="F163" s="8">
        <v>93632</v>
      </c>
      <c r="G163" s="9">
        <v>72692</v>
      </c>
      <c r="H163" s="6">
        <f t="shared" si="4"/>
        <v>36.409999999999997</v>
      </c>
      <c r="I163">
        <f t="shared" si="5"/>
        <v>1.2374535954902122E-3</v>
      </c>
    </row>
    <row r="164" spans="1:9" ht="15" customHeight="1" x14ac:dyDescent="0.2">
      <c r="A164" s="3">
        <v>45819</v>
      </c>
      <c r="B164" s="4">
        <v>36.365000000000002</v>
      </c>
      <c r="C164" s="4">
        <v>36.261000000000003</v>
      </c>
      <c r="D164" s="4">
        <v>36.36</v>
      </c>
      <c r="E164" s="4">
        <v>36.369999999999997</v>
      </c>
      <c r="F164" s="4">
        <v>100529</v>
      </c>
      <c r="G164" s="5">
        <v>73236</v>
      </c>
      <c r="H164" s="6">
        <f t="shared" si="4"/>
        <v>36.364999999999995</v>
      </c>
      <c r="I164">
        <f t="shared" si="5"/>
        <v>-7.9116082389852904E-3</v>
      </c>
    </row>
    <row r="165" spans="1:9" ht="15" customHeight="1" x14ac:dyDescent="0.2">
      <c r="A165" s="7">
        <v>45818</v>
      </c>
      <c r="B165" s="8">
        <v>36.655000000000001</v>
      </c>
      <c r="C165" s="8">
        <v>36.642000000000003</v>
      </c>
      <c r="D165" s="8">
        <v>36.65</v>
      </c>
      <c r="E165" s="8">
        <v>36.659999999999997</v>
      </c>
      <c r="F165" s="8">
        <v>107401</v>
      </c>
      <c r="G165" s="9">
        <v>61961</v>
      </c>
      <c r="H165" s="6">
        <f t="shared" si="4"/>
        <v>36.655000000000001</v>
      </c>
      <c r="I165">
        <f t="shared" si="5"/>
        <v>-6.9086968301271812E-3</v>
      </c>
    </row>
    <row r="166" spans="1:9" ht="15" customHeight="1" x14ac:dyDescent="0.2">
      <c r="A166" s="3">
        <v>45817</v>
      </c>
      <c r="B166" s="4">
        <v>36.905000000000001</v>
      </c>
      <c r="C166" s="4">
        <v>36.795999999999999</v>
      </c>
      <c r="D166" s="4">
        <v>36.905000000000001</v>
      </c>
      <c r="E166" s="4">
        <v>36.914999999999999</v>
      </c>
      <c r="F166" s="4">
        <v>113652</v>
      </c>
      <c r="G166" s="5">
        <v>75470</v>
      </c>
      <c r="H166" s="6">
        <f t="shared" si="4"/>
        <v>36.909999999999997</v>
      </c>
      <c r="I166">
        <f t="shared" si="5"/>
        <v>2.1800816665513034E-2</v>
      </c>
    </row>
    <row r="167" spans="1:9" ht="15" customHeight="1" x14ac:dyDescent="0.2">
      <c r="A167" s="7">
        <v>45814</v>
      </c>
      <c r="B167" s="8">
        <v>36.130000000000003</v>
      </c>
      <c r="C167" s="8">
        <v>36.139000000000003</v>
      </c>
      <c r="D167" s="8">
        <v>36.115000000000002</v>
      </c>
      <c r="E167" s="8">
        <v>36.130000000000003</v>
      </c>
      <c r="F167" s="8">
        <v>118897</v>
      </c>
      <c r="G167" s="9">
        <v>81652</v>
      </c>
      <c r="H167" s="6">
        <f t="shared" si="4"/>
        <v>36.122500000000002</v>
      </c>
      <c r="I167">
        <f t="shared" si="5"/>
        <v>8.9379233293764848E-3</v>
      </c>
    </row>
    <row r="168" spans="1:9" ht="15" customHeight="1" x14ac:dyDescent="0.2">
      <c r="A168" s="3">
        <v>45813</v>
      </c>
      <c r="B168" s="4">
        <v>35.799999999999997</v>
      </c>
      <c r="C168" s="4">
        <v>35.805</v>
      </c>
      <c r="D168" s="4">
        <v>35.795000000000002</v>
      </c>
      <c r="E168" s="4">
        <v>35.81</v>
      </c>
      <c r="F168" s="4">
        <v>117516</v>
      </c>
      <c r="G168" s="5">
        <v>110945</v>
      </c>
      <c r="H168" s="6">
        <f t="shared" si="4"/>
        <v>35.802500000000002</v>
      </c>
      <c r="I168">
        <f t="shared" si="5"/>
        <v>3.3112105035348449E-2</v>
      </c>
    </row>
    <row r="169" spans="1:9" ht="15" customHeight="1" x14ac:dyDescent="0.2">
      <c r="A169" s="7">
        <v>45812</v>
      </c>
      <c r="B169" s="8">
        <v>34.655000000000001</v>
      </c>
      <c r="C169" s="8">
        <v>34.648000000000003</v>
      </c>
      <c r="D169" s="8">
        <v>34.65</v>
      </c>
      <c r="E169" s="8">
        <v>34.659999999999997</v>
      </c>
      <c r="F169" s="8">
        <v>118227</v>
      </c>
      <c r="G169" s="9">
        <v>49127</v>
      </c>
      <c r="H169" s="6">
        <f t="shared" si="4"/>
        <v>34.655000000000001</v>
      </c>
      <c r="I169">
        <f t="shared" si="5"/>
        <v>-5.767844268204092E-4</v>
      </c>
    </row>
    <row r="170" spans="1:9" ht="15" customHeight="1" x14ac:dyDescent="0.2">
      <c r="A170" s="3">
        <v>45811</v>
      </c>
      <c r="B170" s="4">
        <v>34.674999999999997</v>
      </c>
      <c r="C170" s="4">
        <v>34.633000000000003</v>
      </c>
      <c r="D170" s="4">
        <v>34.67</v>
      </c>
      <c r="E170" s="4">
        <v>34.68</v>
      </c>
      <c r="F170" s="4">
        <v>117815</v>
      </c>
      <c r="G170" s="5">
        <v>73803</v>
      </c>
      <c r="H170" s="6">
        <f t="shared" si="4"/>
        <v>34.674999999999997</v>
      </c>
      <c r="I170">
        <f t="shared" si="5"/>
        <v>-7.3003149155455027E-3</v>
      </c>
    </row>
    <row r="171" spans="1:9" ht="15" customHeight="1" x14ac:dyDescent="0.2">
      <c r="A171" s="7">
        <v>45810</v>
      </c>
      <c r="B171" s="8">
        <v>34.93</v>
      </c>
      <c r="C171" s="8">
        <v>34.694000000000003</v>
      </c>
      <c r="D171" s="8">
        <v>34.924999999999997</v>
      </c>
      <c r="E171" s="8">
        <v>34.935000000000002</v>
      </c>
      <c r="F171" s="8">
        <v>110332</v>
      </c>
      <c r="G171" s="9">
        <v>87052</v>
      </c>
      <c r="H171" s="6">
        <f t="shared" si="4"/>
        <v>34.93</v>
      </c>
      <c r="I171">
        <f t="shared" si="5"/>
        <v>5.6244330208648385E-2</v>
      </c>
    </row>
    <row r="172" spans="1:9" ht="15" customHeight="1" x14ac:dyDescent="0.2">
      <c r="A172" s="3">
        <v>45807</v>
      </c>
      <c r="B172" s="4">
        <v>33.075000000000003</v>
      </c>
      <c r="C172" s="4">
        <v>33.029000000000003</v>
      </c>
      <c r="D172" s="4">
        <v>33.064999999999998</v>
      </c>
      <c r="E172" s="4">
        <v>33.075000000000003</v>
      </c>
      <c r="F172" s="4">
        <v>111156</v>
      </c>
      <c r="G172" s="5">
        <v>40787</v>
      </c>
      <c r="H172" s="6">
        <f t="shared" si="4"/>
        <v>33.07</v>
      </c>
      <c r="I172">
        <f t="shared" si="5"/>
        <v>-1.1138521342603069E-2</v>
      </c>
    </row>
    <row r="173" spans="1:9" ht="15" customHeight="1" x14ac:dyDescent="0.2">
      <c r="A173" s="7">
        <v>45806</v>
      </c>
      <c r="B173" s="8">
        <v>33.44</v>
      </c>
      <c r="C173" s="8">
        <v>33.423000000000002</v>
      </c>
      <c r="D173" s="8">
        <v>33.435000000000002</v>
      </c>
      <c r="E173" s="8">
        <v>33.450000000000003</v>
      </c>
      <c r="F173" s="8">
        <v>110346</v>
      </c>
      <c r="G173" s="9">
        <v>49553</v>
      </c>
      <c r="H173" s="6">
        <f t="shared" si="4"/>
        <v>33.442500000000003</v>
      </c>
      <c r="I173">
        <f t="shared" si="5"/>
        <v>1.0500075540111897E-2</v>
      </c>
    </row>
    <row r="174" spans="1:9" ht="15" customHeight="1" x14ac:dyDescent="0.2">
      <c r="A174" s="3">
        <v>45805</v>
      </c>
      <c r="B174" s="4">
        <v>33.094999999999999</v>
      </c>
      <c r="C174" s="4">
        <v>33.159999999999997</v>
      </c>
      <c r="D174" s="4">
        <v>33.090000000000003</v>
      </c>
      <c r="E174" s="4">
        <v>33.1</v>
      </c>
      <c r="F174" s="4">
        <v>110730</v>
      </c>
      <c r="G174" s="5">
        <v>40578</v>
      </c>
      <c r="H174" s="6">
        <f t="shared" si="4"/>
        <v>33.094999999999999</v>
      </c>
      <c r="I174">
        <f t="shared" si="5"/>
        <v>-8.6865358694026007E-3</v>
      </c>
    </row>
    <row r="175" spans="1:9" ht="15" customHeight="1" x14ac:dyDescent="0.2">
      <c r="A175" s="7">
        <v>45804</v>
      </c>
      <c r="B175" s="8">
        <v>33.384999999999998</v>
      </c>
      <c r="C175" s="8">
        <v>33.311</v>
      </c>
      <c r="D175" s="8">
        <v>33.380000000000003</v>
      </c>
      <c r="E175" s="8">
        <v>33.39</v>
      </c>
      <c r="F175" s="8">
        <v>112720</v>
      </c>
      <c r="G175" s="9">
        <v>59619</v>
      </c>
      <c r="H175" s="6">
        <f t="shared" si="4"/>
        <v>33.385000000000005</v>
      </c>
      <c r="I175">
        <f t="shared" si="5"/>
        <v>-7.654009065913403E-3</v>
      </c>
    </row>
    <row r="176" spans="1:9" ht="15" customHeight="1" x14ac:dyDescent="0.2">
      <c r="A176" s="3">
        <v>45800</v>
      </c>
      <c r="B176" s="4">
        <v>33.64</v>
      </c>
      <c r="C176" s="4">
        <v>33.609000000000002</v>
      </c>
      <c r="D176" s="4">
        <v>33.634999999999998</v>
      </c>
      <c r="E176" s="4">
        <v>33.65</v>
      </c>
      <c r="F176" s="4">
        <v>110427</v>
      </c>
      <c r="G176" s="5">
        <v>44845</v>
      </c>
      <c r="H176" s="6">
        <f t="shared" si="4"/>
        <v>33.642499999999998</v>
      </c>
      <c r="I176">
        <f t="shared" si="5"/>
        <v>1.3862728848037076E-2</v>
      </c>
    </row>
    <row r="177" spans="1:9" ht="15" customHeight="1" x14ac:dyDescent="0.2">
      <c r="A177" s="7">
        <v>45799</v>
      </c>
      <c r="B177" s="8">
        <v>33.18</v>
      </c>
      <c r="C177" s="8">
        <v>33.219000000000001</v>
      </c>
      <c r="D177" s="8">
        <v>33.18</v>
      </c>
      <c r="E177" s="8">
        <v>33.185000000000002</v>
      </c>
      <c r="F177" s="8">
        <v>111871</v>
      </c>
      <c r="G177" s="9">
        <v>65592</v>
      </c>
      <c r="H177" s="6">
        <f t="shared" si="4"/>
        <v>33.182500000000005</v>
      </c>
      <c r="I177">
        <f t="shared" si="5"/>
        <v>-1.1543044384867307E-2</v>
      </c>
    </row>
    <row r="178" spans="1:9" ht="15" customHeight="1" x14ac:dyDescent="0.2">
      <c r="A178" s="3">
        <v>45798</v>
      </c>
      <c r="B178" s="4">
        <v>33.575000000000003</v>
      </c>
      <c r="C178" s="4">
        <v>33.646000000000001</v>
      </c>
      <c r="D178" s="4">
        <v>33.564999999999998</v>
      </c>
      <c r="E178" s="4">
        <v>33.575000000000003</v>
      </c>
      <c r="F178" s="4">
        <v>108510</v>
      </c>
      <c r="G178" s="5">
        <v>58295</v>
      </c>
      <c r="H178" s="6">
        <f t="shared" si="4"/>
        <v>33.57</v>
      </c>
      <c r="I178">
        <f t="shared" si="5"/>
        <v>9.2446448703493722E-3</v>
      </c>
    </row>
    <row r="179" spans="1:9" ht="15" customHeight="1" x14ac:dyDescent="0.2">
      <c r="A179" s="7">
        <v>45797</v>
      </c>
      <c r="B179" s="8">
        <v>33.26</v>
      </c>
      <c r="C179" s="8">
        <v>33.173999999999999</v>
      </c>
      <c r="D179" s="8">
        <v>33.26</v>
      </c>
      <c r="E179" s="8">
        <v>33.265000000000001</v>
      </c>
      <c r="F179" s="8">
        <v>104823</v>
      </c>
      <c r="G179" s="9">
        <v>49504</v>
      </c>
      <c r="H179" s="6">
        <f t="shared" si="4"/>
        <v>33.262500000000003</v>
      </c>
      <c r="I179">
        <f t="shared" si="5"/>
        <v>2.3540272328640643E-2</v>
      </c>
    </row>
    <row r="180" spans="1:9" ht="15" customHeight="1" x14ac:dyDescent="0.2">
      <c r="A180" s="3">
        <v>45796</v>
      </c>
      <c r="B180" s="4">
        <v>32.494999999999997</v>
      </c>
      <c r="C180" s="4">
        <v>32.506999999999998</v>
      </c>
      <c r="D180" s="4">
        <v>32.494999999999997</v>
      </c>
      <c r="E180" s="4">
        <v>32.5</v>
      </c>
      <c r="F180" s="4">
        <v>104531</v>
      </c>
      <c r="G180" s="5">
        <v>33335</v>
      </c>
      <c r="H180" s="6">
        <f t="shared" si="4"/>
        <v>32.497500000000002</v>
      </c>
      <c r="I180">
        <f t="shared" si="5"/>
        <v>2.0041624913282874E-3</v>
      </c>
    </row>
    <row r="181" spans="1:9" ht="15" customHeight="1" x14ac:dyDescent="0.2">
      <c r="A181" s="7">
        <v>45793</v>
      </c>
      <c r="B181" s="8">
        <v>32.43</v>
      </c>
      <c r="C181" s="8">
        <v>32.353999999999999</v>
      </c>
      <c r="D181" s="8">
        <v>32.424999999999997</v>
      </c>
      <c r="E181" s="8">
        <v>32.44</v>
      </c>
      <c r="F181" s="8">
        <v>104831</v>
      </c>
      <c r="G181" s="9">
        <v>40113</v>
      </c>
      <c r="H181" s="6">
        <f t="shared" si="4"/>
        <v>32.432499999999997</v>
      </c>
      <c r="I181">
        <f t="shared" si="5"/>
        <v>-1.0978119996950531E-2</v>
      </c>
    </row>
    <row r="182" spans="1:9" ht="15" customHeight="1" x14ac:dyDescent="0.2">
      <c r="A182" s="3">
        <v>45792</v>
      </c>
      <c r="B182" s="4">
        <v>32.79</v>
      </c>
      <c r="C182" s="4">
        <v>32.68</v>
      </c>
      <c r="D182" s="4">
        <v>32.784999999999997</v>
      </c>
      <c r="E182" s="4">
        <v>32.799999999999997</v>
      </c>
      <c r="F182" s="4">
        <v>105095</v>
      </c>
      <c r="G182" s="5">
        <v>43996</v>
      </c>
      <c r="H182" s="6">
        <f t="shared" si="4"/>
        <v>32.792499999999997</v>
      </c>
      <c r="I182">
        <f t="shared" si="5"/>
        <v>1.2426674899660206E-2</v>
      </c>
    </row>
    <row r="183" spans="1:9" ht="15" customHeight="1" x14ac:dyDescent="0.2">
      <c r="A183" s="7">
        <v>45791</v>
      </c>
      <c r="B183" s="8">
        <v>32.39</v>
      </c>
      <c r="C183" s="8">
        <v>32.444000000000003</v>
      </c>
      <c r="D183" s="8">
        <v>32.384999999999998</v>
      </c>
      <c r="E183" s="8">
        <v>32.395000000000003</v>
      </c>
      <c r="F183" s="8">
        <v>105771</v>
      </c>
      <c r="G183" s="9">
        <v>46465</v>
      </c>
      <c r="H183" s="6">
        <f t="shared" si="4"/>
        <v>32.39</v>
      </c>
      <c r="I183">
        <f t="shared" si="5"/>
        <v>-2.1006498413178143E-2</v>
      </c>
    </row>
    <row r="184" spans="1:9" ht="15" customHeight="1" x14ac:dyDescent="0.2">
      <c r="A184" s="3">
        <v>45790</v>
      </c>
      <c r="B184" s="4">
        <v>33.090000000000003</v>
      </c>
      <c r="C184" s="4">
        <v>33.1</v>
      </c>
      <c r="D184" s="4">
        <v>33.08</v>
      </c>
      <c r="E184" s="4">
        <v>33.090000000000003</v>
      </c>
      <c r="F184" s="4">
        <v>106546</v>
      </c>
      <c r="G184" s="5">
        <v>47526</v>
      </c>
      <c r="H184" s="6">
        <f t="shared" si="4"/>
        <v>33.085000000000001</v>
      </c>
      <c r="I184">
        <f t="shared" si="5"/>
        <v>8.8428114041774197E-3</v>
      </c>
    </row>
    <row r="185" spans="1:9" ht="15" customHeight="1" x14ac:dyDescent="0.2">
      <c r="A185" s="7">
        <v>45789</v>
      </c>
      <c r="B185" s="8">
        <v>32.795000000000002</v>
      </c>
      <c r="C185" s="8">
        <v>32.624000000000002</v>
      </c>
      <c r="D185" s="8">
        <v>32.79</v>
      </c>
      <c r="E185" s="8">
        <v>32.799999999999997</v>
      </c>
      <c r="F185" s="8">
        <v>106309</v>
      </c>
      <c r="G185" s="9">
        <v>60607</v>
      </c>
      <c r="H185" s="6">
        <f t="shared" si="4"/>
        <v>32.795000000000002</v>
      </c>
      <c r="I185">
        <f t="shared" si="5"/>
        <v>-2.5093148809974819E-3</v>
      </c>
    </row>
    <row r="186" spans="1:9" ht="15" customHeight="1" x14ac:dyDescent="0.2">
      <c r="A186" s="3">
        <v>45786</v>
      </c>
      <c r="B186" s="4">
        <v>32.875</v>
      </c>
      <c r="C186" s="4">
        <v>32.914000000000001</v>
      </c>
      <c r="D186" s="4">
        <v>32.869999999999997</v>
      </c>
      <c r="E186" s="4">
        <v>32.884999999999998</v>
      </c>
      <c r="F186" s="4">
        <v>106229</v>
      </c>
      <c r="G186" s="5">
        <v>31573</v>
      </c>
      <c r="H186" s="6">
        <f t="shared" si="4"/>
        <v>32.877499999999998</v>
      </c>
      <c r="I186">
        <f t="shared" si="5"/>
        <v>8.203005213124781E-3</v>
      </c>
    </row>
    <row r="187" spans="1:9" ht="15" customHeight="1" x14ac:dyDescent="0.2">
      <c r="A187" s="7">
        <v>45785</v>
      </c>
      <c r="B187" s="8">
        <v>32.61</v>
      </c>
      <c r="C187" s="8">
        <v>32.616999999999997</v>
      </c>
      <c r="D187" s="8">
        <v>32.6</v>
      </c>
      <c r="E187" s="8">
        <v>32.619999999999997</v>
      </c>
      <c r="F187" s="8">
        <v>109220</v>
      </c>
      <c r="G187" s="9">
        <v>47499</v>
      </c>
      <c r="H187" s="6">
        <f t="shared" si="4"/>
        <v>32.61</v>
      </c>
      <c r="I187">
        <f t="shared" si="5"/>
        <v>-7.6657723265594058E-5</v>
      </c>
    </row>
    <row r="188" spans="1:9" ht="15" customHeight="1" x14ac:dyDescent="0.2">
      <c r="A188" s="3">
        <v>45784</v>
      </c>
      <c r="B188" s="4">
        <v>32.61</v>
      </c>
      <c r="C188" s="4">
        <v>32.790999999999997</v>
      </c>
      <c r="D188" s="4">
        <v>32.6</v>
      </c>
      <c r="E188" s="4">
        <v>32.625</v>
      </c>
      <c r="F188" s="4">
        <v>111364</v>
      </c>
      <c r="G188" s="5">
        <v>48612</v>
      </c>
      <c r="H188" s="6">
        <f t="shared" si="4"/>
        <v>32.612499999999997</v>
      </c>
      <c r="I188">
        <f t="shared" si="5"/>
        <v>-2.4891613096128085E-2</v>
      </c>
    </row>
    <row r="189" spans="1:9" ht="15" customHeight="1" x14ac:dyDescent="0.2">
      <c r="A189" s="7">
        <v>45783</v>
      </c>
      <c r="B189" s="8">
        <v>33.44</v>
      </c>
      <c r="C189" s="8">
        <v>33.381</v>
      </c>
      <c r="D189" s="8">
        <v>33.435000000000002</v>
      </c>
      <c r="E189" s="8">
        <v>33.454999999999998</v>
      </c>
      <c r="F189" s="8">
        <v>109710</v>
      </c>
      <c r="G189" s="9">
        <v>53799</v>
      </c>
      <c r="H189" s="6">
        <f t="shared" si="4"/>
        <v>33.445</v>
      </c>
      <c r="I189">
        <f t="shared" si="5"/>
        <v>2.3565416985462884E-2</v>
      </c>
    </row>
    <row r="190" spans="1:9" ht="15" customHeight="1" x14ac:dyDescent="0.2">
      <c r="A190" s="3">
        <v>45782</v>
      </c>
      <c r="B190" s="4">
        <v>32.674999999999997</v>
      </c>
      <c r="C190" s="4">
        <v>32.473999999999997</v>
      </c>
      <c r="D190" s="4">
        <v>32.664999999999999</v>
      </c>
      <c r="E190" s="4">
        <v>32.685000000000002</v>
      </c>
      <c r="F190" s="4">
        <v>109764</v>
      </c>
      <c r="G190" s="5">
        <v>32200</v>
      </c>
      <c r="H190" s="6">
        <f t="shared" si="4"/>
        <v>32.674999999999997</v>
      </c>
      <c r="I190">
        <f t="shared" si="5"/>
        <v>1.5303348092907676E-2</v>
      </c>
    </row>
    <row r="191" spans="1:9" ht="15" customHeight="1" x14ac:dyDescent="0.2">
      <c r="A191" s="7">
        <v>45779</v>
      </c>
      <c r="B191" s="8">
        <v>32.18</v>
      </c>
      <c r="C191" s="8">
        <v>32.259</v>
      </c>
      <c r="D191" s="8">
        <v>32.174999999999997</v>
      </c>
      <c r="E191" s="8">
        <v>32.19</v>
      </c>
      <c r="F191" s="8">
        <v>111036</v>
      </c>
      <c r="G191" s="9">
        <v>38955</v>
      </c>
      <c r="H191" s="6">
        <f t="shared" si="4"/>
        <v>32.182499999999997</v>
      </c>
      <c r="I191">
        <f t="shared" si="5"/>
        <v>-1.424305076958432E-2</v>
      </c>
    </row>
    <row r="192" spans="1:9" ht="15" customHeight="1" x14ac:dyDescent="0.2">
      <c r="A192" s="3">
        <v>45778</v>
      </c>
      <c r="B192" s="4">
        <v>32.65</v>
      </c>
      <c r="C192" s="4">
        <v>32.469000000000001</v>
      </c>
      <c r="D192" s="4">
        <v>32.64</v>
      </c>
      <c r="E192" s="4">
        <v>32.655000000000001</v>
      </c>
      <c r="F192" s="4">
        <v>110922</v>
      </c>
      <c r="G192" s="5">
        <v>41746</v>
      </c>
      <c r="H192" s="6">
        <f t="shared" si="4"/>
        <v>32.647500000000001</v>
      </c>
      <c r="I192">
        <f t="shared" si="5"/>
        <v>-5.2559414990859255E-3</v>
      </c>
    </row>
    <row r="193" spans="1:9" ht="15" customHeight="1" x14ac:dyDescent="0.2">
      <c r="A193" s="7">
        <v>45777</v>
      </c>
      <c r="B193" s="8">
        <v>32.82</v>
      </c>
      <c r="C193" s="8">
        <v>32.828000000000003</v>
      </c>
      <c r="D193" s="8">
        <v>32.81</v>
      </c>
      <c r="E193" s="8">
        <v>32.83</v>
      </c>
      <c r="F193" s="8">
        <v>114602</v>
      </c>
      <c r="G193" s="9">
        <v>50177</v>
      </c>
      <c r="H193" s="6">
        <f t="shared" si="4"/>
        <v>32.82</v>
      </c>
      <c r="I193">
        <f t="shared" si="5"/>
        <v>-1.1892217371669567E-2</v>
      </c>
    </row>
    <row r="194" spans="1:9" ht="15" customHeight="1" x14ac:dyDescent="0.2">
      <c r="A194" s="3">
        <v>45776</v>
      </c>
      <c r="B194" s="4">
        <v>33.215000000000003</v>
      </c>
      <c r="C194" s="4">
        <v>33.576999999999998</v>
      </c>
      <c r="D194" s="4">
        <v>33.204999999999998</v>
      </c>
      <c r="E194" s="4">
        <v>33.225000000000001</v>
      </c>
      <c r="F194" s="4">
        <v>113079</v>
      </c>
      <c r="G194" s="5">
        <v>51708</v>
      </c>
      <c r="H194" s="6">
        <f t="shared" si="4"/>
        <v>33.215000000000003</v>
      </c>
      <c r="I194">
        <f t="shared" si="5"/>
        <v>3.5501170783294178E-3</v>
      </c>
    </row>
    <row r="195" spans="1:9" ht="15" customHeight="1" x14ac:dyDescent="0.2">
      <c r="A195" s="7">
        <v>45775</v>
      </c>
      <c r="B195" s="8">
        <v>33.075000000000003</v>
      </c>
      <c r="C195" s="8">
        <v>33.005000000000003</v>
      </c>
      <c r="D195" s="8">
        <v>33.094999999999999</v>
      </c>
      <c r="E195" s="8">
        <v>33.1</v>
      </c>
      <c r="F195" s="8">
        <v>27404</v>
      </c>
      <c r="G195" s="9">
        <v>38136</v>
      </c>
      <c r="H195" s="6">
        <f t="shared" si="4"/>
        <v>33.097499999999997</v>
      </c>
      <c r="I195">
        <f t="shared" si="5"/>
        <v>2.3470623864325635E-3</v>
      </c>
    </row>
    <row r="196" spans="1:9" ht="15" customHeight="1" x14ac:dyDescent="0.2">
      <c r="A196" s="3">
        <v>45772</v>
      </c>
      <c r="B196" s="4">
        <v>33.020000000000003</v>
      </c>
      <c r="C196" s="4">
        <v>33.01</v>
      </c>
      <c r="D196" s="4">
        <v>33.01</v>
      </c>
      <c r="E196" s="4">
        <v>33.03</v>
      </c>
      <c r="F196" s="4">
        <v>34152</v>
      </c>
      <c r="G196" s="5">
        <v>52122</v>
      </c>
      <c r="H196" s="6">
        <f t="shared" si="4"/>
        <v>33.019999999999996</v>
      </c>
      <c r="I196">
        <f t="shared" si="5"/>
        <v>-1.5797317436661684E-2</v>
      </c>
    </row>
    <row r="197" spans="1:9" ht="15" customHeight="1" x14ac:dyDescent="0.2">
      <c r="A197" s="7">
        <v>45771</v>
      </c>
      <c r="B197" s="8">
        <v>33.555</v>
      </c>
      <c r="C197" s="8">
        <v>33.503</v>
      </c>
      <c r="D197" s="8">
        <v>33.545000000000002</v>
      </c>
      <c r="E197" s="8">
        <v>33.555</v>
      </c>
      <c r="F197" s="8">
        <v>42362</v>
      </c>
      <c r="G197" s="9">
        <v>52518</v>
      </c>
      <c r="H197" s="6">
        <f t="shared" ref="H197:H260" si="6">AVERAGE(D197:E197)</f>
        <v>33.549999999999997</v>
      </c>
      <c r="I197">
        <f t="shared" ref="I197:I260" si="7">H197/H198-1</f>
        <v>-2.9797377830764749E-4</v>
      </c>
    </row>
    <row r="198" spans="1:9" ht="15" customHeight="1" x14ac:dyDescent="0.2">
      <c r="A198" s="3">
        <v>45770</v>
      </c>
      <c r="B198" s="4">
        <v>33.564999999999998</v>
      </c>
      <c r="C198" s="4">
        <v>33.546999999999997</v>
      </c>
      <c r="D198" s="4">
        <v>33.549999999999997</v>
      </c>
      <c r="E198" s="4">
        <v>33.57</v>
      </c>
      <c r="F198" s="4">
        <v>46441</v>
      </c>
      <c r="G198" s="5">
        <v>86230</v>
      </c>
      <c r="H198" s="6">
        <f t="shared" si="6"/>
        <v>33.56</v>
      </c>
      <c r="I198">
        <f t="shared" si="7"/>
        <v>3.2933210218528908E-2</v>
      </c>
    </row>
    <row r="199" spans="1:9" ht="15" customHeight="1" x14ac:dyDescent="0.2">
      <c r="A199" s="7">
        <v>45769</v>
      </c>
      <c r="B199" s="8">
        <v>32.494999999999997</v>
      </c>
      <c r="C199" s="8">
        <v>32.905000000000001</v>
      </c>
      <c r="D199" s="8">
        <v>32.479999999999997</v>
      </c>
      <c r="E199" s="8">
        <v>32.5</v>
      </c>
      <c r="F199" s="8">
        <v>50667</v>
      </c>
      <c r="G199" s="9">
        <v>89939</v>
      </c>
      <c r="H199" s="6">
        <f t="shared" si="6"/>
        <v>32.489999999999995</v>
      </c>
      <c r="I199">
        <f t="shared" si="7"/>
        <v>-4.4430825800524376E-3</v>
      </c>
    </row>
    <row r="200" spans="1:9" ht="15" customHeight="1" x14ac:dyDescent="0.2">
      <c r="A200" s="3">
        <v>45768</v>
      </c>
      <c r="B200" s="4">
        <v>32.634999999999998</v>
      </c>
      <c r="C200" s="4">
        <v>32.521000000000001</v>
      </c>
      <c r="D200" s="4">
        <v>32.625</v>
      </c>
      <c r="E200" s="4">
        <v>32.645000000000003</v>
      </c>
      <c r="F200" s="4">
        <v>51458</v>
      </c>
      <c r="G200" s="5">
        <v>49362</v>
      </c>
      <c r="H200" s="6">
        <f t="shared" si="6"/>
        <v>32.635000000000005</v>
      </c>
      <c r="I200">
        <f t="shared" si="7"/>
        <v>1.9187965308158361E-3</v>
      </c>
    </row>
    <row r="201" spans="1:9" ht="15" customHeight="1" x14ac:dyDescent="0.2">
      <c r="A201" s="7">
        <v>45764</v>
      </c>
      <c r="B201" s="8">
        <v>32.545000000000002</v>
      </c>
      <c r="C201" s="8">
        <v>32.47</v>
      </c>
      <c r="D201" s="8">
        <v>32.53</v>
      </c>
      <c r="E201" s="8">
        <v>32.615000000000002</v>
      </c>
      <c r="F201" s="8">
        <v>56015</v>
      </c>
      <c r="G201" s="9">
        <v>49587</v>
      </c>
      <c r="H201" s="6">
        <f t="shared" si="6"/>
        <v>32.572500000000005</v>
      </c>
      <c r="I201">
        <f t="shared" si="7"/>
        <v>-5.7234432234432031E-3</v>
      </c>
    </row>
    <row r="202" spans="1:9" ht="15" customHeight="1" x14ac:dyDescent="0.2">
      <c r="A202" s="3">
        <v>45763</v>
      </c>
      <c r="B202" s="4">
        <v>32.76</v>
      </c>
      <c r="C202" s="4">
        <v>32.979999999999997</v>
      </c>
      <c r="D202" s="4">
        <v>32.75</v>
      </c>
      <c r="E202" s="4">
        <v>32.770000000000003</v>
      </c>
      <c r="F202" s="4">
        <v>60254</v>
      </c>
      <c r="G202" s="5">
        <v>61903</v>
      </c>
      <c r="H202" s="6">
        <f t="shared" si="6"/>
        <v>32.760000000000005</v>
      </c>
      <c r="I202">
        <f t="shared" si="7"/>
        <v>1.3849129593810572E-2</v>
      </c>
    </row>
    <row r="203" spans="1:9" ht="15" customHeight="1" x14ac:dyDescent="0.2">
      <c r="A203" s="7">
        <v>45762</v>
      </c>
      <c r="B203" s="8">
        <v>32.31</v>
      </c>
      <c r="C203" s="8">
        <v>32.296999999999997</v>
      </c>
      <c r="D203" s="8">
        <v>32.305</v>
      </c>
      <c r="E203" s="8">
        <v>32.32</v>
      </c>
      <c r="F203" s="8">
        <v>62913</v>
      </c>
      <c r="G203" s="9">
        <v>37894</v>
      </c>
      <c r="H203" s="6">
        <f t="shared" si="6"/>
        <v>32.3125</v>
      </c>
      <c r="I203">
        <f t="shared" si="7"/>
        <v>1.3945920818161373E-3</v>
      </c>
    </row>
    <row r="204" spans="1:9" ht="15" customHeight="1" x14ac:dyDescent="0.2">
      <c r="A204" s="3">
        <v>45761</v>
      </c>
      <c r="B204" s="4">
        <v>32.274999999999999</v>
      </c>
      <c r="C204" s="4">
        <v>32.167000000000002</v>
      </c>
      <c r="D204" s="4">
        <v>32.26</v>
      </c>
      <c r="E204" s="4">
        <v>32.274999999999999</v>
      </c>
      <c r="F204" s="4">
        <v>64952</v>
      </c>
      <c r="G204" s="5">
        <v>60119</v>
      </c>
      <c r="H204" s="6">
        <f t="shared" si="6"/>
        <v>32.267499999999998</v>
      </c>
      <c r="I204">
        <f t="shared" si="7"/>
        <v>2.4075799937868236E-3</v>
      </c>
    </row>
    <row r="205" spans="1:9" ht="15" customHeight="1" x14ac:dyDescent="0.2">
      <c r="A205" s="7">
        <v>45758</v>
      </c>
      <c r="B205" s="8">
        <v>32.195</v>
      </c>
      <c r="C205" s="8">
        <v>31.91</v>
      </c>
      <c r="D205" s="8">
        <v>32.185000000000002</v>
      </c>
      <c r="E205" s="8">
        <v>32.195</v>
      </c>
      <c r="F205" s="8">
        <v>75429</v>
      </c>
      <c r="G205" s="9">
        <v>89276</v>
      </c>
      <c r="H205" s="6">
        <f t="shared" si="6"/>
        <v>32.19</v>
      </c>
      <c r="I205">
        <f t="shared" si="7"/>
        <v>3.4549252771974848E-2</v>
      </c>
    </row>
    <row r="206" spans="1:9" ht="15" customHeight="1" x14ac:dyDescent="0.2">
      <c r="A206" s="3">
        <v>45757</v>
      </c>
      <c r="B206" s="4">
        <v>31.114999999999998</v>
      </c>
      <c r="C206" s="4">
        <v>30.759</v>
      </c>
      <c r="D206" s="4">
        <v>31.105</v>
      </c>
      <c r="E206" s="4">
        <v>31.125</v>
      </c>
      <c r="F206" s="4">
        <v>80091</v>
      </c>
      <c r="G206" s="5">
        <v>77126</v>
      </c>
      <c r="H206" s="6">
        <f t="shared" si="6"/>
        <v>31.115000000000002</v>
      </c>
      <c r="I206">
        <f t="shared" si="7"/>
        <v>4.9253128784820799E-3</v>
      </c>
    </row>
    <row r="207" spans="1:9" ht="15" customHeight="1" x14ac:dyDescent="0.2">
      <c r="A207" s="7">
        <v>45756</v>
      </c>
      <c r="B207" s="8">
        <v>30.965</v>
      </c>
      <c r="C207" s="8">
        <v>30.414999999999999</v>
      </c>
      <c r="D207" s="8">
        <v>30.954999999999998</v>
      </c>
      <c r="E207" s="8">
        <v>30.97</v>
      </c>
      <c r="F207" s="8">
        <v>86220</v>
      </c>
      <c r="G207" s="9">
        <v>93412</v>
      </c>
      <c r="H207" s="6">
        <f t="shared" si="6"/>
        <v>30.962499999999999</v>
      </c>
      <c r="I207">
        <f t="shared" si="7"/>
        <v>4.0581414888253953E-2</v>
      </c>
    </row>
    <row r="208" spans="1:9" ht="15" customHeight="1" x14ac:dyDescent="0.2">
      <c r="A208" s="3">
        <v>45755</v>
      </c>
      <c r="B208" s="4">
        <v>29.754999999999999</v>
      </c>
      <c r="C208" s="4">
        <v>29.686</v>
      </c>
      <c r="D208" s="4">
        <v>29.75</v>
      </c>
      <c r="E208" s="4">
        <v>29.76</v>
      </c>
      <c r="F208" s="4">
        <v>103924</v>
      </c>
      <c r="G208" s="5">
        <v>71906</v>
      </c>
      <c r="H208" s="6">
        <f t="shared" si="6"/>
        <v>29.755000000000003</v>
      </c>
      <c r="I208">
        <f t="shared" si="7"/>
        <v>-1.0804521276595591E-2</v>
      </c>
    </row>
    <row r="209" spans="1:9" ht="15" customHeight="1" x14ac:dyDescent="0.2">
      <c r="A209" s="7">
        <v>45754</v>
      </c>
      <c r="B209" s="8">
        <v>30.085000000000001</v>
      </c>
      <c r="C209" s="8">
        <v>29.603999999999999</v>
      </c>
      <c r="D209" s="8">
        <v>30.065000000000001</v>
      </c>
      <c r="E209" s="8">
        <v>30.094999999999999</v>
      </c>
      <c r="F209" s="8">
        <v>106991</v>
      </c>
      <c r="G209" s="9">
        <v>134449</v>
      </c>
      <c r="H209" s="6">
        <f t="shared" si="6"/>
        <v>30.08</v>
      </c>
      <c r="I209">
        <f t="shared" si="7"/>
        <v>1.8970189701896789E-2</v>
      </c>
    </row>
    <row r="210" spans="1:9" ht="15" customHeight="1" x14ac:dyDescent="0.2">
      <c r="A210" s="3">
        <v>45751</v>
      </c>
      <c r="B210" s="4">
        <v>29.524999999999999</v>
      </c>
      <c r="C210" s="4">
        <v>29.23</v>
      </c>
      <c r="D210" s="4">
        <v>29.51</v>
      </c>
      <c r="E210" s="4">
        <v>29.53</v>
      </c>
      <c r="F210" s="4">
        <v>111352</v>
      </c>
      <c r="G210" s="5">
        <v>122155</v>
      </c>
      <c r="H210" s="6">
        <f t="shared" si="6"/>
        <v>29.520000000000003</v>
      </c>
      <c r="I210">
        <f t="shared" si="7"/>
        <v>-7.5332811276429101E-2</v>
      </c>
    </row>
    <row r="211" spans="1:9" ht="15" customHeight="1" x14ac:dyDescent="0.2">
      <c r="A211" s="7">
        <v>45750</v>
      </c>
      <c r="B211" s="8">
        <v>31.925000000000001</v>
      </c>
      <c r="C211" s="8">
        <v>31.97</v>
      </c>
      <c r="D211" s="8">
        <v>31.92</v>
      </c>
      <c r="E211" s="8">
        <v>31.93</v>
      </c>
      <c r="F211" s="8">
        <v>120134</v>
      </c>
      <c r="G211" s="9">
        <v>146447</v>
      </c>
      <c r="H211" s="6">
        <f t="shared" si="6"/>
        <v>31.925000000000001</v>
      </c>
      <c r="I211">
        <f t="shared" si="7"/>
        <v>-8.6552217453505054E-2</v>
      </c>
    </row>
    <row r="212" spans="1:9" ht="15" customHeight="1" x14ac:dyDescent="0.2">
      <c r="A212" s="3">
        <v>45749</v>
      </c>
      <c r="B212" s="4">
        <v>34.994999999999997</v>
      </c>
      <c r="C212" s="4">
        <v>34.65</v>
      </c>
      <c r="D212" s="4">
        <v>34.9</v>
      </c>
      <c r="E212" s="4">
        <v>35</v>
      </c>
      <c r="F212" s="4">
        <v>121304</v>
      </c>
      <c r="G212" s="5">
        <v>60627</v>
      </c>
      <c r="H212" s="6">
        <f t="shared" si="6"/>
        <v>34.950000000000003</v>
      </c>
      <c r="I212">
        <f t="shared" si="7"/>
        <v>1.6875181844631992E-2</v>
      </c>
    </row>
    <row r="213" spans="1:9" ht="15" customHeight="1" x14ac:dyDescent="0.2">
      <c r="A213" s="7">
        <v>45748</v>
      </c>
      <c r="B213" s="8">
        <v>34.369999999999997</v>
      </c>
      <c r="C213" s="8">
        <v>34.308999999999997</v>
      </c>
      <c r="D213" s="8">
        <v>34.365000000000002</v>
      </c>
      <c r="E213" s="8">
        <v>34.375</v>
      </c>
      <c r="F213" s="8">
        <v>123769</v>
      </c>
      <c r="G213" s="9">
        <v>53260</v>
      </c>
      <c r="H213" s="6">
        <f t="shared" si="6"/>
        <v>34.370000000000005</v>
      </c>
      <c r="I213">
        <f t="shared" si="7"/>
        <v>-1.1362002013519223E-2</v>
      </c>
    </row>
    <row r="214" spans="1:9" ht="15" customHeight="1" x14ac:dyDescent="0.2">
      <c r="A214" s="3">
        <v>45747</v>
      </c>
      <c r="B214" s="4">
        <v>34.765000000000001</v>
      </c>
      <c r="C214" s="4">
        <v>34.610999999999997</v>
      </c>
      <c r="D214" s="4">
        <v>34.76</v>
      </c>
      <c r="E214" s="4">
        <v>34.770000000000003</v>
      </c>
      <c r="F214" s="4">
        <v>126137</v>
      </c>
      <c r="G214" s="5">
        <v>65330</v>
      </c>
      <c r="H214" s="6">
        <f t="shared" si="6"/>
        <v>34.765000000000001</v>
      </c>
      <c r="I214">
        <f t="shared" si="7"/>
        <v>-1.5795519816197423E-3</v>
      </c>
    </row>
    <row r="215" spans="1:9" ht="15" customHeight="1" x14ac:dyDescent="0.2">
      <c r="A215" s="7">
        <v>45744</v>
      </c>
      <c r="B215" s="8">
        <v>34.82</v>
      </c>
      <c r="C215" s="8">
        <v>34.814</v>
      </c>
      <c r="D215" s="8">
        <v>34.814999999999998</v>
      </c>
      <c r="E215" s="8">
        <v>34.825000000000003</v>
      </c>
      <c r="F215" s="8">
        <v>126498</v>
      </c>
      <c r="G215" s="9">
        <v>67031</v>
      </c>
      <c r="H215" s="6">
        <f t="shared" si="6"/>
        <v>34.82</v>
      </c>
      <c r="I215">
        <f t="shared" si="7"/>
        <v>-1.4156285390713452E-2</v>
      </c>
    </row>
    <row r="216" spans="1:9" ht="15" customHeight="1" x14ac:dyDescent="0.2">
      <c r="A216" s="3">
        <v>45743</v>
      </c>
      <c r="B216" s="4">
        <v>35.32</v>
      </c>
      <c r="C216" s="4">
        <v>35.082999999999998</v>
      </c>
      <c r="D216" s="4">
        <v>35.314999999999998</v>
      </c>
      <c r="E216" s="4">
        <v>35.325000000000003</v>
      </c>
      <c r="F216" s="4">
        <v>123912</v>
      </c>
      <c r="G216" s="5">
        <v>77024</v>
      </c>
      <c r="H216" s="6">
        <f t="shared" si="6"/>
        <v>35.32</v>
      </c>
      <c r="I216">
        <f t="shared" si="7"/>
        <v>3.2597573454173467E-2</v>
      </c>
    </row>
    <row r="217" spans="1:9" ht="15" customHeight="1" x14ac:dyDescent="0.2">
      <c r="A217" s="7">
        <v>45742</v>
      </c>
      <c r="B217" s="8">
        <v>34.204999999999998</v>
      </c>
      <c r="C217" s="8">
        <v>34.222000000000001</v>
      </c>
      <c r="D217" s="8">
        <v>34.200000000000003</v>
      </c>
      <c r="E217" s="8">
        <v>34.21</v>
      </c>
      <c r="F217" s="8">
        <v>125591</v>
      </c>
      <c r="G217" s="9">
        <v>42642</v>
      </c>
      <c r="H217" s="6">
        <f t="shared" si="6"/>
        <v>34.204999999999998</v>
      </c>
      <c r="I217">
        <f t="shared" si="7"/>
        <v>-1.3867600905043131E-3</v>
      </c>
    </row>
    <row r="218" spans="1:9" ht="15" customHeight="1" x14ac:dyDescent="0.2">
      <c r="A218" s="3">
        <v>45741</v>
      </c>
      <c r="B218" s="4">
        <v>34.25</v>
      </c>
      <c r="C218" s="4">
        <v>34.186999999999998</v>
      </c>
      <c r="D218" s="4">
        <v>34.25</v>
      </c>
      <c r="E218" s="4">
        <v>34.255000000000003</v>
      </c>
      <c r="F218" s="4">
        <v>124649</v>
      </c>
      <c r="G218" s="5">
        <v>45747</v>
      </c>
      <c r="H218" s="6">
        <f t="shared" si="6"/>
        <v>34.252499999999998</v>
      </c>
      <c r="I218">
        <f t="shared" si="7"/>
        <v>2.1624039967190978E-2</v>
      </c>
    </row>
    <row r="219" spans="1:9" ht="15" customHeight="1" x14ac:dyDescent="0.2">
      <c r="A219" s="7">
        <v>45740</v>
      </c>
      <c r="B219" s="8">
        <v>33.524999999999999</v>
      </c>
      <c r="C219" s="8">
        <v>33.450000000000003</v>
      </c>
      <c r="D219" s="8">
        <v>33.524999999999999</v>
      </c>
      <c r="E219" s="8">
        <v>33.53</v>
      </c>
      <c r="F219" s="8">
        <v>125326</v>
      </c>
      <c r="G219" s="9">
        <v>31732</v>
      </c>
      <c r="H219" s="6">
        <f t="shared" si="6"/>
        <v>33.527500000000003</v>
      </c>
      <c r="I219">
        <f t="shared" si="7"/>
        <v>-7.4560095436826401E-5</v>
      </c>
    </row>
    <row r="220" spans="1:9" ht="15" customHeight="1" x14ac:dyDescent="0.2">
      <c r="A220" s="3">
        <v>45737</v>
      </c>
      <c r="B220" s="4">
        <v>33.53</v>
      </c>
      <c r="C220" s="4">
        <v>33.485999999999997</v>
      </c>
      <c r="D220" s="4">
        <v>33.524999999999999</v>
      </c>
      <c r="E220" s="4">
        <v>33.534999999999997</v>
      </c>
      <c r="F220" s="4">
        <v>126961</v>
      </c>
      <c r="G220" s="5">
        <v>52649</v>
      </c>
      <c r="H220" s="6">
        <f t="shared" si="6"/>
        <v>33.53</v>
      </c>
      <c r="I220">
        <f t="shared" si="7"/>
        <v>-1.7147882163271122E-2</v>
      </c>
    </row>
    <row r="221" spans="1:9" ht="15" customHeight="1" x14ac:dyDescent="0.2">
      <c r="A221" s="7">
        <v>45736</v>
      </c>
      <c r="B221" s="8">
        <v>34.115000000000002</v>
      </c>
      <c r="C221" s="8">
        <v>33.991</v>
      </c>
      <c r="D221" s="8">
        <v>34.11</v>
      </c>
      <c r="E221" s="8">
        <v>34.119999999999997</v>
      </c>
      <c r="F221" s="8">
        <v>128154</v>
      </c>
      <c r="G221" s="9">
        <v>48782</v>
      </c>
      <c r="H221" s="6">
        <f t="shared" si="6"/>
        <v>34.114999999999995</v>
      </c>
      <c r="I221">
        <f t="shared" si="7"/>
        <v>-9.0770459661607683E-3</v>
      </c>
    </row>
    <row r="222" spans="1:9" ht="15" customHeight="1" x14ac:dyDescent="0.2">
      <c r="A222" s="3">
        <v>45735</v>
      </c>
      <c r="B222" s="4">
        <v>34.424999999999997</v>
      </c>
      <c r="C222" s="4">
        <v>34.204999999999998</v>
      </c>
      <c r="D222" s="4">
        <v>34.424999999999997</v>
      </c>
      <c r="E222" s="4">
        <v>34.43</v>
      </c>
      <c r="F222" s="4">
        <v>129270</v>
      </c>
      <c r="G222" s="5">
        <v>49540</v>
      </c>
      <c r="H222" s="6">
        <f t="shared" si="6"/>
        <v>34.427499999999995</v>
      </c>
      <c r="I222">
        <f t="shared" si="7"/>
        <v>-6.421356421356772E-3</v>
      </c>
    </row>
    <row r="223" spans="1:9" ht="15" customHeight="1" x14ac:dyDescent="0.2">
      <c r="A223" s="7">
        <v>45734</v>
      </c>
      <c r="B223" s="8">
        <v>34.65</v>
      </c>
      <c r="C223" s="8">
        <v>34.817999999999998</v>
      </c>
      <c r="D223" s="8">
        <v>34.645000000000003</v>
      </c>
      <c r="E223" s="8">
        <v>34.655000000000001</v>
      </c>
      <c r="F223" s="8">
        <v>127059</v>
      </c>
      <c r="G223" s="9">
        <v>55437</v>
      </c>
      <c r="H223" s="6">
        <f t="shared" si="6"/>
        <v>34.650000000000006</v>
      </c>
      <c r="I223">
        <f t="shared" si="7"/>
        <v>7.1210579857579059E-3</v>
      </c>
    </row>
    <row r="224" spans="1:9" ht="15" customHeight="1" x14ac:dyDescent="0.2">
      <c r="A224" s="3">
        <v>45733</v>
      </c>
      <c r="B224" s="4">
        <v>34.409999999999997</v>
      </c>
      <c r="C224" s="4">
        <v>34.308</v>
      </c>
      <c r="D224" s="4">
        <v>34.4</v>
      </c>
      <c r="E224" s="4">
        <v>34.409999999999997</v>
      </c>
      <c r="F224" s="4">
        <v>126978</v>
      </c>
      <c r="G224" s="5">
        <v>44484</v>
      </c>
      <c r="H224" s="6">
        <f t="shared" si="6"/>
        <v>34.405000000000001</v>
      </c>
      <c r="I224">
        <f t="shared" si="7"/>
        <v>1.3825220112055892E-3</v>
      </c>
    </row>
    <row r="225" spans="1:9" ht="15" customHeight="1" x14ac:dyDescent="0.2">
      <c r="A225" s="7">
        <v>45730</v>
      </c>
      <c r="B225" s="8">
        <v>34.36</v>
      </c>
      <c r="C225" s="8">
        <v>34.433</v>
      </c>
      <c r="D225" s="8">
        <v>34.35</v>
      </c>
      <c r="E225" s="8">
        <v>34.365000000000002</v>
      </c>
      <c r="F225" s="8">
        <v>126038</v>
      </c>
      <c r="G225" s="9">
        <v>58183</v>
      </c>
      <c r="H225" s="6">
        <f t="shared" si="6"/>
        <v>34.357500000000002</v>
      </c>
      <c r="I225">
        <f t="shared" si="7"/>
        <v>-3.8416932444185203E-3</v>
      </c>
    </row>
    <row r="226" spans="1:9" ht="15" customHeight="1" x14ac:dyDescent="0.2">
      <c r="A226" s="3">
        <v>45729</v>
      </c>
      <c r="B226" s="4">
        <v>34.49</v>
      </c>
      <c r="C226" s="4">
        <v>34.305999999999997</v>
      </c>
      <c r="D226" s="4">
        <v>34.484999999999999</v>
      </c>
      <c r="E226" s="4">
        <v>34.494999999999997</v>
      </c>
      <c r="F226" s="4">
        <v>121688</v>
      </c>
      <c r="G226" s="5">
        <v>72649</v>
      </c>
      <c r="H226" s="6">
        <f t="shared" si="6"/>
        <v>34.489999999999995</v>
      </c>
      <c r="I226">
        <f t="shared" si="7"/>
        <v>2.2380317178004816E-2</v>
      </c>
    </row>
    <row r="227" spans="1:9" ht="15" customHeight="1" x14ac:dyDescent="0.2">
      <c r="A227" s="7">
        <v>45728</v>
      </c>
      <c r="B227" s="8">
        <v>33.729999999999997</v>
      </c>
      <c r="C227" s="8">
        <v>33.743000000000002</v>
      </c>
      <c r="D227" s="8">
        <v>33.729999999999997</v>
      </c>
      <c r="E227" s="8">
        <v>33.74</v>
      </c>
      <c r="F227" s="8">
        <v>118643</v>
      </c>
      <c r="G227" s="9">
        <v>55659</v>
      </c>
      <c r="H227" s="6">
        <f t="shared" si="6"/>
        <v>33.734999999999999</v>
      </c>
      <c r="I227">
        <f t="shared" si="7"/>
        <v>1.0786516853932504E-2</v>
      </c>
    </row>
    <row r="228" spans="1:9" ht="15" customHeight="1" x14ac:dyDescent="0.2">
      <c r="A228" s="3">
        <v>45727</v>
      </c>
      <c r="B228" s="4">
        <v>33.380000000000003</v>
      </c>
      <c r="C228" s="4">
        <v>33.146999999999998</v>
      </c>
      <c r="D228" s="4">
        <v>33.369999999999997</v>
      </c>
      <c r="E228" s="4">
        <v>33.380000000000003</v>
      </c>
      <c r="F228" s="4">
        <v>117147</v>
      </c>
      <c r="G228" s="5">
        <v>56801</v>
      </c>
      <c r="H228" s="6">
        <f t="shared" si="6"/>
        <v>33.375</v>
      </c>
      <c r="I228">
        <f t="shared" si="7"/>
        <v>2.8188539741220042E-2</v>
      </c>
    </row>
    <row r="229" spans="1:9" ht="15" customHeight="1" x14ac:dyDescent="0.2">
      <c r="A229" s="7">
        <v>45726</v>
      </c>
      <c r="B229" s="8">
        <v>32.46</v>
      </c>
      <c r="C229" s="8">
        <v>32.53</v>
      </c>
      <c r="D229" s="8">
        <v>32.454999999999998</v>
      </c>
      <c r="E229" s="8">
        <v>32.465000000000003</v>
      </c>
      <c r="F229" s="8">
        <v>116795</v>
      </c>
      <c r="G229" s="9">
        <v>50093</v>
      </c>
      <c r="H229" s="6">
        <f t="shared" si="6"/>
        <v>32.46</v>
      </c>
      <c r="I229">
        <f t="shared" si="7"/>
        <v>-1.3823484733404223E-2</v>
      </c>
    </row>
    <row r="230" spans="1:9" ht="15" customHeight="1" x14ac:dyDescent="0.2">
      <c r="A230" s="3">
        <v>45723</v>
      </c>
      <c r="B230" s="4">
        <v>32.914999999999999</v>
      </c>
      <c r="C230" s="4">
        <v>32.808999999999997</v>
      </c>
      <c r="D230" s="4">
        <v>32.909999999999997</v>
      </c>
      <c r="E230" s="4">
        <v>32.92</v>
      </c>
      <c r="F230" s="4">
        <v>117329</v>
      </c>
      <c r="G230" s="5">
        <v>57939</v>
      </c>
      <c r="H230" s="6">
        <f t="shared" si="6"/>
        <v>32.914999999999999</v>
      </c>
      <c r="I230">
        <f t="shared" si="7"/>
        <v>-8.8828666064438844E-3</v>
      </c>
    </row>
    <row r="231" spans="1:9" ht="15" customHeight="1" x14ac:dyDescent="0.2">
      <c r="A231" s="7">
        <v>45722</v>
      </c>
      <c r="B231" s="8">
        <v>33.21</v>
      </c>
      <c r="C231" s="8">
        <v>33.338000000000001</v>
      </c>
      <c r="D231" s="8">
        <v>33.204999999999998</v>
      </c>
      <c r="E231" s="8">
        <v>33.215000000000003</v>
      </c>
      <c r="F231" s="8">
        <v>116305</v>
      </c>
      <c r="G231" s="9">
        <v>50335</v>
      </c>
      <c r="H231" s="6">
        <f t="shared" si="6"/>
        <v>33.21</v>
      </c>
      <c r="I231">
        <f t="shared" si="7"/>
        <v>-7.5221904618616442E-4</v>
      </c>
    </row>
    <row r="232" spans="1:9" ht="15" customHeight="1" x14ac:dyDescent="0.2">
      <c r="A232" s="3">
        <v>45721</v>
      </c>
      <c r="B232" s="4">
        <v>33.24</v>
      </c>
      <c r="C232" s="4">
        <v>33.134</v>
      </c>
      <c r="D232" s="4">
        <v>33.229999999999997</v>
      </c>
      <c r="E232" s="4">
        <v>33.24</v>
      </c>
      <c r="F232" s="4">
        <v>113623</v>
      </c>
      <c r="G232" s="5">
        <v>63190</v>
      </c>
      <c r="H232" s="6">
        <f t="shared" si="6"/>
        <v>33.234999999999999</v>
      </c>
      <c r="I232">
        <f t="shared" si="7"/>
        <v>2.0417562173779435E-2</v>
      </c>
    </row>
    <row r="233" spans="1:9" ht="15" customHeight="1" x14ac:dyDescent="0.2">
      <c r="A233" s="7">
        <v>45720</v>
      </c>
      <c r="B233" s="8">
        <v>32.57</v>
      </c>
      <c r="C233" s="8">
        <v>32.381</v>
      </c>
      <c r="D233" s="8">
        <v>32.564999999999998</v>
      </c>
      <c r="E233" s="8">
        <v>32.575000000000003</v>
      </c>
      <c r="F233" s="8">
        <v>114054</v>
      </c>
      <c r="G233" s="9">
        <v>49980</v>
      </c>
      <c r="H233" s="6">
        <f t="shared" si="6"/>
        <v>32.57</v>
      </c>
      <c r="I233">
        <f t="shared" si="7"/>
        <v>9.3747578833192069E-3</v>
      </c>
    </row>
    <row r="234" spans="1:9" ht="15" customHeight="1" x14ac:dyDescent="0.2">
      <c r="A234" s="3">
        <v>45719</v>
      </c>
      <c r="B234" s="4">
        <v>32.265000000000001</v>
      </c>
      <c r="C234" s="4">
        <v>32.31</v>
      </c>
      <c r="D234" s="4">
        <v>32.265000000000001</v>
      </c>
      <c r="E234" s="4">
        <v>32.270000000000003</v>
      </c>
      <c r="F234" s="4">
        <v>114517</v>
      </c>
      <c r="G234" s="5">
        <v>60853</v>
      </c>
      <c r="H234" s="6">
        <f t="shared" si="6"/>
        <v>32.267499999999998</v>
      </c>
      <c r="I234">
        <f t="shared" si="7"/>
        <v>1.8062785928379732E-2</v>
      </c>
    </row>
    <row r="235" spans="1:9" ht="15" customHeight="1" x14ac:dyDescent="0.2">
      <c r="A235" s="7">
        <v>45716</v>
      </c>
      <c r="B235" s="8">
        <v>31.7</v>
      </c>
      <c r="C235" s="8">
        <v>31.495999999999999</v>
      </c>
      <c r="D235" s="8">
        <v>31.69</v>
      </c>
      <c r="E235" s="8">
        <v>31.7</v>
      </c>
      <c r="F235" s="8">
        <v>116279</v>
      </c>
      <c r="G235" s="9">
        <v>53715</v>
      </c>
      <c r="H235" s="6">
        <f t="shared" si="6"/>
        <v>31.695</v>
      </c>
      <c r="I235">
        <f t="shared" si="7"/>
        <v>-5.1789077212806012E-3</v>
      </c>
    </row>
    <row r="236" spans="1:9" ht="15" customHeight="1" x14ac:dyDescent="0.2">
      <c r="A236" s="3">
        <v>45715</v>
      </c>
      <c r="B236" s="4">
        <v>31.86</v>
      </c>
      <c r="C236" s="4">
        <v>32.11</v>
      </c>
      <c r="D236" s="4">
        <v>31.855</v>
      </c>
      <c r="E236" s="4">
        <v>31.864999999999998</v>
      </c>
      <c r="F236" s="4">
        <v>113624</v>
      </c>
      <c r="G236" s="5">
        <v>62250</v>
      </c>
      <c r="H236" s="6">
        <f t="shared" si="6"/>
        <v>31.86</v>
      </c>
      <c r="I236">
        <f t="shared" si="7"/>
        <v>-7.9402148528725514E-3</v>
      </c>
    </row>
    <row r="237" spans="1:9" ht="15" customHeight="1" x14ac:dyDescent="0.2">
      <c r="A237" s="7">
        <v>45714</v>
      </c>
      <c r="B237" s="8">
        <v>32.225000000000001</v>
      </c>
      <c r="C237" s="8">
        <v>32.271999999999998</v>
      </c>
      <c r="D237" s="8">
        <v>32.005000000000003</v>
      </c>
      <c r="E237" s="8">
        <v>32.225000000000001</v>
      </c>
      <c r="F237" s="8">
        <v>29794</v>
      </c>
      <c r="G237" s="9">
        <v>36290</v>
      </c>
      <c r="H237" s="6">
        <f t="shared" si="6"/>
        <v>32.115000000000002</v>
      </c>
      <c r="I237">
        <f t="shared" si="7"/>
        <v>1.9499259028157301E-3</v>
      </c>
    </row>
    <row r="238" spans="1:9" ht="15" customHeight="1" x14ac:dyDescent="0.2">
      <c r="A238" s="3">
        <v>45713</v>
      </c>
      <c r="B238" s="4">
        <v>32.055</v>
      </c>
      <c r="C238" s="4">
        <v>31.826000000000001</v>
      </c>
      <c r="D238" s="4">
        <v>32.045000000000002</v>
      </c>
      <c r="E238" s="4">
        <v>32.06</v>
      </c>
      <c r="F238" s="4">
        <v>41218</v>
      </c>
      <c r="G238" s="5">
        <v>71045</v>
      </c>
      <c r="H238" s="6">
        <f t="shared" si="6"/>
        <v>32.052500000000002</v>
      </c>
      <c r="I238">
        <f t="shared" si="7"/>
        <v>-2.0250649549136468E-2</v>
      </c>
    </row>
    <row r="239" spans="1:9" ht="15" customHeight="1" x14ac:dyDescent="0.2">
      <c r="A239" s="7">
        <v>45712</v>
      </c>
      <c r="B239" s="8">
        <v>32.715000000000003</v>
      </c>
      <c r="C239" s="8">
        <v>32.603000000000002</v>
      </c>
      <c r="D239" s="8">
        <v>32.71</v>
      </c>
      <c r="E239" s="8">
        <v>32.72</v>
      </c>
      <c r="F239" s="8">
        <v>52997</v>
      </c>
      <c r="G239" s="9">
        <v>63946</v>
      </c>
      <c r="H239" s="6">
        <f t="shared" si="6"/>
        <v>32.715000000000003</v>
      </c>
      <c r="I239">
        <f t="shared" si="7"/>
        <v>-3.5787710347978674E-3</v>
      </c>
    </row>
    <row r="240" spans="1:9" ht="15" customHeight="1" x14ac:dyDescent="0.2">
      <c r="A240" s="3">
        <v>45709</v>
      </c>
      <c r="B240" s="4">
        <v>32.83</v>
      </c>
      <c r="C240" s="4">
        <v>33.012</v>
      </c>
      <c r="D240" s="4">
        <v>32.825000000000003</v>
      </c>
      <c r="E240" s="4">
        <v>32.840000000000003</v>
      </c>
      <c r="F240" s="4">
        <v>65740</v>
      </c>
      <c r="G240" s="5">
        <v>62248</v>
      </c>
      <c r="H240" s="6">
        <f t="shared" si="6"/>
        <v>32.832500000000003</v>
      </c>
      <c r="I240">
        <f t="shared" si="7"/>
        <v>-1.8533741872804654E-2</v>
      </c>
    </row>
    <row r="241" spans="1:9" ht="15" customHeight="1" x14ac:dyDescent="0.2">
      <c r="A241" s="7">
        <v>45708</v>
      </c>
      <c r="B241" s="8">
        <v>33.454999999999998</v>
      </c>
      <c r="C241" s="8">
        <v>33.485999999999997</v>
      </c>
      <c r="D241" s="8">
        <v>33.445</v>
      </c>
      <c r="E241" s="8">
        <v>33.46</v>
      </c>
      <c r="F241" s="8">
        <v>71765</v>
      </c>
      <c r="G241" s="9">
        <v>55739</v>
      </c>
      <c r="H241" s="6">
        <f t="shared" si="6"/>
        <v>33.452500000000001</v>
      </c>
      <c r="I241">
        <f t="shared" si="7"/>
        <v>9.4296922148460194E-3</v>
      </c>
    </row>
    <row r="242" spans="1:9" ht="15" customHeight="1" x14ac:dyDescent="0.2">
      <c r="A242" s="3">
        <v>45707</v>
      </c>
      <c r="B242" s="4">
        <v>33.14</v>
      </c>
      <c r="C242" s="4">
        <v>33.042999999999999</v>
      </c>
      <c r="D242" s="4">
        <v>33.134999999999998</v>
      </c>
      <c r="E242" s="4">
        <v>33.145000000000003</v>
      </c>
      <c r="F242" s="4">
        <v>78626</v>
      </c>
      <c r="G242" s="5">
        <v>53279</v>
      </c>
      <c r="H242" s="6">
        <f t="shared" si="6"/>
        <v>33.14</v>
      </c>
      <c r="I242">
        <f t="shared" si="7"/>
        <v>-8.3782166367445399E-3</v>
      </c>
    </row>
    <row r="243" spans="1:9" ht="15" customHeight="1" x14ac:dyDescent="0.2">
      <c r="A243" s="7">
        <v>45706</v>
      </c>
      <c r="B243" s="8">
        <v>33.414999999999999</v>
      </c>
      <c r="C243" s="8">
        <v>33.372999999999998</v>
      </c>
      <c r="D243" s="8">
        <v>33.414999999999999</v>
      </c>
      <c r="E243" s="8">
        <v>33.424999999999997</v>
      </c>
      <c r="F243" s="8">
        <v>81480</v>
      </c>
      <c r="G243" s="9">
        <v>69972</v>
      </c>
      <c r="H243" s="6">
        <f t="shared" si="6"/>
        <v>33.42</v>
      </c>
      <c r="I243">
        <f t="shared" si="7"/>
        <v>2.3505091493760011E-2</v>
      </c>
    </row>
    <row r="244" spans="1:9" ht="15" customHeight="1" x14ac:dyDescent="0.2">
      <c r="A244" s="3">
        <v>45702</v>
      </c>
      <c r="B244" s="4">
        <v>32.655000000000001</v>
      </c>
      <c r="C244" s="4">
        <v>32.854999999999997</v>
      </c>
      <c r="D244" s="4">
        <v>32.645000000000003</v>
      </c>
      <c r="E244" s="4">
        <v>32.659999999999997</v>
      </c>
      <c r="F244" s="4">
        <v>84388</v>
      </c>
      <c r="G244" s="5">
        <v>105479</v>
      </c>
      <c r="H244" s="6">
        <f t="shared" si="6"/>
        <v>32.652500000000003</v>
      </c>
      <c r="I244">
        <f t="shared" si="7"/>
        <v>-9.9302607640994189E-3</v>
      </c>
    </row>
    <row r="245" spans="1:9" ht="15" customHeight="1" x14ac:dyDescent="0.2">
      <c r="A245" s="7">
        <v>45701</v>
      </c>
      <c r="B245" s="8">
        <v>32.979999999999997</v>
      </c>
      <c r="C245" s="8">
        <v>32.725999999999999</v>
      </c>
      <c r="D245" s="8">
        <v>32.97</v>
      </c>
      <c r="E245" s="8">
        <v>32.99</v>
      </c>
      <c r="F245" s="8">
        <v>90517</v>
      </c>
      <c r="G245" s="9">
        <v>52442</v>
      </c>
      <c r="H245" s="6">
        <f t="shared" si="6"/>
        <v>32.980000000000004</v>
      </c>
      <c r="I245">
        <f t="shared" si="7"/>
        <v>8.4855897867137653E-3</v>
      </c>
    </row>
    <row r="246" spans="1:9" ht="15" customHeight="1" x14ac:dyDescent="0.2">
      <c r="A246" s="3">
        <v>45700</v>
      </c>
      <c r="B246" s="4">
        <v>32.704999999999998</v>
      </c>
      <c r="C246" s="4">
        <v>32.784999999999997</v>
      </c>
      <c r="D246" s="4">
        <v>32.695</v>
      </c>
      <c r="E246" s="4">
        <v>32.71</v>
      </c>
      <c r="F246" s="4">
        <v>96391</v>
      </c>
      <c r="G246" s="5">
        <v>61146</v>
      </c>
      <c r="H246" s="6">
        <f t="shared" si="6"/>
        <v>32.702500000000001</v>
      </c>
      <c r="I246">
        <f t="shared" si="7"/>
        <v>1.4031007751938107E-2</v>
      </c>
    </row>
    <row r="247" spans="1:9" ht="15" customHeight="1" x14ac:dyDescent="0.2">
      <c r="A247" s="7">
        <v>45699</v>
      </c>
      <c r="B247" s="8">
        <v>32.255000000000003</v>
      </c>
      <c r="C247" s="8">
        <v>32.322000000000003</v>
      </c>
      <c r="D247" s="8">
        <v>32.244999999999997</v>
      </c>
      <c r="E247" s="8">
        <v>32.255000000000003</v>
      </c>
      <c r="F247" s="8">
        <v>104593</v>
      </c>
      <c r="G247" s="9">
        <v>63982</v>
      </c>
      <c r="H247" s="6">
        <f t="shared" si="6"/>
        <v>32.25</v>
      </c>
      <c r="I247">
        <f t="shared" si="7"/>
        <v>-7.4632607524813821E-3</v>
      </c>
    </row>
    <row r="248" spans="1:9" ht="15" customHeight="1" x14ac:dyDescent="0.2">
      <c r="A248" s="3">
        <v>45698</v>
      </c>
      <c r="B248" s="4">
        <v>32.494999999999997</v>
      </c>
      <c r="C248" s="4">
        <v>32.491</v>
      </c>
      <c r="D248" s="4">
        <v>32.49</v>
      </c>
      <c r="E248" s="4">
        <v>32.494999999999997</v>
      </c>
      <c r="F248" s="4">
        <v>109247</v>
      </c>
      <c r="G248" s="5">
        <v>52092</v>
      </c>
      <c r="H248" s="6">
        <f t="shared" si="6"/>
        <v>32.4925</v>
      </c>
      <c r="I248">
        <f t="shared" si="7"/>
        <v>9.6325642818302359E-3</v>
      </c>
    </row>
    <row r="249" spans="1:9" ht="15" customHeight="1" x14ac:dyDescent="0.2">
      <c r="A249" s="7">
        <v>45695</v>
      </c>
      <c r="B249" s="8">
        <v>32.185000000000002</v>
      </c>
      <c r="C249" s="8">
        <v>32.442999999999998</v>
      </c>
      <c r="D249" s="8">
        <v>32.174999999999997</v>
      </c>
      <c r="E249" s="8">
        <v>32.19</v>
      </c>
      <c r="F249" s="8">
        <v>117576</v>
      </c>
      <c r="G249" s="9">
        <v>75491</v>
      </c>
      <c r="H249" s="6">
        <f t="shared" si="6"/>
        <v>32.182499999999997</v>
      </c>
      <c r="I249">
        <f t="shared" si="7"/>
        <v>-1.4469453376205865E-2</v>
      </c>
    </row>
    <row r="250" spans="1:9" ht="15" customHeight="1" x14ac:dyDescent="0.2">
      <c r="A250" s="3">
        <v>45694</v>
      </c>
      <c r="B250" s="4">
        <v>32.655000000000001</v>
      </c>
      <c r="C250" s="4">
        <v>32.625999999999998</v>
      </c>
      <c r="D250" s="4">
        <v>32.65</v>
      </c>
      <c r="E250" s="4">
        <v>32.659999999999997</v>
      </c>
      <c r="F250" s="4">
        <v>118776</v>
      </c>
      <c r="G250" s="5">
        <v>53028</v>
      </c>
      <c r="H250" s="6">
        <f t="shared" si="6"/>
        <v>32.655000000000001</v>
      </c>
      <c r="I250">
        <f t="shared" si="7"/>
        <v>-2.8246431025269469E-3</v>
      </c>
    </row>
    <row r="251" spans="1:9" ht="15" customHeight="1" x14ac:dyDescent="0.2">
      <c r="A251" s="7">
        <v>45693</v>
      </c>
      <c r="B251" s="8">
        <v>32.744999999999997</v>
      </c>
      <c r="C251" s="8">
        <v>32.975999999999999</v>
      </c>
      <c r="D251" s="8">
        <v>32.74</v>
      </c>
      <c r="E251" s="8">
        <v>32.755000000000003</v>
      </c>
      <c r="F251" s="8">
        <v>121368</v>
      </c>
      <c r="G251" s="9">
        <v>65296</v>
      </c>
      <c r="H251" s="6">
        <f t="shared" si="6"/>
        <v>32.747500000000002</v>
      </c>
      <c r="I251">
        <f t="shared" si="7"/>
        <v>-4.0298053527978439E-3</v>
      </c>
    </row>
    <row r="252" spans="1:9" ht="15" customHeight="1" x14ac:dyDescent="0.2">
      <c r="A252" s="3">
        <v>45692</v>
      </c>
      <c r="B252" s="4">
        <v>32.880000000000003</v>
      </c>
      <c r="C252" s="4">
        <v>33.021999999999998</v>
      </c>
      <c r="D252" s="4">
        <v>32.875</v>
      </c>
      <c r="E252" s="4">
        <v>32.884999999999998</v>
      </c>
      <c r="F252" s="4">
        <v>118634</v>
      </c>
      <c r="G252" s="5">
        <v>59232</v>
      </c>
      <c r="H252" s="6">
        <f t="shared" si="6"/>
        <v>32.879999999999995</v>
      </c>
      <c r="I252">
        <f t="shared" si="7"/>
        <v>1.075929910851503E-2</v>
      </c>
    </row>
    <row r="253" spans="1:9" ht="15" customHeight="1" x14ac:dyDescent="0.2">
      <c r="A253" s="7">
        <v>45691</v>
      </c>
      <c r="B253" s="8">
        <v>32.549999999999997</v>
      </c>
      <c r="C253" s="8">
        <v>32.526000000000003</v>
      </c>
      <c r="D253" s="8">
        <v>32.465000000000003</v>
      </c>
      <c r="E253" s="8">
        <v>32.594999999999999</v>
      </c>
      <c r="F253" s="8">
        <v>120706</v>
      </c>
      <c r="G253" s="9">
        <v>75925</v>
      </c>
      <c r="H253" s="6">
        <f t="shared" si="6"/>
        <v>32.53</v>
      </c>
      <c r="I253">
        <f t="shared" si="7"/>
        <v>9.3080980452993067E-3</v>
      </c>
    </row>
    <row r="254" spans="1:9" ht="15" customHeight="1" x14ac:dyDescent="0.2">
      <c r="A254" s="3">
        <v>45688</v>
      </c>
      <c r="B254" s="4">
        <v>32.234999999999999</v>
      </c>
      <c r="C254" s="4">
        <v>32.265000000000001</v>
      </c>
      <c r="D254" s="4">
        <v>32.225000000000001</v>
      </c>
      <c r="E254" s="4">
        <v>32.234999999999999</v>
      </c>
      <c r="F254" s="4">
        <v>122446</v>
      </c>
      <c r="G254" s="5">
        <v>63335</v>
      </c>
      <c r="H254" s="6">
        <f t="shared" si="6"/>
        <v>32.230000000000004</v>
      </c>
      <c r="I254">
        <f t="shared" si="7"/>
        <v>-1.6328399206470223E-2</v>
      </c>
    </row>
    <row r="255" spans="1:9" ht="15" customHeight="1" x14ac:dyDescent="0.2">
      <c r="A255" s="7">
        <v>45687</v>
      </c>
      <c r="B255" s="8">
        <v>32.770000000000003</v>
      </c>
      <c r="C255" s="8">
        <v>32.493000000000002</v>
      </c>
      <c r="D255" s="8">
        <v>32.76</v>
      </c>
      <c r="E255" s="8">
        <v>32.770000000000003</v>
      </c>
      <c r="F255" s="8">
        <v>119231</v>
      </c>
      <c r="G255" s="9">
        <v>65627</v>
      </c>
      <c r="H255" s="6">
        <f t="shared" si="6"/>
        <v>32.765000000000001</v>
      </c>
      <c r="I255">
        <f t="shared" si="7"/>
        <v>3.7688044338875626E-2</v>
      </c>
    </row>
    <row r="256" spans="1:9" ht="15" customHeight="1" x14ac:dyDescent="0.2">
      <c r="A256" s="3">
        <v>45686</v>
      </c>
      <c r="B256" s="4">
        <v>31.574999999999999</v>
      </c>
      <c r="C256" s="4">
        <v>31.393000000000001</v>
      </c>
      <c r="D256" s="4">
        <v>31.57</v>
      </c>
      <c r="E256" s="4">
        <v>31.58</v>
      </c>
      <c r="F256" s="4">
        <v>119557</v>
      </c>
      <c r="G256" s="5">
        <v>59407</v>
      </c>
      <c r="H256" s="6">
        <f t="shared" si="6"/>
        <v>31.574999999999999</v>
      </c>
      <c r="I256">
        <f t="shared" si="7"/>
        <v>2.0358700920988904E-2</v>
      </c>
    </row>
    <row r="257" spans="1:9" ht="15" customHeight="1" x14ac:dyDescent="0.2">
      <c r="A257" s="7">
        <v>45685</v>
      </c>
      <c r="B257" s="8">
        <v>30.945</v>
      </c>
      <c r="C257" s="8">
        <v>30.882000000000001</v>
      </c>
      <c r="D257" s="8">
        <v>30.94</v>
      </c>
      <c r="E257" s="8">
        <v>30.95</v>
      </c>
      <c r="F257" s="8">
        <v>121205</v>
      </c>
      <c r="G257" s="9">
        <v>36793</v>
      </c>
      <c r="H257" s="6">
        <f t="shared" si="6"/>
        <v>30.945</v>
      </c>
      <c r="I257">
        <f t="shared" si="7"/>
        <v>1.2266928361138296E-2</v>
      </c>
    </row>
    <row r="258" spans="1:9" ht="15" customHeight="1" x14ac:dyDescent="0.2">
      <c r="A258" s="3">
        <v>45684</v>
      </c>
      <c r="B258" s="4">
        <v>30.574999999999999</v>
      </c>
      <c r="C258" s="4">
        <v>30.414000000000001</v>
      </c>
      <c r="D258" s="4">
        <v>30.565000000000001</v>
      </c>
      <c r="E258" s="4">
        <v>30.574999999999999</v>
      </c>
      <c r="F258" s="4">
        <v>121920</v>
      </c>
      <c r="G258" s="5">
        <v>51894</v>
      </c>
      <c r="H258" s="6">
        <f t="shared" si="6"/>
        <v>30.57</v>
      </c>
      <c r="I258">
        <f t="shared" si="7"/>
        <v>-1.5221067890794915E-2</v>
      </c>
    </row>
    <row r="259" spans="1:9" ht="15" customHeight="1" x14ac:dyDescent="0.2">
      <c r="A259" s="7">
        <v>45681</v>
      </c>
      <c r="B259" s="8">
        <v>31.04</v>
      </c>
      <c r="C259" s="8">
        <v>31.184999999999999</v>
      </c>
      <c r="D259" s="8">
        <v>31.04</v>
      </c>
      <c r="E259" s="8">
        <v>31.045000000000002</v>
      </c>
      <c r="F259" s="8">
        <v>120972</v>
      </c>
      <c r="G259" s="9">
        <v>48098</v>
      </c>
      <c r="H259" s="6">
        <f t="shared" si="6"/>
        <v>31.0425</v>
      </c>
      <c r="I259">
        <f t="shared" si="7"/>
        <v>6.4029826552116642E-3</v>
      </c>
    </row>
    <row r="260" spans="1:9" ht="15" customHeight="1" x14ac:dyDescent="0.2">
      <c r="A260" s="3">
        <v>45680</v>
      </c>
      <c r="B260" s="4">
        <v>30.844999999999999</v>
      </c>
      <c r="C260" s="4">
        <v>30.841999999999999</v>
      </c>
      <c r="D260" s="4">
        <v>30.84</v>
      </c>
      <c r="E260" s="4">
        <v>30.85</v>
      </c>
      <c r="F260" s="4">
        <v>119818</v>
      </c>
      <c r="G260" s="5">
        <v>65411</v>
      </c>
      <c r="H260" s="6">
        <f t="shared" si="6"/>
        <v>30.844999999999999</v>
      </c>
      <c r="I260">
        <f t="shared" si="7"/>
        <v>-1.7205671499123776E-2</v>
      </c>
    </row>
    <row r="261" spans="1:9" ht="15" customHeight="1" x14ac:dyDescent="0.2">
      <c r="A261" s="7">
        <v>45679</v>
      </c>
      <c r="B261" s="8">
        <v>31.385000000000002</v>
      </c>
      <c r="C261" s="8">
        <v>31.42</v>
      </c>
      <c r="D261" s="8">
        <v>31.38</v>
      </c>
      <c r="E261" s="8">
        <v>31.39</v>
      </c>
      <c r="F261" s="8">
        <v>119762</v>
      </c>
      <c r="G261" s="9">
        <v>41163</v>
      </c>
      <c r="H261" s="6">
        <f t="shared" ref="H261:H324" si="8">AVERAGE(D261:E261)</f>
        <v>31.384999999999998</v>
      </c>
      <c r="I261">
        <f t="shared" ref="I261:I324" si="9">H261/H262-1</f>
        <v>-5.3874187925844197E-3</v>
      </c>
    </row>
    <row r="262" spans="1:9" ht="15" customHeight="1" x14ac:dyDescent="0.2">
      <c r="A262" s="3">
        <v>45678</v>
      </c>
      <c r="B262" s="4">
        <v>31.555</v>
      </c>
      <c r="C262" s="4">
        <v>31.495999999999999</v>
      </c>
      <c r="D262" s="4">
        <v>31.55</v>
      </c>
      <c r="E262" s="4">
        <v>31.56</v>
      </c>
      <c r="F262" s="4">
        <v>117214</v>
      </c>
      <c r="G262" s="5">
        <v>68619</v>
      </c>
      <c r="H262" s="6">
        <f t="shared" si="8"/>
        <v>31.555</v>
      </c>
      <c r="I262">
        <f t="shared" si="9"/>
        <v>1.634592157178516E-2</v>
      </c>
    </row>
    <row r="263" spans="1:9" ht="15" customHeight="1" x14ac:dyDescent="0.2">
      <c r="A263" s="7">
        <v>45674</v>
      </c>
      <c r="B263" s="8">
        <v>31.045000000000002</v>
      </c>
      <c r="C263" s="8">
        <v>31.140999999999998</v>
      </c>
      <c r="D263" s="8">
        <v>31.045000000000002</v>
      </c>
      <c r="E263" s="8">
        <v>31.05</v>
      </c>
      <c r="F263" s="8">
        <v>117323</v>
      </c>
      <c r="G263" s="9">
        <v>48172</v>
      </c>
      <c r="H263" s="6">
        <f t="shared" si="8"/>
        <v>31.047499999999999</v>
      </c>
      <c r="I263">
        <f t="shared" si="9"/>
        <v>-1.7717313928656275E-2</v>
      </c>
    </row>
    <row r="264" spans="1:9" ht="15" customHeight="1" x14ac:dyDescent="0.2">
      <c r="A264" s="3">
        <v>45673</v>
      </c>
      <c r="B264" s="4">
        <v>31.61</v>
      </c>
      <c r="C264" s="4">
        <v>31.725000000000001</v>
      </c>
      <c r="D264" s="4">
        <v>31.605</v>
      </c>
      <c r="E264" s="4">
        <v>31.61</v>
      </c>
      <c r="F264" s="4">
        <v>117175</v>
      </c>
      <c r="G264" s="5">
        <v>46811</v>
      </c>
      <c r="H264" s="6">
        <f t="shared" si="8"/>
        <v>31.607500000000002</v>
      </c>
      <c r="I264">
        <f t="shared" si="9"/>
        <v>7.9101408005044505E-5</v>
      </c>
    </row>
    <row r="265" spans="1:9" ht="15" customHeight="1" x14ac:dyDescent="0.2">
      <c r="A265" s="7">
        <v>45672</v>
      </c>
      <c r="B265" s="8">
        <v>31.6</v>
      </c>
      <c r="C265" s="8">
        <v>31.530999999999999</v>
      </c>
      <c r="D265" s="8">
        <v>31.6</v>
      </c>
      <c r="E265" s="8">
        <v>31.61</v>
      </c>
      <c r="F265" s="8">
        <v>114416</v>
      </c>
      <c r="G265" s="9">
        <v>49277</v>
      </c>
      <c r="H265" s="6">
        <f t="shared" si="8"/>
        <v>31.605</v>
      </c>
      <c r="I265">
        <f t="shared" si="9"/>
        <v>3.4533551554828179E-2</v>
      </c>
    </row>
    <row r="266" spans="1:9" ht="15" customHeight="1" x14ac:dyDescent="0.2">
      <c r="A266" s="3">
        <v>45671</v>
      </c>
      <c r="B266" s="4">
        <v>30.555</v>
      </c>
      <c r="C266" s="4">
        <v>30.350999999999999</v>
      </c>
      <c r="D266" s="4">
        <v>30.545000000000002</v>
      </c>
      <c r="E266" s="4">
        <v>30.555</v>
      </c>
      <c r="F266" s="4">
        <v>115372</v>
      </c>
      <c r="G266" s="5">
        <v>40147</v>
      </c>
      <c r="H266" s="6">
        <f t="shared" si="8"/>
        <v>30.55</v>
      </c>
      <c r="I266">
        <f t="shared" si="9"/>
        <v>8.417230566099887E-3</v>
      </c>
    </row>
    <row r="267" spans="1:9" ht="15" customHeight="1" x14ac:dyDescent="0.2">
      <c r="A267" s="7">
        <v>45670</v>
      </c>
      <c r="B267" s="8">
        <v>30.295000000000002</v>
      </c>
      <c r="C267" s="8">
        <v>30.309000000000001</v>
      </c>
      <c r="D267" s="8">
        <v>30.29</v>
      </c>
      <c r="E267" s="8">
        <v>30.3</v>
      </c>
      <c r="F267" s="8">
        <v>118358</v>
      </c>
      <c r="G267" s="9">
        <v>58808</v>
      </c>
      <c r="H267" s="6">
        <f t="shared" si="8"/>
        <v>30.295000000000002</v>
      </c>
      <c r="I267">
        <f t="shared" si="9"/>
        <v>-3.2108626198083079E-2</v>
      </c>
    </row>
    <row r="268" spans="1:9" ht="15" customHeight="1" x14ac:dyDescent="0.2">
      <c r="A268" s="3">
        <v>45667</v>
      </c>
      <c r="B268" s="4">
        <v>31.3</v>
      </c>
      <c r="C268" s="4">
        <v>31.314</v>
      </c>
      <c r="D268" s="4">
        <v>31.295000000000002</v>
      </c>
      <c r="E268" s="4">
        <v>31.305</v>
      </c>
      <c r="F268" s="4">
        <v>117999</v>
      </c>
      <c r="G268" s="5">
        <v>63275</v>
      </c>
      <c r="H268" s="6">
        <f t="shared" si="8"/>
        <v>31.3</v>
      </c>
      <c r="I268">
        <f t="shared" si="9"/>
        <v>1.8051715726134399E-2</v>
      </c>
    </row>
    <row r="269" spans="1:9" ht="15" customHeight="1" x14ac:dyDescent="0.2">
      <c r="A269" s="7">
        <v>45665</v>
      </c>
      <c r="B269" s="8">
        <v>30.745000000000001</v>
      </c>
      <c r="C269" s="8">
        <v>30.69</v>
      </c>
      <c r="D269" s="8">
        <v>30.74</v>
      </c>
      <c r="E269" s="8">
        <v>30.75</v>
      </c>
      <c r="F269" s="8">
        <v>119182</v>
      </c>
      <c r="G269" s="9">
        <v>41649</v>
      </c>
      <c r="H269" s="6">
        <f t="shared" si="8"/>
        <v>30.744999999999997</v>
      </c>
      <c r="I269">
        <f t="shared" si="9"/>
        <v>2.4453863710465207E-3</v>
      </c>
    </row>
    <row r="270" spans="1:9" ht="15" customHeight="1" x14ac:dyDescent="0.2">
      <c r="A270" s="3">
        <v>45664</v>
      </c>
      <c r="B270" s="4">
        <v>30.664999999999999</v>
      </c>
      <c r="C270" s="4">
        <v>30.686</v>
      </c>
      <c r="D270" s="4">
        <v>30.664999999999999</v>
      </c>
      <c r="E270" s="4">
        <v>30.675000000000001</v>
      </c>
      <c r="F270" s="4">
        <v>119375</v>
      </c>
      <c r="G270" s="5">
        <v>45578</v>
      </c>
      <c r="H270" s="6">
        <f t="shared" si="8"/>
        <v>30.67</v>
      </c>
      <c r="I270">
        <f t="shared" si="9"/>
        <v>6.0685583073643024E-3</v>
      </c>
    </row>
    <row r="271" spans="1:9" ht="15" customHeight="1" x14ac:dyDescent="0.2">
      <c r="A271" s="7">
        <v>45663</v>
      </c>
      <c r="B271" s="8">
        <v>30.484999999999999</v>
      </c>
      <c r="C271" s="8">
        <v>30.582999999999998</v>
      </c>
      <c r="D271" s="8">
        <v>30.48</v>
      </c>
      <c r="E271" s="8">
        <v>30.49</v>
      </c>
      <c r="F271" s="8">
        <v>120022</v>
      </c>
      <c r="G271" s="9">
        <v>59440</v>
      </c>
      <c r="H271" s="6">
        <f t="shared" si="8"/>
        <v>30.484999999999999</v>
      </c>
      <c r="I271">
        <f t="shared" si="9"/>
        <v>1.2958963282937441E-2</v>
      </c>
    </row>
    <row r="272" spans="1:9" ht="15" customHeight="1" x14ac:dyDescent="0.2">
      <c r="A272" s="3">
        <v>45660</v>
      </c>
      <c r="B272" s="4">
        <v>30.1</v>
      </c>
      <c r="C272" s="4">
        <v>30.065000000000001</v>
      </c>
      <c r="D272" s="4">
        <v>30.09</v>
      </c>
      <c r="E272" s="4">
        <v>30.1</v>
      </c>
      <c r="F272" s="4">
        <v>120322</v>
      </c>
      <c r="G272" s="5">
        <v>32036</v>
      </c>
      <c r="H272" s="6">
        <f t="shared" si="8"/>
        <v>30.094999999999999</v>
      </c>
      <c r="I272">
        <f t="shared" si="9"/>
        <v>3.6685009171251171E-3</v>
      </c>
    </row>
    <row r="273" spans="1:9" ht="15" customHeight="1" x14ac:dyDescent="0.2">
      <c r="A273" s="7">
        <v>45659</v>
      </c>
      <c r="B273" s="8">
        <v>29.984999999999999</v>
      </c>
      <c r="C273" s="8">
        <v>29.9</v>
      </c>
      <c r="D273" s="8">
        <v>29.98</v>
      </c>
      <c r="E273" s="8">
        <v>29.99</v>
      </c>
      <c r="F273" s="8">
        <v>120348</v>
      </c>
      <c r="G273" s="9">
        <v>41833</v>
      </c>
      <c r="H273" s="6">
        <f t="shared" si="8"/>
        <v>29.984999999999999</v>
      </c>
      <c r="I273">
        <f t="shared" si="9"/>
        <v>2.3640863702312886E-2</v>
      </c>
    </row>
    <row r="274" spans="1:9" ht="15" customHeight="1" x14ac:dyDescent="0.2">
      <c r="A274" s="3">
        <v>45657</v>
      </c>
      <c r="B274" s="4">
        <v>29.29</v>
      </c>
      <c r="C274" s="4">
        <v>29.242000000000001</v>
      </c>
      <c r="D274" s="4">
        <v>29.29</v>
      </c>
      <c r="E274" s="4">
        <v>29.295000000000002</v>
      </c>
      <c r="F274" s="4">
        <v>118607</v>
      </c>
      <c r="G274" s="5">
        <v>26092</v>
      </c>
      <c r="H274" s="6">
        <f t="shared" si="8"/>
        <v>29.2925</v>
      </c>
      <c r="I274">
        <f t="shared" si="9"/>
        <v>-2.8085106382979008E-3</v>
      </c>
    </row>
    <row r="275" spans="1:9" ht="15" customHeight="1" x14ac:dyDescent="0.2">
      <c r="A275" s="7">
        <v>45656</v>
      </c>
      <c r="B275" s="8">
        <v>29.375</v>
      </c>
      <c r="C275" s="8">
        <v>29.411999999999999</v>
      </c>
      <c r="D275" s="8">
        <v>29.37</v>
      </c>
      <c r="E275" s="8">
        <v>29.38</v>
      </c>
      <c r="F275" s="8">
        <v>117336</v>
      </c>
      <c r="G275" s="9">
        <v>35167</v>
      </c>
      <c r="H275" s="6">
        <f t="shared" si="8"/>
        <v>29.375</v>
      </c>
      <c r="I275">
        <f t="shared" si="9"/>
        <v>-2.0180120080053432E-2</v>
      </c>
    </row>
    <row r="276" spans="1:9" ht="15" customHeight="1" x14ac:dyDescent="0.2">
      <c r="A276" s="3">
        <v>45653</v>
      </c>
      <c r="B276" s="4">
        <v>29.98</v>
      </c>
      <c r="C276" s="4">
        <v>29.968</v>
      </c>
      <c r="D276" s="4">
        <v>29.975000000000001</v>
      </c>
      <c r="E276" s="4">
        <v>29.984999999999999</v>
      </c>
      <c r="F276" s="4">
        <v>116487</v>
      </c>
      <c r="G276" s="5">
        <v>28992</v>
      </c>
      <c r="H276" s="6">
        <f t="shared" si="8"/>
        <v>29.98</v>
      </c>
      <c r="I276">
        <f t="shared" si="9"/>
        <v>-1.4059031488941831E-2</v>
      </c>
    </row>
    <row r="277" spans="1:9" ht="15" customHeight="1" x14ac:dyDescent="0.2">
      <c r="A277" s="7">
        <v>45652</v>
      </c>
      <c r="B277" s="8">
        <v>30.41</v>
      </c>
      <c r="C277" s="8">
        <v>30.388999999999999</v>
      </c>
      <c r="D277" s="8">
        <v>30.405000000000001</v>
      </c>
      <c r="E277" s="8">
        <v>30.41</v>
      </c>
      <c r="F277" s="8">
        <v>116652</v>
      </c>
      <c r="G277" s="9">
        <v>25013</v>
      </c>
      <c r="H277" s="6">
        <f t="shared" si="8"/>
        <v>30.407499999999999</v>
      </c>
      <c r="I277">
        <f t="shared" si="9"/>
        <v>7.6215723635157939E-3</v>
      </c>
    </row>
    <row r="278" spans="1:9" ht="15" customHeight="1" x14ac:dyDescent="0.2">
      <c r="A278" s="3">
        <v>45650</v>
      </c>
      <c r="B278" s="4">
        <v>30.23</v>
      </c>
      <c r="C278" s="4">
        <v>30.283000000000001</v>
      </c>
      <c r="D278" s="4">
        <v>30.1</v>
      </c>
      <c r="E278" s="4">
        <v>30.254999999999999</v>
      </c>
      <c r="F278" s="4">
        <v>116752</v>
      </c>
      <c r="G278" s="5">
        <v>16573</v>
      </c>
      <c r="H278" s="6">
        <f t="shared" si="8"/>
        <v>30.177500000000002</v>
      </c>
      <c r="I278">
        <f t="shared" si="9"/>
        <v>-1.5715467328369925E-3</v>
      </c>
    </row>
    <row r="279" spans="1:9" ht="15" customHeight="1" x14ac:dyDescent="0.2">
      <c r="A279" s="7">
        <v>45649</v>
      </c>
      <c r="B279" s="8">
        <v>30.225000000000001</v>
      </c>
      <c r="C279" s="8">
        <v>30.189</v>
      </c>
      <c r="D279" s="8">
        <v>30.22</v>
      </c>
      <c r="E279" s="8">
        <v>30.23</v>
      </c>
      <c r="F279" s="8">
        <v>116813</v>
      </c>
      <c r="G279" s="9">
        <v>33544</v>
      </c>
      <c r="H279" s="6">
        <f t="shared" si="8"/>
        <v>30.225000000000001</v>
      </c>
      <c r="I279">
        <f t="shared" si="9"/>
        <v>4.9039980051532872E-3</v>
      </c>
    </row>
    <row r="280" spans="1:9" ht="15" customHeight="1" x14ac:dyDescent="0.2">
      <c r="A280" s="3">
        <v>45646</v>
      </c>
      <c r="B280" s="4">
        <v>30.074999999999999</v>
      </c>
      <c r="C280" s="4">
        <v>29.957999999999998</v>
      </c>
      <c r="D280" s="4">
        <v>30.07</v>
      </c>
      <c r="E280" s="4">
        <v>30.085000000000001</v>
      </c>
      <c r="F280" s="4">
        <v>118072</v>
      </c>
      <c r="G280" s="5">
        <v>56125</v>
      </c>
      <c r="H280" s="6">
        <f t="shared" si="8"/>
        <v>30.077500000000001</v>
      </c>
      <c r="I280">
        <f t="shared" si="9"/>
        <v>2.0441051738761651E-2</v>
      </c>
    </row>
    <row r="281" spans="1:9" ht="15" customHeight="1" x14ac:dyDescent="0.2">
      <c r="A281" s="7">
        <v>45645</v>
      </c>
      <c r="B281" s="8">
        <v>29.475000000000001</v>
      </c>
      <c r="C281" s="8">
        <v>29.411000000000001</v>
      </c>
      <c r="D281" s="8">
        <v>29.47</v>
      </c>
      <c r="E281" s="8">
        <v>29.48</v>
      </c>
      <c r="F281" s="8">
        <v>118170</v>
      </c>
      <c r="G281" s="9">
        <v>65099.999999999898</v>
      </c>
      <c r="H281" s="6">
        <f t="shared" si="8"/>
        <v>29.475000000000001</v>
      </c>
      <c r="I281">
        <f t="shared" si="9"/>
        <v>-1.0906040268456318E-2</v>
      </c>
    </row>
    <row r="282" spans="1:9" ht="15" customHeight="1" x14ac:dyDescent="0.2">
      <c r="A282" s="3">
        <v>45644</v>
      </c>
      <c r="B282" s="4">
        <v>29.805</v>
      </c>
      <c r="C282" s="4">
        <v>30.74</v>
      </c>
      <c r="D282" s="4">
        <v>29.795000000000002</v>
      </c>
      <c r="E282" s="4">
        <v>29.805</v>
      </c>
      <c r="F282" s="4">
        <v>118241</v>
      </c>
      <c r="G282" s="5">
        <v>48878</v>
      </c>
      <c r="H282" s="6">
        <f t="shared" si="8"/>
        <v>29.8</v>
      </c>
      <c r="I282">
        <f t="shared" si="9"/>
        <v>-3.8554605581545331E-2</v>
      </c>
    </row>
    <row r="283" spans="1:9" ht="15" customHeight="1" x14ac:dyDescent="0.2">
      <c r="A283" s="7">
        <v>45643</v>
      </c>
      <c r="B283" s="8">
        <v>30.995000000000001</v>
      </c>
      <c r="C283" s="8">
        <v>30.920999999999999</v>
      </c>
      <c r="D283" s="8">
        <v>30.99</v>
      </c>
      <c r="E283" s="8">
        <v>31</v>
      </c>
      <c r="F283" s="8">
        <v>118969</v>
      </c>
      <c r="G283" s="9">
        <v>38503</v>
      </c>
      <c r="H283" s="6">
        <f t="shared" si="8"/>
        <v>30.994999999999997</v>
      </c>
      <c r="I283">
        <f t="shared" si="9"/>
        <v>-1.4497422680412875E-3</v>
      </c>
    </row>
    <row r="284" spans="1:9" ht="15" customHeight="1" x14ac:dyDescent="0.2">
      <c r="A284" s="3">
        <v>45642</v>
      </c>
      <c r="B284" s="4">
        <v>31.04</v>
      </c>
      <c r="C284" s="4">
        <v>31.056999999999999</v>
      </c>
      <c r="D284" s="4">
        <v>31.035</v>
      </c>
      <c r="E284" s="4">
        <v>31.045000000000002</v>
      </c>
      <c r="F284" s="4">
        <v>120679</v>
      </c>
      <c r="G284" s="5">
        <v>32598</v>
      </c>
      <c r="H284" s="6">
        <f t="shared" si="8"/>
        <v>31.04</v>
      </c>
      <c r="I284">
        <f t="shared" si="9"/>
        <v>1.290322580645098E-3</v>
      </c>
    </row>
    <row r="285" spans="1:9" ht="15" customHeight="1" x14ac:dyDescent="0.2">
      <c r="A285" s="7">
        <v>45639</v>
      </c>
      <c r="B285" s="8">
        <v>31</v>
      </c>
      <c r="C285" s="8">
        <v>31.027999999999999</v>
      </c>
      <c r="D285" s="8">
        <v>30.995000000000001</v>
      </c>
      <c r="E285" s="8">
        <v>31.004999999999999</v>
      </c>
      <c r="F285" s="8">
        <v>122461</v>
      </c>
      <c r="G285" s="9">
        <v>60606</v>
      </c>
      <c r="H285" s="6">
        <f t="shared" si="8"/>
        <v>31</v>
      </c>
      <c r="I285">
        <f t="shared" si="9"/>
        <v>-1.7588337822848965E-2</v>
      </c>
    </row>
    <row r="286" spans="1:9" ht="15" customHeight="1" x14ac:dyDescent="0.2">
      <c r="A286" s="3">
        <v>45638</v>
      </c>
      <c r="B286" s="4">
        <v>31.56</v>
      </c>
      <c r="C286" s="4">
        <v>31.619</v>
      </c>
      <c r="D286" s="4">
        <v>31.55</v>
      </c>
      <c r="E286" s="4">
        <v>31.56</v>
      </c>
      <c r="F286" s="4">
        <v>123469</v>
      </c>
      <c r="G286" s="5">
        <v>89935</v>
      </c>
      <c r="H286" s="6">
        <f t="shared" si="8"/>
        <v>31.555</v>
      </c>
      <c r="I286">
        <f t="shared" si="9"/>
        <v>-3.7517157236541032E-2</v>
      </c>
    </row>
    <row r="287" spans="1:9" ht="15" customHeight="1" x14ac:dyDescent="0.2">
      <c r="A287" s="7">
        <v>45637</v>
      </c>
      <c r="B287" s="8">
        <v>32.79</v>
      </c>
      <c r="C287" s="8">
        <v>32.966999999999999</v>
      </c>
      <c r="D287" s="8">
        <v>32.78</v>
      </c>
      <c r="E287" s="8">
        <v>32.79</v>
      </c>
      <c r="F287" s="8">
        <v>123261</v>
      </c>
      <c r="G287" s="9">
        <v>75291</v>
      </c>
      <c r="H287" s="6">
        <f t="shared" si="8"/>
        <v>32.784999999999997</v>
      </c>
      <c r="I287">
        <f t="shared" si="9"/>
        <v>3.9041567786877174E-3</v>
      </c>
    </row>
    <row r="288" spans="1:9" ht="15" customHeight="1" x14ac:dyDescent="0.2">
      <c r="A288" s="3">
        <v>45636</v>
      </c>
      <c r="B288" s="4">
        <v>32.655000000000001</v>
      </c>
      <c r="C288" s="4">
        <v>32.747</v>
      </c>
      <c r="D288" s="4">
        <v>32.65</v>
      </c>
      <c r="E288" s="4">
        <v>32.664999999999999</v>
      </c>
      <c r="F288" s="4">
        <v>122363</v>
      </c>
      <c r="G288" s="5">
        <v>57482</v>
      </c>
      <c r="H288" s="6">
        <f t="shared" si="8"/>
        <v>32.657499999999999</v>
      </c>
      <c r="I288">
        <f t="shared" si="9"/>
        <v>6.2394084116468296E-3</v>
      </c>
    </row>
    <row r="289" spans="1:9" ht="15" customHeight="1" x14ac:dyDescent="0.2">
      <c r="A289" s="7">
        <v>45635</v>
      </c>
      <c r="B289" s="8">
        <v>32.450000000000003</v>
      </c>
      <c r="C289" s="8">
        <v>32.610999999999997</v>
      </c>
      <c r="D289" s="8">
        <v>32.450000000000003</v>
      </c>
      <c r="E289" s="8">
        <v>32.46</v>
      </c>
      <c r="F289" s="8">
        <v>117626</v>
      </c>
      <c r="G289" s="9">
        <v>88243</v>
      </c>
      <c r="H289" s="6">
        <f t="shared" si="8"/>
        <v>32.454999999999998</v>
      </c>
      <c r="I289">
        <f t="shared" si="9"/>
        <v>3.0890177082506076E-2</v>
      </c>
    </row>
    <row r="290" spans="1:9" ht="15" customHeight="1" x14ac:dyDescent="0.2">
      <c r="A290" s="3">
        <v>45632</v>
      </c>
      <c r="B290" s="4">
        <v>31.484999999999999</v>
      </c>
      <c r="C290" s="4">
        <v>31.588000000000001</v>
      </c>
      <c r="D290" s="4">
        <v>31.475000000000001</v>
      </c>
      <c r="E290" s="4">
        <v>31.49</v>
      </c>
      <c r="F290" s="4">
        <v>116957</v>
      </c>
      <c r="G290" s="5">
        <v>60289</v>
      </c>
      <c r="H290" s="6">
        <f t="shared" si="8"/>
        <v>31.482500000000002</v>
      </c>
      <c r="I290">
        <f t="shared" si="9"/>
        <v>-1.0684264278419286E-2</v>
      </c>
    </row>
    <row r="291" spans="1:9" ht="15" customHeight="1" x14ac:dyDescent="0.2">
      <c r="A291" s="7">
        <v>45631</v>
      </c>
      <c r="B291" s="8">
        <v>31.824999999999999</v>
      </c>
      <c r="C291" s="8">
        <v>31.536000000000001</v>
      </c>
      <c r="D291" s="8">
        <v>31.82</v>
      </c>
      <c r="E291" s="8">
        <v>31.824999999999999</v>
      </c>
      <c r="F291" s="8">
        <v>114430</v>
      </c>
      <c r="G291" s="9">
        <v>46580</v>
      </c>
      <c r="H291" s="6">
        <f t="shared" si="8"/>
        <v>31.822499999999998</v>
      </c>
      <c r="I291">
        <f t="shared" si="9"/>
        <v>-5.496231155779352E-4</v>
      </c>
    </row>
    <row r="292" spans="1:9" ht="15" customHeight="1" x14ac:dyDescent="0.2">
      <c r="A292" s="3">
        <v>45630</v>
      </c>
      <c r="B292" s="4">
        <v>31.835000000000001</v>
      </c>
      <c r="C292" s="4">
        <v>31.914999999999999</v>
      </c>
      <c r="D292" s="4">
        <v>31.835000000000001</v>
      </c>
      <c r="E292" s="4">
        <v>31.844999999999999</v>
      </c>
      <c r="F292" s="4">
        <v>113492</v>
      </c>
      <c r="G292" s="5">
        <v>71468</v>
      </c>
      <c r="H292" s="6">
        <f t="shared" si="8"/>
        <v>31.84</v>
      </c>
      <c r="I292">
        <f t="shared" si="9"/>
        <v>1.0312549579565289E-2</v>
      </c>
    </row>
    <row r="293" spans="1:9" ht="15" customHeight="1" x14ac:dyDescent="0.2">
      <c r="A293" s="7">
        <v>45629</v>
      </c>
      <c r="B293" s="8">
        <v>31.515000000000001</v>
      </c>
      <c r="C293" s="8">
        <v>31.492000000000001</v>
      </c>
      <c r="D293" s="8">
        <v>31.51</v>
      </c>
      <c r="E293" s="8">
        <v>31.52</v>
      </c>
      <c r="F293" s="8">
        <v>111525</v>
      </c>
      <c r="G293" s="9">
        <v>51364</v>
      </c>
      <c r="H293" s="6">
        <f t="shared" si="8"/>
        <v>31.515000000000001</v>
      </c>
      <c r="I293">
        <f t="shared" si="9"/>
        <v>1.7433414043583451E-2</v>
      </c>
    </row>
    <row r="294" spans="1:9" ht="15" customHeight="1" x14ac:dyDescent="0.2">
      <c r="A294" s="3">
        <v>45628</v>
      </c>
      <c r="B294" s="4">
        <v>30.975000000000001</v>
      </c>
      <c r="C294" s="4">
        <v>30.864000000000001</v>
      </c>
      <c r="D294" s="4">
        <v>30.97</v>
      </c>
      <c r="E294" s="4">
        <v>30.98</v>
      </c>
      <c r="F294" s="4">
        <v>110840</v>
      </c>
      <c r="G294" s="5">
        <v>45249</v>
      </c>
      <c r="H294" s="6">
        <f t="shared" si="8"/>
        <v>30.975000000000001</v>
      </c>
      <c r="I294">
        <f t="shared" si="9"/>
        <v>2.4271844660195274E-3</v>
      </c>
    </row>
    <row r="295" spans="1:9" ht="15" customHeight="1" x14ac:dyDescent="0.2">
      <c r="A295" s="7">
        <v>45625</v>
      </c>
      <c r="B295" s="8">
        <v>30.63</v>
      </c>
      <c r="C295" s="8">
        <v>30.684999999999999</v>
      </c>
      <c r="D295" s="8">
        <v>30.63</v>
      </c>
      <c r="E295" s="8">
        <v>31.17</v>
      </c>
      <c r="F295" s="8">
        <v>8087</v>
      </c>
      <c r="G295" s="9">
        <v>2230</v>
      </c>
      <c r="H295" s="6">
        <f t="shared" si="8"/>
        <v>30.9</v>
      </c>
      <c r="I295">
        <f t="shared" si="9"/>
        <v>2.6322344930665098E-2</v>
      </c>
    </row>
    <row r="296" spans="1:9" ht="15" customHeight="1" x14ac:dyDescent="0.2">
      <c r="A296" s="3">
        <v>45623</v>
      </c>
      <c r="B296" s="4">
        <v>30.12</v>
      </c>
      <c r="C296" s="4">
        <v>30.111000000000001</v>
      </c>
      <c r="D296" s="4">
        <v>30.094999999999999</v>
      </c>
      <c r="E296" s="4">
        <v>30.12</v>
      </c>
      <c r="F296" s="4">
        <v>12478</v>
      </c>
      <c r="G296" s="5">
        <v>19454</v>
      </c>
      <c r="H296" s="6">
        <f t="shared" si="8"/>
        <v>30.107500000000002</v>
      </c>
      <c r="I296">
        <f t="shared" si="9"/>
        <v>-1.2302140572459597E-2</v>
      </c>
    </row>
    <row r="297" spans="1:9" ht="15" customHeight="1" x14ac:dyDescent="0.2">
      <c r="A297" s="7">
        <v>45622</v>
      </c>
      <c r="B297" s="8">
        <v>30.48</v>
      </c>
      <c r="C297" s="8">
        <v>30.405000000000001</v>
      </c>
      <c r="D297" s="8">
        <v>30.475000000000001</v>
      </c>
      <c r="E297" s="8">
        <v>30.49</v>
      </c>
      <c r="F297" s="8">
        <v>26430</v>
      </c>
      <c r="G297" s="9">
        <v>53403</v>
      </c>
      <c r="H297" s="6">
        <f t="shared" si="8"/>
        <v>30.482500000000002</v>
      </c>
      <c r="I297">
        <f t="shared" si="9"/>
        <v>4.4484718675343871E-3</v>
      </c>
    </row>
    <row r="298" spans="1:9" ht="15" customHeight="1" x14ac:dyDescent="0.2">
      <c r="A298" s="3">
        <v>45621</v>
      </c>
      <c r="B298" s="4">
        <v>30.35</v>
      </c>
      <c r="C298" s="4">
        <v>30.239000000000001</v>
      </c>
      <c r="D298" s="4">
        <v>30.34</v>
      </c>
      <c r="E298" s="4">
        <v>30.355</v>
      </c>
      <c r="F298" s="4">
        <v>39287</v>
      </c>
      <c r="G298" s="5">
        <v>83187</v>
      </c>
      <c r="H298" s="6">
        <f t="shared" si="8"/>
        <v>30.3475</v>
      </c>
      <c r="I298">
        <f t="shared" si="9"/>
        <v>-3.3519108280254728E-2</v>
      </c>
    </row>
    <row r="299" spans="1:9" ht="15" customHeight="1" x14ac:dyDescent="0.2">
      <c r="A299" s="7">
        <v>45618</v>
      </c>
      <c r="B299" s="8">
        <v>31.405000000000001</v>
      </c>
      <c r="C299" s="8">
        <v>31.338000000000001</v>
      </c>
      <c r="D299" s="8">
        <v>31.395</v>
      </c>
      <c r="E299" s="8">
        <v>31.405000000000001</v>
      </c>
      <c r="F299" s="8">
        <v>46129</v>
      </c>
      <c r="G299" s="9">
        <v>61659</v>
      </c>
      <c r="H299" s="6">
        <f t="shared" si="8"/>
        <v>31.4</v>
      </c>
      <c r="I299">
        <f t="shared" si="9"/>
        <v>1.7086403757389235E-2</v>
      </c>
    </row>
    <row r="300" spans="1:9" ht="15" customHeight="1" x14ac:dyDescent="0.2">
      <c r="A300" s="3">
        <v>45617</v>
      </c>
      <c r="B300" s="4">
        <v>30.87</v>
      </c>
      <c r="C300" s="4">
        <v>30.943000000000001</v>
      </c>
      <c r="D300" s="4">
        <v>30.864999999999998</v>
      </c>
      <c r="E300" s="4">
        <v>30.88</v>
      </c>
      <c r="F300" s="4">
        <v>53760</v>
      </c>
      <c r="G300" s="5">
        <v>61406</v>
      </c>
      <c r="H300" s="6">
        <f t="shared" si="8"/>
        <v>30.872499999999999</v>
      </c>
      <c r="I300">
        <f t="shared" si="9"/>
        <v>-2.1010101010101589E-3</v>
      </c>
    </row>
    <row r="301" spans="1:9" ht="15" customHeight="1" x14ac:dyDescent="0.2">
      <c r="A301" s="7">
        <v>45616</v>
      </c>
      <c r="B301" s="8">
        <v>30.94</v>
      </c>
      <c r="C301" s="8">
        <v>31.004999999999999</v>
      </c>
      <c r="D301" s="8">
        <v>30.93</v>
      </c>
      <c r="E301" s="8">
        <v>30.945</v>
      </c>
      <c r="F301" s="8">
        <v>57435</v>
      </c>
      <c r="G301" s="9">
        <v>54410</v>
      </c>
      <c r="H301" s="6">
        <f t="shared" si="8"/>
        <v>30.9375</v>
      </c>
      <c r="I301">
        <f t="shared" si="9"/>
        <v>-1.1423550087873546E-2</v>
      </c>
    </row>
    <row r="302" spans="1:9" ht="15" customHeight="1" x14ac:dyDescent="0.2">
      <c r="A302" s="3">
        <v>45615</v>
      </c>
      <c r="B302" s="4">
        <v>31.295000000000002</v>
      </c>
      <c r="C302" s="4">
        <v>31.262</v>
      </c>
      <c r="D302" s="4">
        <v>31.29</v>
      </c>
      <c r="E302" s="4">
        <v>31.3</v>
      </c>
      <c r="F302" s="4">
        <v>61504</v>
      </c>
      <c r="G302" s="5">
        <v>58354</v>
      </c>
      <c r="H302" s="6">
        <f t="shared" si="8"/>
        <v>31.295000000000002</v>
      </c>
      <c r="I302">
        <f t="shared" si="9"/>
        <v>1.2797952327627815E-3</v>
      </c>
    </row>
    <row r="303" spans="1:9" ht="15" customHeight="1" x14ac:dyDescent="0.2">
      <c r="A303" s="7">
        <v>45614</v>
      </c>
      <c r="B303" s="8">
        <v>31.26</v>
      </c>
      <c r="C303" s="8">
        <v>31.224</v>
      </c>
      <c r="D303" s="8">
        <v>31.25</v>
      </c>
      <c r="E303" s="8">
        <v>31.26</v>
      </c>
      <c r="F303" s="8">
        <v>64396</v>
      </c>
      <c r="G303" s="9">
        <v>56093</v>
      </c>
      <c r="H303" s="6">
        <f t="shared" si="8"/>
        <v>31.255000000000003</v>
      </c>
      <c r="I303">
        <f t="shared" si="9"/>
        <v>3.0328003955826688E-2</v>
      </c>
    </row>
    <row r="304" spans="1:9" ht="15" customHeight="1" x14ac:dyDescent="0.2">
      <c r="A304" s="3">
        <v>45611</v>
      </c>
      <c r="B304" s="4">
        <v>30.335000000000001</v>
      </c>
      <c r="C304" s="4">
        <v>30.431999999999999</v>
      </c>
      <c r="D304" s="4">
        <v>30.33</v>
      </c>
      <c r="E304" s="4">
        <v>30.34</v>
      </c>
      <c r="F304" s="4">
        <v>66390</v>
      </c>
      <c r="G304" s="5">
        <v>55135</v>
      </c>
      <c r="H304" s="6">
        <f t="shared" si="8"/>
        <v>30.335000000000001</v>
      </c>
      <c r="I304">
        <f t="shared" si="9"/>
        <v>-6.7125081859855662E-3</v>
      </c>
    </row>
    <row r="305" spans="1:9" ht="15" customHeight="1" x14ac:dyDescent="0.2">
      <c r="A305" s="7">
        <v>45610</v>
      </c>
      <c r="B305" s="8">
        <v>30.535</v>
      </c>
      <c r="C305" s="8">
        <v>30.568999999999999</v>
      </c>
      <c r="D305" s="8">
        <v>30.535</v>
      </c>
      <c r="E305" s="8">
        <v>30.545000000000002</v>
      </c>
      <c r="F305" s="8">
        <v>72376</v>
      </c>
      <c r="G305" s="9">
        <v>74050</v>
      </c>
      <c r="H305" s="6">
        <f t="shared" si="8"/>
        <v>30.54</v>
      </c>
      <c r="I305">
        <f t="shared" si="9"/>
        <v>4.3574775959878131E-3</v>
      </c>
    </row>
    <row r="306" spans="1:9" ht="15" customHeight="1" x14ac:dyDescent="0.2">
      <c r="A306" s="3">
        <v>45609</v>
      </c>
      <c r="B306" s="4">
        <v>30.405000000000001</v>
      </c>
      <c r="C306" s="4">
        <v>30.663</v>
      </c>
      <c r="D306" s="4">
        <v>30.4</v>
      </c>
      <c r="E306" s="4">
        <v>30.414999999999999</v>
      </c>
      <c r="F306" s="4">
        <v>78053</v>
      </c>
      <c r="G306" s="5">
        <v>67115</v>
      </c>
      <c r="H306" s="6">
        <f t="shared" si="8"/>
        <v>30.407499999999999</v>
      </c>
      <c r="I306">
        <f t="shared" si="9"/>
        <v>-1.354420113544208E-2</v>
      </c>
    </row>
    <row r="307" spans="1:9" ht="15" customHeight="1" x14ac:dyDescent="0.2">
      <c r="A307" s="7">
        <v>45608</v>
      </c>
      <c r="B307" s="8">
        <v>30.824999999999999</v>
      </c>
      <c r="C307" s="8">
        <v>30.759</v>
      </c>
      <c r="D307" s="8">
        <v>30.82</v>
      </c>
      <c r="E307" s="8">
        <v>30.83</v>
      </c>
      <c r="F307" s="8">
        <v>85763</v>
      </c>
      <c r="G307" s="9">
        <v>69433</v>
      </c>
      <c r="H307" s="6">
        <f t="shared" si="8"/>
        <v>30.824999999999999</v>
      </c>
      <c r="I307">
        <f t="shared" si="9"/>
        <v>1.299334091278137E-3</v>
      </c>
    </row>
    <row r="308" spans="1:9" ht="15" customHeight="1" x14ac:dyDescent="0.2">
      <c r="A308" s="3">
        <v>45607</v>
      </c>
      <c r="B308" s="4">
        <v>30.785</v>
      </c>
      <c r="C308" s="4">
        <v>30.613</v>
      </c>
      <c r="D308" s="4">
        <v>30.78</v>
      </c>
      <c r="E308" s="4">
        <v>30.79</v>
      </c>
      <c r="F308" s="4">
        <v>92835</v>
      </c>
      <c r="G308" s="5">
        <v>73482</v>
      </c>
      <c r="H308" s="6">
        <f t="shared" si="8"/>
        <v>30.785</v>
      </c>
      <c r="I308">
        <f t="shared" si="9"/>
        <v>-2.0210057288351457E-2</v>
      </c>
    </row>
    <row r="309" spans="1:9" ht="15" customHeight="1" x14ac:dyDescent="0.2">
      <c r="A309" s="7">
        <v>45604</v>
      </c>
      <c r="B309" s="8">
        <v>31.42</v>
      </c>
      <c r="C309" s="8">
        <v>31.449000000000002</v>
      </c>
      <c r="D309" s="8">
        <v>31.414999999999999</v>
      </c>
      <c r="E309" s="8">
        <v>31.425000000000001</v>
      </c>
      <c r="F309" s="8">
        <v>99644</v>
      </c>
      <c r="G309" s="9">
        <v>69247</v>
      </c>
      <c r="H309" s="6">
        <f t="shared" si="8"/>
        <v>31.42</v>
      </c>
      <c r="I309">
        <f t="shared" si="9"/>
        <v>-2.2249883304807927E-2</v>
      </c>
    </row>
    <row r="310" spans="1:9" ht="15" customHeight="1" x14ac:dyDescent="0.2">
      <c r="A310" s="3">
        <v>45603</v>
      </c>
      <c r="B310" s="4">
        <v>32.14</v>
      </c>
      <c r="C310" s="4">
        <v>31.855</v>
      </c>
      <c r="D310" s="4">
        <v>32.130000000000003</v>
      </c>
      <c r="E310" s="4">
        <v>32.14</v>
      </c>
      <c r="F310" s="4">
        <v>106682</v>
      </c>
      <c r="G310" s="5">
        <v>73464</v>
      </c>
      <c r="H310" s="6">
        <f t="shared" si="8"/>
        <v>32.135000000000005</v>
      </c>
      <c r="I310">
        <f t="shared" si="9"/>
        <v>2.7005433045701688E-2</v>
      </c>
    </row>
    <row r="311" spans="1:9" ht="15" customHeight="1" x14ac:dyDescent="0.2">
      <c r="A311" s="7">
        <v>45602</v>
      </c>
      <c r="B311" s="8">
        <v>31.285</v>
      </c>
      <c r="C311" s="8">
        <v>31.331</v>
      </c>
      <c r="D311" s="8">
        <v>31.285</v>
      </c>
      <c r="E311" s="8">
        <v>31.295000000000002</v>
      </c>
      <c r="F311" s="8">
        <v>111136</v>
      </c>
      <c r="G311" s="9">
        <v>119541</v>
      </c>
      <c r="H311" s="6">
        <f t="shared" si="8"/>
        <v>31.29</v>
      </c>
      <c r="I311">
        <f t="shared" si="9"/>
        <v>-4.5381740523224856E-2</v>
      </c>
    </row>
    <row r="312" spans="1:9" ht="15" customHeight="1" x14ac:dyDescent="0.2">
      <c r="A312" s="3">
        <v>45601</v>
      </c>
      <c r="B312" s="4">
        <v>32.774999999999999</v>
      </c>
      <c r="C312" s="4">
        <v>32.774999999999999</v>
      </c>
      <c r="D312" s="4">
        <v>32.770000000000003</v>
      </c>
      <c r="E312" s="4">
        <v>32.784999999999997</v>
      </c>
      <c r="F312" s="4">
        <v>114921</v>
      </c>
      <c r="G312" s="5">
        <v>46492</v>
      </c>
      <c r="H312" s="6">
        <f t="shared" si="8"/>
        <v>32.777500000000003</v>
      </c>
      <c r="I312">
        <f t="shared" si="9"/>
        <v>5.9076262083781472E-3</v>
      </c>
    </row>
    <row r="313" spans="1:9" ht="15" customHeight="1" x14ac:dyDescent="0.2">
      <c r="A313" s="7">
        <v>45600</v>
      </c>
      <c r="B313" s="8">
        <v>32.58</v>
      </c>
      <c r="C313" s="8">
        <v>32.609000000000002</v>
      </c>
      <c r="D313" s="8">
        <v>32.58</v>
      </c>
      <c r="E313" s="8">
        <v>32.590000000000003</v>
      </c>
      <c r="F313" s="8">
        <v>117215</v>
      </c>
      <c r="G313" s="9">
        <v>49211</v>
      </c>
      <c r="H313" s="6">
        <f t="shared" si="8"/>
        <v>32.585000000000001</v>
      </c>
      <c r="I313">
        <f t="shared" si="9"/>
        <v>3.0698388334604587E-4</v>
      </c>
    </row>
    <row r="314" spans="1:9" ht="15" customHeight="1" x14ac:dyDescent="0.2">
      <c r="A314" s="3">
        <v>45597</v>
      </c>
      <c r="B314" s="4">
        <v>32.575000000000003</v>
      </c>
      <c r="C314" s="4">
        <v>32.680999999999997</v>
      </c>
      <c r="D314" s="4">
        <v>32.57</v>
      </c>
      <c r="E314" s="4">
        <v>32.58</v>
      </c>
      <c r="F314" s="4">
        <v>121873</v>
      </c>
      <c r="G314" s="5">
        <v>66102</v>
      </c>
      <c r="H314" s="6">
        <f t="shared" si="8"/>
        <v>32.575000000000003</v>
      </c>
      <c r="I314">
        <f t="shared" si="9"/>
        <v>-6.7840536626265768E-3</v>
      </c>
    </row>
    <row r="315" spans="1:9" ht="15" customHeight="1" x14ac:dyDescent="0.2">
      <c r="A315" s="7">
        <v>45596</v>
      </c>
      <c r="B315" s="8">
        <v>32.799999999999997</v>
      </c>
      <c r="C315" s="8">
        <v>32.795999999999999</v>
      </c>
      <c r="D315" s="8">
        <v>32.795000000000002</v>
      </c>
      <c r="E315" s="8">
        <v>32.799999999999997</v>
      </c>
      <c r="F315" s="8">
        <v>123941</v>
      </c>
      <c r="G315" s="9">
        <v>90885</v>
      </c>
      <c r="H315" s="6">
        <f t="shared" si="8"/>
        <v>32.797499999999999</v>
      </c>
      <c r="I315">
        <f t="shared" si="9"/>
        <v>-3.3519964638279109E-2</v>
      </c>
    </row>
    <row r="316" spans="1:9" ht="15" customHeight="1" x14ac:dyDescent="0.2">
      <c r="A316" s="3">
        <v>45595</v>
      </c>
      <c r="B316" s="4">
        <v>33.935000000000002</v>
      </c>
      <c r="C316" s="4">
        <v>34.075000000000003</v>
      </c>
      <c r="D316" s="4">
        <v>33.93</v>
      </c>
      <c r="E316" s="4">
        <v>33.94</v>
      </c>
      <c r="F316" s="4">
        <v>125255</v>
      </c>
      <c r="G316" s="5">
        <v>71594</v>
      </c>
      <c r="H316" s="6">
        <f t="shared" si="8"/>
        <v>33.935000000000002</v>
      </c>
      <c r="I316">
        <f t="shared" si="9"/>
        <v>-1.9927797833934946E-2</v>
      </c>
    </row>
    <row r="317" spans="1:9" ht="15" customHeight="1" x14ac:dyDescent="0.2">
      <c r="A317" s="7">
        <v>45594</v>
      </c>
      <c r="B317" s="8">
        <v>34.625</v>
      </c>
      <c r="C317" s="8">
        <v>34.441000000000003</v>
      </c>
      <c r="D317" s="8">
        <v>34.619999999999997</v>
      </c>
      <c r="E317" s="8">
        <v>34.630000000000003</v>
      </c>
      <c r="F317" s="8">
        <v>124757</v>
      </c>
      <c r="G317" s="9">
        <v>73528</v>
      </c>
      <c r="H317" s="6">
        <f t="shared" si="8"/>
        <v>34.625</v>
      </c>
      <c r="I317">
        <f t="shared" si="9"/>
        <v>2.3046240212734492E-2</v>
      </c>
    </row>
    <row r="318" spans="1:9" ht="15" customHeight="1" x14ac:dyDescent="0.2">
      <c r="A318" s="3">
        <v>45593</v>
      </c>
      <c r="B318" s="4">
        <v>33.85</v>
      </c>
      <c r="C318" s="4">
        <v>34.000999999999998</v>
      </c>
      <c r="D318" s="4">
        <v>33.840000000000003</v>
      </c>
      <c r="E318" s="4">
        <v>33.85</v>
      </c>
      <c r="F318" s="4">
        <v>125447</v>
      </c>
      <c r="G318" s="5">
        <v>61696</v>
      </c>
      <c r="H318" s="6">
        <f t="shared" si="8"/>
        <v>33.844999999999999</v>
      </c>
      <c r="I318">
        <f t="shared" si="9"/>
        <v>-1.1804633318579505E-3</v>
      </c>
    </row>
    <row r="319" spans="1:9" ht="15" customHeight="1" x14ac:dyDescent="0.2">
      <c r="A319" s="7">
        <v>45590</v>
      </c>
      <c r="B319" s="8">
        <v>33.880000000000003</v>
      </c>
      <c r="C319" s="8">
        <v>33.779000000000003</v>
      </c>
      <c r="D319" s="8">
        <v>33.880000000000003</v>
      </c>
      <c r="E319" s="8">
        <v>33.89</v>
      </c>
      <c r="F319" s="8">
        <v>126496</v>
      </c>
      <c r="G319" s="9">
        <v>67793</v>
      </c>
      <c r="H319" s="6">
        <f t="shared" si="8"/>
        <v>33.885000000000005</v>
      </c>
      <c r="I319">
        <f t="shared" si="9"/>
        <v>8.8613203367304827E-4</v>
      </c>
    </row>
    <row r="320" spans="1:9" ht="15" customHeight="1" x14ac:dyDescent="0.2">
      <c r="A320" s="3">
        <v>45589</v>
      </c>
      <c r="B320" s="4">
        <v>33.86</v>
      </c>
      <c r="C320" s="4">
        <v>33.795000000000002</v>
      </c>
      <c r="D320" s="4">
        <v>33.85</v>
      </c>
      <c r="E320" s="4">
        <v>33.86</v>
      </c>
      <c r="F320" s="4">
        <v>127540</v>
      </c>
      <c r="G320" s="5">
        <v>76972</v>
      </c>
      <c r="H320" s="6">
        <f t="shared" si="8"/>
        <v>33.855000000000004</v>
      </c>
      <c r="I320">
        <f t="shared" si="9"/>
        <v>-8.8534749889335185E-4</v>
      </c>
    </row>
    <row r="321" spans="1:9" ht="15" customHeight="1" x14ac:dyDescent="0.2">
      <c r="A321" s="7">
        <v>45588</v>
      </c>
      <c r="B321" s="8">
        <v>33.884999999999998</v>
      </c>
      <c r="C321" s="8">
        <v>33.838999999999999</v>
      </c>
      <c r="D321" s="8">
        <v>33.880000000000003</v>
      </c>
      <c r="E321" s="8">
        <v>33.89</v>
      </c>
      <c r="F321" s="8">
        <v>129586</v>
      </c>
      <c r="G321" s="9">
        <v>98601</v>
      </c>
      <c r="H321" s="6">
        <f t="shared" si="8"/>
        <v>33.885000000000005</v>
      </c>
      <c r="I321">
        <f t="shared" si="9"/>
        <v>-3.3376123234916455E-2</v>
      </c>
    </row>
    <row r="322" spans="1:9" ht="15" customHeight="1" x14ac:dyDescent="0.2">
      <c r="A322" s="3">
        <v>45587</v>
      </c>
      <c r="B322" s="4">
        <v>35.06</v>
      </c>
      <c r="C322" s="4">
        <v>35.040999999999997</v>
      </c>
      <c r="D322" s="4">
        <v>35.049999999999997</v>
      </c>
      <c r="E322" s="4">
        <v>35.06</v>
      </c>
      <c r="F322" s="4">
        <v>126760</v>
      </c>
      <c r="G322" s="5">
        <v>82873</v>
      </c>
      <c r="H322" s="6">
        <f t="shared" si="8"/>
        <v>35.055</v>
      </c>
      <c r="I322">
        <f t="shared" si="9"/>
        <v>3.1484478446373476E-2</v>
      </c>
    </row>
    <row r="323" spans="1:9" ht="15" customHeight="1" x14ac:dyDescent="0.2">
      <c r="A323" s="7">
        <v>45586</v>
      </c>
      <c r="B323" s="8">
        <v>33.99</v>
      </c>
      <c r="C323" s="8">
        <v>34.078000000000003</v>
      </c>
      <c r="D323" s="8">
        <v>33.979999999999997</v>
      </c>
      <c r="E323" s="8">
        <v>33.99</v>
      </c>
      <c r="F323" s="8">
        <v>125651</v>
      </c>
      <c r="G323" s="9">
        <v>102387</v>
      </c>
      <c r="H323" s="6">
        <f t="shared" si="8"/>
        <v>33.984999999999999</v>
      </c>
      <c r="I323">
        <f t="shared" si="9"/>
        <v>1.9162735849056478E-3</v>
      </c>
    </row>
    <row r="324" spans="1:9" ht="15" customHeight="1" x14ac:dyDescent="0.2">
      <c r="A324" s="3">
        <v>45583</v>
      </c>
      <c r="B324" s="4">
        <v>33.924999999999997</v>
      </c>
      <c r="C324" s="4">
        <v>33.234000000000002</v>
      </c>
      <c r="D324" s="4">
        <v>33.914999999999999</v>
      </c>
      <c r="E324" s="4">
        <v>33.924999999999997</v>
      </c>
      <c r="F324" s="4">
        <v>116993</v>
      </c>
      <c r="G324" s="5">
        <v>100527</v>
      </c>
      <c r="H324" s="6">
        <f t="shared" si="8"/>
        <v>33.92</v>
      </c>
      <c r="I324">
        <f t="shared" si="9"/>
        <v>6.4323815500470838E-2</v>
      </c>
    </row>
    <row r="325" spans="1:9" ht="15" customHeight="1" x14ac:dyDescent="0.2">
      <c r="A325" s="7">
        <v>45582</v>
      </c>
      <c r="B325" s="8">
        <v>31.87</v>
      </c>
      <c r="C325" s="8">
        <v>31.774000000000001</v>
      </c>
      <c r="D325" s="8">
        <v>31.864999999999998</v>
      </c>
      <c r="E325" s="8">
        <v>31.875</v>
      </c>
      <c r="F325" s="8">
        <v>117674</v>
      </c>
      <c r="G325" s="9">
        <v>61404</v>
      </c>
      <c r="H325" s="6">
        <f t="shared" ref="H325:H388" si="10">AVERAGE(D325:E325)</f>
        <v>31.869999999999997</v>
      </c>
      <c r="I325">
        <f t="shared" ref="I325:I388" si="11">H325/H326-1</f>
        <v>-4.7044064607182356E-4</v>
      </c>
    </row>
    <row r="326" spans="1:9" ht="15" customHeight="1" x14ac:dyDescent="0.2">
      <c r="A326" s="3">
        <v>45581</v>
      </c>
      <c r="B326" s="4">
        <v>31.89</v>
      </c>
      <c r="C326" s="4">
        <v>31.974</v>
      </c>
      <c r="D326" s="4">
        <v>31.88</v>
      </c>
      <c r="E326" s="4">
        <v>31.89</v>
      </c>
      <c r="F326" s="4">
        <v>117647</v>
      </c>
      <c r="G326" s="5">
        <v>48800</v>
      </c>
      <c r="H326" s="6">
        <f t="shared" si="10"/>
        <v>31.884999999999998</v>
      </c>
      <c r="I326">
        <f t="shared" si="11"/>
        <v>6.1533606816031039E-3</v>
      </c>
    </row>
    <row r="327" spans="1:9" ht="15" customHeight="1" x14ac:dyDescent="0.2">
      <c r="A327" s="7">
        <v>45580</v>
      </c>
      <c r="B327" s="8">
        <v>31.69</v>
      </c>
      <c r="C327" s="8">
        <v>31.756</v>
      </c>
      <c r="D327" s="8">
        <v>31.684999999999999</v>
      </c>
      <c r="E327" s="8">
        <v>31.695</v>
      </c>
      <c r="F327" s="8">
        <v>117496</v>
      </c>
      <c r="G327" s="9">
        <v>52284</v>
      </c>
      <c r="H327" s="6">
        <f t="shared" si="10"/>
        <v>31.689999999999998</v>
      </c>
      <c r="I327">
        <f t="shared" si="11"/>
        <v>9.3964007007485417E-3</v>
      </c>
    </row>
    <row r="328" spans="1:9" ht="15" customHeight="1" x14ac:dyDescent="0.2">
      <c r="A328" s="3">
        <v>45579</v>
      </c>
      <c r="B328" s="4">
        <v>31.4</v>
      </c>
      <c r="C328" s="4">
        <v>31.315999999999999</v>
      </c>
      <c r="D328" s="4">
        <v>31.39</v>
      </c>
      <c r="E328" s="4">
        <v>31.4</v>
      </c>
      <c r="F328" s="4">
        <v>117788</v>
      </c>
      <c r="G328" s="5">
        <v>43865</v>
      </c>
      <c r="H328" s="6">
        <f t="shared" si="10"/>
        <v>31.395</v>
      </c>
      <c r="I328">
        <f t="shared" si="11"/>
        <v>-1.0869565217391353E-2</v>
      </c>
    </row>
    <row r="329" spans="1:9" ht="15" customHeight="1" x14ac:dyDescent="0.2">
      <c r="A329" s="7">
        <v>45576</v>
      </c>
      <c r="B329" s="8">
        <v>31.74</v>
      </c>
      <c r="C329" s="8">
        <v>31.754999999999999</v>
      </c>
      <c r="D329" s="8">
        <v>31.734999999999999</v>
      </c>
      <c r="E329" s="8">
        <v>31.745000000000001</v>
      </c>
      <c r="F329" s="8">
        <v>117383</v>
      </c>
      <c r="G329" s="9">
        <v>43017</v>
      </c>
      <c r="H329" s="6">
        <f t="shared" si="10"/>
        <v>31.740000000000002</v>
      </c>
      <c r="I329">
        <f t="shared" si="11"/>
        <v>1.1633466135458237E-2</v>
      </c>
    </row>
    <row r="330" spans="1:9" ht="15" customHeight="1" x14ac:dyDescent="0.2">
      <c r="A330" s="3">
        <v>45575</v>
      </c>
      <c r="B330" s="4">
        <v>31.375</v>
      </c>
      <c r="C330" s="4">
        <v>31.24</v>
      </c>
      <c r="D330" s="4">
        <v>31.37</v>
      </c>
      <c r="E330" s="4">
        <v>31.38</v>
      </c>
      <c r="F330" s="4">
        <v>117696</v>
      </c>
      <c r="G330" s="5">
        <v>54611</v>
      </c>
      <c r="H330" s="6">
        <f t="shared" si="10"/>
        <v>31.375</v>
      </c>
      <c r="I330">
        <f t="shared" si="11"/>
        <v>2.11554109031733E-2</v>
      </c>
    </row>
    <row r="331" spans="1:9" ht="15" customHeight="1" x14ac:dyDescent="0.2">
      <c r="A331" s="7">
        <v>45574</v>
      </c>
      <c r="B331" s="8">
        <v>30.73</v>
      </c>
      <c r="C331" s="8">
        <v>30.67</v>
      </c>
      <c r="D331" s="8">
        <v>30.72</v>
      </c>
      <c r="E331" s="8">
        <v>30.73</v>
      </c>
      <c r="F331" s="8">
        <v>120026</v>
      </c>
      <c r="G331" s="9">
        <v>51023</v>
      </c>
      <c r="H331" s="6">
        <f t="shared" si="10"/>
        <v>30.725000000000001</v>
      </c>
      <c r="I331">
        <f t="shared" si="11"/>
        <v>-5.3415344771770012E-3</v>
      </c>
    </row>
    <row r="332" spans="1:9" ht="15" customHeight="1" x14ac:dyDescent="0.2">
      <c r="A332" s="3">
        <v>45573</v>
      </c>
      <c r="B332" s="4">
        <v>30.89</v>
      </c>
      <c r="C332" s="4">
        <v>30.6</v>
      </c>
      <c r="D332" s="4">
        <v>30.885000000000002</v>
      </c>
      <c r="E332" s="4">
        <v>30.895</v>
      </c>
      <c r="F332" s="4">
        <v>123667</v>
      </c>
      <c r="G332" s="5">
        <v>93341</v>
      </c>
      <c r="H332" s="6">
        <f t="shared" si="10"/>
        <v>30.89</v>
      </c>
      <c r="I332">
        <f t="shared" si="11"/>
        <v>-3.2874139010644843E-2</v>
      </c>
    </row>
    <row r="333" spans="1:9" ht="15" customHeight="1" x14ac:dyDescent="0.2">
      <c r="A333" s="7">
        <v>45572</v>
      </c>
      <c r="B333" s="8">
        <v>31.94</v>
      </c>
      <c r="C333" s="8">
        <v>32.003999999999998</v>
      </c>
      <c r="D333" s="8">
        <v>31.934999999999999</v>
      </c>
      <c r="E333" s="8">
        <v>31.945</v>
      </c>
      <c r="F333" s="8">
        <v>126061</v>
      </c>
      <c r="G333" s="9">
        <v>54410</v>
      </c>
      <c r="H333" s="6">
        <f t="shared" si="10"/>
        <v>31.939999999999998</v>
      </c>
      <c r="I333">
        <f t="shared" si="11"/>
        <v>-1.5564801972569042E-2</v>
      </c>
    </row>
    <row r="334" spans="1:9" ht="15" customHeight="1" x14ac:dyDescent="0.2">
      <c r="A334" s="3">
        <v>45569</v>
      </c>
      <c r="B334" s="4">
        <v>32.445</v>
      </c>
      <c r="C334" s="4">
        <v>32.393999999999998</v>
      </c>
      <c r="D334" s="4">
        <v>32.44</v>
      </c>
      <c r="E334" s="4">
        <v>32.450000000000003</v>
      </c>
      <c r="F334" s="4">
        <v>125784</v>
      </c>
      <c r="G334" s="5">
        <v>85593</v>
      </c>
      <c r="H334" s="6">
        <f t="shared" si="10"/>
        <v>32.445</v>
      </c>
      <c r="I334">
        <f t="shared" si="11"/>
        <v>4.644681839294007E-3</v>
      </c>
    </row>
    <row r="335" spans="1:9" ht="15" customHeight="1" x14ac:dyDescent="0.2">
      <c r="A335" s="7">
        <v>45568</v>
      </c>
      <c r="B335" s="8">
        <v>32.295000000000002</v>
      </c>
      <c r="C335" s="8">
        <v>32.463999999999999</v>
      </c>
      <c r="D335" s="8">
        <v>32.29</v>
      </c>
      <c r="E335" s="8">
        <v>32.299999999999997</v>
      </c>
      <c r="F335" s="8">
        <v>126224</v>
      </c>
      <c r="G335" s="9">
        <v>55702</v>
      </c>
      <c r="H335" s="6">
        <f t="shared" si="10"/>
        <v>32.295000000000002</v>
      </c>
      <c r="I335">
        <f t="shared" si="11"/>
        <v>5.6831451926822041E-3</v>
      </c>
    </row>
    <row r="336" spans="1:9" ht="15" customHeight="1" x14ac:dyDescent="0.2">
      <c r="A336" s="3">
        <v>45567</v>
      </c>
      <c r="B336" s="4">
        <v>32.115000000000002</v>
      </c>
      <c r="C336" s="4">
        <v>31.92</v>
      </c>
      <c r="D336" s="4">
        <v>32.11</v>
      </c>
      <c r="E336" s="4">
        <v>32.115000000000002</v>
      </c>
      <c r="F336" s="4">
        <v>125384</v>
      </c>
      <c r="G336" s="5">
        <v>69133</v>
      </c>
      <c r="H336" s="6">
        <f t="shared" si="10"/>
        <v>32.112499999999997</v>
      </c>
      <c r="I336">
        <f t="shared" si="11"/>
        <v>1.2693156732891619E-2</v>
      </c>
    </row>
    <row r="337" spans="1:9" ht="15" customHeight="1" x14ac:dyDescent="0.2">
      <c r="A337" s="7">
        <v>45566</v>
      </c>
      <c r="B337" s="8">
        <v>31.715</v>
      </c>
      <c r="C337" s="8">
        <v>31.742000000000001</v>
      </c>
      <c r="D337" s="8">
        <v>31.704999999999998</v>
      </c>
      <c r="E337" s="8">
        <v>31.715</v>
      </c>
      <c r="F337" s="8">
        <v>125561</v>
      </c>
      <c r="G337" s="9">
        <v>60171</v>
      </c>
      <c r="H337" s="6">
        <f t="shared" si="10"/>
        <v>31.71</v>
      </c>
      <c r="I337">
        <f t="shared" si="11"/>
        <v>8.9086859688196629E-3</v>
      </c>
    </row>
    <row r="338" spans="1:9" ht="15" customHeight="1" x14ac:dyDescent="0.2">
      <c r="A338" s="3">
        <v>45565</v>
      </c>
      <c r="B338" s="4">
        <v>31.425000000000001</v>
      </c>
      <c r="C338" s="4">
        <v>31.457999999999998</v>
      </c>
      <c r="D338" s="4">
        <v>31.425000000000001</v>
      </c>
      <c r="E338" s="4">
        <v>31.434999999999999</v>
      </c>
      <c r="F338" s="4">
        <v>126892</v>
      </c>
      <c r="G338" s="5">
        <v>56238</v>
      </c>
      <c r="H338" s="6">
        <f t="shared" si="10"/>
        <v>31.43</v>
      </c>
      <c r="I338">
        <f t="shared" si="11"/>
        <v>-1.5196616011279973E-2</v>
      </c>
    </row>
    <row r="339" spans="1:9" ht="15" customHeight="1" x14ac:dyDescent="0.2">
      <c r="A339" s="7">
        <v>45562</v>
      </c>
      <c r="B339" s="8">
        <v>31.914999999999999</v>
      </c>
      <c r="C339" s="8">
        <v>31.815999999999999</v>
      </c>
      <c r="D339" s="8">
        <v>31.91</v>
      </c>
      <c r="E339" s="8">
        <v>31.92</v>
      </c>
      <c r="F339" s="8">
        <v>127078</v>
      </c>
      <c r="G339" s="9">
        <v>73451</v>
      </c>
      <c r="H339" s="6">
        <f t="shared" si="10"/>
        <v>31.914999999999999</v>
      </c>
      <c r="I339">
        <f t="shared" si="11"/>
        <v>-1.2225317239244915E-2</v>
      </c>
    </row>
    <row r="340" spans="1:9" ht="15" customHeight="1" x14ac:dyDescent="0.2">
      <c r="A340" s="3">
        <v>45561</v>
      </c>
      <c r="B340" s="4">
        <v>32.31</v>
      </c>
      <c r="C340" s="4">
        <v>32.341000000000001</v>
      </c>
      <c r="D340" s="4">
        <v>32.305</v>
      </c>
      <c r="E340" s="4">
        <v>32.314999999999998</v>
      </c>
      <c r="F340" s="4">
        <v>127444</v>
      </c>
      <c r="G340" s="5">
        <v>90777</v>
      </c>
      <c r="H340" s="6">
        <f t="shared" si="10"/>
        <v>32.31</v>
      </c>
      <c r="I340">
        <f t="shared" si="11"/>
        <v>5.7587548638133867E-3</v>
      </c>
    </row>
    <row r="341" spans="1:9" ht="15" customHeight="1" x14ac:dyDescent="0.2">
      <c r="A341" s="7">
        <v>45560</v>
      </c>
      <c r="B341" s="8">
        <v>32.125</v>
      </c>
      <c r="C341" s="8">
        <v>32.018000000000001</v>
      </c>
      <c r="D341" s="8">
        <v>32.115000000000002</v>
      </c>
      <c r="E341" s="8">
        <v>32.134999999999998</v>
      </c>
      <c r="F341" s="8">
        <v>130947</v>
      </c>
      <c r="G341" s="9">
        <v>84038</v>
      </c>
      <c r="H341" s="6">
        <f t="shared" si="10"/>
        <v>32.125</v>
      </c>
      <c r="I341">
        <f t="shared" si="11"/>
        <v>-9.4048720320690782E-3</v>
      </c>
    </row>
    <row r="342" spans="1:9" ht="15" customHeight="1" x14ac:dyDescent="0.2">
      <c r="A342" s="3">
        <v>45559</v>
      </c>
      <c r="B342" s="4">
        <v>32.43</v>
      </c>
      <c r="C342" s="4">
        <v>32.43</v>
      </c>
      <c r="D342" s="4">
        <v>32.424999999999997</v>
      </c>
      <c r="E342" s="4">
        <v>32.435000000000002</v>
      </c>
      <c r="F342" s="4">
        <v>126078</v>
      </c>
      <c r="G342" s="5">
        <v>110550</v>
      </c>
      <c r="H342" s="6">
        <f t="shared" si="10"/>
        <v>32.43</v>
      </c>
      <c r="I342">
        <f t="shared" si="11"/>
        <v>4.5623085603740066E-2</v>
      </c>
    </row>
    <row r="343" spans="1:9" ht="15" customHeight="1" x14ac:dyDescent="0.2">
      <c r="A343" s="7">
        <v>45558</v>
      </c>
      <c r="B343" s="8">
        <v>31.01</v>
      </c>
      <c r="C343" s="8">
        <v>31.085000000000001</v>
      </c>
      <c r="D343" s="8">
        <v>31.01</v>
      </c>
      <c r="E343" s="8">
        <v>31.02</v>
      </c>
      <c r="F343" s="8">
        <v>125094</v>
      </c>
      <c r="G343" s="9">
        <v>60524</v>
      </c>
      <c r="H343" s="6">
        <f t="shared" si="10"/>
        <v>31.015000000000001</v>
      </c>
      <c r="I343">
        <f t="shared" si="11"/>
        <v>-1.5084153699587266E-2</v>
      </c>
    </row>
    <row r="344" spans="1:9" ht="15" customHeight="1" x14ac:dyDescent="0.2">
      <c r="A344" s="3">
        <v>45555</v>
      </c>
      <c r="B344" s="4">
        <v>31.495000000000001</v>
      </c>
      <c r="C344" s="4">
        <v>31.504999999999999</v>
      </c>
      <c r="D344" s="4">
        <v>31.484999999999999</v>
      </c>
      <c r="E344" s="4">
        <v>31.495000000000001</v>
      </c>
      <c r="F344" s="4">
        <v>122861</v>
      </c>
      <c r="G344" s="5">
        <v>74064</v>
      </c>
      <c r="H344" s="6">
        <f t="shared" si="10"/>
        <v>31.490000000000002</v>
      </c>
      <c r="I344">
        <f t="shared" si="11"/>
        <v>1.2377431281144657E-2</v>
      </c>
    </row>
    <row r="345" spans="1:9" ht="15" customHeight="1" x14ac:dyDescent="0.2">
      <c r="A345" s="7">
        <v>45554</v>
      </c>
      <c r="B345" s="8">
        <v>31.105</v>
      </c>
      <c r="C345" s="8">
        <v>31.422999999999998</v>
      </c>
      <c r="D345" s="8">
        <v>31.1</v>
      </c>
      <c r="E345" s="8">
        <v>31.11</v>
      </c>
      <c r="F345" s="8">
        <v>123435</v>
      </c>
      <c r="G345" s="9">
        <v>74857</v>
      </c>
      <c r="H345" s="6">
        <f t="shared" si="10"/>
        <v>31.105</v>
      </c>
      <c r="I345">
        <f t="shared" si="11"/>
        <v>2.3022529189278051E-2</v>
      </c>
    </row>
    <row r="346" spans="1:9" ht="15" customHeight="1" x14ac:dyDescent="0.2">
      <c r="A346" s="3">
        <v>45553</v>
      </c>
      <c r="B346" s="4">
        <v>30.41</v>
      </c>
      <c r="C346" s="4">
        <v>30.687000000000001</v>
      </c>
      <c r="D346" s="4">
        <v>30.4</v>
      </c>
      <c r="E346" s="4">
        <v>30.41</v>
      </c>
      <c r="F346" s="4">
        <v>123007</v>
      </c>
      <c r="G346" s="5">
        <v>83309</v>
      </c>
      <c r="H346" s="6">
        <f t="shared" si="10"/>
        <v>30.405000000000001</v>
      </c>
      <c r="I346">
        <f t="shared" si="11"/>
        <v>-2.0772946859903385E-2</v>
      </c>
    </row>
    <row r="347" spans="1:9" ht="15" customHeight="1" x14ac:dyDescent="0.2">
      <c r="A347" s="7">
        <v>45552</v>
      </c>
      <c r="B347" s="8">
        <v>31.05</v>
      </c>
      <c r="C347" s="8">
        <v>30.978999999999999</v>
      </c>
      <c r="D347" s="8">
        <v>31.045000000000002</v>
      </c>
      <c r="E347" s="8">
        <v>31.055</v>
      </c>
      <c r="F347" s="8">
        <v>121897</v>
      </c>
      <c r="G347" s="9">
        <v>46661</v>
      </c>
      <c r="H347" s="6">
        <f t="shared" si="10"/>
        <v>31.05</v>
      </c>
      <c r="I347">
        <f t="shared" si="11"/>
        <v>-9.6525096525090781E-4</v>
      </c>
    </row>
    <row r="348" spans="1:9" ht="15" customHeight="1" x14ac:dyDescent="0.2">
      <c r="A348" s="3">
        <v>45551</v>
      </c>
      <c r="B348" s="4">
        <v>31.08</v>
      </c>
      <c r="C348" s="4">
        <v>31.135000000000002</v>
      </c>
      <c r="D348" s="4">
        <v>31.074999999999999</v>
      </c>
      <c r="E348" s="4">
        <v>31.085000000000001</v>
      </c>
      <c r="F348" s="4">
        <v>120295</v>
      </c>
      <c r="G348" s="5">
        <v>48623</v>
      </c>
      <c r="H348" s="6">
        <f t="shared" si="10"/>
        <v>31.08</v>
      </c>
      <c r="I348">
        <f t="shared" si="11"/>
        <v>4.8285852245300021E-4</v>
      </c>
    </row>
    <row r="349" spans="1:9" ht="15" customHeight="1" x14ac:dyDescent="0.2">
      <c r="A349" s="7">
        <v>45548</v>
      </c>
      <c r="B349" s="8">
        <v>31.065000000000001</v>
      </c>
      <c r="C349" s="8">
        <v>31.074000000000002</v>
      </c>
      <c r="D349" s="8">
        <v>31.06</v>
      </c>
      <c r="E349" s="8">
        <v>31.07</v>
      </c>
      <c r="F349" s="8">
        <v>115841</v>
      </c>
      <c r="G349" s="9">
        <v>78971</v>
      </c>
      <c r="H349" s="6">
        <f t="shared" si="10"/>
        <v>31.064999999999998</v>
      </c>
      <c r="I349">
        <f t="shared" si="11"/>
        <v>2.8301886792452713E-2</v>
      </c>
    </row>
    <row r="350" spans="1:9" ht="15" customHeight="1" x14ac:dyDescent="0.2">
      <c r="A350" s="3">
        <v>45547</v>
      </c>
      <c r="B350" s="4">
        <v>30.215</v>
      </c>
      <c r="C350" s="4">
        <v>30.106999999999999</v>
      </c>
      <c r="D350" s="4">
        <v>30.204999999999998</v>
      </c>
      <c r="E350" s="4">
        <v>30.215</v>
      </c>
      <c r="F350" s="4">
        <v>114411</v>
      </c>
      <c r="G350" s="5">
        <v>76240</v>
      </c>
      <c r="H350" s="6">
        <f t="shared" si="10"/>
        <v>30.21</v>
      </c>
      <c r="I350">
        <f t="shared" si="11"/>
        <v>4.1544561282537362E-2</v>
      </c>
    </row>
    <row r="351" spans="1:9" ht="15" customHeight="1" x14ac:dyDescent="0.2">
      <c r="A351" s="7">
        <v>45546</v>
      </c>
      <c r="B351" s="8">
        <v>29.004999999999999</v>
      </c>
      <c r="C351" s="8">
        <v>28.928000000000001</v>
      </c>
      <c r="D351" s="8">
        <v>29</v>
      </c>
      <c r="E351" s="8">
        <v>29.01</v>
      </c>
      <c r="F351" s="8">
        <v>113376</v>
      </c>
      <c r="G351" s="9">
        <v>68981</v>
      </c>
      <c r="H351" s="6">
        <f t="shared" si="10"/>
        <v>29.005000000000003</v>
      </c>
      <c r="I351">
        <f t="shared" si="11"/>
        <v>9.7476066144472906E-3</v>
      </c>
    </row>
    <row r="352" spans="1:9" ht="15" customHeight="1" x14ac:dyDescent="0.2">
      <c r="A352" s="3">
        <v>45545</v>
      </c>
      <c r="B352" s="4">
        <v>28.725000000000001</v>
      </c>
      <c r="C352" s="4">
        <v>28.614000000000001</v>
      </c>
      <c r="D352" s="4">
        <v>28.72</v>
      </c>
      <c r="E352" s="4">
        <v>28.73</v>
      </c>
      <c r="F352" s="4">
        <v>113333</v>
      </c>
      <c r="G352" s="5">
        <v>45799</v>
      </c>
      <c r="H352" s="6">
        <f t="shared" si="10"/>
        <v>28.725000000000001</v>
      </c>
      <c r="I352">
        <f t="shared" si="11"/>
        <v>8.7108013937298168E-4</v>
      </c>
    </row>
    <row r="353" spans="1:9" ht="15" customHeight="1" x14ac:dyDescent="0.2">
      <c r="A353" s="7">
        <v>45544</v>
      </c>
      <c r="B353" s="8">
        <v>28.695</v>
      </c>
      <c r="C353" s="8">
        <v>28.651</v>
      </c>
      <c r="D353" s="8">
        <v>28.695</v>
      </c>
      <c r="E353" s="8">
        <v>28.704999999999998</v>
      </c>
      <c r="F353" s="8">
        <v>114585</v>
      </c>
      <c r="G353" s="9">
        <v>47153</v>
      </c>
      <c r="H353" s="6">
        <f t="shared" si="10"/>
        <v>28.7</v>
      </c>
      <c r="I353">
        <f t="shared" si="11"/>
        <v>1.5390058376083537E-2</v>
      </c>
    </row>
    <row r="354" spans="1:9" ht="15" customHeight="1" x14ac:dyDescent="0.2">
      <c r="A354" s="3">
        <v>45541</v>
      </c>
      <c r="B354" s="4">
        <v>28.27</v>
      </c>
      <c r="C354" s="4">
        <v>28.183</v>
      </c>
      <c r="D354" s="4">
        <v>28.26</v>
      </c>
      <c r="E354" s="4">
        <v>28.27</v>
      </c>
      <c r="F354" s="4">
        <v>114125</v>
      </c>
      <c r="G354" s="5">
        <v>85975</v>
      </c>
      <c r="H354" s="6">
        <f t="shared" si="10"/>
        <v>28.265000000000001</v>
      </c>
      <c r="I354">
        <f t="shared" si="11"/>
        <v>-3.1025025711347354E-2</v>
      </c>
    </row>
    <row r="355" spans="1:9" ht="15" customHeight="1" x14ac:dyDescent="0.2">
      <c r="A355" s="7">
        <v>45540</v>
      </c>
      <c r="B355" s="8">
        <v>29.164999999999999</v>
      </c>
      <c r="C355" s="8">
        <v>29.099</v>
      </c>
      <c r="D355" s="8">
        <v>29.164999999999999</v>
      </c>
      <c r="E355" s="8">
        <v>29.175000000000001</v>
      </c>
      <c r="F355" s="8">
        <v>116167</v>
      </c>
      <c r="G355" s="9">
        <v>60451</v>
      </c>
      <c r="H355" s="6">
        <f t="shared" si="10"/>
        <v>29.17</v>
      </c>
      <c r="I355">
        <f t="shared" si="11"/>
        <v>1.9217330538085386E-2</v>
      </c>
    </row>
    <row r="356" spans="1:9" ht="15" customHeight="1" x14ac:dyDescent="0.2">
      <c r="A356" s="3">
        <v>45539</v>
      </c>
      <c r="B356" s="4">
        <v>28.62</v>
      </c>
      <c r="C356" s="4">
        <v>28.556999999999999</v>
      </c>
      <c r="D356" s="4">
        <v>28.614999999999998</v>
      </c>
      <c r="E356" s="4">
        <v>28.625</v>
      </c>
      <c r="F356" s="4">
        <v>116894</v>
      </c>
      <c r="G356" s="5">
        <v>46136</v>
      </c>
      <c r="H356" s="6">
        <f t="shared" si="10"/>
        <v>28.619999999999997</v>
      </c>
      <c r="I356">
        <f t="shared" si="11"/>
        <v>7.7464788732393153E-3</v>
      </c>
    </row>
    <row r="357" spans="1:9" ht="15" customHeight="1" x14ac:dyDescent="0.2">
      <c r="A357" s="7">
        <v>45538</v>
      </c>
      <c r="B357" s="8">
        <v>28.4</v>
      </c>
      <c r="C357" s="8">
        <v>28.344000000000001</v>
      </c>
      <c r="D357" s="8">
        <v>28.395</v>
      </c>
      <c r="E357" s="8">
        <v>28.405000000000001</v>
      </c>
      <c r="F357" s="8">
        <v>117830</v>
      </c>
      <c r="G357" s="9">
        <v>89402</v>
      </c>
      <c r="H357" s="6">
        <f t="shared" si="10"/>
        <v>28.4</v>
      </c>
      <c r="I357">
        <f t="shared" si="11"/>
        <v>-2.8893828004787125E-2</v>
      </c>
    </row>
    <row r="358" spans="1:9" ht="15" customHeight="1" x14ac:dyDescent="0.2">
      <c r="A358" s="3">
        <v>45534</v>
      </c>
      <c r="B358" s="4">
        <v>29.245000000000001</v>
      </c>
      <c r="C358" s="4">
        <v>29.143000000000001</v>
      </c>
      <c r="D358" s="4">
        <v>29.24</v>
      </c>
      <c r="E358" s="4">
        <v>29.25</v>
      </c>
      <c r="F358" s="4">
        <v>117082</v>
      </c>
      <c r="G358" s="5">
        <v>58194</v>
      </c>
      <c r="H358" s="6">
        <f t="shared" si="10"/>
        <v>29.244999999999997</v>
      </c>
      <c r="I358">
        <f t="shared" si="11"/>
        <v>-1.9939678284182416E-2</v>
      </c>
    </row>
    <row r="359" spans="1:9" ht="15" customHeight="1" x14ac:dyDescent="0.2">
      <c r="A359" s="7">
        <v>45533</v>
      </c>
      <c r="B359" s="8">
        <v>29.835000000000001</v>
      </c>
      <c r="C359" s="8">
        <v>29.989000000000001</v>
      </c>
      <c r="D359" s="8">
        <v>29.835000000000001</v>
      </c>
      <c r="E359" s="8">
        <v>29.844999999999999</v>
      </c>
      <c r="F359" s="8">
        <v>115351</v>
      </c>
      <c r="G359" s="9">
        <v>69348</v>
      </c>
      <c r="H359" s="6">
        <f t="shared" si="10"/>
        <v>29.84</v>
      </c>
      <c r="I359">
        <f t="shared" si="11"/>
        <v>1.1268321613149279E-2</v>
      </c>
    </row>
    <row r="360" spans="1:9" ht="15" customHeight="1" x14ac:dyDescent="0.2">
      <c r="A360" s="3">
        <v>45532</v>
      </c>
      <c r="B360" s="4">
        <v>29.125</v>
      </c>
      <c r="C360" s="4">
        <v>29.201000000000001</v>
      </c>
      <c r="D360" s="4">
        <v>29.094999999999999</v>
      </c>
      <c r="E360" s="4">
        <v>29.92</v>
      </c>
      <c r="F360" s="4">
        <v>19652</v>
      </c>
      <c r="G360" s="5">
        <v>42183</v>
      </c>
      <c r="H360" s="6">
        <f t="shared" si="10"/>
        <v>29.5075</v>
      </c>
      <c r="I360">
        <f t="shared" si="11"/>
        <v>-1.58425748353207E-2</v>
      </c>
    </row>
    <row r="361" spans="1:9" ht="15" customHeight="1" x14ac:dyDescent="0.2">
      <c r="A361" s="7">
        <v>45531</v>
      </c>
      <c r="B361" s="8">
        <v>29.984999999999999</v>
      </c>
      <c r="C361" s="8">
        <v>29.98</v>
      </c>
      <c r="D361" s="8">
        <v>29.975000000000001</v>
      </c>
      <c r="E361" s="8">
        <v>29.99</v>
      </c>
      <c r="F361" s="8">
        <v>29625</v>
      </c>
      <c r="G361" s="9">
        <v>48411</v>
      </c>
      <c r="H361" s="6">
        <f t="shared" si="10"/>
        <v>29.982500000000002</v>
      </c>
      <c r="I361">
        <f t="shared" si="11"/>
        <v>2.5077321742039693E-3</v>
      </c>
    </row>
    <row r="362" spans="1:9" ht="15" customHeight="1" x14ac:dyDescent="0.2">
      <c r="A362" s="3">
        <v>45530</v>
      </c>
      <c r="B362" s="4">
        <v>29.91</v>
      </c>
      <c r="C362" s="4">
        <v>30.007000000000001</v>
      </c>
      <c r="D362" s="4">
        <v>29.905000000000001</v>
      </c>
      <c r="E362" s="4">
        <v>29.91</v>
      </c>
      <c r="F362" s="4">
        <v>36423</v>
      </c>
      <c r="G362" s="5">
        <v>53243</v>
      </c>
      <c r="H362" s="6">
        <f t="shared" si="10"/>
        <v>29.907499999999999</v>
      </c>
      <c r="I362">
        <f t="shared" si="11"/>
        <v>1.4230704838438246E-3</v>
      </c>
    </row>
    <row r="363" spans="1:9" ht="15" customHeight="1" x14ac:dyDescent="0.2">
      <c r="A363" s="7">
        <v>45527</v>
      </c>
      <c r="B363" s="8">
        <v>29.864999999999998</v>
      </c>
      <c r="C363" s="8">
        <v>29.82</v>
      </c>
      <c r="D363" s="8">
        <v>29.86</v>
      </c>
      <c r="E363" s="8">
        <v>29.87</v>
      </c>
      <c r="F363" s="8">
        <v>40820</v>
      </c>
      <c r="G363" s="9">
        <v>71307</v>
      </c>
      <c r="H363" s="6">
        <f t="shared" si="10"/>
        <v>29.865000000000002</v>
      </c>
      <c r="I363">
        <f t="shared" si="11"/>
        <v>3.0005173305742483E-2</v>
      </c>
    </row>
    <row r="364" spans="1:9" ht="15" customHeight="1" x14ac:dyDescent="0.2">
      <c r="A364" s="3">
        <v>45526</v>
      </c>
      <c r="B364" s="4">
        <v>28.995000000000001</v>
      </c>
      <c r="C364" s="4">
        <v>29.047000000000001</v>
      </c>
      <c r="D364" s="4">
        <v>28.99</v>
      </c>
      <c r="E364" s="4">
        <v>29</v>
      </c>
      <c r="F364" s="4">
        <v>47551</v>
      </c>
      <c r="G364" s="5">
        <v>75388</v>
      </c>
      <c r="H364" s="6">
        <f t="shared" si="10"/>
        <v>28.994999999999997</v>
      </c>
      <c r="I364">
        <f t="shared" si="11"/>
        <v>-2.1678616617461177E-2</v>
      </c>
    </row>
    <row r="365" spans="1:9" ht="15" customHeight="1" x14ac:dyDescent="0.2">
      <c r="A365" s="7">
        <v>45525</v>
      </c>
      <c r="B365" s="8">
        <v>29.635000000000002</v>
      </c>
      <c r="C365" s="8">
        <v>29.535</v>
      </c>
      <c r="D365" s="8">
        <v>29.635000000000002</v>
      </c>
      <c r="E365" s="8">
        <v>29.64</v>
      </c>
      <c r="F365" s="8">
        <v>51207</v>
      </c>
      <c r="G365" s="9">
        <v>51259</v>
      </c>
      <c r="H365" s="6">
        <f t="shared" si="10"/>
        <v>29.637500000000003</v>
      </c>
      <c r="I365">
        <f t="shared" si="11"/>
        <v>5.5131467345208574E-3</v>
      </c>
    </row>
    <row r="366" spans="1:9" ht="15" customHeight="1" x14ac:dyDescent="0.2">
      <c r="A366" s="3">
        <v>45524</v>
      </c>
      <c r="B366" s="4">
        <v>29.47</v>
      </c>
      <c r="C366" s="4">
        <v>29.518999999999998</v>
      </c>
      <c r="D366" s="4">
        <v>29.47</v>
      </c>
      <c r="E366" s="4">
        <v>29.48</v>
      </c>
      <c r="F366" s="4">
        <v>56588</v>
      </c>
      <c r="G366" s="5">
        <v>74438</v>
      </c>
      <c r="H366" s="6">
        <f t="shared" si="10"/>
        <v>29.475000000000001</v>
      </c>
      <c r="I366">
        <f t="shared" si="11"/>
        <v>-8.474576271185752E-4</v>
      </c>
    </row>
    <row r="367" spans="1:9" ht="15" customHeight="1" x14ac:dyDescent="0.2">
      <c r="A367" s="7">
        <v>45523</v>
      </c>
      <c r="B367" s="8">
        <v>29.495000000000001</v>
      </c>
      <c r="C367" s="8">
        <v>29.303999999999998</v>
      </c>
      <c r="D367" s="8">
        <v>29.495000000000001</v>
      </c>
      <c r="E367" s="8">
        <v>29.504999999999999</v>
      </c>
      <c r="F367" s="8">
        <v>59913</v>
      </c>
      <c r="G367" s="9">
        <v>63753</v>
      </c>
      <c r="H367" s="6">
        <f t="shared" si="10"/>
        <v>29.5</v>
      </c>
      <c r="I367">
        <f t="shared" si="11"/>
        <v>1.4442916093535096E-2</v>
      </c>
    </row>
    <row r="368" spans="1:9" ht="15" customHeight="1" x14ac:dyDescent="0.2">
      <c r="A368" s="3">
        <v>45520</v>
      </c>
      <c r="B368" s="4">
        <v>29.085000000000001</v>
      </c>
      <c r="C368" s="4">
        <v>28.849</v>
      </c>
      <c r="D368" s="4">
        <v>29.074999999999999</v>
      </c>
      <c r="E368" s="4">
        <v>29.085000000000001</v>
      </c>
      <c r="F368" s="4">
        <v>61698</v>
      </c>
      <c r="G368" s="5">
        <v>61533</v>
      </c>
      <c r="H368" s="6">
        <f t="shared" si="10"/>
        <v>29.08</v>
      </c>
      <c r="I368">
        <f t="shared" si="11"/>
        <v>2.3223082336382816E-2</v>
      </c>
    </row>
    <row r="369" spans="1:9" ht="15" customHeight="1" x14ac:dyDescent="0.2">
      <c r="A369" s="7">
        <v>45519</v>
      </c>
      <c r="B369" s="8">
        <v>28.42</v>
      </c>
      <c r="C369" s="8">
        <v>28.417999999999999</v>
      </c>
      <c r="D369" s="8">
        <v>28.414999999999999</v>
      </c>
      <c r="E369" s="8">
        <v>28.425000000000001</v>
      </c>
      <c r="F369" s="8">
        <v>64211</v>
      </c>
      <c r="G369" s="9">
        <v>85058</v>
      </c>
      <c r="H369" s="6">
        <f t="shared" si="10"/>
        <v>28.42</v>
      </c>
      <c r="I369">
        <f t="shared" si="11"/>
        <v>2.9244001810774245E-2</v>
      </c>
    </row>
    <row r="370" spans="1:9" ht="15" customHeight="1" x14ac:dyDescent="0.2">
      <c r="A370" s="3">
        <v>45518</v>
      </c>
      <c r="B370" s="4">
        <v>27.61</v>
      </c>
      <c r="C370" s="4">
        <v>27.338999999999999</v>
      </c>
      <c r="D370" s="4">
        <v>27.61</v>
      </c>
      <c r="E370" s="4">
        <v>27.614999999999998</v>
      </c>
      <c r="F370" s="4">
        <v>66500</v>
      </c>
      <c r="G370" s="5">
        <v>64492.999999999898</v>
      </c>
      <c r="H370" s="6">
        <f t="shared" si="10"/>
        <v>27.612499999999997</v>
      </c>
      <c r="I370">
        <f t="shared" si="11"/>
        <v>-1.0659261913292806E-2</v>
      </c>
    </row>
    <row r="371" spans="1:9" ht="15" customHeight="1" x14ac:dyDescent="0.2">
      <c r="A371" s="7">
        <v>45517</v>
      </c>
      <c r="B371" s="8">
        <v>27.91</v>
      </c>
      <c r="C371" s="8">
        <v>27.786000000000001</v>
      </c>
      <c r="D371" s="8">
        <v>27.905000000000001</v>
      </c>
      <c r="E371" s="8">
        <v>27.914999999999999</v>
      </c>
      <c r="F371" s="8">
        <v>71453</v>
      </c>
      <c r="G371" s="9">
        <v>55178</v>
      </c>
      <c r="H371" s="6">
        <f t="shared" si="10"/>
        <v>27.91</v>
      </c>
      <c r="I371">
        <f t="shared" si="11"/>
        <v>-4.8136922802639592E-3</v>
      </c>
    </row>
    <row r="372" spans="1:9" ht="15" customHeight="1" x14ac:dyDescent="0.2">
      <c r="A372" s="3">
        <v>45516</v>
      </c>
      <c r="B372" s="4">
        <v>28.05</v>
      </c>
      <c r="C372" s="4">
        <v>28.007999999999999</v>
      </c>
      <c r="D372" s="4">
        <v>28.04</v>
      </c>
      <c r="E372" s="4">
        <v>28.05</v>
      </c>
      <c r="F372" s="4">
        <v>76788</v>
      </c>
      <c r="G372" s="5">
        <v>61104</v>
      </c>
      <c r="H372" s="6">
        <f t="shared" si="10"/>
        <v>28.045000000000002</v>
      </c>
      <c r="I372">
        <f t="shared" si="11"/>
        <v>1.852188124205556E-2</v>
      </c>
    </row>
    <row r="373" spans="1:9" ht="15" customHeight="1" x14ac:dyDescent="0.2">
      <c r="A373" s="7">
        <v>45513</v>
      </c>
      <c r="B373" s="8">
        <v>27.54</v>
      </c>
      <c r="C373" s="8">
        <v>27.588000000000001</v>
      </c>
      <c r="D373" s="8">
        <v>27.53</v>
      </c>
      <c r="E373" s="8">
        <v>27.54</v>
      </c>
      <c r="F373" s="8">
        <v>82338</v>
      </c>
      <c r="G373" s="9">
        <v>58718</v>
      </c>
      <c r="H373" s="6">
        <f t="shared" si="10"/>
        <v>27.535</v>
      </c>
      <c r="I373">
        <f t="shared" si="11"/>
        <v>-3.3481132929147339E-3</v>
      </c>
    </row>
    <row r="374" spans="1:9" ht="15" customHeight="1" x14ac:dyDescent="0.2">
      <c r="A374" s="3">
        <v>45512</v>
      </c>
      <c r="B374" s="4">
        <v>27.625</v>
      </c>
      <c r="C374" s="4">
        <v>27.606000000000002</v>
      </c>
      <c r="D374" s="4">
        <v>27.62</v>
      </c>
      <c r="E374" s="4">
        <v>27.635000000000002</v>
      </c>
      <c r="F374" s="4">
        <v>88706</v>
      </c>
      <c r="G374" s="5">
        <v>68548</v>
      </c>
      <c r="H374" s="6">
        <f t="shared" si="10"/>
        <v>27.627500000000001</v>
      </c>
      <c r="I374">
        <f t="shared" si="11"/>
        <v>3.4640951221795779E-2</v>
      </c>
    </row>
    <row r="375" spans="1:9" ht="15" customHeight="1" x14ac:dyDescent="0.2">
      <c r="A375" s="7">
        <v>45511</v>
      </c>
      <c r="B375" s="8">
        <v>26.7</v>
      </c>
      <c r="C375" s="8">
        <v>26.943999999999999</v>
      </c>
      <c r="D375" s="8">
        <v>26.7</v>
      </c>
      <c r="E375" s="8">
        <v>26.704999999999998</v>
      </c>
      <c r="F375" s="8">
        <v>93889</v>
      </c>
      <c r="G375" s="9">
        <v>62888</v>
      </c>
      <c r="H375" s="6">
        <f t="shared" si="10"/>
        <v>26.702500000000001</v>
      </c>
      <c r="I375">
        <f t="shared" si="11"/>
        <v>-1.4667896678966841E-2</v>
      </c>
    </row>
    <row r="376" spans="1:9" ht="15" customHeight="1" x14ac:dyDescent="0.2">
      <c r="A376" s="3">
        <v>45510</v>
      </c>
      <c r="B376" s="4">
        <v>27.1</v>
      </c>
      <c r="C376" s="4">
        <v>27.216000000000001</v>
      </c>
      <c r="D376" s="4">
        <v>27.094999999999999</v>
      </c>
      <c r="E376" s="4">
        <v>27.105</v>
      </c>
      <c r="F376" s="4">
        <v>97325</v>
      </c>
      <c r="G376" s="5">
        <v>62464</v>
      </c>
      <c r="H376" s="6">
        <f t="shared" si="10"/>
        <v>27.1</v>
      </c>
      <c r="I376">
        <f t="shared" si="11"/>
        <v>-9.8648154914138253E-3</v>
      </c>
    </row>
    <row r="377" spans="1:9" ht="15" customHeight="1" x14ac:dyDescent="0.2">
      <c r="A377" s="7">
        <v>45509</v>
      </c>
      <c r="B377" s="8">
        <v>27.364999999999998</v>
      </c>
      <c r="C377" s="8">
        <v>27.207000000000001</v>
      </c>
      <c r="D377" s="8">
        <v>27.364999999999998</v>
      </c>
      <c r="E377" s="8">
        <v>27.375</v>
      </c>
      <c r="F377" s="8">
        <v>101859</v>
      </c>
      <c r="G377" s="9">
        <v>123609</v>
      </c>
      <c r="H377" s="6">
        <f t="shared" si="10"/>
        <v>27.369999999999997</v>
      </c>
      <c r="I377">
        <f t="shared" si="11"/>
        <v>-4.5759609517998956E-2</v>
      </c>
    </row>
    <row r="378" spans="1:9" ht="15" customHeight="1" x14ac:dyDescent="0.2">
      <c r="A378" s="3">
        <v>45506</v>
      </c>
      <c r="B378" s="4">
        <v>28.684999999999999</v>
      </c>
      <c r="C378" s="4">
        <v>28.391999999999999</v>
      </c>
      <c r="D378" s="4">
        <v>28.675000000000001</v>
      </c>
      <c r="E378" s="4">
        <v>28.69</v>
      </c>
      <c r="F378" s="4">
        <v>103135</v>
      </c>
      <c r="G378" s="5">
        <v>97008</v>
      </c>
      <c r="H378" s="6">
        <f t="shared" si="10"/>
        <v>28.682500000000001</v>
      </c>
      <c r="I378">
        <f t="shared" si="11"/>
        <v>1.6588091496421153E-3</v>
      </c>
    </row>
    <row r="379" spans="1:9" ht="15" customHeight="1" x14ac:dyDescent="0.2">
      <c r="A379" s="7">
        <v>45505</v>
      </c>
      <c r="B379" s="8">
        <v>28.635000000000002</v>
      </c>
      <c r="C379" s="8">
        <v>28.477</v>
      </c>
      <c r="D379" s="8">
        <v>28.63</v>
      </c>
      <c r="E379" s="8">
        <v>28.64</v>
      </c>
      <c r="F379" s="8">
        <v>104207</v>
      </c>
      <c r="G379" s="9">
        <v>77238</v>
      </c>
      <c r="H379" s="6">
        <f t="shared" si="10"/>
        <v>28.634999999999998</v>
      </c>
      <c r="I379">
        <f t="shared" si="11"/>
        <v>-1.7919917688416387E-2</v>
      </c>
    </row>
    <row r="380" spans="1:9" ht="15" customHeight="1" x14ac:dyDescent="0.2">
      <c r="A380" s="3">
        <v>45504</v>
      </c>
      <c r="B380" s="4">
        <v>29.16</v>
      </c>
      <c r="C380" s="4">
        <v>28.937999999999999</v>
      </c>
      <c r="D380" s="4">
        <v>29.15</v>
      </c>
      <c r="E380" s="4">
        <v>29.164999999999999</v>
      </c>
      <c r="F380" s="4">
        <v>105457</v>
      </c>
      <c r="G380" s="5">
        <v>60352</v>
      </c>
      <c r="H380" s="6">
        <f t="shared" si="10"/>
        <v>29.157499999999999</v>
      </c>
      <c r="I380">
        <f t="shared" si="11"/>
        <v>2.2173531989482909E-2</v>
      </c>
    </row>
    <row r="381" spans="1:9" ht="15" customHeight="1" x14ac:dyDescent="0.2">
      <c r="A381" s="7">
        <v>45503</v>
      </c>
      <c r="B381" s="8">
        <v>28.53</v>
      </c>
      <c r="C381" s="8">
        <v>28.524999999999999</v>
      </c>
      <c r="D381" s="8">
        <v>28.52</v>
      </c>
      <c r="E381" s="8">
        <v>28.53</v>
      </c>
      <c r="F381" s="8">
        <v>107817</v>
      </c>
      <c r="G381" s="9">
        <v>53683</v>
      </c>
      <c r="H381" s="6">
        <f t="shared" si="10"/>
        <v>28.524999999999999</v>
      </c>
      <c r="I381">
        <f t="shared" si="11"/>
        <v>1.8022840827979891E-2</v>
      </c>
    </row>
    <row r="382" spans="1:9" ht="15" customHeight="1" x14ac:dyDescent="0.2">
      <c r="A382" s="3">
        <v>45502</v>
      </c>
      <c r="B382" s="4">
        <v>28.02</v>
      </c>
      <c r="C382" s="4">
        <v>27.866</v>
      </c>
      <c r="D382" s="4">
        <v>28.015000000000001</v>
      </c>
      <c r="E382" s="4">
        <v>28.024999999999999</v>
      </c>
      <c r="F382" s="4">
        <v>109787</v>
      </c>
      <c r="G382" s="5">
        <v>62629</v>
      </c>
      <c r="H382" s="6">
        <f t="shared" si="10"/>
        <v>28.02</v>
      </c>
      <c r="I382">
        <f t="shared" si="11"/>
        <v>-1.6034206306787535E-3</v>
      </c>
    </row>
    <row r="383" spans="1:9" ht="15" customHeight="1" x14ac:dyDescent="0.2">
      <c r="A383" s="7">
        <v>45499</v>
      </c>
      <c r="B383" s="8">
        <v>28.07</v>
      </c>
      <c r="C383" s="8">
        <v>28.02</v>
      </c>
      <c r="D383" s="8">
        <v>28.06</v>
      </c>
      <c r="E383" s="8">
        <v>28.07</v>
      </c>
      <c r="F383" s="8">
        <v>112523</v>
      </c>
      <c r="G383" s="9">
        <v>58766</v>
      </c>
      <c r="H383" s="6">
        <f t="shared" si="10"/>
        <v>28.064999999999998</v>
      </c>
      <c r="I383">
        <f t="shared" si="11"/>
        <v>2.8586742897980244E-3</v>
      </c>
    </row>
    <row r="384" spans="1:9" ht="15" customHeight="1" x14ac:dyDescent="0.2">
      <c r="A384" s="3">
        <v>45498</v>
      </c>
      <c r="B384" s="4">
        <v>27.98</v>
      </c>
      <c r="C384" s="4">
        <v>27.975000000000001</v>
      </c>
      <c r="D384" s="4">
        <v>27.98</v>
      </c>
      <c r="E384" s="4">
        <v>27.99</v>
      </c>
      <c r="F384" s="4">
        <v>118259</v>
      </c>
      <c r="G384" s="5">
        <v>113718</v>
      </c>
      <c r="H384" s="6">
        <f t="shared" si="10"/>
        <v>27.984999999999999</v>
      </c>
      <c r="I384">
        <f t="shared" si="11"/>
        <v>-3.7489251934651802E-2</v>
      </c>
    </row>
    <row r="385" spans="1:9" ht="15" customHeight="1" x14ac:dyDescent="0.2">
      <c r="A385" s="7">
        <v>45497</v>
      </c>
      <c r="B385" s="8">
        <v>29.08</v>
      </c>
      <c r="C385" s="8">
        <v>29.315999999999999</v>
      </c>
      <c r="D385" s="8">
        <v>29.07</v>
      </c>
      <c r="E385" s="8">
        <v>29.08</v>
      </c>
      <c r="F385" s="8">
        <v>119807</v>
      </c>
      <c r="G385" s="9">
        <v>53992</v>
      </c>
      <c r="H385" s="6">
        <f t="shared" si="10"/>
        <v>29.074999999999999</v>
      </c>
      <c r="I385">
        <f t="shared" si="11"/>
        <v>-1.1390683441006466E-2</v>
      </c>
    </row>
    <row r="386" spans="1:9" ht="15" customHeight="1" x14ac:dyDescent="0.2">
      <c r="A386" s="3">
        <v>45496</v>
      </c>
      <c r="B386" s="4">
        <v>29.414999999999999</v>
      </c>
      <c r="C386" s="4">
        <v>29.331</v>
      </c>
      <c r="D386" s="4">
        <v>29.405000000000001</v>
      </c>
      <c r="E386" s="4">
        <v>29.414999999999999</v>
      </c>
      <c r="F386" s="4">
        <v>122207</v>
      </c>
      <c r="G386" s="5">
        <v>53201</v>
      </c>
      <c r="H386" s="6">
        <f t="shared" si="10"/>
        <v>29.41</v>
      </c>
      <c r="I386">
        <f t="shared" si="11"/>
        <v>3.411804844762889E-3</v>
      </c>
    </row>
    <row r="387" spans="1:9" ht="15" customHeight="1" x14ac:dyDescent="0.2">
      <c r="A387" s="7">
        <v>45495</v>
      </c>
      <c r="B387" s="8">
        <v>29.315000000000001</v>
      </c>
      <c r="C387" s="8">
        <v>29.321000000000002</v>
      </c>
      <c r="D387" s="8">
        <v>29.305</v>
      </c>
      <c r="E387" s="8">
        <v>29.315000000000001</v>
      </c>
      <c r="F387" s="8">
        <v>124812</v>
      </c>
      <c r="G387" s="9">
        <v>59767</v>
      </c>
      <c r="H387" s="6">
        <f t="shared" si="10"/>
        <v>29.310000000000002</v>
      </c>
      <c r="I387">
        <f t="shared" si="11"/>
        <v>-3.3154807447078882E-3</v>
      </c>
    </row>
    <row r="388" spans="1:9" ht="15" customHeight="1" x14ac:dyDescent="0.2">
      <c r="A388" s="3">
        <v>45492</v>
      </c>
      <c r="B388" s="4">
        <v>29.405000000000001</v>
      </c>
      <c r="C388" s="4">
        <v>29.298999999999999</v>
      </c>
      <c r="D388" s="4">
        <v>29.405000000000001</v>
      </c>
      <c r="E388" s="4">
        <v>29.41</v>
      </c>
      <c r="F388" s="4">
        <v>127866</v>
      </c>
      <c r="G388" s="5">
        <v>75794</v>
      </c>
      <c r="H388" s="6">
        <f t="shared" si="10"/>
        <v>29.407499999999999</v>
      </c>
      <c r="I388">
        <f t="shared" si="11"/>
        <v>-2.0239880059970017E-2</v>
      </c>
    </row>
    <row r="389" spans="1:9" ht="15" customHeight="1" x14ac:dyDescent="0.2">
      <c r="A389" s="7">
        <v>45491</v>
      </c>
      <c r="B389" s="8">
        <v>30.02</v>
      </c>
      <c r="C389" s="8">
        <v>30.224</v>
      </c>
      <c r="D389" s="8">
        <v>30.01</v>
      </c>
      <c r="E389" s="8">
        <v>30.02</v>
      </c>
      <c r="F389" s="8">
        <v>130340</v>
      </c>
      <c r="G389" s="9">
        <v>69115</v>
      </c>
      <c r="H389" s="6">
        <f t="shared" ref="H389:H452" si="12">AVERAGE(D389:E389)</f>
        <v>30.015000000000001</v>
      </c>
      <c r="I389">
        <f t="shared" ref="I389:I452" si="13">H389/H390-1</f>
        <v>-1.6385384237260325E-2</v>
      </c>
    </row>
    <row r="390" spans="1:9" ht="15" customHeight="1" x14ac:dyDescent="0.2">
      <c r="A390" s="3">
        <v>45490</v>
      </c>
      <c r="B390" s="4">
        <v>30.52</v>
      </c>
      <c r="C390" s="4">
        <v>30.376999999999999</v>
      </c>
      <c r="D390" s="4">
        <v>30.51</v>
      </c>
      <c r="E390" s="4">
        <v>30.52</v>
      </c>
      <c r="F390" s="4">
        <v>132099</v>
      </c>
      <c r="G390" s="5">
        <v>95213</v>
      </c>
      <c r="H390" s="6">
        <f t="shared" si="12"/>
        <v>30.515000000000001</v>
      </c>
      <c r="I390">
        <f t="shared" si="13"/>
        <v>-3.0808321422899798E-2</v>
      </c>
    </row>
    <row r="391" spans="1:9" ht="15" customHeight="1" x14ac:dyDescent="0.2">
      <c r="A391" s="7">
        <v>45489</v>
      </c>
      <c r="B391" s="8">
        <v>31.484999999999999</v>
      </c>
      <c r="C391" s="8">
        <v>31.457999999999998</v>
      </c>
      <c r="D391" s="8">
        <v>31.48</v>
      </c>
      <c r="E391" s="8">
        <v>31.49</v>
      </c>
      <c r="F391" s="8">
        <v>130222</v>
      </c>
      <c r="G391" s="9">
        <v>68887</v>
      </c>
      <c r="H391" s="6">
        <f t="shared" si="12"/>
        <v>31.484999999999999</v>
      </c>
      <c r="I391">
        <f t="shared" si="13"/>
        <v>1.8767189775117155E-2</v>
      </c>
    </row>
    <row r="392" spans="1:9" ht="15" customHeight="1" x14ac:dyDescent="0.2">
      <c r="A392" s="3">
        <v>45488</v>
      </c>
      <c r="B392" s="4">
        <v>30.905000000000001</v>
      </c>
      <c r="C392" s="4">
        <v>30.936</v>
      </c>
      <c r="D392" s="4">
        <v>30.9</v>
      </c>
      <c r="E392" s="4">
        <v>30.91</v>
      </c>
      <c r="F392" s="4">
        <v>130613</v>
      </c>
      <c r="G392" s="5">
        <v>57563</v>
      </c>
      <c r="H392" s="6">
        <f t="shared" si="12"/>
        <v>30.905000000000001</v>
      </c>
      <c r="I392">
        <f t="shared" si="13"/>
        <v>-4.0283596519496978E-3</v>
      </c>
    </row>
    <row r="393" spans="1:9" ht="15" customHeight="1" x14ac:dyDescent="0.2">
      <c r="A393" s="7">
        <v>45485</v>
      </c>
      <c r="B393" s="8">
        <v>31.024999999999999</v>
      </c>
      <c r="C393" s="8">
        <v>31.161999999999999</v>
      </c>
      <c r="D393" s="8">
        <v>31.024999999999999</v>
      </c>
      <c r="E393" s="8">
        <v>31.035</v>
      </c>
      <c r="F393" s="8">
        <v>132409</v>
      </c>
      <c r="G393" s="9">
        <v>69791</v>
      </c>
      <c r="H393" s="6">
        <f t="shared" si="12"/>
        <v>31.03</v>
      </c>
      <c r="I393">
        <f t="shared" si="13"/>
        <v>-2.1675731063293124E-2</v>
      </c>
    </row>
    <row r="394" spans="1:9" ht="15" customHeight="1" x14ac:dyDescent="0.2">
      <c r="A394" s="3">
        <v>45484</v>
      </c>
      <c r="B394" s="4">
        <v>31.72</v>
      </c>
      <c r="C394" s="4">
        <v>31.670999999999999</v>
      </c>
      <c r="D394" s="4">
        <v>31.71</v>
      </c>
      <c r="E394" s="4">
        <v>31.725000000000001</v>
      </c>
      <c r="F394" s="4">
        <v>132015</v>
      </c>
      <c r="G394" s="5">
        <v>78459</v>
      </c>
      <c r="H394" s="6">
        <f t="shared" si="12"/>
        <v>31.717500000000001</v>
      </c>
      <c r="I394">
        <f t="shared" si="13"/>
        <v>2.0347434453916735E-2</v>
      </c>
    </row>
    <row r="395" spans="1:9" ht="15" customHeight="1" x14ac:dyDescent="0.2">
      <c r="A395" s="7">
        <v>45483</v>
      </c>
      <c r="B395" s="8">
        <v>31.08</v>
      </c>
      <c r="C395" s="8">
        <v>31.013999999999999</v>
      </c>
      <c r="D395" s="8">
        <v>31.08</v>
      </c>
      <c r="E395" s="8">
        <v>31.09</v>
      </c>
      <c r="F395" s="8">
        <v>131774</v>
      </c>
      <c r="G395" s="9">
        <v>49717</v>
      </c>
      <c r="H395" s="6">
        <f t="shared" si="12"/>
        <v>31.085000000000001</v>
      </c>
      <c r="I395">
        <f t="shared" si="13"/>
        <v>0</v>
      </c>
    </row>
    <row r="396" spans="1:9" ht="15" customHeight="1" x14ac:dyDescent="0.2">
      <c r="A396" s="3">
        <v>45482</v>
      </c>
      <c r="B396" s="4">
        <v>31.085000000000001</v>
      </c>
      <c r="C396" s="4">
        <v>31.056000000000001</v>
      </c>
      <c r="D396" s="4">
        <v>31.08</v>
      </c>
      <c r="E396" s="4">
        <v>31.09</v>
      </c>
      <c r="F396" s="4">
        <v>131250</v>
      </c>
      <c r="G396" s="5">
        <v>54299</v>
      </c>
      <c r="H396" s="6">
        <f t="shared" si="12"/>
        <v>31.085000000000001</v>
      </c>
      <c r="I396">
        <f t="shared" si="13"/>
        <v>1.6110842597067965E-3</v>
      </c>
    </row>
    <row r="397" spans="1:9" ht="15" customHeight="1" x14ac:dyDescent="0.2">
      <c r="A397" s="7">
        <v>45481</v>
      </c>
      <c r="B397" s="8">
        <v>31.03</v>
      </c>
      <c r="C397" s="8">
        <v>30.913</v>
      </c>
      <c r="D397" s="8">
        <v>31.03</v>
      </c>
      <c r="E397" s="8">
        <v>31.04</v>
      </c>
      <c r="F397" s="8">
        <v>131549</v>
      </c>
      <c r="G397" s="9">
        <v>65480.999999999898</v>
      </c>
      <c r="H397" s="6">
        <f t="shared" si="12"/>
        <v>31.035</v>
      </c>
      <c r="I397">
        <f t="shared" si="13"/>
        <v>-1.5543219666930952E-2</v>
      </c>
    </row>
    <row r="398" spans="1:9" ht="15" customHeight="1" x14ac:dyDescent="0.2">
      <c r="A398" s="3">
        <v>45478</v>
      </c>
      <c r="B398" s="4">
        <v>31.524999999999999</v>
      </c>
      <c r="C398" s="4">
        <v>31.689</v>
      </c>
      <c r="D398" s="4">
        <v>31.52</v>
      </c>
      <c r="E398" s="4">
        <v>31.53</v>
      </c>
      <c r="F398" s="4">
        <v>128490</v>
      </c>
      <c r="G398" s="5">
        <v>97705</v>
      </c>
      <c r="H398" s="6">
        <f t="shared" si="12"/>
        <v>31.524999999999999</v>
      </c>
      <c r="I398">
        <f t="shared" si="13"/>
        <v>2.3372829086187208E-2</v>
      </c>
    </row>
    <row r="399" spans="1:9" ht="15" customHeight="1" x14ac:dyDescent="0.2">
      <c r="A399" s="7">
        <v>45476</v>
      </c>
      <c r="B399" s="8">
        <v>30.805</v>
      </c>
      <c r="C399" s="8">
        <v>30.841999999999999</v>
      </c>
      <c r="D399" s="8">
        <v>30.8</v>
      </c>
      <c r="E399" s="8">
        <v>30.81</v>
      </c>
      <c r="F399" s="8">
        <v>129132</v>
      </c>
      <c r="G399" s="9">
        <v>72543</v>
      </c>
      <c r="H399" s="6">
        <f t="shared" si="12"/>
        <v>30.805</v>
      </c>
      <c r="I399">
        <f t="shared" si="13"/>
        <v>3.3031522468142116E-2</v>
      </c>
    </row>
    <row r="400" spans="1:9" ht="15" customHeight="1" x14ac:dyDescent="0.2">
      <c r="A400" s="3">
        <v>45475</v>
      </c>
      <c r="B400" s="4">
        <v>29.82</v>
      </c>
      <c r="C400" s="4">
        <v>29.658000000000001</v>
      </c>
      <c r="D400" s="4">
        <v>29.815000000000001</v>
      </c>
      <c r="E400" s="4">
        <v>29.824999999999999</v>
      </c>
      <c r="F400" s="4">
        <v>129058</v>
      </c>
      <c r="G400" s="5">
        <v>50390</v>
      </c>
      <c r="H400" s="6">
        <f t="shared" si="12"/>
        <v>29.82</v>
      </c>
      <c r="I400">
        <f t="shared" si="13"/>
        <v>2.3529411764706687E-3</v>
      </c>
    </row>
    <row r="401" spans="1:9" ht="15" customHeight="1" x14ac:dyDescent="0.2">
      <c r="A401" s="7">
        <v>45474</v>
      </c>
      <c r="B401" s="8">
        <v>29.75</v>
      </c>
      <c r="C401" s="8">
        <v>29.613</v>
      </c>
      <c r="D401" s="8">
        <v>29.745000000000001</v>
      </c>
      <c r="E401" s="8">
        <v>29.754999999999999</v>
      </c>
      <c r="F401" s="8">
        <v>129532</v>
      </c>
      <c r="G401" s="9">
        <v>44971</v>
      </c>
      <c r="H401" s="6">
        <f t="shared" si="12"/>
        <v>29.75</v>
      </c>
      <c r="I401">
        <f t="shared" si="13"/>
        <v>1.0529891304347894E-2</v>
      </c>
    </row>
    <row r="402" spans="1:9" ht="15" customHeight="1" x14ac:dyDescent="0.2">
      <c r="A402" s="3">
        <v>45471</v>
      </c>
      <c r="B402" s="4">
        <v>29.434999999999999</v>
      </c>
      <c r="C402" s="4">
        <v>29.56</v>
      </c>
      <c r="D402" s="4">
        <v>29.434999999999999</v>
      </c>
      <c r="E402" s="4">
        <v>29.445</v>
      </c>
      <c r="F402" s="4">
        <v>129396</v>
      </c>
      <c r="G402" s="5">
        <v>50007</v>
      </c>
      <c r="H402" s="6">
        <f t="shared" si="12"/>
        <v>29.439999999999998</v>
      </c>
      <c r="I402">
        <f t="shared" si="13"/>
        <v>5.2928120198052486E-3</v>
      </c>
    </row>
    <row r="403" spans="1:9" ht="15" customHeight="1" x14ac:dyDescent="0.2">
      <c r="A403" s="7">
        <v>45470</v>
      </c>
      <c r="B403" s="8">
        <v>29.285</v>
      </c>
      <c r="C403" s="8">
        <v>29.256</v>
      </c>
      <c r="D403" s="8">
        <v>29.28</v>
      </c>
      <c r="E403" s="8">
        <v>29.29</v>
      </c>
      <c r="F403" s="8">
        <v>125615</v>
      </c>
      <c r="G403" s="9">
        <v>62229</v>
      </c>
      <c r="H403" s="6">
        <f t="shared" si="12"/>
        <v>29.285</v>
      </c>
      <c r="I403">
        <f t="shared" si="13"/>
        <v>1.9229095971460941E-2</v>
      </c>
    </row>
    <row r="404" spans="1:9" ht="15" customHeight="1" x14ac:dyDescent="0.2">
      <c r="A404" s="3">
        <v>45469</v>
      </c>
      <c r="B404" s="4">
        <v>28.765000000000001</v>
      </c>
      <c r="C404" s="4">
        <v>28.93</v>
      </c>
      <c r="D404" s="4">
        <v>28.7</v>
      </c>
      <c r="E404" s="4">
        <v>28.765000000000001</v>
      </c>
      <c r="F404" s="4">
        <v>26443</v>
      </c>
      <c r="G404" s="5">
        <v>51476</v>
      </c>
      <c r="H404" s="6">
        <f t="shared" si="12"/>
        <v>28.732500000000002</v>
      </c>
      <c r="I404">
        <f t="shared" si="13"/>
        <v>-6.483402489626533E-3</v>
      </c>
    </row>
    <row r="405" spans="1:9" ht="15" customHeight="1" x14ac:dyDescent="0.2">
      <c r="A405" s="7">
        <v>45468</v>
      </c>
      <c r="B405" s="8">
        <v>28.92</v>
      </c>
      <c r="C405" s="8">
        <v>28.867999999999999</v>
      </c>
      <c r="D405" s="8">
        <v>28.91</v>
      </c>
      <c r="E405" s="8">
        <v>28.93</v>
      </c>
      <c r="F405" s="8">
        <v>43213</v>
      </c>
      <c r="G405" s="9">
        <v>76955</v>
      </c>
      <c r="H405" s="6">
        <f t="shared" si="12"/>
        <v>28.92</v>
      </c>
      <c r="I405">
        <f t="shared" si="13"/>
        <v>-2.3055485178616553E-2</v>
      </c>
    </row>
    <row r="406" spans="1:9" ht="15" customHeight="1" x14ac:dyDescent="0.2">
      <c r="A406" s="3">
        <v>45467</v>
      </c>
      <c r="B406" s="4">
        <v>29.605</v>
      </c>
      <c r="C406" s="4">
        <v>29.524999999999999</v>
      </c>
      <c r="D406" s="4">
        <v>29.6</v>
      </c>
      <c r="E406" s="4">
        <v>29.605</v>
      </c>
      <c r="F406" s="4">
        <v>51413</v>
      </c>
      <c r="G406" s="5">
        <v>51636</v>
      </c>
      <c r="H406" s="6">
        <f t="shared" si="12"/>
        <v>29.602499999999999</v>
      </c>
      <c r="I406">
        <f t="shared" si="13"/>
        <v>6.7607538240510578E-4</v>
      </c>
    </row>
    <row r="407" spans="1:9" ht="15" customHeight="1" x14ac:dyDescent="0.2">
      <c r="A407" s="7">
        <v>45464</v>
      </c>
      <c r="B407" s="8">
        <v>29.58</v>
      </c>
      <c r="C407" s="8">
        <v>29.614000000000001</v>
      </c>
      <c r="D407" s="8">
        <v>29.58</v>
      </c>
      <c r="E407" s="8">
        <v>29.585000000000001</v>
      </c>
      <c r="F407" s="8">
        <v>61183</v>
      </c>
      <c r="G407" s="9">
        <v>101698</v>
      </c>
      <c r="H407" s="6">
        <f t="shared" si="12"/>
        <v>29.5825</v>
      </c>
      <c r="I407">
        <f t="shared" si="13"/>
        <v>-3.9061231119051465E-2</v>
      </c>
    </row>
    <row r="408" spans="1:9" ht="15" customHeight="1" x14ac:dyDescent="0.2">
      <c r="A408" s="3">
        <v>45463</v>
      </c>
      <c r="B408" s="4">
        <v>30.785</v>
      </c>
      <c r="C408" s="4">
        <v>30.821000000000002</v>
      </c>
      <c r="D408" s="4">
        <v>30.78</v>
      </c>
      <c r="E408" s="4">
        <v>30.79</v>
      </c>
      <c r="F408" s="4">
        <v>70554</v>
      </c>
      <c r="G408" s="5">
        <v>129074.999999999</v>
      </c>
      <c r="H408" s="6">
        <f t="shared" si="12"/>
        <v>30.785</v>
      </c>
      <c r="I408">
        <f t="shared" si="13"/>
        <v>3.9682539682539764E-2</v>
      </c>
    </row>
    <row r="409" spans="1:9" ht="15" customHeight="1" x14ac:dyDescent="0.2">
      <c r="A409" s="7">
        <v>45461</v>
      </c>
      <c r="B409" s="8">
        <v>29.61</v>
      </c>
      <c r="C409" s="8">
        <v>29.564</v>
      </c>
      <c r="D409" s="8">
        <v>29.605</v>
      </c>
      <c r="E409" s="8">
        <v>29.614999999999998</v>
      </c>
      <c r="F409" s="8">
        <v>76051</v>
      </c>
      <c r="G409" s="9">
        <v>70488</v>
      </c>
      <c r="H409" s="6">
        <f t="shared" si="12"/>
        <v>29.61</v>
      </c>
      <c r="I409">
        <f t="shared" si="13"/>
        <v>2.5393600812595452E-3</v>
      </c>
    </row>
    <row r="410" spans="1:9" ht="15" customHeight="1" x14ac:dyDescent="0.2">
      <c r="A410" s="3">
        <v>45460</v>
      </c>
      <c r="B410" s="4">
        <v>29.53</v>
      </c>
      <c r="C410" s="4">
        <v>29.390999999999998</v>
      </c>
      <c r="D410" s="4">
        <v>29.53</v>
      </c>
      <c r="E410" s="4">
        <v>29.54</v>
      </c>
      <c r="F410" s="4">
        <v>79973</v>
      </c>
      <c r="G410" s="5">
        <v>51128</v>
      </c>
      <c r="H410" s="6">
        <f t="shared" si="12"/>
        <v>29.535</v>
      </c>
      <c r="I410">
        <f t="shared" si="13"/>
        <v>-3.0379746835442756E-3</v>
      </c>
    </row>
    <row r="411" spans="1:9" ht="15" customHeight="1" x14ac:dyDescent="0.2">
      <c r="A411" s="7">
        <v>45457</v>
      </c>
      <c r="B411" s="8">
        <v>29.625</v>
      </c>
      <c r="C411" s="8">
        <v>29.472000000000001</v>
      </c>
      <c r="D411" s="8">
        <v>29.62</v>
      </c>
      <c r="E411" s="8">
        <v>29.63</v>
      </c>
      <c r="F411" s="8">
        <v>86083</v>
      </c>
      <c r="G411" s="9">
        <v>74083</v>
      </c>
      <c r="H411" s="6">
        <f t="shared" si="12"/>
        <v>29.625</v>
      </c>
      <c r="I411">
        <f t="shared" si="13"/>
        <v>2.0320303082486557E-2</v>
      </c>
    </row>
    <row r="412" spans="1:9" ht="15" customHeight="1" x14ac:dyDescent="0.2">
      <c r="A412" s="3">
        <v>45456</v>
      </c>
      <c r="B412" s="4">
        <v>29.035</v>
      </c>
      <c r="C412" s="4">
        <v>29.065999999999999</v>
      </c>
      <c r="D412" s="4">
        <v>29.03</v>
      </c>
      <c r="E412" s="4">
        <v>29.04</v>
      </c>
      <c r="F412" s="4">
        <v>94477</v>
      </c>
      <c r="G412" s="5">
        <v>112507</v>
      </c>
      <c r="H412" s="6">
        <f t="shared" si="12"/>
        <v>29.035</v>
      </c>
      <c r="I412">
        <f t="shared" si="13"/>
        <v>-2.599798725259983E-2</v>
      </c>
    </row>
    <row r="413" spans="1:9" ht="15" customHeight="1" x14ac:dyDescent="0.2">
      <c r="A413" s="7">
        <v>45455</v>
      </c>
      <c r="B413" s="8">
        <v>29.81</v>
      </c>
      <c r="C413" s="8">
        <v>30.266999999999999</v>
      </c>
      <c r="D413" s="8">
        <v>29.805</v>
      </c>
      <c r="E413" s="8">
        <v>29.815000000000001</v>
      </c>
      <c r="F413" s="8">
        <v>102752</v>
      </c>
      <c r="G413" s="9">
        <v>105348</v>
      </c>
      <c r="H413" s="6">
        <f t="shared" si="12"/>
        <v>29.810000000000002</v>
      </c>
      <c r="I413">
        <f t="shared" si="13"/>
        <v>1.4635806671204898E-2</v>
      </c>
    </row>
    <row r="414" spans="1:9" ht="15" customHeight="1" x14ac:dyDescent="0.2">
      <c r="A414" s="3">
        <v>45454</v>
      </c>
      <c r="B414" s="4">
        <v>29.385000000000002</v>
      </c>
      <c r="C414" s="4">
        <v>29.231000000000002</v>
      </c>
      <c r="D414" s="4">
        <v>29.375</v>
      </c>
      <c r="E414" s="4">
        <v>29.385000000000002</v>
      </c>
      <c r="F414" s="4">
        <v>112319</v>
      </c>
      <c r="G414" s="5">
        <v>82192</v>
      </c>
      <c r="H414" s="6">
        <f t="shared" si="12"/>
        <v>29.380000000000003</v>
      </c>
      <c r="I414">
        <f t="shared" si="13"/>
        <v>-1.5580499246104718E-2</v>
      </c>
    </row>
    <row r="415" spans="1:9" ht="15" customHeight="1" x14ac:dyDescent="0.2">
      <c r="A415" s="7">
        <v>45453</v>
      </c>
      <c r="B415" s="8">
        <v>29.844999999999999</v>
      </c>
      <c r="C415" s="8">
        <v>29.873999999999999</v>
      </c>
      <c r="D415" s="8">
        <v>29.84</v>
      </c>
      <c r="E415" s="8">
        <v>29.85</v>
      </c>
      <c r="F415" s="8">
        <v>119571</v>
      </c>
      <c r="G415" s="9">
        <v>64169</v>
      </c>
      <c r="H415" s="6">
        <f t="shared" si="12"/>
        <v>29.844999999999999</v>
      </c>
      <c r="I415">
        <f t="shared" si="13"/>
        <v>1.9731784402494235E-2</v>
      </c>
    </row>
    <row r="416" spans="1:9" ht="15" customHeight="1" x14ac:dyDescent="0.2">
      <c r="A416" s="3">
        <v>45450</v>
      </c>
      <c r="B416" s="4">
        <v>29.27</v>
      </c>
      <c r="C416" s="4">
        <v>29.44</v>
      </c>
      <c r="D416" s="4">
        <v>29.215</v>
      </c>
      <c r="E416" s="4">
        <v>29.32</v>
      </c>
      <c r="F416" s="4">
        <v>126719</v>
      </c>
      <c r="G416" s="5">
        <v>132316</v>
      </c>
      <c r="H416" s="6">
        <f t="shared" si="12"/>
        <v>29.267499999999998</v>
      </c>
      <c r="I416">
        <f t="shared" si="13"/>
        <v>-6.9543792719758413E-2</v>
      </c>
    </row>
    <row r="417" spans="1:9" ht="15" customHeight="1" x14ac:dyDescent="0.2">
      <c r="A417" s="7">
        <v>45449</v>
      </c>
      <c r="B417" s="8">
        <v>31.46</v>
      </c>
      <c r="C417" s="8">
        <v>31.367000000000001</v>
      </c>
      <c r="D417" s="8">
        <v>31.45</v>
      </c>
      <c r="E417" s="8">
        <v>31.46</v>
      </c>
      <c r="F417" s="8">
        <v>128479</v>
      </c>
      <c r="G417" s="9">
        <v>92485</v>
      </c>
      <c r="H417" s="6">
        <f t="shared" si="12"/>
        <v>31.454999999999998</v>
      </c>
      <c r="I417">
        <f t="shared" si="13"/>
        <v>4.3716300290335797E-2</v>
      </c>
    </row>
    <row r="418" spans="1:9" ht="15" customHeight="1" x14ac:dyDescent="0.2">
      <c r="A418" s="3">
        <v>45448</v>
      </c>
      <c r="B418" s="4">
        <v>30.135000000000002</v>
      </c>
      <c r="C418" s="4">
        <v>30.073</v>
      </c>
      <c r="D418" s="4">
        <v>30.135000000000002</v>
      </c>
      <c r="E418" s="4">
        <v>30.14</v>
      </c>
      <c r="F418" s="4">
        <v>130489</v>
      </c>
      <c r="G418" s="5">
        <v>68305</v>
      </c>
      <c r="H418" s="6">
        <f t="shared" si="12"/>
        <v>30.137500000000003</v>
      </c>
      <c r="I418">
        <f t="shared" si="13"/>
        <v>1.7127910901113763E-2</v>
      </c>
    </row>
    <row r="419" spans="1:9" ht="15" customHeight="1" x14ac:dyDescent="0.2">
      <c r="A419" s="7">
        <v>45447</v>
      </c>
      <c r="B419" s="8">
        <v>29.625</v>
      </c>
      <c r="C419" s="8">
        <v>29.617000000000001</v>
      </c>
      <c r="D419" s="8">
        <v>29.625</v>
      </c>
      <c r="E419" s="8">
        <v>29.635000000000002</v>
      </c>
      <c r="F419" s="8">
        <v>135718</v>
      </c>
      <c r="G419" s="9">
        <v>107378</v>
      </c>
      <c r="H419" s="6">
        <f t="shared" si="12"/>
        <v>29.630000000000003</v>
      </c>
      <c r="I419">
        <f t="shared" si="13"/>
        <v>-4.0634612271329029E-2</v>
      </c>
    </row>
    <row r="420" spans="1:9" ht="15" customHeight="1" x14ac:dyDescent="0.2">
      <c r="A420" s="3">
        <v>45446</v>
      </c>
      <c r="B420" s="4">
        <v>30.88</v>
      </c>
      <c r="C420" s="4">
        <v>30.783999999999999</v>
      </c>
      <c r="D420" s="4">
        <v>30.88</v>
      </c>
      <c r="E420" s="4">
        <v>30.89</v>
      </c>
      <c r="F420" s="4">
        <v>136629</v>
      </c>
      <c r="G420" s="5">
        <v>82792</v>
      </c>
      <c r="H420" s="6">
        <f t="shared" si="12"/>
        <v>30.884999999999998</v>
      </c>
      <c r="I420">
        <f t="shared" si="13"/>
        <v>1.0634816753926524E-2</v>
      </c>
    </row>
    <row r="421" spans="1:9" ht="15" customHeight="1" x14ac:dyDescent="0.2">
      <c r="A421" s="7">
        <v>45443</v>
      </c>
      <c r="B421" s="8">
        <v>30.555</v>
      </c>
      <c r="C421" s="8">
        <v>30.44</v>
      </c>
      <c r="D421" s="8">
        <v>30.555</v>
      </c>
      <c r="E421" s="8">
        <v>30.565000000000001</v>
      </c>
      <c r="F421" s="8">
        <v>141276</v>
      </c>
      <c r="G421" s="9">
        <v>109663</v>
      </c>
      <c r="H421" s="6">
        <f t="shared" si="12"/>
        <v>30.560000000000002</v>
      </c>
      <c r="I421">
        <f t="shared" si="13"/>
        <v>-2.4888321633694921E-2</v>
      </c>
    </row>
    <row r="422" spans="1:9" ht="15" customHeight="1" x14ac:dyDescent="0.2">
      <c r="A422" s="3">
        <v>45442</v>
      </c>
      <c r="B422" s="4">
        <v>31.34</v>
      </c>
      <c r="C422" s="4">
        <v>31.533999999999999</v>
      </c>
      <c r="D422" s="4">
        <v>31.335000000000001</v>
      </c>
      <c r="E422" s="4">
        <v>31.344999999999999</v>
      </c>
      <c r="F422" s="4">
        <v>145196</v>
      </c>
      <c r="G422" s="5">
        <v>95591</v>
      </c>
      <c r="H422" s="6">
        <f t="shared" si="12"/>
        <v>31.34</v>
      </c>
      <c r="I422">
        <f t="shared" si="13"/>
        <v>-2.5648997357376024E-2</v>
      </c>
    </row>
    <row r="423" spans="1:9" ht="15" customHeight="1" x14ac:dyDescent="0.2">
      <c r="A423" s="7">
        <v>45441</v>
      </c>
      <c r="B423" s="8">
        <v>32.159999999999997</v>
      </c>
      <c r="C423" s="8">
        <v>32.372999999999998</v>
      </c>
      <c r="D423" s="8">
        <v>32.159999999999997</v>
      </c>
      <c r="E423" s="8">
        <v>32.17</v>
      </c>
      <c r="F423" s="8">
        <v>144686</v>
      </c>
      <c r="G423" s="9">
        <v>85054</v>
      </c>
      <c r="H423" s="6">
        <f t="shared" si="12"/>
        <v>32.164999999999999</v>
      </c>
      <c r="I423">
        <f t="shared" si="13"/>
        <v>-4.4877746827608478E-3</v>
      </c>
    </row>
    <row r="424" spans="1:9" ht="15" customHeight="1" x14ac:dyDescent="0.2">
      <c r="A424" s="3">
        <v>45440</v>
      </c>
      <c r="B424" s="4">
        <v>32.31</v>
      </c>
      <c r="C424" s="4">
        <v>32.137</v>
      </c>
      <c r="D424" s="4">
        <v>32.305</v>
      </c>
      <c r="E424" s="4">
        <v>32.314999999999998</v>
      </c>
      <c r="F424" s="4">
        <v>147339</v>
      </c>
      <c r="G424" s="5">
        <v>140560</v>
      </c>
      <c r="H424" s="6">
        <f t="shared" si="12"/>
        <v>32.31</v>
      </c>
      <c r="I424">
        <f t="shared" si="13"/>
        <v>5.7783597970207934E-2</v>
      </c>
    </row>
    <row r="425" spans="1:9" ht="15" customHeight="1" x14ac:dyDescent="0.2">
      <c r="A425" s="7">
        <v>45436</v>
      </c>
      <c r="B425" s="8">
        <v>30.54</v>
      </c>
      <c r="C425" s="8">
        <v>30.498999999999999</v>
      </c>
      <c r="D425" s="8">
        <v>30.54</v>
      </c>
      <c r="E425" s="8">
        <v>30.55</v>
      </c>
      <c r="F425" s="8">
        <v>146683</v>
      </c>
      <c r="G425" s="9">
        <v>53989</v>
      </c>
      <c r="H425" s="6">
        <f t="shared" si="12"/>
        <v>30.545000000000002</v>
      </c>
      <c r="I425">
        <f t="shared" si="13"/>
        <v>7.2547403132730004E-3</v>
      </c>
    </row>
    <row r="426" spans="1:9" ht="15" customHeight="1" x14ac:dyDescent="0.2">
      <c r="A426" s="3">
        <v>45435</v>
      </c>
      <c r="B426" s="4">
        <v>30.324999999999999</v>
      </c>
      <c r="C426" s="4">
        <v>30.454999999999998</v>
      </c>
      <c r="D426" s="4">
        <v>30.32</v>
      </c>
      <c r="E426" s="4">
        <v>30.33</v>
      </c>
      <c r="F426" s="4">
        <v>147226</v>
      </c>
      <c r="G426" s="5">
        <v>105037</v>
      </c>
      <c r="H426" s="6">
        <f t="shared" si="12"/>
        <v>30.324999999999999</v>
      </c>
      <c r="I426">
        <f t="shared" si="13"/>
        <v>-2.1616389740280684E-2</v>
      </c>
    </row>
    <row r="427" spans="1:9" ht="15" customHeight="1" x14ac:dyDescent="0.2">
      <c r="A427" s="7">
        <v>45434</v>
      </c>
      <c r="B427" s="8">
        <v>30.99</v>
      </c>
      <c r="C427" s="8">
        <v>31.495999999999999</v>
      </c>
      <c r="D427" s="8">
        <v>30.984999999999999</v>
      </c>
      <c r="E427" s="8">
        <v>31.004999999999999</v>
      </c>
      <c r="F427" s="8">
        <v>149926</v>
      </c>
      <c r="G427" s="9">
        <v>91006</v>
      </c>
      <c r="H427" s="6">
        <f t="shared" si="12"/>
        <v>30.994999999999997</v>
      </c>
      <c r="I427">
        <f t="shared" si="13"/>
        <v>-3.7571805620245313E-2</v>
      </c>
    </row>
    <row r="428" spans="1:9" ht="15" customHeight="1" x14ac:dyDescent="0.2">
      <c r="A428" s="3">
        <v>45433</v>
      </c>
      <c r="B428" s="4">
        <v>32.204999999999998</v>
      </c>
      <c r="C428" s="4">
        <v>32.078000000000003</v>
      </c>
      <c r="D428" s="4">
        <v>32.200000000000003</v>
      </c>
      <c r="E428" s="4">
        <v>32.21</v>
      </c>
      <c r="F428" s="4">
        <v>151374</v>
      </c>
      <c r="G428" s="5">
        <v>107066</v>
      </c>
      <c r="H428" s="6">
        <f t="shared" si="12"/>
        <v>32.204999999999998</v>
      </c>
      <c r="I428">
        <f t="shared" si="13"/>
        <v>4.52276980661237E-3</v>
      </c>
    </row>
    <row r="429" spans="1:9" ht="15" customHeight="1" x14ac:dyDescent="0.2">
      <c r="A429" s="7">
        <v>45432</v>
      </c>
      <c r="B429" s="8">
        <v>32.055</v>
      </c>
      <c r="C429" s="8">
        <v>32.426000000000002</v>
      </c>
      <c r="D429" s="8">
        <v>32.055</v>
      </c>
      <c r="E429" s="8">
        <v>32.064999999999998</v>
      </c>
      <c r="F429" s="8">
        <v>152725</v>
      </c>
      <c r="G429" s="9">
        <v>156596</v>
      </c>
      <c r="H429" s="6">
        <f t="shared" si="12"/>
        <v>32.06</v>
      </c>
      <c r="I429">
        <f t="shared" si="13"/>
        <v>9.1281082782499467E-3</v>
      </c>
    </row>
    <row r="430" spans="1:9" ht="15" customHeight="1" x14ac:dyDescent="0.2">
      <c r="A430" s="3">
        <v>45429</v>
      </c>
      <c r="B430" s="4">
        <v>31.774999999999999</v>
      </c>
      <c r="C430" s="4">
        <v>31.259</v>
      </c>
      <c r="D430" s="4">
        <v>31.765000000000001</v>
      </c>
      <c r="E430" s="4">
        <v>31.774999999999999</v>
      </c>
      <c r="F430" s="4">
        <v>144196</v>
      </c>
      <c r="G430" s="5">
        <v>128223.999999999</v>
      </c>
      <c r="H430" s="6">
        <f t="shared" si="12"/>
        <v>31.77</v>
      </c>
      <c r="I430">
        <f t="shared" si="13"/>
        <v>6.5749748406574771E-2</v>
      </c>
    </row>
    <row r="431" spans="1:9" ht="15" customHeight="1" x14ac:dyDescent="0.2">
      <c r="A431" s="7">
        <v>45428</v>
      </c>
      <c r="B431" s="8">
        <v>29.81</v>
      </c>
      <c r="C431" s="8">
        <v>29.876000000000001</v>
      </c>
      <c r="D431" s="8">
        <v>29.805</v>
      </c>
      <c r="E431" s="8">
        <v>29.815000000000001</v>
      </c>
      <c r="F431" s="8">
        <v>142539</v>
      </c>
      <c r="G431" s="9">
        <v>88482</v>
      </c>
      <c r="H431" s="6">
        <f t="shared" si="12"/>
        <v>29.810000000000002</v>
      </c>
      <c r="I431">
        <f t="shared" si="13"/>
        <v>-3.8429406850458703E-3</v>
      </c>
    </row>
    <row r="432" spans="1:9" ht="15" customHeight="1" x14ac:dyDescent="0.2">
      <c r="A432" s="3">
        <v>45427</v>
      </c>
      <c r="B432" s="4">
        <v>29.92</v>
      </c>
      <c r="C432" s="4">
        <v>29.728999999999999</v>
      </c>
      <c r="D432" s="4">
        <v>29.92</v>
      </c>
      <c r="E432" s="4">
        <v>29.93</v>
      </c>
      <c r="F432" s="4">
        <v>138766</v>
      </c>
      <c r="G432" s="5">
        <v>109926</v>
      </c>
      <c r="H432" s="6">
        <f t="shared" si="12"/>
        <v>29.925000000000001</v>
      </c>
      <c r="I432">
        <f t="shared" si="13"/>
        <v>3.6543124350536971E-2</v>
      </c>
    </row>
    <row r="433" spans="1:9" ht="15" customHeight="1" x14ac:dyDescent="0.2">
      <c r="A433" s="7">
        <v>45426</v>
      </c>
      <c r="B433" s="8">
        <v>28.87</v>
      </c>
      <c r="C433" s="8">
        <v>28.702000000000002</v>
      </c>
      <c r="D433" s="8">
        <v>28.864999999999998</v>
      </c>
      <c r="E433" s="8">
        <v>28.875</v>
      </c>
      <c r="F433" s="8">
        <v>136005</v>
      </c>
      <c r="G433" s="9">
        <v>68399</v>
      </c>
      <c r="H433" s="6">
        <f t="shared" si="12"/>
        <v>28.869999999999997</v>
      </c>
      <c r="I433">
        <f t="shared" si="13"/>
        <v>1.5476609215617332E-2</v>
      </c>
    </row>
    <row r="434" spans="1:9" ht="15" customHeight="1" x14ac:dyDescent="0.2">
      <c r="A434" s="3">
        <v>45425</v>
      </c>
      <c r="B434" s="4">
        <v>28.425000000000001</v>
      </c>
      <c r="C434" s="4">
        <v>28.443000000000001</v>
      </c>
      <c r="D434" s="4">
        <v>28.425000000000001</v>
      </c>
      <c r="E434" s="4">
        <v>28.434999999999999</v>
      </c>
      <c r="F434" s="4">
        <v>136051</v>
      </c>
      <c r="G434" s="5">
        <v>54157</v>
      </c>
      <c r="H434" s="6">
        <f t="shared" si="12"/>
        <v>28.43</v>
      </c>
      <c r="I434">
        <f t="shared" si="13"/>
        <v>1.2326113752421097E-3</v>
      </c>
    </row>
    <row r="435" spans="1:9" ht="15" customHeight="1" x14ac:dyDescent="0.2">
      <c r="A435" s="7">
        <v>45422</v>
      </c>
      <c r="B435" s="8">
        <v>28.395</v>
      </c>
      <c r="C435" s="8">
        <v>28.506</v>
      </c>
      <c r="D435" s="8">
        <v>28.39</v>
      </c>
      <c r="E435" s="8">
        <v>28.4</v>
      </c>
      <c r="F435" s="8">
        <v>136745</v>
      </c>
      <c r="G435" s="9">
        <v>76262</v>
      </c>
      <c r="H435" s="6">
        <f t="shared" si="12"/>
        <v>28.395</v>
      </c>
      <c r="I435">
        <f t="shared" si="13"/>
        <v>-6.2992125984251413E-3</v>
      </c>
    </row>
    <row r="436" spans="1:9" ht="15" customHeight="1" x14ac:dyDescent="0.2">
      <c r="A436" s="3">
        <v>45421</v>
      </c>
      <c r="B436" s="4">
        <v>28.574999999999999</v>
      </c>
      <c r="C436" s="4">
        <v>28.364999999999998</v>
      </c>
      <c r="D436" s="4">
        <v>28.57</v>
      </c>
      <c r="E436" s="4">
        <v>28.58</v>
      </c>
      <c r="F436" s="4">
        <v>132305</v>
      </c>
      <c r="G436" s="5">
        <v>76788</v>
      </c>
      <c r="H436" s="6">
        <f t="shared" si="12"/>
        <v>28.574999999999999</v>
      </c>
      <c r="I436">
        <f t="shared" si="13"/>
        <v>3.664066751315076E-2</v>
      </c>
    </row>
    <row r="437" spans="1:9" ht="15" customHeight="1" x14ac:dyDescent="0.2">
      <c r="A437" s="7">
        <v>45420</v>
      </c>
      <c r="B437" s="8">
        <v>27.565000000000001</v>
      </c>
      <c r="C437" s="8">
        <v>27.600999999999999</v>
      </c>
      <c r="D437" s="8">
        <v>27.56</v>
      </c>
      <c r="E437" s="8">
        <v>27.57</v>
      </c>
      <c r="F437" s="8">
        <v>131843</v>
      </c>
      <c r="G437" s="9">
        <v>50284</v>
      </c>
      <c r="H437" s="6">
        <f t="shared" si="12"/>
        <v>27.564999999999998</v>
      </c>
      <c r="I437">
        <f t="shared" si="13"/>
        <v>2.8194633924512047E-3</v>
      </c>
    </row>
    <row r="438" spans="1:9" ht="15" customHeight="1" x14ac:dyDescent="0.2">
      <c r="A438" s="3">
        <v>45419</v>
      </c>
      <c r="B438" s="4">
        <v>27.484999999999999</v>
      </c>
      <c r="C438" s="4">
        <v>27.544</v>
      </c>
      <c r="D438" s="4">
        <v>27.484999999999999</v>
      </c>
      <c r="E438" s="4">
        <v>27.49</v>
      </c>
      <c r="F438" s="4">
        <v>133998</v>
      </c>
      <c r="G438" s="5">
        <v>45666</v>
      </c>
      <c r="H438" s="6">
        <f t="shared" si="12"/>
        <v>27.487499999999997</v>
      </c>
      <c r="I438">
        <f t="shared" si="13"/>
        <v>-6.9544797687862703E-3</v>
      </c>
    </row>
    <row r="439" spans="1:9" ht="15" customHeight="1" x14ac:dyDescent="0.2">
      <c r="A439" s="7">
        <v>45418</v>
      </c>
      <c r="B439" s="8">
        <v>27.684999999999999</v>
      </c>
      <c r="C439" s="8">
        <v>27.614000000000001</v>
      </c>
      <c r="D439" s="8">
        <v>27.675000000000001</v>
      </c>
      <c r="E439" s="8">
        <v>27.684999999999999</v>
      </c>
      <c r="F439" s="8">
        <v>132767</v>
      </c>
      <c r="G439" s="9">
        <v>66084</v>
      </c>
      <c r="H439" s="6">
        <f t="shared" si="12"/>
        <v>27.68</v>
      </c>
      <c r="I439">
        <f t="shared" si="13"/>
        <v>3.3317778814745624E-2</v>
      </c>
    </row>
    <row r="440" spans="1:9" ht="15" customHeight="1" x14ac:dyDescent="0.2">
      <c r="A440" s="3">
        <v>45415</v>
      </c>
      <c r="B440" s="4">
        <v>26.785</v>
      </c>
      <c r="C440" s="4">
        <v>26.69</v>
      </c>
      <c r="D440" s="4">
        <v>26.785</v>
      </c>
      <c r="E440" s="4">
        <v>26.79</v>
      </c>
      <c r="F440" s="4">
        <v>135754</v>
      </c>
      <c r="G440" s="5">
        <v>65050</v>
      </c>
      <c r="H440" s="6">
        <f t="shared" si="12"/>
        <v>26.787500000000001</v>
      </c>
      <c r="I440">
        <f t="shared" si="13"/>
        <v>-5.1067780872794399E-3</v>
      </c>
    </row>
    <row r="441" spans="1:9" ht="15" customHeight="1" x14ac:dyDescent="0.2">
      <c r="A441" s="7">
        <v>45414</v>
      </c>
      <c r="B441" s="8">
        <v>26.93</v>
      </c>
      <c r="C441" s="8">
        <v>26.829000000000001</v>
      </c>
      <c r="D441" s="8">
        <v>26.92</v>
      </c>
      <c r="E441" s="8">
        <v>26.93</v>
      </c>
      <c r="F441" s="8">
        <v>135744</v>
      </c>
      <c r="G441" s="9">
        <v>62532</v>
      </c>
      <c r="H441" s="6">
        <f t="shared" si="12"/>
        <v>26.925000000000001</v>
      </c>
      <c r="I441">
        <f t="shared" si="13"/>
        <v>-1.8566654288898476E-4</v>
      </c>
    </row>
    <row r="442" spans="1:9" ht="15" customHeight="1" x14ac:dyDescent="0.2">
      <c r="A442" s="3">
        <v>45413</v>
      </c>
      <c r="B442" s="4">
        <v>26.93</v>
      </c>
      <c r="C442" s="4">
        <v>26.748000000000001</v>
      </c>
      <c r="D442" s="4">
        <v>26.925000000000001</v>
      </c>
      <c r="E442" s="4">
        <v>26.934999999999999</v>
      </c>
      <c r="F442" s="4">
        <v>135729</v>
      </c>
      <c r="G442" s="5">
        <v>63886</v>
      </c>
      <c r="H442" s="6">
        <f t="shared" si="12"/>
        <v>26.93</v>
      </c>
      <c r="I442">
        <f t="shared" si="13"/>
        <v>1.3549115543846524E-2</v>
      </c>
    </row>
    <row r="443" spans="1:9" ht="15" customHeight="1" x14ac:dyDescent="0.2">
      <c r="A443" s="7">
        <v>45412</v>
      </c>
      <c r="B443" s="8">
        <v>26.57</v>
      </c>
      <c r="C443" s="8">
        <v>26.654</v>
      </c>
      <c r="D443" s="8">
        <v>26.565000000000001</v>
      </c>
      <c r="E443" s="8">
        <v>26.574999999999999</v>
      </c>
      <c r="F443" s="8">
        <v>137364</v>
      </c>
      <c r="G443" s="9">
        <v>84375</v>
      </c>
      <c r="H443" s="6">
        <f t="shared" si="12"/>
        <v>26.57</v>
      </c>
      <c r="I443">
        <f t="shared" si="13"/>
        <v>-2.1903184244432161E-2</v>
      </c>
    </row>
    <row r="444" spans="1:9" ht="15" customHeight="1" x14ac:dyDescent="0.2">
      <c r="A444" s="3">
        <v>45411</v>
      </c>
      <c r="B444" s="4">
        <v>27.145</v>
      </c>
      <c r="C444" s="4">
        <v>27.373000000000001</v>
      </c>
      <c r="D444" s="4">
        <v>27.184999999999999</v>
      </c>
      <c r="E444" s="4">
        <v>27.145</v>
      </c>
      <c r="F444" s="4">
        <v>10701</v>
      </c>
      <c r="G444" s="5">
        <v>11706</v>
      </c>
      <c r="H444" s="6">
        <f t="shared" si="12"/>
        <v>27.164999999999999</v>
      </c>
      <c r="I444">
        <f t="shared" si="13"/>
        <v>1.843997787202456E-3</v>
      </c>
    </row>
    <row r="445" spans="1:9" ht="15" customHeight="1" x14ac:dyDescent="0.2">
      <c r="A445" s="7">
        <v>45408</v>
      </c>
      <c r="B445" s="8">
        <v>27.225000000000001</v>
      </c>
      <c r="C445" s="8">
        <v>27.251999999999999</v>
      </c>
      <c r="D445" s="8">
        <v>27</v>
      </c>
      <c r="E445" s="8">
        <v>27.23</v>
      </c>
      <c r="F445" s="8">
        <v>19976</v>
      </c>
      <c r="G445" s="9">
        <v>67388</v>
      </c>
      <c r="H445" s="6">
        <f t="shared" si="12"/>
        <v>27.115000000000002</v>
      </c>
      <c r="I445">
        <f t="shared" si="13"/>
        <v>-1.2743491716730282E-2</v>
      </c>
    </row>
    <row r="446" spans="1:9" ht="15" customHeight="1" x14ac:dyDescent="0.2">
      <c r="A446" s="3">
        <v>45407</v>
      </c>
      <c r="B446" s="4">
        <v>27.465</v>
      </c>
      <c r="C446" s="4">
        <v>27.353000000000002</v>
      </c>
      <c r="D446" s="4">
        <v>27.46</v>
      </c>
      <c r="E446" s="4">
        <v>27.47</v>
      </c>
      <c r="F446" s="4">
        <v>33912</v>
      </c>
      <c r="G446" s="5">
        <v>82860</v>
      </c>
      <c r="H446" s="6">
        <f t="shared" si="12"/>
        <v>27.465</v>
      </c>
      <c r="I446">
        <f t="shared" si="13"/>
        <v>9.9282956425812419E-3</v>
      </c>
    </row>
    <row r="447" spans="1:9" ht="15" customHeight="1" x14ac:dyDescent="0.2">
      <c r="A447" s="7">
        <v>45406</v>
      </c>
      <c r="B447" s="8">
        <v>27.195</v>
      </c>
      <c r="C447" s="8">
        <v>27.346</v>
      </c>
      <c r="D447" s="8">
        <v>27.19</v>
      </c>
      <c r="E447" s="8">
        <v>27.2</v>
      </c>
      <c r="F447" s="8">
        <v>44523</v>
      </c>
      <c r="G447" s="9">
        <v>68884</v>
      </c>
      <c r="H447" s="6">
        <f t="shared" si="12"/>
        <v>27.195</v>
      </c>
      <c r="I447">
        <f t="shared" si="13"/>
        <v>-5.4854635216675662E-3</v>
      </c>
    </row>
    <row r="448" spans="1:9" ht="15" customHeight="1" x14ac:dyDescent="0.2">
      <c r="A448" s="3">
        <v>45405</v>
      </c>
      <c r="B448" s="4">
        <v>27.35</v>
      </c>
      <c r="C448" s="4">
        <v>27.361999999999998</v>
      </c>
      <c r="D448" s="4">
        <v>27.34</v>
      </c>
      <c r="E448" s="4">
        <v>27.35</v>
      </c>
      <c r="F448" s="4">
        <v>52475</v>
      </c>
      <c r="G448" s="5">
        <v>106240</v>
      </c>
      <c r="H448" s="6">
        <f t="shared" si="12"/>
        <v>27.344999999999999</v>
      </c>
      <c r="I448">
        <f t="shared" si="13"/>
        <v>4.0389205067008493E-3</v>
      </c>
    </row>
    <row r="449" spans="1:9" ht="15" customHeight="1" x14ac:dyDescent="0.2">
      <c r="A449" s="7">
        <v>45404</v>
      </c>
      <c r="B449" s="8">
        <v>27.234999999999999</v>
      </c>
      <c r="C449" s="8">
        <v>27.245000000000001</v>
      </c>
      <c r="D449" s="8">
        <v>27.23</v>
      </c>
      <c r="E449" s="8">
        <v>27.24</v>
      </c>
      <c r="F449" s="8">
        <v>66323</v>
      </c>
      <c r="G449" s="9">
        <v>105412</v>
      </c>
      <c r="H449" s="6">
        <f t="shared" si="12"/>
        <v>27.234999999999999</v>
      </c>
      <c r="I449">
        <f t="shared" si="13"/>
        <v>-5.2695652173913032E-2</v>
      </c>
    </row>
    <row r="450" spans="1:9" ht="15" customHeight="1" x14ac:dyDescent="0.2">
      <c r="A450" s="3">
        <v>45401</v>
      </c>
      <c r="B450" s="4">
        <v>28.745000000000001</v>
      </c>
      <c r="C450" s="4">
        <v>28.844000000000001</v>
      </c>
      <c r="D450" s="4">
        <v>28.745000000000001</v>
      </c>
      <c r="E450" s="4">
        <v>28.754999999999999</v>
      </c>
      <c r="F450" s="4">
        <v>71349</v>
      </c>
      <c r="G450" s="5">
        <v>88027</v>
      </c>
      <c r="H450" s="6">
        <f t="shared" si="12"/>
        <v>28.75</v>
      </c>
      <c r="I450">
        <f t="shared" si="13"/>
        <v>1.5362881864736E-2</v>
      </c>
    </row>
    <row r="451" spans="1:9" ht="15" customHeight="1" x14ac:dyDescent="0.2">
      <c r="A451" s="7">
        <v>45400</v>
      </c>
      <c r="B451" s="8">
        <v>28.32</v>
      </c>
      <c r="C451" s="8">
        <v>28.38</v>
      </c>
      <c r="D451" s="8">
        <v>28.31</v>
      </c>
      <c r="E451" s="8">
        <v>28.32</v>
      </c>
      <c r="F451" s="8">
        <v>74292</v>
      </c>
      <c r="G451" s="9">
        <v>70874</v>
      </c>
      <c r="H451" s="6">
        <f t="shared" si="12"/>
        <v>28.314999999999998</v>
      </c>
      <c r="I451">
        <f t="shared" si="13"/>
        <v>7.0683866407472706E-4</v>
      </c>
    </row>
    <row r="452" spans="1:9" ht="15" customHeight="1" x14ac:dyDescent="0.2">
      <c r="A452" s="3">
        <v>45399</v>
      </c>
      <c r="B452" s="4">
        <v>28.295000000000002</v>
      </c>
      <c r="C452" s="4">
        <v>28.4</v>
      </c>
      <c r="D452" s="4">
        <v>28.285</v>
      </c>
      <c r="E452" s="4">
        <v>28.305</v>
      </c>
      <c r="F452" s="4">
        <v>78889</v>
      </c>
      <c r="G452" s="5">
        <v>100995</v>
      </c>
      <c r="H452" s="6">
        <f t="shared" si="12"/>
        <v>28.295000000000002</v>
      </c>
      <c r="I452">
        <f t="shared" si="13"/>
        <v>3.7247250798155829E-3</v>
      </c>
    </row>
    <row r="453" spans="1:9" ht="15" customHeight="1" x14ac:dyDescent="0.2">
      <c r="A453" s="7">
        <v>45398</v>
      </c>
      <c r="B453" s="8">
        <v>28.184999999999999</v>
      </c>
      <c r="C453" s="8">
        <v>28.376000000000001</v>
      </c>
      <c r="D453" s="8">
        <v>28.184999999999999</v>
      </c>
      <c r="E453" s="8">
        <v>28.195</v>
      </c>
      <c r="F453" s="8">
        <v>84067</v>
      </c>
      <c r="G453" s="9">
        <v>105347</v>
      </c>
      <c r="H453" s="6">
        <f t="shared" ref="H453:H516" si="14">AVERAGE(D453:E453)</f>
        <v>28.189999999999998</v>
      </c>
      <c r="I453">
        <f t="shared" ref="I453:I516" si="15">H453/H454-1</f>
        <v>-2.6252158894646049E-2</v>
      </c>
    </row>
    <row r="454" spans="1:9" ht="15" customHeight="1" x14ac:dyDescent="0.2">
      <c r="A454" s="3">
        <v>45397</v>
      </c>
      <c r="B454" s="4">
        <v>28.954999999999998</v>
      </c>
      <c r="C454" s="4">
        <v>28.716999999999999</v>
      </c>
      <c r="D454" s="4">
        <v>28.945</v>
      </c>
      <c r="E454" s="4">
        <v>28.954999999999998</v>
      </c>
      <c r="F454" s="4">
        <v>84760</v>
      </c>
      <c r="G454" s="5">
        <v>118203</v>
      </c>
      <c r="H454" s="6">
        <f t="shared" si="14"/>
        <v>28.95</v>
      </c>
      <c r="I454">
        <f t="shared" si="15"/>
        <v>3.5037540221666053E-2</v>
      </c>
    </row>
    <row r="455" spans="1:9" ht="15" customHeight="1" x14ac:dyDescent="0.2">
      <c r="A455" s="7">
        <v>45394</v>
      </c>
      <c r="B455" s="8">
        <v>27.97</v>
      </c>
      <c r="C455" s="8">
        <v>28.33</v>
      </c>
      <c r="D455" s="8">
        <v>27.96</v>
      </c>
      <c r="E455" s="8">
        <v>27.98</v>
      </c>
      <c r="F455" s="8">
        <v>91849</v>
      </c>
      <c r="G455" s="9">
        <v>188827</v>
      </c>
      <c r="H455" s="6">
        <f t="shared" si="14"/>
        <v>27.97</v>
      </c>
      <c r="I455">
        <f t="shared" si="15"/>
        <v>-2.0057808531137811E-2</v>
      </c>
    </row>
    <row r="456" spans="1:9" ht="15" customHeight="1" x14ac:dyDescent="0.2">
      <c r="A456" s="3">
        <v>45393</v>
      </c>
      <c r="B456" s="4">
        <v>28.545000000000002</v>
      </c>
      <c r="C456" s="4">
        <v>28.25</v>
      </c>
      <c r="D456" s="4">
        <v>28.535</v>
      </c>
      <c r="E456" s="4">
        <v>28.55</v>
      </c>
      <c r="F456" s="4">
        <v>95935</v>
      </c>
      <c r="G456" s="5">
        <v>86711</v>
      </c>
      <c r="H456" s="6">
        <f t="shared" si="14"/>
        <v>28.5425</v>
      </c>
      <c r="I456">
        <f t="shared" si="15"/>
        <v>1.7648631785364133E-2</v>
      </c>
    </row>
    <row r="457" spans="1:9" ht="15" customHeight="1" x14ac:dyDescent="0.2">
      <c r="A457" s="7">
        <v>45392</v>
      </c>
      <c r="B457" s="8">
        <v>28.05</v>
      </c>
      <c r="C457" s="8">
        <v>28.052</v>
      </c>
      <c r="D457" s="8">
        <v>28.045000000000002</v>
      </c>
      <c r="E457" s="8">
        <v>28.05</v>
      </c>
      <c r="F457" s="8">
        <v>102256</v>
      </c>
      <c r="G457" s="9">
        <v>153200</v>
      </c>
      <c r="H457" s="6">
        <f t="shared" si="14"/>
        <v>28.047499999999999</v>
      </c>
      <c r="I457">
        <f t="shared" si="15"/>
        <v>-8.1336751834497623E-3</v>
      </c>
    </row>
    <row r="458" spans="1:9" ht="15" customHeight="1" x14ac:dyDescent="0.2">
      <c r="A458" s="3">
        <v>45391</v>
      </c>
      <c r="B458" s="4">
        <v>28.28</v>
      </c>
      <c r="C458" s="4">
        <v>27.984000000000002</v>
      </c>
      <c r="D458" s="4">
        <v>28.27</v>
      </c>
      <c r="E458" s="4">
        <v>28.285</v>
      </c>
      <c r="F458" s="4">
        <v>108484</v>
      </c>
      <c r="G458" s="5">
        <v>121187</v>
      </c>
      <c r="H458" s="6">
        <f t="shared" si="14"/>
        <v>28.2775</v>
      </c>
      <c r="I458">
        <f t="shared" si="15"/>
        <v>1.0993922059349348E-2</v>
      </c>
    </row>
    <row r="459" spans="1:9" ht="15" customHeight="1" x14ac:dyDescent="0.2">
      <c r="A459" s="7">
        <v>45390</v>
      </c>
      <c r="B459" s="8">
        <v>27.97</v>
      </c>
      <c r="C459" s="8">
        <v>27.806999999999999</v>
      </c>
      <c r="D459" s="8">
        <v>27.965</v>
      </c>
      <c r="E459" s="8">
        <v>27.975000000000001</v>
      </c>
      <c r="F459" s="8">
        <v>113968</v>
      </c>
      <c r="G459" s="9">
        <v>127046</v>
      </c>
      <c r="H459" s="6">
        <f t="shared" si="14"/>
        <v>27.97</v>
      </c>
      <c r="I459">
        <f t="shared" si="15"/>
        <v>1.3405797101449179E-2</v>
      </c>
    </row>
    <row r="460" spans="1:9" ht="15" customHeight="1" x14ac:dyDescent="0.2">
      <c r="A460" s="3">
        <v>45387</v>
      </c>
      <c r="B460" s="4">
        <v>27.6</v>
      </c>
      <c r="C460" s="4">
        <v>27.503</v>
      </c>
      <c r="D460" s="4">
        <v>27.594999999999999</v>
      </c>
      <c r="E460" s="4">
        <v>27.605</v>
      </c>
      <c r="F460" s="4">
        <v>119141</v>
      </c>
      <c r="G460" s="5">
        <v>116261</v>
      </c>
      <c r="H460" s="6">
        <f t="shared" si="14"/>
        <v>27.6</v>
      </c>
      <c r="I460">
        <f t="shared" si="15"/>
        <v>2.1465581051073324E-2</v>
      </c>
    </row>
    <row r="461" spans="1:9" ht="15" customHeight="1" x14ac:dyDescent="0.2">
      <c r="A461" s="7">
        <v>45386</v>
      </c>
      <c r="B461" s="8">
        <v>27.024999999999999</v>
      </c>
      <c r="C461" s="8">
        <v>27.247</v>
      </c>
      <c r="D461" s="8">
        <v>27.015000000000001</v>
      </c>
      <c r="E461" s="8">
        <v>27.024999999999999</v>
      </c>
      <c r="F461" s="8">
        <v>120581</v>
      </c>
      <c r="G461" s="9">
        <v>101416</v>
      </c>
      <c r="H461" s="6">
        <f t="shared" si="14"/>
        <v>27.02</v>
      </c>
      <c r="I461">
        <f t="shared" si="15"/>
        <v>-1.1161939615736527E-2</v>
      </c>
    </row>
    <row r="462" spans="1:9" ht="15" customHeight="1" x14ac:dyDescent="0.2">
      <c r="A462" s="3">
        <v>45385</v>
      </c>
      <c r="B462" s="4">
        <v>27.32</v>
      </c>
      <c r="C462" s="4">
        <v>27.06</v>
      </c>
      <c r="D462" s="4">
        <v>27.32</v>
      </c>
      <c r="E462" s="4">
        <v>27.33</v>
      </c>
      <c r="F462" s="4">
        <v>120034</v>
      </c>
      <c r="G462" s="5">
        <v>134805</v>
      </c>
      <c r="H462" s="6">
        <f t="shared" si="14"/>
        <v>27.324999999999999</v>
      </c>
      <c r="I462">
        <f t="shared" si="15"/>
        <v>4.0853252071231472E-2</v>
      </c>
    </row>
    <row r="463" spans="1:9" ht="15" customHeight="1" x14ac:dyDescent="0.2">
      <c r="A463" s="7">
        <v>45384</v>
      </c>
      <c r="B463" s="8">
        <v>26.254999999999999</v>
      </c>
      <c r="C463" s="8">
        <v>25.922999999999998</v>
      </c>
      <c r="D463" s="8">
        <v>26.25</v>
      </c>
      <c r="E463" s="8">
        <v>26.254999999999999</v>
      </c>
      <c r="F463" s="8">
        <v>117708</v>
      </c>
      <c r="G463" s="9">
        <v>130287</v>
      </c>
      <c r="H463" s="6">
        <f t="shared" si="14"/>
        <v>26.252499999999998</v>
      </c>
      <c r="I463">
        <f t="shared" si="15"/>
        <v>4.1146143168748761E-2</v>
      </c>
    </row>
    <row r="464" spans="1:9" ht="15" customHeight="1" x14ac:dyDescent="0.2">
      <c r="A464" s="3">
        <v>45383</v>
      </c>
      <c r="B464" s="4">
        <v>25.22</v>
      </c>
      <c r="C464" s="4">
        <v>25.073</v>
      </c>
      <c r="D464" s="4">
        <v>25.21</v>
      </c>
      <c r="E464" s="4">
        <v>25.22</v>
      </c>
      <c r="F464" s="4">
        <v>118160</v>
      </c>
      <c r="G464" s="5">
        <v>94571</v>
      </c>
      <c r="H464" s="6">
        <f t="shared" si="14"/>
        <v>25.215</v>
      </c>
      <c r="I464">
        <f t="shared" si="15"/>
        <v>4.5816733067729487E-3</v>
      </c>
    </row>
    <row r="465" spans="1:9" ht="15" customHeight="1" x14ac:dyDescent="0.2">
      <c r="A465" s="7">
        <v>45379</v>
      </c>
      <c r="B465" s="8">
        <v>25.1</v>
      </c>
      <c r="C465" s="8">
        <v>24.916</v>
      </c>
      <c r="D465" s="8">
        <v>25.094999999999999</v>
      </c>
      <c r="E465" s="8">
        <v>25.105</v>
      </c>
      <c r="F465" s="8">
        <v>118329</v>
      </c>
      <c r="G465" s="9">
        <v>71451</v>
      </c>
      <c r="H465" s="6">
        <f t="shared" si="14"/>
        <v>25.1</v>
      </c>
      <c r="I465">
        <f t="shared" si="15"/>
        <v>1.3424851115373171E-2</v>
      </c>
    </row>
    <row r="466" spans="1:9" ht="15" customHeight="1" x14ac:dyDescent="0.2">
      <c r="A466" s="3">
        <v>45378</v>
      </c>
      <c r="B466" s="4">
        <v>24.765000000000001</v>
      </c>
      <c r="C466" s="4">
        <v>24.751999999999999</v>
      </c>
      <c r="D466" s="4">
        <v>24.765000000000001</v>
      </c>
      <c r="E466" s="4">
        <v>24.77</v>
      </c>
      <c r="F466" s="4">
        <v>119305</v>
      </c>
      <c r="G466" s="5">
        <v>55164</v>
      </c>
      <c r="H466" s="6">
        <f t="shared" si="14"/>
        <v>24.767499999999998</v>
      </c>
      <c r="I466">
        <f t="shared" si="15"/>
        <v>6.6043487096116849E-3</v>
      </c>
    </row>
    <row r="467" spans="1:9" ht="15" customHeight="1" x14ac:dyDescent="0.2">
      <c r="A467" s="7">
        <v>45377</v>
      </c>
      <c r="B467" s="8">
        <v>24.605</v>
      </c>
      <c r="C467" s="8">
        <v>24.623000000000001</v>
      </c>
      <c r="D467" s="8">
        <v>24.6</v>
      </c>
      <c r="E467" s="8">
        <v>24.61</v>
      </c>
      <c r="F467" s="8">
        <v>120171</v>
      </c>
      <c r="G467" s="9">
        <v>66819</v>
      </c>
      <c r="H467" s="6">
        <f t="shared" si="14"/>
        <v>24.605</v>
      </c>
      <c r="I467">
        <f t="shared" si="15"/>
        <v>-9.2611234145359989E-3</v>
      </c>
    </row>
    <row r="468" spans="1:9" ht="15" customHeight="1" x14ac:dyDescent="0.2">
      <c r="A468" s="3">
        <v>45376</v>
      </c>
      <c r="B468" s="4">
        <v>24.835000000000001</v>
      </c>
      <c r="C468" s="4">
        <v>24.890999999999998</v>
      </c>
      <c r="D468" s="4">
        <v>24.83</v>
      </c>
      <c r="E468" s="4">
        <v>24.84</v>
      </c>
      <c r="F468" s="4">
        <v>120037</v>
      </c>
      <c r="G468" s="5">
        <v>38617</v>
      </c>
      <c r="H468" s="6">
        <f t="shared" si="14"/>
        <v>24.835000000000001</v>
      </c>
      <c r="I468">
        <f t="shared" si="15"/>
        <v>0</v>
      </c>
    </row>
    <row r="469" spans="1:9" ht="15" customHeight="1" x14ac:dyDescent="0.2">
      <c r="A469" s="7">
        <v>45373</v>
      </c>
      <c r="B469" s="8">
        <v>24.835000000000001</v>
      </c>
      <c r="C469" s="8">
        <v>24.843</v>
      </c>
      <c r="D469" s="8">
        <v>24.83</v>
      </c>
      <c r="E469" s="8">
        <v>24.84</v>
      </c>
      <c r="F469" s="8">
        <v>121732</v>
      </c>
      <c r="G469" s="9">
        <v>55996</v>
      </c>
      <c r="H469" s="6">
        <f t="shared" si="14"/>
        <v>24.835000000000001</v>
      </c>
      <c r="I469">
        <f t="shared" si="15"/>
        <v>-3.3109260559847087E-3</v>
      </c>
    </row>
    <row r="470" spans="1:9" ht="15" customHeight="1" x14ac:dyDescent="0.2">
      <c r="A470" s="3">
        <v>45372</v>
      </c>
      <c r="B470" s="4">
        <v>24.914999999999999</v>
      </c>
      <c r="C470" s="4">
        <v>25.007000000000001</v>
      </c>
      <c r="D470" s="4">
        <v>24.914999999999999</v>
      </c>
      <c r="E470" s="4">
        <v>24.92</v>
      </c>
      <c r="F470" s="4">
        <v>120201</v>
      </c>
      <c r="G470" s="5">
        <v>102916</v>
      </c>
      <c r="H470" s="6">
        <f t="shared" si="14"/>
        <v>24.9175</v>
      </c>
      <c r="I470">
        <f t="shared" si="15"/>
        <v>-3.3362428474444705E-2</v>
      </c>
    </row>
    <row r="471" spans="1:9" ht="15" customHeight="1" x14ac:dyDescent="0.2">
      <c r="A471" s="7">
        <v>45371</v>
      </c>
      <c r="B471" s="8">
        <v>25.774999999999999</v>
      </c>
      <c r="C471" s="8">
        <v>25.103999999999999</v>
      </c>
      <c r="D471" s="8">
        <v>25.774999999999999</v>
      </c>
      <c r="E471" s="8">
        <v>25.78</v>
      </c>
      <c r="F471" s="8">
        <v>117744</v>
      </c>
      <c r="G471" s="9">
        <v>67269</v>
      </c>
      <c r="H471" s="6">
        <f t="shared" si="14"/>
        <v>25.7775</v>
      </c>
      <c r="I471">
        <f t="shared" si="15"/>
        <v>2.6787492531368251E-2</v>
      </c>
    </row>
    <row r="472" spans="1:9" ht="15" customHeight="1" x14ac:dyDescent="0.2">
      <c r="A472" s="3">
        <v>45370</v>
      </c>
      <c r="B472" s="4">
        <v>25.105</v>
      </c>
      <c r="C472" s="4">
        <v>25.135000000000002</v>
      </c>
      <c r="D472" s="4">
        <v>25.1</v>
      </c>
      <c r="E472" s="4">
        <v>25.11</v>
      </c>
      <c r="F472" s="4">
        <v>117162</v>
      </c>
      <c r="G472" s="5">
        <v>48367</v>
      </c>
      <c r="H472" s="6">
        <f t="shared" si="14"/>
        <v>25.105</v>
      </c>
      <c r="I472">
        <f t="shared" si="15"/>
        <v>-5.3486529318542697E-3</v>
      </c>
    </row>
    <row r="473" spans="1:9" ht="15" customHeight="1" x14ac:dyDescent="0.2">
      <c r="A473" s="7">
        <v>45369</v>
      </c>
      <c r="B473" s="8">
        <v>25.24</v>
      </c>
      <c r="C473" s="8">
        <v>25.265000000000001</v>
      </c>
      <c r="D473" s="8">
        <v>25.234999999999999</v>
      </c>
      <c r="E473" s="8">
        <v>25.245000000000001</v>
      </c>
      <c r="F473" s="8">
        <v>116756</v>
      </c>
      <c r="G473" s="9">
        <v>47368</v>
      </c>
      <c r="H473" s="6">
        <f t="shared" si="14"/>
        <v>25.240000000000002</v>
      </c>
      <c r="I473">
        <f t="shared" si="15"/>
        <v>-6.397008168487317E-3</v>
      </c>
    </row>
    <row r="474" spans="1:9" ht="15" customHeight="1" x14ac:dyDescent="0.2">
      <c r="A474" s="3">
        <v>45366</v>
      </c>
      <c r="B474" s="4">
        <v>25.405000000000001</v>
      </c>
      <c r="C474" s="4">
        <v>25.381</v>
      </c>
      <c r="D474" s="4">
        <v>25.4</v>
      </c>
      <c r="E474" s="4">
        <v>25.405000000000001</v>
      </c>
      <c r="F474" s="4">
        <v>115848</v>
      </c>
      <c r="G474" s="5">
        <v>72751</v>
      </c>
      <c r="H474" s="6">
        <f t="shared" si="14"/>
        <v>25.4025</v>
      </c>
      <c r="I474">
        <f t="shared" si="15"/>
        <v>1.5084915084915052E-2</v>
      </c>
    </row>
    <row r="475" spans="1:9" ht="15" customHeight="1" x14ac:dyDescent="0.2">
      <c r="A475" s="7">
        <v>45365</v>
      </c>
      <c r="B475" s="8">
        <v>25.024999999999999</v>
      </c>
      <c r="C475" s="8">
        <v>25.06</v>
      </c>
      <c r="D475" s="8">
        <v>25.02</v>
      </c>
      <c r="E475" s="8">
        <v>25.03</v>
      </c>
      <c r="F475" s="8">
        <v>115511</v>
      </c>
      <c r="G475" s="9">
        <v>71049</v>
      </c>
      <c r="H475" s="6">
        <f t="shared" si="14"/>
        <v>25.024999999999999</v>
      </c>
      <c r="I475">
        <f t="shared" si="15"/>
        <v>-7.928642220019988E-3</v>
      </c>
    </row>
    <row r="476" spans="1:9" ht="15" customHeight="1" x14ac:dyDescent="0.2">
      <c r="A476" s="3">
        <v>45364</v>
      </c>
      <c r="B476" s="4">
        <v>25.225000000000001</v>
      </c>
      <c r="C476" s="4">
        <v>25.155999999999999</v>
      </c>
      <c r="D476" s="4">
        <v>25.22</v>
      </c>
      <c r="E476" s="4">
        <v>25.23</v>
      </c>
      <c r="F476" s="4">
        <v>113354</v>
      </c>
      <c r="G476" s="5">
        <v>75011</v>
      </c>
      <c r="H476" s="6">
        <f t="shared" si="14"/>
        <v>25.225000000000001</v>
      </c>
      <c r="I476">
        <f t="shared" si="15"/>
        <v>3.6359901396877614E-2</v>
      </c>
    </row>
    <row r="477" spans="1:9" ht="15" customHeight="1" x14ac:dyDescent="0.2">
      <c r="A477" s="7">
        <v>45363</v>
      </c>
      <c r="B477" s="8">
        <v>24.34</v>
      </c>
      <c r="C477" s="8">
        <v>24.393999999999998</v>
      </c>
      <c r="D477" s="8">
        <v>24.335000000000001</v>
      </c>
      <c r="E477" s="8">
        <v>24.344999999999999</v>
      </c>
      <c r="F477" s="8">
        <v>114567</v>
      </c>
      <c r="G477" s="9">
        <v>73496</v>
      </c>
      <c r="H477" s="6">
        <f t="shared" si="14"/>
        <v>24.34</v>
      </c>
      <c r="I477">
        <f t="shared" si="15"/>
        <v>-1.3776337115072979E-2</v>
      </c>
    </row>
    <row r="478" spans="1:9" ht="15" customHeight="1" x14ac:dyDescent="0.2">
      <c r="A478" s="3">
        <v>45362</v>
      </c>
      <c r="B478" s="4">
        <v>24.68</v>
      </c>
      <c r="C478" s="4">
        <v>24.715</v>
      </c>
      <c r="D478" s="4">
        <v>24.675000000000001</v>
      </c>
      <c r="E478" s="4">
        <v>24.684999999999999</v>
      </c>
      <c r="F478" s="4">
        <v>113356</v>
      </c>
      <c r="G478" s="5">
        <v>47000</v>
      </c>
      <c r="H478" s="6">
        <f t="shared" si="14"/>
        <v>24.68</v>
      </c>
      <c r="I478">
        <f t="shared" si="15"/>
        <v>6.3200815494393048E-3</v>
      </c>
    </row>
    <row r="479" spans="1:9" ht="15" customHeight="1" x14ac:dyDescent="0.2">
      <c r="A479" s="7">
        <v>45359</v>
      </c>
      <c r="B479" s="8">
        <v>24.524999999999999</v>
      </c>
      <c r="C479" s="8">
        <v>24.548999999999999</v>
      </c>
      <c r="D479" s="8">
        <v>24.52</v>
      </c>
      <c r="E479" s="8">
        <v>24.53</v>
      </c>
      <c r="F479" s="8">
        <v>114996</v>
      </c>
      <c r="G479" s="9">
        <v>83512</v>
      </c>
      <c r="H479" s="6">
        <f t="shared" si="14"/>
        <v>24.524999999999999</v>
      </c>
      <c r="I479">
        <f t="shared" si="15"/>
        <v>-9.1659028414303734E-4</v>
      </c>
    </row>
    <row r="480" spans="1:9" ht="15" customHeight="1" x14ac:dyDescent="0.2">
      <c r="A480" s="3">
        <v>45358</v>
      </c>
      <c r="B480" s="4">
        <v>24.545000000000002</v>
      </c>
      <c r="C480" s="4">
        <v>24.577999999999999</v>
      </c>
      <c r="D480" s="4">
        <v>24.545000000000002</v>
      </c>
      <c r="E480" s="4">
        <v>24.55</v>
      </c>
      <c r="F480" s="4">
        <v>113157</v>
      </c>
      <c r="G480" s="5">
        <v>80308</v>
      </c>
      <c r="H480" s="6">
        <f t="shared" si="14"/>
        <v>24.547499999999999</v>
      </c>
      <c r="I480">
        <f t="shared" si="15"/>
        <v>6.0450819672130951E-3</v>
      </c>
    </row>
    <row r="481" spans="1:9" ht="15" customHeight="1" x14ac:dyDescent="0.2">
      <c r="A481" s="7">
        <v>45357</v>
      </c>
      <c r="B481" s="8">
        <v>24.4</v>
      </c>
      <c r="C481" s="8">
        <v>24.492999999999999</v>
      </c>
      <c r="D481" s="8">
        <v>24.395</v>
      </c>
      <c r="E481" s="8">
        <v>24.405000000000001</v>
      </c>
      <c r="F481" s="8">
        <v>113226</v>
      </c>
      <c r="G481" s="9">
        <v>80598</v>
      </c>
      <c r="H481" s="6">
        <f t="shared" si="14"/>
        <v>24.4</v>
      </c>
      <c r="I481">
        <f t="shared" si="15"/>
        <v>2.1347844286312201E-2</v>
      </c>
    </row>
    <row r="482" spans="1:9" ht="15" customHeight="1" x14ac:dyDescent="0.2">
      <c r="A482" s="3">
        <v>45356</v>
      </c>
      <c r="B482" s="4">
        <v>23.89</v>
      </c>
      <c r="C482" s="4">
        <v>23.984000000000002</v>
      </c>
      <c r="D482" s="4">
        <v>23.885000000000002</v>
      </c>
      <c r="E482" s="4">
        <v>23.895</v>
      </c>
      <c r="F482" s="4">
        <v>115590</v>
      </c>
      <c r="G482" s="5">
        <v>95129</v>
      </c>
      <c r="H482" s="6">
        <f t="shared" si="14"/>
        <v>23.89</v>
      </c>
      <c r="I482">
        <f t="shared" si="15"/>
        <v>-9.0220885616509872E-3</v>
      </c>
    </row>
    <row r="483" spans="1:9" ht="15" customHeight="1" x14ac:dyDescent="0.2">
      <c r="A483" s="7">
        <v>45355</v>
      </c>
      <c r="B483" s="8">
        <v>24.105</v>
      </c>
      <c r="C483" s="8">
        <v>23.991</v>
      </c>
      <c r="D483" s="8">
        <v>24.105</v>
      </c>
      <c r="E483" s="8">
        <v>24.11</v>
      </c>
      <c r="F483" s="8">
        <v>116834</v>
      </c>
      <c r="G483" s="9">
        <v>83748</v>
      </c>
      <c r="H483" s="6">
        <f t="shared" si="14"/>
        <v>24.107500000000002</v>
      </c>
      <c r="I483">
        <f t="shared" si="15"/>
        <v>3.2662240308417356E-2</v>
      </c>
    </row>
    <row r="484" spans="1:9" ht="15" customHeight="1" x14ac:dyDescent="0.2">
      <c r="A484" s="3">
        <v>45352</v>
      </c>
      <c r="B484" s="4">
        <v>23.344999999999999</v>
      </c>
      <c r="C484" s="4">
        <v>23.364000000000001</v>
      </c>
      <c r="D484" s="4">
        <v>23.34</v>
      </c>
      <c r="E484" s="4">
        <v>23.35</v>
      </c>
      <c r="F484" s="4">
        <v>116090</v>
      </c>
      <c r="G484" s="5">
        <v>69132</v>
      </c>
      <c r="H484" s="6">
        <f t="shared" si="14"/>
        <v>23.344999999999999</v>
      </c>
      <c r="I484">
        <f t="shared" si="15"/>
        <v>2.0323426573426451E-2</v>
      </c>
    </row>
    <row r="485" spans="1:9" ht="15" customHeight="1" x14ac:dyDescent="0.2">
      <c r="A485" s="7">
        <v>45351</v>
      </c>
      <c r="B485" s="8">
        <v>22.88</v>
      </c>
      <c r="C485" s="8">
        <v>22.885000000000002</v>
      </c>
      <c r="D485" s="8">
        <v>22.875</v>
      </c>
      <c r="E485" s="8">
        <v>22.885000000000002</v>
      </c>
      <c r="F485" s="8">
        <v>117198</v>
      </c>
      <c r="G485" s="9">
        <v>55427</v>
      </c>
      <c r="H485" s="6">
        <f t="shared" si="14"/>
        <v>22.880000000000003</v>
      </c>
      <c r="I485">
        <f t="shared" si="15"/>
        <v>9.2633436259375035E-3</v>
      </c>
    </row>
    <row r="486" spans="1:9" ht="15" customHeight="1" x14ac:dyDescent="0.2">
      <c r="A486" s="3">
        <v>45350</v>
      </c>
      <c r="B486" s="4">
        <v>22.675000000000001</v>
      </c>
      <c r="C486" s="4">
        <v>22.635999999999999</v>
      </c>
      <c r="D486" s="4">
        <v>22.664999999999999</v>
      </c>
      <c r="E486" s="4">
        <v>22.675000000000001</v>
      </c>
      <c r="F486" s="4">
        <v>113777</v>
      </c>
      <c r="G486" s="5">
        <v>43137</v>
      </c>
      <c r="H486" s="6">
        <f t="shared" si="14"/>
        <v>22.67</v>
      </c>
      <c r="I486">
        <f t="shared" si="15"/>
        <v>1.0362116991643466E-2</v>
      </c>
    </row>
    <row r="487" spans="1:9" ht="15" customHeight="1" x14ac:dyDescent="0.2">
      <c r="A487" s="7">
        <v>45349</v>
      </c>
      <c r="B487" s="8">
        <v>22.44</v>
      </c>
      <c r="C487" s="8">
        <v>22.532</v>
      </c>
      <c r="D487" s="8">
        <v>22.4</v>
      </c>
      <c r="E487" s="8">
        <v>22.475000000000001</v>
      </c>
      <c r="F487" s="8">
        <v>17800</v>
      </c>
      <c r="G487" s="9">
        <v>38360</v>
      </c>
      <c r="H487" s="6">
        <f t="shared" si="14"/>
        <v>22.4375</v>
      </c>
      <c r="I487">
        <f t="shared" si="15"/>
        <v>-3.7740037740038312E-3</v>
      </c>
    </row>
    <row r="488" spans="1:9" ht="15" customHeight="1" x14ac:dyDescent="0.2">
      <c r="A488" s="3">
        <v>45348</v>
      </c>
      <c r="B488" s="4">
        <v>22.524999999999999</v>
      </c>
      <c r="C488" s="4">
        <v>22.526</v>
      </c>
      <c r="D488" s="4">
        <v>22.515000000000001</v>
      </c>
      <c r="E488" s="4">
        <v>22.53</v>
      </c>
      <c r="F488" s="4">
        <v>30419</v>
      </c>
      <c r="G488" s="5">
        <v>53064</v>
      </c>
      <c r="H488" s="6">
        <f t="shared" si="14"/>
        <v>22.522500000000001</v>
      </c>
      <c r="I488">
        <f t="shared" si="15"/>
        <v>-1.9801980198019709E-2</v>
      </c>
    </row>
    <row r="489" spans="1:9" ht="15" customHeight="1" x14ac:dyDescent="0.2">
      <c r="A489" s="7">
        <v>45345</v>
      </c>
      <c r="B489" s="8">
        <v>22.975000000000001</v>
      </c>
      <c r="C489" s="8">
        <v>22.981999999999999</v>
      </c>
      <c r="D489" s="8">
        <v>22.975000000000001</v>
      </c>
      <c r="E489" s="8">
        <v>22.98</v>
      </c>
      <c r="F489" s="8">
        <v>40735</v>
      </c>
      <c r="G489" s="9">
        <v>61639</v>
      </c>
      <c r="H489" s="6">
        <f t="shared" si="14"/>
        <v>22.977499999999999</v>
      </c>
      <c r="I489">
        <f t="shared" si="15"/>
        <v>8.7805948853034721E-3</v>
      </c>
    </row>
    <row r="490" spans="1:9" ht="15" customHeight="1" x14ac:dyDescent="0.2">
      <c r="A490" s="3">
        <v>45344</v>
      </c>
      <c r="B490" s="4">
        <v>22.78</v>
      </c>
      <c r="C490" s="4">
        <v>22.783999999999999</v>
      </c>
      <c r="D490" s="4">
        <v>22.774999999999999</v>
      </c>
      <c r="E490" s="4">
        <v>22.78</v>
      </c>
      <c r="F490" s="4">
        <v>49845</v>
      </c>
      <c r="G490" s="5">
        <v>50326</v>
      </c>
      <c r="H490" s="6">
        <f t="shared" si="14"/>
        <v>22.7775</v>
      </c>
      <c r="I490">
        <f t="shared" si="15"/>
        <v>-6.6506759703445217E-3</v>
      </c>
    </row>
    <row r="491" spans="1:9" ht="15" customHeight="1" x14ac:dyDescent="0.2">
      <c r="A491" s="7">
        <v>45343</v>
      </c>
      <c r="B491" s="8">
        <v>22.93</v>
      </c>
      <c r="C491" s="8">
        <v>22.873999999999999</v>
      </c>
      <c r="D491" s="8">
        <v>22.925000000000001</v>
      </c>
      <c r="E491" s="8">
        <v>22.934999999999999</v>
      </c>
      <c r="F491" s="8">
        <v>57012</v>
      </c>
      <c r="G491" s="9">
        <v>56480</v>
      </c>
      <c r="H491" s="6">
        <f t="shared" si="14"/>
        <v>22.93</v>
      </c>
      <c r="I491">
        <f t="shared" si="15"/>
        <v>-4.99023649381658E-3</v>
      </c>
    </row>
    <row r="492" spans="1:9" ht="15" customHeight="1" x14ac:dyDescent="0.2">
      <c r="A492" s="3">
        <v>45342</v>
      </c>
      <c r="B492" s="4">
        <v>23.045000000000002</v>
      </c>
      <c r="C492" s="4">
        <v>23.135999999999999</v>
      </c>
      <c r="D492" s="4">
        <v>23.04</v>
      </c>
      <c r="E492" s="4">
        <v>23.05</v>
      </c>
      <c r="F492" s="4">
        <v>68225</v>
      </c>
      <c r="G492" s="5">
        <v>96977</v>
      </c>
      <c r="H492" s="6">
        <f t="shared" si="14"/>
        <v>23.045000000000002</v>
      </c>
      <c r="I492">
        <f t="shared" si="15"/>
        <v>-1.8526405451448014E-2</v>
      </c>
    </row>
    <row r="493" spans="1:9" ht="15" customHeight="1" x14ac:dyDescent="0.2">
      <c r="A493" s="7">
        <v>45338</v>
      </c>
      <c r="B493" s="8">
        <v>23.475000000000001</v>
      </c>
      <c r="C493" s="8">
        <v>23.475000000000001</v>
      </c>
      <c r="D493" s="8">
        <v>23.475000000000001</v>
      </c>
      <c r="E493" s="8">
        <v>23.484999999999999</v>
      </c>
      <c r="F493" s="8">
        <v>68172</v>
      </c>
      <c r="G493" s="9">
        <v>75535</v>
      </c>
      <c r="H493" s="6">
        <f t="shared" si="14"/>
        <v>23.48</v>
      </c>
      <c r="I493">
        <f t="shared" si="15"/>
        <v>2.2202873313017069E-2</v>
      </c>
    </row>
    <row r="494" spans="1:9" ht="15" customHeight="1" x14ac:dyDescent="0.2">
      <c r="A494" s="3">
        <v>45337</v>
      </c>
      <c r="B494" s="4">
        <v>22.97</v>
      </c>
      <c r="C494" s="4">
        <v>22.951000000000001</v>
      </c>
      <c r="D494" s="4">
        <v>22.965</v>
      </c>
      <c r="E494" s="4">
        <v>22.975000000000001</v>
      </c>
      <c r="F494" s="4">
        <v>73348</v>
      </c>
      <c r="G494" s="5">
        <v>94270</v>
      </c>
      <c r="H494" s="6">
        <f t="shared" si="14"/>
        <v>22.97</v>
      </c>
      <c r="I494">
        <f t="shared" si="15"/>
        <v>2.4303232998885038E-2</v>
      </c>
    </row>
    <row r="495" spans="1:9" ht="15" customHeight="1" x14ac:dyDescent="0.2">
      <c r="A495" s="7">
        <v>45336</v>
      </c>
      <c r="B495" s="8">
        <v>22.425000000000001</v>
      </c>
      <c r="C495" s="8">
        <v>22.387</v>
      </c>
      <c r="D495" s="8">
        <v>22.42</v>
      </c>
      <c r="E495" s="8">
        <v>22.43</v>
      </c>
      <c r="F495" s="8">
        <v>77619</v>
      </c>
      <c r="G495" s="9">
        <v>79424</v>
      </c>
      <c r="H495" s="6">
        <f t="shared" si="14"/>
        <v>22.425000000000001</v>
      </c>
      <c r="I495">
        <f t="shared" si="15"/>
        <v>1.1730205278592365E-2</v>
      </c>
    </row>
    <row r="496" spans="1:9" ht="15" customHeight="1" x14ac:dyDescent="0.2">
      <c r="A496" s="3">
        <v>45335</v>
      </c>
      <c r="B496" s="4">
        <v>22.164999999999999</v>
      </c>
      <c r="C496" s="4">
        <v>22.154</v>
      </c>
      <c r="D496" s="4">
        <v>22.16</v>
      </c>
      <c r="E496" s="4">
        <v>22.17</v>
      </c>
      <c r="F496" s="4">
        <v>78718</v>
      </c>
      <c r="G496" s="5">
        <v>90471</v>
      </c>
      <c r="H496" s="6">
        <f t="shared" si="14"/>
        <v>22.164999999999999</v>
      </c>
      <c r="I496">
        <f t="shared" si="15"/>
        <v>-2.592836739178217E-2</v>
      </c>
    </row>
    <row r="497" spans="1:9" ht="15" customHeight="1" x14ac:dyDescent="0.2">
      <c r="A497" s="7">
        <v>45334</v>
      </c>
      <c r="B497" s="8">
        <v>22.754999999999999</v>
      </c>
      <c r="C497" s="8">
        <v>22.766999999999999</v>
      </c>
      <c r="D497" s="8">
        <v>22.75</v>
      </c>
      <c r="E497" s="8">
        <v>22.76</v>
      </c>
      <c r="F497" s="8">
        <v>84559</v>
      </c>
      <c r="G497" s="9">
        <v>73387</v>
      </c>
      <c r="H497" s="6">
        <f t="shared" si="14"/>
        <v>22.755000000000003</v>
      </c>
      <c r="I497">
        <f t="shared" si="15"/>
        <v>3.7494486104985292E-3</v>
      </c>
    </row>
    <row r="498" spans="1:9" ht="15" customHeight="1" x14ac:dyDescent="0.2">
      <c r="A498" s="3">
        <v>45331</v>
      </c>
      <c r="B498" s="4">
        <v>22.67</v>
      </c>
      <c r="C498" s="4">
        <v>22.594000000000001</v>
      </c>
      <c r="D498" s="4">
        <v>22.664999999999999</v>
      </c>
      <c r="E498" s="4">
        <v>22.675000000000001</v>
      </c>
      <c r="F498" s="4">
        <v>90010</v>
      </c>
      <c r="G498" s="5">
        <v>47051</v>
      </c>
      <c r="H498" s="6">
        <f t="shared" si="14"/>
        <v>22.67</v>
      </c>
      <c r="I498">
        <f t="shared" si="15"/>
        <v>4.4130626654914629E-4</v>
      </c>
    </row>
    <row r="499" spans="1:9" ht="15" customHeight="1" x14ac:dyDescent="0.2">
      <c r="A499" s="7">
        <v>45330</v>
      </c>
      <c r="B499" s="8">
        <v>22.66</v>
      </c>
      <c r="C499" s="8">
        <v>22.635999999999999</v>
      </c>
      <c r="D499" s="8">
        <v>22.655000000000001</v>
      </c>
      <c r="E499" s="8">
        <v>22.664999999999999</v>
      </c>
      <c r="F499" s="8">
        <v>95074</v>
      </c>
      <c r="G499" s="9">
        <v>65811</v>
      </c>
      <c r="H499" s="6">
        <f t="shared" si="14"/>
        <v>22.66</v>
      </c>
      <c r="I499">
        <f t="shared" si="15"/>
        <v>1.6485365033082955E-2</v>
      </c>
    </row>
    <row r="500" spans="1:9" ht="15" customHeight="1" x14ac:dyDescent="0.2">
      <c r="A500" s="3">
        <v>45329</v>
      </c>
      <c r="B500" s="4">
        <v>22.295000000000002</v>
      </c>
      <c r="C500" s="4">
        <v>22.36</v>
      </c>
      <c r="D500" s="4">
        <v>22.29</v>
      </c>
      <c r="E500" s="4">
        <v>22.295000000000002</v>
      </c>
      <c r="F500" s="4">
        <v>98261</v>
      </c>
      <c r="G500" s="5">
        <v>55486</v>
      </c>
      <c r="H500" s="6">
        <f t="shared" si="14"/>
        <v>22.2925</v>
      </c>
      <c r="I500">
        <f t="shared" si="15"/>
        <v>-9.6623722789870303E-3</v>
      </c>
    </row>
    <row r="501" spans="1:9" ht="15" customHeight="1" x14ac:dyDescent="0.2">
      <c r="A501" s="7">
        <v>45328</v>
      </c>
      <c r="B501" s="8">
        <v>22.504999999999999</v>
      </c>
      <c r="C501" s="8">
        <v>22.478000000000002</v>
      </c>
      <c r="D501" s="8">
        <v>22.504999999999999</v>
      </c>
      <c r="E501" s="8">
        <v>22.515000000000001</v>
      </c>
      <c r="F501" s="8">
        <v>98552</v>
      </c>
      <c r="G501" s="9">
        <v>42414</v>
      </c>
      <c r="H501" s="6">
        <f t="shared" si="14"/>
        <v>22.509999999999998</v>
      </c>
      <c r="I501">
        <f t="shared" si="15"/>
        <v>3.2311977715877571E-3</v>
      </c>
    </row>
    <row r="502" spans="1:9" ht="15" customHeight="1" x14ac:dyDescent="0.2">
      <c r="A502" s="3">
        <v>45327</v>
      </c>
      <c r="B502" s="4">
        <v>22.434999999999999</v>
      </c>
      <c r="C502" s="4">
        <v>22.422000000000001</v>
      </c>
      <c r="D502" s="4">
        <v>22.434999999999999</v>
      </c>
      <c r="E502" s="4">
        <v>22.44</v>
      </c>
      <c r="F502" s="4">
        <v>95668</v>
      </c>
      <c r="G502" s="5">
        <v>53406</v>
      </c>
      <c r="H502" s="6">
        <f t="shared" si="14"/>
        <v>22.4375</v>
      </c>
      <c r="I502">
        <f t="shared" si="15"/>
        <v>-1.5359297860669252E-2</v>
      </c>
    </row>
    <row r="503" spans="1:9" ht="15" customHeight="1" x14ac:dyDescent="0.2">
      <c r="A503" s="7">
        <v>45324</v>
      </c>
      <c r="B503" s="8">
        <v>22.79</v>
      </c>
      <c r="C503" s="8">
        <v>22.795999999999999</v>
      </c>
      <c r="D503" s="8">
        <v>22.785</v>
      </c>
      <c r="E503" s="8">
        <v>22.79</v>
      </c>
      <c r="F503" s="8">
        <v>95637</v>
      </c>
      <c r="G503" s="9">
        <v>88374</v>
      </c>
      <c r="H503" s="6">
        <f t="shared" si="14"/>
        <v>22.787500000000001</v>
      </c>
      <c r="I503">
        <f t="shared" si="15"/>
        <v>-2.1470746108427252E-2</v>
      </c>
    </row>
    <row r="504" spans="1:9" ht="15" customHeight="1" x14ac:dyDescent="0.2">
      <c r="A504" s="3">
        <v>45323</v>
      </c>
      <c r="B504" s="4">
        <v>23.29</v>
      </c>
      <c r="C504" s="4">
        <v>23.236000000000001</v>
      </c>
      <c r="D504" s="4">
        <v>23.285</v>
      </c>
      <c r="E504" s="4">
        <v>23.29</v>
      </c>
      <c r="F504" s="4">
        <v>96487</v>
      </c>
      <c r="G504" s="5">
        <v>83589</v>
      </c>
      <c r="H504" s="6">
        <f t="shared" si="14"/>
        <v>23.287500000000001</v>
      </c>
      <c r="I504">
        <f t="shared" si="15"/>
        <v>1.0084580351333861E-2</v>
      </c>
    </row>
    <row r="505" spans="1:9" ht="15" customHeight="1" x14ac:dyDescent="0.2">
      <c r="A505" s="7">
        <v>45322</v>
      </c>
      <c r="B505" s="8">
        <v>23.06</v>
      </c>
      <c r="C505" s="8">
        <v>23.169</v>
      </c>
      <c r="D505" s="8">
        <v>23.05</v>
      </c>
      <c r="E505" s="8">
        <v>23.06</v>
      </c>
      <c r="F505" s="8">
        <v>97275</v>
      </c>
      <c r="G505" s="9">
        <v>65884</v>
      </c>
      <c r="H505" s="6">
        <f t="shared" si="14"/>
        <v>23.055</v>
      </c>
      <c r="I505">
        <f t="shared" si="15"/>
        <v>-1.0090167453842835E-2</v>
      </c>
    </row>
    <row r="506" spans="1:9" ht="15" customHeight="1" x14ac:dyDescent="0.2">
      <c r="A506" s="3">
        <v>45321</v>
      </c>
      <c r="B506" s="4">
        <v>23.29</v>
      </c>
      <c r="C506" s="4">
        <v>23.225000000000001</v>
      </c>
      <c r="D506" s="4">
        <v>23.285</v>
      </c>
      <c r="E506" s="4">
        <v>23.295000000000002</v>
      </c>
      <c r="F506" s="4">
        <v>99481</v>
      </c>
      <c r="G506" s="5">
        <v>52017</v>
      </c>
      <c r="H506" s="6">
        <f t="shared" si="14"/>
        <v>23.29</v>
      </c>
      <c r="I506">
        <f t="shared" si="15"/>
        <v>-1.2864493996569415E-3</v>
      </c>
    </row>
    <row r="507" spans="1:9" ht="15" customHeight="1" x14ac:dyDescent="0.2">
      <c r="A507" s="7">
        <v>45320</v>
      </c>
      <c r="B507" s="8">
        <v>23.324999999999999</v>
      </c>
      <c r="C507" s="8">
        <v>23.251000000000001</v>
      </c>
      <c r="D507" s="8">
        <v>23.315000000000001</v>
      </c>
      <c r="E507" s="8">
        <v>23.324999999999999</v>
      </c>
      <c r="F507" s="8">
        <v>100113</v>
      </c>
      <c r="G507" s="9">
        <v>59186</v>
      </c>
      <c r="H507" s="6">
        <f t="shared" si="14"/>
        <v>23.32</v>
      </c>
      <c r="I507">
        <f t="shared" si="15"/>
        <v>1.8118314778432509E-2</v>
      </c>
    </row>
    <row r="508" spans="1:9" ht="15" customHeight="1" x14ac:dyDescent="0.2">
      <c r="A508" s="3">
        <v>45317</v>
      </c>
      <c r="B508" s="4">
        <v>22.905000000000001</v>
      </c>
      <c r="C508" s="4">
        <v>22.872</v>
      </c>
      <c r="D508" s="4">
        <v>22.9</v>
      </c>
      <c r="E508" s="4">
        <v>22.91</v>
      </c>
      <c r="F508" s="4">
        <v>101349</v>
      </c>
      <c r="G508" s="5">
        <v>43458</v>
      </c>
      <c r="H508" s="6">
        <f t="shared" si="14"/>
        <v>22.905000000000001</v>
      </c>
      <c r="I508">
        <f t="shared" si="15"/>
        <v>-5.4277029960920764E-3</v>
      </c>
    </row>
    <row r="509" spans="1:9" ht="15" customHeight="1" x14ac:dyDescent="0.2">
      <c r="A509" s="7">
        <v>45316</v>
      </c>
      <c r="B509" s="8">
        <v>23.03</v>
      </c>
      <c r="C509" s="8">
        <v>22.927</v>
      </c>
      <c r="D509" s="8">
        <v>23.024999999999999</v>
      </c>
      <c r="E509" s="8">
        <v>23.035</v>
      </c>
      <c r="F509" s="8">
        <v>103323</v>
      </c>
      <c r="G509" s="9">
        <v>55563</v>
      </c>
      <c r="H509" s="6">
        <f t="shared" si="14"/>
        <v>23.03</v>
      </c>
      <c r="I509">
        <f t="shared" si="15"/>
        <v>1.008771929824559E-2</v>
      </c>
    </row>
    <row r="510" spans="1:9" ht="15" customHeight="1" x14ac:dyDescent="0.2">
      <c r="A510" s="3">
        <v>45315</v>
      </c>
      <c r="B510" s="4">
        <v>22.805</v>
      </c>
      <c r="C510" s="4">
        <v>22.888999999999999</v>
      </c>
      <c r="D510" s="4">
        <v>22.795000000000002</v>
      </c>
      <c r="E510" s="4">
        <v>22.805</v>
      </c>
      <c r="F510" s="4">
        <v>105088</v>
      </c>
      <c r="G510" s="5">
        <v>75733</v>
      </c>
      <c r="H510" s="6">
        <f t="shared" si="14"/>
        <v>22.8</v>
      </c>
      <c r="I510">
        <f t="shared" si="15"/>
        <v>1.0190518387239722E-2</v>
      </c>
    </row>
    <row r="511" spans="1:9" ht="15" customHeight="1" x14ac:dyDescent="0.2">
      <c r="A511" s="7">
        <v>45314</v>
      </c>
      <c r="B511" s="8">
        <v>22.574999999999999</v>
      </c>
      <c r="C511" s="8">
        <v>22.462</v>
      </c>
      <c r="D511" s="8">
        <v>22.565000000000001</v>
      </c>
      <c r="E511" s="8">
        <v>22.574999999999999</v>
      </c>
      <c r="F511" s="8">
        <v>105961</v>
      </c>
      <c r="G511" s="9">
        <v>48175</v>
      </c>
      <c r="H511" s="6">
        <f t="shared" si="14"/>
        <v>22.57</v>
      </c>
      <c r="I511">
        <f t="shared" si="15"/>
        <v>1.6437739247917138E-2</v>
      </c>
    </row>
    <row r="512" spans="1:9" ht="15" customHeight="1" x14ac:dyDescent="0.2">
      <c r="A512" s="3">
        <v>45313</v>
      </c>
      <c r="B512" s="4">
        <v>22.204999999999998</v>
      </c>
      <c r="C512" s="4">
        <v>22.295999999999999</v>
      </c>
      <c r="D512" s="4">
        <v>22.2</v>
      </c>
      <c r="E512" s="4">
        <v>22.21</v>
      </c>
      <c r="F512" s="4">
        <v>103876</v>
      </c>
      <c r="G512" s="5">
        <v>72128</v>
      </c>
      <c r="H512" s="6">
        <f t="shared" si="14"/>
        <v>22.204999999999998</v>
      </c>
      <c r="I512">
        <f t="shared" si="15"/>
        <v>-2.3956043956044004E-2</v>
      </c>
    </row>
    <row r="513" spans="1:9" ht="15" customHeight="1" x14ac:dyDescent="0.2">
      <c r="A513" s="7">
        <v>45310</v>
      </c>
      <c r="B513" s="8">
        <v>22.75</v>
      </c>
      <c r="C513" s="8">
        <v>22.710999999999999</v>
      </c>
      <c r="D513" s="8">
        <v>22.745000000000001</v>
      </c>
      <c r="E513" s="8">
        <v>22.754999999999999</v>
      </c>
      <c r="F513" s="8">
        <v>102195</v>
      </c>
      <c r="G513" s="9">
        <v>40328</v>
      </c>
      <c r="H513" s="6">
        <f t="shared" si="14"/>
        <v>22.75</v>
      </c>
      <c r="I513">
        <f t="shared" si="15"/>
        <v>-5.8990605199912283E-3</v>
      </c>
    </row>
    <row r="514" spans="1:9" ht="15" customHeight="1" x14ac:dyDescent="0.2">
      <c r="A514" s="3">
        <v>45309</v>
      </c>
      <c r="B514" s="4">
        <v>22.88</v>
      </c>
      <c r="C514" s="4">
        <v>22.806999999999999</v>
      </c>
      <c r="D514" s="4">
        <v>22.88</v>
      </c>
      <c r="E514" s="4">
        <v>22.89</v>
      </c>
      <c r="F514" s="4">
        <v>102037</v>
      </c>
      <c r="G514" s="5">
        <v>45111</v>
      </c>
      <c r="H514" s="6">
        <f t="shared" si="14"/>
        <v>22.884999999999998</v>
      </c>
      <c r="I514">
        <f t="shared" si="15"/>
        <v>7.5949367088608E-3</v>
      </c>
    </row>
    <row r="515" spans="1:9" ht="15" customHeight="1" x14ac:dyDescent="0.2">
      <c r="A515" s="7">
        <v>45308</v>
      </c>
      <c r="B515" s="8">
        <v>22.71</v>
      </c>
      <c r="C515" s="8">
        <v>22.669</v>
      </c>
      <c r="D515" s="8">
        <v>22.71</v>
      </c>
      <c r="E515" s="8">
        <v>22.715</v>
      </c>
      <c r="F515" s="8">
        <v>101956</v>
      </c>
      <c r="G515" s="9">
        <v>50602</v>
      </c>
      <c r="H515" s="6">
        <f t="shared" si="14"/>
        <v>22.712499999999999</v>
      </c>
      <c r="I515">
        <f t="shared" si="15"/>
        <v>-1.6242555495397992E-2</v>
      </c>
    </row>
    <row r="516" spans="1:9" ht="15" customHeight="1" x14ac:dyDescent="0.2">
      <c r="A516" s="3">
        <v>45307</v>
      </c>
      <c r="B516" s="4">
        <v>23.085000000000001</v>
      </c>
      <c r="C516" s="4">
        <v>23.093</v>
      </c>
      <c r="D516" s="4">
        <v>23.085000000000001</v>
      </c>
      <c r="E516" s="4">
        <v>23.09</v>
      </c>
      <c r="F516" s="4">
        <v>102831</v>
      </c>
      <c r="G516" s="5">
        <v>60349</v>
      </c>
      <c r="H516" s="6">
        <f t="shared" si="14"/>
        <v>23.087499999999999</v>
      </c>
      <c r="I516">
        <f t="shared" si="15"/>
        <v>-1.1665239726027399E-2</v>
      </c>
    </row>
    <row r="517" spans="1:9" ht="15" customHeight="1" x14ac:dyDescent="0.2">
      <c r="A517" s="7">
        <v>45303</v>
      </c>
      <c r="B517" s="8">
        <v>23.36</v>
      </c>
      <c r="C517" s="8">
        <v>23.329000000000001</v>
      </c>
      <c r="D517" s="8">
        <v>23.355</v>
      </c>
      <c r="E517" s="8">
        <v>23.364999999999998</v>
      </c>
      <c r="F517" s="8">
        <v>105034</v>
      </c>
      <c r="G517" s="9">
        <v>70306</v>
      </c>
      <c r="H517" s="6">
        <f t="shared" ref="H517:H580" si="16">AVERAGE(D517:E517)</f>
        <v>23.36</v>
      </c>
      <c r="I517">
        <f t="shared" ref="I517:I580" si="17">H517/H518-1</f>
        <v>1.9642077695329441E-2</v>
      </c>
    </row>
    <row r="518" spans="1:9" ht="15" customHeight="1" x14ac:dyDescent="0.2">
      <c r="A518" s="3">
        <v>45302</v>
      </c>
      <c r="B518" s="4">
        <v>22.91</v>
      </c>
      <c r="C518" s="4">
        <v>22.704999999999998</v>
      </c>
      <c r="D518" s="4">
        <v>22.905000000000001</v>
      </c>
      <c r="E518" s="4">
        <v>22.914999999999999</v>
      </c>
      <c r="F518" s="4">
        <v>103351</v>
      </c>
      <c r="G518" s="5">
        <v>78484</v>
      </c>
      <c r="H518" s="6">
        <f t="shared" si="16"/>
        <v>22.91</v>
      </c>
      <c r="I518">
        <f t="shared" si="17"/>
        <v>-7.4731939781219614E-3</v>
      </c>
    </row>
    <row r="519" spans="1:9" ht="15" customHeight="1" x14ac:dyDescent="0.2">
      <c r="A519" s="7">
        <v>45301</v>
      </c>
      <c r="B519" s="8">
        <v>23.085000000000001</v>
      </c>
      <c r="C519" s="8">
        <v>23.065999999999999</v>
      </c>
      <c r="D519" s="8">
        <v>23.08</v>
      </c>
      <c r="E519" s="8">
        <v>23.085000000000001</v>
      </c>
      <c r="F519" s="8">
        <v>104480</v>
      </c>
      <c r="G519" s="9">
        <v>41065</v>
      </c>
      <c r="H519" s="6">
        <f t="shared" si="16"/>
        <v>23.0825</v>
      </c>
      <c r="I519">
        <f t="shared" si="17"/>
        <v>-3.4538586076633404E-3</v>
      </c>
    </row>
    <row r="520" spans="1:9" ht="15" customHeight="1" x14ac:dyDescent="0.2">
      <c r="A520" s="3">
        <v>45300</v>
      </c>
      <c r="B520" s="4">
        <v>23.164999999999999</v>
      </c>
      <c r="C520" s="4">
        <v>23.091000000000001</v>
      </c>
      <c r="D520" s="4">
        <v>23.16</v>
      </c>
      <c r="E520" s="4">
        <v>23.164999999999999</v>
      </c>
      <c r="F520" s="4">
        <v>104463</v>
      </c>
      <c r="G520" s="5">
        <v>41534</v>
      </c>
      <c r="H520" s="6">
        <f t="shared" si="16"/>
        <v>23.162500000000001</v>
      </c>
      <c r="I520">
        <f t="shared" si="17"/>
        <v>-6.1145676893369361E-3</v>
      </c>
    </row>
    <row r="521" spans="1:9" ht="15" customHeight="1" x14ac:dyDescent="0.2">
      <c r="A521" s="7">
        <v>45299</v>
      </c>
      <c r="B521" s="8">
        <v>23.31</v>
      </c>
      <c r="C521" s="8">
        <v>23.31</v>
      </c>
      <c r="D521" s="8">
        <v>23.3</v>
      </c>
      <c r="E521" s="8">
        <v>23.31</v>
      </c>
      <c r="F521" s="8">
        <v>105500</v>
      </c>
      <c r="G521" s="9">
        <v>45241</v>
      </c>
      <c r="H521" s="6">
        <f t="shared" si="16"/>
        <v>23.305</v>
      </c>
      <c r="I521">
        <f t="shared" si="17"/>
        <v>-3.4209963651913311E-3</v>
      </c>
    </row>
    <row r="522" spans="1:9" ht="15" customHeight="1" x14ac:dyDescent="0.2">
      <c r="A522" s="3">
        <v>45296</v>
      </c>
      <c r="B522" s="4">
        <v>23.385000000000002</v>
      </c>
      <c r="C522" s="4">
        <v>23.315000000000001</v>
      </c>
      <c r="D522" s="4">
        <v>23.38</v>
      </c>
      <c r="E522" s="4">
        <v>23.39</v>
      </c>
      <c r="F522" s="4">
        <v>107600</v>
      </c>
      <c r="G522" s="5">
        <v>60321</v>
      </c>
      <c r="H522" s="6">
        <f t="shared" si="16"/>
        <v>23.384999999999998</v>
      </c>
      <c r="I522">
        <f t="shared" si="17"/>
        <v>7.8655317314944018E-3</v>
      </c>
    </row>
    <row r="523" spans="1:9" ht="15" customHeight="1" x14ac:dyDescent="0.2">
      <c r="A523" s="7">
        <v>45295</v>
      </c>
      <c r="B523" s="8">
        <v>23.2</v>
      </c>
      <c r="C523" s="8">
        <v>23.187000000000001</v>
      </c>
      <c r="D523" s="8">
        <v>23.2</v>
      </c>
      <c r="E523" s="8">
        <v>23.204999999999998</v>
      </c>
      <c r="F523" s="8">
        <v>110612</v>
      </c>
      <c r="G523" s="9">
        <v>50503</v>
      </c>
      <c r="H523" s="6">
        <f t="shared" si="16"/>
        <v>23.202500000000001</v>
      </c>
      <c r="I523">
        <f t="shared" si="17"/>
        <v>1.0775862068967967E-4</v>
      </c>
    </row>
    <row r="524" spans="1:9" ht="15" customHeight="1" x14ac:dyDescent="0.2">
      <c r="A524" s="3">
        <v>45294</v>
      </c>
      <c r="B524" s="4">
        <v>23.2</v>
      </c>
      <c r="C524" s="4">
        <v>23.157</v>
      </c>
      <c r="D524" s="4">
        <v>23.195</v>
      </c>
      <c r="E524" s="4">
        <v>23.204999999999998</v>
      </c>
      <c r="F524" s="4">
        <v>110528</v>
      </c>
      <c r="G524" s="5">
        <v>82186</v>
      </c>
      <c r="H524" s="6">
        <f t="shared" si="16"/>
        <v>23.2</v>
      </c>
      <c r="I524">
        <f t="shared" si="17"/>
        <v>-2.8780743066457504E-2</v>
      </c>
    </row>
    <row r="525" spans="1:9" ht="15" customHeight="1" x14ac:dyDescent="0.2">
      <c r="A525" s="7">
        <v>45293</v>
      </c>
      <c r="B525" s="8">
        <v>23.89</v>
      </c>
      <c r="C525" s="8">
        <v>23.952999999999999</v>
      </c>
      <c r="D525" s="8">
        <v>23.885000000000002</v>
      </c>
      <c r="E525" s="8">
        <v>23.89</v>
      </c>
      <c r="F525" s="8">
        <v>110819</v>
      </c>
      <c r="G525" s="9">
        <v>45478</v>
      </c>
      <c r="H525" s="6">
        <f t="shared" si="16"/>
        <v>23.887500000000003</v>
      </c>
      <c r="I525">
        <f t="shared" si="17"/>
        <v>-5.7232049947969488E-3</v>
      </c>
    </row>
    <row r="526" spans="1:9" ht="15" customHeight="1" x14ac:dyDescent="0.2">
      <c r="A526" s="3">
        <v>45289</v>
      </c>
      <c r="B526" s="4">
        <v>24.024999999999999</v>
      </c>
      <c r="C526" s="4">
        <v>24.085999999999999</v>
      </c>
      <c r="D526" s="4">
        <v>24.02</v>
      </c>
      <c r="E526" s="4">
        <v>24.03</v>
      </c>
      <c r="F526" s="4">
        <v>111120</v>
      </c>
      <c r="G526" s="5">
        <v>45455</v>
      </c>
      <c r="H526" s="6">
        <f t="shared" si="16"/>
        <v>24.024999999999999</v>
      </c>
      <c r="I526">
        <f t="shared" si="17"/>
        <v>-8.4605860503508268E-3</v>
      </c>
    </row>
    <row r="527" spans="1:9" ht="15" customHeight="1" x14ac:dyDescent="0.2">
      <c r="A527" s="7">
        <v>45288</v>
      </c>
      <c r="B527" s="8">
        <v>24.234999999999999</v>
      </c>
      <c r="C527" s="8">
        <v>24.372</v>
      </c>
      <c r="D527" s="8">
        <v>24.225000000000001</v>
      </c>
      <c r="E527" s="8">
        <v>24.234999999999999</v>
      </c>
      <c r="F527" s="8">
        <v>110408</v>
      </c>
      <c r="G527" s="9">
        <v>35081</v>
      </c>
      <c r="H527" s="6">
        <f t="shared" si="16"/>
        <v>24.23</v>
      </c>
      <c r="I527">
        <f t="shared" si="17"/>
        <v>-1.2934107342906564E-2</v>
      </c>
    </row>
    <row r="528" spans="1:9" ht="15" customHeight="1" x14ac:dyDescent="0.2">
      <c r="A528" s="3">
        <v>45287</v>
      </c>
      <c r="B528" s="4">
        <v>24.545000000000002</v>
      </c>
      <c r="C528" s="4">
        <v>24.640999999999998</v>
      </c>
      <c r="D528" s="4">
        <v>24.545000000000002</v>
      </c>
      <c r="E528" s="4">
        <v>24.55</v>
      </c>
      <c r="F528" s="4">
        <v>108928</v>
      </c>
      <c r="G528" s="5">
        <v>42321</v>
      </c>
      <c r="H528" s="6">
        <f t="shared" si="16"/>
        <v>24.547499999999999</v>
      </c>
      <c r="I528">
        <f t="shared" si="17"/>
        <v>1.9387755102040494E-3</v>
      </c>
    </row>
    <row r="529" spans="1:9" ht="15" customHeight="1" x14ac:dyDescent="0.2">
      <c r="A529" s="7">
        <v>45286</v>
      </c>
      <c r="B529" s="8">
        <v>24.5</v>
      </c>
      <c r="C529" s="8">
        <v>24.396000000000001</v>
      </c>
      <c r="D529" s="8">
        <v>24.495000000000001</v>
      </c>
      <c r="E529" s="8">
        <v>24.504999999999999</v>
      </c>
      <c r="F529" s="8">
        <v>108607</v>
      </c>
      <c r="G529" s="9">
        <v>27003</v>
      </c>
      <c r="H529" s="6">
        <f t="shared" si="16"/>
        <v>24.5</v>
      </c>
      <c r="I529">
        <f t="shared" si="17"/>
        <v>1.0214504596526286E-3</v>
      </c>
    </row>
    <row r="530" spans="1:9" ht="15" customHeight="1" x14ac:dyDescent="0.2">
      <c r="A530" s="3">
        <v>45282</v>
      </c>
      <c r="B530" s="4">
        <v>24.47</v>
      </c>
      <c r="C530" s="4">
        <v>24.565000000000001</v>
      </c>
      <c r="D530" s="4">
        <v>24.47</v>
      </c>
      <c r="E530" s="4">
        <v>24.48</v>
      </c>
      <c r="F530" s="4">
        <v>108212</v>
      </c>
      <c r="G530" s="5">
        <v>47671</v>
      </c>
      <c r="H530" s="6">
        <f t="shared" si="16"/>
        <v>24.475000000000001</v>
      </c>
      <c r="I530">
        <f t="shared" si="17"/>
        <v>-9.1093117408905799E-3</v>
      </c>
    </row>
    <row r="531" spans="1:9" ht="15" customHeight="1" x14ac:dyDescent="0.2">
      <c r="A531" s="7">
        <v>45281</v>
      </c>
      <c r="B531" s="8">
        <v>24.704999999999998</v>
      </c>
      <c r="C531" s="8">
        <v>24.585000000000001</v>
      </c>
      <c r="D531" s="8">
        <v>24.695</v>
      </c>
      <c r="E531" s="8">
        <v>24.704999999999998</v>
      </c>
      <c r="F531" s="8">
        <v>107663</v>
      </c>
      <c r="G531" s="9">
        <v>45075</v>
      </c>
      <c r="H531" s="6">
        <f t="shared" si="16"/>
        <v>24.7</v>
      </c>
      <c r="I531">
        <f t="shared" si="17"/>
        <v>1.0018401144960221E-2</v>
      </c>
    </row>
    <row r="532" spans="1:9" ht="15" customHeight="1" x14ac:dyDescent="0.2">
      <c r="A532" s="3">
        <v>45280</v>
      </c>
      <c r="B532" s="4">
        <v>24.454999999999998</v>
      </c>
      <c r="C532" s="4">
        <v>24.631</v>
      </c>
      <c r="D532" s="4">
        <v>24.45</v>
      </c>
      <c r="E532" s="4">
        <v>24.46</v>
      </c>
      <c r="F532" s="4">
        <v>105580</v>
      </c>
      <c r="G532" s="5">
        <v>45871</v>
      </c>
      <c r="H532" s="6">
        <f t="shared" si="16"/>
        <v>24.454999999999998</v>
      </c>
      <c r="I532">
        <f t="shared" si="17"/>
        <v>4.3121149897329403E-3</v>
      </c>
    </row>
    <row r="533" spans="1:9" ht="15" customHeight="1" x14ac:dyDescent="0.2">
      <c r="A533" s="7">
        <v>45279</v>
      </c>
      <c r="B533" s="8">
        <v>24.355</v>
      </c>
      <c r="C533" s="8">
        <v>24.321000000000002</v>
      </c>
      <c r="D533" s="8">
        <v>24.344999999999999</v>
      </c>
      <c r="E533" s="8">
        <v>24.355</v>
      </c>
      <c r="F533" s="8">
        <v>105140</v>
      </c>
      <c r="G533" s="9">
        <v>36943</v>
      </c>
      <c r="H533" s="6">
        <f t="shared" si="16"/>
        <v>24.35</v>
      </c>
      <c r="I533">
        <f t="shared" si="17"/>
        <v>1.0163866417755685E-2</v>
      </c>
    </row>
    <row r="534" spans="1:9" ht="15" customHeight="1" x14ac:dyDescent="0.2">
      <c r="A534" s="3">
        <v>45278</v>
      </c>
      <c r="B534" s="4">
        <v>24.11</v>
      </c>
      <c r="C534" s="4">
        <v>24.106999999999999</v>
      </c>
      <c r="D534" s="4">
        <v>24.1</v>
      </c>
      <c r="E534" s="4">
        <v>24.11</v>
      </c>
      <c r="F534" s="4">
        <v>105939</v>
      </c>
      <c r="G534" s="5">
        <v>41128</v>
      </c>
      <c r="H534" s="6">
        <f t="shared" si="16"/>
        <v>24.105</v>
      </c>
      <c r="I534">
        <f t="shared" si="17"/>
        <v>-2.7924294135898142E-3</v>
      </c>
    </row>
    <row r="535" spans="1:9" ht="15" customHeight="1" x14ac:dyDescent="0.2">
      <c r="A535" s="7">
        <v>45275</v>
      </c>
      <c r="B535" s="8">
        <v>24.17</v>
      </c>
      <c r="C535" s="8">
        <v>24.154</v>
      </c>
      <c r="D535" s="8">
        <v>24.17</v>
      </c>
      <c r="E535" s="8">
        <v>24.175000000000001</v>
      </c>
      <c r="F535" s="8">
        <v>106804</v>
      </c>
      <c r="G535" s="9">
        <v>55983</v>
      </c>
      <c r="H535" s="6">
        <f t="shared" si="16"/>
        <v>24.172499999999999</v>
      </c>
      <c r="I535">
        <f t="shared" si="17"/>
        <v>-1.2157744176542695E-2</v>
      </c>
    </row>
    <row r="536" spans="1:9" ht="15" customHeight="1" x14ac:dyDescent="0.2">
      <c r="A536" s="3">
        <v>45274</v>
      </c>
      <c r="B536" s="4">
        <v>24.47</v>
      </c>
      <c r="C536" s="4">
        <v>24.385999999999999</v>
      </c>
      <c r="D536" s="4">
        <v>24.465</v>
      </c>
      <c r="E536" s="4">
        <v>24.475000000000001</v>
      </c>
      <c r="F536" s="4">
        <v>111372</v>
      </c>
      <c r="G536" s="5">
        <v>93478</v>
      </c>
      <c r="H536" s="6">
        <f t="shared" si="16"/>
        <v>24.47</v>
      </c>
      <c r="I536">
        <f t="shared" si="17"/>
        <v>1.4615942780138891E-2</v>
      </c>
    </row>
    <row r="537" spans="1:9" ht="15" customHeight="1" x14ac:dyDescent="0.2">
      <c r="A537" s="7">
        <v>45273</v>
      </c>
      <c r="B537" s="8">
        <v>24.114999999999998</v>
      </c>
      <c r="C537" s="8">
        <v>22.920999999999999</v>
      </c>
      <c r="D537" s="8">
        <v>24.11</v>
      </c>
      <c r="E537" s="8">
        <v>24.125</v>
      </c>
      <c r="F537" s="8">
        <v>112168</v>
      </c>
      <c r="G537" s="9">
        <v>77775</v>
      </c>
      <c r="H537" s="6">
        <f t="shared" si="16"/>
        <v>24.1175</v>
      </c>
      <c r="I537">
        <f t="shared" si="17"/>
        <v>4.5858629661751804E-2</v>
      </c>
    </row>
    <row r="538" spans="1:9" ht="15" customHeight="1" x14ac:dyDescent="0.2">
      <c r="A538" s="3">
        <v>45272</v>
      </c>
      <c r="B538" s="4">
        <v>23.065000000000001</v>
      </c>
      <c r="C538" s="4">
        <v>23.015999999999998</v>
      </c>
      <c r="D538" s="4">
        <v>23.055</v>
      </c>
      <c r="E538" s="4">
        <v>23.065000000000001</v>
      </c>
      <c r="F538" s="4">
        <v>112150</v>
      </c>
      <c r="G538" s="5">
        <v>54186</v>
      </c>
      <c r="H538" s="6">
        <f t="shared" si="16"/>
        <v>23.060000000000002</v>
      </c>
      <c r="I538">
        <f t="shared" si="17"/>
        <v>-2.8108108108106933E-3</v>
      </c>
    </row>
    <row r="539" spans="1:9" ht="15" customHeight="1" x14ac:dyDescent="0.2">
      <c r="A539" s="7">
        <v>45271</v>
      </c>
      <c r="B539" s="8">
        <v>23.13</v>
      </c>
      <c r="C539" s="8">
        <v>23.058</v>
      </c>
      <c r="D539" s="8">
        <v>23.12</v>
      </c>
      <c r="E539" s="8">
        <v>23.13</v>
      </c>
      <c r="F539" s="8">
        <v>115534</v>
      </c>
      <c r="G539" s="9">
        <v>54773</v>
      </c>
      <c r="H539" s="6">
        <f t="shared" si="16"/>
        <v>23.125</v>
      </c>
      <c r="I539">
        <f t="shared" si="17"/>
        <v>-7.2977033698219396E-3</v>
      </c>
    </row>
    <row r="540" spans="1:9" ht="15" customHeight="1" x14ac:dyDescent="0.2">
      <c r="A540" s="3">
        <v>45268</v>
      </c>
      <c r="B540" s="4">
        <v>23.29</v>
      </c>
      <c r="C540" s="4">
        <v>23.276</v>
      </c>
      <c r="D540" s="4">
        <v>23.29</v>
      </c>
      <c r="E540" s="4">
        <v>23.3</v>
      </c>
      <c r="F540" s="4">
        <v>116426</v>
      </c>
      <c r="G540" s="5">
        <v>83188</v>
      </c>
      <c r="H540" s="6">
        <f t="shared" si="16"/>
        <v>23.295000000000002</v>
      </c>
      <c r="I540">
        <f t="shared" si="17"/>
        <v>-3.4404145077720161E-2</v>
      </c>
    </row>
    <row r="541" spans="1:9" ht="15" customHeight="1" x14ac:dyDescent="0.2">
      <c r="A541" s="7">
        <v>45267</v>
      </c>
      <c r="B541" s="8">
        <v>24.125</v>
      </c>
      <c r="C541" s="8">
        <v>24.059000000000001</v>
      </c>
      <c r="D541" s="8">
        <v>24.12</v>
      </c>
      <c r="E541" s="8">
        <v>24.13</v>
      </c>
      <c r="F541" s="8">
        <v>119379</v>
      </c>
      <c r="G541" s="9">
        <v>56304</v>
      </c>
      <c r="H541" s="6">
        <f t="shared" si="16"/>
        <v>24.125</v>
      </c>
      <c r="I541">
        <f t="shared" si="17"/>
        <v>-4.5388900350732397E-3</v>
      </c>
    </row>
    <row r="542" spans="1:9" ht="15" customHeight="1" x14ac:dyDescent="0.2">
      <c r="A542" s="3">
        <v>45266</v>
      </c>
      <c r="B542" s="4">
        <v>24.234999999999999</v>
      </c>
      <c r="C542" s="4">
        <v>24.228000000000002</v>
      </c>
      <c r="D542" s="4">
        <v>24.23</v>
      </c>
      <c r="E542" s="4">
        <v>24.24</v>
      </c>
      <c r="F542" s="4">
        <v>120402</v>
      </c>
      <c r="G542" s="5">
        <v>57163</v>
      </c>
      <c r="H542" s="6">
        <f t="shared" si="16"/>
        <v>24.234999999999999</v>
      </c>
      <c r="I542">
        <f t="shared" si="17"/>
        <v>-1.2026090501426889E-2</v>
      </c>
    </row>
    <row r="543" spans="1:9" ht="15" customHeight="1" x14ac:dyDescent="0.2">
      <c r="A543" s="7">
        <v>45265</v>
      </c>
      <c r="B543" s="8">
        <v>24.524999999999999</v>
      </c>
      <c r="C543" s="8">
        <v>24.545999999999999</v>
      </c>
      <c r="D543" s="8">
        <v>24.524999999999999</v>
      </c>
      <c r="E543" s="8">
        <v>24.535</v>
      </c>
      <c r="F543" s="8">
        <v>123759</v>
      </c>
      <c r="G543" s="9">
        <v>73616</v>
      </c>
      <c r="H543" s="6">
        <f t="shared" si="16"/>
        <v>24.53</v>
      </c>
      <c r="I543">
        <f t="shared" si="17"/>
        <v>-1.4661578630246974E-2</v>
      </c>
    </row>
    <row r="544" spans="1:9" ht="15" customHeight="1" x14ac:dyDescent="0.2">
      <c r="A544" s="3">
        <v>45264</v>
      </c>
      <c r="B544" s="4">
        <v>24.895</v>
      </c>
      <c r="C544" s="4">
        <v>24.907</v>
      </c>
      <c r="D544" s="4">
        <v>24.89</v>
      </c>
      <c r="E544" s="4">
        <v>24.9</v>
      </c>
      <c r="F544" s="4">
        <v>126340</v>
      </c>
      <c r="G544" s="5">
        <v>110364</v>
      </c>
      <c r="H544" s="6">
        <f t="shared" si="16"/>
        <v>24.895</v>
      </c>
      <c r="I544">
        <f t="shared" si="17"/>
        <v>-3.8710300222029148E-2</v>
      </c>
    </row>
    <row r="545" spans="1:9" ht="15" customHeight="1" x14ac:dyDescent="0.2">
      <c r="A545" s="7">
        <v>45261</v>
      </c>
      <c r="B545" s="8">
        <v>25.895</v>
      </c>
      <c r="C545" s="8">
        <v>25.856999999999999</v>
      </c>
      <c r="D545" s="8">
        <v>25.89</v>
      </c>
      <c r="E545" s="8">
        <v>25.905000000000001</v>
      </c>
      <c r="F545" s="8">
        <v>123500</v>
      </c>
      <c r="G545" s="9">
        <v>68016</v>
      </c>
      <c r="H545" s="6">
        <f t="shared" si="16"/>
        <v>25.897500000000001</v>
      </c>
      <c r="I545">
        <f t="shared" si="17"/>
        <v>8.2733112711699253E-3</v>
      </c>
    </row>
    <row r="546" spans="1:9" ht="15" customHeight="1" x14ac:dyDescent="0.2">
      <c r="A546" s="3">
        <v>45260</v>
      </c>
      <c r="B546" s="4">
        <v>25.684999999999999</v>
      </c>
      <c r="C546" s="4">
        <v>25.66</v>
      </c>
      <c r="D546" s="4">
        <v>25.68</v>
      </c>
      <c r="E546" s="4">
        <v>25.69</v>
      </c>
      <c r="F546" s="4">
        <v>123814</v>
      </c>
      <c r="G546" s="5">
        <v>49428</v>
      </c>
      <c r="H546" s="6">
        <f t="shared" si="16"/>
        <v>25.685000000000002</v>
      </c>
      <c r="I546">
        <f t="shared" si="17"/>
        <v>1.0126831186707319E-2</v>
      </c>
    </row>
    <row r="547" spans="1:9" ht="15" customHeight="1" x14ac:dyDescent="0.2">
      <c r="A547" s="7">
        <v>45259</v>
      </c>
      <c r="B547" s="8">
        <v>25.425000000000001</v>
      </c>
      <c r="C547" s="8">
        <v>25.443000000000001</v>
      </c>
      <c r="D547" s="8">
        <v>25.425000000000001</v>
      </c>
      <c r="E547" s="8">
        <v>25.43</v>
      </c>
      <c r="F547" s="8">
        <v>115630</v>
      </c>
      <c r="G547" s="9">
        <v>65823</v>
      </c>
      <c r="H547" s="6">
        <f t="shared" si="16"/>
        <v>25.427500000000002</v>
      </c>
      <c r="I547">
        <f t="shared" si="17"/>
        <v>1.9751353519150028E-2</v>
      </c>
    </row>
    <row r="548" spans="1:9" ht="15" customHeight="1" x14ac:dyDescent="0.2">
      <c r="A548" s="3">
        <v>45258</v>
      </c>
      <c r="B548" s="4">
        <v>25.045000000000002</v>
      </c>
      <c r="C548" s="4">
        <v>24.934999999999999</v>
      </c>
      <c r="D548" s="4">
        <v>24.79</v>
      </c>
      <c r="E548" s="4">
        <v>25.08</v>
      </c>
      <c r="F548" s="4">
        <v>20757</v>
      </c>
      <c r="G548" s="5">
        <v>58995</v>
      </c>
      <c r="H548" s="6">
        <f t="shared" si="16"/>
        <v>24.934999999999999</v>
      </c>
      <c r="I548">
        <f t="shared" si="17"/>
        <v>9.7185665114394304E-3</v>
      </c>
    </row>
    <row r="549" spans="1:9" ht="15" customHeight="1" x14ac:dyDescent="0.2">
      <c r="A549" s="7">
        <v>45257</v>
      </c>
      <c r="B549" s="8">
        <v>24.69</v>
      </c>
      <c r="C549" s="8">
        <v>24.681000000000001</v>
      </c>
      <c r="D549" s="8">
        <v>24.69</v>
      </c>
      <c r="E549" s="8">
        <v>24.7</v>
      </c>
      <c r="F549" s="8">
        <v>31037</v>
      </c>
      <c r="G549" s="9">
        <v>76442</v>
      </c>
      <c r="H549" s="6">
        <f t="shared" si="16"/>
        <v>24.695</v>
      </c>
      <c r="I549">
        <f t="shared" si="17"/>
        <v>1.2712733237646212E-2</v>
      </c>
    </row>
    <row r="550" spans="1:9" ht="15" customHeight="1" x14ac:dyDescent="0.2">
      <c r="A550" s="3">
        <v>45254</v>
      </c>
      <c r="B550" s="4">
        <v>24.385000000000002</v>
      </c>
      <c r="C550" s="4">
        <v>24.341000000000001</v>
      </c>
      <c r="D550" s="4">
        <v>24.38</v>
      </c>
      <c r="E550" s="4">
        <v>24.39</v>
      </c>
      <c r="F550" s="4">
        <v>35259</v>
      </c>
      <c r="G550" s="5">
        <v>64721.999999999898</v>
      </c>
      <c r="H550" s="6">
        <f t="shared" si="16"/>
        <v>24.384999999999998</v>
      </c>
      <c r="I550">
        <f t="shared" si="17"/>
        <v>2.9554570403208524E-2</v>
      </c>
    </row>
    <row r="551" spans="1:9" ht="15" customHeight="1" x14ac:dyDescent="0.2">
      <c r="A551" s="7">
        <v>45252</v>
      </c>
      <c r="B551" s="8">
        <v>23.68</v>
      </c>
      <c r="C551" s="8">
        <v>23.687999999999999</v>
      </c>
      <c r="D551" s="8">
        <v>23.68</v>
      </c>
      <c r="E551" s="8">
        <v>23.69</v>
      </c>
      <c r="F551" s="8">
        <v>43196</v>
      </c>
      <c r="G551" s="9">
        <v>53272</v>
      </c>
      <c r="H551" s="6">
        <f t="shared" si="16"/>
        <v>23.685000000000002</v>
      </c>
      <c r="I551">
        <f t="shared" si="17"/>
        <v>-4.8319327731092265E-3</v>
      </c>
    </row>
    <row r="552" spans="1:9" ht="15" customHeight="1" x14ac:dyDescent="0.2">
      <c r="A552" s="3">
        <v>45251</v>
      </c>
      <c r="B552" s="4">
        <v>23.8</v>
      </c>
      <c r="C552" s="4">
        <v>23.869</v>
      </c>
      <c r="D552" s="4">
        <v>23.795000000000002</v>
      </c>
      <c r="E552" s="4">
        <v>23.805</v>
      </c>
      <c r="F552" s="4">
        <v>49626</v>
      </c>
      <c r="G552" s="5">
        <v>64881</v>
      </c>
      <c r="H552" s="6">
        <f t="shared" si="16"/>
        <v>23.8</v>
      </c>
      <c r="I552">
        <f t="shared" si="17"/>
        <v>1.2981485422430383E-2</v>
      </c>
    </row>
    <row r="553" spans="1:9" ht="15" customHeight="1" x14ac:dyDescent="0.2">
      <c r="A553" s="7">
        <v>45250</v>
      </c>
      <c r="B553" s="8">
        <v>23.49</v>
      </c>
      <c r="C553" s="8">
        <v>23.614000000000001</v>
      </c>
      <c r="D553" s="8">
        <v>23.49</v>
      </c>
      <c r="E553" s="8">
        <v>23.5</v>
      </c>
      <c r="F553" s="8">
        <v>54834</v>
      </c>
      <c r="G553" s="9">
        <v>58928</v>
      </c>
      <c r="H553" s="6">
        <f t="shared" si="16"/>
        <v>23.494999999999997</v>
      </c>
      <c r="I553">
        <f t="shared" si="17"/>
        <v>-1.198486122792275E-2</v>
      </c>
    </row>
    <row r="554" spans="1:9" ht="15" customHeight="1" x14ac:dyDescent="0.2">
      <c r="A554" s="3">
        <v>45247</v>
      </c>
      <c r="B554" s="4">
        <v>23.774999999999999</v>
      </c>
      <c r="C554" s="4">
        <v>23.852</v>
      </c>
      <c r="D554" s="4">
        <v>23.774999999999999</v>
      </c>
      <c r="E554" s="4">
        <v>23.785</v>
      </c>
      <c r="F554" s="4">
        <v>59439</v>
      </c>
      <c r="G554" s="5">
        <v>52717</v>
      </c>
      <c r="H554" s="6">
        <f t="shared" si="16"/>
        <v>23.78</v>
      </c>
      <c r="I554">
        <f t="shared" si="17"/>
        <v>-1.574472551695294E-3</v>
      </c>
    </row>
    <row r="555" spans="1:9" ht="15" customHeight="1" x14ac:dyDescent="0.2">
      <c r="A555" s="7">
        <v>45246</v>
      </c>
      <c r="B555" s="8">
        <v>23.82</v>
      </c>
      <c r="C555" s="8">
        <v>23.933</v>
      </c>
      <c r="D555" s="8">
        <v>23.815000000000001</v>
      </c>
      <c r="E555" s="8">
        <v>23.82</v>
      </c>
      <c r="F555" s="8">
        <v>62346</v>
      </c>
      <c r="G555" s="9">
        <v>81399</v>
      </c>
      <c r="H555" s="6">
        <f t="shared" si="16"/>
        <v>23.817500000000003</v>
      </c>
      <c r="I555">
        <f t="shared" si="17"/>
        <v>1.2756457956840883E-2</v>
      </c>
    </row>
    <row r="556" spans="1:9" ht="15" customHeight="1" x14ac:dyDescent="0.2">
      <c r="A556" s="3">
        <v>45245</v>
      </c>
      <c r="B556" s="4">
        <v>23.515000000000001</v>
      </c>
      <c r="C556" s="4">
        <v>23.538</v>
      </c>
      <c r="D556" s="4">
        <v>23.515000000000001</v>
      </c>
      <c r="E556" s="4">
        <v>23.52</v>
      </c>
      <c r="F556" s="4">
        <v>64474</v>
      </c>
      <c r="G556" s="5">
        <v>70517</v>
      </c>
      <c r="H556" s="6">
        <f t="shared" si="16"/>
        <v>23.517499999999998</v>
      </c>
      <c r="I556">
        <f t="shared" si="17"/>
        <v>1.5765036173199354E-2</v>
      </c>
    </row>
    <row r="557" spans="1:9" ht="15" customHeight="1" x14ac:dyDescent="0.2">
      <c r="A557" s="7">
        <v>45244</v>
      </c>
      <c r="B557" s="8">
        <v>23.15</v>
      </c>
      <c r="C557" s="8">
        <v>23.132000000000001</v>
      </c>
      <c r="D557" s="8">
        <v>23.15</v>
      </c>
      <c r="E557" s="8">
        <v>23.155000000000001</v>
      </c>
      <c r="F557" s="8">
        <v>67330</v>
      </c>
      <c r="G557" s="9">
        <v>75657</v>
      </c>
      <c r="H557" s="6">
        <f t="shared" si="16"/>
        <v>23.1525</v>
      </c>
      <c r="I557">
        <f t="shared" si="17"/>
        <v>3.5211267605633756E-2</v>
      </c>
    </row>
    <row r="558" spans="1:9" ht="15" customHeight="1" x14ac:dyDescent="0.2">
      <c r="A558" s="3">
        <v>45243</v>
      </c>
      <c r="B558" s="4">
        <v>22.364999999999998</v>
      </c>
      <c r="C558" s="4">
        <v>22.358000000000001</v>
      </c>
      <c r="D558" s="4">
        <v>22.36</v>
      </c>
      <c r="E558" s="4">
        <v>22.37</v>
      </c>
      <c r="F558" s="4">
        <v>72751</v>
      </c>
      <c r="G558" s="5">
        <v>59134</v>
      </c>
      <c r="H558" s="6">
        <f t="shared" si="16"/>
        <v>22.365000000000002</v>
      </c>
      <c r="I558">
        <f t="shared" si="17"/>
        <v>2.5776084276589728E-3</v>
      </c>
    </row>
    <row r="559" spans="1:9" ht="15" customHeight="1" x14ac:dyDescent="0.2">
      <c r="A559" s="7">
        <v>45240</v>
      </c>
      <c r="B559" s="8">
        <v>22.305</v>
      </c>
      <c r="C559" s="8">
        <v>22.280999999999999</v>
      </c>
      <c r="D559" s="8">
        <v>22.3</v>
      </c>
      <c r="E559" s="8">
        <v>22.315000000000001</v>
      </c>
      <c r="F559" s="8">
        <v>73980</v>
      </c>
      <c r="G559" s="9">
        <v>58708</v>
      </c>
      <c r="H559" s="6">
        <f t="shared" si="16"/>
        <v>22.307500000000001</v>
      </c>
      <c r="I559">
        <f t="shared" si="17"/>
        <v>-1.739896487171011E-2</v>
      </c>
    </row>
    <row r="560" spans="1:9" ht="15" customHeight="1" x14ac:dyDescent="0.2">
      <c r="A560" s="3">
        <v>45239</v>
      </c>
      <c r="B560" s="4">
        <v>22.7</v>
      </c>
      <c r="C560" s="4">
        <v>22.905000000000001</v>
      </c>
      <c r="D560" s="4">
        <v>22.7</v>
      </c>
      <c r="E560" s="4">
        <v>22.704999999999998</v>
      </c>
      <c r="F560" s="4">
        <v>80129</v>
      </c>
      <c r="G560" s="5">
        <v>69618</v>
      </c>
      <c r="H560" s="6">
        <f t="shared" si="16"/>
        <v>22.702500000000001</v>
      </c>
      <c r="I560">
        <f t="shared" si="17"/>
        <v>3.3145508783560818E-3</v>
      </c>
    </row>
    <row r="561" spans="1:9" ht="15" customHeight="1" x14ac:dyDescent="0.2">
      <c r="A561" s="7">
        <v>45238</v>
      </c>
      <c r="B561" s="8">
        <v>22.625</v>
      </c>
      <c r="C561" s="8">
        <v>22.728000000000002</v>
      </c>
      <c r="D561" s="8">
        <v>22.625</v>
      </c>
      <c r="E561" s="8">
        <v>22.63</v>
      </c>
      <c r="F561" s="8">
        <v>86828</v>
      </c>
      <c r="G561" s="9">
        <v>62026</v>
      </c>
      <c r="H561" s="6">
        <f t="shared" si="16"/>
        <v>22.627499999999998</v>
      </c>
      <c r="I561">
        <f t="shared" si="17"/>
        <v>-3.4133450781765884E-3</v>
      </c>
    </row>
    <row r="562" spans="1:9" ht="15" customHeight="1" x14ac:dyDescent="0.2">
      <c r="A562" s="3">
        <v>45237</v>
      </c>
      <c r="B562" s="4">
        <v>22.704999999999998</v>
      </c>
      <c r="C562" s="4">
        <v>22.588999999999999</v>
      </c>
      <c r="D562" s="4">
        <v>22.7</v>
      </c>
      <c r="E562" s="4">
        <v>22.71</v>
      </c>
      <c r="F562" s="4">
        <v>90657</v>
      </c>
      <c r="G562" s="5">
        <v>73393</v>
      </c>
      <c r="H562" s="6">
        <f t="shared" si="16"/>
        <v>22.704999999999998</v>
      </c>
      <c r="I562">
        <f t="shared" si="17"/>
        <v>-1.8162162162162265E-2</v>
      </c>
    </row>
    <row r="563" spans="1:9" ht="15" customHeight="1" x14ac:dyDescent="0.2">
      <c r="A563" s="7">
        <v>45236</v>
      </c>
      <c r="B563" s="8">
        <v>23.125</v>
      </c>
      <c r="C563" s="8">
        <v>23.234000000000002</v>
      </c>
      <c r="D563" s="8">
        <v>23.12</v>
      </c>
      <c r="E563" s="8">
        <v>23.13</v>
      </c>
      <c r="F563" s="8">
        <v>93816</v>
      </c>
      <c r="G563" s="9">
        <v>40317</v>
      </c>
      <c r="H563" s="6">
        <f t="shared" si="16"/>
        <v>23.125</v>
      </c>
      <c r="I563">
        <f t="shared" si="17"/>
        <v>-8.7869695670809156E-3</v>
      </c>
    </row>
    <row r="564" spans="1:9" ht="15" customHeight="1" x14ac:dyDescent="0.2">
      <c r="A564" s="3">
        <v>45233</v>
      </c>
      <c r="B564" s="4">
        <v>23.335000000000001</v>
      </c>
      <c r="C564" s="4">
        <v>23.285</v>
      </c>
      <c r="D564" s="4">
        <v>23.324999999999999</v>
      </c>
      <c r="E564" s="4">
        <v>23.335000000000001</v>
      </c>
      <c r="F564" s="4">
        <v>92695</v>
      </c>
      <c r="G564" s="5">
        <v>75137</v>
      </c>
      <c r="H564" s="6">
        <f t="shared" si="16"/>
        <v>23.33</v>
      </c>
      <c r="I564">
        <f t="shared" si="17"/>
        <v>2.0225210451514153E-2</v>
      </c>
    </row>
    <row r="565" spans="1:9" ht="15" customHeight="1" x14ac:dyDescent="0.2">
      <c r="A565" s="7">
        <v>45232</v>
      </c>
      <c r="B565" s="8">
        <v>22.864999999999998</v>
      </c>
      <c r="C565" s="8">
        <v>22.846</v>
      </c>
      <c r="D565" s="8">
        <v>22.86</v>
      </c>
      <c r="E565" s="8">
        <v>22.875</v>
      </c>
      <c r="F565" s="8">
        <v>93089</v>
      </c>
      <c r="G565" s="9">
        <v>43235</v>
      </c>
      <c r="H565" s="6">
        <f t="shared" si="16"/>
        <v>22.8675</v>
      </c>
      <c r="I565">
        <f t="shared" si="17"/>
        <v>-7.9175704989152829E-3</v>
      </c>
    </row>
    <row r="566" spans="1:9" ht="15" customHeight="1" x14ac:dyDescent="0.2">
      <c r="A566" s="3">
        <v>45231</v>
      </c>
      <c r="B566" s="4">
        <v>23.05</v>
      </c>
      <c r="C566" s="4">
        <v>22.79</v>
      </c>
      <c r="D566" s="4">
        <v>23.04</v>
      </c>
      <c r="E566" s="4">
        <v>23.06</v>
      </c>
      <c r="F566" s="4">
        <v>93944</v>
      </c>
      <c r="G566" s="5">
        <v>52760</v>
      </c>
      <c r="H566" s="6">
        <f t="shared" si="16"/>
        <v>23.049999999999997</v>
      </c>
      <c r="I566">
        <f t="shared" si="17"/>
        <v>3.8105606967882011E-3</v>
      </c>
    </row>
    <row r="567" spans="1:9" ht="15" customHeight="1" x14ac:dyDescent="0.2">
      <c r="A567" s="7">
        <v>45230</v>
      </c>
      <c r="B567" s="8">
        <v>22.96</v>
      </c>
      <c r="C567" s="8">
        <v>22.952000000000002</v>
      </c>
      <c r="D567" s="8">
        <v>22.954999999999998</v>
      </c>
      <c r="E567" s="8">
        <v>22.97</v>
      </c>
      <c r="F567" s="8">
        <v>94448</v>
      </c>
      <c r="G567" s="9">
        <v>53422</v>
      </c>
      <c r="H567" s="6">
        <f t="shared" si="16"/>
        <v>22.962499999999999</v>
      </c>
      <c r="I567">
        <f t="shared" si="17"/>
        <v>-2.0788912579957408E-2</v>
      </c>
    </row>
    <row r="568" spans="1:9" ht="15" customHeight="1" x14ac:dyDescent="0.2">
      <c r="A568" s="3">
        <v>45229</v>
      </c>
      <c r="B568" s="4">
        <v>23.454999999999998</v>
      </c>
      <c r="C568" s="4">
        <v>23.396000000000001</v>
      </c>
      <c r="D568" s="4">
        <v>23.4</v>
      </c>
      <c r="E568" s="4">
        <v>23.5</v>
      </c>
      <c r="F568" s="4">
        <v>93523</v>
      </c>
      <c r="G568" s="5">
        <v>57268</v>
      </c>
      <c r="H568" s="6">
        <f t="shared" si="16"/>
        <v>23.45</v>
      </c>
      <c r="I568">
        <f t="shared" si="17"/>
        <v>1.1647972389991379E-2</v>
      </c>
    </row>
    <row r="569" spans="1:9" ht="15" customHeight="1" x14ac:dyDescent="0.2">
      <c r="A569" s="7">
        <v>45226</v>
      </c>
      <c r="B569" s="8">
        <v>23.24</v>
      </c>
      <c r="C569" s="8">
        <v>22.887</v>
      </c>
      <c r="D569" s="8">
        <v>23.1</v>
      </c>
      <c r="E569" s="8">
        <v>23.26</v>
      </c>
      <c r="F569" s="8">
        <v>92761</v>
      </c>
      <c r="G569" s="9">
        <v>45217</v>
      </c>
      <c r="H569" s="6">
        <f t="shared" si="16"/>
        <v>23.18</v>
      </c>
      <c r="I569">
        <f t="shared" si="17"/>
        <v>1.1233504198931099E-2</v>
      </c>
    </row>
    <row r="570" spans="1:9" ht="15" customHeight="1" x14ac:dyDescent="0.2">
      <c r="A570" s="3">
        <v>45225</v>
      </c>
      <c r="B570" s="4">
        <v>22.93</v>
      </c>
      <c r="C570" s="4">
        <v>22.908000000000001</v>
      </c>
      <c r="D570" s="4">
        <v>22.85</v>
      </c>
      <c r="E570" s="4">
        <v>22.995000000000001</v>
      </c>
      <c r="F570" s="4">
        <v>94531</v>
      </c>
      <c r="G570" s="5">
        <v>58346</v>
      </c>
      <c r="H570" s="6">
        <f t="shared" si="16"/>
        <v>22.922499999999999</v>
      </c>
      <c r="I570">
        <f t="shared" si="17"/>
        <v>-4.667824576639279E-3</v>
      </c>
    </row>
    <row r="571" spans="1:9" ht="15" customHeight="1" x14ac:dyDescent="0.2">
      <c r="A571" s="7">
        <v>45224</v>
      </c>
      <c r="B571" s="8">
        <v>23.01</v>
      </c>
      <c r="C571" s="8">
        <v>23.007000000000001</v>
      </c>
      <c r="D571" s="8">
        <v>22.96</v>
      </c>
      <c r="E571" s="8">
        <v>23.1</v>
      </c>
      <c r="F571" s="8">
        <v>95782</v>
      </c>
      <c r="G571" s="9">
        <v>52904</v>
      </c>
      <c r="H571" s="6">
        <f t="shared" si="16"/>
        <v>23.03</v>
      </c>
      <c r="I571">
        <f t="shared" si="17"/>
        <v>-1.3009540329576019E-3</v>
      </c>
    </row>
    <row r="572" spans="1:9" ht="15" customHeight="1" x14ac:dyDescent="0.2">
      <c r="A572" s="3">
        <v>45223</v>
      </c>
      <c r="B572" s="4">
        <v>23.06</v>
      </c>
      <c r="C572" s="4">
        <v>23.116</v>
      </c>
      <c r="D572" s="4">
        <v>23.055</v>
      </c>
      <c r="E572" s="4">
        <v>23.065000000000001</v>
      </c>
      <c r="F572" s="4">
        <v>96959</v>
      </c>
      <c r="G572" s="5">
        <v>46430</v>
      </c>
      <c r="H572" s="6">
        <f t="shared" si="16"/>
        <v>23.060000000000002</v>
      </c>
      <c r="I572">
        <f t="shared" si="17"/>
        <v>-2.9186033942274481E-3</v>
      </c>
    </row>
    <row r="573" spans="1:9" ht="15" customHeight="1" x14ac:dyDescent="0.2">
      <c r="A573" s="7">
        <v>45222</v>
      </c>
      <c r="B573" s="8">
        <v>23.125</v>
      </c>
      <c r="C573" s="8">
        <v>23.21</v>
      </c>
      <c r="D573" s="8">
        <v>23.125</v>
      </c>
      <c r="E573" s="8">
        <v>23.13</v>
      </c>
      <c r="F573" s="8">
        <v>98132</v>
      </c>
      <c r="G573" s="9">
        <v>50916</v>
      </c>
      <c r="H573" s="6">
        <f t="shared" si="16"/>
        <v>23.127499999999998</v>
      </c>
      <c r="I573">
        <f t="shared" si="17"/>
        <v>-1.6165053706264088E-2</v>
      </c>
    </row>
    <row r="574" spans="1:9" ht="15" customHeight="1" x14ac:dyDescent="0.2">
      <c r="A574" s="3">
        <v>45219</v>
      </c>
      <c r="B574" s="4">
        <v>23.53</v>
      </c>
      <c r="C574" s="4">
        <v>23.504000000000001</v>
      </c>
      <c r="D574" s="4">
        <v>23.45</v>
      </c>
      <c r="E574" s="4">
        <v>23.565000000000001</v>
      </c>
      <c r="F574" s="4">
        <v>99235</v>
      </c>
      <c r="G574" s="5">
        <v>78838</v>
      </c>
      <c r="H574" s="6">
        <f t="shared" si="16"/>
        <v>23.5075</v>
      </c>
      <c r="I574">
        <f t="shared" si="17"/>
        <v>1.4237946284111569E-2</v>
      </c>
    </row>
    <row r="575" spans="1:9" ht="15" customHeight="1" x14ac:dyDescent="0.2">
      <c r="A575" s="7">
        <v>45218</v>
      </c>
      <c r="B575" s="8">
        <v>23.195</v>
      </c>
      <c r="C575" s="8">
        <v>23.030999999999999</v>
      </c>
      <c r="D575" s="8">
        <v>23.11</v>
      </c>
      <c r="E575" s="8">
        <v>23.245000000000001</v>
      </c>
      <c r="F575" s="8">
        <v>98023</v>
      </c>
      <c r="G575" s="9">
        <v>57408</v>
      </c>
      <c r="H575" s="6">
        <f t="shared" si="16"/>
        <v>23.177500000000002</v>
      </c>
      <c r="I575">
        <f t="shared" si="17"/>
        <v>7.498369919582748E-3</v>
      </c>
    </row>
    <row r="576" spans="1:9" ht="15" customHeight="1" x14ac:dyDescent="0.2">
      <c r="A576" s="3">
        <v>45217</v>
      </c>
      <c r="B576" s="4">
        <v>23</v>
      </c>
      <c r="C576" s="4">
        <v>23.099</v>
      </c>
      <c r="D576" s="4">
        <v>23</v>
      </c>
      <c r="E576" s="4">
        <v>23.01</v>
      </c>
      <c r="F576" s="4">
        <v>98495</v>
      </c>
      <c r="G576" s="5">
        <v>65242</v>
      </c>
      <c r="H576" s="6">
        <f t="shared" si="16"/>
        <v>23.005000000000003</v>
      </c>
      <c r="I576">
        <f t="shared" si="17"/>
        <v>1.6327419179276159E-3</v>
      </c>
    </row>
    <row r="577" spans="1:9" ht="15" customHeight="1" x14ac:dyDescent="0.2">
      <c r="A577" s="7">
        <v>45216</v>
      </c>
      <c r="B577" s="8">
        <v>22.97</v>
      </c>
      <c r="C577" s="8">
        <v>23.024000000000001</v>
      </c>
      <c r="D577" s="8">
        <v>22.96</v>
      </c>
      <c r="E577" s="8">
        <v>22.975000000000001</v>
      </c>
      <c r="F577" s="8">
        <v>99423</v>
      </c>
      <c r="G577" s="9">
        <v>47657</v>
      </c>
      <c r="H577" s="6">
        <f t="shared" si="16"/>
        <v>22.967500000000001</v>
      </c>
      <c r="I577">
        <f t="shared" si="17"/>
        <v>6.2431544359256019E-3</v>
      </c>
    </row>
    <row r="578" spans="1:9" ht="15" customHeight="1" x14ac:dyDescent="0.2">
      <c r="A578" s="3">
        <v>45215</v>
      </c>
      <c r="B578" s="4">
        <v>22.774999999999999</v>
      </c>
      <c r="C578" s="4">
        <v>22.765000000000001</v>
      </c>
      <c r="D578" s="4">
        <v>22.77</v>
      </c>
      <c r="E578" s="4">
        <v>22.88</v>
      </c>
      <c r="F578" s="4">
        <v>101208</v>
      </c>
      <c r="G578" s="5">
        <v>35125</v>
      </c>
      <c r="H578" s="6">
        <f t="shared" si="16"/>
        <v>22.824999999999999</v>
      </c>
      <c r="I578">
        <f t="shared" si="17"/>
        <v>-2.9485639401550801E-3</v>
      </c>
    </row>
    <row r="579" spans="1:9" ht="15" customHeight="1" x14ac:dyDescent="0.2">
      <c r="A579" s="7">
        <v>45212</v>
      </c>
      <c r="B579" s="8">
        <v>22.895</v>
      </c>
      <c r="C579" s="8">
        <v>22.895</v>
      </c>
      <c r="D579" s="8">
        <v>22.805</v>
      </c>
      <c r="E579" s="8">
        <v>22.98</v>
      </c>
      <c r="F579" s="8">
        <v>103196</v>
      </c>
      <c r="G579" s="9">
        <v>74419</v>
      </c>
      <c r="H579" s="6">
        <f t="shared" si="16"/>
        <v>22.892499999999998</v>
      </c>
      <c r="I579">
        <f t="shared" si="17"/>
        <v>4.187051996814195E-2</v>
      </c>
    </row>
    <row r="580" spans="1:9" ht="15" customHeight="1" x14ac:dyDescent="0.2">
      <c r="A580" s="3">
        <v>45211</v>
      </c>
      <c r="B580" s="4">
        <v>21.975000000000001</v>
      </c>
      <c r="C580" s="4">
        <v>21.959</v>
      </c>
      <c r="D580" s="4">
        <v>21.965</v>
      </c>
      <c r="E580" s="4">
        <v>21.98</v>
      </c>
      <c r="F580" s="4">
        <v>103317</v>
      </c>
      <c r="G580" s="5">
        <v>49432</v>
      </c>
      <c r="H580" s="6">
        <f t="shared" si="16"/>
        <v>21.9725</v>
      </c>
      <c r="I580">
        <f t="shared" si="17"/>
        <v>-1.03591937844838E-2</v>
      </c>
    </row>
    <row r="581" spans="1:9" ht="15" customHeight="1" x14ac:dyDescent="0.2">
      <c r="A581" s="7">
        <v>45210</v>
      </c>
      <c r="B581" s="8">
        <v>22.2</v>
      </c>
      <c r="C581" s="8">
        <v>22.132999999999999</v>
      </c>
      <c r="D581" s="8">
        <v>22.195</v>
      </c>
      <c r="E581" s="8">
        <v>22.21</v>
      </c>
      <c r="F581" s="8">
        <v>104646</v>
      </c>
      <c r="G581" s="9">
        <v>43371</v>
      </c>
      <c r="H581" s="6">
        <f t="shared" ref="H581:H644" si="18">AVERAGE(D581:E581)</f>
        <v>22.202500000000001</v>
      </c>
      <c r="I581">
        <f t="shared" ref="I581:I644" si="19">H581/H582-1</f>
        <v>8.9752329016132837E-3</v>
      </c>
    </row>
    <row r="582" spans="1:9" ht="15" customHeight="1" x14ac:dyDescent="0.2">
      <c r="A582" s="3">
        <v>45209</v>
      </c>
      <c r="B582" s="4">
        <v>22.004999999999999</v>
      </c>
      <c r="C582" s="4">
        <v>21.952999999999999</v>
      </c>
      <c r="D582" s="4">
        <v>22</v>
      </c>
      <c r="E582" s="4">
        <v>22.01</v>
      </c>
      <c r="F582" s="4">
        <v>105220</v>
      </c>
      <c r="G582" s="5">
        <v>42606</v>
      </c>
      <c r="H582" s="6">
        <f t="shared" si="18"/>
        <v>22.005000000000003</v>
      </c>
      <c r="I582">
        <f t="shared" si="19"/>
        <v>-7.9464184356903278E-4</v>
      </c>
    </row>
    <row r="583" spans="1:9" ht="15" customHeight="1" x14ac:dyDescent="0.2">
      <c r="A583" s="7">
        <v>45208</v>
      </c>
      <c r="B583" s="8">
        <v>22.02</v>
      </c>
      <c r="C583" s="8">
        <v>21.923999999999999</v>
      </c>
      <c r="D583" s="8">
        <v>22.015000000000001</v>
      </c>
      <c r="E583" s="8">
        <v>22.03</v>
      </c>
      <c r="F583" s="8">
        <v>106476</v>
      </c>
      <c r="G583" s="9">
        <v>57208</v>
      </c>
      <c r="H583" s="6">
        <f t="shared" si="18"/>
        <v>22.022500000000001</v>
      </c>
      <c r="I583">
        <f t="shared" si="19"/>
        <v>1.1482374555058072E-2</v>
      </c>
    </row>
    <row r="584" spans="1:9" ht="15" customHeight="1" x14ac:dyDescent="0.2">
      <c r="A584" s="3">
        <v>45205</v>
      </c>
      <c r="B584" s="4">
        <v>21.765000000000001</v>
      </c>
      <c r="C584" s="4">
        <v>21.722999999999999</v>
      </c>
      <c r="D584" s="4">
        <v>21.765000000000001</v>
      </c>
      <c r="E584" s="4">
        <v>21.78</v>
      </c>
      <c r="F584" s="4">
        <v>108937</v>
      </c>
      <c r="G584" s="5">
        <v>82069</v>
      </c>
      <c r="H584" s="6">
        <f t="shared" si="18"/>
        <v>21.772500000000001</v>
      </c>
      <c r="I584">
        <f t="shared" si="19"/>
        <v>3.0894886363636465E-2</v>
      </c>
    </row>
    <row r="585" spans="1:9" ht="15" customHeight="1" x14ac:dyDescent="0.2">
      <c r="A585" s="7">
        <v>45204</v>
      </c>
      <c r="B585" s="8">
        <v>21.12</v>
      </c>
      <c r="C585" s="8">
        <v>21.018999999999998</v>
      </c>
      <c r="D585" s="8">
        <v>21.114999999999998</v>
      </c>
      <c r="E585" s="8">
        <v>21.125</v>
      </c>
      <c r="F585" s="8">
        <v>108409</v>
      </c>
      <c r="G585" s="9">
        <v>56587</v>
      </c>
      <c r="H585" s="6">
        <f t="shared" si="18"/>
        <v>21.119999999999997</v>
      </c>
      <c r="I585">
        <f t="shared" si="19"/>
        <v>-2.4796315975913474E-3</v>
      </c>
    </row>
    <row r="586" spans="1:9" ht="15" customHeight="1" x14ac:dyDescent="0.2">
      <c r="A586" s="3">
        <v>45203</v>
      </c>
      <c r="B586" s="4">
        <v>21.17</v>
      </c>
      <c r="C586" s="4">
        <v>21.146000000000001</v>
      </c>
      <c r="D586" s="4">
        <v>21.164999999999999</v>
      </c>
      <c r="E586" s="4">
        <v>21.18</v>
      </c>
      <c r="F586" s="4">
        <v>109729</v>
      </c>
      <c r="G586" s="5">
        <v>65061</v>
      </c>
      <c r="H586" s="6">
        <f t="shared" si="18"/>
        <v>21.172499999999999</v>
      </c>
      <c r="I586">
        <f t="shared" si="19"/>
        <v>-7.9653273983836259E-3</v>
      </c>
    </row>
    <row r="587" spans="1:9" ht="15" customHeight="1" x14ac:dyDescent="0.2">
      <c r="A587" s="7">
        <v>45202</v>
      </c>
      <c r="B587" s="8">
        <v>21.34</v>
      </c>
      <c r="C587" s="8">
        <v>21.376999999999999</v>
      </c>
      <c r="D587" s="8">
        <v>21.335000000000001</v>
      </c>
      <c r="E587" s="8">
        <v>21.35</v>
      </c>
      <c r="F587" s="8">
        <v>113108</v>
      </c>
      <c r="G587" s="9">
        <v>77913</v>
      </c>
      <c r="H587" s="6">
        <f t="shared" si="18"/>
        <v>21.342500000000001</v>
      </c>
      <c r="I587">
        <f t="shared" si="19"/>
        <v>5.0623969861078866E-3</v>
      </c>
    </row>
    <row r="588" spans="1:9" ht="15" customHeight="1" x14ac:dyDescent="0.2">
      <c r="A588" s="3">
        <v>45201</v>
      </c>
      <c r="B588" s="4">
        <v>21.24</v>
      </c>
      <c r="C588" s="4">
        <v>21.420999999999999</v>
      </c>
      <c r="D588" s="4">
        <v>21.23</v>
      </c>
      <c r="E588" s="4">
        <v>21.24</v>
      </c>
      <c r="F588" s="4">
        <v>113061</v>
      </c>
      <c r="G588" s="5">
        <v>93210</v>
      </c>
      <c r="H588" s="6">
        <f t="shared" si="18"/>
        <v>21.234999999999999</v>
      </c>
      <c r="I588">
        <f t="shared" si="19"/>
        <v>-5.1797276177718232E-2</v>
      </c>
    </row>
    <row r="589" spans="1:9" ht="15" customHeight="1" x14ac:dyDescent="0.2">
      <c r="A589" s="7">
        <v>45198</v>
      </c>
      <c r="B589" s="8">
        <v>22.39</v>
      </c>
      <c r="C589" s="8">
        <v>22.45</v>
      </c>
      <c r="D589" s="8">
        <v>22.39</v>
      </c>
      <c r="E589" s="8">
        <v>22.4</v>
      </c>
      <c r="F589" s="8">
        <v>112893</v>
      </c>
      <c r="G589" s="9">
        <v>109554</v>
      </c>
      <c r="H589" s="6">
        <f t="shared" si="18"/>
        <v>22.395</v>
      </c>
      <c r="I589">
        <f t="shared" si="19"/>
        <v>-1.9376026272577951E-2</v>
      </c>
    </row>
    <row r="590" spans="1:9" ht="15" customHeight="1" x14ac:dyDescent="0.2">
      <c r="A590" s="3">
        <v>45197</v>
      </c>
      <c r="B590" s="4">
        <v>22.835000000000001</v>
      </c>
      <c r="C590" s="4">
        <v>22.741</v>
      </c>
      <c r="D590" s="4">
        <v>22.83</v>
      </c>
      <c r="E590" s="4">
        <v>22.844999999999999</v>
      </c>
      <c r="F590" s="4">
        <v>113046</v>
      </c>
      <c r="G590" s="5">
        <v>65852</v>
      </c>
      <c r="H590" s="6">
        <f t="shared" si="18"/>
        <v>22.837499999999999</v>
      </c>
      <c r="I590">
        <f t="shared" si="19"/>
        <v>2.4141336552176984E-3</v>
      </c>
    </row>
    <row r="591" spans="1:9" ht="15" customHeight="1" x14ac:dyDescent="0.2">
      <c r="A591" s="7">
        <v>45196</v>
      </c>
      <c r="B591" s="8">
        <v>22.78</v>
      </c>
      <c r="C591" s="8">
        <v>22.724</v>
      </c>
      <c r="D591" s="8">
        <v>22.774999999999999</v>
      </c>
      <c r="E591" s="8">
        <v>22.79</v>
      </c>
      <c r="F591" s="8">
        <v>112520</v>
      </c>
      <c r="G591" s="9">
        <v>64671</v>
      </c>
      <c r="H591" s="6">
        <f t="shared" si="18"/>
        <v>22.782499999999999</v>
      </c>
      <c r="I591">
        <f t="shared" si="19"/>
        <v>-1.4171354392038094E-2</v>
      </c>
    </row>
    <row r="592" spans="1:9" ht="15" customHeight="1" x14ac:dyDescent="0.2">
      <c r="A592" s="3">
        <v>45195</v>
      </c>
      <c r="B592" s="4">
        <v>23.11</v>
      </c>
      <c r="C592" s="4">
        <v>23.196000000000002</v>
      </c>
      <c r="D592" s="4">
        <v>23.105</v>
      </c>
      <c r="E592" s="4">
        <v>23.114999999999998</v>
      </c>
      <c r="F592" s="4">
        <v>112388</v>
      </c>
      <c r="G592" s="5">
        <v>51307</v>
      </c>
      <c r="H592" s="6">
        <f t="shared" si="18"/>
        <v>23.11</v>
      </c>
      <c r="I592">
        <f t="shared" si="19"/>
        <v>-1.1759675005345249E-2</v>
      </c>
    </row>
    <row r="593" spans="1:9" ht="15" customHeight="1" x14ac:dyDescent="0.2">
      <c r="A593" s="7">
        <v>45194</v>
      </c>
      <c r="B593" s="8">
        <v>23.385000000000002</v>
      </c>
      <c r="C593" s="8">
        <v>23.385000000000002</v>
      </c>
      <c r="D593" s="8">
        <v>23.38</v>
      </c>
      <c r="E593" s="8">
        <v>23.39</v>
      </c>
      <c r="F593" s="8">
        <v>113228</v>
      </c>
      <c r="G593" s="9">
        <v>54792</v>
      </c>
      <c r="H593" s="6">
        <f t="shared" si="18"/>
        <v>23.384999999999998</v>
      </c>
      <c r="I593">
        <f t="shared" si="19"/>
        <v>-1.8467995802728288E-2</v>
      </c>
    </row>
    <row r="594" spans="1:9" ht="15" customHeight="1" x14ac:dyDescent="0.2">
      <c r="A594" s="3">
        <v>45191</v>
      </c>
      <c r="B594" s="4">
        <v>23.82</v>
      </c>
      <c r="C594" s="4">
        <v>23.844000000000001</v>
      </c>
      <c r="D594" s="4">
        <v>23.82</v>
      </c>
      <c r="E594" s="4">
        <v>23.83</v>
      </c>
      <c r="F594" s="4">
        <v>113920</v>
      </c>
      <c r="G594" s="5">
        <v>51520</v>
      </c>
      <c r="H594" s="6">
        <f t="shared" si="18"/>
        <v>23.824999999999999</v>
      </c>
      <c r="I594">
        <f t="shared" si="19"/>
        <v>6.2295428149086174E-3</v>
      </c>
    </row>
    <row r="595" spans="1:9" ht="15" customHeight="1" x14ac:dyDescent="0.2">
      <c r="A595" s="7">
        <v>45190</v>
      </c>
      <c r="B595" s="8">
        <v>23.68</v>
      </c>
      <c r="C595" s="8">
        <v>23.687000000000001</v>
      </c>
      <c r="D595" s="8">
        <v>23.67</v>
      </c>
      <c r="E595" s="8">
        <v>23.684999999999999</v>
      </c>
      <c r="F595" s="8">
        <v>112637</v>
      </c>
      <c r="G595" s="9">
        <v>72422</v>
      </c>
      <c r="H595" s="6">
        <f t="shared" si="18"/>
        <v>23.677500000000002</v>
      </c>
      <c r="I595">
        <f t="shared" si="19"/>
        <v>6.8034442436484266E-3</v>
      </c>
    </row>
    <row r="596" spans="1:9" ht="15" customHeight="1" x14ac:dyDescent="0.2">
      <c r="A596" s="3">
        <v>45189</v>
      </c>
      <c r="B596" s="4">
        <v>23.52</v>
      </c>
      <c r="C596" s="4">
        <v>23.835999999999999</v>
      </c>
      <c r="D596" s="4">
        <v>23.51</v>
      </c>
      <c r="E596" s="4">
        <v>23.524999999999999</v>
      </c>
      <c r="F596" s="4">
        <v>113253</v>
      </c>
      <c r="G596" s="5">
        <v>56524</v>
      </c>
      <c r="H596" s="6">
        <f t="shared" si="18"/>
        <v>23.517499999999998</v>
      </c>
      <c r="I596">
        <f t="shared" si="19"/>
        <v>1.9171370753008343E-3</v>
      </c>
    </row>
    <row r="597" spans="1:9" ht="15" customHeight="1" x14ac:dyDescent="0.2">
      <c r="A597" s="7">
        <v>45188</v>
      </c>
      <c r="B597" s="8">
        <v>23.475000000000001</v>
      </c>
      <c r="C597" s="8">
        <v>23.456</v>
      </c>
      <c r="D597" s="8">
        <v>23.47</v>
      </c>
      <c r="E597" s="8">
        <v>23.475000000000001</v>
      </c>
      <c r="F597" s="8">
        <v>112973</v>
      </c>
      <c r="G597" s="9">
        <v>39112</v>
      </c>
      <c r="H597" s="6">
        <f t="shared" si="18"/>
        <v>23.4725</v>
      </c>
      <c r="I597">
        <f t="shared" si="19"/>
        <v>-2.33768993730743E-3</v>
      </c>
    </row>
    <row r="598" spans="1:9" ht="15" customHeight="1" x14ac:dyDescent="0.2">
      <c r="A598" s="3">
        <v>45187</v>
      </c>
      <c r="B598" s="4">
        <v>23.524999999999999</v>
      </c>
      <c r="C598" s="4">
        <v>23.498000000000001</v>
      </c>
      <c r="D598" s="4">
        <v>23.52</v>
      </c>
      <c r="E598" s="4">
        <v>23.535</v>
      </c>
      <c r="F598" s="4">
        <v>112808</v>
      </c>
      <c r="G598" s="5">
        <v>45368</v>
      </c>
      <c r="H598" s="6">
        <f t="shared" si="18"/>
        <v>23.5275</v>
      </c>
      <c r="I598">
        <f t="shared" si="19"/>
        <v>9.4390217741069371E-3</v>
      </c>
    </row>
    <row r="599" spans="1:9" ht="15" customHeight="1" x14ac:dyDescent="0.2">
      <c r="A599" s="7">
        <v>45184</v>
      </c>
      <c r="B599" s="8">
        <v>23.305</v>
      </c>
      <c r="C599" s="8">
        <v>23.385999999999999</v>
      </c>
      <c r="D599" s="8">
        <v>23.3</v>
      </c>
      <c r="E599" s="8">
        <v>23.315000000000001</v>
      </c>
      <c r="F599" s="8">
        <v>115186</v>
      </c>
      <c r="G599" s="9">
        <v>65790</v>
      </c>
      <c r="H599" s="6">
        <f t="shared" si="18"/>
        <v>23.307500000000001</v>
      </c>
      <c r="I599">
        <f t="shared" si="19"/>
        <v>1.6241552212775234E-2</v>
      </c>
    </row>
    <row r="600" spans="1:9" ht="15" customHeight="1" x14ac:dyDescent="0.2">
      <c r="A600" s="3">
        <v>45183</v>
      </c>
      <c r="B600" s="4">
        <v>22.94</v>
      </c>
      <c r="C600" s="4">
        <v>22.994</v>
      </c>
      <c r="D600" s="4">
        <v>22.93</v>
      </c>
      <c r="E600" s="4">
        <v>22.94</v>
      </c>
      <c r="F600" s="4">
        <v>114475</v>
      </c>
      <c r="G600" s="5">
        <v>81585</v>
      </c>
      <c r="H600" s="6">
        <f t="shared" si="18"/>
        <v>22.935000000000002</v>
      </c>
      <c r="I600">
        <f t="shared" si="19"/>
        <v>-8.5377715335566151E-3</v>
      </c>
    </row>
    <row r="601" spans="1:9" ht="15" customHeight="1" x14ac:dyDescent="0.2">
      <c r="A601" s="7">
        <v>45182</v>
      </c>
      <c r="B601" s="8">
        <v>23.13</v>
      </c>
      <c r="C601" s="8">
        <v>23.181000000000001</v>
      </c>
      <c r="D601" s="8">
        <v>23.125</v>
      </c>
      <c r="E601" s="8">
        <v>23.14</v>
      </c>
      <c r="F601" s="8">
        <v>113251</v>
      </c>
      <c r="G601" s="9">
        <v>48150</v>
      </c>
      <c r="H601" s="6">
        <f t="shared" si="18"/>
        <v>23.1325</v>
      </c>
      <c r="I601">
        <f t="shared" si="19"/>
        <v>-1.0162601626016121E-2</v>
      </c>
    </row>
    <row r="602" spans="1:9" ht="15" customHeight="1" x14ac:dyDescent="0.2">
      <c r="A602" s="3">
        <v>45181</v>
      </c>
      <c r="B602" s="4">
        <v>23.37</v>
      </c>
      <c r="C602" s="4">
        <v>23.402000000000001</v>
      </c>
      <c r="D602" s="4">
        <v>23.364999999999998</v>
      </c>
      <c r="E602" s="4">
        <v>23.375</v>
      </c>
      <c r="F602" s="4">
        <v>113684</v>
      </c>
      <c r="G602" s="5">
        <v>40133</v>
      </c>
      <c r="H602" s="6">
        <f t="shared" si="18"/>
        <v>23.369999999999997</v>
      </c>
      <c r="I602">
        <f t="shared" si="19"/>
        <v>-4.2771599657853709E-4</v>
      </c>
    </row>
    <row r="603" spans="1:9" ht="15" customHeight="1" x14ac:dyDescent="0.2">
      <c r="A603" s="7">
        <v>45180</v>
      </c>
      <c r="B603" s="8">
        <v>23.375</v>
      </c>
      <c r="C603" s="8">
        <v>23.382999999999999</v>
      </c>
      <c r="D603" s="8">
        <v>23.375</v>
      </c>
      <c r="E603" s="8">
        <v>23.385000000000002</v>
      </c>
      <c r="F603" s="8">
        <v>112785</v>
      </c>
      <c r="G603" s="9">
        <v>41244</v>
      </c>
      <c r="H603" s="6">
        <f t="shared" si="18"/>
        <v>23.380000000000003</v>
      </c>
      <c r="I603">
        <f t="shared" si="19"/>
        <v>7.7586206896553822E-3</v>
      </c>
    </row>
    <row r="604" spans="1:9" ht="15" customHeight="1" x14ac:dyDescent="0.2">
      <c r="A604" s="3">
        <v>45177</v>
      </c>
      <c r="B604" s="4">
        <v>23.195</v>
      </c>
      <c r="C604" s="4">
        <v>23.173999999999999</v>
      </c>
      <c r="D604" s="4">
        <v>23.195</v>
      </c>
      <c r="E604" s="4">
        <v>23.204999999999998</v>
      </c>
      <c r="F604" s="4">
        <v>113200</v>
      </c>
      <c r="G604" s="5">
        <v>51199</v>
      </c>
      <c r="H604" s="6">
        <f t="shared" si="18"/>
        <v>23.2</v>
      </c>
      <c r="I604">
        <f t="shared" si="19"/>
        <v>-2.1505376344086446E-3</v>
      </c>
    </row>
    <row r="605" spans="1:9" ht="15" customHeight="1" x14ac:dyDescent="0.2">
      <c r="A605" s="7">
        <v>45176</v>
      </c>
      <c r="B605" s="8">
        <v>23.25</v>
      </c>
      <c r="C605" s="8">
        <v>23.24</v>
      </c>
      <c r="D605" s="8">
        <v>23.245000000000001</v>
      </c>
      <c r="E605" s="8">
        <v>23.254999999999999</v>
      </c>
      <c r="F605" s="8">
        <v>113513</v>
      </c>
      <c r="G605" s="9">
        <v>49499</v>
      </c>
      <c r="H605" s="6">
        <f t="shared" si="18"/>
        <v>23.25</v>
      </c>
      <c r="I605">
        <f t="shared" si="19"/>
        <v>-1.0217113665389577E-2</v>
      </c>
    </row>
    <row r="606" spans="1:9" ht="15" customHeight="1" x14ac:dyDescent="0.2">
      <c r="A606" s="3">
        <v>45175</v>
      </c>
      <c r="B606" s="4">
        <v>23.495000000000001</v>
      </c>
      <c r="C606" s="4">
        <v>23.503</v>
      </c>
      <c r="D606" s="4">
        <v>23.484999999999999</v>
      </c>
      <c r="E606" s="4">
        <v>23.495000000000001</v>
      </c>
      <c r="F606" s="4">
        <v>116126</v>
      </c>
      <c r="G606" s="5">
        <v>65610</v>
      </c>
      <c r="H606" s="6">
        <f t="shared" si="18"/>
        <v>23.490000000000002</v>
      </c>
      <c r="I606">
        <f t="shared" si="19"/>
        <v>-1.6228667155271714E-2</v>
      </c>
    </row>
    <row r="607" spans="1:9" ht="15" customHeight="1" x14ac:dyDescent="0.2">
      <c r="A607" s="7">
        <v>45174</v>
      </c>
      <c r="B607" s="8">
        <v>23.88</v>
      </c>
      <c r="C607" s="8">
        <v>23.873000000000001</v>
      </c>
      <c r="D607" s="8">
        <v>23.87</v>
      </c>
      <c r="E607" s="8">
        <v>23.885000000000002</v>
      </c>
      <c r="F607" s="8">
        <v>118312</v>
      </c>
      <c r="G607" s="9">
        <v>89314</v>
      </c>
      <c r="H607" s="6">
        <f t="shared" si="18"/>
        <v>23.877500000000001</v>
      </c>
      <c r="I607">
        <f t="shared" si="19"/>
        <v>-2.6996740016299814E-2</v>
      </c>
    </row>
    <row r="608" spans="1:9" ht="15" customHeight="1" x14ac:dyDescent="0.2">
      <c r="A608" s="3">
        <v>45170</v>
      </c>
      <c r="B608" s="4">
        <v>24.545000000000002</v>
      </c>
      <c r="C608" s="4">
        <v>24.562000000000001</v>
      </c>
      <c r="D608" s="4">
        <v>24.535</v>
      </c>
      <c r="E608" s="4">
        <v>24.545000000000002</v>
      </c>
      <c r="F608" s="4">
        <v>118590</v>
      </c>
      <c r="G608" s="5">
        <v>60053</v>
      </c>
      <c r="H608" s="6">
        <f t="shared" si="18"/>
        <v>24.54</v>
      </c>
      <c r="I608">
        <f t="shared" si="19"/>
        <v>-1.148036253776441E-2</v>
      </c>
    </row>
    <row r="609" spans="1:9" ht="15" customHeight="1" x14ac:dyDescent="0.2">
      <c r="A609" s="7">
        <v>45169</v>
      </c>
      <c r="B609" s="8">
        <v>24.82</v>
      </c>
      <c r="C609" s="8">
        <v>24.812000000000001</v>
      </c>
      <c r="D609" s="8">
        <v>24.82</v>
      </c>
      <c r="E609" s="8">
        <v>24.83</v>
      </c>
      <c r="F609" s="8">
        <v>117421</v>
      </c>
      <c r="G609" s="9">
        <v>45630</v>
      </c>
      <c r="H609" s="6">
        <f t="shared" si="18"/>
        <v>24.824999999999999</v>
      </c>
      <c r="I609">
        <f t="shared" si="19"/>
        <v>6.7930649903680251E-3</v>
      </c>
    </row>
    <row r="610" spans="1:9" ht="15" customHeight="1" x14ac:dyDescent="0.2">
      <c r="A610" s="3">
        <v>45168</v>
      </c>
      <c r="B610" s="4">
        <v>24.664999999999999</v>
      </c>
      <c r="C610" s="4">
        <v>24.734000000000002</v>
      </c>
      <c r="D610" s="4">
        <v>24.64</v>
      </c>
      <c r="E610" s="4">
        <v>24.675000000000001</v>
      </c>
      <c r="F610" s="4">
        <v>6147</v>
      </c>
      <c r="G610" s="5">
        <v>7105</v>
      </c>
      <c r="H610" s="6">
        <f t="shared" si="18"/>
        <v>24.657499999999999</v>
      </c>
      <c r="I610">
        <f t="shared" si="19"/>
        <v>5.0720227226608294E-4</v>
      </c>
    </row>
    <row r="611" spans="1:9" ht="15" customHeight="1" x14ac:dyDescent="0.2">
      <c r="A611" s="7">
        <v>45167</v>
      </c>
      <c r="B611" s="8">
        <v>24.774999999999999</v>
      </c>
      <c r="C611" s="8">
        <v>24.788</v>
      </c>
      <c r="D611" s="8">
        <v>24.51</v>
      </c>
      <c r="E611" s="8">
        <v>24.78</v>
      </c>
      <c r="F611" s="8">
        <v>14309</v>
      </c>
      <c r="G611" s="9">
        <v>52176</v>
      </c>
      <c r="H611" s="6">
        <f t="shared" si="18"/>
        <v>24.645000000000003</v>
      </c>
      <c r="I611">
        <f t="shared" si="19"/>
        <v>1.5242018537590329E-2</v>
      </c>
    </row>
    <row r="612" spans="1:9" ht="15" customHeight="1" x14ac:dyDescent="0.2">
      <c r="A612" s="3">
        <v>45166</v>
      </c>
      <c r="B612" s="4">
        <v>24.28</v>
      </c>
      <c r="C612" s="4">
        <v>24.251999999999999</v>
      </c>
      <c r="D612" s="4">
        <v>24.27</v>
      </c>
      <c r="E612" s="4">
        <v>24.28</v>
      </c>
      <c r="F612" s="4">
        <v>22154</v>
      </c>
      <c r="G612" s="5">
        <v>35729</v>
      </c>
      <c r="H612" s="6">
        <f t="shared" si="18"/>
        <v>24.274999999999999</v>
      </c>
      <c r="I612">
        <f t="shared" si="19"/>
        <v>-4.1177681696524804E-4</v>
      </c>
    </row>
    <row r="613" spans="1:9" ht="15" customHeight="1" x14ac:dyDescent="0.2">
      <c r="A613" s="7">
        <v>45163</v>
      </c>
      <c r="B613" s="8">
        <v>24.285</v>
      </c>
      <c r="C613" s="8">
        <v>24.234000000000002</v>
      </c>
      <c r="D613" s="8">
        <v>24.28</v>
      </c>
      <c r="E613" s="8">
        <v>24.29</v>
      </c>
      <c r="F613" s="8">
        <v>27720</v>
      </c>
      <c r="G613" s="9">
        <v>55368</v>
      </c>
      <c r="H613" s="6">
        <f t="shared" si="18"/>
        <v>24.285</v>
      </c>
      <c r="I613">
        <f t="shared" si="19"/>
        <v>4.4462827008582284E-3</v>
      </c>
    </row>
    <row r="614" spans="1:9" ht="15" customHeight="1" x14ac:dyDescent="0.2">
      <c r="A614" s="3">
        <v>45162</v>
      </c>
      <c r="B614" s="4">
        <v>24.18</v>
      </c>
      <c r="C614" s="4">
        <v>24.23</v>
      </c>
      <c r="D614" s="4">
        <v>24.17</v>
      </c>
      <c r="E614" s="4">
        <v>24.184999999999999</v>
      </c>
      <c r="F614" s="4">
        <v>39083</v>
      </c>
      <c r="G614" s="5">
        <v>66664</v>
      </c>
      <c r="H614" s="6">
        <f t="shared" si="18"/>
        <v>24.177500000000002</v>
      </c>
      <c r="I614">
        <f t="shared" si="19"/>
        <v>-8.6109687339825935E-3</v>
      </c>
    </row>
    <row r="615" spans="1:9" ht="15" customHeight="1" x14ac:dyDescent="0.2">
      <c r="A615" s="7">
        <v>45161</v>
      </c>
      <c r="B615" s="8">
        <v>24.385000000000002</v>
      </c>
      <c r="C615" s="8">
        <v>24.391999999999999</v>
      </c>
      <c r="D615" s="8">
        <v>24.385000000000002</v>
      </c>
      <c r="E615" s="8">
        <v>24.39</v>
      </c>
      <c r="F615" s="8">
        <v>43083</v>
      </c>
      <c r="G615" s="9">
        <v>84645</v>
      </c>
      <c r="H615" s="6">
        <f t="shared" si="18"/>
        <v>24.387500000000003</v>
      </c>
      <c r="I615">
        <f t="shared" si="19"/>
        <v>3.9092458457605561E-2</v>
      </c>
    </row>
    <row r="616" spans="1:9" ht="15" customHeight="1" x14ac:dyDescent="0.2">
      <c r="A616" s="3">
        <v>45160</v>
      </c>
      <c r="B616" s="4">
        <v>23.47</v>
      </c>
      <c r="C616" s="4">
        <v>23.45</v>
      </c>
      <c r="D616" s="4">
        <v>23.465</v>
      </c>
      <c r="E616" s="4">
        <v>23.475000000000001</v>
      </c>
      <c r="F616" s="4">
        <v>46801</v>
      </c>
      <c r="G616" s="5">
        <v>52659</v>
      </c>
      <c r="H616" s="6">
        <f t="shared" si="18"/>
        <v>23.47</v>
      </c>
      <c r="I616">
        <f t="shared" si="19"/>
        <v>4.2789901583226708E-3</v>
      </c>
    </row>
    <row r="617" spans="1:9" ht="15" customHeight="1" x14ac:dyDescent="0.2">
      <c r="A617" s="7">
        <v>45159</v>
      </c>
      <c r="B617" s="8">
        <v>23.375</v>
      </c>
      <c r="C617" s="8">
        <v>23.34</v>
      </c>
      <c r="D617" s="8">
        <v>23.364999999999998</v>
      </c>
      <c r="E617" s="8">
        <v>23.375</v>
      </c>
      <c r="F617" s="8">
        <v>50978</v>
      </c>
      <c r="G617" s="9">
        <v>64022.999999999898</v>
      </c>
      <c r="H617" s="6">
        <f t="shared" si="18"/>
        <v>23.369999999999997</v>
      </c>
      <c r="I617">
        <f t="shared" si="19"/>
        <v>2.5224830006580268E-2</v>
      </c>
    </row>
    <row r="618" spans="1:9" ht="15" customHeight="1" x14ac:dyDescent="0.2">
      <c r="A618" s="3">
        <v>45156</v>
      </c>
      <c r="B618" s="4">
        <v>22.8</v>
      </c>
      <c r="C618" s="4">
        <v>22.733000000000001</v>
      </c>
      <c r="D618" s="4">
        <v>22.79</v>
      </c>
      <c r="E618" s="4">
        <v>22.8</v>
      </c>
      <c r="F618" s="4">
        <v>54154</v>
      </c>
      <c r="G618" s="5">
        <v>53105</v>
      </c>
      <c r="H618" s="6">
        <f t="shared" si="18"/>
        <v>22.795000000000002</v>
      </c>
      <c r="I618">
        <f t="shared" si="19"/>
        <v>2.5288620120946792E-3</v>
      </c>
    </row>
    <row r="619" spans="1:9" ht="15" customHeight="1" x14ac:dyDescent="0.2">
      <c r="A619" s="7">
        <v>45155</v>
      </c>
      <c r="B619" s="8">
        <v>22.74</v>
      </c>
      <c r="C619" s="8">
        <v>22.715</v>
      </c>
      <c r="D619" s="8">
        <v>22.73</v>
      </c>
      <c r="E619" s="8">
        <v>22.745000000000001</v>
      </c>
      <c r="F619" s="8">
        <v>58109</v>
      </c>
      <c r="G619" s="9">
        <v>65010.999999999898</v>
      </c>
      <c r="H619" s="6">
        <f t="shared" si="18"/>
        <v>22.737500000000001</v>
      </c>
      <c r="I619">
        <f t="shared" si="19"/>
        <v>1.2467995101859142E-2</v>
      </c>
    </row>
    <row r="620" spans="1:9" ht="15" customHeight="1" x14ac:dyDescent="0.2">
      <c r="A620" s="3">
        <v>45154</v>
      </c>
      <c r="B620" s="4">
        <v>22.46</v>
      </c>
      <c r="C620" s="4">
        <v>22.535</v>
      </c>
      <c r="D620" s="4">
        <v>22.45</v>
      </c>
      <c r="E620" s="4">
        <v>22.465</v>
      </c>
      <c r="F620" s="4">
        <v>60285</v>
      </c>
      <c r="G620" s="5">
        <v>45707</v>
      </c>
      <c r="H620" s="6">
        <f t="shared" si="18"/>
        <v>22.4575</v>
      </c>
      <c r="I620">
        <f t="shared" si="19"/>
        <v>-5.425155004428639E-3</v>
      </c>
    </row>
    <row r="621" spans="1:9" ht="15" customHeight="1" x14ac:dyDescent="0.2">
      <c r="A621" s="7">
        <v>45153</v>
      </c>
      <c r="B621" s="8">
        <v>22.585000000000001</v>
      </c>
      <c r="C621" s="8">
        <v>22.655999999999999</v>
      </c>
      <c r="D621" s="8">
        <v>22.574999999999999</v>
      </c>
      <c r="E621" s="8">
        <v>22.585000000000001</v>
      </c>
      <c r="F621" s="8">
        <v>62218</v>
      </c>
      <c r="G621" s="9">
        <v>60396</v>
      </c>
      <c r="H621" s="6">
        <f t="shared" si="18"/>
        <v>22.58</v>
      </c>
      <c r="I621">
        <f t="shared" si="19"/>
        <v>-2.8703908147494905E-3</v>
      </c>
    </row>
    <row r="622" spans="1:9" ht="15" customHeight="1" x14ac:dyDescent="0.2">
      <c r="A622" s="3">
        <v>45152</v>
      </c>
      <c r="B622" s="4">
        <v>22.65</v>
      </c>
      <c r="C622" s="4">
        <v>22.707999999999998</v>
      </c>
      <c r="D622" s="4">
        <v>22.64</v>
      </c>
      <c r="E622" s="4">
        <v>22.65</v>
      </c>
      <c r="F622" s="4">
        <v>67491</v>
      </c>
      <c r="G622" s="5">
        <v>51908</v>
      </c>
      <c r="H622" s="6">
        <f t="shared" si="18"/>
        <v>22.645</v>
      </c>
      <c r="I622">
        <f t="shared" si="19"/>
        <v>-4.3965706748735345E-3</v>
      </c>
    </row>
    <row r="623" spans="1:9" ht="15" customHeight="1" x14ac:dyDescent="0.2">
      <c r="A623" s="7">
        <v>45149</v>
      </c>
      <c r="B623" s="8">
        <v>22.745000000000001</v>
      </c>
      <c r="C623" s="8">
        <v>22.742999999999999</v>
      </c>
      <c r="D623" s="8">
        <v>22.74</v>
      </c>
      <c r="E623" s="8">
        <v>22.75</v>
      </c>
      <c r="F623" s="8">
        <v>71333</v>
      </c>
      <c r="G623" s="9">
        <v>48043</v>
      </c>
      <c r="H623" s="6">
        <f t="shared" si="18"/>
        <v>22.744999999999997</v>
      </c>
      <c r="I623">
        <f t="shared" si="19"/>
        <v>-4.3946385409820987E-4</v>
      </c>
    </row>
    <row r="624" spans="1:9" ht="15" customHeight="1" x14ac:dyDescent="0.2">
      <c r="A624" s="3">
        <v>45148</v>
      </c>
      <c r="B624" s="4">
        <v>22.754999999999999</v>
      </c>
      <c r="C624" s="4">
        <v>22.821000000000002</v>
      </c>
      <c r="D624" s="4">
        <v>22.75</v>
      </c>
      <c r="E624" s="4">
        <v>22.76</v>
      </c>
      <c r="F624" s="4">
        <v>77187</v>
      </c>
      <c r="G624" s="5">
        <v>71226</v>
      </c>
      <c r="H624" s="6">
        <f t="shared" si="18"/>
        <v>22.755000000000003</v>
      </c>
      <c r="I624">
        <f t="shared" si="19"/>
        <v>1.3201320132014693E-3</v>
      </c>
    </row>
    <row r="625" spans="1:9" ht="15" customHeight="1" x14ac:dyDescent="0.2">
      <c r="A625" s="7">
        <v>45147</v>
      </c>
      <c r="B625" s="8">
        <v>22.73</v>
      </c>
      <c r="C625" s="8">
        <v>22.731000000000002</v>
      </c>
      <c r="D625" s="8">
        <v>22.72</v>
      </c>
      <c r="E625" s="8">
        <v>22.73</v>
      </c>
      <c r="F625" s="8">
        <v>83452</v>
      </c>
      <c r="G625" s="9">
        <v>60561</v>
      </c>
      <c r="H625" s="6">
        <f t="shared" si="18"/>
        <v>22.725000000000001</v>
      </c>
      <c r="I625">
        <f t="shared" si="19"/>
        <v>-4.9261083743841194E-3</v>
      </c>
    </row>
    <row r="626" spans="1:9" ht="15" customHeight="1" x14ac:dyDescent="0.2">
      <c r="A626" s="3">
        <v>45146</v>
      </c>
      <c r="B626" s="4">
        <v>22.835000000000001</v>
      </c>
      <c r="C626" s="4">
        <v>22.806999999999999</v>
      </c>
      <c r="D626" s="4">
        <v>22.83</v>
      </c>
      <c r="E626" s="4">
        <v>22.844999999999999</v>
      </c>
      <c r="F626" s="4">
        <v>92515</v>
      </c>
      <c r="G626" s="5">
        <v>73338</v>
      </c>
      <c r="H626" s="6">
        <f t="shared" si="18"/>
        <v>22.837499999999999</v>
      </c>
      <c r="I626">
        <f t="shared" si="19"/>
        <v>-1.5625000000000222E-2</v>
      </c>
    </row>
    <row r="627" spans="1:9" ht="15" customHeight="1" x14ac:dyDescent="0.2">
      <c r="A627" s="7">
        <v>45145</v>
      </c>
      <c r="B627" s="8">
        <v>23.204999999999998</v>
      </c>
      <c r="C627" s="8">
        <v>23.231999999999999</v>
      </c>
      <c r="D627" s="8">
        <v>23.19</v>
      </c>
      <c r="E627" s="8">
        <v>23.21</v>
      </c>
      <c r="F627" s="8">
        <v>94911</v>
      </c>
      <c r="G627" s="9">
        <v>55345</v>
      </c>
      <c r="H627" s="6">
        <f t="shared" si="18"/>
        <v>23.200000000000003</v>
      </c>
      <c r="I627">
        <f t="shared" si="19"/>
        <v>-2.2128556375131669E-2</v>
      </c>
    </row>
    <row r="628" spans="1:9" ht="15" customHeight="1" x14ac:dyDescent="0.2">
      <c r="A628" s="3">
        <v>45142</v>
      </c>
      <c r="B628" s="4">
        <v>23.725000000000001</v>
      </c>
      <c r="C628" s="4">
        <v>23.716000000000001</v>
      </c>
      <c r="D628" s="4">
        <v>23.72</v>
      </c>
      <c r="E628" s="4">
        <v>23.73</v>
      </c>
      <c r="F628" s="4">
        <v>98652</v>
      </c>
      <c r="G628" s="5">
        <v>56747</v>
      </c>
      <c r="H628" s="6">
        <f t="shared" si="18"/>
        <v>23.725000000000001</v>
      </c>
      <c r="I628">
        <f t="shared" si="19"/>
        <v>2.0061239573434531E-3</v>
      </c>
    </row>
    <row r="629" spans="1:9" ht="15" customHeight="1" x14ac:dyDescent="0.2">
      <c r="A629" s="7">
        <v>45141</v>
      </c>
      <c r="B629" s="8">
        <v>23.675000000000001</v>
      </c>
      <c r="C629" s="8">
        <v>23.696999999999999</v>
      </c>
      <c r="D629" s="8">
        <v>23.67</v>
      </c>
      <c r="E629" s="8">
        <v>23.684999999999999</v>
      </c>
      <c r="F629" s="8">
        <v>106144</v>
      </c>
      <c r="G629" s="9">
        <v>58992</v>
      </c>
      <c r="H629" s="6">
        <f t="shared" si="18"/>
        <v>23.677500000000002</v>
      </c>
      <c r="I629">
        <f t="shared" si="19"/>
        <v>-6.1909758656871761E-3</v>
      </c>
    </row>
    <row r="630" spans="1:9" ht="15" customHeight="1" x14ac:dyDescent="0.2">
      <c r="A630" s="3">
        <v>45140</v>
      </c>
      <c r="B630" s="4">
        <v>23.824999999999999</v>
      </c>
      <c r="C630" s="4">
        <v>23.872</v>
      </c>
      <c r="D630" s="4">
        <v>23.82</v>
      </c>
      <c r="E630" s="4">
        <v>23.83</v>
      </c>
      <c r="F630" s="4">
        <v>112212</v>
      </c>
      <c r="G630" s="5">
        <v>71917</v>
      </c>
      <c r="H630" s="6">
        <f t="shared" si="18"/>
        <v>23.824999999999999</v>
      </c>
      <c r="I630">
        <f t="shared" si="19"/>
        <v>-2.4664824480606029E-2</v>
      </c>
    </row>
    <row r="631" spans="1:9" ht="15" customHeight="1" x14ac:dyDescent="0.2">
      <c r="A631" s="7">
        <v>45139</v>
      </c>
      <c r="B631" s="8">
        <v>24.43</v>
      </c>
      <c r="C631" s="8">
        <v>24.326000000000001</v>
      </c>
      <c r="D631" s="8">
        <v>24.42</v>
      </c>
      <c r="E631" s="8">
        <v>24.434999999999999</v>
      </c>
      <c r="F631" s="8">
        <v>114008</v>
      </c>
      <c r="G631" s="9">
        <v>51464</v>
      </c>
      <c r="H631" s="6">
        <f t="shared" si="18"/>
        <v>24.427500000000002</v>
      </c>
      <c r="I631">
        <f t="shared" si="19"/>
        <v>-1.8877397329049028E-2</v>
      </c>
    </row>
    <row r="632" spans="1:9" ht="15" customHeight="1" x14ac:dyDescent="0.2">
      <c r="A632" s="3">
        <v>45138</v>
      </c>
      <c r="B632" s="4">
        <v>24.895</v>
      </c>
      <c r="C632" s="4">
        <v>24.972000000000001</v>
      </c>
      <c r="D632" s="4">
        <v>24.89</v>
      </c>
      <c r="E632" s="4">
        <v>24.905000000000001</v>
      </c>
      <c r="F632" s="4">
        <v>112827</v>
      </c>
      <c r="G632" s="5">
        <v>44254</v>
      </c>
      <c r="H632" s="6">
        <f t="shared" si="18"/>
        <v>24.897500000000001</v>
      </c>
      <c r="I632">
        <f t="shared" si="19"/>
        <v>1.7470371883939517E-2</v>
      </c>
    </row>
    <row r="633" spans="1:9" ht="15" customHeight="1" x14ac:dyDescent="0.2">
      <c r="A633" s="7">
        <v>45135</v>
      </c>
      <c r="B633" s="8">
        <v>24.475000000000001</v>
      </c>
      <c r="C633" s="8">
        <v>24.495000000000001</v>
      </c>
      <c r="D633" s="8">
        <v>24.465</v>
      </c>
      <c r="E633" s="8">
        <v>24.475000000000001</v>
      </c>
      <c r="F633" s="8">
        <v>116276</v>
      </c>
      <c r="G633" s="9">
        <v>38405</v>
      </c>
      <c r="H633" s="6">
        <f t="shared" si="18"/>
        <v>24.47</v>
      </c>
      <c r="I633">
        <f t="shared" si="19"/>
        <v>7.617871113856145E-3</v>
      </c>
    </row>
    <row r="634" spans="1:9" ht="15" customHeight="1" x14ac:dyDescent="0.2">
      <c r="A634" s="3">
        <v>45134</v>
      </c>
      <c r="B634" s="4">
        <v>24.285</v>
      </c>
      <c r="C634" s="4">
        <v>24.367000000000001</v>
      </c>
      <c r="D634" s="4">
        <v>24.274999999999999</v>
      </c>
      <c r="E634" s="4">
        <v>24.295000000000002</v>
      </c>
      <c r="F634" s="4">
        <v>118767</v>
      </c>
      <c r="G634" s="5">
        <v>81985</v>
      </c>
      <c r="H634" s="6">
        <f t="shared" si="18"/>
        <v>24.285</v>
      </c>
      <c r="I634">
        <f t="shared" si="19"/>
        <v>-3.2084495815065783E-2</v>
      </c>
    </row>
    <row r="635" spans="1:9" ht="15" customHeight="1" x14ac:dyDescent="0.2">
      <c r="A635" s="7">
        <v>45133</v>
      </c>
      <c r="B635" s="8">
        <v>25.094999999999999</v>
      </c>
      <c r="C635" s="8">
        <v>24.97</v>
      </c>
      <c r="D635" s="8">
        <v>25.085000000000001</v>
      </c>
      <c r="E635" s="8">
        <v>25.094999999999999</v>
      </c>
      <c r="F635" s="8">
        <v>120106</v>
      </c>
      <c r="G635" s="9">
        <v>56413</v>
      </c>
      <c r="H635" s="6">
        <f t="shared" si="18"/>
        <v>25.09</v>
      </c>
      <c r="I635">
        <f t="shared" si="19"/>
        <v>9.2518101367660144E-3</v>
      </c>
    </row>
    <row r="636" spans="1:9" ht="15" customHeight="1" x14ac:dyDescent="0.2">
      <c r="A636" s="3">
        <v>45132</v>
      </c>
      <c r="B636" s="4">
        <v>24.86</v>
      </c>
      <c r="C636" s="4">
        <v>24.824000000000002</v>
      </c>
      <c r="D636" s="4">
        <v>24.855</v>
      </c>
      <c r="E636" s="4">
        <v>24.864999999999998</v>
      </c>
      <c r="F636" s="4">
        <v>122502</v>
      </c>
      <c r="G636" s="5">
        <v>48131</v>
      </c>
      <c r="H636" s="6">
        <f t="shared" si="18"/>
        <v>24.86</v>
      </c>
      <c r="I636">
        <f t="shared" si="19"/>
        <v>1.427988576091388E-2</v>
      </c>
    </row>
    <row r="637" spans="1:9" ht="15" customHeight="1" x14ac:dyDescent="0.2">
      <c r="A637" s="7">
        <v>45131</v>
      </c>
      <c r="B637" s="8">
        <v>24.515000000000001</v>
      </c>
      <c r="C637" s="8">
        <v>24.581</v>
      </c>
      <c r="D637" s="8">
        <v>24.504999999999999</v>
      </c>
      <c r="E637" s="8">
        <v>24.515000000000001</v>
      </c>
      <c r="F637" s="8">
        <v>125126</v>
      </c>
      <c r="G637" s="9">
        <v>53203</v>
      </c>
      <c r="H637" s="6">
        <f t="shared" si="18"/>
        <v>24.509999999999998</v>
      </c>
      <c r="I637">
        <f t="shared" si="19"/>
        <v>-1.1095420617308949E-2</v>
      </c>
    </row>
    <row r="638" spans="1:9" ht="15" customHeight="1" x14ac:dyDescent="0.2">
      <c r="A638" s="3">
        <v>45128</v>
      </c>
      <c r="B638" s="4">
        <v>24.78</v>
      </c>
      <c r="C638" s="4">
        <v>24.855</v>
      </c>
      <c r="D638" s="4">
        <v>24.774999999999999</v>
      </c>
      <c r="E638" s="4">
        <v>24.795000000000002</v>
      </c>
      <c r="F638" s="4">
        <v>126069</v>
      </c>
      <c r="G638" s="5">
        <v>36128</v>
      </c>
      <c r="H638" s="6">
        <f t="shared" si="18"/>
        <v>24.785</v>
      </c>
      <c r="I638">
        <f t="shared" si="19"/>
        <v>-6.3145234038288756E-3</v>
      </c>
    </row>
    <row r="639" spans="1:9" ht="15" customHeight="1" x14ac:dyDescent="0.2">
      <c r="A639" s="7">
        <v>45127</v>
      </c>
      <c r="B639" s="8">
        <v>24.945</v>
      </c>
      <c r="C639" s="8">
        <v>24.962</v>
      </c>
      <c r="D639" s="8">
        <v>24.94</v>
      </c>
      <c r="E639" s="8">
        <v>24.945</v>
      </c>
      <c r="F639" s="8">
        <v>127435</v>
      </c>
      <c r="G639" s="9">
        <v>53695</v>
      </c>
      <c r="H639" s="6">
        <f t="shared" si="18"/>
        <v>24.942500000000003</v>
      </c>
      <c r="I639">
        <f t="shared" si="19"/>
        <v>-1.6171975150379492E-2</v>
      </c>
    </row>
    <row r="640" spans="1:9" ht="15" customHeight="1" x14ac:dyDescent="0.2">
      <c r="A640" s="3">
        <v>45126</v>
      </c>
      <c r="B640" s="4">
        <v>25.35</v>
      </c>
      <c r="C640" s="4">
        <v>25.387</v>
      </c>
      <c r="D640" s="4">
        <v>25.344999999999999</v>
      </c>
      <c r="E640" s="4">
        <v>25.36</v>
      </c>
      <c r="F640" s="4">
        <v>124883</v>
      </c>
      <c r="G640" s="5">
        <v>40806</v>
      </c>
      <c r="H640" s="6">
        <f t="shared" si="18"/>
        <v>25.352499999999999</v>
      </c>
      <c r="I640">
        <f t="shared" si="19"/>
        <v>3.364005144949056E-3</v>
      </c>
    </row>
    <row r="641" spans="1:9" ht="15" customHeight="1" x14ac:dyDescent="0.2">
      <c r="A641" s="7">
        <v>45125</v>
      </c>
      <c r="B641" s="8">
        <v>25.27</v>
      </c>
      <c r="C641" s="8">
        <v>25.256</v>
      </c>
      <c r="D641" s="8">
        <v>25.26</v>
      </c>
      <c r="E641" s="8">
        <v>25.274999999999999</v>
      </c>
      <c r="F641" s="8">
        <v>124363</v>
      </c>
      <c r="G641" s="9">
        <v>59656</v>
      </c>
      <c r="H641" s="6">
        <f t="shared" si="18"/>
        <v>25.267499999999998</v>
      </c>
      <c r="I641">
        <f t="shared" si="19"/>
        <v>8.1795511221944839E-3</v>
      </c>
    </row>
    <row r="642" spans="1:9" ht="15" customHeight="1" x14ac:dyDescent="0.2">
      <c r="A642" s="3">
        <v>45124</v>
      </c>
      <c r="B642" s="4">
        <v>25.06</v>
      </c>
      <c r="C642" s="4">
        <v>25.018000000000001</v>
      </c>
      <c r="D642" s="4">
        <v>25.055</v>
      </c>
      <c r="E642" s="4">
        <v>25.07</v>
      </c>
      <c r="F642" s="4">
        <v>121842</v>
      </c>
      <c r="G642" s="5">
        <v>43197</v>
      </c>
      <c r="H642" s="6">
        <f t="shared" si="18"/>
        <v>25.0625</v>
      </c>
      <c r="I642">
        <f t="shared" si="19"/>
        <v>-3.6772013516199742E-3</v>
      </c>
    </row>
    <row r="643" spans="1:9" ht="15" customHeight="1" x14ac:dyDescent="0.2">
      <c r="A643" s="7">
        <v>45121</v>
      </c>
      <c r="B643" s="8">
        <v>25.16</v>
      </c>
      <c r="C643" s="8">
        <v>25.193999999999999</v>
      </c>
      <c r="D643" s="8">
        <v>25.145</v>
      </c>
      <c r="E643" s="8">
        <v>25.164999999999999</v>
      </c>
      <c r="F643" s="8">
        <v>118685</v>
      </c>
      <c r="G643" s="9">
        <v>69262</v>
      </c>
      <c r="H643" s="6">
        <f t="shared" si="18"/>
        <v>25.155000000000001</v>
      </c>
      <c r="I643">
        <f t="shared" si="19"/>
        <v>2.191235059761043E-3</v>
      </c>
    </row>
    <row r="644" spans="1:9" ht="15" customHeight="1" x14ac:dyDescent="0.2">
      <c r="A644" s="3">
        <v>45120</v>
      </c>
      <c r="B644" s="4">
        <v>25.105</v>
      </c>
      <c r="C644" s="4">
        <v>24.949000000000002</v>
      </c>
      <c r="D644" s="4">
        <v>25.094999999999999</v>
      </c>
      <c r="E644" s="4">
        <v>25.105</v>
      </c>
      <c r="F644" s="4">
        <v>107746</v>
      </c>
      <c r="G644" s="5">
        <v>85219</v>
      </c>
      <c r="H644" s="6">
        <f t="shared" si="18"/>
        <v>25.1</v>
      </c>
      <c r="I644">
        <f t="shared" si="19"/>
        <v>3.1436202999794549E-2</v>
      </c>
    </row>
    <row r="645" spans="1:9" ht="15" customHeight="1" x14ac:dyDescent="0.2">
      <c r="A645" s="7">
        <v>45119</v>
      </c>
      <c r="B645" s="8">
        <v>24.335000000000001</v>
      </c>
      <c r="C645" s="8">
        <v>24.31</v>
      </c>
      <c r="D645" s="8">
        <v>24.33</v>
      </c>
      <c r="E645" s="8">
        <v>24.34</v>
      </c>
      <c r="F645" s="8">
        <v>102993</v>
      </c>
      <c r="G645" s="9">
        <v>78832</v>
      </c>
      <c r="H645" s="6">
        <f t="shared" ref="H645:H708" si="20">AVERAGE(D645:E645)</f>
        <v>24.335000000000001</v>
      </c>
      <c r="I645">
        <f t="shared" ref="I645:I708" si="21">H645/H646-1</f>
        <v>4.3524871355060002E-2</v>
      </c>
    </row>
    <row r="646" spans="1:9" ht="15" customHeight="1" x14ac:dyDescent="0.2">
      <c r="A646" s="3">
        <v>45118</v>
      </c>
      <c r="B646" s="4">
        <v>23.32</v>
      </c>
      <c r="C646" s="4">
        <v>23.280999999999999</v>
      </c>
      <c r="D646" s="4">
        <v>23.31</v>
      </c>
      <c r="E646" s="4">
        <v>23.33</v>
      </c>
      <c r="F646" s="4">
        <v>105104</v>
      </c>
      <c r="G646" s="5">
        <v>34111</v>
      </c>
      <c r="H646" s="6">
        <f t="shared" si="20"/>
        <v>23.32</v>
      </c>
      <c r="I646">
        <f t="shared" si="21"/>
        <v>-6.4281122776943533E-4</v>
      </c>
    </row>
    <row r="647" spans="1:9" ht="15" customHeight="1" x14ac:dyDescent="0.2">
      <c r="A647" s="7">
        <v>45117</v>
      </c>
      <c r="B647" s="8">
        <v>23.335000000000001</v>
      </c>
      <c r="C647" s="8">
        <v>23.344999999999999</v>
      </c>
      <c r="D647" s="8">
        <v>23.33</v>
      </c>
      <c r="E647" s="8">
        <v>23.34</v>
      </c>
      <c r="F647" s="8">
        <v>104076</v>
      </c>
      <c r="G647" s="9">
        <v>37091</v>
      </c>
      <c r="H647" s="6">
        <f t="shared" si="20"/>
        <v>23.335000000000001</v>
      </c>
      <c r="I647">
        <f t="shared" si="21"/>
        <v>1.9321597252039968E-3</v>
      </c>
    </row>
    <row r="648" spans="1:9" ht="15" customHeight="1" x14ac:dyDescent="0.2">
      <c r="A648" s="3">
        <v>45114</v>
      </c>
      <c r="B648" s="4">
        <v>23.285</v>
      </c>
      <c r="C648" s="4">
        <v>23.289000000000001</v>
      </c>
      <c r="D648" s="4">
        <v>23.28</v>
      </c>
      <c r="E648" s="4">
        <v>23.3</v>
      </c>
      <c r="F648" s="4">
        <v>103633</v>
      </c>
      <c r="G648" s="5">
        <v>47682</v>
      </c>
      <c r="H648" s="6">
        <f t="shared" si="20"/>
        <v>23.29</v>
      </c>
      <c r="I648">
        <f t="shared" si="21"/>
        <v>1.6253954401658E-2</v>
      </c>
    </row>
    <row r="649" spans="1:9" ht="15" customHeight="1" x14ac:dyDescent="0.2">
      <c r="A649" s="7">
        <v>45113</v>
      </c>
      <c r="B649" s="8">
        <v>22.914999999999999</v>
      </c>
      <c r="C649" s="8">
        <v>22.89</v>
      </c>
      <c r="D649" s="8">
        <v>22.91</v>
      </c>
      <c r="E649" s="8">
        <v>22.925000000000001</v>
      </c>
      <c r="F649" s="8">
        <v>102649</v>
      </c>
      <c r="G649" s="9">
        <v>59995</v>
      </c>
      <c r="H649" s="6">
        <f t="shared" si="20"/>
        <v>22.9175</v>
      </c>
      <c r="I649">
        <f t="shared" si="21"/>
        <v>-1.8417389442124454E-2</v>
      </c>
    </row>
    <row r="650" spans="1:9" ht="15" customHeight="1" x14ac:dyDescent="0.2">
      <c r="A650" s="3">
        <v>45112</v>
      </c>
      <c r="B650" s="4">
        <v>23.344999999999999</v>
      </c>
      <c r="C650" s="4">
        <v>23.402000000000001</v>
      </c>
      <c r="D650" s="4">
        <v>23.34</v>
      </c>
      <c r="E650" s="4">
        <v>23.355</v>
      </c>
      <c r="F650" s="4">
        <v>100005</v>
      </c>
      <c r="G650" s="5">
        <v>80611</v>
      </c>
      <c r="H650" s="6">
        <f t="shared" si="20"/>
        <v>23.3475</v>
      </c>
      <c r="I650">
        <f t="shared" si="21"/>
        <v>1.0276936391172775E-2</v>
      </c>
    </row>
    <row r="651" spans="1:9" ht="15" customHeight="1" x14ac:dyDescent="0.2">
      <c r="A651" s="7">
        <v>45110</v>
      </c>
      <c r="B651" s="8">
        <v>23.11</v>
      </c>
      <c r="C651" s="8">
        <v>23.111999999999998</v>
      </c>
      <c r="D651" s="8">
        <v>23.105</v>
      </c>
      <c r="E651" s="8">
        <v>23.114999999999998</v>
      </c>
      <c r="F651" s="8">
        <v>99538</v>
      </c>
      <c r="G651" s="9">
        <v>44809</v>
      </c>
      <c r="H651" s="6">
        <f t="shared" si="20"/>
        <v>23.11</v>
      </c>
      <c r="I651">
        <f t="shared" si="21"/>
        <v>5.5476993364516058E-3</v>
      </c>
    </row>
    <row r="652" spans="1:9" ht="15" customHeight="1" x14ac:dyDescent="0.2">
      <c r="A652" s="3">
        <v>45107</v>
      </c>
      <c r="B652" s="4">
        <v>22.984999999999999</v>
      </c>
      <c r="C652" s="4">
        <v>23.02</v>
      </c>
      <c r="D652" s="4">
        <v>22.975000000000001</v>
      </c>
      <c r="E652" s="4">
        <v>22.99</v>
      </c>
      <c r="F652" s="4">
        <v>100421</v>
      </c>
      <c r="G652" s="5">
        <v>43745</v>
      </c>
      <c r="H652" s="6">
        <f t="shared" si="20"/>
        <v>22.982500000000002</v>
      </c>
      <c r="I652">
        <f t="shared" si="21"/>
        <v>9.221648918651848E-3</v>
      </c>
    </row>
    <row r="653" spans="1:9" ht="15" customHeight="1" x14ac:dyDescent="0.2">
      <c r="A653" s="7">
        <v>45106</v>
      </c>
      <c r="B653" s="8">
        <v>22.77</v>
      </c>
      <c r="C653" s="8">
        <v>22.797999999999998</v>
      </c>
      <c r="D653" s="8">
        <v>22.765000000000001</v>
      </c>
      <c r="E653" s="8">
        <v>22.78</v>
      </c>
      <c r="F653" s="8">
        <v>98087</v>
      </c>
      <c r="G653" s="9">
        <v>54795</v>
      </c>
      <c r="H653" s="6">
        <f t="shared" si="20"/>
        <v>22.772500000000001</v>
      </c>
      <c r="I653">
        <f t="shared" si="21"/>
        <v>1.2090569355904801E-3</v>
      </c>
    </row>
    <row r="654" spans="1:9" ht="15" customHeight="1" x14ac:dyDescent="0.2">
      <c r="A654" s="3">
        <v>45105</v>
      </c>
      <c r="B654" s="4">
        <v>22.745000000000001</v>
      </c>
      <c r="C654" s="4">
        <v>22.888999999999999</v>
      </c>
      <c r="D654" s="4">
        <v>22.734999999999999</v>
      </c>
      <c r="E654" s="4">
        <v>22.754999999999999</v>
      </c>
      <c r="F654" s="4">
        <v>16610</v>
      </c>
      <c r="G654" s="5">
        <v>34261</v>
      </c>
      <c r="H654" s="6">
        <f t="shared" si="20"/>
        <v>22.744999999999997</v>
      </c>
      <c r="I654">
        <f t="shared" si="21"/>
        <v>-7.3104200763777216E-3</v>
      </c>
    </row>
    <row r="655" spans="1:9" ht="15" customHeight="1" x14ac:dyDescent="0.2">
      <c r="A655" s="7">
        <v>45104</v>
      </c>
      <c r="B655" s="8">
        <v>22.91</v>
      </c>
      <c r="C655" s="8">
        <v>22.96</v>
      </c>
      <c r="D655" s="8">
        <v>22.905000000000001</v>
      </c>
      <c r="E655" s="8">
        <v>22.92</v>
      </c>
      <c r="F655" s="8">
        <v>27870</v>
      </c>
      <c r="G655" s="9">
        <v>48212</v>
      </c>
      <c r="H655" s="6">
        <f t="shared" si="20"/>
        <v>22.912500000000001</v>
      </c>
      <c r="I655">
        <f t="shared" si="21"/>
        <v>3.7235790165370819E-3</v>
      </c>
    </row>
    <row r="656" spans="1:9" ht="15" customHeight="1" x14ac:dyDescent="0.2">
      <c r="A656" s="3">
        <v>45103</v>
      </c>
      <c r="B656" s="4">
        <v>22.824999999999999</v>
      </c>
      <c r="C656" s="4">
        <v>22.826000000000001</v>
      </c>
      <c r="D656" s="4">
        <v>22.82</v>
      </c>
      <c r="E656" s="4">
        <v>22.835000000000001</v>
      </c>
      <c r="F656" s="4">
        <v>39367</v>
      </c>
      <c r="G656" s="5">
        <v>57053</v>
      </c>
      <c r="H656" s="6">
        <f t="shared" si="20"/>
        <v>22.827500000000001</v>
      </c>
      <c r="I656">
        <f t="shared" si="21"/>
        <v>1.65887330215988E-2</v>
      </c>
    </row>
    <row r="657" spans="1:9" ht="15" customHeight="1" x14ac:dyDescent="0.2">
      <c r="A657" s="7">
        <v>45100</v>
      </c>
      <c r="B657" s="8">
        <v>22.454999999999998</v>
      </c>
      <c r="C657" s="8">
        <v>22.353999999999999</v>
      </c>
      <c r="D657" s="8">
        <v>22.45</v>
      </c>
      <c r="E657" s="8">
        <v>22.46</v>
      </c>
      <c r="F657" s="8">
        <v>46770</v>
      </c>
      <c r="G657" s="9">
        <v>51717</v>
      </c>
      <c r="H657" s="6">
        <f t="shared" si="20"/>
        <v>22.454999999999998</v>
      </c>
      <c r="I657">
        <f t="shared" si="21"/>
        <v>7.8545780969478951E-3</v>
      </c>
    </row>
    <row r="658" spans="1:9" ht="15" customHeight="1" x14ac:dyDescent="0.2">
      <c r="A658" s="3">
        <v>45099</v>
      </c>
      <c r="B658" s="4">
        <v>22.28</v>
      </c>
      <c r="C658" s="4">
        <v>22.466999999999999</v>
      </c>
      <c r="D658" s="4">
        <v>22.274999999999999</v>
      </c>
      <c r="E658" s="4">
        <v>22.285</v>
      </c>
      <c r="F658" s="4">
        <v>53520</v>
      </c>
      <c r="G658" s="5">
        <v>56020</v>
      </c>
      <c r="H658" s="6">
        <f t="shared" si="20"/>
        <v>22.28</v>
      </c>
      <c r="I658">
        <f t="shared" si="21"/>
        <v>-1.8177812052440179E-2</v>
      </c>
    </row>
    <row r="659" spans="1:9" ht="15" customHeight="1" x14ac:dyDescent="0.2">
      <c r="A659" s="7">
        <v>45098</v>
      </c>
      <c r="B659" s="8">
        <v>22.695</v>
      </c>
      <c r="C659" s="8">
        <v>22.81</v>
      </c>
      <c r="D659" s="8">
        <v>22.684999999999999</v>
      </c>
      <c r="E659" s="8">
        <v>22.7</v>
      </c>
      <c r="F659" s="8">
        <v>60955</v>
      </c>
      <c r="G659" s="9">
        <v>75547</v>
      </c>
      <c r="H659" s="6">
        <f t="shared" si="20"/>
        <v>22.692499999999999</v>
      </c>
      <c r="I659">
        <f t="shared" si="21"/>
        <v>-2.2296423955191824E-2</v>
      </c>
    </row>
    <row r="660" spans="1:9" ht="15" customHeight="1" x14ac:dyDescent="0.2">
      <c r="A660" s="3">
        <v>45097</v>
      </c>
      <c r="B660" s="4">
        <v>23.21</v>
      </c>
      <c r="C660" s="4">
        <v>23.234000000000002</v>
      </c>
      <c r="D660" s="4">
        <v>23.204999999999998</v>
      </c>
      <c r="E660" s="4">
        <v>23.215</v>
      </c>
      <c r="F660" s="4">
        <v>63549</v>
      </c>
      <c r="G660" s="5">
        <v>108963</v>
      </c>
      <c r="H660" s="6">
        <f t="shared" si="20"/>
        <v>23.21</v>
      </c>
      <c r="I660">
        <f t="shared" si="21"/>
        <v>-4.3675319324268602E-2</v>
      </c>
    </row>
    <row r="661" spans="1:9" ht="15" customHeight="1" x14ac:dyDescent="0.2">
      <c r="A661" s="7">
        <v>45093</v>
      </c>
      <c r="B661" s="8">
        <v>24.27</v>
      </c>
      <c r="C661" s="8">
        <v>24.126000000000001</v>
      </c>
      <c r="D661" s="8">
        <v>24.265000000000001</v>
      </c>
      <c r="E661" s="8">
        <v>24.274999999999999</v>
      </c>
      <c r="F661" s="8">
        <v>67907</v>
      </c>
      <c r="G661" s="9">
        <v>61394</v>
      </c>
      <c r="H661" s="6">
        <f t="shared" si="20"/>
        <v>24.27</v>
      </c>
      <c r="I661">
        <f t="shared" si="21"/>
        <v>1.2726893386188154E-2</v>
      </c>
    </row>
    <row r="662" spans="1:9" ht="15" customHeight="1" x14ac:dyDescent="0.2">
      <c r="A662" s="3">
        <v>45092</v>
      </c>
      <c r="B662" s="4">
        <v>23.965</v>
      </c>
      <c r="C662" s="4">
        <v>23.946999999999999</v>
      </c>
      <c r="D662" s="4">
        <v>23.96</v>
      </c>
      <c r="E662" s="4">
        <v>23.97</v>
      </c>
      <c r="F662" s="4">
        <v>71912</v>
      </c>
      <c r="G662" s="5">
        <v>86909</v>
      </c>
      <c r="H662" s="6">
        <f t="shared" si="20"/>
        <v>23.965</v>
      </c>
      <c r="I662">
        <f t="shared" si="21"/>
        <v>-1.9781363872982682E-3</v>
      </c>
    </row>
    <row r="663" spans="1:9" ht="15" customHeight="1" x14ac:dyDescent="0.2">
      <c r="A663" s="7">
        <v>45091</v>
      </c>
      <c r="B663" s="8">
        <v>24.01</v>
      </c>
      <c r="C663" s="8">
        <v>24.105</v>
      </c>
      <c r="D663" s="8">
        <v>24.004999999999999</v>
      </c>
      <c r="E663" s="8">
        <v>24.02</v>
      </c>
      <c r="F663" s="8">
        <v>78244</v>
      </c>
      <c r="G663" s="9">
        <v>57204</v>
      </c>
      <c r="H663" s="6">
        <f t="shared" si="20"/>
        <v>24.012499999999999</v>
      </c>
      <c r="I663">
        <f t="shared" si="21"/>
        <v>1.1585044760400232E-2</v>
      </c>
    </row>
    <row r="664" spans="1:9" ht="15" customHeight="1" x14ac:dyDescent="0.2">
      <c r="A664" s="3">
        <v>45090</v>
      </c>
      <c r="B664" s="4">
        <v>23.734999999999999</v>
      </c>
      <c r="C664" s="4">
        <v>23.821999999999999</v>
      </c>
      <c r="D664" s="4">
        <v>23.73</v>
      </c>
      <c r="E664" s="4">
        <v>23.745000000000001</v>
      </c>
      <c r="F664" s="4">
        <v>81411</v>
      </c>
      <c r="G664" s="5">
        <v>70666</v>
      </c>
      <c r="H664" s="6">
        <f t="shared" si="20"/>
        <v>23.737500000000001</v>
      </c>
      <c r="I664">
        <f t="shared" si="21"/>
        <v>-1.6877200248498592E-2</v>
      </c>
    </row>
    <row r="665" spans="1:9" ht="15" customHeight="1" x14ac:dyDescent="0.2">
      <c r="A665" s="7">
        <v>45089</v>
      </c>
      <c r="B665" s="8">
        <v>24.15</v>
      </c>
      <c r="C665" s="8">
        <v>24.059000000000001</v>
      </c>
      <c r="D665" s="8">
        <v>24.14</v>
      </c>
      <c r="E665" s="8">
        <v>24.15</v>
      </c>
      <c r="F665" s="8">
        <v>86163</v>
      </c>
      <c r="G665" s="9">
        <v>54070</v>
      </c>
      <c r="H665" s="6">
        <f t="shared" si="20"/>
        <v>24.145</v>
      </c>
      <c r="I665">
        <f t="shared" si="21"/>
        <v>-9.9436186570989182E-3</v>
      </c>
    </row>
    <row r="666" spans="1:9" ht="15" customHeight="1" x14ac:dyDescent="0.2">
      <c r="A666" s="3">
        <v>45086</v>
      </c>
      <c r="B666" s="4">
        <v>24.395</v>
      </c>
      <c r="C666" s="4">
        <v>24.41</v>
      </c>
      <c r="D666" s="4">
        <v>24.38</v>
      </c>
      <c r="E666" s="4">
        <v>24.395</v>
      </c>
      <c r="F666" s="4">
        <v>89922</v>
      </c>
      <c r="G666" s="5">
        <v>61691</v>
      </c>
      <c r="H666" s="6">
        <f t="shared" si="20"/>
        <v>24.387499999999999</v>
      </c>
      <c r="I666">
        <f t="shared" si="21"/>
        <v>9.2345577672880985E-4</v>
      </c>
    </row>
    <row r="667" spans="1:9" ht="15" customHeight="1" x14ac:dyDescent="0.2">
      <c r="A667" s="7">
        <v>45085</v>
      </c>
      <c r="B667" s="8">
        <v>24.364999999999998</v>
      </c>
      <c r="C667" s="8">
        <v>24.347999999999999</v>
      </c>
      <c r="D667" s="8">
        <v>24.36</v>
      </c>
      <c r="E667" s="8">
        <v>24.37</v>
      </c>
      <c r="F667" s="8">
        <v>91494</v>
      </c>
      <c r="G667" s="9">
        <v>80525</v>
      </c>
      <c r="H667" s="6">
        <f t="shared" si="20"/>
        <v>24.365000000000002</v>
      </c>
      <c r="I667">
        <f t="shared" si="21"/>
        <v>3.5816771176533146E-2</v>
      </c>
    </row>
    <row r="668" spans="1:9" ht="15" customHeight="1" x14ac:dyDescent="0.2">
      <c r="A668" s="3">
        <v>45084</v>
      </c>
      <c r="B668" s="4">
        <v>23.515000000000001</v>
      </c>
      <c r="C668" s="4">
        <v>23.529</v>
      </c>
      <c r="D668" s="4">
        <v>23.515000000000001</v>
      </c>
      <c r="E668" s="4">
        <v>23.53</v>
      </c>
      <c r="F668" s="4">
        <v>95542</v>
      </c>
      <c r="G668" s="5">
        <v>70593</v>
      </c>
      <c r="H668" s="6">
        <f t="shared" si="20"/>
        <v>23.522500000000001</v>
      </c>
      <c r="I668">
        <f t="shared" si="21"/>
        <v>-6.4413938753959954E-3</v>
      </c>
    </row>
    <row r="669" spans="1:9" ht="15" customHeight="1" x14ac:dyDescent="0.2">
      <c r="A669" s="7">
        <v>45083</v>
      </c>
      <c r="B669" s="8">
        <v>23.675000000000001</v>
      </c>
      <c r="C669" s="8">
        <v>23.67</v>
      </c>
      <c r="D669" s="8">
        <v>23.67</v>
      </c>
      <c r="E669" s="8">
        <v>23.68</v>
      </c>
      <c r="F669" s="8">
        <v>95176</v>
      </c>
      <c r="G669" s="9">
        <v>43603</v>
      </c>
      <c r="H669" s="6">
        <f t="shared" si="20"/>
        <v>23.675000000000001</v>
      </c>
      <c r="I669">
        <f t="shared" si="21"/>
        <v>6.3398140321213603E-4</v>
      </c>
    </row>
    <row r="670" spans="1:9" ht="15" customHeight="1" x14ac:dyDescent="0.2">
      <c r="A670" s="3">
        <v>45082</v>
      </c>
      <c r="B670" s="4">
        <v>23.66</v>
      </c>
      <c r="C670" s="4">
        <v>23.635000000000002</v>
      </c>
      <c r="D670" s="4">
        <v>23.655000000000001</v>
      </c>
      <c r="E670" s="4">
        <v>23.664999999999999</v>
      </c>
      <c r="F670" s="4">
        <v>96975</v>
      </c>
      <c r="G670" s="5">
        <v>46347</v>
      </c>
      <c r="H670" s="6">
        <f t="shared" si="20"/>
        <v>23.66</v>
      </c>
      <c r="I670">
        <f t="shared" si="21"/>
        <v>-1.6877637130801038E-3</v>
      </c>
    </row>
    <row r="671" spans="1:9" ht="15" customHeight="1" x14ac:dyDescent="0.2">
      <c r="A671" s="7">
        <v>45079</v>
      </c>
      <c r="B671" s="8">
        <v>23.695</v>
      </c>
      <c r="C671" s="8">
        <v>23.747</v>
      </c>
      <c r="D671" s="8">
        <v>23.695</v>
      </c>
      <c r="E671" s="8">
        <v>23.704999999999998</v>
      </c>
      <c r="F671" s="8">
        <v>98638</v>
      </c>
      <c r="G671" s="9">
        <v>59741</v>
      </c>
      <c r="H671" s="6">
        <f t="shared" si="20"/>
        <v>23.7</v>
      </c>
      <c r="I671">
        <f t="shared" si="21"/>
        <v>-1.1779422495569736E-2</v>
      </c>
    </row>
    <row r="672" spans="1:9" ht="15" customHeight="1" x14ac:dyDescent="0.2">
      <c r="A672" s="3">
        <v>45078</v>
      </c>
      <c r="B672" s="4">
        <v>23.98</v>
      </c>
      <c r="C672" s="4">
        <v>23.986999999999998</v>
      </c>
      <c r="D672" s="4">
        <v>23.975000000000001</v>
      </c>
      <c r="E672" s="4">
        <v>23.99</v>
      </c>
      <c r="F672" s="4">
        <v>100616</v>
      </c>
      <c r="G672" s="5">
        <v>75885</v>
      </c>
      <c r="H672" s="6">
        <f t="shared" si="20"/>
        <v>23.982500000000002</v>
      </c>
      <c r="I672">
        <f t="shared" si="21"/>
        <v>1.5562142705907167E-2</v>
      </c>
    </row>
    <row r="673" spans="1:9" ht="15" customHeight="1" x14ac:dyDescent="0.2">
      <c r="A673" s="7">
        <v>45077</v>
      </c>
      <c r="B673" s="8">
        <v>23.614999999999998</v>
      </c>
      <c r="C673" s="8">
        <v>23.587</v>
      </c>
      <c r="D673" s="8">
        <v>23.61</v>
      </c>
      <c r="E673" s="8">
        <v>23.62</v>
      </c>
      <c r="F673" s="8">
        <v>102106</v>
      </c>
      <c r="G673" s="9">
        <v>75524</v>
      </c>
      <c r="H673" s="6">
        <f t="shared" si="20"/>
        <v>23.615000000000002</v>
      </c>
      <c r="I673">
        <f t="shared" si="21"/>
        <v>1.4063338701019834E-2</v>
      </c>
    </row>
    <row r="674" spans="1:9" ht="15" customHeight="1" x14ac:dyDescent="0.2">
      <c r="A674" s="3">
        <v>45076</v>
      </c>
      <c r="B674" s="4">
        <v>23.29</v>
      </c>
      <c r="C674" s="4">
        <v>23.239000000000001</v>
      </c>
      <c r="D674" s="4">
        <v>23.28</v>
      </c>
      <c r="E674" s="4">
        <v>23.295000000000002</v>
      </c>
      <c r="F674" s="4">
        <v>104925</v>
      </c>
      <c r="G674" s="5">
        <v>77804</v>
      </c>
      <c r="H674" s="6">
        <f t="shared" si="20"/>
        <v>23.287500000000001</v>
      </c>
      <c r="I674">
        <f t="shared" si="21"/>
        <v>-7.0354972817396888E-3</v>
      </c>
    </row>
    <row r="675" spans="1:9" ht="15" customHeight="1" x14ac:dyDescent="0.2">
      <c r="A675" s="7">
        <v>45072</v>
      </c>
      <c r="B675" s="8">
        <v>23.445</v>
      </c>
      <c r="C675" s="8">
        <v>23.36</v>
      </c>
      <c r="D675" s="8">
        <v>23.445</v>
      </c>
      <c r="E675" s="8">
        <v>23.46</v>
      </c>
      <c r="F675" s="8">
        <v>106540</v>
      </c>
      <c r="G675" s="9">
        <v>58990</v>
      </c>
      <c r="H675" s="6">
        <f t="shared" si="20"/>
        <v>23.452500000000001</v>
      </c>
      <c r="I675">
        <f t="shared" si="21"/>
        <v>2.6704607639268962E-2</v>
      </c>
    </row>
    <row r="676" spans="1:9" ht="15" customHeight="1" x14ac:dyDescent="0.2">
      <c r="A676" s="3">
        <v>45071</v>
      </c>
      <c r="B676" s="4">
        <v>22.85</v>
      </c>
      <c r="C676" s="4">
        <v>22.91</v>
      </c>
      <c r="D676" s="4">
        <v>22.835000000000001</v>
      </c>
      <c r="E676" s="4">
        <v>22.85</v>
      </c>
      <c r="F676" s="4">
        <v>107296</v>
      </c>
      <c r="G676" s="5">
        <v>61485</v>
      </c>
      <c r="H676" s="6">
        <f t="shared" si="20"/>
        <v>22.842500000000001</v>
      </c>
      <c r="I676">
        <f t="shared" si="21"/>
        <v>-1.4241018448592047E-2</v>
      </c>
    </row>
    <row r="677" spans="1:9" ht="15" customHeight="1" x14ac:dyDescent="0.2">
      <c r="A677" s="7">
        <v>45070</v>
      </c>
      <c r="B677" s="8">
        <v>23.17</v>
      </c>
      <c r="C677" s="8">
        <v>23.24</v>
      </c>
      <c r="D677" s="8">
        <v>23.164999999999999</v>
      </c>
      <c r="E677" s="8">
        <v>23.18</v>
      </c>
      <c r="F677" s="8">
        <v>109343</v>
      </c>
      <c r="G677" s="9">
        <v>50310</v>
      </c>
      <c r="H677" s="6">
        <f t="shared" si="20"/>
        <v>23.172499999999999</v>
      </c>
      <c r="I677">
        <f t="shared" si="21"/>
        <v>-1.7698177193726128E-2</v>
      </c>
    </row>
    <row r="678" spans="1:9" ht="15" customHeight="1" x14ac:dyDescent="0.2">
      <c r="A678" s="3">
        <v>45069</v>
      </c>
      <c r="B678" s="4">
        <v>23.585000000000001</v>
      </c>
      <c r="C678" s="4">
        <v>23.623999999999999</v>
      </c>
      <c r="D678" s="4">
        <v>23.585000000000001</v>
      </c>
      <c r="E678" s="4">
        <v>23.594999999999999</v>
      </c>
      <c r="F678" s="4">
        <v>112144</v>
      </c>
      <c r="G678" s="5">
        <v>59099</v>
      </c>
      <c r="H678" s="6">
        <f t="shared" si="20"/>
        <v>23.59</v>
      </c>
      <c r="I678">
        <f t="shared" si="21"/>
        <v>-8.4068936527952332E-3</v>
      </c>
    </row>
    <row r="679" spans="1:9" ht="15" customHeight="1" x14ac:dyDescent="0.2">
      <c r="A679" s="7">
        <v>45068</v>
      </c>
      <c r="B679" s="8">
        <v>23.79</v>
      </c>
      <c r="C679" s="8">
        <v>23.861000000000001</v>
      </c>
      <c r="D679" s="8">
        <v>23.785</v>
      </c>
      <c r="E679" s="8">
        <v>23.795000000000002</v>
      </c>
      <c r="F679" s="8">
        <v>112391</v>
      </c>
      <c r="G679" s="9">
        <v>38483</v>
      </c>
      <c r="H679" s="6">
        <f t="shared" si="20"/>
        <v>23.79</v>
      </c>
      <c r="I679">
        <f t="shared" si="21"/>
        <v>-9.5753538717735509E-3</v>
      </c>
    </row>
    <row r="680" spans="1:9" ht="15" customHeight="1" x14ac:dyDescent="0.2">
      <c r="A680" s="3">
        <v>45065</v>
      </c>
      <c r="B680" s="4">
        <v>24.02</v>
      </c>
      <c r="C680" s="4">
        <v>24.06</v>
      </c>
      <c r="D680" s="4">
        <v>24.015000000000001</v>
      </c>
      <c r="E680" s="4">
        <v>24.024999999999999</v>
      </c>
      <c r="F680" s="4">
        <v>113675</v>
      </c>
      <c r="G680" s="5">
        <v>55419</v>
      </c>
      <c r="H680" s="6">
        <f t="shared" si="20"/>
        <v>24.02</v>
      </c>
      <c r="I680">
        <f t="shared" si="21"/>
        <v>1.5430141619108051E-2</v>
      </c>
    </row>
    <row r="681" spans="1:9" ht="15" customHeight="1" x14ac:dyDescent="0.2">
      <c r="A681" s="7">
        <v>45064</v>
      </c>
      <c r="B681" s="8">
        <v>23.66</v>
      </c>
      <c r="C681" s="8">
        <v>23.632999999999999</v>
      </c>
      <c r="D681" s="8">
        <v>23.65</v>
      </c>
      <c r="E681" s="8">
        <v>23.66</v>
      </c>
      <c r="F681" s="8">
        <v>114555</v>
      </c>
      <c r="G681" s="9">
        <v>45061</v>
      </c>
      <c r="H681" s="6">
        <f t="shared" si="20"/>
        <v>23.655000000000001</v>
      </c>
      <c r="I681">
        <f t="shared" si="21"/>
        <v>-1.1698349697096377E-2</v>
      </c>
    </row>
    <row r="682" spans="1:9" ht="15" customHeight="1" x14ac:dyDescent="0.2">
      <c r="A682" s="3">
        <v>45063</v>
      </c>
      <c r="B682" s="4">
        <v>23.934999999999999</v>
      </c>
      <c r="C682" s="4">
        <v>23.896999999999998</v>
      </c>
      <c r="D682" s="4">
        <v>23.93</v>
      </c>
      <c r="E682" s="4">
        <v>23.94</v>
      </c>
      <c r="F682" s="4">
        <v>115507</v>
      </c>
      <c r="G682" s="5">
        <v>48929</v>
      </c>
      <c r="H682" s="6">
        <f t="shared" si="20"/>
        <v>23.935000000000002</v>
      </c>
      <c r="I682">
        <f t="shared" si="21"/>
        <v>6.2709030100327467E-4</v>
      </c>
    </row>
    <row r="683" spans="1:9" ht="15" customHeight="1" x14ac:dyDescent="0.2">
      <c r="A683" s="7">
        <v>45062</v>
      </c>
      <c r="B683" s="8">
        <v>23.92</v>
      </c>
      <c r="C683" s="8">
        <v>23.893000000000001</v>
      </c>
      <c r="D683" s="8">
        <v>23.914999999999999</v>
      </c>
      <c r="E683" s="8">
        <v>23.925000000000001</v>
      </c>
      <c r="F683" s="8">
        <v>116842</v>
      </c>
      <c r="G683" s="9">
        <v>62380</v>
      </c>
      <c r="H683" s="6">
        <f t="shared" si="20"/>
        <v>23.92</v>
      </c>
      <c r="I683">
        <f t="shared" si="21"/>
        <v>-1.4421096003296108E-2</v>
      </c>
    </row>
    <row r="684" spans="1:9" ht="15" customHeight="1" x14ac:dyDescent="0.2">
      <c r="A684" s="3">
        <v>45061</v>
      </c>
      <c r="B684" s="4">
        <v>24.265000000000001</v>
      </c>
      <c r="C684" s="4">
        <v>24.291</v>
      </c>
      <c r="D684" s="4">
        <v>24.265000000000001</v>
      </c>
      <c r="E684" s="4">
        <v>24.274999999999999</v>
      </c>
      <c r="F684" s="4">
        <v>119088</v>
      </c>
      <c r="G684" s="5">
        <v>41304</v>
      </c>
      <c r="H684" s="6">
        <f t="shared" si="20"/>
        <v>24.27</v>
      </c>
      <c r="I684">
        <f t="shared" si="21"/>
        <v>5.5935363579864283E-3</v>
      </c>
    </row>
    <row r="685" spans="1:9" ht="15" customHeight="1" x14ac:dyDescent="0.2">
      <c r="A685" s="7">
        <v>45058</v>
      </c>
      <c r="B685" s="8">
        <v>24.13</v>
      </c>
      <c r="C685" s="8">
        <v>24.154</v>
      </c>
      <c r="D685" s="8">
        <v>24.125</v>
      </c>
      <c r="E685" s="8">
        <v>24.145</v>
      </c>
      <c r="F685" s="8">
        <v>124714</v>
      </c>
      <c r="G685" s="9">
        <v>71249</v>
      </c>
      <c r="H685" s="6">
        <f t="shared" si="20"/>
        <v>24.134999999999998</v>
      </c>
      <c r="I685">
        <f t="shared" si="21"/>
        <v>-9.3381221139047232E-3</v>
      </c>
    </row>
    <row r="686" spans="1:9" ht="15" customHeight="1" x14ac:dyDescent="0.2">
      <c r="A686" s="3">
        <v>45057</v>
      </c>
      <c r="B686" s="4">
        <v>24.36</v>
      </c>
      <c r="C686" s="4">
        <v>24.423999999999999</v>
      </c>
      <c r="D686" s="4">
        <v>24.355</v>
      </c>
      <c r="E686" s="4">
        <v>24.37</v>
      </c>
      <c r="F686" s="4">
        <v>124182</v>
      </c>
      <c r="G686" s="5">
        <v>102692</v>
      </c>
      <c r="H686" s="6">
        <f t="shared" si="20"/>
        <v>24.362500000000001</v>
      </c>
      <c r="I686">
        <f t="shared" si="21"/>
        <v>-4.9175529319933631E-2</v>
      </c>
    </row>
    <row r="687" spans="1:9" ht="15" customHeight="1" x14ac:dyDescent="0.2">
      <c r="A687" s="7">
        <v>45056</v>
      </c>
      <c r="B687" s="8">
        <v>25.625</v>
      </c>
      <c r="C687" s="8">
        <v>25.658000000000001</v>
      </c>
      <c r="D687" s="8">
        <v>25.614999999999998</v>
      </c>
      <c r="E687" s="8">
        <v>25.63</v>
      </c>
      <c r="F687" s="8">
        <v>122975</v>
      </c>
      <c r="G687" s="9">
        <v>76799</v>
      </c>
      <c r="H687" s="6">
        <f t="shared" si="20"/>
        <v>25.622499999999999</v>
      </c>
      <c r="I687">
        <f t="shared" si="21"/>
        <v>-8.9924579385032288E-3</v>
      </c>
    </row>
    <row r="688" spans="1:9" ht="15" customHeight="1" x14ac:dyDescent="0.2">
      <c r="A688" s="3">
        <v>45055</v>
      </c>
      <c r="B688" s="4">
        <v>25.86</v>
      </c>
      <c r="C688" s="4">
        <v>25.898</v>
      </c>
      <c r="D688" s="4">
        <v>25.85</v>
      </c>
      <c r="E688" s="4">
        <v>25.86</v>
      </c>
      <c r="F688" s="4">
        <v>123021</v>
      </c>
      <c r="G688" s="5">
        <v>45094</v>
      </c>
      <c r="H688" s="6">
        <f t="shared" si="20"/>
        <v>25.855</v>
      </c>
      <c r="I688">
        <f t="shared" si="21"/>
        <v>2.2288981490454773E-3</v>
      </c>
    </row>
    <row r="689" spans="1:9" ht="15" customHeight="1" x14ac:dyDescent="0.2">
      <c r="A689" s="7">
        <v>45054</v>
      </c>
      <c r="B689" s="8">
        <v>25.795000000000002</v>
      </c>
      <c r="C689" s="8">
        <v>25.834</v>
      </c>
      <c r="D689" s="8">
        <v>25.79</v>
      </c>
      <c r="E689" s="8">
        <v>25.805</v>
      </c>
      <c r="F689" s="8">
        <v>122959</v>
      </c>
      <c r="G689" s="9">
        <v>33812</v>
      </c>
      <c r="H689" s="6">
        <f t="shared" si="20"/>
        <v>25.797499999999999</v>
      </c>
      <c r="I689">
        <f t="shared" si="21"/>
        <v>-5.2058228092163317E-3</v>
      </c>
    </row>
    <row r="690" spans="1:9" ht="15" customHeight="1" x14ac:dyDescent="0.2">
      <c r="A690" s="3">
        <v>45051</v>
      </c>
      <c r="B690" s="4">
        <v>25.93</v>
      </c>
      <c r="C690" s="4">
        <v>25.93</v>
      </c>
      <c r="D690" s="4">
        <v>25.925000000000001</v>
      </c>
      <c r="E690" s="4">
        <v>25.94</v>
      </c>
      <c r="F690" s="4">
        <v>125341</v>
      </c>
      <c r="G690" s="5">
        <v>66745</v>
      </c>
      <c r="H690" s="6">
        <f t="shared" si="20"/>
        <v>25.932500000000001</v>
      </c>
      <c r="I690">
        <f t="shared" si="21"/>
        <v>-1.5470766894457033E-2</v>
      </c>
    </row>
    <row r="691" spans="1:9" ht="15" customHeight="1" x14ac:dyDescent="0.2">
      <c r="A691" s="7">
        <v>45050</v>
      </c>
      <c r="B691" s="8">
        <v>26.34</v>
      </c>
      <c r="C691" s="8">
        <v>26.227</v>
      </c>
      <c r="D691" s="8">
        <v>26.33</v>
      </c>
      <c r="E691" s="8">
        <v>26.35</v>
      </c>
      <c r="F691" s="8">
        <v>120710</v>
      </c>
      <c r="G691" s="9">
        <v>70418</v>
      </c>
      <c r="H691" s="6">
        <f t="shared" si="20"/>
        <v>26.34</v>
      </c>
      <c r="I691">
        <f t="shared" si="21"/>
        <v>1.7971014492753623E-2</v>
      </c>
    </row>
    <row r="692" spans="1:9" ht="15" customHeight="1" x14ac:dyDescent="0.2">
      <c r="A692" s="3">
        <v>45049</v>
      </c>
      <c r="B692" s="4">
        <v>25.88</v>
      </c>
      <c r="C692" s="4">
        <v>25.681000000000001</v>
      </c>
      <c r="D692" s="4">
        <v>25.844999999999999</v>
      </c>
      <c r="E692" s="4">
        <v>25.905000000000001</v>
      </c>
      <c r="F692" s="4">
        <v>121227</v>
      </c>
      <c r="G692" s="5">
        <v>49165</v>
      </c>
      <c r="H692" s="6">
        <f t="shared" si="20"/>
        <v>25.875</v>
      </c>
      <c r="I692">
        <f t="shared" si="21"/>
        <v>8.7719298245614308E-3</v>
      </c>
    </row>
    <row r="693" spans="1:9" ht="15" customHeight="1" x14ac:dyDescent="0.2">
      <c r="A693" s="7">
        <v>45048</v>
      </c>
      <c r="B693" s="8">
        <v>25.65</v>
      </c>
      <c r="C693" s="8">
        <v>25.619</v>
      </c>
      <c r="D693" s="8">
        <v>25.645</v>
      </c>
      <c r="E693" s="8">
        <v>25.655000000000001</v>
      </c>
      <c r="F693" s="8">
        <v>120704</v>
      </c>
      <c r="G693" s="9">
        <v>61113</v>
      </c>
      <c r="H693" s="6">
        <f t="shared" si="20"/>
        <v>25.65</v>
      </c>
      <c r="I693">
        <f t="shared" si="21"/>
        <v>1.5841584158415856E-2</v>
      </c>
    </row>
    <row r="694" spans="1:9" ht="15" customHeight="1" x14ac:dyDescent="0.2">
      <c r="A694" s="3">
        <v>45047</v>
      </c>
      <c r="B694" s="4">
        <v>25.245000000000001</v>
      </c>
      <c r="C694" s="4">
        <v>25.23</v>
      </c>
      <c r="D694" s="4">
        <v>25.24</v>
      </c>
      <c r="E694" s="4">
        <v>25.26</v>
      </c>
      <c r="F694" s="4">
        <v>118759</v>
      </c>
      <c r="G694" s="5">
        <v>74368</v>
      </c>
      <c r="H694" s="6">
        <f t="shared" si="20"/>
        <v>25.25</v>
      </c>
      <c r="I694">
        <f t="shared" si="21"/>
        <v>-3.2566860751997995E-3</v>
      </c>
    </row>
    <row r="695" spans="1:9" ht="15" customHeight="1" x14ac:dyDescent="0.2">
      <c r="A695" s="7">
        <v>45044</v>
      </c>
      <c r="B695" s="8">
        <v>25.335000000000001</v>
      </c>
      <c r="C695" s="8">
        <v>25.225999999999999</v>
      </c>
      <c r="D695" s="8">
        <v>25.324999999999999</v>
      </c>
      <c r="E695" s="8">
        <v>25.34</v>
      </c>
      <c r="F695" s="8">
        <v>118475</v>
      </c>
      <c r="G695" s="9">
        <v>44193</v>
      </c>
      <c r="H695" s="6">
        <f t="shared" si="20"/>
        <v>25.3325</v>
      </c>
      <c r="I695">
        <f t="shared" si="21"/>
        <v>1.4720608852393235E-2</v>
      </c>
    </row>
    <row r="696" spans="1:9" ht="15" customHeight="1" x14ac:dyDescent="0.2">
      <c r="A696" s="3">
        <v>45043</v>
      </c>
      <c r="B696" s="4">
        <v>24.965</v>
      </c>
      <c r="C696" s="4">
        <v>24.983000000000001</v>
      </c>
      <c r="D696" s="4">
        <v>24.96</v>
      </c>
      <c r="E696" s="4">
        <v>24.97</v>
      </c>
      <c r="F696" s="4">
        <v>7720</v>
      </c>
      <c r="G696" s="5">
        <v>8478</v>
      </c>
      <c r="H696" s="6">
        <f t="shared" si="20"/>
        <v>24.965</v>
      </c>
      <c r="I696">
        <f t="shared" si="21"/>
        <v>2.0032051282048435E-4</v>
      </c>
    </row>
    <row r="697" spans="1:9" ht="15" customHeight="1" x14ac:dyDescent="0.2">
      <c r="A697" s="7">
        <v>45042</v>
      </c>
      <c r="B697" s="8">
        <v>24.95</v>
      </c>
      <c r="C697" s="8">
        <v>24.876000000000001</v>
      </c>
      <c r="D697" s="8">
        <v>24.95</v>
      </c>
      <c r="E697" s="8">
        <v>24.97</v>
      </c>
      <c r="F697" s="8">
        <v>20919</v>
      </c>
      <c r="G697" s="9">
        <v>62045</v>
      </c>
      <c r="H697" s="6">
        <f t="shared" si="20"/>
        <v>24.96</v>
      </c>
      <c r="I697">
        <f t="shared" si="21"/>
        <v>-4.1891083183721589E-3</v>
      </c>
    </row>
    <row r="698" spans="1:9" ht="15" customHeight="1" x14ac:dyDescent="0.2">
      <c r="A698" s="3">
        <v>45041</v>
      </c>
      <c r="B698" s="4">
        <v>25.06</v>
      </c>
      <c r="C698" s="4">
        <v>24.882000000000001</v>
      </c>
      <c r="D698" s="4">
        <v>25.06</v>
      </c>
      <c r="E698" s="4">
        <v>25.07</v>
      </c>
      <c r="F698" s="4">
        <v>34893</v>
      </c>
      <c r="G698" s="5">
        <v>72471</v>
      </c>
      <c r="H698" s="6">
        <f t="shared" si="20"/>
        <v>25.064999999999998</v>
      </c>
      <c r="I698">
        <f t="shared" si="21"/>
        <v>-6.9334389857370615E-3</v>
      </c>
    </row>
    <row r="699" spans="1:9" ht="15" customHeight="1" x14ac:dyDescent="0.2">
      <c r="A699" s="7">
        <v>45040</v>
      </c>
      <c r="B699" s="8">
        <v>25.234999999999999</v>
      </c>
      <c r="C699" s="8">
        <v>25.311</v>
      </c>
      <c r="D699" s="8">
        <v>25.23</v>
      </c>
      <c r="E699" s="8">
        <v>25.25</v>
      </c>
      <c r="F699" s="8">
        <v>44821</v>
      </c>
      <c r="G699" s="9">
        <v>54397</v>
      </c>
      <c r="H699" s="6">
        <f t="shared" si="20"/>
        <v>25.240000000000002</v>
      </c>
      <c r="I699">
        <f t="shared" si="21"/>
        <v>3.2793401570110348E-3</v>
      </c>
    </row>
    <row r="700" spans="1:9" ht="15" customHeight="1" x14ac:dyDescent="0.2">
      <c r="A700" s="3">
        <v>45037</v>
      </c>
      <c r="B700" s="4">
        <v>25.155000000000001</v>
      </c>
      <c r="C700" s="4">
        <v>25.058</v>
      </c>
      <c r="D700" s="4">
        <v>25.155000000000001</v>
      </c>
      <c r="E700" s="4">
        <v>25.16</v>
      </c>
      <c r="F700" s="4">
        <v>51280</v>
      </c>
      <c r="G700" s="5">
        <v>60729</v>
      </c>
      <c r="H700" s="6">
        <f t="shared" si="20"/>
        <v>25.157499999999999</v>
      </c>
      <c r="I700">
        <f t="shared" si="21"/>
        <v>-8.0827994085757027E-3</v>
      </c>
    </row>
    <row r="701" spans="1:9" ht="15" customHeight="1" x14ac:dyDescent="0.2">
      <c r="A701" s="7">
        <v>45036</v>
      </c>
      <c r="B701" s="8">
        <v>25.364999999999998</v>
      </c>
      <c r="C701" s="8">
        <v>25.373000000000001</v>
      </c>
      <c r="D701" s="8">
        <v>25.355</v>
      </c>
      <c r="E701" s="8">
        <v>25.37</v>
      </c>
      <c r="F701" s="8">
        <v>60957</v>
      </c>
      <c r="G701" s="9">
        <v>62698</v>
      </c>
      <c r="H701" s="6">
        <f t="shared" si="20"/>
        <v>25.362500000000001</v>
      </c>
      <c r="I701">
        <f t="shared" si="21"/>
        <v>-5.9107477095854399E-4</v>
      </c>
    </row>
    <row r="702" spans="1:9" ht="15" customHeight="1" x14ac:dyDescent="0.2">
      <c r="A702" s="3">
        <v>45035</v>
      </c>
      <c r="B702" s="4">
        <v>25.375</v>
      </c>
      <c r="C702" s="4">
        <v>25.370999999999999</v>
      </c>
      <c r="D702" s="4">
        <v>25.37</v>
      </c>
      <c r="E702" s="4">
        <v>25.385000000000002</v>
      </c>
      <c r="F702" s="4">
        <v>66264</v>
      </c>
      <c r="G702" s="5">
        <v>73634</v>
      </c>
      <c r="H702" s="6">
        <f t="shared" si="20"/>
        <v>25.377500000000001</v>
      </c>
      <c r="I702">
        <f t="shared" si="21"/>
        <v>3.6582954320742989E-3</v>
      </c>
    </row>
    <row r="703" spans="1:9" ht="15" customHeight="1" x14ac:dyDescent="0.2">
      <c r="A703" s="7">
        <v>45034</v>
      </c>
      <c r="B703" s="8">
        <v>25.29</v>
      </c>
      <c r="C703" s="8">
        <v>25.263000000000002</v>
      </c>
      <c r="D703" s="8">
        <v>25.28</v>
      </c>
      <c r="E703" s="8">
        <v>25.29</v>
      </c>
      <c r="F703" s="8">
        <v>71895</v>
      </c>
      <c r="G703" s="9">
        <v>46800</v>
      </c>
      <c r="H703" s="6">
        <f t="shared" si="20"/>
        <v>25.285</v>
      </c>
      <c r="I703">
        <f t="shared" si="21"/>
        <v>6.1679267807399629E-3</v>
      </c>
    </row>
    <row r="704" spans="1:9" ht="15" customHeight="1" x14ac:dyDescent="0.2">
      <c r="A704" s="3">
        <v>45033</v>
      </c>
      <c r="B704" s="4">
        <v>25.13</v>
      </c>
      <c r="C704" s="4">
        <v>25.088000000000001</v>
      </c>
      <c r="D704" s="4">
        <v>25.125</v>
      </c>
      <c r="E704" s="4">
        <v>25.135000000000002</v>
      </c>
      <c r="F704" s="4">
        <v>74584</v>
      </c>
      <c r="G704" s="5">
        <v>62539</v>
      </c>
      <c r="H704" s="6">
        <f t="shared" si="20"/>
        <v>25.130000000000003</v>
      </c>
      <c r="I704">
        <f t="shared" si="21"/>
        <v>-1.3252184156277602E-2</v>
      </c>
    </row>
    <row r="705" spans="1:9" ht="15" customHeight="1" x14ac:dyDescent="0.2">
      <c r="A705" s="7">
        <v>45030</v>
      </c>
      <c r="B705" s="8">
        <v>25.465</v>
      </c>
      <c r="C705" s="8">
        <v>25.46</v>
      </c>
      <c r="D705" s="8">
        <v>25.46</v>
      </c>
      <c r="E705" s="8">
        <v>25.475000000000001</v>
      </c>
      <c r="F705" s="8">
        <v>79904</v>
      </c>
      <c r="G705" s="9">
        <v>91385</v>
      </c>
      <c r="H705" s="6">
        <f t="shared" si="20"/>
        <v>25.467500000000001</v>
      </c>
      <c r="I705">
        <f t="shared" si="21"/>
        <v>-1.9349249133615576E-2</v>
      </c>
    </row>
    <row r="706" spans="1:9" ht="15" customHeight="1" x14ac:dyDescent="0.2">
      <c r="A706" s="3">
        <v>45029</v>
      </c>
      <c r="B706" s="4">
        <v>25.97</v>
      </c>
      <c r="C706" s="4">
        <v>25.925000000000001</v>
      </c>
      <c r="D706" s="4">
        <v>25.96</v>
      </c>
      <c r="E706" s="4">
        <v>25.98</v>
      </c>
      <c r="F706" s="4">
        <v>81853</v>
      </c>
      <c r="G706" s="5">
        <v>71838</v>
      </c>
      <c r="H706" s="6">
        <f t="shared" si="20"/>
        <v>25.97</v>
      </c>
      <c r="I706">
        <f t="shared" si="21"/>
        <v>1.3562298760854796E-2</v>
      </c>
    </row>
    <row r="707" spans="1:9" ht="15" customHeight="1" x14ac:dyDescent="0.2">
      <c r="A707" s="7">
        <v>45028</v>
      </c>
      <c r="B707" s="8">
        <v>25.63</v>
      </c>
      <c r="C707" s="8">
        <v>25.457999999999998</v>
      </c>
      <c r="D707" s="8">
        <v>25.614999999999998</v>
      </c>
      <c r="E707" s="8">
        <v>25.63</v>
      </c>
      <c r="F707" s="8">
        <v>85559</v>
      </c>
      <c r="G707" s="9">
        <v>85287</v>
      </c>
      <c r="H707" s="6">
        <f t="shared" si="20"/>
        <v>25.622499999999999</v>
      </c>
      <c r="I707">
        <f t="shared" si="21"/>
        <v>1.7270471464019721E-2</v>
      </c>
    </row>
    <row r="708" spans="1:9" ht="15" customHeight="1" x14ac:dyDescent="0.2">
      <c r="A708" s="3">
        <v>45027</v>
      </c>
      <c r="B708" s="4">
        <v>25.19</v>
      </c>
      <c r="C708" s="4">
        <v>25.186</v>
      </c>
      <c r="D708" s="4">
        <v>25.18</v>
      </c>
      <c r="E708" s="4">
        <v>25.195</v>
      </c>
      <c r="F708" s="4">
        <v>89809</v>
      </c>
      <c r="G708" s="5">
        <v>49488</v>
      </c>
      <c r="H708" s="6">
        <f t="shared" si="20"/>
        <v>25.1875</v>
      </c>
      <c r="I708">
        <f t="shared" si="21"/>
        <v>7.1978406478057089E-3</v>
      </c>
    </row>
    <row r="709" spans="1:9" ht="15" customHeight="1" x14ac:dyDescent="0.2">
      <c r="A709" s="7">
        <v>45026</v>
      </c>
      <c r="B709" s="8">
        <v>25.01</v>
      </c>
      <c r="C709" s="8">
        <v>24.911999999999999</v>
      </c>
      <c r="D709" s="8">
        <v>25</v>
      </c>
      <c r="E709" s="8">
        <v>25.015000000000001</v>
      </c>
      <c r="F709" s="8">
        <v>92141</v>
      </c>
      <c r="G709" s="9">
        <v>45594</v>
      </c>
      <c r="H709" s="6">
        <f t="shared" ref="H709:H757" si="22">AVERAGE(D709:E709)</f>
        <v>25.0075</v>
      </c>
      <c r="I709">
        <f t="shared" ref="I709:I757" si="23">H709/H710-1</f>
        <v>-4.9736397095394569E-3</v>
      </c>
    </row>
    <row r="710" spans="1:9" ht="15" customHeight="1" x14ac:dyDescent="0.2">
      <c r="A710" s="3">
        <v>45022</v>
      </c>
      <c r="B710" s="4">
        <v>25.13</v>
      </c>
      <c r="C710" s="4">
        <v>25.093</v>
      </c>
      <c r="D710" s="4">
        <v>25.125</v>
      </c>
      <c r="E710" s="4">
        <v>25.14</v>
      </c>
      <c r="F710" s="4">
        <v>92558</v>
      </c>
      <c r="G710" s="5">
        <v>48181</v>
      </c>
      <c r="H710" s="6">
        <f t="shared" si="22"/>
        <v>25.1325</v>
      </c>
      <c r="I710">
        <f t="shared" si="23"/>
        <v>1.7937219730941312E-3</v>
      </c>
    </row>
    <row r="711" spans="1:9" ht="15" customHeight="1" x14ac:dyDescent="0.2">
      <c r="A711" s="7">
        <v>45021</v>
      </c>
      <c r="B711" s="8">
        <v>25.09</v>
      </c>
      <c r="C711" s="8">
        <v>25.036999999999999</v>
      </c>
      <c r="D711" s="8">
        <v>25.08</v>
      </c>
      <c r="E711" s="8">
        <v>25.094999999999999</v>
      </c>
      <c r="F711" s="8">
        <v>93420</v>
      </c>
      <c r="G711" s="9">
        <v>62709</v>
      </c>
      <c r="H711" s="6">
        <f t="shared" si="22"/>
        <v>25.087499999999999</v>
      </c>
      <c r="I711">
        <f t="shared" si="23"/>
        <v>-3.376700764723406E-3</v>
      </c>
    </row>
    <row r="712" spans="1:9" ht="15" customHeight="1" x14ac:dyDescent="0.2">
      <c r="A712" s="3">
        <v>45020</v>
      </c>
      <c r="B712" s="4">
        <v>25.175000000000001</v>
      </c>
      <c r="C712" s="4">
        <v>25.100999999999999</v>
      </c>
      <c r="D712" s="4">
        <v>25.164999999999999</v>
      </c>
      <c r="E712" s="4">
        <v>25.18</v>
      </c>
      <c r="F712" s="4">
        <v>89718</v>
      </c>
      <c r="G712" s="5">
        <v>75518</v>
      </c>
      <c r="H712" s="6">
        <f t="shared" si="22"/>
        <v>25.172499999999999</v>
      </c>
      <c r="I712">
        <f t="shared" si="23"/>
        <v>4.4177123301876842E-2</v>
      </c>
    </row>
    <row r="713" spans="1:9" ht="15" customHeight="1" x14ac:dyDescent="0.2">
      <c r="A713" s="7">
        <v>45019</v>
      </c>
      <c r="B713" s="8">
        <v>24.105</v>
      </c>
      <c r="C713" s="8">
        <v>24.021000000000001</v>
      </c>
      <c r="D713" s="8">
        <v>24.1</v>
      </c>
      <c r="E713" s="8">
        <v>24.114999999999998</v>
      </c>
      <c r="F713" s="8">
        <v>89957</v>
      </c>
      <c r="G713" s="9">
        <v>57723</v>
      </c>
      <c r="H713" s="6">
        <f t="shared" si="22"/>
        <v>24.107500000000002</v>
      </c>
      <c r="I713">
        <f t="shared" si="23"/>
        <v>-4.953049220926542E-3</v>
      </c>
    </row>
    <row r="714" spans="1:9" ht="15" customHeight="1" x14ac:dyDescent="0.2">
      <c r="A714" s="3">
        <v>45016</v>
      </c>
      <c r="B714" s="4">
        <v>24.234999999999999</v>
      </c>
      <c r="C714" s="4">
        <v>24.155999999999999</v>
      </c>
      <c r="D714" s="4">
        <v>24.215</v>
      </c>
      <c r="E714" s="4">
        <v>24.24</v>
      </c>
      <c r="F714" s="4">
        <v>91056</v>
      </c>
      <c r="G714" s="5">
        <v>56435</v>
      </c>
      <c r="H714" s="6">
        <f t="shared" si="22"/>
        <v>24.227499999999999</v>
      </c>
      <c r="I714">
        <f t="shared" si="23"/>
        <v>7.4851855702255943E-3</v>
      </c>
    </row>
    <row r="715" spans="1:9" ht="15" customHeight="1" x14ac:dyDescent="0.2">
      <c r="A715" s="7">
        <v>45015</v>
      </c>
      <c r="B715" s="8">
        <v>24.045000000000002</v>
      </c>
      <c r="C715" s="8">
        <v>23.989000000000001</v>
      </c>
      <c r="D715" s="8">
        <v>24.04</v>
      </c>
      <c r="E715" s="8">
        <v>24.055</v>
      </c>
      <c r="F715" s="8">
        <v>89797</v>
      </c>
      <c r="G715" s="9">
        <v>62569</v>
      </c>
      <c r="H715" s="6">
        <f t="shared" si="22"/>
        <v>24.047499999999999</v>
      </c>
      <c r="I715">
        <f t="shared" si="23"/>
        <v>2.4715031426440826E-2</v>
      </c>
    </row>
    <row r="716" spans="1:9" ht="15" customHeight="1" x14ac:dyDescent="0.2">
      <c r="A716" s="3">
        <v>45014</v>
      </c>
      <c r="B716" s="4">
        <v>23.47</v>
      </c>
      <c r="C716" s="4">
        <v>23.466000000000001</v>
      </c>
      <c r="D716" s="4">
        <v>23.46</v>
      </c>
      <c r="E716" s="4">
        <v>23.475000000000001</v>
      </c>
      <c r="F716" s="4">
        <v>89950</v>
      </c>
      <c r="G716" s="5">
        <v>38757</v>
      </c>
      <c r="H716" s="6">
        <f t="shared" si="22"/>
        <v>23.467500000000001</v>
      </c>
      <c r="I716">
        <f t="shared" si="23"/>
        <v>-2.1301523058891991E-4</v>
      </c>
    </row>
    <row r="717" spans="1:9" ht="15" customHeight="1" x14ac:dyDescent="0.2">
      <c r="A717" s="7">
        <v>45013</v>
      </c>
      <c r="B717" s="8">
        <v>23.475000000000001</v>
      </c>
      <c r="C717" s="8">
        <v>23.42</v>
      </c>
      <c r="D717" s="8">
        <v>23.46</v>
      </c>
      <c r="E717" s="8">
        <v>23.484999999999999</v>
      </c>
      <c r="F717" s="8">
        <v>91459</v>
      </c>
      <c r="G717" s="9">
        <v>40347</v>
      </c>
      <c r="H717" s="6">
        <f t="shared" si="22"/>
        <v>23.4725</v>
      </c>
      <c r="I717">
        <f t="shared" si="23"/>
        <v>1.0983094648433278E-2</v>
      </c>
    </row>
    <row r="718" spans="1:9" ht="15" customHeight="1" x14ac:dyDescent="0.2">
      <c r="A718" s="3">
        <v>45012</v>
      </c>
      <c r="B718" s="4">
        <v>23.22</v>
      </c>
      <c r="C718" s="4">
        <v>23.145</v>
      </c>
      <c r="D718" s="4">
        <v>23.21</v>
      </c>
      <c r="E718" s="4">
        <v>23.225000000000001</v>
      </c>
      <c r="F718" s="4">
        <v>92566</v>
      </c>
      <c r="G718" s="5">
        <v>45551</v>
      </c>
      <c r="H718" s="6">
        <f t="shared" si="22"/>
        <v>23.217500000000001</v>
      </c>
      <c r="I718">
        <f t="shared" si="23"/>
        <v>-6.2065275548421894E-3</v>
      </c>
    </row>
    <row r="719" spans="1:9" ht="15" customHeight="1" x14ac:dyDescent="0.2">
      <c r="A719" s="7">
        <v>45009</v>
      </c>
      <c r="B719" s="8">
        <v>23.364999999999998</v>
      </c>
      <c r="C719" s="8">
        <v>23.338999999999999</v>
      </c>
      <c r="D719" s="8">
        <v>23.225000000000001</v>
      </c>
      <c r="E719" s="8">
        <v>23.5</v>
      </c>
      <c r="F719" s="8">
        <v>93460</v>
      </c>
      <c r="G719" s="9">
        <v>62860</v>
      </c>
      <c r="H719" s="6">
        <f t="shared" si="22"/>
        <v>23.362500000000001</v>
      </c>
      <c r="I719">
        <f t="shared" si="23"/>
        <v>6.1369509043929238E-3</v>
      </c>
    </row>
    <row r="720" spans="1:9" ht="15" customHeight="1" x14ac:dyDescent="0.2">
      <c r="A720" s="3">
        <v>45008</v>
      </c>
      <c r="B720" s="4">
        <v>23.22</v>
      </c>
      <c r="C720" s="4">
        <v>23.256</v>
      </c>
      <c r="D720" s="4">
        <v>23.21</v>
      </c>
      <c r="E720" s="4">
        <v>23.23</v>
      </c>
      <c r="F720" s="4">
        <v>95316</v>
      </c>
      <c r="G720" s="5">
        <v>58377</v>
      </c>
      <c r="H720" s="6">
        <f t="shared" si="22"/>
        <v>23.22</v>
      </c>
      <c r="I720">
        <f t="shared" si="23"/>
        <v>5.303604286178043E-3</v>
      </c>
    </row>
    <row r="721" spans="1:9" ht="15" customHeight="1" x14ac:dyDescent="0.2">
      <c r="A721" s="7">
        <v>45007</v>
      </c>
      <c r="B721" s="8">
        <v>23.114999999999998</v>
      </c>
      <c r="C721" s="8">
        <v>22.786000000000001</v>
      </c>
      <c r="D721" s="8">
        <v>23.06</v>
      </c>
      <c r="E721" s="8">
        <v>23.135000000000002</v>
      </c>
      <c r="F721" s="8">
        <v>95803</v>
      </c>
      <c r="G721" s="9">
        <v>55436</v>
      </c>
      <c r="H721" s="6">
        <f t="shared" si="22"/>
        <v>23.0975</v>
      </c>
      <c r="I721">
        <f t="shared" si="23"/>
        <v>2.6555555555555665E-2</v>
      </c>
    </row>
    <row r="722" spans="1:9" ht="15" customHeight="1" x14ac:dyDescent="0.2">
      <c r="A722" s="3">
        <v>45006</v>
      </c>
      <c r="B722" s="4">
        <v>22.52</v>
      </c>
      <c r="C722" s="4">
        <v>22.425000000000001</v>
      </c>
      <c r="D722" s="4">
        <v>22.45</v>
      </c>
      <c r="E722" s="4">
        <v>22.55</v>
      </c>
      <c r="F722" s="4">
        <v>97907</v>
      </c>
      <c r="G722" s="5">
        <v>43480</v>
      </c>
      <c r="H722" s="6">
        <f t="shared" si="22"/>
        <v>22.5</v>
      </c>
      <c r="I722">
        <f t="shared" si="23"/>
        <v>-6.6225165562913135E-3</v>
      </c>
    </row>
    <row r="723" spans="1:9" ht="15" customHeight="1" x14ac:dyDescent="0.2">
      <c r="A723" s="7">
        <v>45005</v>
      </c>
      <c r="B723" s="8">
        <v>22.67</v>
      </c>
      <c r="C723" s="8">
        <v>22.646000000000001</v>
      </c>
      <c r="D723" s="8">
        <v>22.6</v>
      </c>
      <c r="E723" s="8">
        <v>22.7</v>
      </c>
      <c r="F723" s="8">
        <v>97992</v>
      </c>
      <c r="G723" s="9">
        <v>63065</v>
      </c>
      <c r="H723" s="6">
        <f t="shared" si="22"/>
        <v>22.65</v>
      </c>
      <c r="I723">
        <f t="shared" si="23"/>
        <v>-4.395604395604491E-3</v>
      </c>
    </row>
    <row r="724" spans="1:9" ht="15" customHeight="1" x14ac:dyDescent="0.2">
      <c r="A724" s="3">
        <v>45002</v>
      </c>
      <c r="B724" s="4">
        <v>22.75</v>
      </c>
      <c r="C724" s="4">
        <v>22.462</v>
      </c>
      <c r="D724" s="4">
        <v>22.74</v>
      </c>
      <c r="E724" s="4">
        <v>22.76</v>
      </c>
      <c r="F724" s="4">
        <v>96998</v>
      </c>
      <c r="G724" s="5">
        <v>66889</v>
      </c>
      <c r="H724" s="6">
        <f t="shared" si="22"/>
        <v>22.75</v>
      </c>
      <c r="I724">
        <f t="shared" si="23"/>
        <v>4.2382588774341423E-2</v>
      </c>
    </row>
    <row r="725" spans="1:9" ht="15" customHeight="1" x14ac:dyDescent="0.2">
      <c r="A725" s="7">
        <v>45001</v>
      </c>
      <c r="B725" s="8">
        <v>21.81</v>
      </c>
      <c r="C725" s="8">
        <v>21.692</v>
      </c>
      <c r="D725" s="8">
        <v>21.7</v>
      </c>
      <c r="E725" s="8">
        <v>21.95</v>
      </c>
      <c r="F725" s="8">
        <v>99074</v>
      </c>
      <c r="G725" s="9">
        <v>55978</v>
      </c>
      <c r="H725" s="6">
        <f t="shared" si="22"/>
        <v>21.824999999999999</v>
      </c>
      <c r="I725">
        <f t="shared" si="23"/>
        <v>-6.0343846066266416E-3</v>
      </c>
    </row>
    <row r="726" spans="1:9" ht="15" customHeight="1" x14ac:dyDescent="0.2">
      <c r="A726" s="3">
        <v>45000</v>
      </c>
      <c r="B726" s="4">
        <v>21.925000000000001</v>
      </c>
      <c r="C726" s="4">
        <v>21.882000000000001</v>
      </c>
      <c r="D726" s="4">
        <v>21.885000000000002</v>
      </c>
      <c r="E726" s="4">
        <v>22.03</v>
      </c>
      <c r="F726" s="4">
        <v>99875</v>
      </c>
      <c r="G726" s="5">
        <v>87028</v>
      </c>
      <c r="H726" s="6">
        <f t="shared" si="22"/>
        <v>21.957500000000003</v>
      </c>
      <c r="I726">
        <f t="shared" si="23"/>
        <v>7.5714121830905423E-3</v>
      </c>
    </row>
    <row r="727" spans="1:9" ht="15" customHeight="1" x14ac:dyDescent="0.2">
      <c r="A727" s="7">
        <v>44999</v>
      </c>
      <c r="B727" s="8">
        <v>21.79</v>
      </c>
      <c r="C727" s="8">
        <v>22.04</v>
      </c>
      <c r="D727" s="8">
        <v>21.785</v>
      </c>
      <c r="E727" s="8">
        <v>21.8</v>
      </c>
      <c r="F727" s="8">
        <v>102417</v>
      </c>
      <c r="G727" s="9">
        <v>71860</v>
      </c>
      <c r="H727" s="6">
        <f t="shared" si="22"/>
        <v>21.7925</v>
      </c>
      <c r="I727">
        <f t="shared" si="23"/>
        <v>-5.1358137411550153E-3</v>
      </c>
    </row>
    <row r="728" spans="1:9" ht="15" customHeight="1" x14ac:dyDescent="0.2">
      <c r="A728" s="3">
        <v>44998</v>
      </c>
      <c r="B728" s="4">
        <v>21.91</v>
      </c>
      <c r="C728" s="4">
        <v>21.922999999999998</v>
      </c>
      <c r="D728" s="4">
        <v>21.88</v>
      </c>
      <c r="E728" s="4">
        <v>21.93</v>
      </c>
      <c r="F728" s="4">
        <v>108591</v>
      </c>
      <c r="G728" s="5">
        <v>117304</v>
      </c>
      <c r="H728" s="6">
        <f t="shared" si="22"/>
        <v>21.905000000000001</v>
      </c>
      <c r="I728">
        <f t="shared" si="23"/>
        <v>6.283357593401262E-2</v>
      </c>
    </row>
    <row r="729" spans="1:9" ht="15" customHeight="1" x14ac:dyDescent="0.2">
      <c r="A729" s="7">
        <v>44995</v>
      </c>
      <c r="B729" s="8">
        <v>20.61</v>
      </c>
      <c r="C729" s="8">
        <v>20.506</v>
      </c>
      <c r="D729" s="8">
        <v>20.6</v>
      </c>
      <c r="E729" s="8">
        <v>20.62</v>
      </c>
      <c r="F729" s="8">
        <v>108573</v>
      </c>
      <c r="G729" s="9">
        <v>72112</v>
      </c>
      <c r="H729" s="6">
        <f t="shared" si="22"/>
        <v>20.61</v>
      </c>
      <c r="I729">
        <f t="shared" si="23"/>
        <v>2.359076235410984E-2</v>
      </c>
    </row>
    <row r="730" spans="1:9" ht="15" customHeight="1" x14ac:dyDescent="0.2">
      <c r="A730" s="3">
        <v>44994</v>
      </c>
      <c r="B730" s="4">
        <v>20.13</v>
      </c>
      <c r="C730" s="4">
        <v>20.164999999999999</v>
      </c>
      <c r="D730" s="4">
        <v>20.125</v>
      </c>
      <c r="E730" s="4">
        <v>20.145</v>
      </c>
      <c r="F730" s="4">
        <v>109238</v>
      </c>
      <c r="G730" s="5">
        <v>45902</v>
      </c>
      <c r="H730" s="6">
        <f t="shared" si="22"/>
        <v>20.134999999999998</v>
      </c>
      <c r="I730">
        <f t="shared" si="23"/>
        <v>1.6167143390124483E-3</v>
      </c>
    </row>
    <row r="731" spans="1:9" ht="15" customHeight="1" x14ac:dyDescent="0.2">
      <c r="A731" s="7">
        <v>44993</v>
      </c>
      <c r="B731" s="8">
        <v>20.105</v>
      </c>
      <c r="C731" s="8">
        <v>20.151</v>
      </c>
      <c r="D731" s="8">
        <v>20.09</v>
      </c>
      <c r="E731" s="8">
        <v>20.114999999999998</v>
      </c>
      <c r="F731" s="8">
        <v>108874</v>
      </c>
      <c r="G731" s="9">
        <v>59234</v>
      </c>
      <c r="H731" s="6">
        <f t="shared" si="22"/>
        <v>20.102499999999999</v>
      </c>
      <c r="I731">
        <f t="shared" si="23"/>
        <v>-1.8619662363456024E-3</v>
      </c>
    </row>
    <row r="732" spans="1:9" ht="15" customHeight="1" x14ac:dyDescent="0.2">
      <c r="A732" s="3">
        <v>44992</v>
      </c>
      <c r="B732" s="4">
        <v>20.14</v>
      </c>
      <c r="C732" s="4">
        <v>20.199000000000002</v>
      </c>
      <c r="D732" s="4">
        <v>20.13</v>
      </c>
      <c r="E732" s="4">
        <v>20.149999999999999</v>
      </c>
      <c r="F732" s="4">
        <v>104962</v>
      </c>
      <c r="G732" s="5">
        <v>67839</v>
      </c>
      <c r="H732" s="6">
        <f t="shared" si="22"/>
        <v>20.14</v>
      </c>
      <c r="I732">
        <f t="shared" si="23"/>
        <v>-4.7303689687795636E-2</v>
      </c>
    </row>
    <row r="733" spans="1:9" ht="15" customHeight="1" x14ac:dyDescent="0.2">
      <c r="A733" s="7">
        <v>44991</v>
      </c>
      <c r="B733" s="8">
        <v>21.145</v>
      </c>
      <c r="C733" s="8">
        <v>21.135000000000002</v>
      </c>
      <c r="D733" s="8">
        <v>21.13</v>
      </c>
      <c r="E733" s="8">
        <v>21.15</v>
      </c>
      <c r="F733" s="8">
        <v>105651</v>
      </c>
      <c r="G733" s="9">
        <v>56221</v>
      </c>
      <c r="H733" s="6">
        <f t="shared" si="22"/>
        <v>21.14</v>
      </c>
      <c r="I733">
        <f t="shared" si="23"/>
        <v>-1.1109811717927576E-2</v>
      </c>
    </row>
    <row r="734" spans="1:9" ht="15" customHeight="1" x14ac:dyDescent="0.2">
      <c r="A734" s="3">
        <v>44988</v>
      </c>
      <c r="B734" s="4">
        <v>21.385000000000002</v>
      </c>
      <c r="C734" s="4">
        <v>21.238</v>
      </c>
      <c r="D734" s="4">
        <v>21.364999999999998</v>
      </c>
      <c r="E734" s="4">
        <v>21.39</v>
      </c>
      <c r="F734" s="4">
        <v>105334</v>
      </c>
      <c r="G734" s="5">
        <v>52553</v>
      </c>
      <c r="H734" s="6">
        <f t="shared" si="22"/>
        <v>21.377499999999998</v>
      </c>
      <c r="I734">
        <f t="shared" si="23"/>
        <v>1.8461171986660085E-2</v>
      </c>
    </row>
    <row r="735" spans="1:9" ht="15" customHeight="1" x14ac:dyDescent="0.2">
      <c r="A735" s="7">
        <v>44987</v>
      </c>
      <c r="B735" s="8">
        <v>20.984999999999999</v>
      </c>
      <c r="C735" s="8">
        <v>20.901</v>
      </c>
      <c r="D735" s="8">
        <v>20.98</v>
      </c>
      <c r="E735" s="8">
        <v>21</v>
      </c>
      <c r="F735" s="8">
        <v>107110</v>
      </c>
      <c r="G735" s="9">
        <v>43625</v>
      </c>
      <c r="H735" s="6">
        <f t="shared" si="22"/>
        <v>20.990000000000002</v>
      </c>
      <c r="I735">
        <f t="shared" si="23"/>
        <v>-4.2694497153697997E-3</v>
      </c>
    </row>
    <row r="736" spans="1:9" ht="15" customHeight="1" x14ac:dyDescent="0.2">
      <c r="A736" s="3">
        <v>44986</v>
      </c>
      <c r="B736" s="4">
        <v>21.08</v>
      </c>
      <c r="C736" s="4">
        <v>21.094999999999999</v>
      </c>
      <c r="D736" s="4">
        <v>21.07</v>
      </c>
      <c r="E736" s="4">
        <v>21.09</v>
      </c>
      <c r="F736" s="4">
        <v>106904</v>
      </c>
      <c r="G736" s="5">
        <v>56890</v>
      </c>
      <c r="H736" s="6">
        <f t="shared" si="22"/>
        <v>21.08</v>
      </c>
      <c r="I736">
        <f t="shared" si="23"/>
        <v>2.6159334126041323E-3</v>
      </c>
    </row>
    <row r="737" spans="1:9" ht="15" customHeight="1" x14ac:dyDescent="0.2">
      <c r="A737" s="7">
        <v>44985</v>
      </c>
      <c r="B737" s="8">
        <v>21.024999999999999</v>
      </c>
      <c r="C737" s="8">
        <v>21.071000000000002</v>
      </c>
      <c r="D737" s="8">
        <v>21.015000000000001</v>
      </c>
      <c r="E737" s="8">
        <v>21.035</v>
      </c>
      <c r="F737" s="8">
        <v>106839</v>
      </c>
      <c r="G737" s="9">
        <v>59677</v>
      </c>
      <c r="H737" s="6">
        <f t="shared" si="22"/>
        <v>21.024999999999999</v>
      </c>
      <c r="I737">
        <f t="shared" si="23"/>
        <v>1.4230583695127974E-2</v>
      </c>
    </row>
    <row r="738" spans="1:9" ht="15" customHeight="1" x14ac:dyDescent="0.2">
      <c r="A738" s="3">
        <v>44984</v>
      </c>
      <c r="B738" s="4">
        <v>20.734999999999999</v>
      </c>
      <c r="C738" s="4">
        <v>20.792999999999999</v>
      </c>
      <c r="D738" s="4">
        <v>20.72</v>
      </c>
      <c r="E738" s="4">
        <v>20.74</v>
      </c>
      <c r="F738" s="4">
        <v>103424</v>
      </c>
      <c r="G738" s="5">
        <v>64885.999999999898</v>
      </c>
      <c r="H738" s="6">
        <f t="shared" si="22"/>
        <v>20.729999999999997</v>
      </c>
      <c r="I738">
        <f t="shared" si="23"/>
        <v>-1.2045290291496924E-3</v>
      </c>
    </row>
    <row r="739" spans="1:9" ht="15" customHeight="1" x14ac:dyDescent="0.2">
      <c r="A739" s="7">
        <v>44981</v>
      </c>
      <c r="B739" s="8">
        <v>20.74</v>
      </c>
      <c r="C739" s="8">
        <v>20.81</v>
      </c>
      <c r="D739" s="8">
        <v>20.734999999999999</v>
      </c>
      <c r="E739" s="8">
        <v>20.774999999999999</v>
      </c>
      <c r="F739" s="8">
        <v>17487</v>
      </c>
      <c r="G739" s="9">
        <v>50800</v>
      </c>
      <c r="H739" s="6">
        <f t="shared" si="22"/>
        <v>20.754999999999999</v>
      </c>
      <c r="I739">
        <f t="shared" si="23"/>
        <v>-2.6729191090269833E-2</v>
      </c>
    </row>
    <row r="740" spans="1:9" ht="15" customHeight="1" x14ac:dyDescent="0.2">
      <c r="A740" s="3">
        <v>44980</v>
      </c>
      <c r="B740" s="4">
        <v>21.32</v>
      </c>
      <c r="C740" s="4">
        <v>21.306000000000001</v>
      </c>
      <c r="D740" s="4">
        <v>21.315000000000001</v>
      </c>
      <c r="E740" s="4">
        <v>21.335000000000001</v>
      </c>
      <c r="F740" s="4">
        <v>29020</v>
      </c>
      <c r="G740" s="5">
        <v>51545</v>
      </c>
      <c r="H740" s="6">
        <f t="shared" si="22"/>
        <v>21.325000000000003</v>
      </c>
      <c r="I740">
        <f t="shared" si="23"/>
        <v>-8.4854120655584175E-3</v>
      </c>
    </row>
    <row r="741" spans="1:9" ht="15" customHeight="1" x14ac:dyDescent="0.2">
      <c r="A741" s="7">
        <v>44979</v>
      </c>
      <c r="B741" s="8">
        <v>21.504999999999999</v>
      </c>
      <c r="C741" s="8">
        <v>21.677</v>
      </c>
      <c r="D741" s="8">
        <v>21.495000000000001</v>
      </c>
      <c r="E741" s="8">
        <v>21.52</v>
      </c>
      <c r="F741" s="8">
        <v>36000</v>
      </c>
      <c r="G741" s="9">
        <v>49628</v>
      </c>
      <c r="H741" s="6">
        <f t="shared" si="22"/>
        <v>21.5075</v>
      </c>
      <c r="I741">
        <f t="shared" si="23"/>
        <v>-1.6237850200114368E-2</v>
      </c>
    </row>
    <row r="742" spans="1:9" ht="15" customHeight="1" x14ac:dyDescent="0.2">
      <c r="A742" s="3">
        <v>44978</v>
      </c>
      <c r="B742" s="4">
        <v>21.86</v>
      </c>
      <c r="C742" s="4">
        <v>21.89</v>
      </c>
      <c r="D742" s="4">
        <v>21.855</v>
      </c>
      <c r="E742" s="4">
        <v>21.87</v>
      </c>
      <c r="F742" s="4">
        <v>48189</v>
      </c>
      <c r="G742" s="5">
        <v>84946</v>
      </c>
      <c r="H742" s="6">
        <f t="shared" si="22"/>
        <v>21.862500000000001</v>
      </c>
      <c r="I742">
        <f t="shared" si="23"/>
        <v>6.0975609756097615E-3</v>
      </c>
    </row>
    <row r="743" spans="1:9" ht="15" customHeight="1" x14ac:dyDescent="0.2">
      <c r="A743" s="7">
        <v>44974</v>
      </c>
      <c r="B743" s="8">
        <v>21.72</v>
      </c>
      <c r="C743" s="8">
        <v>21.715</v>
      </c>
      <c r="D743" s="8">
        <v>21.715</v>
      </c>
      <c r="E743" s="8">
        <v>21.745000000000001</v>
      </c>
      <c r="F743" s="8">
        <v>53644</v>
      </c>
      <c r="G743" s="9">
        <v>65470</v>
      </c>
      <c r="H743" s="6">
        <f t="shared" si="22"/>
        <v>21.73</v>
      </c>
      <c r="I743">
        <f t="shared" si="23"/>
        <v>7.6512868073268514E-3</v>
      </c>
    </row>
    <row r="744" spans="1:9" ht="15" customHeight="1" x14ac:dyDescent="0.2">
      <c r="A744" s="3">
        <v>44973</v>
      </c>
      <c r="B744" s="4">
        <v>21.56</v>
      </c>
      <c r="C744" s="4">
        <v>21.71</v>
      </c>
      <c r="D744" s="4">
        <v>21.555</v>
      </c>
      <c r="E744" s="4">
        <v>21.574999999999999</v>
      </c>
      <c r="F744" s="4">
        <v>59463</v>
      </c>
      <c r="G744" s="5">
        <v>54574</v>
      </c>
      <c r="H744" s="6">
        <f t="shared" si="22"/>
        <v>21.564999999999998</v>
      </c>
      <c r="I744">
        <f t="shared" si="23"/>
        <v>-2.5439407955596405E-3</v>
      </c>
    </row>
    <row r="745" spans="1:9" ht="15" customHeight="1" x14ac:dyDescent="0.2">
      <c r="A745" s="7">
        <v>44972</v>
      </c>
      <c r="B745" s="8">
        <v>21.62</v>
      </c>
      <c r="C745" s="8">
        <v>21.571999999999999</v>
      </c>
      <c r="D745" s="8">
        <v>21.61</v>
      </c>
      <c r="E745" s="8">
        <v>21.63</v>
      </c>
      <c r="F745" s="8">
        <v>62178</v>
      </c>
      <c r="G745" s="9">
        <v>54284</v>
      </c>
      <c r="H745" s="6">
        <f t="shared" si="22"/>
        <v>21.619999999999997</v>
      </c>
      <c r="I745">
        <f t="shared" si="23"/>
        <v>-1.0639514929641991E-2</v>
      </c>
    </row>
    <row r="746" spans="1:9" ht="15" customHeight="1" x14ac:dyDescent="0.2">
      <c r="A746" s="3">
        <v>44971</v>
      </c>
      <c r="B746" s="4">
        <v>21.85</v>
      </c>
      <c r="C746" s="4">
        <v>21.873000000000001</v>
      </c>
      <c r="D746" s="4">
        <v>21.84</v>
      </c>
      <c r="E746" s="4">
        <v>21.864999999999998</v>
      </c>
      <c r="F746" s="4">
        <v>65323</v>
      </c>
      <c r="G746" s="5">
        <v>72485</v>
      </c>
      <c r="H746" s="6">
        <f t="shared" si="22"/>
        <v>21.852499999999999</v>
      </c>
      <c r="I746">
        <f t="shared" si="23"/>
        <v>-6.704545454545463E-3</v>
      </c>
    </row>
    <row r="747" spans="1:9" ht="15" customHeight="1" x14ac:dyDescent="0.2">
      <c r="A747" s="7">
        <v>44970</v>
      </c>
      <c r="B747" s="8">
        <v>22</v>
      </c>
      <c r="C747" s="8">
        <v>21.852</v>
      </c>
      <c r="D747" s="8">
        <v>21.99</v>
      </c>
      <c r="E747" s="8">
        <v>22.01</v>
      </c>
      <c r="F747" s="8">
        <v>69083</v>
      </c>
      <c r="G747" s="9">
        <v>45962</v>
      </c>
      <c r="H747" s="6">
        <f t="shared" si="22"/>
        <v>22</v>
      </c>
      <c r="I747">
        <f t="shared" si="23"/>
        <v>-6.813536225300787E-4</v>
      </c>
    </row>
    <row r="748" spans="1:9" ht="15" customHeight="1" x14ac:dyDescent="0.2">
      <c r="A748" s="3">
        <v>44967</v>
      </c>
      <c r="B748" s="4">
        <v>22.004999999999999</v>
      </c>
      <c r="C748" s="4">
        <v>22.074999999999999</v>
      </c>
      <c r="D748" s="4">
        <v>22.004999999999999</v>
      </c>
      <c r="E748" s="4">
        <v>22.024999999999999</v>
      </c>
      <c r="F748" s="4">
        <v>75446</v>
      </c>
      <c r="G748" s="5">
        <v>65973</v>
      </c>
      <c r="H748" s="6">
        <f t="shared" si="22"/>
        <v>22.015000000000001</v>
      </c>
      <c r="I748">
        <f t="shared" si="23"/>
        <v>1.0230760486529267E-3</v>
      </c>
    </row>
    <row r="749" spans="1:9" ht="15" customHeight="1" x14ac:dyDescent="0.2">
      <c r="A749" s="7">
        <v>44966</v>
      </c>
      <c r="B749" s="8">
        <v>21.984999999999999</v>
      </c>
      <c r="C749" s="8">
        <v>22.143000000000001</v>
      </c>
      <c r="D749" s="8">
        <v>21.984999999999999</v>
      </c>
      <c r="E749" s="8">
        <v>22</v>
      </c>
      <c r="F749" s="8">
        <v>80559</v>
      </c>
      <c r="G749" s="9">
        <v>64714</v>
      </c>
      <c r="H749" s="6">
        <f t="shared" si="22"/>
        <v>21.9925</v>
      </c>
      <c r="I749">
        <f t="shared" si="23"/>
        <v>-1.5885445799306397E-2</v>
      </c>
    </row>
    <row r="750" spans="1:9" ht="15" customHeight="1" x14ac:dyDescent="0.2">
      <c r="A750" s="3">
        <v>44965</v>
      </c>
      <c r="B750" s="4">
        <v>22.344999999999999</v>
      </c>
      <c r="C750" s="4">
        <v>22.42</v>
      </c>
      <c r="D750" s="4">
        <v>22.34</v>
      </c>
      <c r="E750" s="4">
        <v>22.355</v>
      </c>
      <c r="F750" s="4">
        <v>87855</v>
      </c>
      <c r="G750" s="5">
        <v>54749</v>
      </c>
      <c r="H750" s="6">
        <f t="shared" si="22"/>
        <v>22.3475</v>
      </c>
      <c r="I750">
        <f t="shared" si="23"/>
        <v>6.984341556832252E-3</v>
      </c>
    </row>
    <row r="751" spans="1:9" ht="15" customHeight="1" x14ac:dyDescent="0.2">
      <c r="A751" s="7">
        <v>44964</v>
      </c>
      <c r="B751" s="8">
        <v>22.19</v>
      </c>
      <c r="C751" s="8">
        <v>22.177</v>
      </c>
      <c r="D751" s="8">
        <v>22.18</v>
      </c>
      <c r="E751" s="8">
        <v>22.204999999999998</v>
      </c>
      <c r="F751" s="8">
        <v>95488</v>
      </c>
      <c r="G751" s="9">
        <v>68426</v>
      </c>
      <c r="H751" s="6">
        <f t="shared" si="22"/>
        <v>22.192499999999999</v>
      </c>
      <c r="I751">
        <f t="shared" si="23"/>
        <v>-4.5974433729536468E-3</v>
      </c>
    </row>
    <row r="752" spans="1:9" ht="15" customHeight="1" x14ac:dyDescent="0.2">
      <c r="A752" s="3">
        <v>44963</v>
      </c>
      <c r="B752" s="4">
        <v>22.295000000000002</v>
      </c>
      <c r="C752" s="4">
        <v>22.236999999999998</v>
      </c>
      <c r="D752" s="4">
        <v>22.285</v>
      </c>
      <c r="E752" s="4">
        <v>22.305</v>
      </c>
      <c r="F752" s="4">
        <v>102251</v>
      </c>
      <c r="G752" s="5">
        <v>64941</v>
      </c>
      <c r="H752" s="6">
        <f t="shared" si="22"/>
        <v>22.295000000000002</v>
      </c>
      <c r="I752">
        <f t="shared" si="23"/>
        <v>-4.242965609647098E-3</v>
      </c>
    </row>
    <row r="753" spans="1:9" ht="15" customHeight="1" x14ac:dyDescent="0.2">
      <c r="A753" s="7">
        <v>44960</v>
      </c>
      <c r="B753" s="8">
        <v>22.395</v>
      </c>
      <c r="C753" s="8">
        <v>22.405000000000001</v>
      </c>
      <c r="D753" s="8">
        <v>22.38</v>
      </c>
      <c r="E753" s="8">
        <v>22.4</v>
      </c>
      <c r="F753" s="8">
        <v>105863</v>
      </c>
      <c r="G753" s="9">
        <v>106640</v>
      </c>
      <c r="H753" s="6">
        <f t="shared" si="22"/>
        <v>22.39</v>
      </c>
      <c r="I753">
        <f t="shared" si="23"/>
        <v>-4.8751991502920866E-2</v>
      </c>
    </row>
    <row r="754" spans="1:9" ht="15" customHeight="1" x14ac:dyDescent="0.2">
      <c r="A754" s="3">
        <v>44959</v>
      </c>
      <c r="B754" s="4">
        <v>23.545000000000002</v>
      </c>
      <c r="C754" s="4">
        <v>23.614999999999998</v>
      </c>
      <c r="D754" s="4">
        <v>23.53</v>
      </c>
      <c r="E754" s="4">
        <v>23.545000000000002</v>
      </c>
      <c r="F754" s="4">
        <v>105278</v>
      </c>
      <c r="G754" s="5">
        <v>107525</v>
      </c>
      <c r="H754" s="6">
        <f t="shared" si="22"/>
        <v>23.537500000000001</v>
      </c>
      <c r="I754">
        <f t="shared" si="23"/>
        <v>-2.2529069767441734E-2</v>
      </c>
    </row>
    <row r="755" spans="1:9" ht="15" customHeight="1" x14ac:dyDescent="0.2">
      <c r="A755" s="7">
        <v>44958</v>
      </c>
      <c r="B755" s="8">
        <v>24.08</v>
      </c>
      <c r="C755" s="8">
        <v>23.609000000000002</v>
      </c>
      <c r="D755" s="8">
        <v>24.07</v>
      </c>
      <c r="E755" s="8">
        <v>24.09</v>
      </c>
      <c r="F755" s="8">
        <v>106009</v>
      </c>
      <c r="G755" s="9">
        <v>63731</v>
      </c>
      <c r="H755" s="6">
        <f t="shared" si="22"/>
        <v>24.08</v>
      </c>
      <c r="I755">
        <f t="shared" si="23"/>
        <v>1.0703043022035397E-2</v>
      </c>
    </row>
    <row r="756" spans="1:9" ht="15" customHeight="1" x14ac:dyDescent="0.2">
      <c r="A756" s="3">
        <v>44957</v>
      </c>
      <c r="B756" s="4">
        <v>23.824999999999999</v>
      </c>
      <c r="C756" s="4">
        <v>23.835999999999999</v>
      </c>
      <c r="D756" s="4">
        <v>23.815000000000001</v>
      </c>
      <c r="E756" s="4">
        <v>23.835000000000001</v>
      </c>
      <c r="F756" s="4">
        <v>106027</v>
      </c>
      <c r="G756" s="5">
        <v>65290</v>
      </c>
      <c r="H756" s="6">
        <f t="shared" si="22"/>
        <v>23.825000000000003</v>
      </c>
      <c r="I756">
        <f t="shared" si="23"/>
        <v>5.5924870739687549E-3</v>
      </c>
    </row>
    <row r="757" spans="1:9" ht="15" customHeight="1" x14ac:dyDescent="0.2">
      <c r="A757" s="7">
        <v>44956</v>
      </c>
      <c r="B757" s="8">
        <v>23.69</v>
      </c>
      <c r="C757" s="8">
        <v>23.733000000000001</v>
      </c>
      <c r="D757" s="8">
        <v>23.684999999999999</v>
      </c>
      <c r="E757" s="8">
        <v>23.7</v>
      </c>
      <c r="F757" s="8">
        <v>107431</v>
      </c>
      <c r="G757" s="9">
        <v>55497</v>
      </c>
      <c r="H757" s="6">
        <f t="shared" si="22"/>
        <v>23.692499999999999</v>
      </c>
      <c r="I757" t="e">
        <f t="shared" si="23"/>
        <v>#DIV/0!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settle</vt:lpstr>
      <vt:lpstr>indicaciones</vt:lpstr>
      <vt:lpstr>midmkt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OCEGUERA GOMEZ, ABRAHAM</dc:creator>
  <cp:lastModifiedBy>Samuel Gómez Jiménez</cp:lastModifiedBy>
  <dcterms:created xsi:type="dcterms:W3CDTF">2026-02-04T22:28:13Z</dcterms:created>
  <dcterms:modified xsi:type="dcterms:W3CDTF">2026-02-16T21:29:42Z</dcterms:modified>
</cp:coreProperties>
</file>