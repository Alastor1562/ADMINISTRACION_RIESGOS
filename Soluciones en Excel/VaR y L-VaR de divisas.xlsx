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82E5D3B4-C107-4B5B-B7EA-C2BE8427119C}" xr6:coauthVersionLast="47" xr6:coauthVersionMax="47" xr10:uidLastSave="{00000000-0000-0000-0000-000000000000}"/>
  <bookViews>
    <workbookView xWindow="-120" yWindow="-120" windowWidth="29040" windowHeight="15720" xr2:uid="{C7BAA134-55D3-451B-A976-9B052BE79902}"/>
  </bookViews>
  <sheets>
    <sheet name="F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J11" i="1"/>
  <c r="I11" i="1"/>
  <c r="H11" i="1"/>
  <c r="N16" i="1"/>
  <c r="M16" i="1"/>
  <c r="E11" i="1" s="1"/>
  <c r="K16" i="1"/>
  <c r="M11" i="1"/>
  <c r="N11" i="1"/>
  <c r="P11" i="1" s="1"/>
  <c r="O11" i="1"/>
  <c r="L16" i="1"/>
  <c r="O16" i="1"/>
  <c r="K17" i="1"/>
  <c r="L17" i="1"/>
  <c r="N17" i="1"/>
  <c r="O17" i="1"/>
  <c r="K18" i="1"/>
  <c r="L18" i="1"/>
  <c r="N18" i="1"/>
  <c r="O18" i="1"/>
  <c r="K19" i="1"/>
  <c r="L19" i="1"/>
  <c r="M19" i="1"/>
  <c r="N19" i="1"/>
  <c r="O19" i="1"/>
  <c r="K20" i="1"/>
  <c r="L20" i="1"/>
  <c r="N20" i="1"/>
  <c r="O20" i="1"/>
  <c r="K21" i="1"/>
  <c r="L21" i="1"/>
  <c r="M21" i="1"/>
  <c r="N21" i="1"/>
  <c r="O21" i="1"/>
  <c r="K22" i="1"/>
  <c r="L22" i="1"/>
  <c r="N22" i="1"/>
  <c r="O22" i="1"/>
  <c r="K23" i="1"/>
  <c r="L23" i="1"/>
  <c r="N23" i="1"/>
  <c r="O23" i="1"/>
  <c r="K24" i="1"/>
  <c r="L24" i="1"/>
  <c r="M24" i="1"/>
  <c r="N24" i="1"/>
  <c r="O24" i="1"/>
  <c r="K25" i="1"/>
  <c r="L25" i="1"/>
  <c r="N25" i="1"/>
  <c r="O25" i="1"/>
  <c r="K26" i="1"/>
  <c r="L26" i="1"/>
  <c r="M26" i="1" s="1"/>
  <c r="N26" i="1"/>
  <c r="O26" i="1"/>
  <c r="K27" i="1"/>
  <c r="L27" i="1"/>
  <c r="N27" i="1"/>
  <c r="O27" i="1"/>
  <c r="K28" i="1"/>
  <c r="M28" i="1" s="1"/>
  <c r="L28" i="1"/>
  <c r="N28" i="1"/>
  <c r="O28" i="1"/>
  <c r="K29" i="1"/>
  <c r="L29" i="1"/>
  <c r="N29" i="1"/>
  <c r="O29" i="1"/>
  <c r="K30" i="1"/>
  <c r="L30" i="1"/>
  <c r="N30" i="1"/>
  <c r="O30" i="1"/>
  <c r="K31" i="1"/>
  <c r="L31" i="1"/>
  <c r="N31" i="1"/>
  <c r="O31" i="1"/>
  <c r="K32" i="1"/>
  <c r="M32" i="1" s="1"/>
  <c r="L32" i="1"/>
  <c r="N32" i="1"/>
  <c r="O32" i="1"/>
  <c r="K33" i="1"/>
  <c r="M33" i="1" s="1"/>
  <c r="L33" i="1"/>
  <c r="N33" i="1"/>
  <c r="O33" i="1"/>
  <c r="K34" i="1"/>
  <c r="M34" i="1" s="1"/>
  <c r="L34" i="1"/>
  <c r="N34" i="1"/>
  <c r="O34" i="1"/>
  <c r="K35" i="1"/>
  <c r="L35" i="1"/>
  <c r="M35" i="1"/>
  <c r="N35" i="1"/>
  <c r="O35" i="1"/>
  <c r="K36" i="1"/>
  <c r="L36" i="1"/>
  <c r="N36" i="1"/>
  <c r="O36" i="1"/>
  <c r="K37" i="1"/>
  <c r="L37" i="1"/>
  <c r="N37" i="1"/>
  <c r="O37" i="1"/>
  <c r="K38" i="1"/>
  <c r="L38" i="1"/>
  <c r="M38" i="1"/>
  <c r="N38" i="1"/>
  <c r="O38" i="1"/>
  <c r="K39" i="1"/>
  <c r="L39" i="1"/>
  <c r="N39" i="1"/>
  <c r="O39" i="1"/>
  <c r="K40" i="1"/>
  <c r="L40" i="1"/>
  <c r="M40" i="1"/>
  <c r="N40" i="1"/>
  <c r="O40" i="1"/>
  <c r="K41" i="1"/>
  <c r="L41" i="1"/>
  <c r="N41" i="1"/>
  <c r="O41" i="1"/>
  <c r="K42" i="1"/>
  <c r="L42" i="1"/>
  <c r="M42" i="1"/>
  <c r="N42" i="1"/>
  <c r="O42" i="1"/>
  <c r="K43" i="1"/>
  <c r="L43" i="1"/>
  <c r="M43" i="1"/>
  <c r="N43" i="1"/>
  <c r="O43" i="1"/>
  <c r="K44" i="1"/>
  <c r="M44" i="1" s="1"/>
  <c r="L44" i="1"/>
  <c r="N44" i="1"/>
  <c r="O44" i="1"/>
  <c r="K45" i="1"/>
  <c r="L45" i="1"/>
  <c r="M45" i="1"/>
  <c r="N45" i="1"/>
  <c r="O45" i="1"/>
  <c r="K46" i="1"/>
  <c r="L46" i="1"/>
  <c r="N46" i="1"/>
  <c r="O46" i="1"/>
  <c r="K47" i="1"/>
  <c r="L47" i="1"/>
  <c r="N47" i="1"/>
  <c r="O47" i="1"/>
  <c r="K48" i="1"/>
  <c r="M48" i="1" s="1"/>
  <c r="L48" i="1"/>
  <c r="N48" i="1"/>
  <c r="O48" i="1"/>
  <c r="K49" i="1"/>
  <c r="M49" i="1" s="1"/>
  <c r="L49" i="1"/>
  <c r="N49" i="1"/>
  <c r="O49" i="1"/>
  <c r="K50" i="1"/>
  <c r="L50" i="1"/>
  <c r="M50" i="1"/>
  <c r="N50" i="1"/>
  <c r="O50" i="1"/>
  <c r="K51" i="1"/>
  <c r="L51" i="1"/>
  <c r="M51" i="1" s="1"/>
  <c r="N51" i="1"/>
  <c r="O51" i="1"/>
  <c r="K52" i="1"/>
  <c r="M52" i="1" s="1"/>
  <c r="L52" i="1"/>
  <c r="N52" i="1"/>
  <c r="O52" i="1"/>
  <c r="K53" i="1"/>
  <c r="M53" i="1" s="1"/>
  <c r="L53" i="1"/>
  <c r="N53" i="1"/>
  <c r="O53" i="1"/>
  <c r="K54" i="1"/>
  <c r="L54" i="1"/>
  <c r="M54" i="1"/>
  <c r="N54" i="1"/>
  <c r="O54" i="1"/>
  <c r="K55" i="1"/>
  <c r="L55" i="1"/>
  <c r="N55" i="1"/>
  <c r="O55" i="1"/>
  <c r="K56" i="1"/>
  <c r="M56" i="1" s="1"/>
  <c r="L56" i="1"/>
  <c r="N56" i="1"/>
  <c r="O56" i="1"/>
  <c r="K57" i="1"/>
  <c r="L57" i="1"/>
  <c r="N57" i="1"/>
  <c r="O57" i="1"/>
  <c r="K58" i="1"/>
  <c r="M58" i="1" s="1"/>
  <c r="L58" i="1"/>
  <c r="N58" i="1"/>
  <c r="O58" i="1"/>
  <c r="K59" i="1"/>
  <c r="L59" i="1"/>
  <c r="M59" i="1"/>
  <c r="N59" i="1"/>
  <c r="O59" i="1"/>
  <c r="K60" i="1"/>
  <c r="L60" i="1"/>
  <c r="N60" i="1"/>
  <c r="O60" i="1"/>
  <c r="K61" i="1"/>
  <c r="L61" i="1"/>
  <c r="M61" i="1"/>
  <c r="N61" i="1"/>
  <c r="O61" i="1"/>
  <c r="K62" i="1"/>
  <c r="L62" i="1"/>
  <c r="M62" i="1"/>
  <c r="N62" i="1"/>
  <c r="O62" i="1"/>
  <c r="K63" i="1"/>
  <c r="M63" i="1" s="1"/>
  <c r="L63" i="1"/>
  <c r="N63" i="1"/>
  <c r="O63" i="1"/>
  <c r="K64" i="1"/>
  <c r="L64" i="1"/>
  <c r="M64" i="1"/>
  <c r="N64" i="1"/>
  <c r="O64" i="1"/>
  <c r="K65" i="1"/>
  <c r="L65" i="1"/>
  <c r="N65" i="1"/>
  <c r="O65" i="1"/>
  <c r="K66" i="1"/>
  <c r="L66" i="1"/>
  <c r="M66" i="1"/>
  <c r="N66" i="1"/>
  <c r="O66" i="1"/>
  <c r="K67" i="1"/>
  <c r="L67" i="1"/>
  <c r="N67" i="1"/>
  <c r="O67" i="1"/>
  <c r="K68" i="1"/>
  <c r="M68" i="1" s="1"/>
  <c r="L68" i="1"/>
  <c r="N68" i="1"/>
  <c r="O68" i="1"/>
  <c r="K69" i="1"/>
  <c r="L69" i="1"/>
  <c r="M69" i="1"/>
  <c r="N69" i="1"/>
  <c r="O69" i="1"/>
  <c r="K70" i="1"/>
  <c r="L70" i="1"/>
  <c r="N70" i="1"/>
  <c r="O70" i="1"/>
  <c r="K71" i="1"/>
  <c r="L71" i="1"/>
  <c r="N71" i="1"/>
  <c r="O71" i="1"/>
  <c r="K72" i="1"/>
  <c r="M72" i="1" s="1"/>
  <c r="L72" i="1"/>
  <c r="N72" i="1"/>
  <c r="O72" i="1"/>
  <c r="K73" i="1"/>
  <c r="M73" i="1" s="1"/>
  <c r="L73" i="1"/>
  <c r="N73" i="1"/>
  <c r="O73" i="1"/>
  <c r="K74" i="1"/>
  <c r="M74" i="1" s="1"/>
  <c r="L74" i="1"/>
  <c r="N74" i="1"/>
  <c r="O74" i="1"/>
  <c r="K75" i="1"/>
  <c r="L75" i="1"/>
  <c r="M75" i="1" s="1"/>
  <c r="N75" i="1"/>
  <c r="O75" i="1"/>
  <c r="K76" i="1"/>
  <c r="L76" i="1"/>
  <c r="N76" i="1"/>
  <c r="O76" i="1"/>
  <c r="K77" i="1"/>
  <c r="M77" i="1" s="1"/>
  <c r="L77" i="1"/>
  <c r="N77" i="1"/>
  <c r="O77" i="1"/>
  <c r="K78" i="1"/>
  <c r="L78" i="1"/>
  <c r="M78" i="1"/>
  <c r="N78" i="1"/>
  <c r="O78" i="1"/>
  <c r="K79" i="1"/>
  <c r="L79" i="1"/>
  <c r="N79" i="1"/>
  <c r="O79" i="1"/>
  <c r="K80" i="1"/>
  <c r="M80" i="1" s="1"/>
  <c r="L80" i="1"/>
  <c r="N80" i="1"/>
  <c r="O80" i="1"/>
  <c r="K81" i="1"/>
  <c r="L81" i="1"/>
  <c r="N81" i="1"/>
  <c r="O81" i="1"/>
  <c r="K82" i="1"/>
  <c r="M82" i="1" s="1"/>
  <c r="L82" i="1"/>
  <c r="N82" i="1"/>
  <c r="O82" i="1"/>
  <c r="K83" i="1"/>
  <c r="L83" i="1"/>
  <c r="M83" i="1"/>
  <c r="N83" i="1"/>
  <c r="O83" i="1"/>
  <c r="K84" i="1"/>
  <c r="L84" i="1"/>
  <c r="N84" i="1"/>
  <c r="O84" i="1"/>
  <c r="K85" i="1"/>
  <c r="L85" i="1"/>
  <c r="M85" i="1"/>
  <c r="N85" i="1"/>
  <c r="O85" i="1"/>
  <c r="K86" i="1"/>
  <c r="L86" i="1"/>
  <c r="N86" i="1"/>
  <c r="O86" i="1"/>
  <c r="K87" i="1"/>
  <c r="L87" i="1"/>
  <c r="N87" i="1"/>
  <c r="O87" i="1"/>
  <c r="K88" i="1"/>
  <c r="L88" i="1"/>
  <c r="M88" i="1"/>
  <c r="N88" i="1"/>
  <c r="O88" i="1"/>
  <c r="K89" i="1"/>
  <c r="M89" i="1" s="1"/>
  <c r="L89" i="1"/>
  <c r="N89" i="1"/>
  <c r="O89" i="1"/>
  <c r="K90" i="1"/>
  <c r="L90" i="1"/>
  <c r="M90" i="1"/>
  <c r="N90" i="1"/>
  <c r="O90" i="1"/>
  <c r="K91" i="1"/>
  <c r="L91" i="1"/>
  <c r="M91" i="1" s="1"/>
  <c r="N91" i="1"/>
  <c r="O91" i="1"/>
  <c r="K92" i="1"/>
  <c r="M92" i="1" s="1"/>
  <c r="L92" i="1"/>
  <c r="N92" i="1"/>
  <c r="O92" i="1"/>
  <c r="K93" i="1"/>
  <c r="M93" i="1" s="1"/>
  <c r="L93" i="1"/>
  <c r="N93" i="1"/>
  <c r="O93" i="1"/>
  <c r="K94" i="1"/>
  <c r="L94" i="1"/>
  <c r="N94" i="1"/>
  <c r="O94" i="1"/>
  <c r="K95" i="1"/>
  <c r="L95" i="1"/>
  <c r="N95" i="1"/>
  <c r="O95" i="1"/>
  <c r="K96" i="1"/>
  <c r="M96" i="1" s="1"/>
  <c r="L96" i="1"/>
  <c r="N96" i="1"/>
  <c r="O96" i="1"/>
  <c r="K97" i="1"/>
  <c r="L97" i="1"/>
  <c r="N97" i="1"/>
  <c r="O97" i="1"/>
  <c r="K98" i="1"/>
  <c r="M98" i="1" s="1"/>
  <c r="L98" i="1"/>
  <c r="N98" i="1"/>
  <c r="O98" i="1"/>
  <c r="K99" i="1"/>
  <c r="L99" i="1"/>
  <c r="M99" i="1" s="1"/>
  <c r="N99" i="1"/>
  <c r="O99" i="1"/>
  <c r="K100" i="1"/>
  <c r="L100" i="1"/>
  <c r="N100" i="1"/>
  <c r="O100" i="1"/>
  <c r="K101" i="1"/>
  <c r="M101" i="1" s="1"/>
  <c r="L101" i="1"/>
  <c r="N101" i="1"/>
  <c r="O101" i="1"/>
  <c r="K102" i="1"/>
  <c r="L102" i="1"/>
  <c r="M102" i="1"/>
  <c r="N102" i="1"/>
  <c r="O102" i="1"/>
  <c r="K103" i="1"/>
  <c r="L103" i="1"/>
  <c r="N103" i="1"/>
  <c r="O103" i="1"/>
  <c r="K104" i="1"/>
  <c r="L104" i="1"/>
  <c r="N104" i="1"/>
  <c r="O104" i="1"/>
  <c r="K105" i="1"/>
  <c r="L105" i="1"/>
  <c r="N105" i="1"/>
  <c r="O105" i="1"/>
  <c r="K106" i="1"/>
  <c r="M106" i="1" s="1"/>
  <c r="L106" i="1"/>
  <c r="N106" i="1"/>
  <c r="O106" i="1"/>
  <c r="K107" i="1"/>
  <c r="L107" i="1"/>
  <c r="M107" i="1"/>
  <c r="N107" i="1"/>
  <c r="O107" i="1"/>
  <c r="K108" i="1"/>
  <c r="M108" i="1" s="1"/>
  <c r="L108" i="1"/>
  <c r="N108" i="1"/>
  <c r="O108" i="1"/>
  <c r="K109" i="1"/>
  <c r="L109" i="1"/>
  <c r="M109" i="1"/>
  <c r="N109" i="1"/>
  <c r="O109" i="1"/>
  <c r="K110" i="1"/>
  <c r="L110" i="1"/>
  <c r="N110" i="1"/>
  <c r="O110" i="1"/>
  <c r="K111" i="1"/>
  <c r="L111" i="1"/>
  <c r="N111" i="1"/>
  <c r="O111" i="1"/>
  <c r="K112" i="1"/>
  <c r="M112" i="1" s="1"/>
  <c r="L112" i="1"/>
  <c r="N112" i="1"/>
  <c r="O112" i="1"/>
  <c r="K113" i="1"/>
  <c r="M113" i="1" s="1"/>
  <c r="L113" i="1"/>
  <c r="N113" i="1"/>
  <c r="O113" i="1"/>
  <c r="K114" i="1"/>
  <c r="L114" i="1"/>
  <c r="M114" i="1"/>
  <c r="N114" i="1"/>
  <c r="O114" i="1"/>
  <c r="K115" i="1"/>
  <c r="L115" i="1"/>
  <c r="M115" i="1" s="1"/>
  <c r="N115" i="1"/>
  <c r="O115" i="1"/>
  <c r="K116" i="1"/>
  <c r="M116" i="1" s="1"/>
  <c r="L116" i="1"/>
  <c r="N116" i="1"/>
  <c r="O116" i="1"/>
  <c r="K117" i="1"/>
  <c r="M117" i="1" s="1"/>
  <c r="L117" i="1"/>
  <c r="N117" i="1"/>
  <c r="O117" i="1"/>
  <c r="K118" i="1"/>
  <c r="L118" i="1"/>
  <c r="M118" i="1"/>
  <c r="N118" i="1"/>
  <c r="O118" i="1"/>
  <c r="K119" i="1"/>
  <c r="L119" i="1"/>
  <c r="N119" i="1"/>
  <c r="O119" i="1"/>
  <c r="K120" i="1"/>
  <c r="M120" i="1" s="1"/>
  <c r="L120" i="1"/>
  <c r="N120" i="1"/>
  <c r="O120" i="1"/>
  <c r="K121" i="1"/>
  <c r="L121" i="1"/>
  <c r="N121" i="1"/>
  <c r="O121" i="1"/>
  <c r="K122" i="1"/>
  <c r="M122" i="1" s="1"/>
  <c r="L122" i="1"/>
  <c r="N122" i="1"/>
  <c r="O122" i="1"/>
  <c r="K123" i="1"/>
  <c r="L123" i="1"/>
  <c r="M123" i="1" s="1"/>
  <c r="N123" i="1"/>
  <c r="O123" i="1"/>
  <c r="K124" i="1"/>
  <c r="L124" i="1"/>
  <c r="N124" i="1"/>
  <c r="O124" i="1"/>
  <c r="K125" i="1"/>
  <c r="L125" i="1"/>
  <c r="M125" i="1"/>
  <c r="N125" i="1"/>
  <c r="O125" i="1"/>
  <c r="K126" i="1"/>
  <c r="L126" i="1"/>
  <c r="M126" i="1"/>
  <c r="N126" i="1"/>
  <c r="O126" i="1"/>
  <c r="K127" i="1"/>
  <c r="M127" i="1" s="1"/>
  <c r="L127" i="1"/>
  <c r="N127" i="1"/>
  <c r="O127" i="1"/>
  <c r="K128" i="1"/>
  <c r="L128" i="1"/>
  <c r="M128" i="1" s="1"/>
  <c r="N128" i="1"/>
  <c r="O128" i="1"/>
  <c r="K129" i="1"/>
  <c r="L129" i="1"/>
  <c r="N129" i="1"/>
  <c r="O129" i="1"/>
  <c r="K130" i="1"/>
  <c r="M130" i="1" s="1"/>
  <c r="L130" i="1"/>
  <c r="N130" i="1"/>
  <c r="O130" i="1"/>
  <c r="K131" i="1"/>
  <c r="L131" i="1"/>
  <c r="N131" i="1"/>
  <c r="O131" i="1"/>
  <c r="K132" i="1"/>
  <c r="M132" i="1" s="1"/>
  <c r="L132" i="1"/>
  <c r="N132" i="1"/>
  <c r="O132" i="1"/>
  <c r="K133" i="1"/>
  <c r="L133" i="1"/>
  <c r="M133" i="1"/>
  <c r="N133" i="1"/>
  <c r="O133" i="1"/>
  <c r="K134" i="1"/>
  <c r="L134" i="1"/>
  <c r="N134" i="1"/>
  <c r="O134" i="1"/>
  <c r="K135" i="1"/>
  <c r="L135" i="1"/>
  <c r="N135" i="1"/>
  <c r="O135" i="1"/>
  <c r="K136" i="1"/>
  <c r="M136" i="1" s="1"/>
  <c r="L136" i="1"/>
  <c r="N136" i="1"/>
  <c r="O136" i="1"/>
  <c r="K137" i="1"/>
  <c r="M137" i="1" s="1"/>
  <c r="L137" i="1"/>
  <c r="N137" i="1"/>
  <c r="O137" i="1"/>
  <c r="K138" i="1"/>
  <c r="M138" i="1" s="1"/>
  <c r="L138" i="1"/>
  <c r="N138" i="1"/>
  <c r="O138" i="1"/>
  <c r="K139" i="1"/>
  <c r="L139" i="1"/>
  <c r="M139" i="1" s="1"/>
  <c r="N139" i="1"/>
  <c r="O139" i="1"/>
  <c r="K140" i="1"/>
  <c r="L140" i="1"/>
  <c r="N140" i="1"/>
  <c r="O140" i="1"/>
  <c r="K141" i="1"/>
  <c r="M141" i="1" s="1"/>
  <c r="L141" i="1"/>
  <c r="N141" i="1"/>
  <c r="O141" i="1"/>
  <c r="K142" i="1"/>
  <c r="L142" i="1"/>
  <c r="M142" i="1"/>
  <c r="N142" i="1"/>
  <c r="O142" i="1"/>
  <c r="K143" i="1"/>
  <c r="L143" i="1"/>
  <c r="N143" i="1"/>
  <c r="O143" i="1"/>
  <c r="K144" i="1"/>
  <c r="L144" i="1"/>
  <c r="M144" i="1"/>
  <c r="N144" i="1"/>
  <c r="O144" i="1"/>
  <c r="K145" i="1"/>
  <c r="L145" i="1"/>
  <c r="N145" i="1"/>
  <c r="O145" i="1"/>
  <c r="K146" i="1"/>
  <c r="L146" i="1"/>
  <c r="N146" i="1"/>
  <c r="O146" i="1"/>
  <c r="K147" i="1"/>
  <c r="L147" i="1"/>
  <c r="M147" i="1" s="1"/>
  <c r="N147" i="1"/>
  <c r="O147" i="1"/>
  <c r="K148" i="1"/>
  <c r="L148" i="1"/>
  <c r="N148" i="1"/>
  <c r="O148" i="1"/>
  <c r="K149" i="1"/>
  <c r="L149" i="1"/>
  <c r="M149" i="1"/>
  <c r="N149" i="1"/>
  <c r="O149" i="1"/>
  <c r="K150" i="1"/>
  <c r="L150" i="1"/>
  <c r="N150" i="1"/>
  <c r="O150" i="1"/>
  <c r="K151" i="1"/>
  <c r="L151" i="1"/>
  <c r="N151" i="1"/>
  <c r="O151" i="1"/>
  <c r="K152" i="1"/>
  <c r="L152" i="1"/>
  <c r="M152" i="1"/>
  <c r="N152" i="1"/>
  <c r="O152" i="1"/>
  <c r="K153" i="1"/>
  <c r="M153" i="1" s="1"/>
  <c r="L153" i="1"/>
  <c r="N153" i="1"/>
  <c r="O153" i="1"/>
  <c r="K154" i="1"/>
  <c r="L154" i="1"/>
  <c r="M154" i="1" s="1"/>
  <c r="N154" i="1"/>
  <c r="O154" i="1"/>
  <c r="K155" i="1"/>
  <c r="L155" i="1"/>
  <c r="M155" i="1" s="1"/>
  <c r="N155" i="1"/>
  <c r="O155" i="1"/>
  <c r="K156" i="1"/>
  <c r="M156" i="1" s="1"/>
  <c r="L156" i="1"/>
  <c r="N156" i="1"/>
  <c r="O156" i="1"/>
  <c r="K157" i="1"/>
  <c r="M157" i="1" s="1"/>
  <c r="L157" i="1"/>
  <c r="N157" i="1"/>
  <c r="O157" i="1"/>
  <c r="K158" i="1"/>
  <c r="L158" i="1"/>
  <c r="N158" i="1"/>
  <c r="O158" i="1"/>
  <c r="K159" i="1"/>
  <c r="L159" i="1"/>
  <c r="N159" i="1"/>
  <c r="O159" i="1"/>
  <c r="K160" i="1"/>
  <c r="M160" i="1" s="1"/>
  <c r="L160" i="1"/>
  <c r="N160" i="1"/>
  <c r="O160" i="1"/>
  <c r="K161" i="1"/>
  <c r="M161" i="1" s="1"/>
  <c r="L161" i="1"/>
  <c r="N161" i="1"/>
  <c r="O161" i="1"/>
  <c r="K162" i="1"/>
  <c r="M162" i="1" s="1"/>
  <c r="L162" i="1"/>
  <c r="N162" i="1"/>
  <c r="O162" i="1"/>
  <c r="K163" i="1"/>
  <c r="L163" i="1"/>
  <c r="M163" i="1"/>
  <c r="N163" i="1"/>
  <c r="O163" i="1"/>
  <c r="K164" i="1"/>
  <c r="L164" i="1"/>
  <c r="N164" i="1"/>
  <c r="O164" i="1"/>
  <c r="K165" i="1"/>
  <c r="L165" i="1"/>
  <c r="N165" i="1"/>
  <c r="O165" i="1"/>
  <c r="K166" i="1"/>
  <c r="L166" i="1"/>
  <c r="M166" i="1"/>
  <c r="N166" i="1"/>
  <c r="O166" i="1"/>
  <c r="K167" i="1"/>
  <c r="L167" i="1"/>
  <c r="N167" i="1"/>
  <c r="O167" i="1"/>
  <c r="K168" i="1"/>
  <c r="L168" i="1"/>
  <c r="M168" i="1"/>
  <c r="N168" i="1"/>
  <c r="O168" i="1"/>
  <c r="K169" i="1"/>
  <c r="L169" i="1"/>
  <c r="N169" i="1"/>
  <c r="O169" i="1"/>
  <c r="K170" i="1"/>
  <c r="L170" i="1"/>
  <c r="M170" i="1"/>
  <c r="N170" i="1"/>
  <c r="O170" i="1"/>
  <c r="K171" i="1"/>
  <c r="L171" i="1"/>
  <c r="M171" i="1"/>
  <c r="N171" i="1"/>
  <c r="O171" i="1"/>
  <c r="K172" i="1"/>
  <c r="M172" i="1" s="1"/>
  <c r="L172" i="1"/>
  <c r="N172" i="1"/>
  <c r="O172" i="1"/>
  <c r="K173" i="1"/>
  <c r="L173" i="1"/>
  <c r="M173" i="1"/>
  <c r="N173" i="1"/>
  <c r="O173" i="1"/>
  <c r="K174" i="1"/>
  <c r="L174" i="1"/>
  <c r="N174" i="1"/>
  <c r="O174" i="1"/>
  <c r="K175" i="1"/>
  <c r="L175" i="1"/>
  <c r="N175" i="1"/>
  <c r="O175" i="1"/>
  <c r="K176" i="1"/>
  <c r="M176" i="1" s="1"/>
  <c r="L176" i="1"/>
  <c r="N176" i="1"/>
  <c r="O176" i="1"/>
  <c r="K177" i="1"/>
  <c r="M177" i="1" s="1"/>
  <c r="L177" i="1"/>
  <c r="N177" i="1"/>
  <c r="O177" i="1"/>
  <c r="K178" i="1"/>
  <c r="L178" i="1"/>
  <c r="M178" i="1"/>
  <c r="N178" i="1"/>
  <c r="O178" i="1"/>
  <c r="K179" i="1"/>
  <c r="L179" i="1"/>
  <c r="M179" i="1" s="1"/>
  <c r="N179" i="1"/>
  <c r="O179" i="1"/>
  <c r="K180" i="1"/>
  <c r="M180" i="1" s="1"/>
  <c r="L180" i="1"/>
  <c r="N180" i="1"/>
  <c r="O180" i="1"/>
  <c r="K181" i="1"/>
  <c r="M181" i="1" s="1"/>
  <c r="L181" i="1"/>
  <c r="N181" i="1"/>
  <c r="O181" i="1"/>
  <c r="K182" i="1"/>
  <c r="L182" i="1"/>
  <c r="M182" i="1"/>
  <c r="N182" i="1"/>
  <c r="O182" i="1"/>
  <c r="K183" i="1"/>
  <c r="L183" i="1"/>
  <c r="N183" i="1"/>
  <c r="O183" i="1"/>
  <c r="K184" i="1"/>
  <c r="M184" i="1" s="1"/>
  <c r="L184" i="1"/>
  <c r="N184" i="1"/>
  <c r="O184" i="1"/>
  <c r="K185" i="1"/>
  <c r="L185" i="1"/>
  <c r="N185" i="1"/>
  <c r="O185" i="1"/>
  <c r="K186" i="1"/>
  <c r="M186" i="1" s="1"/>
  <c r="L186" i="1"/>
  <c r="N186" i="1"/>
  <c r="O186" i="1"/>
  <c r="K187" i="1"/>
  <c r="L187" i="1"/>
  <c r="M187" i="1"/>
  <c r="N187" i="1"/>
  <c r="O187" i="1"/>
  <c r="K188" i="1"/>
  <c r="L188" i="1"/>
  <c r="N188" i="1"/>
  <c r="O188" i="1"/>
  <c r="K189" i="1"/>
  <c r="L189" i="1"/>
  <c r="M189" i="1"/>
  <c r="N189" i="1"/>
  <c r="O189" i="1"/>
  <c r="K190" i="1"/>
  <c r="L190" i="1"/>
  <c r="M190" i="1"/>
  <c r="N190" i="1"/>
  <c r="O190" i="1"/>
  <c r="K191" i="1"/>
  <c r="M191" i="1" s="1"/>
  <c r="L191" i="1"/>
  <c r="N191" i="1"/>
  <c r="O191" i="1"/>
  <c r="K192" i="1"/>
  <c r="L192" i="1"/>
  <c r="M192" i="1"/>
  <c r="N192" i="1"/>
  <c r="O192" i="1"/>
  <c r="K193" i="1"/>
  <c r="L193" i="1"/>
  <c r="N193" i="1"/>
  <c r="O193" i="1"/>
  <c r="K194" i="1"/>
  <c r="L194" i="1"/>
  <c r="M194" i="1"/>
  <c r="N194" i="1"/>
  <c r="O194" i="1"/>
  <c r="K195" i="1"/>
  <c r="L195" i="1"/>
  <c r="N195" i="1"/>
  <c r="O195" i="1"/>
  <c r="K196" i="1"/>
  <c r="M196" i="1" s="1"/>
  <c r="L196" i="1"/>
  <c r="N196" i="1"/>
  <c r="O196" i="1"/>
  <c r="K197" i="1"/>
  <c r="L197" i="1"/>
  <c r="M197" i="1"/>
  <c r="N197" i="1"/>
  <c r="O197" i="1"/>
  <c r="K198" i="1"/>
  <c r="L198" i="1"/>
  <c r="N198" i="1"/>
  <c r="O198" i="1"/>
  <c r="K199" i="1"/>
  <c r="L199" i="1"/>
  <c r="N199" i="1"/>
  <c r="O199" i="1"/>
  <c r="K200" i="1"/>
  <c r="M200" i="1" s="1"/>
  <c r="L200" i="1"/>
  <c r="N200" i="1"/>
  <c r="O200" i="1"/>
  <c r="K201" i="1"/>
  <c r="M201" i="1" s="1"/>
  <c r="L201" i="1"/>
  <c r="N201" i="1"/>
  <c r="O201" i="1"/>
  <c r="K202" i="1"/>
  <c r="M202" i="1" s="1"/>
  <c r="L202" i="1"/>
  <c r="N202" i="1"/>
  <c r="O202" i="1"/>
  <c r="K203" i="1"/>
  <c r="L203" i="1"/>
  <c r="M203" i="1" s="1"/>
  <c r="N203" i="1"/>
  <c r="O203" i="1"/>
  <c r="K204" i="1"/>
  <c r="L204" i="1"/>
  <c r="N204" i="1"/>
  <c r="O204" i="1"/>
  <c r="K205" i="1"/>
  <c r="M205" i="1" s="1"/>
  <c r="L205" i="1"/>
  <c r="N205" i="1"/>
  <c r="O205" i="1"/>
  <c r="K206" i="1"/>
  <c r="L206" i="1"/>
  <c r="M206" i="1"/>
  <c r="N206" i="1"/>
  <c r="O206" i="1"/>
  <c r="K207" i="1"/>
  <c r="L207" i="1"/>
  <c r="N207" i="1"/>
  <c r="O207" i="1"/>
  <c r="K208" i="1"/>
  <c r="M208" i="1" s="1"/>
  <c r="L208" i="1"/>
  <c r="N208" i="1"/>
  <c r="O208" i="1"/>
  <c r="K209" i="1"/>
  <c r="L209" i="1"/>
  <c r="N209" i="1"/>
  <c r="O209" i="1"/>
  <c r="K210" i="1"/>
  <c r="M210" i="1" s="1"/>
  <c r="L210" i="1"/>
  <c r="N210" i="1"/>
  <c r="O210" i="1"/>
  <c r="K211" i="1"/>
  <c r="L211" i="1"/>
  <c r="M211" i="1"/>
  <c r="N211" i="1"/>
  <c r="O211" i="1"/>
  <c r="K212" i="1"/>
  <c r="L212" i="1"/>
  <c r="N212" i="1"/>
  <c r="O212" i="1"/>
  <c r="K213" i="1"/>
  <c r="L213" i="1"/>
  <c r="M213" i="1"/>
  <c r="N213" i="1"/>
  <c r="O213" i="1"/>
  <c r="K214" i="1"/>
  <c r="L214" i="1"/>
  <c r="N214" i="1"/>
  <c r="O214" i="1"/>
  <c r="K215" i="1"/>
  <c r="L215" i="1"/>
  <c r="N215" i="1"/>
  <c r="O215" i="1"/>
  <c r="K216" i="1"/>
  <c r="L216" i="1"/>
  <c r="M216" i="1"/>
  <c r="N216" i="1"/>
  <c r="O216" i="1"/>
  <c r="K217" i="1"/>
  <c r="M217" i="1" s="1"/>
  <c r="L217" i="1"/>
  <c r="N217" i="1"/>
  <c r="O217" i="1"/>
  <c r="K218" i="1"/>
  <c r="L218" i="1"/>
  <c r="M218" i="1"/>
  <c r="N218" i="1"/>
  <c r="O218" i="1"/>
  <c r="K219" i="1"/>
  <c r="L219" i="1"/>
  <c r="M219" i="1" s="1"/>
  <c r="N219" i="1"/>
  <c r="O219" i="1"/>
  <c r="K220" i="1"/>
  <c r="M220" i="1" s="1"/>
  <c r="L220" i="1"/>
  <c r="N220" i="1"/>
  <c r="O220" i="1"/>
  <c r="K221" i="1"/>
  <c r="M221" i="1" s="1"/>
  <c r="L221" i="1"/>
  <c r="N221" i="1"/>
  <c r="O221" i="1"/>
  <c r="K222" i="1"/>
  <c r="L222" i="1"/>
  <c r="N222" i="1"/>
  <c r="O222" i="1"/>
  <c r="K223" i="1"/>
  <c r="L223" i="1"/>
  <c r="N223" i="1"/>
  <c r="O223" i="1"/>
  <c r="K224" i="1"/>
  <c r="M224" i="1" s="1"/>
  <c r="L224" i="1"/>
  <c r="N224" i="1"/>
  <c r="O224" i="1"/>
  <c r="K225" i="1"/>
  <c r="M225" i="1" s="1"/>
  <c r="L225" i="1"/>
  <c r="N225" i="1"/>
  <c r="O225" i="1"/>
  <c r="K226" i="1"/>
  <c r="M226" i="1" s="1"/>
  <c r="L226" i="1"/>
  <c r="N226" i="1"/>
  <c r="O226" i="1"/>
  <c r="K227" i="1"/>
  <c r="L227" i="1"/>
  <c r="M227" i="1" s="1"/>
  <c r="N227" i="1"/>
  <c r="O227" i="1"/>
  <c r="K228" i="1"/>
  <c r="L228" i="1"/>
  <c r="N228" i="1"/>
  <c r="O228" i="1"/>
  <c r="K229" i="1"/>
  <c r="M229" i="1" s="1"/>
  <c r="L229" i="1"/>
  <c r="N229" i="1"/>
  <c r="O229" i="1"/>
  <c r="K230" i="1"/>
  <c r="L230" i="1"/>
  <c r="M230" i="1"/>
  <c r="N230" i="1"/>
  <c r="O230" i="1"/>
  <c r="K231" i="1"/>
  <c r="L231" i="1"/>
  <c r="N231" i="1"/>
  <c r="O231" i="1"/>
  <c r="K232" i="1"/>
  <c r="L232" i="1"/>
  <c r="N232" i="1"/>
  <c r="O232" i="1"/>
  <c r="K233" i="1"/>
  <c r="L233" i="1"/>
  <c r="N233" i="1"/>
  <c r="O233" i="1"/>
  <c r="K234" i="1"/>
  <c r="M234" i="1" s="1"/>
  <c r="L234" i="1"/>
  <c r="N234" i="1"/>
  <c r="O234" i="1"/>
  <c r="K235" i="1"/>
  <c r="L235" i="1"/>
  <c r="M235" i="1"/>
  <c r="N235" i="1"/>
  <c r="O235" i="1"/>
  <c r="K236" i="1"/>
  <c r="M236" i="1" s="1"/>
  <c r="L236" i="1"/>
  <c r="N236" i="1"/>
  <c r="O236" i="1"/>
  <c r="K237" i="1"/>
  <c r="L237" i="1"/>
  <c r="M237" i="1"/>
  <c r="N237" i="1"/>
  <c r="O237" i="1"/>
  <c r="K238" i="1"/>
  <c r="L238" i="1"/>
  <c r="N238" i="1"/>
  <c r="O238" i="1"/>
  <c r="K239" i="1"/>
  <c r="L239" i="1"/>
  <c r="N239" i="1"/>
  <c r="O239" i="1"/>
  <c r="K240" i="1"/>
  <c r="M240" i="1" s="1"/>
  <c r="L240" i="1"/>
  <c r="N240" i="1"/>
  <c r="O240" i="1"/>
  <c r="K241" i="1"/>
  <c r="M241" i="1" s="1"/>
  <c r="L241" i="1"/>
  <c r="N241" i="1"/>
  <c r="O241" i="1"/>
  <c r="K242" i="1"/>
  <c r="L242" i="1"/>
  <c r="M242" i="1"/>
  <c r="N242" i="1"/>
  <c r="O242" i="1"/>
  <c r="K243" i="1"/>
  <c r="L243" i="1"/>
  <c r="M243" i="1" s="1"/>
  <c r="N243" i="1"/>
  <c r="O243" i="1"/>
  <c r="K244" i="1"/>
  <c r="M244" i="1" s="1"/>
  <c r="L244" i="1"/>
  <c r="N244" i="1"/>
  <c r="O244" i="1"/>
  <c r="K245" i="1"/>
  <c r="M245" i="1" s="1"/>
  <c r="L245" i="1"/>
  <c r="N245" i="1"/>
  <c r="O245" i="1"/>
  <c r="K246" i="1"/>
  <c r="L246" i="1"/>
  <c r="M246" i="1"/>
  <c r="N246" i="1"/>
  <c r="O246" i="1"/>
  <c r="K247" i="1"/>
  <c r="L247" i="1"/>
  <c r="N247" i="1"/>
  <c r="O247" i="1"/>
  <c r="K248" i="1"/>
  <c r="L248" i="1"/>
  <c r="N248" i="1"/>
  <c r="O248" i="1"/>
  <c r="K249" i="1"/>
  <c r="L249" i="1"/>
  <c r="N249" i="1"/>
  <c r="O249" i="1"/>
  <c r="K250" i="1"/>
  <c r="M250" i="1" s="1"/>
  <c r="L250" i="1"/>
  <c r="N250" i="1"/>
  <c r="O250" i="1"/>
  <c r="K251" i="1"/>
  <c r="L251" i="1"/>
  <c r="M251" i="1" s="1"/>
  <c r="N251" i="1"/>
  <c r="O251" i="1"/>
  <c r="K252" i="1"/>
  <c r="L252" i="1"/>
  <c r="N252" i="1"/>
  <c r="O252" i="1"/>
  <c r="K253" i="1"/>
  <c r="L253" i="1"/>
  <c r="M253" i="1"/>
  <c r="N253" i="1"/>
  <c r="O253" i="1"/>
  <c r="K254" i="1"/>
  <c r="L254" i="1"/>
  <c r="M254" i="1"/>
  <c r="N254" i="1"/>
  <c r="O254" i="1"/>
  <c r="K255" i="1"/>
  <c r="M255" i="1" s="1"/>
  <c r="L255" i="1"/>
  <c r="N255" i="1"/>
  <c r="O255" i="1"/>
  <c r="K256" i="1"/>
  <c r="L256" i="1"/>
  <c r="M256" i="1" s="1"/>
  <c r="N256" i="1"/>
  <c r="O256" i="1"/>
  <c r="K257" i="1"/>
  <c r="L257" i="1"/>
  <c r="N257" i="1"/>
  <c r="O257" i="1"/>
  <c r="K258" i="1"/>
  <c r="M258" i="1" s="1"/>
  <c r="L258" i="1"/>
  <c r="N258" i="1"/>
  <c r="O258" i="1"/>
  <c r="K259" i="1"/>
  <c r="L259" i="1"/>
  <c r="N259" i="1"/>
  <c r="O259" i="1"/>
  <c r="K260" i="1"/>
  <c r="M260" i="1" s="1"/>
  <c r="L260" i="1"/>
  <c r="N260" i="1"/>
  <c r="O260" i="1"/>
  <c r="K261" i="1"/>
  <c r="L261" i="1"/>
  <c r="M261" i="1"/>
  <c r="N261" i="1"/>
  <c r="O261" i="1"/>
  <c r="K262" i="1"/>
  <c r="L262" i="1"/>
  <c r="N262" i="1"/>
  <c r="O262" i="1"/>
  <c r="K263" i="1"/>
  <c r="L263" i="1"/>
  <c r="N263" i="1"/>
  <c r="O263" i="1"/>
  <c r="K264" i="1"/>
  <c r="M264" i="1" s="1"/>
  <c r="L264" i="1"/>
  <c r="N264" i="1"/>
  <c r="O264" i="1"/>
  <c r="K265" i="1"/>
  <c r="M265" i="1" s="1"/>
  <c r="L265" i="1"/>
  <c r="N265" i="1"/>
  <c r="O265" i="1"/>
  <c r="K266" i="1"/>
  <c r="L266" i="1"/>
  <c r="M266" i="1"/>
  <c r="N266" i="1"/>
  <c r="O266" i="1"/>
  <c r="K267" i="1"/>
  <c r="L267" i="1"/>
  <c r="N267" i="1"/>
  <c r="O267" i="1"/>
  <c r="K268" i="1"/>
  <c r="L268" i="1"/>
  <c r="N268" i="1"/>
  <c r="O268" i="1"/>
  <c r="K269" i="1"/>
  <c r="M269" i="1" s="1"/>
  <c r="L269" i="1"/>
  <c r="N269" i="1"/>
  <c r="O269" i="1"/>
  <c r="K270" i="1"/>
  <c r="L270" i="1"/>
  <c r="M270" i="1"/>
  <c r="N270" i="1"/>
  <c r="O270" i="1"/>
  <c r="K271" i="1"/>
  <c r="L271" i="1"/>
  <c r="M271" i="1"/>
  <c r="N271" i="1"/>
  <c r="O271" i="1"/>
  <c r="K272" i="1"/>
  <c r="M272" i="1" s="1"/>
  <c r="L272" i="1"/>
  <c r="N272" i="1"/>
  <c r="O272" i="1"/>
  <c r="K273" i="1"/>
  <c r="M273" i="1" s="1"/>
  <c r="L273" i="1"/>
  <c r="N273" i="1"/>
  <c r="O273" i="1"/>
  <c r="K274" i="1"/>
  <c r="M274" i="1" s="1"/>
  <c r="L274" i="1"/>
  <c r="N274" i="1"/>
  <c r="O274" i="1"/>
  <c r="K275" i="1"/>
  <c r="L275" i="1"/>
  <c r="M275" i="1"/>
  <c r="N275" i="1"/>
  <c r="O275" i="1"/>
  <c r="K276" i="1"/>
  <c r="L276" i="1"/>
  <c r="N276" i="1"/>
  <c r="O276" i="1"/>
  <c r="K277" i="1"/>
  <c r="L277" i="1"/>
  <c r="N277" i="1"/>
  <c r="O277" i="1"/>
  <c r="K278" i="1"/>
  <c r="L278" i="1"/>
  <c r="M278" i="1"/>
  <c r="N278" i="1"/>
  <c r="O278" i="1"/>
  <c r="K279" i="1"/>
  <c r="M279" i="1" s="1"/>
  <c r="L279" i="1"/>
  <c r="N279" i="1"/>
  <c r="O279" i="1"/>
  <c r="K280" i="1"/>
  <c r="M280" i="1" s="1"/>
  <c r="L280" i="1"/>
  <c r="N280" i="1"/>
  <c r="O280" i="1"/>
  <c r="K281" i="1"/>
  <c r="L281" i="1"/>
  <c r="N281" i="1"/>
  <c r="O281" i="1"/>
  <c r="K282" i="1"/>
  <c r="M282" i="1" s="1"/>
  <c r="L282" i="1"/>
  <c r="N282" i="1"/>
  <c r="O282" i="1"/>
  <c r="K283" i="1"/>
  <c r="L283" i="1"/>
  <c r="M283" i="1"/>
  <c r="N283" i="1"/>
  <c r="O283" i="1"/>
  <c r="K284" i="1"/>
  <c r="L284" i="1"/>
  <c r="N284" i="1"/>
  <c r="O284" i="1"/>
  <c r="K285" i="1"/>
  <c r="L285" i="1"/>
  <c r="N285" i="1"/>
  <c r="O285" i="1"/>
  <c r="K286" i="1"/>
  <c r="L286" i="1"/>
  <c r="N286" i="1"/>
  <c r="O286" i="1"/>
  <c r="K287" i="1"/>
  <c r="M287" i="1" s="1"/>
  <c r="L287" i="1"/>
  <c r="N287" i="1"/>
  <c r="O287" i="1"/>
  <c r="K288" i="1"/>
  <c r="L288" i="1"/>
  <c r="M288" i="1"/>
  <c r="N288" i="1"/>
  <c r="O288" i="1"/>
  <c r="K289" i="1"/>
  <c r="L289" i="1"/>
  <c r="N289" i="1"/>
  <c r="O289" i="1"/>
  <c r="K290" i="1"/>
  <c r="L290" i="1"/>
  <c r="M290" i="1"/>
  <c r="N290" i="1"/>
  <c r="O290" i="1"/>
  <c r="K291" i="1"/>
  <c r="L291" i="1"/>
  <c r="N291" i="1"/>
  <c r="O291" i="1"/>
  <c r="K292" i="1"/>
  <c r="L292" i="1"/>
  <c r="N292" i="1"/>
  <c r="O292" i="1"/>
  <c r="K293" i="1"/>
  <c r="L293" i="1"/>
  <c r="M293" i="1"/>
  <c r="N293" i="1"/>
  <c r="O293" i="1"/>
  <c r="K294" i="1"/>
  <c r="L294" i="1"/>
  <c r="N294" i="1"/>
  <c r="O294" i="1"/>
  <c r="K295" i="1"/>
  <c r="L295" i="1"/>
  <c r="M295" i="1"/>
  <c r="N295" i="1"/>
  <c r="O295" i="1"/>
  <c r="K296" i="1"/>
  <c r="M296" i="1" s="1"/>
  <c r="L296" i="1"/>
  <c r="N296" i="1"/>
  <c r="O296" i="1"/>
  <c r="K297" i="1"/>
  <c r="M297" i="1" s="1"/>
  <c r="L297" i="1"/>
  <c r="N297" i="1"/>
  <c r="O297" i="1"/>
  <c r="K298" i="1"/>
  <c r="L298" i="1"/>
  <c r="M298" i="1"/>
  <c r="N298" i="1"/>
  <c r="O298" i="1"/>
  <c r="K299" i="1"/>
  <c r="L299" i="1"/>
  <c r="N299" i="1"/>
  <c r="O299" i="1"/>
  <c r="K300" i="1"/>
  <c r="M300" i="1" s="1"/>
  <c r="L300" i="1"/>
  <c r="N300" i="1"/>
  <c r="O300" i="1"/>
  <c r="K301" i="1"/>
  <c r="M301" i="1" s="1"/>
  <c r="L301" i="1"/>
  <c r="N301" i="1"/>
  <c r="O301" i="1"/>
  <c r="K302" i="1"/>
  <c r="L302" i="1"/>
  <c r="M302" i="1"/>
  <c r="N302" i="1"/>
  <c r="O302" i="1"/>
  <c r="K303" i="1"/>
  <c r="L303" i="1"/>
  <c r="M303" i="1"/>
  <c r="N303" i="1"/>
  <c r="O303" i="1"/>
  <c r="K304" i="1"/>
  <c r="M304" i="1" s="1"/>
  <c r="L304" i="1"/>
  <c r="N304" i="1"/>
  <c r="O304" i="1"/>
  <c r="K305" i="1"/>
  <c r="M305" i="1" s="1"/>
  <c r="L305" i="1"/>
  <c r="N305" i="1"/>
  <c r="O305" i="1"/>
  <c r="K306" i="1"/>
  <c r="M306" i="1" s="1"/>
  <c r="L306" i="1"/>
  <c r="N306" i="1"/>
  <c r="O306" i="1"/>
  <c r="K307" i="1"/>
  <c r="L307" i="1"/>
  <c r="M307" i="1" s="1"/>
  <c r="N307" i="1"/>
  <c r="O307" i="1"/>
  <c r="K308" i="1"/>
  <c r="L308" i="1"/>
  <c r="N308" i="1"/>
  <c r="O308" i="1"/>
  <c r="K309" i="1"/>
  <c r="M309" i="1" s="1"/>
  <c r="L309" i="1"/>
  <c r="N309" i="1"/>
  <c r="O309" i="1"/>
  <c r="K310" i="1"/>
  <c r="L310" i="1"/>
  <c r="M310" i="1"/>
  <c r="N310" i="1"/>
  <c r="O310" i="1"/>
  <c r="K311" i="1"/>
  <c r="M311" i="1" s="1"/>
  <c r="L311" i="1"/>
  <c r="N311" i="1"/>
  <c r="O311" i="1"/>
  <c r="K312" i="1"/>
  <c r="M312" i="1" s="1"/>
  <c r="L312" i="1"/>
  <c r="N312" i="1"/>
  <c r="O312" i="1"/>
  <c r="K313" i="1"/>
  <c r="L313" i="1"/>
  <c r="N313" i="1"/>
  <c r="O313" i="1"/>
  <c r="K314" i="1"/>
  <c r="L314" i="1"/>
  <c r="N314" i="1"/>
  <c r="O314" i="1"/>
  <c r="K315" i="1"/>
  <c r="L315" i="1"/>
  <c r="M315" i="1"/>
  <c r="N315" i="1"/>
  <c r="O315" i="1"/>
  <c r="K316" i="1"/>
  <c r="L316" i="1"/>
  <c r="N316" i="1"/>
  <c r="O316" i="1"/>
  <c r="K317" i="1"/>
  <c r="L317" i="1"/>
  <c r="M317" i="1"/>
  <c r="N317" i="1"/>
  <c r="O317" i="1"/>
  <c r="K318" i="1"/>
  <c r="L318" i="1"/>
  <c r="N318" i="1"/>
  <c r="O318" i="1"/>
  <c r="K319" i="1"/>
  <c r="L319" i="1"/>
  <c r="N319" i="1"/>
  <c r="O319" i="1"/>
  <c r="K320" i="1"/>
  <c r="L320" i="1"/>
  <c r="M320" i="1" s="1"/>
  <c r="N320" i="1"/>
  <c r="O320" i="1"/>
  <c r="K321" i="1"/>
  <c r="L321" i="1"/>
  <c r="N321" i="1"/>
  <c r="O321" i="1"/>
  <c r="K322" i="1"/>
  <c r="M322" i="1" s="1"/>
  <c r="L322" i="1"/>
  <c r="N322" i="1"/>
  <c r="O322" i="1"/>
  <c r="K323" i="1"/>
  <c r="L323" i="1"/>
  <c r="N323" i="1"/>
  <c r="O323" i="1"/>
  <c r="K324" i="1"/>
  <c r="M324" i="1" s="1"/>
  <c r="L324" i="1"/>
  <c r="N324" i="1"/>
  <c r="O324" i="1"/>
  <c r="K325" i="1"/>
  <c r="L325" i="1"/>
  <c r="M325" i="1"/>
  <c r="N325" i="1"/>
  <c r="O325" i="1"/>
  <c r="K326" i="1"/>
  <c r="L326" i="1"/>
  <c r="N326" i="1"/>
  <c r="O326" i="1"/>
  <c r="K327" i="1"/>
  <c r="M327" i="1" s="1"/>
  <c r="L327" i="1"/>
  <c r="N327" i="1"/>
  <c r="O327" i="1"/>
  <c r="K328" i="1"/>
  <c r="M328" i="1" s="1"/>
  <c r="L328" i="1"/>
  <c r="N328" i="1"/>
  <c r="O328" i="1"/>
  <c r="K329" i="1"/>
  <c r="M329" i="1" s="1"/>
  <c r="L329" i="1"/>
  <c r="N329" i="1"/>
  <c r="O329" i="1"/>
  <c r="K330" i="1"/>
  <c r="L330" i="1"/>
  <c r="M330" i="1"/>
  <c r="N330" i="1"/>
  <c r="O330" i="1"/>
  <c r="K331" i="1"/>
  <c r="L331" i="1"/>
  <c r="N331" i="1"/>
  <c r="O331" i="1"/>
  <c r="K332" i="1"/>
  <c r="L332" i="1"/>
  <c r="N332" i="1"/>
  <c r="O332" i="1"/>
  <c r="K333" i="1"/>
  <c r="M333" i="1" s="1"/>
  <c r="L333" i="1"/>
  <c r="N333" i="1"/>
  <c r="O333" i="1"/>
  <c r="K334" i="1"/>
  <c r="L334" i="1"/>
  <c r="M334" i="1"/>
  <c r="N334" i="1"/>
  <c r="O334" i="1"/>
  <c r="K335" i="1"/>
  <c r="L335" i="1"/>
  <c r="M335" i="1"/>
  <c r="N335" i="1"/>
  <c r="O335" i="1"/>
  <c r="K336" i="1"/>
  <c r="M336" i="1" s="1"/>
  <c r="L336" i="1"/>
  <c r="N336" i="1"/>
  <c r="O336" i="1"/>
  <c r="K337" i="1"/>
  <c r="M337" i="1" s="1"/>
  <c r="L337" i="1"/>
  <c r="N337" i="1"/>
  <c r="O337" i="1"/>
  <c r="K338" i="1"/>
  <c r="M338" i="1" s="1"/>
  <c r="L338" i="1"/>
  <c r="N338" i="1"/>
  <c r="O338" i="1"/>
  <c r="K339" i="1"/>
  <c r="L339" i="1"/>
  <c r="M339" i="1"/>
  <c r="N339" i="1"/>
  <c r="O339" i="1"/>
  <c r="K340" i="1"/>
  <c r="L340" i="1"/>
  <c r="N340" i="1"/>
  <c r="O340" i="1"/>
  <c r="K341" i="1"/>
  <c r="L341" i="1"/>
  <c r="N341" i="1"/>
  <c r="O341" i="1"/>
  <c r="K342" i="1"/>
  <c r="L342" i="1"/>
  <c r="M342" i="1"/>
  <c r="N342" i="1"/>
  <c r="O342" i="1"/>
  <c r="K343" i="1"/>
  <c r="M343" i="1" s="1"/>
  <c r="L343" i="1"/>
  <c r="N343" i="1"/>
  <c r="O343" i="1"/>
  <c r="K344" i="1"/>
  <c r="M344" i="1" s="1"/>
  <c r="L344" i="1"/>
  <c r="N344" i="1"/>
  <c r="O344" i="1"/>
  <c r="K345" i="1"/>
  <c r="L345" i="1"/>
  <c r="N345" i="1"/>
  <c r="O345" i="1"/>
  <c r="K346" i="1"/>
  <c r="M346" i="1" s="1"/>
  <c r="L346" i="1"/>
  <c r="N346" i="1"/>
  <c r="O346" i="1"/>
  <c r="K347" i="1"/>
  <c r="L347" i="1"/>
  <c r="M347" i="1"/>
  <c r="N347" i="1"/>
  <c r="O347" i="1"/>
  <c r="K348" i="1"/>
  <c r="L348" i="1"/>
  <c r="N348" i="1"/>
  <c r="O348" i="1"/>
  <c r="K349" i="1"/>
  <c r="L349" i="1"/>
  <c r="N349" i="1"/>
  <c r="O349" i="1"/>
  <c r="K350" i="1"/>
  <c r="L350" i="1"/>
  <c r="N350" i="1"/>
  <c r="O350" i="1"/>
  <c r="K351" i="1"/>
  <c r="M351" i="1" s="1"/>
  <c r="L351" i="1"/>
  <c r="N351" i="1"/>
  <c r="O351" i="1"/>
  <c r="K352" i="1"/>
  <c r="L352" i="1"/>
  <c r="M352" i="1"/>
  <c r="N352" i="1"/>
  <c r="O352" i="1"/>
  <c r="K353" i="1"/>
  <c r="L353" i="1"/>
  <c r="N353" i="1"/>
  <c r="O353" i="1"/>
  <c r="K354" i="1"/>
  <c r="L354" i="1"/>
  <c r="M354" i="1"/>
  <c r="N354" i="1"/>
  <c r="O354" i="1"/>
  <c r="K355" i="1"/>
  <c r="L355" i="1"/>
  <c r="N355" i="1"/>
  <c r="O355" i="1"/>
  <c r="K356" i="1"/>
  <c r="L356" i="1"/>
  <c r="N356" i="1"/>
  <c r="O356" i="1"/>
  <c r="K357" i="1"/>
  <c r="L357" i="1"/>
  <c r="M357" i="1"/>
  <c r="N357" i="1"/>
  <c r="O357" i="1"/>
  <c r="K358" i="1"/>
  <c r="L358" i="1"/>
  <c r="N358" i="1"/>
  <c r="O358" i="1"/>
  <c r="K359" i="1"/>
  <c r="L359" i="1"/>
  <c r="M359" i="1"/>
  <c r="N359" i="1"/>
  <c r="O359" i="1"/>
  <c r="K360" i="1"/>
  <c r="M360" i="1" s="1"/>
  <c r="L360" i="1"/>
  <c r="N360" i="1"/>
  <c r="O360" i="1"/>
  <c r="K361" i="1"/>
  <c r="M361" i="1" s="1"/>
  <c r="L361" i="1"/>
  <c r="N361" i="1"/>
  <c r="O361" i="1"/>
  <c r="K362" i="1"/>
  <c r="L362" i="1"/>
  <c r="M362" i="1"/>
  <c r="N362" i="1"/>
  <c r="O362" i="1"/>
  <c r="K363" i="1"/>
  <c r="L363" i="1"/>
  <c r="N363" i="1"/>
  <c r="O363" i="1"/>
  <c r="K364" i="1"/>
  <c r="M364" i="1" s="1"/>
  <c r="L364" i="1"/>
  <c r="N364" i="1"/>
  <c r="O364" i="1"/>
  <c r="K365" i="1"/>
  <c r="M365" i="1" s="1"/>
  <c r="L365" i="1"/>
  <c r="N365" i="1"/>
  <c r="O365" i="1"/>
  <c r="K366" i="1"/>
  <c r="L366" i="1"/>
  <c r="M366" i="1"/>
  <c r="N366" i="1"/>
  <c r="O366" i="1"/>
  <c r="K367" i="1"/>
  <c r="L367" i="1"/>
  <c r="M367" i="1"/>
  <c r="N367" i="1"/>
  <c r="O367" i="1"/>
  <c r="K368" i="1"/>
  <c r="M368" i="1" s="1"/>
  <c r="L368" i="1"/>
  <c r="N368" i="1"/>
  <c r="O368" i="1"/>
  <c r="K369" i="1"/>
  <c r="M369" i="1" s="1"/>
  <c r="L369" i="1"/>
  <c r="N369" i="1"/>
  <c r="O369" i="1"/>
  <c r="K370" i="1"/>
  <c r="M370" i="1" s="1"/>
  <c r="L370" i="1"/>
  <c r="N370" i="1"/>
  <c r="O370" i="1"/>
  <c r="K371" i="1"/>
  <c r="L371" i="1"/>
  <c r="M371" i="1" s="1"/>
  <c r="N371" i="1"/>
  <c r="O371" i="1"/>
  <c r="K372" i="1"/>
  <c r="L372" i="1"/>
  <c r="N372" i="1"/>
  <c r="O372" i="1"/>
  <c r="K373" i="1"/>
  <c r="M373" i="1" s="1"/>
  <c r="L373" i="1"/>
  <c r="N373" i="1"/>
  <c r="O373" i="1"/>
  <c r="K374" i="1"/>
  <c r="L374" i="1"/>
  <c r="M374" i="1"/>
  <c r="N374" i="1"/>
  <c r="O374" i="1"/>
  <c r="K375" i="1"/>
  <c r="M375" i="1" s="1"/>
  <c r="L375" i="1"/>
  <c r="N375" i="1"/>
  <c r="O375" i="1"/>
  <c r="K376" i="1"/>
  <c r="L376" i="1"/>
  <c r="M376" i="1"/>
  <c r="N376" i="1"/>
  <c r="O376" i="1"/>
  <c r="K377" i="1"/>
  <c r="L377" i="1"/>
  <c r="N377" i="1"/>
  <c r="O377" i="1"/>
  <c r="K378" i="1"/>
  <c r="L378" i="1"/>
  <c r="N378" i="1"/>
  <c r="O378" i="1"/>
  <c r="K379" i="1"/>
  <c r="L379" i="1"/>
  <c r="M379" i="1"/>
  <c r="N379" i="1"/>
  <c r="O379" i="1"/>
  <c r="K380" i="1"/>
  <c r="L380" i="1"/>
  <c r="N380" i="1"/>
  <c r="O380" i="1"/>
  <c r="K381" i="1"/>
  <c r="L381" i="1"/>
  <c r="M381" i="1"/>
  <c r="N381" i="1"/>
  <c r="O381" i="1"/>
  <c r="K382" i="1"/>
  <c r="L382" i="1"/>
  <c r="N382" i="1"/>
  <c r="O382" i="1"/>
  <c r="K383" i="1"/>
  <c r="L383" i="1"/>
  <c r="N383" i="1"/>
  <c r="O383" i="1"/>
  <c r="K384" i="1"/>
  <c r="L384" i="1"/>
  <c r="M384" i="1" s="1"/>
  <c r="N384" i="1"/>
  <c r="O384" i="1"/>
  <c r="K385" i="1"/>
  <c r="L385" i="1"/>
  <c r="N385" i="1"/>
  <c r="O385" i="1"/>
  <c r="K386" i="1"/>
  <c r="M386" i="1" s="1"/>
  <c r="L386" i="1"/>
  <c r="N386" i="1"/>
  <c r="O386" i="1"/>
  <c r="K387" i="1"/>
  <c r="L387" i="1"/>
  <c r="M387" i="1" s="1"/>
  <c r="N387" i="1"/>
  <c r="O387" i="1"/>
  <c r="K388" i="1"/>
  <c r="M388" i="1" s="1"/>
  <c r="L388" i="1"/>
  <c r="N388" i="1"/>
  <c r="O388" i="1"/>
  <c r="K389" i="1"/>
  <c r="L389" i="1"/>
  <c r="M389" i="1"/>
  <c r="N389" i="1"/>
  <c r="O389" i="1"/>
  <c r="K390" i="1"/>
  <c r="L390" i="1"/>
  <c r="N390" i="1"/>
  <c r="O390" i="1"/>
  <c r="K391" i="1"/>
  <c r="L391" i="1"/>
  <c r="N391" i="1"/>
  <c r="O391" i="1"/>
  <c r="K392" i="1"/>
  <c r="M392" i="1" s="1"/>
  <c r="L392" i="1"/>
  <c r="N392" i="1"/>
  <c r="O392" i="1"/>
  <c r="K393" i="1"/>
  <c r="M393" i="1" s="1"/>
  <c r="L393" i="1"/>
  <c r="N393" i="1"/>
  <c r="O393" i="1"/>
  <c r="K394" i="1"/>
  <c r="L394" i="1"/>
  <c r="M394" i="1"/>
  <c r="N394" i="1"/>
  <c r="O394" i="1"/>
  <c r="K395" i="1"/>
  <c r="L395" i="1"/>
  <c r="M395" i="1" s="1"/>
  <c r="N395" i="1"/>
  <c r="O395" i="1"/>
  <c r="K396" i="1"/>
  <c r="L396" i="1"/>
  <c r="N396" i="1"/>
  <c r="O396" i="1"/>
  <c r="K397" i="1"/>
  <c r="M397" i="1" s="1"/>
  <c r="L397" i="1"/>
  <c r="N397" i="1"/>
  <c r="O397" i="1"/>
  <c r="K398" i="1"/>
  <c r="L398" i="1"/>
  <c r="M398" i="1"/>
  <c r="N398" i="1"/>
  <c r="O398" i="1"/>
  <c r="K399" i="1"/>
  <c r="L399" i="1"/>
  <c r="M399" i="1"/>
  <c r="N399" i="1"/>
  <c r="O399" i="1"/>
  <c r="K400" i="1"/>
  <c r="M400" i="1" s="1"/>
  <c r="L400" i="1"/>
  <c r="N400" i="1"/>
  <c r="O400" i="1"/>
  <c r="K401" i="1"/>
  <c r="M401" i="1" s="1"/>
  <c r="L401" i="1"/>
  <c r="N401" i="1"/>
  <c r="O401" i="1"/>
  <c r="K402" i="1"/>
  <c r="M402" i="1" s="1"/>
  <c r="L402" i="1"/>
  <c r="N402" i="1"/>
  <c r="O402" i="1"/>
  <c r="K403" i="1"/>
  <c r="L403" i="1"/>
  <c r="M403" i="1"/>
  <c r="N403" i="1"/>
  <c r="O403" i="1"/>
  <c r="K404" i="1"/>
  <c r="L404" i="1"/>
  <c r="N404" i="1"/>
  <c r="O404" i="1"/>
  <c r="K405" i="1"/>
  <c r="L405" i="1"/>
  <c r="N405" i="1"/>
  <c r="O405" i="1"/>
  <c r="K406" i="1"/>
  <c r="L406" i="1"/>
  <c r="M406" i="1"/>
  <c r="N406" i="1"/>
  <c r="O406" i="1"/>
  <c r="K407" i="1"/>
  <c r="M407" i="1" s="1"/>
  <c r="L407" i="1"/>
  <c r="N407" i="1"/>
  <c r="O407" i="1"/>
  <c r="K408" i="1"/>
  <c r="M408" i="1" s="1"/>
  <c r="L408" i="1"/>
  <c r="N408" i="1"/>
  <c r="O408" i="1"/>
  <c r="K409" i="1"/>
  <c r="L409" i="1"/>
  <c r="N409" i="1"/>
  <c r="O409" i="1"/>
  <c r="K410" i="1"/>
  <c r="M410" i="1" s="1"/>
  <c r="L410" i="1"/>
  <c r="N410" i="1"/>
  <c r="O410" i="1"/>
  <c r="K411" i="1"/>
  <c r="L411" i="1"/>
  <c r="M411" i="1" s="1"/>
  <c r="N411" i="1"/>
  <c r="O411" i="1"/>
  <c r="K412" i="1"/>
  <c r="L412" i="1"/>
  <c r="N412" i="1"/>
  <c r="O412" i="1"/>
  <c r="K413" i="1"/>
  <c r="M413" i="1" s="1"/>
  <c r="L413" i="1"/>
  <c r="N413" i="1"/>
  <c r="O413" i="1"/>
  <c r="K414" i="1"/>
  <c r="L414" i="1"/>
  <c r="N414" i="1"/>
  <c r="O414" i="1"/>
  <c r="K415" i="1"/>
  <c r="M415" i="1" s="1"/>
  <c r="L415" i="1"/>
  <c r="N415" i="1"/>
  <c r="O415" i="1"/>
  <c r="K416" i="1"/>
  <c r="L416" i="1"/>
  <c r="M416" i="1"/>
  <c r="N416" i="1"/>
  <c r="O416" i="1"/>
  <c r="K417" i="1"/>
  <c r="L417" i="1"/>
  <c r="N417" i="1"/>
  <c r="O417" i="1"/>
  <c r="K418" i="1"/>
  <c r="L418" i="1"/>
  <c r="M418" i="1"/>
  <c r="N418" i="1"/>
  <c r="O418" i="1"/>
  <c r="K419" i="1"/>
  <c r="L419" i="1"/>
  <c r="N419" i="1"/>
  <c r="O419" i="1"/>
  <c r="K420" i="1"/>
  <c r="L420" i="1"/>
  <c r="N420" i="1"/>
  <c r="O420" i="1"/>
  <c r="K421" i="1"/>
  <c r="L421" i="1"/>
  <c r="M421" i="1"/>
  <c r="N421" i="1"/>
  <c r="O421" i="1"/>
  <c r="K422" i="1"/>
  <c r="L422" i="1"/>
  <c r="N422" i="1"/>
  <c r="O422" i="1"/>
  <c r="K423" i="1"/>
  <c r="L423" i="1"/>
  <c r="M423" i="1"/>
  <c r="N423" i="1"/>
  <c r="O423" i="1"/>
  <c r="K424" i="1"/>
  <c r="M424" i="1" s="1"/>
  <c r="L424" i="1"/>
  <c r="N424" i="1"/>
  <c r="O424" i="1"/>
  <c r="K425" i="1"/>
  <c r="M425" i="1" s="1"/>
  <c r="L425" i="1"/>
  <c r="N425" i="1"/>
  <c r="O425" i="1"/>
  <c r="K426" i="1"/>
  <c r="L426" i="1"/>
  <c r="M426" i="1"/>
  <c r="N426" i="1"/>
  <c r="O426" i="1"/>
  <c r="K427" i="1"/>
  <c r="L427" i="1"/>
  <c r="M427" i="1" s="1"/>
  <c r="N427" i="1"/>
  <c r="O427" i="1"/>
  <c r="K428" i="1"/>
  <c r="M428" i="1" s="1"/>
  <c r="L428" i="1"/>
  <c r="N428" i="1"/>
  <c r="O428" i="1"/>
  <c r="K429" i="1"/>
  <c r="M429" i="1" s="1"/>
  <c r="L429" i="1"/>
  <c r="N429" i="1"/>
  <c r="O429" i="1"/>
  <c r="K430" i="1"/>
  <c r="L430" i="1"/>
  <c r="M430" i="1"/>
  <c r="N430" i="1"/>
  <c r="O430" i="1"/>
  <c r="K431" i="1"/>
  <c r="L431" i="1"/>
  <c r="M431" i="1"/>
  <c r="N431" i="1"/>
  <c r="O431" i="1"/>
  <c r="K432" i="1"/>
  <c r="M432" i="1" s="1"/>
  <c r="L432" i="1"/>
  <c r="N432" i="1"/>
  <c r="O432" i="1"/>
  <c r="K433" i="1"/>
  <c r="M433" i="1" s="1"/>
  <c r="L433" i="1"/>
  <c r="N433" i="1"/>
  <c r="O433" i="1"/>
  <c r="K434" i="1"/>
  <c r="M434" i="1" s="1"/>
  <c r="L434" i="1"/>
  <c r="N434" i="1"/>
  <c r="O434" i="1"/>
  <c r="K435" i="1"/>
  <c r="L435" i="1"/>
  <c r="M435" i="1" s="1"/>
  <c r="N435" i="1"/>
  <c r="O435" i="1"/>
  <c r="K436" i="1"/>
  <c r="L436" i="1"/>
  <c r="N436" i="1"/>
  <c r="O436" i="1"/>
  <c r="K437" i="1"/>
  <c r="M437" i="1" s="1"/>
  <c r="L437" i="1"/>
  <c r="N437" i="1"/>
  <c r="O437" i="1"/>
  <c r="K438" i="1"/>
  <c r="L438" i="1"/>
  <c r="M438" i="1"/>
  <c r="N438" i="1"/>
  <c r="O438" i="1"/>
  <c r="K439" i="1"/>
  <c r="M439" i="1" s="1"/>
  <c r="L439" i="1"/>
  <c r="N439" i="1"/>
  <c r="O439" i="1"/>
  <c r="K440" i="1"/>
  <c r="L440" i="1"/>
  <c r="M440" i="1"/>
  <c r="N440" i="1"/>
  <c r="O440" i="1"/>
  <c r="K441" i="1"/>
  <c r="L441" i="1"/>
  <c r="N441" i="1"/>
  <c r="O441" i="1"/>
  <c r="K442" i="1"/>
  <c r="L442" i="1"/>
  <c r="N442" i="1"/>
  <c r="O442" i="1"/>
  <c r="K443" i="1"/>
  <c r="L443" i="1"/>
  <c r="M443" i="1"/>
  <c r="N443" i="1"/>
  <c r="O443" i="1"/>
  <c r="K444" i="1"/>
  <c r="L444" i="1"/>
  <c r="N444" i="1"/>
  <c r="O444" i="1"/>
  <c r="K445" i="1"/>
  <c r="L445" i="1"/>
  <c r="M445" i="1"/>
  <c r="N445" i="1"/>
  <c r="O445" i="1"/>
  <c r="K446" i="1"/>
  <c r="L446" i="1"/>
  <c r="N446" i="1"/>
  <c r="O446" i="1"/>
  <c r="K447" i="1"/>
  <c r="L447" i="1"/>
  <c r="N447" i="1"/>
  <c r="O447" i="1"/>
  <c r="K448" i="1"/>
  <c r="L448" i="1"/>
  <c r="M448" i="1" s="1"/>
  <c r="N448" i="1"/>
  <c r="O448" i="1"/>
  <c r="K449" i="1"/>
  <c r="L449" i="1"/>
  <c r="N449" i="1"/>
  <c r="O449" i="1"/>
  <c r="K450" i="1"/>
  <c r="M450" i="1" s="1"/>
  <c r="L450" i="1"/>
  <c r="N450" i="1"/>
  <c r="O450" i="1"/>
  <c r="K451" i="1"/>
  <c r="L451" i="1"/>
  <c r="N451" i="1"/>
  <c r="O451" i="1"/>
  <c r="K452" i="1"/>
  <c r="M452" i="1" s="1"/>
  <c r="L452" i="1"/>
  <c r="N452" i="1"/>
  <c r="O452" i="1"/>
  <c r="K453" i="1"/>
  <c r="L453" i="1"/>
  <c r="M453" i="1"/>
  <c r="N453" i="1"/>
  <c r="O453" i="1"/>
  <c r="K454" i="1"/>
  <c r="L454" i="1"/>
  <c r="N454" i="1"/>
  <c r="O454" i="1"/>
  <c r="K455" i="1"/>
  <c r="L455" i="1"/>
  <c r="N455" i="1"/>
  <c r="O455" i="1"/>
  <c r="K456" i="1"/>
  <c r="M456" i="1" s="1"/>
  <c r="L456" i="1"/>
  <c r="N456" i="1"/>
  <c r="O456" i="1"/>
  <c r="K457" i="1"/>
  <c r="M457" i="1" s="1"/>
  <c r="L457" i="1"/>
  <c r="N457" i="1"/>
  <c r="O457" i="1"/>
  <c r="K458" i="1"/>
  <c r="L458" i="1"/>
  <c r="M458" i="1"/>
  <c r="N458" i="1"/>
  <c r="O458" i="1"/>
  <c r="K459" i="1"/>
  <c r="L459" i="1"/>
  <c r="N459" i="1"/>
  <c r="O459" i="1"/>
  <c r="K460" i="1"/>
  <c r="L460" i="1"/>
  <c r="N460" i="1"/>
  <c r="O460" i="1"/>
  <c r="K461" i="1"/>
  <c r="M461" i="1" s="1"/>
  <c r="L461" i="1"/>
  <c r="N461" i="1"/>
  <c r="O461" i="1"/>
  <c r="K462" i="1"/>
  <c r="L462" i="1"/>
  <c r="M462" i="1"/>
  <c r="N462" i="1"/>
  <c r="O462" i="1"/>
  <c r="K463" i="1"/>
  <c r="L463" i="1"/>
  <c r="M463" i="1"/>
  <c r="N463" i="1"/>
  <c r="O463" i="1"/>
  <c r="K464" i="1"/>
  <c r="M464" i="1" s="1"/>
  <c r="L464" i="1"/>
  <c r="N464" i="1"/>
  <c r="O464" i="1"/>
  <c r="K465" i="1"/>
  <c r="M465" i="1" s="1"/>
  <c r="L465" i="1"/>
  <c r="N465" i="1"/>
  <c r="O465" i="1"/>
  <c r="K466" i="1"/>
  <c r="M466" i="1" s="1"/>
  <c r="L466" i="1"/>
  <c r="N466" i="1"/>
  <c r="O466" i="1"/>
  <c r="K467" i="1"/>
  <c r="L467" i="1"/>
  <c r="M467" i="1"/>
  <c r="N467" i="1"/>
  <c r="O467" i="1"/>
  <c r="K468" i="1"/>
  <c r="L468" i="1"/>
  <c r="N468" i="1"/>
  <c r="O468" i="1"/>
  <c r="K469" i="1"/>
  <c r="L469" i="1"/>
  <c r="N469" i="1"/>
  <c r="O469" i="1"/>
  <c r="K470" i="1"/>
  <c r="L470" i="1"/>
  <c r="M470" i="1"/>
  <c r="N470" i="1"/>
  <c r="O470" i="1"/>
  <c r="K471" i="1"/>
  <c r="M471" i="1" s="1"/>
  <c r="L471" i="1"/>
  <c r="N471" i="1"/>
  <c r="O471" i="1"/>
  <c r="K472" i="1"/>
  <c r="M472" i="1" s="1"/>
  <c r="L472" i="1"/>
  <c r="N472" i="1"/>
  <c r="O472" i="1"/>
  <c r="K473" i="1"/>
  <c r="L473" i="1"/>
  <c r="N473" i="1"/>
  <c r="O473" i="1"/>
  <c r="K474" i="1"/>
  <c r="M474" i="1" s="1"/>
  <c r="L474" i="1"/>
  <c r="N474" i="1"/>
  <c r="O474" i="1"/>
  <c r="K475" i="1"/>
  <c r="L475" i="1"/>
  <c r="M475" i="1"/>
  <c r="N475" i="1"/>
  <c r="O475" i="1"/>
  <c r="K476" i="1"/>
  <c r="L476" i="1"/>
  <c r="N476" i="1"/>
  <c r="O476" i="1"/>
  <c r="K477" i="1"/>
  <c r="L477" i="1"/>
  <c r="N477" i="1"/>
  <c r="O477" i="1"/>
  <c r="K478" i="1"/>
  <c r="L478" i="1"/>
  <c r="N478" i="1"/>
  <c r="O478" i="1"/>
  <c r="K479" i="1"/>
  <c r="M479" i="1" s="1"/>
  <c r="L479" i="1"/>
  <c r="N479" i="1"/>
  <c r="O479" i="1"/>
  <c r="K480" i="1"/>
  <c r="L480" i="1"/>
  <c r="M480" i="1"/>
  <c r="N480" i="1"/>
  <c r="O480" i="1"/>
  <c r="K481" i="1"/>
  <c r="L481" i="1"/>
  <c r="N481" i="1"/>
  <c r="O481" i="1"/>
  <c r="K482" i="1"/>
  <c r="M482" i="1" s="1"/>
  <c r="L482" i="1"/>
  <c r="N482" i="1"/>
  <c r="O482" i="1"/>
  <c r="K483" i="1"/>
  <c r="L483" i="1"/>
  <c r="M483" i="1" s="1"/>
  <c r="N483" i="1"/>
  <c r="O483" i="1"/>
  <c r="K484" i="1"/>
  <c r="M484" i="1" s="1"/>
  <c r="L484" i="1"/>
  <c r="N484" i="1"/>
  <c r="O484" i="1"/>
  <c r="K485" i="1"/>
  <c r="L485" i="1"/>
  <c r="M485" i="1"/>
  <c r="N485" i="1"/>
  <c r="O485" i="1"/>
  <c r="K486" i="1"/>
  <c r="L486" i="1"/>
  <c r="N486" i="1"/>
  <c r="O486" i="1"/>
  <c r="K487" i="1"/>
  <c r="L487" i="1"/>
  <c r="M487" i="1"/>
  <c r="N487" i="1"/>
  <c r="O487" i="1"/>
  <c r="K488" i="1"/>
  <c r="M488" i="1" s="1"/>
  <c r="L488" i="1"/>
  <c r="N488" i="1"/>
  <c r="O488" i="1"/>
  <c r="K489" i="1"/>
  <c r="M489" i="1" s="1"/>
  <c r="L489" i="1"/>
  <c r="N489" i="1"/>
  <c r="O489" i="1"/>
  <c r="K490" i="1"/>
  <c r="L490" i="1"/>
  <c r="M490" i="1"/>
  <c r="N490" i="1"/>
  <c r="O490" i="1"/>
  <c r="K491" i="1"/>
  <c r="L491" i="1"/>
  <c r="N491" i="1"/>
  <c r="O491" i="1"/>
  <c r="K492" i="1"/>
  <c r="M492" i="1" s="1"/>
  <c r="L492" i="1"/>
  <c r="N492" i="1"/>
  <c r="O492" i="1"/>
  <c r="K493" i="1"/>
  <c r="M493" i="1" s="1"/>
  <c r="L493" i="1"/>
  <c r="N493" i="1"/>
  <c r="O493" i="1"/>
  <c r="K494" i="1"/>
  <c r="L494" i="1"/>
  <c r="M494" i="1"/>
  <c r="N494" i="1"/>
  <c r="O494" i="1"/>
  <c r="K495" i="1"/>
  <c r="L495" i="1"/>
  <c r="M495" i="1"/>
  <c r="N495" i="1"/>
  <c r="O495" i="1"/>
  <c r="K496" i="1"/>
  <c r="M496" i="1" s="1"/>
  <c r="L496" i="1"/>
  <c r="N496" i="1"/>
  <c r="O496" i="1"/>
  <c r="K497" i="1"/>
  <c r="M497" i="1" s="1"/>
  <c r="L497" i="1"/>
  <c r="N497" i="1"/>
  <c r="O497" i="1"/>
  <c r="K498" i="1"/>
  <c r="M498" i="1" s="1"/>
  <c r="L498" i="1"/>
  <c r="N498" i="1"/>
  <c r="O498" i="1"/>
  <c r="K499" i="1"/>
  <c r="L499" i="1"/>
  <c r="M499" i="1" s="1"/>
  <c r="N499" i="1"/>
  <c r="O499" i="1"/>
  <c r="K500" i="1"/>
  <c r="L500" i="1"/>
  <c r="N500" i="1"/>
  <c r="O500" i="1"/>
  <c r="K501" i="1"/>
  <c r="M501" i="1" s="1"/>
  <c r="L501" i="1"/>
  <c r="N501" i="1"/>
  <c r="O501" i="1"/>
  <c r="K502" i="1"/>
  <c r="L502" i="1"/>
  <c r="M502" i="1"/>
  <c r="N502" i="1"/>
  <c r="O502" i="1"/>
  <c r="K503" i="1"/>
  <c r="M503" i="1" s="1"/>
  <c r="L503" i="1"/>
  <c r="N503" i="1"/>
  <c r="O503" i="1"/>
  <c r="K504" i="1"/>
  <c r="L504" i="1"/>
  <c r="M504" i="1"/>
  <c r="N504" i="1"/>
  <c r="O504" i="1"/>
  <c r="K505" i="1"/>
  <c r="L505" i="1"/>
  <c r="N505" i="1"/>
  <c r="O505" i="1"/>
  <c r="K506" i="1"/>
  <c r="L506" i="1"/>
  <c r="N506" i="1"/>
  <c r="O506" i="1"/>
  <c r="K507" i="1"/>
  <c r="L507" i="1"/>
  <c r="M507" i="1"/>
  <c r="N507" i="1"/>
  <c r="O507" i="1"/>
  <c r="K508" i="1"/>
  <c r="L508" i="1"/>
  <c r="N508" i="1"/>
  <c r="O508" i="1"/>
  <c r="K509" i="1"/>
  <c r="L509" i="1"/>
  <c r="M509" i="1"/>
  <c r="N509" i="1"/>
  <c r="O509" i="1"/>
  <c r="K510" i="1"/>
  <c r="L510" i="1"/>
  <c r="N510" i="1"/>
  <c r="O510" i="1"/>
  <c r="K511" i="1"/>
  <c r="L511" i="1"/>
  <c r="N511" i="1"/>
  <c r="O511" i="1"/>
  <c r="K512" i="1"/>
  <c r="L512" i="1"/>
  <c r="M512" i="1" s="1"/>
  <c r="N512" i="1"/>
  <c r="O512" i="1"/>
  <c r="K513" i="1"/>
  <c r="L513" i="1"/>
  <c r="N513" i="1"/>
  <c r="O513" i="1"/>
  <c r="K514" i="1"/>
  <c r="M514" i="1" s="1"/>
  <c r="L514" i="1"/>
  <c r="N514" i="1"/>
  <c r="O514" i="1"/>
  <c r="K515" i="1"/>
  <c r="L515" i="1"/>
  <c r="M515" i="1" s="1"/>
  <c r="N515" i="1"/>
  <c r="O515" i="1"/>
  <c r="K516" i="1"/>
  <c r="M516" i="1" s="1"/>
  <c r="L516" i="1"/>
  <c r="N516" i="1"/>
  <c r="O516" i="1"/>
  <c r="K517" i="1"/>
  <c r="L517" i="1"/>
  <c r="M517" i="1"/>
  <c r="N517" i="1"/>
  <c r="O517" i="1"/>
  <c r="K518" i="1"/>
  <c r="L518" i="1"/>
  <c r="N518" i="1"/>
  <c r="O518" i="1"/>
  <c r="K519" i="1"/>
  <c r="L519" i="1"/>
  <c r="N519" i="1"/>
  <c r="O519" i="1"/>
  <c r="K520" i="1"/>
  <c r="M520" i="1" s="1"/>
  <c r="L520" i="1"/>
  <c r="N520" i="1"/>
  <c r="O520" i="1"/>
  <c r="K521" i="1"/>
  <c r="M521" i="1" s="1"/>
  <c r="L521" i="1"/>
  <c r="N521" i="1"/>
  <c r="O521" i="1"/>
  <c r="K522" i="1"/>
  <c r="L522" i="1"/>
  <c r="M522" i="1"/>
  <c r="N522" i="1"/>
  <c r="O522" i="1"/>
  <c r="K523" i="1"/>
  <c r="L523" i="1"/>
  <c r="N523" i="1"/>
  <c r="O523" i="1"/>
  <c r="K524" i="1"/>
  <c r="M524" i="1" s="1"/>
  <c r="L524" i="1"/>
  <c r="N524" i="1"/>
  <c r="O524" i="1"/>
  <c r="K525" i="1"/>
  <c r="M525" i="1" s="1"/>
  <c r="L525" i="1"/>
  <c r="N525" i="1"/>
  <c r="O525" i="1"/>
  <c r="K526" i="1"/>
  <c r="L526" i="1"/>
  <c r="M526" i="1"/>
  <c r="N526" i="1"/>
  <c r="O526" i="1"/>
  <c r="K527" i="1"/>
  <c r="L527" i="1"/>
  <c r="M527" i="1"/>
  <c r="N527" i="1"/>
  <c r="O527" i="1"/>
  <c r="K528" i="1"/>
  <c r="M528" i="1" s="1"/>
  <c r="L528" i="1"/>
  <c r="N528" i="1"/>
  <c r="O528" i="1"/>
  <c r="K529" i="1"/>
  <c r="M529" i="1" s="1"/>
  <c r="L529" i="1"/>
  <c r="N529" i="1"/>
  <c r="O529" i="1"/>
  <c r="K530" i="1"/>
  <c r="M530" i="1" s="1"/>
  <c r="L530" i="1"/>
  <c r="N530" i="1"/>
  <c r="O530" i="1"/>
  <c r="K531" i="1"/>
  <c r="L531" i="1"/>
  <c r="M531" i="1"/>
  <c r="N531" i="1"/>
  <c r="O531" i="1"/>
  <c r="K532" i="1"/>
  <c r="L532" i="1"/>
  <c r="N532" i="1"/>
  <c r="O532" i="1"/>
  <c r="K533" i="1"/>
  <c r="L533" i="1"/>
  <c r="N533" i="1"/>
  <c r="O533" i="1"/>
  <c r="K534" i="1"/>
  <c r="L534" i="1"/>
  <c r="M534" i="1"/>
  <c r="N534" i="1"/>
  <c r="O534" i="1"/>
  <c r="K535" i="1"/>
  <c r="M535" i="1" s="1"/>
  <c r="L535" i="1"/>
  <c r="N535" i="1"/>
  <c r="O535" i="1"/>
  <c r="K536" i="1"/>
  <c r="M536" i="1" s="1"/>
  <c r="L536" i="1"/>
  <c r="N536" i="1"/>
  <c r="O536" i="1"/>
  <c r="K537" i="1"/>
  <c r="L537" i="1"/>
  <c r="N537" i="1"/>
  <c r="O537" i="1"/>
  <c r="K538" i="1"/>
  <c r="M538" i="1" s="1"/>
  <c r="L538" i="1"/>
  <c r="N538" i="1"/>
  <c r="O538" i="1"/>
  <c r="K539" i="1"/>
  <c r="L539" i="1"/>
  <c r="M539" i="1"/>
  <c r="N539" i="1"/>
  <c r="O539" i="1"/>
  <c r="K540" i="1"/>
  <c r="L540" i="1"/>
  <c r="N540" i="1"/>
  <c r="O540" i="1"/>
  <c r="K541" i="1"/>
  <c r="L541" i="1"/>
  <c r="N541" i="1"/>
  <c r="O541" i="1"/>
  <c r="K542" i="1"/>
  <c r="L542" i="1"/>
  <c r="N542" i="1"/>
  <c r="O542" i="1"/>
  <c r="K543" i="1"/>
  <c r="M543" i="1" s="1"/>
  <c r="L543" i="1"/>
  <c r="N543" i="1"/>
  <c r="O543" i="1"/>
  <c r="K544" i="1"/>
  <c r="L544" i="1"/>
  <c r="M544" i="1"/>
  <c r="N544" i="1"/>
  <c r="O544" i="1"/>
  <c r="K545" i="1"/>
  <c r="L545" i="1"/>
  <c r="N545" i="1"/>
  <c r="O545" i="1"/>
  <c r="K546" i="1"/>
  <c r="L546" i="1"/>
  <c r="M546" i="1"/>
  <c r="N546" i="1"/>
  <c r="O546" i="1"/>
  <c r="K547" i="1"/>
  <c r="L547" i="1"/>
  <c r="M547" i="1" s="1"/>
  <c r="N547" i="1"/>
  <c r="O547" i="1"/>
  <c r="K548" i="1"/>
  <c r="L548" i="1"/>
  <c r="N548" i="1"/>
  <c r="O548" i="1"/>
  <c r="K549" i="1"/>
  <c r="L549" i="1"/>
  <c r="M549" i="1"/>
  <c r="N549" i="1"/>
  <c r="O549" i="1"/>
  <c r="K550" i="1"/>
  <c r="L550" i="1"/>
  <c r="N550" i="1"/>
  <c r="O550" i="1"/>
  <c r="K551" i="1"/>
  <c r="L551" i="1"/>
  <c r="M551" i="1"/>
  <c r="N551" i="1"/>
  <c r="O551" i="1"/>
  <c r="K552" i="1"/>
  <c r="M552" i="1" s="1"/>
  <c r="L552" i="1"/>
  <c r="N552" i="1"/>
  <c r="O552" i="1"/>
  <c r="K553" i="1"/>
  <c r="M553" i="1" s="1"/>
  <c r="L553" i="1"/>
  <c r="N553" i="1"/>
  <c r="O553" i="1"/>
  <c r="K554" i="1"/>
  <c r="L554" i="1"/>
  <c r="M554" i="1"/>
  <c r="N554" i="1"/>
  <c r="O554" i="1"/>
  <c r="K555" i="1"/>
  <c r="L555" i="1"/>
  <c r="N555" i="1"/>
  <c r="O555" i="1"/>
  <c r="K556" i="1"/>
  <c r="M556" i="1" s="1"/>
  <c r="L556" i="1"/>
  <c r="N556" i="1"/>
  <c r="O556" i="1"/>
  <c r="K557" i="1"/>
  <c r="M557" i="1" s="1"/>
  <c r="L557" i="1"/>
  <c r="N557" i="1"/>
  <c r="O557" i="1"/>
  <c r="K558" i="1"/>
  <c r="L558" i="1"/>
  <c r="M558" i="1"/>
  <c r="N558" i="1"/>
  <c r="O558" i="1"/>
  <c r="K559" i="1"/>
  <c r="L559" i="1"/>
  <c r="M559" i="1"/>
  <c r="N559" i="1"/>
  <c r="O559" i="1"/>
  <c r="K560" i="1"/>
  <c r="M560" i="1" s="1"/>
  <c r="L560" i="1"/>
  <c r="N560" i="1"/>
  <c r="O560" i="1"/>
  <c r="K561" i="1"/>
  <c r="M561" i="1" s="1"/>
  <c r="L561" i="1"/>
  <c r="N561" i="1"/>
  <c r="O561" i="1"/>
  <c r="K562" i="1"/>
  <c r="M562" i="1" s="1"/>
  <c r="L562" i="1"/>
  <c r="N562" i="1"/>
  <c r="O562" i="1"/>
  <c r="K563" i="1"/>
  <c r="L563" i="1"/>
  <c r="M563" i="1" s="1"/>
  <c r="N563" i="1"/>
  <c r="O563" i="1"/>
  <c r="K564" i="1"/>
  <c r="L564" i="1"/>
  <c r="N564" i="1"/>
  <c r="O564" i="1"/>
  <c r="K565" i="1"/>
  <c r="M565" i="1" s="1"/>
  <c r="L565" i="1"/>
  <c r="N565" i="1"/>
  <c r="O565" i="1"/>
  <c r="K566" i="1"/>
  <c r="L566" i="1"/>
  <c r="M566" i="1"/>
  <c r="N566" i="1"/>
  <c r="O566" i="1"/>
  <c r="K567" i="1"/>
  <c r="M567" i="1" s="1"/>
  <c r="L567" i="1"/>
  <c r="N567" i="1"/>
  <c r="O567" i="1"/>
  <c r="K568" i="1"/>
  <c r="M568" i="1" s="1"/>
  <c r="L568" i="1"/>
  <c r="N568" i="1"/>
  <c r="O568" i="1"/>
  <c r="K569" i="1"/>
  <c r="L569" i="1"/>
  <c r="N569" i="1"/>
  <c r="O569" i="1"/>
  <c r="K570" i="1"/>
  <c r="L570" i="1"/>
  <c r="N570" i="1"/>
  <c r="O570" i="1"/>
  <c r="K571" i="1"/>
  <c r="L571" i="1"/>
  <c r="M571" i="1"/>
  <c r="N571" i="1"/>
  <c r="O571" i="1"/>
  <c r="K572" i="1"/>
  <c r="L572" i="1"/>
  <c r="N572" i="1"/>
  <c r="O572" i="1"/>
  <c r="K573" i="1"/>
  <c r="L573" i="1"/>
  <c r="M573" i="1"/>
  <c r="N573" i="1"/>
  <c r="O573" i="1"/>
  <c r="K574" i="1"/>
  <c r="L574" i="1"/>
  <c r="N574" i="1"/>
  <c r="O574" i="1"/>
  <c r="K575" i="1"/>
  <c r="L575" i="1"/>
  <c r="N575" i="1"/>
  <c r="O575" i="1"/>
  <c r="K576" i="1"/>
  <c r="L576" i="1"/>
  <c r="M576" i="1" s="1"/>
  <c r="N576" i="1"/>
  <c r="O576" i="1"/>
  <c r="K577" i="1"/>
  <c r="L577" i="1"/>
  <c r="N577" i="1"/>
  <c r="O577" i="1"/>
  <c r="K578" i="1"/>
  <c r="M578" i="1" s="1"/>
  <c r="L578" i="1"/>
  <c r="N578" i="1"/>
  <c r="O578" i="1"/>
  <c r="K579" i="1"/>
  <c r="L579" i="1"/>
  <c r="N579" i="1"/>
  <c r="O579" i="1"/>
  <c r="K580" i="1"/>
  <c r="M580" i="1" s="1"/>
  <c r="L580" i="1"/>
  <c r="N580" i="1"/>
  <c r="O580" i="1"/>
  <c r="K581" i="1"/>
  <c r="L581" i="1"/>
  <c r="M581" i="1"/>
  <c r="N581" i="1"/>
  <c r="O581" i="1"/>
  <c r="K582" i="1"/>
  <c r="L582" i="1"/>
  <c r="N582" i="1"/>
  <c r="O582" i="1"/>
  <c r="K583" i="1"/>
  <c r="M583" i="1" s="1"/>
  <c r="L583" i="1"/>
  <c r="N583" i="1"/>
  <c r="O583" i="1"/>
  <c r="K584" i="1"/>
  <c r="M584" i="1" s="1"/>
  <c r="L584" i="1"/>
  <c r="N584" i="1"/>
  <c r="O584" i="1"/>
  <c r="K585" i="1"/>
  <c r="M585" i="1" s="1"/>
  <c r="L585" i="1"/>
  <c r="N585" i="1"/>
  <c r="O585" i="1"/>
  <c r="K586" i="1"/>
  <c r="L586" i="1"/>
  <c r="M586" i="1"/>
  <c r="N586" i="1"/>
  <c r="O586" i="1"/>
  <c r="K587" i="1"/>
  <c r="L587" i="1"/>
  <c r="M587" i="1" s="1"/>
  <c r="N587" i="1"/>
  <c r="O587" i="1"/>
  <c r="K588" i="1"/>
  <c r="L588" i="1"/>
  <c r="N588" i="1"/>
  <c r="O588" i="1"/>
  <c r="K589" i="1"/>
  <c r="M589" i="1" s="1"/>
  <c r="L589" i="1"/>
  <c r="N589" i="1"/>
  <c r="O589" i="1"/>
  <c r="K590" i="1"/>
  <c r="L590" i="1"/>
  <c r="M590" i="1"/>
  <c r="N590" i="1"/>
  <c r="O590" i="1"/>
  <c r="K591" i="1"/>
  <c r="L591" i="1"/>
  <c r="M591" i="1"/>
  <c r="N591" i="1"/>
  <c r="O591" i="1"/>
  <c r="K592" i="1"/>
  <c r="L592" i="1"/>
  <c r="N592" i="1"/>
  <c r="O592" i="1"/>
  <c r="K593" i="1"/>
  <c r="M593" i="1" s="1"/>
  <c r="L593" i="1"/>
  <c r="N593" i="1"/>
  <c r="O593" i="1"/>
  <c r="K594" i="1"/>
  <c r="M594" i="1" s="1"/>
  <c r="L594" i="1"/>
  <c r="N594" i="1"/>
  <c r="O594" i="1"/>
  <c r="K595" i="1"/>
  <c r="L595" i="1"/>
  <c r="M595" i="1"/>
  <c r="N595" i="1"/>
  <c r="O595" i="1"/>
  <c r="K596" i="1"/>
  <c r="L596" i="1"/>
  <c r="N596" i="1"/>
  <c r="O596" i="1"/>
  <c r="K597" i="1"/>
  <c r="L597" i="1"/>
  <c r="M597" i="1"/>
  <c r="N597" i="1"/>
  <c r="O597" i="1"/>
  <c r="K598" i="1"/>
  <c r="L598" i="1"/>
  <c r="M598" i="1"/>
  <c r="N598" i="1"/>
  <c r="O598" i="1"/>
  <c r="K599" i="1"/>
  <c r="L599" i="1"/>
  <c r="N599" i="1"/>
  <c r="O599" i="1"/>
  <c r="K600" i="1"/>
  <c r="L600" i="1"/>
  <c r="M600" i="1"/>
  <c r="N600" i="1"/>
  <c r="O600" i="1"/>
  <c r="K601" i="1"/>
  <c r="L601" i="1"/>
  <c r="N601" i="1"/>
  <c r="O601" i="1"/>
  <c r="K602" i="1"/>
  <c r="L602" i="1"/>
  <c r="M602" i="1"/>
  <c r="N602" i="1"/>
  <c r="O602" i="1"/>
  <c r="K603" i="1"/>
  <c r="L603" i="1"/>
  <c r="M603" i="1" s="1"/>
  <c r="N603" i="1"/>
  <c r="O603" i="1"/>
  <c r="K604" i="1"/>
  <c r="L604" i="1"/>
  <c r="N604" i="1"/>
  <c r="O604" i="1"/>
  <c r="K605" i="1"/>
  <c r="L605" i="1"/>
  <c r="M605" i="1"/>
  <c r="N605" i="1"/>
  <c r="O605" i="1"/>
  <c r="K606" i="1"/>
  <c r="L606" i="1"/>
  <c r="N606" i="1"/>
  <c r="O606" i="1"/>
  <c r="K607" i="1"/>
  <c r="L607" i="1"/>
  <c r="M607" i="1"/>
  <c r="N607" i="1"/>
  <c r="O607" i="1"/>
  <c r="K608" i="1"/>
  <c r="L608" i="1"/>
  <c r="M608" i="1" s="1"/>
  <c r="N608" i="1"/>
  <c r="O608" i="1"/>
  <c r="K609" i="1"/>
  <c r="M609" i="1" s="1"/>
  <c r="L609" i="1"/>
  <c r="N609" i="1"/>
  <c r="O609" i="1"/>
  <c r="K610" i="1"/>
  <c r="M610" i="1" s="1"/>
  <c r="L610" i="1"/>
  <c r="N610" i="1"/>
  <c r="O610" i="1"/>
  <c r="K611" i="1"/>
  <c r="L611" i="1"/>
  <c r="N611" i="1"/>
  <c r="O611" i="1"/>
  <c r="K612" i="1"/>
  <c r="M612" i="1" s="1"/>
  <c r="L612" i="1"/>
  <c r="N612" i="1"/>
  <c r="O612" i="1"/>
  <c r="K613" i="1"/>
  <c r="L613" i="1"/>
  <c r="M613" i="1"/>
  <c r="N613" i="1"/>
  <c r="O613" i="1"/>
  <c r="K614" i="1"/>
  <c r="L614" i="1"/>
  <c r="M614" i="1"/>
  <c r="N614" i="1"/>
  <c r="O614" i="1"/>
  <c r="K615" i="1"/>
  <c r="M615" i="1" s="1"/>
  <c r="L615" i="1"/>
  <c r="N615" i="1"/>
  <c r="O615" i="1"/>
  <c r="K616" i="1"/>
  <c r="M616" i="1" s="1"/>
  <c r="L616" i="1"/>
  <c r="N616" i="1"/>
  <c r="O616" i="1"/>
  <c r="K617" i="1"/>
  <c r="M617" i="1" s="1"/>
  <c r="L617" i="1"/>
  <c r="N617" i="1"/>
  <c r="O617" i="1"/>
  <c r="K618" i="1"/>
  <c r="L618" i="1"/>
  <c r="M618" i="1"/>
  <c r="N618" i="1"/>
  <c r="O618" i="1"/>
  <c r="K619" i="1"/>
  <c r="L619" i="1"/>
  <c r="M619" i="1"/>
  <c r="N619" i="1"/>
  <c r="O619" i="1"/>
  <c r="K620" i="1"/>
  <c r="L620" i="1"/>
  <c r="N620" i="1"/>
  <c r="O620" i="1"/>
  <c r="K621" i="1"/>
  <c r="L621" i="1"/>
  <c r="N621" i="1"/>
  <c r="O621" i="1"/>
  <c r="K622" i="1"/>
  <c r="L622" i="1"/>
  <c r="M622" i="1"/>
  <c r="N622" i="1"/>
  <c r="O622" i="1"/>
  <c r="K623" i="1"/>
  <c r="L623" i="1"/>
  <c r="M623" i="1"/>
  <c r="N623" i="1"/>
  <c r="O623" i="1"/>
  <c r="K624" i="1"/>
  <c r="M624" i="1" s="1"/>
  <c r="L624" i="1"/>
  <c r="N624" i="1"/>
  <c r="O624" i="1"/>
  <c r="K625" i="1"/>
  <c r="M625" i="1" s="1"/>
  <c r="L625" i="1"/>
  <c r="N625" i="1"/>
  <c r="O625" i="1"/>
  <c r="K626" i="1"/>
  <c r="M626" i="1" s="1"/>
  <c r="L626" i="1"/>
  <c r="N626" i="1"/>
  <c r="O626" i="1"/>
  <c r="K627" i="1"/>
  <c r="L627" i="1"/>
  <c r="M627" i="1" s="1"/>
  <c r="N627" i="1"/>
  <c r="O627" i="1"/>
  <c r="K628" i="1"/>
  <c r="L628" i="1"/>
  <c r="N628" i="1"/>
  <c r="O628" i="1"/>
  <c r="K629" i="1"/>
  <c r="M629" i="1" s="1"/>
  <c r="L629" i="1"/>
  <c r="N629" i="1"/>
  <c r="O629" i="1"/>
  <c r="K630" i="1"/>
  <c r="L630" i="1"/>
  <c r="M630" i="1"/>
  <c r="N630" i="1"/>
  <c r="O630" i="1"/>
  <c r="K631" i="1"/>
  <c r="M631" i="1" s="1"/>
  <c r="L631" i="1"/>
  <c r="N631" i="1"/>
  <c r="O631" i="1"/>
  <c r="K632" i="1"/>
  <c r="L632" i="1"/>
  <c r="M632" i="1"/>
  <c r="N632" i="1"/>
  <c r="O632" i="1"/>
  <c r="K633" i="1"/>
  <c r="L633" i="1"/>
  <c r="N633" i="1"/>
  <c r="O633" i="1"/>
  <c r="K634" i="1"/>
  <c r="M634" i="1" s="1"/>
  <c r="L634" i="1"/>
  <c r="N634" i="1"/>
  <c r="O634" i="1"/>
  <c r="K635" i="1"/>
  <c r="L635" i="1"/>
  <c r="M635" i="1"/>
  <c r="N635" i="1"/>
  <c r="O635" i="1"/>
  <c r="K636" i="1"/>
  <c r="M636" i="1" s="1"/>
  <c r="L636" i="1"/>
  <c r="N636" i="1"/>
  <c r="O636" i="1"/>
  <c r="K637" i="1"/>
  <c r="L637" i="1"/>
  <c r="M637" i="1"/>
  <c r="N637" i="1"/>
  <c r="O637" i="1"/>
  <c r="K638" i="1"/>
  <c r="L638" i="1"/>
  <c r="N638" i="1"/>
  <c r="O638" i="1"/>
  <c r="K639" i="1"/>
  <c r="L639" i="1"/>
  <c r="M639" i="1"/>
  <c r="N639" i="1"/>
  <c r="O639" i="1"/>
  <c r="K640" i="1"/>
  <c r="L640" i="1"/>
  <c r="M640" i="1"/>
  <c r="N640" i="1"/>
  <c r="O640" i="1"/>
  <c r="K641" i="1"/>
  <c r="M641" i="1" s="1"/>
  <c r="L641" i="1"/>
  <c r="N641" i="1"/>
  <c r="O641" i="1"/>
  <c r="K642" i="1"/>
  <c r="L642" i="1"/>
  <c r="M642" i="1"/>
  <c r="N642" i="1"/>
  <c r="O642" i="1"/>
  <c r="K643" i="1"/>
  <c r="L643" i="1"/>
  <c r="M643" i="1" s="1"/>
  <c r="N643" i="1"/>
  <c r="O643" i="1"/>
  <c r="K644" i="1"/>
  <c r="L644" i="1"/>
  <c r="N644" i="1"/>
  <c r="O644" i="1"/>
  <c r="K645" i="1"/>
  <c r="L645" i="1"/>
  <c r="M645" i="1"/>
  <c r="N645" i="1"/>
  <c r="O645" i="1"/>
  <c r="K646" i="1"/>
  <c r="L646" i="1"/>
  <c r="M646" i="1"/>
  <c r="N646" i="1"/>
  <c r="O646" i="1"/>
  <c r="K647" i="1"/>
  <c r="L647" i="1"/>
  <c r="M647" i="1"/>
  <c r="N647" i="1"/>
  <c r="O647" i="1"/>
  <c r="K648" i="1"/>
  <c r="M648" i="1" s="1"/>
  <c r="L648" i="1"/>
  <c r="N648" i="1"/>
  <c r="O648" i="1"/>
  <c r="K649" i="1"/>
  <c r="M649" i="1" s="1"/>
  <c r="L649" i="1"/>
  <c r="N649" i="1"/>
  <c r="O649" i="1"/>
  <c r="K650" i="1"/>
  <c r="L650" i="1"/>
  <c r="M650" i="1"/>
  <c r="N650" i="1"/>
  <c r="O650" i="1"/>
  <c r="K651" i="1"/>
  <c r="L651" i="1"/>
  <c r="M651" i="1"/>
  <c r="N651" i="1"/>
  <c r="O651" i="1"/>
  <c r="K652" i="1"/>
  <c r="M652" i="1" s="1"/>
  <c r="L652" i="1"/>
  <c r="N652" i="1"/>
  <c r="O652" i="1"/>
  <c r="K653" i="1"/>
  <c r="L653" i="1"/>
  <c r="N653" i="1"/>
  <c r="O653" i="1"/>
  <c r="K654" i="1"/>
  <c r="L654" i="1"/>
  <c r="M654" i="1"/>
  <c r="N654" i="1"/>
  <c r="O654" i="1"/>
  <c r="K655" i="1"/>
  <c r="L655" i="1"/>
  <c r="M655" i="1"/>
  <c r="N655" i="1"/>
  <c r="O655" i="1"/>
  <c r="K656" i="1"/>
  <c r="L656" i="1"/>
  <c r="M656" i="1"/>
  <c r="N656" i="1"/>
  <c r="O656" i="1"/>
  <c r="K657" i="1"/>
  <c r="M657" i="1" s="1"/>
  <c r="L657" i="1"/>
  <c r="N657" i="1"/>
  <c r="O657" i="1"/>
  <c r="K658" i="1"/>
  <c r="L658" i="1"/>
  <c r="N658" i="1"/>
  <c r="O658" i="1"/>
  <c r="K659" i="1"/>
  <c r="L659" i="1"/>
  <c r="M659" i="1" s="1"/>
  <c r="N659" i="1"/>
  <c r="O659" i="1"/>
  <c r="K660" i="1"/>
  <c r="L660" i="1"/>
  <c r="N660" i="1"/>
  <c r="O660" i="1"/>
  <c r="K661" i="1"/>
  <c r="M661" i="1" s="1"/>
  <c r="L661" i="1"/>
  <c r="N661" i="1"/>
  <c r="O661" i="1"/>
  <c r="K662" i="1"/>
  <c r="L662" i="1"/>
  <c r="M662" i="1"/>
  <c r="N662" i="1"/>
  <c r="O662" i="1"/>
  <c r="K663" i="1"/>
  <c r="L663" i="1"/>
  <c r="N663" i="1"/>
  <c r="O663" i="1"/>
  <c r="K664" i="1"/>
  <c r="L664" i="1"/>
  <c r="N664" i="1"/>
  <c r="O664" i="1"/>
  <c r="K665" i="1"/>
  <c r="L665" i="1"/>
  <c r="N665" i="1"/>
  <c r="O665" i="1"/>
  <c r="K666" i="1"/>
  <c r="M666" i="1" s="1"/>
  <c r="L666" i="1"/>
  <c r="N666" i="1"/>
  <c r="O666" i="1"/>
  <c r="K667" i="1"/>
  <c r="L667" i="1"/>
  <c r="M667" i="1"/>
  <c r="N667" i="1"/>
  <c r="O667" i="1"/>
  <c r="K668" i="1"/>
  <c r="M668" i="1" s="1"/>
  <c r="L668" i="1"/>
  <c r="N668" i="1"/>
  <c r="O668" i="1"/>
  <c r="K669" i="1"/>
  <c r="L669" i="1"/>
  <c r="M669" i="1"/>
  <c r="N669" i="1"/>
  <c r="O669" i="1"/>
  <c r="K670" i="1"/>
  <c r="L670" i="1"/>
  <c r="N670" i="1"/>
  <c r="O670" i="1"/>
  <c r="K671" i="1"/>
  <c r="L671" i="1"/>
  <c r="N671" i="1"/>
  <c r="O671" i="1"/>
  <c r="K672" i="1"/>
  <c r="L672" i="1"/>
  <c r="M672" i="1" s="1"/>
  <c r="N672" i="1"/>
  <c r="O672" i="1"/>
  <c r="K673" i="1"/>
  <c r="M673" i="1" s="1"/>
  <c r="L673" i="1"/>
  <c r="N673" i="1"/>
  <c r="O673" i="1"/>
  <c r="K674" i="1"/>
  <c r="M674" i="1" s="1"/>
  <c r="L674" i="1"/>
  <c r="N674" i="1"/>
  <c r="O674" i="1"/>
  <c r="K675" i="1"/>
  <c r="M675" i="1" s="1"/>
  <c r="L675" i="1"/>
  <c r="N675" i="1"/>
  <c r="O675" i="1"/>
  <c r="K676" i="1"/>
  <c r="L676" i="1"/>
  <c r="M676" i="1"/>
  <c r="N676" i="1"/>
  <c r="O676" i="1"/>
  <c r="K677" i="1"/>
  <c r="L677" i="1"/>
  <c r="M677" i="1"/>
  <c r="N677" i="1"/>
  <c r="O677" i="1"/>
  <c r="K678" i="1"/>
  <c r="M678" i="1" s="1"/>
  <c r="L678" i="1"/>
  <c r="N678" i="1"/>
  <c r="O678" i="1"/>
  <c r="K679" i="1"/>
  <c r="L679" i="1"/>
  <c r="M679" i="1" s="1"/>
  <c r="N679" i="1"/>
  <c r="O679" i="1"/>
  <c r="K680" i="1"/>
  <c r="L680" i="1"/>
  <c r="M680" i="1"/>
  <c r="N680" i="1"/>
  <c r="O680" i="1"/>
  <c r="K681" i="1"/>
  <c r="L681" i="1"/>
  <c r="M681" i="1"/>
  <c r="N681" i="1"/>
  <c r="O681" i="1"/>
  <c r="K682" i="1"/>
  <c r="L682" i="1"/>
  <c r="M682" i="1"/>
  <c r="N682" i="1"/>
  <c r="O682" i="1"/>
  <c r="K683" i="1"/>
  <c r="M683" i="1" s="1"/>
  <c r="L683" i="1"/>
  <c r="N683" i="1"/>
  <c r="O683" i="1"/>
  <c r="K684" i="1"/>
  <c r="L684" i="1"/>
  <c r="M684" i="1" s="1"/>
  <c r="N684" i="1"/>
  <c r="O684" i="1"/>
  <c r="K685" i="1"/>
  <c r="L685" i="1"/>
  <c r="M685" i="1" s="1"/>
  <c r="N685" i="1"/>
  <c r="O685" i="1"/>
  <c r="K686" i="1"/>
  <c r="M686" i="1" s="1"/>
  <c r="L686" i="1"/>
  <c r="N686" i="1"/>
  <c r="O686" i="1"/>
  <c r="K687" i="1"/>
  <c r="L687" i="1"/>
  <c r="M687" i="1"/>
  <c r="N687" i="1"/>
  <c r="O687" i="1"/>
  <c r="K688" i="1"/>
  <c r="L688" i="1"/>
  <c r="M688" i="1"/>
  <c r="N688" i="1"/>
  <c r="O688" i="1"/>
  <c r="K689" i="1"/>
  <c r="L689" i="1"/>
  <c r="M689" i="1" s="1"/>
  <c r="N689" i="1"/>
  <c r="O689" i="1"/>
  <c r="K690" i="1"/>
  <c r="M690" i="1" s="1"/>
  <c r="L690" i="1"/>
  <c r="N690" i="1"/>
  <c r="O690" i="1"/>
  <c r="K691" i="1"/>
  <c r="M691" i="1" s="1"/>
  <c r="L691" i="1"/>
  <c r="N691" i="1"/>
  <c r="O691" i="1"/>
  <c r="K692" i="1"/>
  <c r="L692" i="1"/>
  <c r="M692" i="1"/>
  <c r="N692" i="1"/>
  <c r="O692" i="1"/>
  <c r="K693" i="1"/>
  <c r="L693" i="1"/>
  <c r="M693" i="1" s="1"/>
  <c r="N693" i="1"/>
  <c r="O693" i="1"/>
  <c r="K694" i="1"/>
  <c r="L694" i="1"/>
  <c r="N694" i="1"/>
  <c r="O694" i="1"/>
  <c r="K695" i="1"/>
  <c r="M695" i="1" s="1"/>
  <c r="L695" i="1"/>
  <c r="N695" i="1"/>
  <c r="O695" i="1"/>
  <c r="K696" i="1"/>
  <c r="L696" i="1"/>
  <c r="M696" i="1"/>
  <c r="N696" i="1"/>
  <c r="O696" i="1"/>
  <c r="K697" i="1"/>
  <c r="L697" i="1"/>
  <c r="M697" i="1"/>
  <c r="N697" i="1"/>
  <c r="O697" i="1"/>
  <c r="K698" i="1"/>
  <c r="L698" i="1"/>
  <c r="N698" i="1"/>
  <c r="O698" i="1"/>
  <c r="K699" i="1"/>
  <c r="M699" i="1" s="1"/>
  <c r="L699" i="1"/>
  <c r="N699" i="1"/>
  <c r="O699" i="1"/>
  <c r="K700" i="1"/>
  <c r="M700" i="1" s="1"/>
  <c r="L700" i="1"/>
  <c r="N700" i="1"/>
  <c r="O700" i="1"/>
  <c r="K701" i="1"/>
  <c r="L701" i="1"/>
  <c r="M701" i="1"/>
  <c r="N701" i="1"/>
  <c r="O701" i="1"/>
  <c r="K702" i="1"/>
  <c r="M702" i="1" s="1"/>
  <c r="L702" i="1"/>
  <c r="N702" i="1"/>
  <c r="O702" i="1"/>
  <c r="K703" i="1"/>
  <c r="L703" i="1"/>
  <c r="M703" i="1"/>
  <c r="N703" i="1"/>
  <c r="O703" i="1"/>
  <c r="K704" i="1"/>
  <c r="L704" i="1"/>
  <c r="M704" i="1"/>
  <c r="N704" i="1"/>
  <c r="O704" i="1"/>
  <c r="K705" i="1"/>
  <c r="M705" i="1" s="1"/>
  <c r="L705" i="1"/>
  <c r="N705" i="1"/>
  <c r="O705" i="1"/>
  <c r="K706" i="1"/>
  <c r="L706" i="1"/>
  <c r="M706" i="1"/>
  <c r="N706" i="1"/>
  <c r="O706" i="1"/>
  <c r="K707" i="1"/>
  <c r="M707" i="1" s="1"/>
  <c r="L707" i="1"/>
  <c r="N707" i="1"/>
  <c r="O707" i="1"/>
  <c r="K708" i="1"/>
  <c r="L708" i="1"/>
  <c r="M708" i="1"/>
  <c r="N708" i="1"/>
  <c r="O708" i="1"/>
  <c r="K709" i="1"/>
  <c r="L709" i="1"/>
  <c r="M709" i="1"/>
  <c r="N709" i="1"/>
  <c r="O709" i="1"/>
  <c r="K710" i="1"/>
  <c r="M710" i="1" s="1"/>
  <c r="L710" i="1"/>
  <c r="N710" i="1"/>
  <c r="O710" i="1"/>
  <c r="K711" i="1"/>
  <c r="L711" i="1"/>
  <c r="M711" i="1"/>
  <c r="N711" i="1"/>
  <c r="O711" i="1"/>
  <c r="K712" i="1"/>
  <c r="L712" i="1"/>
  <c r="M712" i="1"/>
  <c r="N712" i="1"/>
  <c r="O712" i="1"/>
  <c r="K713" i="1"/>
  <c r="L713" i="1"/>
  <c r="M713" i="1"/>
  <c r="N713" i="1"/>
  <c r="O713" i="1"/>
  <c r="K714" i="1"/>
  <c r="L714" i="1"/>
  <c r="M714" i="1"/>
  <c r="N714" i="1"/>
  <c r="O714" i="1"/>
  <c r="K715" i="1"/>
  <c r="M715" i="1" s="1"/>
  <c r="L715" i="1"/>
  <c r="N715" i="1"/>
  <c r="O715" i="1"/>
  <c r="K716" i="1"/>
  <c r="L716" i="1"/>
  <c r="M716" i="1"/>
  <c r="N716" i="1"/>
  <c r="O716" i="1"/>
  <c r="K717" i="1"/>
  <c r="L717" i="1"/>
  <c r="M717" i="1" s="1"/>
  <c r="N717" i="1"/>
  <c r="O717" i="1"/>
  <c r="K718" i="1"/>
  <c r="L718" i="1"/>
  <c r="N718" i="1"/>
  <c r="O718" i="1"/>
  <c r="K719" i="1"/>
  <c r="L719" i="1"/>
  <c r="M719" i="1"/>
  <c r="N719" i="1"/>
  <c r="O719" i="1"/>
  <c r="K720" i="1"/>
  <c r="L720" i="1"/>
  <c r="M720" i="1"/>
  <c r="N720" i="1"/>
  <c r="O720" i="1"/>
  <c r="K721" i="1"/>
  <c r="L721" i="1"/>
  <c r="M721" i="1" s="1"/>
  <c r="N721" i="1"/>
  <c r="O721" i="1"/>
  <c r="K722" i="1"/>
  <c r="M722" i="1" s="1"/>
  <c r="L722" i="1"/>
  <c r="N722" i="1"/>
  <c r="O722" i="1"/>
  <c r="K723" i="1"/>
  <c r="M723" i="1" s="1"/>
  <c r="L723" i="1"/>
  <c r="N723" i="1"/>
  <c r="O723" i="1"/>
  <c r="K724" i="1"/>
  <c r="L724" i="1"/>
  <c r="M724" i="1"/>
  <c r="N724" i="1"/>
  <c r="O724" i="1"/>
  <c r="K725" i="1"/>
  <c r="L725" i="1"/>
  <c r="M725" i="1" s="1"/>
  <c r="N725" i="1"/>
  <c r="O725" i="1"/>
  <c r="K726" i="1"/>
  <c r="L726" i="1"/>
  <c r="N726" i="1"/>
  <c r="O726" i="1"/>
  <c r="K727" i="1"/>
  <c r="M727" i="1" s="1"/>
  <c r="L727" i="1"/>
  <c r="N727" i="1"/>
  <c r="O727" i="1"/>
  <c r="K728" i="1"/>
  <c r="L728" i="1"/>
  <c r="M728" i="1"/>
  <c r="N728" i="1"/>
  <c r="O728" i="1"/>
  <c r="K729" i="1"/>
  <c r="L729" i="1"/>
  <c r="M729" i="1"/>
  <c r="N729" i="1"/>
  <c r="O729" i="1"/>
  <c r="K730" i="1"/>
  <c r="M730" i="1" s="1"/>
  <c r="L730" i="1"/>
  <c r="N730" i="1"/>
  <c r="O730" i="1"/>
  <c r="K731" i="1"/>
  <c r="M731" i="1" s="1"/>
  <c r="L731" i="1"/>
  <c r="N731" i="1"/>
  <c r="O731" i="1"/>
  <c r="K732" i="1"/>
  <c r="M732" i="1" s="1"/>
  <c r="L732" i="1"/>
  <c r="N732" i="1"/>
  <c r="O732" i="1"/>
  <c r="K733" i="1"/>
  <c r="L733" i="1"/>
  <c r="M733" i="1"/>
  <c r="N733" i="1"/>
  <c r="O733" i="1"/>
  <c r="K734" i="1"/>
  <c r="M734" i="1" s="1"/>
  <c r="L734" i="1"/>
  <c r="N734" i="1"/>
  <c r="O734" i="1"/>
  <c r="K735" i="1"/>
  <c r="L735" i="1"/>
  <c r="M735" i="1"/>
  <c r="N735" i="1"/>
  <c r="O735" i="1"/>
  <c r="K736" i="1"/>
  <c r="L736" i="1"/>
  <c r="M736" i="1"/>
  <c r="N736" i="1"/>
  <c r="O736" i="1"/>
  <c r="K737" i="1"/>
  <c r="M737" i="1" s="1"/>
  <c r="L737" i="1"/>
  <c r="N737" i="1"/>
  <c r="O737" i="1"/>
  <c r="K738" i="1"/>
  <c r="L738" i="1"/>
  <c r="M738" i="1"/>
  <c r="N738" i="1"/>
  <c r="O738" i="1"/>
  <c r="K739" i="1"/>
  <c r="M739" i="1" s="1"/>
  <c r="L739" i="1"/>
  <c r="N739" i="1"/>
  <c r="O739" i="1"/>
  <c r="K740" i="1"/>
  <c r="L740" i="1"/>
  <c r="M740" i="1"/>
  <c r="N740" i="1"/>
  <c r="O740" i="1"/>
  <c r="K741" i="1"/>
  <c r="L741" i="1"/>
  <c r="M741" i="1"/>
  <c r="N741" i="1"/>
  <c r="O741" i="1"/>
  <c r="K742" i="1"/>
  <c r="M742" i="1" s="1"/>
  <c r="L742" i="1"/>
  <c r="N742" i="1"/>
  <c r="O742" i="1"/>
  <c r="K743" i="1"/>
  <c r="L743" i="1"/>
  <c r="M743" i="1"/>
  <c r="N743" i="1"/>
  <c r="O743" i="1"/>
  <c r="K744" i="1"/>
  <c r="L744" i="1"/>
  <c r="M744" i="1"/>
  <c r="N744" i="1"/>
  <c r="O744" i="1"/>
  <c r="K745" i="1"/>
  <c r="L745" i="1"/>
  <c r="M745" i="1"/>
  <c r="N745" i="1"/>
  <c r="O745" i="1"/>
  <c r="K746" i="1"/>
  <c r="L746" i="1"/>
  <c r="M746" i="1"/>
  <c r="N746" i="1"/>
  <c r="O746" i="1"/>
  <c r="K747" i="1"/>
  <c r="M747" i="1" s="1"/>
  <c r="L747" i="1"/>
  <c r="N747" i="1"/>
  <c r="O747" i="1"/>
  <c r="K748" i="1"/>
  <c r="L748" i="1"/>
  <c r="M748" i="1"/>
  <c r="N748" i="1"/>
  <c r="O748" i="1"/>
  <c r="K749" i="1"/>
  <c r="L749" i="1"/>
  <c r="M749" i="1" s="1"/>
  <c r="N749" i="1"/>
  <c r="O749" i="1"/>
  <c r="K750" i="1"/>
  <c r="L750" i="1"/>
  <c r="N750" i="1"/>
  <c r="O750" i="1"/>
  <c r="K751" i="1"/>
  <c r="L751" i="1"/>
  <c r="M751" i="1"/>
  <c r="N751" i="1"/>
  <c r="O751" i="1"/>
  <c r="K752" i="1"/>
  <c r="L752" i="1"/>
  <c r="M752" i="1"/>
  <c r="N752" i="1"/>
  <c r="O752" i="1"/>
  <c r="K753" i="1"/>
  <c r="L753" i="1"/>
  <c r="M753" i="1"/>
  <c r="N753" i="1"/>
  <c r="O753" i="1"/>
  <c r="K754" i="1"/>
  <c r="M754" i="1" s="1"/>
  <c r="L754" i="1"/>
  <c r="N754" i="1"/>
  <c r="O754" i="1"/>
  <c r="K755" i="1"/>
  <c r="M755" i="1" s="1"/>
  <c r="L755" i="1"/>
  <c r="N755" i="1"/>
  <c r="O755" i="1"/>
  <c r="K756" i="1"/>
  <c r="L756" i="1"/>
  <c r="M756" i="1"/>
  <c r="N756" i="1"/>
  <c r="O756" i="1"/>
  <c r="K757" i="1"/>
  <c r="L757" i="1"/>
  <c r="M757" i="1" s="1"/>
  <c r="N757" i="1"/>
  <c r="O757" i="1"/>
  <c r="K758" i="1"/>
  <c r="L758" i="1"/>
  <c r="N758" i="1"/>
  <c r="O758" i="1"/>
  <c r="K759" i="1"/>
  <c r="M759" i="1" s="1"/>
  <c r="L759" i="1"/>
  <c r="N759" i="1"/>
  <c r="O759" i="1"/>
  <c r="K760" i="1"/>
  <c r="L760" i="1"/>
  <c r="M760" i="1"/>
  <c r="N760" i="1"/>
  <c r="O760" i="1"/>
  <c r="K761" i="1"/>
  <c r="L761" i="1"/>
  <c r="M761" i="1"/>
  <c r="N761" i="1"/>
  <c r="O761" i="1"/>
  <c r="K762" i="1"/>
  <c r="M762" i="1" s="1"/>
  <c r="L762" i="1"/>
  <c r="N762" i="1"/>
  <c r="O762" i="1"/>
  <c r="K763" i="1"/>
  <c r="M763" i="1" s="1"/>
  <c r="L763" i="1"/>
  <c r="N763" i="1"/>
  <c r="O763" i="1"/>
  <c r="K764" i="1"/>
  <c r="M764" i="1" s="1"/>
  <c r="L764" i="1"/>
  <c r="N764" i="1"/>
  <c r="O764" i="1"/>
  <c r="K765" i="1"/>
  <c r="L765" i="1"/>
  <c r="M765" i="1"/>
  <c r="N765" i="1"/>
  <c r="O765" i="1"/>
  <c r="K766" i="1"/>
  <c r="M766" i="1" s="1"/>
  <c r="L766" i="1"/>
  <c r="N766" i="1"/>
  <c r="O766" i="1"/>
  <c r="K767" i="1"/>
  <c r="L767" i="1"/>
  <c r="M767" i="1"/>
  <c r="N767" i="1"/>
  <c r="O767" i="1"/>
  <c r="K768" i="1"/>
  <c r="L768" i="1"/>
  <c r="M768" i="1"/>
  <c r="N768" i="1"/>
  <c r="O768" i="1"/>
  <c r="K769" i="1"/>
  <c r="M769" i="1" s="1"/>
  <c r="L769" i="1"/>
  <c r="N769" i="1"/>
  <c r="O769" i="1"/>
  <c r="K770" i="1"/>
  <c r="L770" i="1"/>
  <c r="M770" i="1"/>
  <c r="N770" i="1"/>
  <c r="O770" i="1"/>
  <c r="K771" i="1"/>
  <c r="M771" i="1" s="1"/>
  <c r="L771" i="1"/>
  <c r="N771" i="1"/>
  <c r="O771" i="1"/>
  <c r="K772" i="1"/>
  <c r="L772" i="1"/>
  <c r="M772" i="1"/>
  <c r="N772" i="1"/>
  <c r="O772" i="1"/>
  <c r="K773" i="1"/>
  <c r="L773" i="1"/>
  <c r="M773" i="1"/>
  <c r="N773" i="1"/>
  <c r="O773" i="1"/>
  <c r="K774" i="1"/>
  <c r="M774" i="1" s="1"/>
  <c r="L774" i="1"/>
  <c r="N774" i="1"/>
  <c r="O774" i="1"/>
  <c r="K775" i="1"/>
  <c r="L775" i="1"/>
  <c r="M775" i="1"/>
  <c r="N775" i="1"/>
  <c r="O775" i="1"/>
  <c r="K776" i="1"/>
  <c r="L776" i="1"/>
  <c r="M776" i="1"/>
  <c r="N776" i="1"/>
  <c r="O776" i="1"/>
  <c r="K777" i="1"/>
  <c r="L777" i="1"/>
  <c r="M777" i="1"/>
  <c r="N777" i="1"/>
  <c r="O777" i="1"/>
  <c r="K778" i="1"/>
  <c r="L778" i="1"/>
  <c r="M778" i="1"/>
  <c r="N778" i="1"/>
  <c r="O778" i="1"/>
  <c r="K779" i="1"/>
  <c r="M779" i="1" s="1"/>
  <c r="L779" i="1"/>
  <c r="N779" i="1"/>
  <c r="O779" i="1"/>
  <c r="K780" i="1"/>
  <c r="L780" i="1"/>
  <c r="M780" i="1"/>
  <c r="N780" i="1"/>
  <c r="O780" i="1"/>
  <c r="K781" i="1"/>
  <c r="L781" i="1"/>
  <c r="M781" i="1" s="1"/>
  <c r="N781" i="1"/>
  <c r="O781" i="1"/>
  <c r="K782" i="1"/>
  <c r="L782" i="1"/>
  <c r="N782" i="1"/>
  <c r="O782" i="1"/>
  <c r="K783" i="1"/>
  <c r="L783" i="1"/>
  <c r="M783" i="1"/>
  <c r="N783" i="1"/>
  <c r="O783" i="1"/>
  <c r="K784" i="1"/>
  <c r="L784" i="1"/>
  <c r="M784" i="1"/>
  <c r="N784" i="1"/>
  <c r="O784" i="1"/>
  <c r="K785" i="1"/>
  <c r="L785" i="1"/>
  <c r="M785" i="1"/>
  <c r="N785" i="1"/>
  <c r="O785" i="1"/>
  <c r="K786" i="1"/>
  <c r="M786" i="1" s="1"/>
  <c r="L786" i="1"/>
  <c r="N786" i="1"/>
  <c r="O786" i="1"/>
  <c r="K787" i="1"/>
  <c r="M787" i="1" s="1"/>
  <c r="L787" i="1"/>
  <c r="N787" i="1"/>
  <c r="O787" i="1"/>
  <c r="K788" i="1"/>
  <c r="L788" i="1"/>
  <c r="M788" i="1"/>
  <c r="N788" i="1"/>
  <c r="O788" i="1"/>
  <c r="K789" i="1"/>
  <c r="L789" i="1"/>
  <c r="M789" i="1" s="1"/>
  <c r="N789" i="1"/>
  <c r="O789" i="1"/>
  <c r="K790" i="1"/>
  <c r="L790" i="1"/>
  <c r="N790" i="1"/>
  <c r="O790" i="1"/>
  <c r="K791" i="1"/>
  <c r="M791" i="1" s="1"/>
  <c r="L791" i="1"/>
  <c r="N791" i="1"/>
  <c r="O791" i="1"/>
  <c r="K792" i="1"/>
  <c r="L792" i="1"/>
  <c r="M792" i="1"/>
  <c r="N792" i="1"/>
  <c r="O792" i="1"/>
  <c r="K793" i="1"/>
  <c r="L793" i="1"/>
  <c r="M793" i="1"/>
  <c r="N793" i="1"/>
  <c r="O793" i="1"/>
  <c r="K794" i="1"/>
  <c r="L794" i="1"/>
  <c r="N794" i="1"/>
  <c r="O794" i="1"/>
  <c r="K795" i="1"/>
  <c r="M795" i="1" s="1"/>
  <c r="L795" i="1"/>
  <c r="N795" i="1"/>
  <c r="O795" i="1"/>
  <c r="K796" i="1"/>
  <c r="M796" i="1" s="1"/>
  <c r="L796" i="1"/>
  <c r="N796" i="1"/>
  <c r="O796" i="1"/>
  <c r="K797" i="1"/>
  <c r="L797" i="1"/>
  <c r="M797" i="1"/>
  <c r="N797" i="1"/>
  <c r="O797" i="1"/>
  <c r="K798" i="1"/>
  <c r="M798" i="1" s="1"/>
  <c r="L798" i="1"/>
  <c r="N798" i="1"/>
  <c r="O798" i="1"/>
  <c r="K799" i="1"/>
  <c r="M799" i="1" s="1"/>
  <c r="L799" i="1"/>
  <c r="N799" i="1"/>
  <c r="O799" i="1"/>
  <c r="K800" i="1"/>
  <c r="L800" i="1"/>
  <c r="M800" i="1"/>
  <c r="N800" i="1"/>
  <c r="O800" i="1"/>
  <c r="K801" i="1"/>
  <c r="M801" i="1" s="1"/>
  <c r="L801" i="1"/>
  <c r="N801" i="1"/>
  <c r="O801" i="1"/>
  <c r="K802" i="1"/>
  <c r="L802" i="1"/>
  <c r="M802" i="1"/>
  <c r="N802" i="1"/>
  <c r="O802" i="1"/>
  <c r="K803" i="1"/>
  <c r="M803" i="1" s="1"/>
  <c r="L803" i="1"/>
  <c r="N803" i="1"/>
  <c r="O803" i="1"/>
  <c r="K804" i="1"/>
  <c r="L804" i="1"/>
  <c r="M804" i="1"/>
  <c r="N804" i="1"/>
  <c r="O804" i="1"/>
  <c r="K805" i="1"/>
  <c r="L805" i="1"/>
  <c r="M805" i="1"/>
  <c r="N805" i="1"/>
  <c r="O805" i="1"/>
  <c r="K806" i="1"/>
  <c r="M806" i="1" s="1"/>
  <c r="L806" i="1"/>
  <c r="N806" i="1"/>
  <c r="O806" i="1"/>
  <c r="K807" i="1"/>
  <c r="L807" i="1"/>
  <c r="M807" i="1"/>
  <c r="N807" i="1"/>
  <c r="O807" i="1"/>
  <c r="K808" i="1"/>
  <c r="L808" i="1"/>
  <c r="M808" i="1" s="1"/>
  <c r="N808" i="1"/>
  <c r="O808" i="1"/>
  <c r="K809" i="1"/>
  <c r="L809" i="1"/>
  <c r="M809" i="1"/>
  <c r="N809" i="1"/>
  <c r="O809" i="1"/>
  <c r="K810" i="1"/>
  <c r="L810" i="1"/>
  <c r="M810" i="1"/>
  <c r="N810" i="1"/>
  <c r="O810" i="1"/>
  <c r="K811" i="1"/>
  <c r="M811" i="1" s="1"/>
  <c r="L811" i="1"/>
  <c r="N811" i="1"/>
  <c r="O811" i="1"/>
  <c r="K812" i="1"/>
  <c r="L812" i="1"/>
  <c r="M812" i="1"/>
  <c r="N812" i="1"/>
  <c r="O812" i="1"/>
  <c r="K813" i="1"/>
  <c r="L813" i="1"/>
  <c r="M813" i="1"/>
  <c r="N813" i="1"/>
  <c r="O813" i="1"/>
  <c r="K814" i="1"/>
  <c r="L814" i="1"/>
  <c r="N814" i="1"/>
  <c r="O814" i="1"/>
  <c r="K815" i="1"/>
  <c r="L815" i="1"/>
  <c r="M815" i="1"/>
  <c r="N815" i="1"/>
  <c r="O815" i="1"/>
  <c r="K816" i="1"/>
  <c r="L816" i="1"/>
  <c r="M816" i="1"/>
  <c r="N816" i="1"/>
  <c r="O816" i="1"/>
  <c r="K817" i="1"/>
  <c r="L817" i="1"/>
  <c r="M817" i="1"/>
  <c r="N817" i="1"/>
  <c r="O817" i="1"/>
  <c r="K818" i="1"/>
  <c r="L818" i="1"/>
  <c r="M818" i="1"/>
  <c r="N818" i="1"/>
  <c r="O818" i="1"/>
  <c r="K819" i="1"/>
  <c r="M819" i="1" s="1"/>
  <c r="L819" i="1"/>
  <c r="N819" i="1"/>
  <c r="O819" i="1"/>
  <c r="K820" i="1"/>
  <c r="L820" i="1"/>
  <c r="M820" i="1"/>
  <c r="N820" i="1"/>
  <c r="O820" i="1"/>
  <c r="K821" i="1"/>
  <c r="M821" i="1" s="1"/>
  <c r="L821" i="1"/>
  <c r="N821" i="1"/>
  <c r="O821" i="1"/>
  <c r="K822" i="1"/>
  <c r="L822" i="1"/>
  <c r="N822" i="1"/>
  <c r="O822" i="1"/>
  <c r="K823" i="1"/>
  <c r="L823" i="1"/>
  <c r="M823" i="1"/>
  <c r="N823" i="1"/>
  <c r="O823" i="1"/>
  <c r="K824" i="1"/>
  <c r="L824" i="1"/>
  <c r="M824" i="1" s="1"/>
  <c r="N824" i="1"/>
  <c r="O824" i="1"/>
  <c r="K825" i="1"/>
  <c r="L825" i="1"/>
  <c r="M825" i="1" s="1"/>
  <c r="N825" i="1"/>
  <c r="O825" i="1"/>
  <c r="K826" i="1"/>
  <c r="M826" i="1" s="1"/>
  <c r="L826" i="1"/>
  <c r="N826" i="1"/>
  <c r="O826" i="1"/>
  <c r="K827" i="1"/>
  <c r="M827" i="1" s="1"/>
  <c r="L827" i="1"/>
  <c r="N827" i="1"/>
  <c r="O827" i="1"/>
  <c r="K828" i="1"/>
  <c r="L828" i="1"/>
  <c r="M828" i="1"/>
  <c r="N828" i="1"/>
  <c r="O828" i="1"/>
  <c r="K829" i="1"/>
  <c r="M829" i="1" s="1"/>
  <c r="L829" i="1"/>
  <c r="N829" i="1"/>
  <c r="O829" i="1"/>
  <c r="K830" i="1"/>
  <c r="L830" i="1"/>
  <c r="M830" i="1"/>
  <c r="N830" i="1"/>
  <c r="O830" i="1"/>
  <c r="K831" i="1"/>
  <c r="L831" i="1"/>
  <c r="M831" i="1"/>
  <c r="N831" i="1"/>
  <c r="O831" i="1"/>
  <c r="K832" i="1"/>
  <c r="M832" i="1" s="1"/>
  <c r="L832" i="1"/>
  <c r="N832" i="1"/>
  <c r="O832" i="1"/>
  <c r="K833" i="1"/>
  <c r="L833" i="1"/>
  <c r="M833" i="1"/>
  <c r="N833" i="1"/>
  <c r="O833" i="1"/>
  <c r="K834" i="1"/>
  <c r="M834" i="1" s="1"/>
  <c r="L834" i="1"/>
  <c r="N834" i="1"/>
  <c r="O834" i="1"/>
  <c r="K835" i="1"/>
  <c r="L835" i="1"/>
  <c r="M835" i="1"/>
  <c r="N835" i="1"/>
  <c r="O835" i="1"/>
  <c r="K836" i="1"/>
  <c r="L836" i="1"/>
  <c r="M836" i="1"/>
  <c r="N836" i="1"/>
  <c r="O836" i="1"/>
  <c r="K837" i="1"/>
  <c r="M837" i="1" s="1"/>
  <c r="L837" i="1"/>
  <c r="N837" i="1"/>
  <c r="O837" i="1"/>
  <c r="K838" i="1"/>
  <c r="L838" i="1"/>
  <c r="M838" i="1"/>
  <c r="N838" i="1"/>
  <c r="O838" i="1"/>
  <c r="K839" i="1"/>
  <c r="L839" i="1"/>
  <c r="M839" i="1"/>
  <c r="N839" i="1"/>
  <c r="O839" i="1"/>
  <c r="K840" i="1"/>
  <c r="L840" i="1"/>
  <c r="N840" i="1"/>
  <c r="O840" i="1"/>
  <c r="K841" i="1"/>
  <c r="L841" i="1"/>
  <c r="M841" i="1"/>
  <c r="N841" i="1"/>
  <c r="O841" i="1"/>
  <c r="K842" i="1"/>
  <c r="M842" i="1" s="1"/>
  <c r="L842" i="1"/>
  <c r="N842" i="1"/>
  <c r="O842" i="1"/>
  <c r="K843" i="1"/>
  <c r="L843" i="1"/>
  <c r="M843" i="1"/>
  <c r="N843" i="1"/>
  <c r="O843" i="1"/>
  <c r="K844" i="1"/>
  <c r="L844" i="1"/>
  <c r="M844" i="1"/>
  <c r="N844" i="1"/>
  <c r="O844" i="1"/>
  <c r="K845" i="1"/>
  <c r="M845" i="1" s="1"/>
  <c r="L845" i="1"/>
  <c r="N845" i="1"/>
  <c r="O845" i="1"/>
  <c r="K846" i="1"/>
  <c r="M846" i="1" s="1"/>
  <c r="L846" i="1"/>
  <c r="N846" i="1"/>
  <c r="O846" i="1"/>
  <c r="K847" i="1"/>
  <c r="L847" i="1"/>
  <c r="M847" i="1"/>
  <c r="N847" i="1"/>
  <c r="O847" i="1"/>
  <c r="K848" i="1"/>
  <c r="L848" i="1"/>
  <c r="N848" i="1"/>
  <c r="O848" i="1"/>
  <c r="K849" i="1"/>
  <c r="L849" i="1"/>
  <c r="M849" i="1"/>
  <c r="N849" i="1"/>
  <c r="O849" i="1"/>
  <c r="K850" i="1"/>
  <c r="M850" i="1" s="1"/>
  <c r="L850" i="1"/>
  <c r="N850" i="1"/>
  <c r="O850" i="1"/>
  <c r="K851" i="1"/>
  <c r="M851" i="1" s="1"/>
  <c r="L851" i="1"/>
  <c r="N851" i="1"/>
  <c r="O851" i="1"/>
  <c r="K852" i="1"/>
  <c r="L852" i="1"/>
  <c r="M852" i="1"/>
  <c r="N852" i="1"/>
  <c r="O852" i="1"/>
  <c r="K853" i="1"/>
  <c r="M853" i="1" s="1"/>
  <c r="L853" i="1"/>
  <c r="N853" i="1"/>
  <c r="O853" i="1"/>
  <c r="K854" i="1"/>
  <c r="L854" i="1"/>
  <c r="M854" i="1"/>
  <c r="N854" i="1"/>
  <c r="O854" i="1"/>
  <c r="K855" i="1"/>
  <c r="L855" i="1"/>
  <c r="M855" i="1"/>
  <c r="N855" i="1"/>
  <c r="O855" i="1"/>
  <c r="K856" i="1"/>
  <c r="L856" i="1"/>
  <c r="N856" i="1"/>
  <c r="O856" i="1"/>
  <c r="K857" i="1"/>
  <c r="L857" i="1"/>
  <c r="M857" i="1"/>
  <c r="N857" i="1"/>
  <c r="O857" i="1"/>
  <c r="K858" i="1"/>
  <c r="M858" i="1" s="1"/>
  <c r="L858" i="1"/>
  <c r="N858" i="1"/>
  <c r="O858" i="1"/>
  <c r="K859" i="1"/>
  <c r="L859" i="1"/>
  <c r="M859" i="1"/>
  <c r="N859" i="1"/>
  <c r="O859" i="1"/>
  <c r="K860" i="1"/>
  <c r="L860" i="1"/>
  <c r="M860" i="1"/>
  <c r="N860" i="1"/>
  <c r="O860" i="1"/>
  <c r="K861" i="1"/>
  <c r="M861" i="1" s="1"/>
  <c r="L861" i="1"/>
  <c r="N861" i="1"/>
  <c r="O861" i="1"/>
  <c r="K862" i="1"/>
  <c r="L862" i="1"/>
  <c r="M862" i="1"/>
  <c r="N862" i="1"/>
  <c r="O862" i="1"/>
  <c r="K863" i="1"/>
  <c r="L863" i="1"/>
  <c r="M863" i="1"/>
  <c r="N863" i="1"/>
  <c r="O863" i="1"/>
  <c r="K864" i="1"/>
  <c r="L864" i="1"/>
  <c r="N864" i="1"/>
  <c r="O864" i="1"/>
  <c r="K865" i="1"/>
  <c r="L865" i="1"/>
  <c r="M865" i="1" s="1"/>
  <c r="N865" i="1"/>
  <c r="O865" i="1"/>
  <c r="K866" i="1"/>
  <c r="M866" i="1" s="1"/>
  <c r="L866" i="1"/>
  <c r="N866" i="1"/>
  <c r="O866" i="1"/>
  <c r="K867" i="1"/>
  <c r="M867" i="1" s="1"/>
  <c r="L867" i="1"/>
  <c r="N867" i="1"/>
  <c r="O867" i="1"/>
  <c r="K868" i="1"/>
  <c r="L868" i="1"/>
  <c r="M868" i="1"/>
  <c r="N868" i="1"/>
  <c r="O868" i="1"/>
  <c r="K869" i="1"/>
  <c r="M869" i="1" s="1"/>
  <c r="L869" i="1"/>
  <c r="N869" i="1"/>
  <c r="O869" i="1"/>
  <c r="K870" i="1"/>
  <c r="M870" i="1" s="1"/>
  <c r="L870" i="1"/>
  <c r="N870" i="1"/>
  <c r="O870" i="1"/>
  <c r="K871" i="1"/>
  <c r="L871" i="1"/>
  <c r="M871" i="1"/>
  <c r="N871" i="1"/>
  <c r="O871" i="1"/>
  <c r="K872" i="1"/>
  <c r="M872" i="1" s="1"/>
  <c r="L872" i="1"/>
  <c r="N872" i="1"/>
  <c r="O872" i="1"/>
  <c r="K873" i="1"/>
  <c r="L873" i="1"/>
  <c r="M873" i="1"/>
  <c r="N873" i="1"/>
  <c r="O873" i="1"/>
  <c r="K874" i="1"/>
  <c r="M874" i="1" s="1"/>
  <c r="L874" i="1"/>
  <c r="N874" i="1"/>
  <c r="O874" i="1"/>
  <c r="K875" i="1"/>
  <c r="L875" i="1"/>
  <c r="M875" i="1"/>
  <c r="N875" i="1"/>
  <c r="O875" i="1"/>
  <c r="K876" i="1"/>
  <c r="L876" i="1"/>
  <c r="M876" i="1"/>
  <c r="N876" i="1"/>
  <c r="O876" i="1"/>
  <c r="K877" i="1"/>
  <c r="M877" i="1" s="1"/>
  <c r="L877" i="1"/>
  <c r="N877" i="1"/>
  <c r="O877" i="1"/>
  <c r="K878" i="1"/>
  <c r="L878" i="1"/>
  <c r="M878" i="1"/>
  <c r="N878" i="1"/>
  <c r="O878" i="1"/>
  <c r="K879" i="1"/>
  <c r="L879" i="1"/>
  <c r="M879" i="1"/>
  <c r="N879" i="1"/>
  <c r="O879" i="1"/>
  <c r="K880" i="1"/>
  <c r="L880" i="1"/>
  <c r="N880" i="1"/>
  <c r="O880" i="1"/>
  <c r="K881" i="1"/>
  <c r="L881" i="1"/>
  <c r="M881" i="1"/>
  <c r="N881" i="1"/>
  <c r="O881" i="1"/>
  <c r="K882" i="1"/>
  <c r="M882" i="1" s="1"/>
  <c r="L882" i="1"/>
  <c r="N882" i="1"/>
  <c r="O882" i="1"/>
  <c r="K883" i="1"/>
  <c r="L883" i="1"/>
  <c r="M883" i="1"/>
  <c r="N883" i="1"/>
  <c r="O883" i="1"/>
  <c r="K884" i="1"/>
  <c r="L884" i="1"/>
  <c r="M884" i="1"/>
  <c r="N884" i="1"/>
  <c r="O884" i="1"/>
  <c r="K885" i="1"/>
  <c r="M885" i="1" s="1"/>
  <c r="L885" i="1"/>
  <c r="N885" i="1"/>
  <c r="O885" i="1"/>
  <c r="K886" i="1"/>
  <c r="M886" i="1" s="1"/>
  <c r="L886" i="1"/>
  <c r="N886" i="1"/>
  <c r="O886" i="1"/>
  <c r="K887" i="1"/>
  <c r="L887" i="1"/>
  <c r="M887" i="1"/>
  <c r="N887" i="1"/>
  <c r="O887" i="1"/>
  <c r="K888" i="1"/>
  <c r="L888" i="1"/>
  <c r="N888" i="1"/>
  <c r="O888" i="1"/>
  <c r="K889" i="1"/>
  <c r="L889" i="1"/>
  <c r="M889" i="1" s="1"/>
  <c r="N889" i="1"/>
  <c r="O889" i="1"/>
  <c r="K890" i="1"/>
  <c r="M890" i="1" s="1"/>
  <c r="L890" i="1"/>
  <c r="N890" i="1"/>
  <c r="O890" i="1"/>
  <c r="K891" i="1"/>
  <c r="M891" i="1" s="1"/>
  <c r="L891" i="1"/>
  <c r="N891" i="1"/>
  <c r="O891" i="1"/>
  <c r="K892" i="1"/>
  <c r="L892" i="1"/>
  <c r="M892" i="1"/>
  <c r="N892" i="1"/>
  <c r="O892" i="1"/>
  <c r="K893" i="1"/>
  <c r="M893" i="1" s="1"/>
  <c r="L893" i="1"/>
  <c r="N893" i="1"/>
  <c r="O893" i="1"/>
  <c r="K894" i="1"/>
  <c r="L894" i="1"/>
  <c r="M894" i="1"/>
  <c r="N894" i="1"/>
  <c r="O894" i="1"/>
  <c r="K895" i="1"/>
  <c r="L895" i="1"/>
  <c r="M895" i="1"/>
  <c r="N895" i="1"/>
  <c r="O895" i="1"/>
  <c r="K896" i="1"/>
  <c r="M896" i="1" s="1"/>
  <c r="L896" i="1"/>
  <c r="N896" i="1"/>
  <c r="O896" i="1"/>
  <c r="K897" i="1"/>
  <c r="L897" i="1"/>
  <c r="M897" i="1"/>
  <c r="N897" i="1"/>
  <c r="O897" i="1"/>
  <c r="K898" i="1"/>
  <c r="M898" i="1" s="1"/>
  <c r="L898" i="1"/>
  <c r="N898" i="1"/>
  <c r="O898" i="1"/>
  <c r="K899" i="1"/>
  <c r="L899" i="1"/>
  <c r="M899" i="1"/>
  <c r="N899" i="1"/>
  <c r="O899" i="1"/>
  <c r="K900" i="1"/>
  <c r="L900" i="1"/>
  <c r="M900" i="1"/>
  <c r="N900" i="1"/>
  <c r="O900" i="1"/>
  <c r="K901" i="1"/>
  <c r="M901" i="1" s="1"/>
  <c r="L901" i="1"/>
  <c r="N901" i="1"/>
  <c r="O901" i="1"/>
  <c r="K902" i="1"/>
  <c r="L902" i="1"/>
  <c r="M902" i="1"/>
  <c r="N902" i="1"/>
  <c r="O902" i="1"/>
  <c r="K903" i="1"/>
  <c r="L903" i="1"/>
  <c r="M903" i="1"/>
  <c r="N903" i="1"/>
  <c r="O903" i="1"/>
  <c r="K904" i="1"/>
  <c r="L904" i="1"/>
  <c r="N904" i="1"/>
  <c r="O904" i="1"/>
  <c r="K905" i="1"/>
  <c r="L905" i="1"/>
  <c r="M905" i="1"/>
  <c r="N905" i="1"/>
  <c r="O905" i="1"/>
  <c r="K906" i="1"/>
  <c r="M906" i="1" s="1"/>
  <c r="L906" i="1"/>
  <c r="N906" i="1"/>
  <c r="O906" i="1"/>
  <c r="K907" i="1"/>
  <c r="L907" i="1"/>
  <c r="M907" i="1"/>
  <c r="N907" i="1"/>
  <c r="O907" i="1"/>
  <c r="K908" i="1"/>
  <c r="L908" i="1"/>
  <c r="M908" i="1"/>
  <c r="N908" i="1"/>
  <c r="O908" i="1"/>
  <c r="K909" i="1"/>
  <c r="M909" i="1" s="1"/>
  <c r="L909" i="1"/>
  <c r="N909" i="1"/>
  <c r="O909" i="1"/>
  <c r="K910" i="1"/>
  <c r="M910" i="1" s="1"/>
  <c r="L910" i="1"/>
  <c r="N910" i="1"/>
  <c r="O910" i="1"/>
  <c r="K911" i="1"/>
  <c r="L911" i="1"/>
  <c r="M911" i="1"/>
  <c r="N911" i="1"/>
  <c r="O911" i="1"/>
  <c r="K912" i="1"/>
  <c r="L912" i="1"/>
  <c r="N912" i="1"/>
  <c r="O912" i="1"/>
  <c r="K913" i="1"/>
  <c r="L913" i="1"/>
  <c r="M913" i="1"/>
  <c r="N913" i="1"/>
  <c r="O913" i="1"/>
  <c r="K914" i="1"/>
  <c r="M914" i="1" s="1"/>
  <c r="L914" i="1"/>
  <c r="N914" i="1"/>
  <c r="O914" i="1"/>
  <c r="K915" i="1"/>
  <c r="M915" i="1" s="1"/>
  <c r="L915" i="1"/>
  <c r="N915" i="1"/>
  <c r="O915" i="1"/>
  <c r="K916" i="1"/>
  <c r="L916" i="1"/>
  <c r="M916" i="1"/>
  <c r="N916" i="1"/>
  <c r="O916" i="1"/>
  <c r="K917" i="1"/>
  <c r="M917" i="1" s="1"/>
  <c r="L917" i="1"/>
  <c r="N917" i="1"/>
  <c r="O917" i="1"/>
  <c r="K918" i="1"/>
  <c r="L918" i="1"/>
  <c r="M918" i="1"/>
  <c r="N918" i="1"/>
  <c r="O918" i="1"/>
  <c r="K919" i="1"/>
  <c r="L919" i="1"/>
  <c r="M919" i="1"/>
  <c r="N919" i="1"/>
  <c r="O919" i="1"/>
  <c r="K920" i="1"/>
  <c r="L920" i="1"/>
  <c r="N920" i="1"/>
  <c r="O920" i="1"/>
  <c r="K921" i="1"/>
  <c r="L921" i="1"/>
  <c r="M921" i="1"/>
  <c r="N921" i="1"/>
  <c r="O921" i="1"/>
  <c r="K922" i="1"/>
  <c r="M922" i="1" s="1"/>
  <c r="L922" i="1"/>
  <c r="N922" i="1"/>
  <c r="O922" i="1"/>
  <c r="K923" i="1"/>
  <c r="L923" i="1"/>
  <c r="M923" i="1"/>
  <c r="N923" i="1"/>
  <c r="O923" i="1"/>
  <c r="K924" i="1"/>
  <c r="L924" i="1"/>
  <c r="M924" i="1"/>
  <c r="N924" i="1"/>
  <c r="O924" i="1"/>
  <c r="K925" i="1"/>
  <c r="M925" i="1" s="1"/>
  <c r="L925" i="1"/>
  <c r="N925" i="1"/>
  <c r="O925" i="1"/>
  <c r="K926" i="1"/>
  <c r="L926" i="1"/>
  <c r="M926" i="1"/>
  <c r="N926" i="1"/>
  <c r="O926" i="1"/>
  <c r="K927" i="1"/>
  <c r="L927" i="1"/>
  <c r="M927" i="1"/>
  <c r="N927" i="1"/>
  <c r="O927" i="1"/>
  <c r="K928" i="1"/>
  <c r="L928" i="1"/>
  <c r="N928" i="1"/>
  <c r="O928" i="1"/>
  <c r="K929" i="1"/>
  <c r="L929" i="1"/>
  <c r="M929" i="1" s="1"/>
  <c r="N929" i="1"/>
  <c r="O929" i="1"/>
  <c r="K930" i="1"/>
  <c r="M930" i="1" s="1"/>
  <c r="L930" i="1"/>
  <c r="N930" i="1"/>
  <c r="O930" i="1"/>
  <c r="K931" i="1"/>
  <c r="M931" i="1" s="1"/>
  <c r="L931" i="1"/>
  <c r="N931" i="1"/>
  <c r="O931" i="1"/>
  <c r="K932" i="1"/>
  <c r="L932" i="1"/>
  <c r="M932" i="1"/>
  <c r="N932" i="1"/>
  <c r="O932" i="1"/>
  <c r="K933" i="1"/>
  <c r="M933" i="1" s="1"/>
  <c r="L933" i="1"/>
  <c r="N933" i="1"/>
  <c r="O933" i="1"/>
  <c r="K934" i="1"/>
  <c r="M934" i="1" s="1"/>
  <c r="L934" i="1"/>
  <c r="N934" i="1"/>
  <c r="O934" i="1"/>
  <c r="K935" i="1"/>
  <c r="L935" i="1"/>
  <c r="M935" i="1"/>
  <c r="N935" i="1"/>
  <c r="O935" i="1"/>
  <c r="K936" i="1"/>
  <c r="M936" i="1" s="1"/>
  <c r="L936" i="1"/>
  <c r="N936" i="1"/>
  <c r="O936" i="1"/>
  <c r="K937" i="1"/>
  <c r="L937" i="1"/>
  <c r="M937" i="1"/>
  <c r="N937" i="1"/>
  <c r="O937" i="1"/>
  <c r="K938" i="1"/>
  <c r="M938" i="1" s="1"/>
  <c r="L938" i="1"/>
  <c r="N938" i="1"/>
  <c r="O938" i="1"/>
  <c r="K939" i="1"/>
  <c r="L939" i="1"/>
  <c r="M939" i="1"/>
  <c r="N939" i="1"/>
  <c r="O939" i="1"/>
  <c r="K940" i="1"/>
  <c r="L940" i="1"/>
  <c r="M940" i="1"/>
  <c r="N940" i="1"/>
  <c r="O940" i="1"/>
  <c r="K941" i="1"/>
  <c r="M941" i="1" s="1"/>
  <c r="L941" i="1"/>
  <c r="N941" i="1"/>
  <c r="O941" i="1"/>
  <c r="K942" i="1"/>
  <c r="L942" i="1"/>
  <c r="M942" i="1"/>
  <c r="N942" i="1"/>
  <c r="O942" i="1"/>
  <c r="K943" i="1"/>
  <c r="L943" i="1"/>
  <c r="M943" i="1"/>
  <c r="N943" i="1"/>
  <c r="O943" i="1"/>
  <c r="K944" i="1"/>
  <c r="L944" i="1"/>
  <c r="N944" i="1"/>
  <c r="O944" i="1"/>
  <c r="K945" i="1"/>
  <c r="L945" i="1"/>
  <c r="M945" i="1"/>
  <c r="N945" i="1"/>
  <c r="O945" i="1"/>
  <c r="K946" i="1"/>
  <c r="M946" i="1" s="1"/>
  <c r="L946" i="1"/>
  <c r="N946" i="1"/>
  <c r="O946" i="1"/>
  <c r="K947" i="1"/>
  <c r="L947" i="1"/>
  <c r="M947" i="1"/>
  <c r="N947" i="1"/>
  <c r="O947" i="1"/>
  <c r="K948" i="1"/>
  <c r="L948" i="1"/>
  <c r="M948" i="1"/>
  <c r="N948" i="1"/>
  <c r="O948" i="1"/>
  <c r="K949" i="1"/>
  <c r="M949" i="1" s="1"/>
  <c r="L949" i="1"/>
  <c r="N949" i="1"/>
  <c r="O949" i="1"/>
  <c r="K950" i="1"/>
  <c r="M950" i="1" s="1"/>
  <c r="L950" i="1"/>
  <c r="N950" i="1"/>
  <c r="O950" i="1"/>
  <c r="K951" i="1"/>
  <c r="L951" i="1"/>
  <c r="M951" i="1"/>
  <c r="N951" i="1"/>
  <c r="O951" i="1"/>
  <c r="K952" i="1"/>
  <c r="L952" i="1"/>
  <c r="N952" i="1"/>
  <c r="O952" i="1"/>
  <c r="K953" i="1"/>
  <c r="L953" i="1"/>
  <c r="M953" i="1" s="1"/>
  <c r="N953" i="1"/>
  <c r="O953" i="1"/>
  <c r="K954" i="1"/>
  <c r="M954" i="1" s="1"/>
  <c r="L954" i="1"/>
  <c r="N954" i="1"/>
  <c r="O954" i="1"/>
  <c r="K955" i="1"/>
  <c r="M955" i="1" s="1"/>
  <c r="L955" i="1"/>
  <c r="N955" i="1"/>
  <c r="O955" i="1"/>
  <c r="K956" i="1"/>
  <c r="L956" i="1"/>
  <c r="M956" i="1"/>
  <c r="N956" i="1"/>
  <c r="O956" i="1"/>
  <c r="K957" i="1"/>
  <c r="M957" i="1" s="1"/>
  <c r="L957" i="1"/>
  <c r="N957" i="1"/>
  <c r="O957" i="1"/>
  <c r="K958" i="1"/>
  <c r="L958" i="1"/>
  <c r="M958" i="1"/>
  <c r="N958" i="1"/>
  <c r="O958" i="1"/>
  <c r="K959" i="1"/>
  <c r="L959" i="1"/>
  <c r="M959" i="1"/>
  <c r="N959" i="1"/>
  <c r="O959" i="1"/>
  <c r="K960" i="1"/>
  <c r="M960" i="1" s="1"/>
  <c r="L960" i="1"/>
  <c r="N960" i="1"/>
  <c r="O960" i="1"/>
  <c r="K961" i="1"/>
  <c r="L961" i="1"/>
  <c r="M961" i="1"/>
  <c r="N961" i="1"/>
  <c r="O961" i="1"/>
  <c r="K962" i="1"/>
  <c r="M962" i="1" s="1"/>
  <c r="L962" i="1"/>
  <c r="N962" i="1"/>
  <c r="O962" i="1"/>
  <c r="K963" i="1"/>
  <c r="L963" i="1"/>
  <c r="M963" i="1"/>
  <c r="N963" i="1"/>
  <c r="O963" i="1"/>
  <c r="K964" i="1"/>
  <c r="L964" i="1"/>
  <c r="M964" i="1"/>
  <c r="N964" i="1"/>
  <c r="O964" i="1"/>
  <c r="K965" i="1"/>
  <c r="M965" i="1" s="1"/>
  <c r="L965" i="1"/>
  <c r="N965" i="1"/>
  <c r="O965" i="1"/>
  <c r="K966" i="1"/>
  <c r="L966" i="1"/>
  <c r="M966" i="1"/>
  <c r="N966" i="1"/>
  <c r="O966" i="1"/>
  <c r="K967" i="1"/>
  <c r="L967" i="1"/>
  <c r="M967" i="1"/>
  <c r="N967" i="1"/>
  <c r="O967" i="1"/>
  <c r="K968" i="1"/>
  <c r="L968" i="1"/>
  <c r="N968" i="1"/>
  <c r="O968" i="1"/>
  <c r="K969" i="1"/>
  <c r="L969" i="1"/>
  <c r="M969" i="1"/>
  <c r="N969" i="1"/>
  <c r="O969" i="1"/>
  <c r="K970" i="1"/>
  <c r="M970" i="1" s="1"/>
  <c r="L970" i="1"/>
  <c r="N970" i="1"/>
  <c r="O970" i="1"/>
  <c r="K971" i="1"/>
  <c r="L971" i="1"/>
  <c r="M971" i="1"/>
  <c r="N971" i="1"/>
  <c r="O971" i="1"/>
  <c r="K972" i="1"/>
  <c r="L972" i="1"/>
  <c r="M972" i="1"/>
  <c r="N972" i="1"/>
  <c r="O972" i="1"/>
  <c r="K973" i="1"/>
  <c r="M973" i="1" s="1"/>
  <c r="L973" i="1"/>
  <c r="N973" i="1"/>
  <c r="O973" i="1"/>
  <c r="K974" i="1"/>
  <c r="M974" i="1" s="1"/>
  <c r="L974" i="1"/>
  <c r="N974" i="1"/>
  <c r="O974" i="1"/>
  <c r="K975" i="1"/>
  <c r="L975" i="1"/>
  <c r="M975" i="1"/>
  <c r="N975" i="1"/>
  <c r="O975" i="1"/>
  <c r="K976" i="1"/>
  <c r="L976" i="1"/>
  <c r="N976" i="1"/>
  <c r="O976" i="1"/>
  <c r="K977" i="1"/>
  <c r="L977" i="1"/>
  <c r="M977" i="1"/>
  <c r="N977" i="1"/>
  <c r="O977" i="1"/>
  <c r="K978" i="1"/>
  <c r="M978" i="1" s="1"/>
  <c r="L978" i="1"/>
  <c r="N978" i="1"/>
  <c r="O978" i="1"/>
  <c r="K979" i="1"/>
  <c r="M979" i="1" s="1"/>
  <c r="L979" i="1"/>
  <c r="N979" i="1"/>
  <c r="O979" i="1"/>
  <c r="K980" i="1"/>
  <c r="L980" i="1"/>
  <c r="M980" i="1"/>
  <c r="N980" i="1"/>
  <c r="O980" i="1"/>
  <c r="K981" i="1"/>
  <c r="M981" i="1" s="1"/>
  <c r="L981" i="1"/>
  <c r="N981" i="1"/>
  <c r="O981" i="1"/>
  <c r="K982" i="1"/>
  <c r="L982" i="1"/>
  <c r="M982" i="1"/>
  <c r="N982" i="1"/>
  <c r="O982" i="1"/>
  <c r="K983" i="1"/>
  <c r="L983" i="1"/>
  <c r="M983" i="1"/>
  <c r="N983" i="1"/>
  <c r="O983" i="1"/>
  <c r="K984" i="1"/>
  <c r="L984" i="1"/>
  <c r="N984" i="1"/>
  <c r="O984" i="1"/>
  <c r="K985" i="1"/>
  <c r="L985" i="1"/>
  <c r="M985" i="1"/>
  <c r="N985" i="1"/>
  <c r="O985" i="1"/>
  <c r="K986" i="1"/>
  <c r="M986" i="1" s="1"/>
  <c r="L986" i="1"/>
  <c r="N986" i="1"/>
  <c r="O986" i="1"/>
  <c r="K987" i="1"/>
  <c r="L987" i="1"/>
  <c r="M987" i="1"/>
  <c r="N987" i="1"/>
  <c r="O987" i="1"/>
  <c r="K988" i="1"/>
  <c r="L988" i="1"/>
  <c r="M988" i="1"/>
  <c r="N988" i="1"/>
  <c r="O988" i="1"/>
  <c r="K989" i="1"/>
  <c r="M989" i="1" s="1"/>
  <c r="L989" i="1"/>
  <c r="N989" i="1"/>
  <c r="O989" i="1"/>
  <c r="K990" i="1"/>
  <c r="L990" i="1"/>
  <c r="M990" i="1"/>
  <c r="N990" i="1"/>
  <c r="O990" i="1"/>
  <c r="K991" i="1"/>
  <c r="L991" i="1"/>
  <c r="M991" i="1"/>
  <c r="N991" i="1"/>
  <c r="O991" i="1"/>
  <c r="K992" i="1"/>
  <c r="L992" i="1"/>
  <c r="N992" i="1"/>
  <c r="O992" i="1"/>
  <c r="K993" i="1"/>
  <c r="L993" i="1"/>
  <c r="M993" i="1" s="1"/>
  <c r="N993" i="1"/>
  <c r="O993" i="1"/>
  <c r="K994" i="1"/>
  <c r="M994" i="1" s="1"/>
  <c r="L994" i="1"/>
  <c r="N994" i="1"/>
  <c r="O994" i="1"/>
  <c r="K995" i="1"/>
  <c r="M995" i="1" s="1"/>
  <c r="L995" i="1"/>
  <c r="N995" i="1"/>
  <c r="O995" i="1"/>
  <c r="K996" i="1"/>
  <c r="L996" i="1"/>
  <c r="M996" i="1"/>
  <c r="N996" i="1"/>
  <c r="O996" i="1"/>
  <c r="K997" i="1"/>
  <c r="M997" i="1" s="1"/>
  <c r="L997" i="1"/>
  <c r="N997" i="1"/>
  <c r="O997" i="1"/>
  <c r="K998" i="1"/>
  <c r="M998" i="1" s="1"/>
  <c r="L998" i="1"/>
  <c r="N998" i="1"/>
  <c r="O998" i="1"/>
  <c r="K999" i="1"/>
  <c r="L999" i="1"/>
  <c r="M999" i="1"/>
  <c r="N999" i="1"/>
  <c r="O999" i="1"/>
  <c r="K1000" i="1"/>
  <c r="M1000" i="1" s="1"/>
  <c r="L1000" i="1"/>
  <c r="N1000" i="1"/>
  <c r="O1000" i="1"/>
  <c r="K1001" i="1"/>
  <c r="L1001" i="1"/>
  <c r="M1001" i="1"/>
  <c r="N1001" i="1"/>
  <c r="O1001" i="1"/>
  <c r="K1002" i="1"/>
  <c r="M1002" i="1" s="1"/>
  <c r="L1002" i="1"/>
  <c r="N1002" i="1"/>
  <c r="O1002" i="1"/>
  <c r="K1003" i="1"/>
  <c r="L1003" i="1"/>
  <c r="M1003" i="1"/>
  <c r="N1003" i="1"/>
  <c r="O1003" i="1"/>
  <c r="K1004" i="1"/>
  <c r="L1004" i="1"/>
  <c r="M1004" i="1"/>
  <c r="N1004" i="1"/>
  <c r="O1004" i="1"/>
  <c r="K1005" i="1"/>
  <c r="M1005" i="1" s="1"/>
  <c r="L1005" i="1"/>
  <c r="N1005" i="1"/>
  <c r="O1005" i="1"/>
  <c r="K1006" i="1"/>
  <c r="L1006" i="1"/>
  <c r="M1006" i="1"/>
  <c r="N1006" i="1"/>
  <c r="O1006" i="1"/>
  <c r="K1007" i="1"/>
  <c r="L1007" i="1"/>
  <c r="M1007" i="1"/>
  <c r="N1007" i="1"/>
  <c r="O1007" i="1"/>
  <c r="K1008" i="1"/>
  <c r="L1008" i="1"/>
  <c r="N1008" i="1"/>
  <c r="O1008" i="1"/>
  <c r="K1009" i="1"/>
  <c r="L1009" i="1"/>
  <c r="M1009" i="1"/>
  <c r="N1009" i="1"/>
  <c r="O1009" i="1"/>
  <c r="K1010" i="1"/>
  <c r="M1010" i="1" s="1"/>
  <c r="L1010" i="1"/>
  <c r="N1010" i="1"/>
  <c r="O1010" i="1"/>
  <c r="K1011" i="1"/>
  <c r="L1011" i="1"/>
  <c r="M1011" i="1"/>
  <c r="N1011" i="1"/>
  <c r="O1011" i="1"/>
  <c r="K1012" i="1"/>
  <c r="L1012" i="1"/>
  <c r="M1012" i="1"/>
  <c r="N1012" i="1"/>
  <c r="O1012" i="1"/>
  <c r="K1013" i="1"/>
  <c r="M1013" i="1" s="1"/>
  <c r="L1013" i="1"/>
  <c r="N1013" i="1"/>
  <c r="O1013" i="1"/>
  <c r="K1014" i="1"/>
  <c r="M1014" i="1" s="1"/>
  <c r="L1014" i="1"/>
  <c r="N1014" i="1"/>
  <c r="O1014" i="1"/>
  <c r="K1015" i="1"/>
  <c r="L1015" i="1"/>
  <c r="M1015" i="1"/>
  <c r="N1015" i="1"/>
  <c r="O1015" i="1"/>
  <c r="K1016" i="1"/>
  <c r="L1016" i="1"/>
  <c r="N1016" i="1"/>
  <c r="O1016" i="1"/>
  <c r="K1017" i="1"/>
  <c r="L1017" i="1"/>
  <c r="M1017" i="1" s="1"/>
  <c r="N1017" i="1"/>
  <c r="O1017" i="1"/>
  <c r="K1018" i="1"/>
  <c r="M1018" i="1" s="1"/>
  <c r="L1018" i="1"/>
  <c r="N1018" i="1"/>
  <c r="O1018" i="1"/>
  <c r="K1019" i="1"/>
  <c r="M1019" i="1" s="1"/>
  <c r="L1019" i="1"/>
  <c r="N1019" i="1"/>
  <c r="O1019" i="1"/>
  <c r="K1020" i="1"/>
  <c r="L1020" i="1"/>
  <c r="M1020" i="1"/>
  <c r="N1020" i="1"/>
  <c r="O1020" i="1"/>
  <c r="K1021" i="1"/>
  <c r="M1021" i="1" s="1"/>
  <c r="L1021" i="1"/>
  <c r="N1021" i="1"/>
  <c r="O1021" i="1"/>
  <c r="K1022" i="1"/>
  <c r="L1022" i="1"/>
  <c r="M1022" i="1"/>
  <c r="N1022" i="1"/>
  <c r="O1022" i="1"/>
  <c r="K1023" i="1"/>
  <c r="L1023" i="1"/>
  <c r="M1023" i="1"/>
  <c r="N1023" i="1"/>
  <c r="O1023" i="1"/>
  <c r="K1024" i="1"/>
  <c r="M1024" i="1" s="1"/>
  <c r="L1024" i="1"/>
  <c r="N1024" i="1"/>
  <c r="O1024" i="1"/>
  <c r="K1025" i="1"/>
  <c r="L1025" i="1"/>
  <c r="M1025" i="1"/>
  <c r="N1025" i="1"/>
  <c r="O1025" i="1"/>
  <c r="K1026" i="1"/>
  <c r="M1026" i="1" s="1"/>
  <c r="L1026" i="1"/>
  <c r="N1026" i="1"/>
  <c r="O1026" i="1"/>
  <c r="K1027" i="1"/>
  <c r="L1027" i="1"/>
  <c r="M1027" i="1"/>
  <c r="N1027" i="1"/>
  <c r="O1027" i="1"/>
  <c r="K1028" i="1"/>
  <c r="L1028" i="1"/>
  <c r="M1028" i="1"/>
  <c r="N1028" i="1"/>
  <c r="O1028" i="1"/>
  <c r="K1029" i="1"/>
  <c r="M1029" i="1" s="1"/>
  <c r="L1029" i="1"/>
  <c r="N1029" i="1"/>
  <c r="O1029" i="1"/>
  <c r="K1030" i="1"/>
  <c r="L1030" i="1"/>
  <c r="M1030" i="1"/>
  <c r="N1030" i="1"/>
  <c r="O1030" i="1"/>
  <c r="K1031" i="1"/>
  <c r="L1031" i="1"/>
  <c r="M1031" i="1"/>
  <c r="N1031" i="1"/>
  <c r="O1031" i="1"/>
  <c r="K1032" i="1"/>
  <c r="L1032" i="1"/>
  <c r="N1032" i="1"/>
  <c r="O1032" i="1"/>
  <c r="K1033" i="1"/>
  <c r="L1033" i="1"/>
  <c r="M1033" i="1"/>
  <c r="N1033" i="1"/>
  <c r="O1033" i="1"/>
  <c r="K1034" i="1"/>
  <c r="M1034" i="1" s="1"/>
  <c r="L1034" i="1"/>
  <c r="N1034" i="1"/>
  <c r="O1034" i="1"/>
  <c r="K1035" i="1"/>
  <c r="L1035" i="1"/>
  <c r="M1035" i="1"/>
  <c r="N1035" i="1"/>
  <c r="O1035" i="1"/>
  <c r="K1036" i="1"/>
  <c r="L1036" i="1"/>
  <c r="M1036" i="1"/>
  <c r="N1036" i="1"/>
  <c r="O1036" i="1"/>
  <c r="K1037" i="1"/>
  <c r="M1037" i="1" s="1"/>
  <c r="L1037" i="1"/>
  <c r="N1037" i="1"/>
  <c r="O1037" i="1"/>
  <c r="K1038" i="1"/>
  <c r="M1038" i="1" s="1"/>
  <c r="L1038" i="1"/>
  <c r="N1038" i="1"/>
  <c r="O1038" i="1"/>
  <c r="K1039" i="1"/>
  <c r="L1039" i="1"/>
  <c r="M1039" i="1"/>
  <c r="N1039" i="1"/>
  <c r="O1039" i="1"/>
  <c r="K1040" i="1"/>
  <c r="L1040" i="1"/>
  <c r="N1040" i="1"/>
  <c r="O1040" i="1"/>
  <c r="K1041" i="1"/>
  <c r="L1041" i="1"/>
  <c r="M1041" i="1"/>
  <c r="N1041" i="1"/>
  <c r="O1041" i="1"/>
  <c r="K1042" i="1"/>
  <c r="M1042" i="1" s="1"/>
  <c r="L1042" i="1"/>
  <c r="N1042" i="1"/>
  <c r="O1042" i="1"/>
  <c r="K1043" i="1"/>
  <c r="M1043" i="1" s="1"/>
  <c r="L1043" i="1"/>
  <c r="N1043" i="1"/>
  <c r="O1043" i="1"/>
  <c r="K1044" i="1"/>
  <c r="L1044" i="1"/>
  <c r="M1044" i="1"/>
  <c r="N1044" i="1"/>
  <c r="O1044" i="1"/>
  <c r="K1045" i="1"/>
  <c r="M1045" i="1" s="1"/>
  <c r="L1045" i="1"/>
  <c r="N1045" i="1"/>
  <c r="O1045" i="1"/>
  <c r="K1046" i="1"/>
  <c r="L1046" i="1"/>
  <c r="M1046" i="1"/>
  <c r="N1046" i="1"/>
  <c r="O1046" i="1"/>
  <c r="K1047" i="1"/>
  <c r="L1047" i="1"/>
  <c r="M1047" i="1"/>
  <c r="N1047" i="1"/>
  <c r="O1047" i="1"/>
  <c r="K1048" i="1"/>
  <c r="L1048" i="1"/>
  <c r="N1048" i="1"/>
  <c r="O1048" i="1"/>
  <c r="K1049" i="1"/>
  <c r="L1049" i="1"/>
  <c r="M1049" i="1"/>
  <c r="N1049" i="1"/>
  <c r="O1049" i="1"/>
  <c r="K1050" i="1"/>
  <c r="M1050" i="1" s="1"/>
  <c r="L1050" i="1"/>
  <c r="N1050" i="1"/>
  <c r="O1050" i="1"/>
  <c r="K1051" i="1"/>
  <c r="L1051" i="1"/>
  <c r="M1051" i="1"/>
  <c r="N1051" i="1"/>
  <c r="O1051" i="1"/>
  <c r="K1052" i="1"/>
  <c r="L1052" i="1"/>
  <c r="M1052" i="1"/>
  <c r="N1052" i="1"/>
  <c r="O1052" i="1"/>
  <c r="K1053" i="1"/>
  <c r="M1053" i="1" s="1"/>
  <c r="L1053" i="1"/>
  <c r="N1053" i="1"/>
  <c r="O1053" i="1"/>
  <c r="K1054" i="1"/>
  <c r="L1054" i="1"/>
  <c r="M1054" i="1"/>
  <c r="N1054" i="1"/>
  <c r="O1054" i="1"/>
  <c r="K1055" i="1"/>
  <c r="L1055" i="1"/>
  <c r="M1055" i="1"/>
  <c r="N1055" i="1"/>
  <c r="O1055" i="1"/>
  <c r="K1056" i="1"/>
  <c r="L1056" i="1"/>
  <c r="N1056" i="1"/>
  <c r="O1056" i="1"/>
  <c r="K1057" i="1"/>
  <c r="L1057" i="1"/>
  <c r="M1057" i="1" s="1"/>
  <c r="N1057" i="1"/>
  <c r="O1057" i="1"/>
  <c r="K1058" i="1"/>
  <c r="M1058" i="1" s="1"/>
  <c r="L1058" i="1"/>
  <c r="N1058" i="1"/>
  <c r="O1058" i="1"/>
  <c r="K1059" i="1"/>
  <c r="M1059" i="1" s="1"/>
  <c r="L1059" i="1"/>
  <c r="N1059" i="1"/>
  <c r="O1059" i="1"/>
  <c r="K1060" i="1"/>
  <c r="L1060" i="1"/>
  <c r="M1060" i="1"/>
  <c r="N1060" i="1"/>
  <c r="O1060" i="1"/>
  <c r="K1061" i="1"/>
  <c r="M1061" i="1" s="1"/>
  <c r="L1061" i="1"/>
  <c r="N1061" i="1"/>
  <c r="O1061" i="1"/>
  <c r="K1062" i="1"/>
  <c r="M1062" i="1" s="1"/>
  <c r="L1062" i="1"/>
  <c r="N1062" i="1"/>
  <c r="O1062" i="1"/>
  <c r="K1063" i="1"/>
  <c r="L1063" i="1"/>
  <c r="M1063" i="1"/>
  <c r="N1063" i="1"/>
  <c r="O1063" i="1"/>
  <c r="K1064" i="1"/>
  <c r="M1064" i="1" s="1"/>
  <c r="L1064" i="1"/>
  <c r="N1064" i="1"/>
  <c r="O1064" i="1"/>
  <c r="K1065" i="1"/>
  <c r="L1065" i="1"/>
  <c r="M1065" i="1"/>
  <c r="N1065" i="1"/>
  <c r="O1065" i="1"/>
  <c r="K1066" i="1"/>
  <c r="M1066" i="1" s="1"/>
  <c r="L1066" i="1"/>
  <c r="N1066" i="1"/>
  <c r="O1066" i="1"/>
  <c r="K1067" i="1"/>
  <c r="L1067" i="1"/>
  <c r="M1067" i="1"/>
  <c r="N1067" i="1"/>
  <c r="O1067" i="1"/>
  <c r="K1068" i="1"/>
  <c r="L1068" i="1"/>
  <c r="M1068" i="1"/>
  <c r="N1068" i="1"/>
  <c r="O1068" i="1"/>
  <c r="K1069" i="1"/>
  <c r="M1069" i="1" s="1"/>
  <c r="L1069" i="1"/>
  <c r="N1069" i="1"/>
  <c r="O1069" i="1"/>
  <c r="K1070" i="1"/>
  <c r="L1070" i="1"/>
  <c r="M1070" i="1"/>
  <c r="N1070" i="1"/>
  <c r="O1070" i="1"/>
  <c r="K1071" i="1"/>
  <c r="L1071" i="1"/>
  <c r="M1071" i="1"/>
  <c r="N1071" i="1"/>
  <c r="O1071" i="1"/>
  <c r="K1072" i="1"/>
  <c r="L1072" i="1"/>
  <c r="N1072" i="1"/>
  <c r="O1072" i="1"/>
  <c r="K1073" i="1"/>
  <c r="L1073" i="1"/>
  <c r="M1073" i="1"/>
  <c r="N1073" i="1"/>
  <c r="O1073" i="1"/>
  <c r="K1074" i="1"/>
  <c r="M1074" i="1" s="1"/>
  <c r="L1074" i="1"/>
  <c r="N1074" i="1"/>
  <c r="O1074" i="1"/>
  <c r="K1075" i="1"/>
  <c r="L1075" i="1"/>
  <c r="M1075" i="1"/>
  <c r="N1075" i="1"/>
  <c r="O1075" i="1"/>
  <c r="K1076" i="1"/>
  <c r="L1076" i="1"/>
  <c r="M1076" i="1"/>
  <c r="N1076" i="1"/>
  <c r="O1076" i="1"/>
  <c r="K1077" i="1"/>
  <c r="M1077" i="1" s="1"/>
  <c r="L1077" i="1"/>
  <c r="N1077" i="1"/>
  <c r="O1077" i="1"/>
  <c r="K1078" i="1"/>
  <c r="M1078" i="1" s="1"/>
  <c r="L1078" i="1"/>
  <c r="N1078" i="1"/>
  <c r="O1078" i="1"/>
  <c r="K1079" i="1"/>
  <c r="L1079" i="1"/>
  <c r="M1079" i="1"/>
  <c r="N1079" i="1"/>
  <c r="O1079" i="1"/>
  <c r="K1080" i="1"/>
  <c r="L1080" i="1"/>
  <c r="N1080" i="1"/>
  <c r="O1080" i="1"/>
  <c r="K1081" i="1"/>
  <c r="L1081" i="1"/>
  <c r="M1081" i="1" s="1"/>
  <c r="N1081" i="1"/>
  <c r="O1081" i="1"/>
  <c r="K1082" i="1"/>
  <c r="M1082" i="1" s="1"/>
  <c r="L1082" i="1"/>
  <c r="N1082" i="1"/>
  <c r="O1082" i="1"/>
  <c r="K1083" i="1"/>
  <c r="M1083" i="1" s="1"/>
  <c r="L1083" i="1"/>
  <c r="N1083" i="1"/>
  <c r="O1083" i="1"/>
  <c r="K1084" i="1"/>
  <c r="L1084" i="1"/>
  <c r="M1084" i="1"/>
  <c r="N1084" i="1"/>
  <c r="O1084" i="1"/>
  <c r="K1085" i="1"/>
  <c r="M1085" i="1" s="1"/>
  <c r="L1085" i="1"/>
  <c r="N1085" i="1"/>
  <c r="O1085" i="1"/>
  <c r="K1086" i="1"/>
  <c r="L1086" i="1"/>
  <c r="M1086" i="1"/>
  <c r="N1086" i="1"/>
  <c r="O1086" i="1"/>
  <c r="K1087" i="1"/>
  <c r="L1087" i="1"/>
  <c r="M1087" i="1"/>
  <c r="N1087" i="1"/>
  <c r="O1087" i="1"/>
  <c r="K1088" i="1"/>
  <c r="M1088" i="1" s="1"/>
  <c r="L1088" i="1"/>
  <c r="N1088" i="1"/>
  <c r="O1088" i="1"/>
  <c r="K1089" i="1"/>
  <c r="L1089" i="1"/>
  <c r="M1089" i="1"/>
  <c r="N1089" i="1"/>
  <c r="O1089" i="1"/>
  <c r="K1090" i="1"/>
  <c r="M1090" i="1" s="1"/>
  <c r="L1090" i="1"/>
  <c r="N1090" i="1"/>
  <c r="O1090" i="1"/>
  <c r="K1091" i="1"/>
  <c r="L1091" i="1"/>
  <c r="M1091" i="1"/>
  <c r="N1091" i="1"/>
  <c r="O1091" i="1"/>
  <c r="K1092" i="1"/>
  <c r="L1092" i="1"/>
  <c r="M1092" i="1"/>
  <c r="N1092" i="1"/>
  <c r="O1092" i="1"/>
  <c r="K1093" i="1"/>
  <c r="M1093" i="1" s="1"/>
  <c r="L1093" i="1"/>
  <c r="N1093" i="1"/>
  <c r="O1093" i="1"/>
  <c r="K1094" i="1"/>
  <c r="L1094" i="1"/>
  <c r="M1094" i="1"/>
  <c r="N1094" i="1"/>
  <c r="O1094" i="1"/>
  <c r="K1095" i="1"/>
  <c r="L1095" i="1"/>
  <c r="M1095" i="1"/>
  <c r="N1095" i="1"/>
  <c r="O1095" i="1"/>
  <c r="K1096" i="1"/>
  <c r="L1096" i="1"/>
  <c r="N1096" i="1"/>
  <c r="O1096" i="1"/>
  <c r="K1097" i="1"/>
  <c r="L1097" i="1"/>
  <c r="M1097" i="1"/>
  <c r="N1097" i="1"/>
  <c r="O1097" i="1"/>
  <c r="K1098" i="1"/>
  <c r="M1098" i="1" s="1"/>
  <c r="L1098" i="1"/>
  <c r="N1098" i="1"/>
  <c r="O1098" i="1"/>
  <c r="K1099" i="1"/>
  <c r="L1099" i="1"/>
  <c r="M1099" i="1"/>
  <c r="N1099" i="1"/>
  <c r="O1099" i="1"/>
  <c r="K1100" i="1"/>
  <c r="L1100" i="1"/>
  <c r="M1100" i="1"/>
  <c r="N1100" i="1"/>
  <c r="O1100" i="1"/>
  <c r="K1101" i="1"/>
  <c r="M1101" i="1" s="1"/>
  <c r="L1101" i="1"/>
  <c r="N1101" i="1"/>
  <c r="O1101" i="1"/>
  <c r="K1102" i="1"/>
  <c r="M1102" i="1" s="1"/>
  <c r="L1102" i="1"/>
  <c r="N1102" i="1"/>
  <c r="O1102" i="1"/>
  <c r="K1103" i="1"/>
  <c r="L1103" i="1"/>
  <c r="M1103" i="1"/>
  <c r="N1103" i="1"/>
  <c r="O1103" i="1"/>
  <c r="K1104" i="1"/>
  <c r="L1104" i="1"/>
  <c r="N1104" i="1"/>
  <c r="O1104" i="1"/>
  <c r="K1105" i="1"/>
  <c r="L1105" i="1"/>
  <c r="M1105" i="1"/>
  <c r="N1105" i="1"/>
  <c r="O1105" i="1"/>
  <c r="K1106" i="1"/>
  <c r="M1106" i="1" s="1"/>
  <c r="L1106" i="1"/>
  <c r="N1106" i="1"/>
  <c r="O1106" i="1"/>
  <c r="K1107" i="1"/>
  <c r="M1107" i="1" s="1"/>
  <c r="L1107" i="1"/>
  <c r="N1107" i="1"/>
  <c r="O1107" i="1"/>
  <c r="K1108" i="1"/>
  <c r="L1108" i="1"/>
  <c r="M1108" i="1"/>
  <c r="N1108" i="1"/>
  <c r="O1108" i="1"/>
  <c r="K1109" i="1"/>
  <c r="M1109" i="1" s="1"/>
  <c r="L1109" i="1"/>
  <c r="N1109" i="1"/>
  <c r="O1109" i="1"/>
  <c r="K1110" i="1"/>
  <c r="L1110" i="1"/>
  <c r="M1110" i="1"/>
  <c r="N1110" i="1"/>
  <c r="O1110" i="1"/>
  <c r="K1111" i="1"/>
  <c r="L1111" i="1"/>
  <c r="M1111" i="1"/>
  <c r="N1111" i="1"/>
  <c r="O1111" i="1"/>
  <c r="K1112" i="1"/>
  <c r="L1112" i="1"/>
  <c r="N1112" i="1"/>
  <c r="O1112" i="1"/>
  <c r="K1113" i="1"/>
  <c r="L1113" i="1"/>
  <c r="M1113" i="1"/>
  <c r="N1113" i="1"/>
  <c r="O1113" i="1"/>
  <c r="K1114" i="1"/>
  <c r="M1114" i="1" s="1"/>
  <c r="L1114" i="1"/>
  <c r="N1114" i="1"/>
  <c r="O1114" i="1"/>
  <c r="K1115" i="1"/>
  <c r="L1115" i="1"/>
  <c r="M1115" i="1"/>
  <c r="N1115" i="1"/>
  <c r="O1115" i="1"/>
  <c r="K1116" i="1"/>
  <c r="L1116" i="1"/>
  <c r="M1116" i="1"/>
  <c r="N1116" i="1"/>
  <c r="O1116" i="1"/>
  <c r="K1117" i="1"/>
  <c r="M1117" i="1" s="1"/>
  <c r="L1117" i="1"/>
  <c r="N1117" i="1"/>
  <c r="O1117" i="1"/>
  <c r="K1118" i="1"/>
  <c r="L1118" i="1"/>
  <c r="M1118" i="1"/>
  <c r="N1118" i="1"/>
  <c r="O1118" i="1"/>
  <c r="K1119" i="1"/>
  <c r="L1119" i="1"/>
  <c r="M1119" i="1"/>
  <c r="N1119" i="1"/>
  <c r="O1119" i="1"/>
  <c r="K1120" i="1"/>
  <c r="L1120" i="1"/>
  <c r="N1120" i="1"/>
  <c r="O1120" i="1"/>
  <c r="K1121" i="1"/>
  <c r="L1121" i="1"/>
  <c r="M1121" i="1" s="1"/>
  <c r="N1121" i="1"/>
  <c r="O1121" i="1"/>
  <c r="K1122" i="1"/>
  <c r="M1122" i="1" s="1"/>
  <c r="L1122" i="1"/>
  <c r="N1122" i="1"/>
  <c r="O1122" i="1"/>
  <c r="K1123" i="1"/>
  <c r="M1123" i="1" s="1"/>
  <c r="L1123" i="1"/>
  <c r="N1123" i="1"/>
  <c r="O1123" i="1"/>
  <c r="K1124" i="1"/>
  <c r="L1124" i="1"/>
  <c r="M1124" i="1"/>
  <c r="N1124" i="1"/>
  <c r="O1124" i="1"/>
  <c r="K1125" i="1"/>
  <c r="M1125" i="1" s="1"/>
  <c r="L1125" i="1"/>
  <c r="N1125" i="1"/>
  <c r="O1125" i="1"/>
  <c r="K1126" i="1"/>
  <c r="M1126" i="1" s="1"/>
  <c r="L1126" i="1"/>
  <c r="N1126" i="1"/>
  <c r="O1126" i="1"/>
  <c r="K1127" i="1"/>
  <c r="M1127" i="1" s="1"/>
  <c r="L1127" i="1"/>
  <c r="N1127" i="1"/>
  <c r="O1127" i="1"/>
  <c r="K1128" i="1"/>
  <c r="M1128" i="1" s="1"/>
  <c r="L1128" i="1"/>
  <c r="N1128" i="1"/>
  <c r="O1128" i="1"/>
  <c r="K1129" i="1"/>
  <c r="L1129" i="1"/>
  <c r="M1129" i="1"/>
  <c r="N1129" i="1"/>
  <c r="O1129" i="1"/>
  <c r="K1130" i="1"/>
  <c r="M1130" i="1" s="1"/>
  <c r="L1130" i="1"/>
  <c r="N1130" i="1"/>
  <c r="O1130" i="1"/>
  <c r="K1131" i="1"/>
  <c r="L1131" i="1"/>
  <c r="M1131" i="1"/>
  <c r="N1131" i="1"/>
  <c r="O1131" i="1"/>
  <c r="K1132" i="1"/>
  <c r="L1132" i="1"/>
  <c r="M1132" i="1"/>
  <c r="N1132" i="1"/>
  <c r="O1132" i="1"/>
  <c r="K1133" i="1"/>
  <c r="M1133" i="1" s="1"/>
  <c r="L1133" i="1"/>
  <c r="N1133" i="1"/>
  <c r="O1133" i="1"/>
  <c r="K1134" i="1"/>
  <c r="L1134" i="1"/>
  <c r="M1134" i="1"/>
  <c r="N1134" i="1"/>
  <c r="O1134" i="1"/>
  <c r="K1135" i="1"/>
  <c r="M1135" i="1" s="1"/>
  <c r="L1135" i="1"/>
  <c r="N1135" i="1"/>
  <c r="O1135" i="1"/>
  <c r="K1136" i="1"/>
  <c r="L1136" i="1"/>
  <c r="N1136" i="1"/>
  <c r="O1136" i="1"/>
  <c r="K1137" i="1"/>
  <c r="L1137" i="1"/>
  <c r="M1137" i="1" s="1"/>
  <c r="N1137" i="1"/>
  <c r="O1137" i="1"/>
  <c r="K1138" i="1"/>
  <c r="L1138" i="1"/>
  <c r="N1138" i="1"/>
  <c r="O1138" i="1"/>
  <c r="K1139" i="1"/>
  <c r="M1139" i="1" s="1"/>
  <c r="L1139" i="1"/>
  <c r="N1139" i="1"/>
  <c r="O1139" i="1"/>
  <c r="K1140" i="1"/>
  <c r="L1140" i="1"/>
  <c r="M1140" i="1"/>
  <c r="N1140" i="1"/>
  <c r="O1140" i="1"/>
  <c r="K1141" i="1"/>
  <c r="L1141" i="1"/>
  <c r="M1141" i="1"/>
  <c r="N1141" i="1"/>
  <c r="O1141" i="1"/>
  <c r="K1142" i="1"/>
  <c r="M1142" i="1" s="1"/>
  <c r="L1142" i="1"/>
  <c r="N1142" i="1"/>
  <c r="O1142" i="1"/>
  <c r="K1143" i="1"/>
  <c r="M1143" i="1" s="1"/>
  <c r="L1143" i="1"/>
  <c r="N1143" i="1"/>
  <c r="O1143" i="1"/>
  <c r="K1144" i="1"/>
  <c r="M1144" i="1" s="1"/>
  <c r="L1144" i="1"/>
  <c r="N1144" i="1"/>
  <c r="O1144" i="1"/>
  <c r="K1145" i="1"/>
  <c r="L1145" i="1"/>
  <c r="M1145" i="1"/>
  <c r="N1145" i="1"/>
  <c r="O1145" i="1"/>
  <c r="K1146" i="1"/>
  <c r="L1146" i="1"/>
  <c r="N1146" i="1"/>
  <c r="O1146" i="1"/>
  <c r="K1147" i="1"/>
  <c r="L1147" i="1"/>
  <c r="M1147" i="1"/>
  <c r="N1147" i="1"/>
  <c r="O1147" i="1"/>
  <c r="K1148" i="1"/>
  <c r="L1148" i="1"/>
  <c r="M1148" i="1"/>
  <c r="N1148" i="1"/>
  <c r="O1148" i="1"/>
  <c r="K1149" i="1"/>
  <c r="M1149" i="1" s="1"/>
  <c r="L1149" i="1"/>
  <c r="N1149" i="1"/>
  <c r="O1149" i="1"/>
  <c r="K1150" i="1"/>
  <c r="L1150" i="1"/>
  <c r="M1150" i="1"/>
  <c r="N1150" i="1"/>
  <c r="O1150" i="1"/>
  <c r="K1151" i="1"/>
  <c r="M1151" i="1" s="1"/>
  <c r="L1151" i="1"/>
  <c r="N1151" i="1"/>
  <c r="O1151" i="1"/>
  <c r="K1152" i="1"/>
  <c r="L1152" i="1"/>
  <c r="N1152" i="1"/>
  <c r="O1152" i="1"/>
  <c r="K1153" i="1"/>
  <c r="L1153" i="1"/>
  <c r="M1153" i="1"/>
  <c r="N1153" i="1"/>
  <c r="O1153" i="1"/>
  <c r="K1154" i="1"/>
  <c r="L1154" i="1"/>
  <c r="N1154" i="1"/>
  <c r="O1154" i="1"/>
  <c r="K1155" i="1"/>
  <c r="L1155" i="1"/>
  <c r="M1155" i="1"/>
  <c r="N1155" i="1"/>
  <c r="O1155" i="1"/>
  <c r="K1156" i="1"/>
  <c r="L1156" i="1"/>
  <c r="M1156" i="1"/>
  <c r="N1156" i="1"/>
  <c r="O1156" i="1"/>
  <c r="K1157" i="1"/>
  <c r="L1157" i="1"/>
  <c r="M1157" i="1"/>
  <c r="N1157" i="1"/>
  <c r="O1157" i="1"/>
  <c r="K1158" i="1"/>
  <c r="L1158" i="1"/>
  <c r="M1158" i="1"/>
  <c r="N1158" i="1"/>
  <c r="O1158" i="1"/>
  <c r="K1159" i="1"/>
  <c r="M1159" i="1" s="1"/>
  <c r="L1159" i="1"/>
  <c r="N1159" i="1"/>
  <c r="O1159" i="1"/>
  <c r="K1160" i="1"/>
  <c r="L1160" i="1"/>
  <c r="N1160" i="1"/>
  <c r="O1160" i="1"/>
  <c r="K1161" i="1"/>
  <c r="M1161" i="1" s="1"/>
  <c r="L1161" i="1"/>
  <c r="N1161" i="1"/>
  <c r="O1161" i="1"/>
  <c r="K1162" i="1"/>
  <c r="L1162" i="1"/>
  <c r="N1162" i="1"/>
  <c r="O1162" i="1"/>
  <c r="K1163" i="1"/>
  <c r="M1163" i="1" s="1"/>
  <c r="L1163" i="1"/>
  <c r="N1163" i="1"/>
  <c r="O1163" i="1"/>
  <c r="K1164" i="1"/>
  <c r="L1164" i="1"/>
  <c r="M1164" i="1"/>
  <c r="N1164" i="1"/>
  <c r="O1164" i="1"/>
  <c r="K1165" i="1"/>
  <c r="L1165" i="1"/>
  <c r="M1165" i="1"/>
  <c r="N1165" i="1"/>
  <c r="O1165" i="1"/>
  <c r="K1166" i="1"/>
  <c r="M1166" i="1" s="1"/>
  <c r="L1166" i="1"/>
  <c r="N1166" i="1"/>
  <c r="O1166" i="1"/>
  <c r="K1167" i="1"/>
  <c r="L1167" i="1"/>
  <c r="M1167" i="1"/>
  <c r="N1167" i="1"/>
  <c r="O1167" i="1"/>
  <c r="K1168" i="1"/>
  <c r="M1168" i="1" s="1"/>
  <c r="L1168" i="1"/>
  <c r="N1168" i="1"/>
  <c r="O1168" i="1"/>
  <c r="K1169" i="1"/>
  <c r="L1169" i="1"/>
  <c r="M1169" i="1"/>
  <c r="N1169" i="1"/>
  <c r="O1169" i="1"/>
  <c r="K1170" i="1"/>
  <c r="L1170" i="1"/>
  <c r="N1170" i="1"/>
  <c r="O1170" i="1"/>
  <c r="K1171" i="1"/>
  <c r="M1171" i="1" s="1"/>
  <c r="L1171" i="1"/>
  <c r="N1171" i="1"/>
  <c r="O1171" i="1"/>
  <c r="K1172" i="1"/>
  <c r="L1172" i="1"/>
  <c r="M1172" i="1"/>
  <c r="N1172" i="1"/>
  <c r="O1172" i="1"/>
  <c r="K1173" i="1"/>
  <c r="M1173" i="1" s="1"/>
  <c r="L1173" i="1"/>
  <c r="N1173" i="1"/>
  <c r="O1173" i="1"/>
  <c r="K1174" i="1"/>
  <c r="L1174" i="1"/>
  <c r="M1174" i="1"/>
  <c r="N1174" i="1"/>
  <c r="O1174" i="1"/>
  <c r="K1175" i="1"/>
  <c r="L1175" i="1"/>
  <c r="M1175" i="1"/>
  <c r="N1175" i="1"/>
  <c r="O1175" i="1"/>
  <c r="K1176" i="1"/>
  <c r="M1176" i="1" s="1"/>
  <c r="L1176" i="1"/>
  <c r="N1176" i="1"/>
  <c r="O1176" i="1"/>
  <c r="K1177" i="1"/>
  <c r="L1177" i="1"/>
  <c r="M1177" i="1"/>
  <c r="N1177" i="1"/>
  <c r="O1177" i="1"/>
  <c r="K1178" i="1"/>
  <c r="M1178" i="1" s="1"/>
  <c r="L1178" i="1"/>
  <c r="N1178" i="1"/>
  <c r="O1178" i="1"/>
  <c r="K1179" i="1"/>
  <c r="L1179" i="1"/>
  <c r="M1179" i="1"/>
  <c r="N1179" i="1"/>
  <c r="O1179" i="1"/>
  <c r="K1180" i="1"/>
  <c r="L1180" i="1"/>
  <c r="M1180" i="1"/>
  <c r="N1180" i="1"/>
  <c r="O1180" i="1"/>
  <c r="K1181" i="1"/>
  <c r="M1181" i="1" s="1"/>
  <c r="L1181" i="1"/>
  <c r="N1181" i="1"/>
  <c r="O1181" i="1"/>
  <c r="K1182" i="1"/>
  <c r="L1182" i="1"/>
  <c r="M1182" i="1"/>
  <c r="N1182" i="1"/>
  <c r="O1182" i="1"/>
  <c r="K1183" i="1"/>
  <c r="M1183" i="1" s="1"/>
  <c r="L1183" i="1"/>
  <c r="N1183" i="1"/>
  <c r="O1183" i="1"/>
  <c r="K1184" i="1"/>
  <c r="L1184" i="1"/>
  <c r="N1184" i="1"/>
  <c r="O1184" i="1"/>
  <c r="K1185" i="1"/>
  <c r="L1185" i="1"/>
  <c r="M1185" i="1"/>
  <c r="N1185" i="1"/>
  <c r="O1185" i="1"/>
  <c r="K1186" i="1"/>
  <c r="L1186" i="1"/>
  <c r="N1186" i="1"/>
  <c r="O1186" i="1"/>
  <c r="K1187" i="1"/>
  <c r="L1187" i="1"/>
  <c r="M1187" i="1"/>
  <c r="N1187" i="1"/>
  <c r="O1187" i="1"/>
  <c r="K1188" i="1"/>
  <c r="L1188" i="1"/>
  <c r="M1188" i="1" s="1"/>
  <c r="N1188" i="1"/>
  <c r="O1188" i="1"/>
  <c r="K1189" i="1"/>
  <c r="L1189" i="1"/>
  <c r="M1189" i="1"/>
  <c r="N1189" i="1"/>
  <c r="O1189" i="1"/>
  <c r="K1190" i="1"/>
  <c r="L1190" i="1"/>
  <c r="M1190" i="1"/>
  <c r="N1190" i="1"/>
  <c r="O1190" i="1"/>
  <c r="K1191" i="1"/>
  <c r="M1191" i="1" s="1"/>
  <c r="L1191" i="1"/>
  <c r="N1191" i="1"/>
  <c r="O1191" i="1"/>
  <c r="K1192" i="1"/>
  <c r="L1192" i="1"/>
  <c r="N1192" i="1"/>
  <c r="O1192" i="1"/>
  <c r="K1193" i="1"/>
  <c r="M1193" i="1" s="1"/>
  <c r="L1193" i="1"/>
  <c r="N1193" i="1"/>
  <c r="O1193" i="1"/>
  <c r="K1194" i="1"/>
  <c r="L1194" i="1"/>
  <c r="N1194" i="1"/>
  <c r="O1194" i="1"/>
  <c r="K1195" i="1"/>
  <c r="M1195" i="1" s="1"/>
  <c r="L1195" i="1"/>
  <c r="N1195" i="1"/>
  <c r="O1195" i="1"/>
  <c r="K1196" i="1"/>
  <c r="L1196" i="1"/>
  <c r="M1196" i="1"/>
  <c r="N1196" i="1"/>
  <c r="O1196" i="1"/>
  <c r="K1197" i="1"/>
  <c r="L1197" i="1"/>
  <c r="M1197" i="1"/>
  <c r="N1197" i="1"/>
  <c r="O1197" i="1"/>
  <c r="K1198" i="1"/>
  <c r="M1198" i="1" s="1"/>
  <c r="L1198" i="1"/>
  <c r="N1198" i="1"/>
  <c r="O1198" i="1"/>
  <c r="K1199" i="1"/>
  <c r="L1199" i="1"/>
  <c r="M1199" i="1"/>
  <c r="N1199" i="1"/>
  <c r="O1199" i="1"/>
  <c r="K1200" i="1"/>
  <c r="M1200" i="1" s="1"/>
  <c r="L1200" i="1"/>
  <c r="N1200" i="1"/>
  <c r="O1200" i="1"/>
  <c r="K1201" i="1"/>
  <c r="L1201" i="1"/>
  <c r="M1201" i="1"/>
  <c r="N1201" i="1"/>
  <c r="O1201" i="1"/>
  <c r="K1202" i="1"/>
  <c r="L1202" i="1"/>
  <c r="N1202" i="1"/>
  <c r="O1202" i="1"/>
  <c r="K1203" i="1"/>
  <c r="M1203" i="1" s="1"/>
  <c r="L1203" i="1"/>
  <c r="N1203" i="1"/>
  <c r="O1203" i="1"/>
  <c r="K1204" i="1"/>
  <c r="L1204" i="1"/>
  <c r="M1204" i="1"/>
  <c r="N1204" i="1"/>
  <c r="O1204" i="1"/>
  <c r="K1205" i="1"/>
  <c r="M1205" i="1" s="1"/>
  <c r="L1205" i="1"/>
  <c r="N1205" i="1"/>
  <c r="O1205" i="1"/>
  <c r="K1206" i="1"/>
  <c r="L1206" i="1"/>
  <c r="M1206" i="1"/>
  <c r="N1206" i="1"/>
  <c r="O1206" i="1"/>
  <c r="K1207" i="1"/>
  <c r="L1207" i="1"/>
  <c r="M1207" i="1"/>
  <c r="N1207" i="1"/>
  <c r="O1207" i="1"/>
  <c r="K1208" i="1"/>
  <c r="M1208" i="1" s="1"/>
  <c r="L1208" i="1"/>
  <c r="N1208" i="1"/>
  <c r="O1208" i="1"/>
  <c r="K1209" i="1"/>
  <c r="L1209" i="1"/>
  <c r="M1209" i="1"/>
  <c r="N1209" i="1"/>
  <c r="O1209" i="1"/>
  <c r="K1210" i="1"/>
  <c r="M1210" i="1" s="1"/>
  <c r="L1210" i="1"/>
  <c r="N1210" i="1"/>
  <c r="O1210" i="1"/>
  <c r="K1211" i="1"/>
  <c r="L1211" i="1"/>
  <c r="M1211" i="1"/>
  <c r="N1211" i="1"/>
  <c r="O1211" i="1"/>
  <c r="K1212" i="1"/>
  <c r="L1212" i="1"/>
  <c r="M1212" i="1"/>
  <c r="N1212" i="1"/>
  <c r="O1212" i="1"/>
  <c r="K1213" i="1"/>
  <c r="M1213" i="1" s="1"/>
  <c r="L1213" i="1"/>
  <c r="N1213" i="1"/>
  <c r="O1213" i="1"/>
  <c r="K1214" i="1"/>
  <c r="L1214" i="1"/>
  <c r="M1214" i="1"/>
  <c r="N1214" i="1"/>
  <c r="O1214" i="1"/>
  <c r="K1215" i="1"/>
  <c r="M1215" i="1" s="1"/>
  <c r="L1215" i="1"/>
  <c r="N1215" i="1"/>
  <c r="O1215" i="1"/>
  <c r="K1216" i="1"/>
  <c r="L1216" i="1"/>
  <c r="N1216" i="1"/>
  <c r="O1216" i="1"/>
  <c r="K1217" i="1"/>
  <c r="L1217" i="1"/>
  <c r="M1217" i="1"/>
  <c r="N1217" i="1"/>
  <c r="O1217" i="1"/>
  <c r="K1218" i="1"/>
  <c r="L1218" i="1"/>
  <c r="N1218" i="1"/>
  <c r="O1218" i="1"/>
  <c r="K1219" i="1"/>
  <c r="L1219" i="1"/>
  <c r="M1219" i="1"/>
  <c r="N1219" i="1"/>
  <c r="O1219" i="1"/>
  <c r="K1220" i="1"/>
  <c r="L1220" i="1"/>
  <c r="M1220" i="1" s="1"/>
  <c r="N1220" i="1"/>
  <c r="O1220" i="1"/>
  <c r="K1221" i="1"/>
  <c r="L1221" i="1"/>
  <c r="M1221" i="1"/>
  <c r="N1221" i="1"/>
  <c r="O1221" i="1"/>
  <c r="K1222" i="1"/>
  <c r="L1222" i="1"/>
  <c r="M1222" i="1"/>
  <c r="N1222" i="1"/>
  <c r="O1222" i="1"/>
  <c r="K1223" i="1"/>
  <c r="M1223" i="1" s="1"/>
  <c r="L1223" i="1"/>
  <c r="N1223" i="1"/>
  <c r="O1223" i="1"/>
  <c r="K1224" i="1"/>
  <c r="L1224" i="1"/>
  <c r="N1224" i="1"/>
  <c r="O1224" i="1"/>
  <c r="K1225" i="1"/>
  <c r="M1225" i="1" s="1"/>
  <c r="L1225" i="1"/>
  <c r="N1225" i="1"/>
  <c r="O1225" i="1"/>
  <c r="K1226" i="1"/>
  <c r="L1226" i="1"/>
  <c r="N1226" i="1"/>
  <c r="O1226" i="1"/>
  <c r="K1227" i="1"/>
  <c r="M1227" i="1" s="1"/>
  <c r="L1227" i="1"/>
  <c r="N1227" i="1"/>
  <c r="O1227" i="1"/>
  <c r="K1228" i="1"/>
  <c r="L1228" i="1"/>
  <c r="M1228" i="1"/>
  <c r="N1228" i="1"/>
  <c r="O1228" i="1"/>
  <c r="K1229" i="1"/>
  <c r="L1229" i="1"/>
  <c r="M1229" i="1"/>
  <c r="N1229" i="1"/>
  <c r="O1229" i="1"/>
  <c r="K1230" i="1"/>
  <c r="M1230" i="1" s="1"/>
  <c r="L1230" i="1"/>
  <c r="N1230" i="1"/>
  <c r="O1230" i="1"/>
  <c r="K1231" i="1"/>
  <c r="L1231" i="1"/>
  <c r="M1231" i="1"/>
  <c r="N1231" i="1"/>
  <c r="O1231" i="1"/>
  <c r="K1232" i="1"/>
  <c r="L1232" i="1"/>
  <c r="N1232" i="1"/>
  <c r="O1232" i="1"/>
  <c r="K1233" i="1"/>
  <c r="L1233" i="1"/>
  <c r="M1233" i="1"/>
  <c r="N1233" i="1"/>
  <c r="O1233" i="1"/>
  <c r="K1234" i="1"/>
  <c r="L1234" i="1"/>
  <c r="N1234" i="1"/>
  <c r="O1234" i="1"/>
  <c r="K1235" i="1"/>
  <c r="M1235" i="1" s="1"/>
  <c r="L1235" i="1"/>
  <c r="N1235" i="1"/>
  <c r="O1235" i="1"/>
  <c r="K1236" i="1"/>
  <c r="L1236" i="1"/>
  <c r="M1236" i="1"/>
  <c r="N1236" i="1"/>
  <c r="O1236" i="1"/>
  <c r="K1237" i="1"/>
  <c r="M1237" i="1" s="1"/>
  <c r="L1237" i="1"/>
  <c r="N1237" i="1"/>
  <c r="O1237" i="1"/>
  <c r="K1238" i="1"/>
  <c r="L1238" i="1"/>
  <c r="M1238" i="1"/>
  <c r="N1238" i="1"/>
  <c r="O1238" i="1"/>
  <c r="K1239" i="1"/>
  <c r="L1239" i="1"/>
  <c r="M1239" i="1"/>
  <c r="N1239" i="1"/>
  <c r="O1239" i="1"/>
  <c r="K1240" i="1"/>
  <c r="M1240" i="1" s="1"/>
  <c r="L1240" i="1"/>
  <c r="N1240" i="1"/>
  <c r="O1240" i="1"/>
  <c r="K1241" i="1"/>
  <c r="L1241" i="1"/>
  <c r="M1241" i="1"/>
  <c r="N1241" i="1"/>
  <c r="O1241" i="1"/>
  <c r="K1242" i="1"/>
  <c r="M1242" i="1" s="1"/>
  <c r="L1242" i="1"/>
  <c r="N1242" i="1"/>
  <c r="O1242" i="1"/>
  <c r="K1243" i="1"/>
  <c r="L1243" i="1"/>
  <c r="M1243" i="1"/>
  <c r="N1243" i="1"/>
  <c r="O1243" i="1"/>
  <c r="K1244" i="1"/>
  <c r="L1244" i="1"/>
  <c r="M1244" i="1"/>
  <c r="N1244" i="1"/>
  <c r="O1244" i="1"/>
  <c r="K1245" i="1"/>
  <c r="M1245" i="1" s="1"/>
  <c r="L1245" i="1"/>
  <c r="N1245" i="1"/>
  <c r="O1245" i="1"/>
  <c r="K1246" i="1"/>
  <c r="L1246" i="1"/>
  <c r="M1246" i="1"/>
  <c r="N1246" i="1"/>
  <c r="O1246" i="1"/>
  <c r="K1247" i="1"/>
  <c r="M1247" i="1" s="1"/>
  <c r="L1247" i="1"/>
  <c r="N1247" i="1"/>
  <c r="O1247" i="1"/>
  <c r="K1248" i="1"/>
  <c r="L1248" i="1"/>
  <c r="N1248" i="1"/>
  <c r="O1248" i="1"/>
  <c r="K1249" i="1"/>
  <c r="L1249" i="1"/>
  <c r="M1249" i="1"/>
  <c r="N1249" i="1"/>
  <c r="O1249" i="1"/>
  <c r="K1250" i="1"/>
  <c r="L1250" i="1"/>
  <c r="N1250" i="1"/>
  <c r="O1250" i="1"/>
  <c r="K1251" i="1"/>
  <c r="L1251" i="1"/>
  <c r="M1251" i="1"/>
  <c r="N1251" i="1"/>
  <c r="O1251" i="1"/>
  <c r="K1252" i="1"/>
  <c r="L1252" i="1"/>
  <c r="M1252" i="1" s="1"/>
  <c r="N1252" i="1"/>
  <c r="O1252" i="1"/>
  <c r="K1253" i="1"/>
  <c r="L1253" i="1"/>
  <c r="M1253" i="1"/>
  <c r="N1253" i="1"/>
  <c r="O1253" i="1"/>
  <c r="K1254" i="1"/>
  <c r="L1254" i="1"/>
  <c r="M1254" i="1"/>
  <c r="N1254" i="1"/>
  <c r="O1254" i="1"/>
  <c r="K1255" i="1"/>
  <c r="M1255" i="1" s="1"/>
  <c r="L1255" i="1"/>
  <c r="N1255" i="1"/>
  <c r="O1255" i="1"/>
  <c r="K1256" i="1"/>
  <c r="L1256" i="1"/>
  <c r="M1256" i="1"/>
  <c r="N1256" i="1"/>
  <c r="O1256" i="1"/>
  <c r="K1257" i="1"/>
  <c r="M1257" i="1" s="1"/>
  <c r="L1257" i="1"/>
  <c r="N1257" i="1"/>
  <c r="O1257" i="1"/>
  <c r="K1258" i="1"/>
  <c r="L1258" i="1"/>
  <c r="N1258" i="1"/>
  <c r="O1258" i="1"/>
  <c r="K1259" i="1"/>
  <c r="L1259" i="1"/>
  <c r="M1259" i="1"/>
  <c r="N1259" i="1"/>
  <c r="O1259" i="1"/>
  <c r="K1260" i="1"/>
  <c r="L1260" i="1"/>
  <c r="M1260" i="1" s="1"/>
  <c r="N1260" i="1"/>
  <c r="O1260" i="1"/>
  <c r="K1261" i="1"/>
  <c r="L1261" i="1"/>
  <c r="M1261" i="1"/>
  <c r="N1261" i="1"/>
  <c r="O1261" i="1"/>
  <c r="K1262" i="1"/>
  <c r="M1262" i="1" s="1"/>
  <c r="L1262" i="1"/>
  <c r="N1262" i="1"/>
  <c r="O1262" i="1"/>
  <c r="K1263" i="1"/>
  <c r="L1263" i="1"/>
  <c r="M1263" i="1"/>
  <c r="N1263" i="1"/>
  <c r="O1263" i="1"/>
  <c r="K1264" i="1"/>
  <c r="L1264" i="1"/>
  <c r="M1264" i="1"/>
  <c r="N1264" i="1"/>
  <c r="O1264" i="1"/>
  <c r="K1265" i="1"/>
  <c r="M1265" i="1" s="1"/>
  <c r="L1265" i="1"/>
  <c r="N1265" i="1"/>
  <c r="O1265" i="1"/>
  <c r="K1266" i="1"/>
  <c r="L1266" i="1"/>
  <c r="N1266" i="1"/>
  <c r="O1266" i="1"/>
  <c r="K1267" i="1"/>
  <c r="M1267" i="1" s="1"/>
  <c r="L1267" i="1"/>
  <c r="N1267" i="1"/>
  <c r="O1267" i="1"/>
  <c r="K1268" i="1"/>
  <c r="L1268" i="1"/>
  <c r="M1268" i="1"/>
  <c r="N1268" i="1"/>
  <c r="O1268" i="1"/>
  <c r="K1269" i="1"/>
  <c r="L1269" i="1"/>
  <c r="M1269" i="1"/>
  <c r="N1269" i="1"/>
  <c r="O1269" i="1"/>
  <c r="K1270" i="1"/>
  <c r="M1270" i="1" s="1"/>
  <c r="L1270" i="1"/>
  <c r="N1270" i="1"/>
  <c r="O1270" i="1"/>
  <c r="K1271" i="1"/>
  <c r="L1271" i="1"/>
  <c r="M1271" i="1"/>
  <c r="N1271" i="1"/>
  <c r="O1271" i="1"/>
  <c r="K1272" i="1"/>
  <c r="L1272" i="1"/>
  <c r="M1272" i="1"/>
  <c r="N1272" i="1"/>
  <c r="O1272" i="1"/>
  <c r="K1273" i="1"/>
  <c r="M1273" i="1" s="1"/>
  <c r="L1273" i="1"/>
  <c r="N1273" i="1"/>
  <c r="O1273" i="1"/>
  <c r="K1274" i="1"/>
  <c r="L1274" i="1"/>
  <c r="N1274" i="1"/>
  <c r="O1274" i="1"/>
  <c r="K1275" i="1"/>
  <c r="M1275" i="1" s="1"/>
  <c r="L1275" i="1"/>
  <c r="N1275" i="1"/>
  <c r="O1275" i="1"/>
  <c r="K1276" i="1"/>
  <c r="L1276" i="1"/>
  <c r="M1276" i="1"/>
  <c r="N1276" i="1"/>
  <c r="O1276" i="1"/>
  <c r="K1277" i="1"/>
  <c r="L1277" i="1"/>
  <c r="M1277" i="1"/>
  <c r="N1277" i="1"/>
  <c r="O1277" i="1"/>
  <c r="K1278" i="1"/>
  <c r="M1278" i="1" s="1"/>
  <c r="L1278" i="1"/>
  <c r="N1278" i="1"/>
  <c r="O1278" i="1"/>
  <c r="K1279" i="1"/>
  <c r="L1279" i="1"/>
  <c r="M1279" i="1"/>
  <c r="N1279" i="1"/>
  <c r="O1279" i="1"/>
  <c r="K1280" i="1"/>
  <c r="M1280" i="1" s="1"/>
  <c r="L1280" i="1"/>
  <c r="N1280" i="1"/>
  <c r="O1280" i="1"/>
  <c r="K1281" i="1"/>
  <c r="L1281" i="1"/>
  <c r="M1281" i="1"/>
  <c r="N1281" i="1"/>
  <c r="O1281" i="1"/>
  <c r="K1282" i="1"/>
  <c r="L1282" i="1"/>
  <c r="N1282" i="1"/>
  <c r="O1282" i="1"/>
  <c r="K1283" i="1"/>
  <c r="M1283" i="1" s="1"/>
  <c r="L1283" i="1"/>
  <c r="N1283" i="1"/>
  <c r="O1283" i="1"/>
  <c r="K1284" i="1"/>
  <c r="L1284" i="1"/>
  <c r="M1284" i="1"/>
  <c r="N1284" i="1"/>
  <c r="O1284" i="1"/>
  <c r="K1285" i="1"/>
  <c r="M1285" i="1" s="1"/>
  <c r="L1285" i="1"/>
  <c r="N1285" i="1"/>
  <c r="O1285" i="1"/>
  <c r="K1286" i="1"/>
  <c r="L1286" i="1"/>
  <c r="M1286" i="1"/>
  <c r="N1286" i="1"/>
  <c r="O1286" i="1"/>
  <c r="K1287" i="1"/>
  <c r="L1287" i="1"/>
  <c r="M1287" i="1"/>
  <c r="N1287" i="1"/>
  <c r="O1287" i="1"/>
  <c r="K1288" i="1"/>
  <c r="M1288" i="1" s="1"/>
  <c r="L1288" i="1"/>
  <c r="N1288" i="1"/>
  <c r="O1288" i="1"/>
  <c r="K1289" i="1"/>
  <c r="L1289" i="1"/>
  <c r="M1289" i="1"/>
  <c r="N1289" i="1"/>
  <c r="O1289" i="1"/>
  <c r="K1290" i="1"/>
  <c r="L1290" i="1"/>
  <c r="N1290" i="1"/>
  <c r="O1290" i="1"/>
  <c r="K1291" i="1"/>
  <c r="L1291" i="1"/>
  <c r="M1291" i="1"/>
  <c r="N1291" i="1"/>
  <c r="O1291" i="1"/>
  <c r="K1292" i="1"/>
  <c r="L1292" i="1"/>
  <c r="M1292" i="1"/>
  <c r="N1292" i="1"/>
  <c r="O1292" i="1"/>
  <c r="K1293" i="1"/>
  <c r="M1293" i="1" s="1"/>
  <c r="L1293" i="1"/>
  <c r="N1293" i="1"/>
  <c r="O1293" i="1"/>
  <c r="K1294" i="1"/>
  <c r="L1294" i="1"/>
  <c r="M1294" i="1"/>
  <c r="N1294" i="1"/>
  <c r="O1294" i="1"/>
  <c r="K1295" i="1"/>
  <c r="L1295" i="1"/>
  <c r="M1295" i="1"/>
  <c r="N1295" i="1"/>
  <c r="O1295" i="1"/>
  <c r="K1296" i="1"/>
  <c r="M1296" i="1" s="1"/>
  <c r="L1296" i="1"/>
  <c r="N1296" i="1"/>
  <c r="O1296" i="1"/>
  <c r="K1297" i="1"/>
  <c r="L1297" i="1"/>
  <c r="M1297" i="1"/>
  <c r="N1297" i="1"/>
  <c r="O1297" i="1"/>
  <c r="K1298" i="1"/>
  <c r="M1298" i="1" s="1"/>
  <c r="L1298" i="1"/>
  <c r="N1298" i="1"/>
  <c r="O1298" i="1"/>
  <c r="K1299" i="1"/>
  <c r="L1299" i="1"/>
  <c r="M1299" i="1"/>
  <c r="N1299" i="1"/>
  <c r="O1299" i="1"/>
  <c r="K1300" i="1"/>
  <c r="L1300" i="1"/>
  <c r="M1300" i="1"/>
  <c r="N1300" i="1"/>
  <c r="O1300" i="1"/>
  <c r="K1301" i="1"/>
  <c r="M1301" i="1" s="1"/>
  <c r="L1301" i="1"/>
  <c r="N1301" i="1"/>
  <c r="O1301" i="1"/>
  <c r="K1302" i="1"/>
  <c r="L1302" i="1"/>
  <c r="M1302" i="1"/>
  <c r="N1302" i="1"/>
  <c r="O1302" i="1"/>
  <c r="K1303" i="1"/>
  <c r="M1303" i="1" s="1"/>
  <c r="L1303" i="1"/>
  <c r="N1303" i="1"/>
  <c r="O1303" i="1"/>
  <c r="K1304" i="1"/>
  <c r="L1304" i="1"/>
  <c r="M1304" i="1"/>
  <c r="N1304" i="1"/>
  <c r="O1304" i="1"/>
  <c r="K1305" i="1"/>
  <c r="L1305" i="1"/>
  <c r="M1305" i="1"/>
  <c r="N1305" i="1"/>
  <c r="O1305" i="1"/>
  <c r="K1306" i="1"/>
  <c r="M1306" i="1" s="1"/>
  <c r="L1306" i="1"/>
  <c r="N1306" i="1"/>
  <c r="O1306" i="1"/>
  <c r="K1307" i="1"/>
  <c r="L1307" i="1"/>
  <c r="M1307" i="1"/>
  <c r="N1307" i="1"/>
  <c r="O1307" i="1"/>
  <c r="K1308" i="1"/>
  <c r="L1308" i="1"/>
  <c r="M1308" i="1"/>
  <c r="N1308" i="1"/>
  <c r="O1308" i="1"/>
  <c r="K1309" i="1"/>
  <c r="L1309" i="1"/>
  <c r="M1309" i="1"/>
  <c r="N1309" i="1"/>
  <c r="O1309" i="1"/>
  <c r="K1310" i="1"/>
  <c r="L1310" i="1"/>
  <c r="M1310" i="1"/>
  <c r="N1310" i="1"/>
  <c r="O1310" i="1"/>
  <c r="K1311" i="1"/>
  <c r="M1311" i="1" s="1"/>
  <c r="L1311" i="1"/>
  <c r="N1311" i="1"/>
  <c r="O1311" i="1"/>
  <c r="K1312" i="1"/>
  <c r="L1312" i="1"/>
  <c r="M1312" i="1"/>
  <c r="N1312" i="1"/>
  <c r="O1312" i="1"/>
  <c r="K1313" i="1"/>
  <c r="L1313" i="1"/>
  <c r="M1313" i="1" s="1"/>
  <c r="N1313" i="1"/>
  <c r="O1313" i="1"/>
  <c r="K1314" i="1"/>
  <c r="L1314" i="1"/>
  <c r="N1314" i="1"/>
  <c r="O1314" i="1"/>
  <c r="K1315" i="1"/>
  <c r="L1315" i="1"/>
  <c r="M1315" i="1"/>
  <c r="N1315" i="1"/>
  <c r="O1315" i="1"/>
  <c r="K1316" i="1"/>
  <c r="L1316" i="1"/>
  <c r="M1316" i="1" s="1"/>
  <c r="N1316" i="1"/>
  <c r="O1316" i="1"/>
  <c r="K1317" i="1"/>
  <c r="L1317" i="1"/>
  <c r="M1317" i="1"/>
  <c r="N1317" i="1"/>
  <c r="O1317" i="1"/>
  <c r="K1318" i="1"/>
  <c r="L1318" i="1"/>
  <c r="M1318" i="1"/>
  <c r="N1318" i="1"/>
  <c r="O1318" i="1"/>
  <c r="K1319" i="1"/>
  <c r="M1319" i="1" s="1"/>
  <c r="L1319" i="1"/>
  <c r="N1319" i="1"/>
  <c r="O1319" i="1"/>
  <c r="K1320" i="1"/>
  <c r="L1320" i="1"/>
  <c r="M1320" i="1"/>
  <c r="N1320" i="1"/>
  <c r="O1320" i="1"/>
  <c r="M1186" i="1" l="1"/>
  <c r="M1154" i="1"/>
  <c r="M856" i="1"/>
  <c r="M698" i="1"/>
  <c r="M592" i="1"/>
  <c r="M1184" i="1"/>
  <c r="M653" i="1"/>
  <c r="M599" i="1"/>
  <c r="M349" i="1"/>
  <c r="M263" i="1"/>
  <c r="M1226" i="1"/>
  <c r="M840" i="1"/>
  <c r="M146" i="1"/>
  <c r="M87" i="1"/>
  <c r="M37" i="1"/>
  <c r="M1274" i="1"/>
  <c r="M1224" i="1"/>
  <c r="M1192" i="1"/>
  <c r="M1160" i="1"/>
  <c r="M1136" i="1"/>
  <c r="M1120" i="1"/>
  <c r="M1056" i="1"/>
  <c r="M992" i="1"/>
  <c r="M928" i="1"/>
  <c r="M864" i="1"/>
  <c r="M782" i="1"/>
  <c r="M671" i="1"/>
  <c r="M604" i="1"/>
  <c r="M541" i="1"/>
  <c r="M455" i="1"/>
  <c r="M356" i="1"/>
  <c r="M285" i="1"/>
  <c r="M215" i="1"/>
  <c r="M165" i="1"/>
  <c r="M104" i="1"/>
  <c r="M1218" i="1"/>
  <c r="M506" i="1"/>
  <c r="M248" i="1"/>
  <c r="M1258" i="1"/>
  <c r="M1194" i="1"/>
  <c r="M1162" i="1"/>
  <c r="M1138" i="1"/>
  <c r="M1032" i="1"/>
  <c r="M814" i="1"/>
  <c r="M332" i="1"/>
  <c r="M18" i="1"/>
  <c r="M1282" i="1"/>
  <c r="M1234" i="1"/>
  <c r="M1202" i="1"/>
  <c r="M1170" i="1"/>
  <c r="M1080" i="1"/>
  <c r="M1016" i="1"/>
  <c r="M952" i="1"/>
  <c r="M888" i="1"/>
  <c r="M750" i="1"/>
  <c r="M378" i="1"/>
  <c r="M268" i="1"/>
  <c r="M232" i="1"/>
  <c r="M1048" i="1"/>
  <c r="M984" i="1"/>
  <c r="M396" i="1"/>
  <c r="M135" i="1"/>
  <c r="M1248" i="1"/>
  <c r="M1216" i="1"/>
  <c r="M1152" i="1"/>
  <c r="M1072" i="1"/>
  <c r="M1008" i="1"/>
  <c r="M944" i="1"/>
  <c r="M880" i="1"/>
  <c r="M664" i="1"/>
  <c r="M1266" i="1"/>
  <c r="M1096" i="1"/>
  <c r="M904" i="1"/>
  <c r="M588" i="1"/>
  <c r="M1290" i="1"/>
  <c r="M1232" i="1"/>
  <c r="M1146" i="1"/>
  <c r="M1104" i="1"/>
  <c r="M1040" i="1"/>
  <c r="M976" i="1"/>
  <c r="M912" i="1"/>
  <c r="M848" i="1"/>
  <c r="M822" i="1"/>
  <c r="M794" i="1"/>
  <c r="M718" i="1"/>
  <c r="M620" i="1"/>
  <c r="M548" i="1"/>
  <c r="M477" i="1"/>
  <c r="M391" i="1"/>
  <c r="M292" i="1"/>
  <c r="M111" i="1"/>
  <c r="M1314" i="1"/>
  <c r="M1250" i="1"/>
  <c r="M1112" i="1"/>
  <c r="M920" i="1"/>
  <c r="M519" i="1"/>
  <c r="M420" i="1"/>
  <c r="M968" i="1"/>
  <c r="M442" i="1"/>
  <c r="M570" i="1"/>
  <c r="M460" i="1"/>
  <c r="M314" i="1"/>
  <c r="M239" i="1"/>
  <c r="M790" i="1"/>
  <c r="M758" i="1"/>
  <c r="M694" i="1"/>
  <c r="M658" i="1"/>
  <c r="M644" i="1"/>
  <c r="M575" i="1"/>
  <c r="M533" i="1"/>
  <c r="M511" i="1"/>
  <c r="M469" i="1"/>
  <c r="M447" i="1"/>
  <c r="M405" i="1"/>
  <c r="M383" i="1"/>
  <c r="M341" i="1"/>
  <c r="M319" i="1"/>
  <c r="M277" i="1"/>
  <c r="M726" i="1"/>
  <c r="M663" i="1"/>
  <c r="M621" i="1"/>
  <c r="M199" i="1"/>
  <c r="M175" i="1"/>
  <c r="M151" i="1"/>
  <c r="M71" i="1"/>
  <c r="M47" i="1"/>
  <c r="M23" i="1"/>
  <c r="M17" i="1"/>
  <c r="M25" i="1"/>
  <c r="M97" i="1"/>
  <c r="M105" i="1"/>
  <c r="M569" i="1"/>
  <c r="M30" i="1"/>
  <c r="M94" i="1"/>
  <c r="M158" i="1"/>
  <c r="M222" i="1"/>
  <c r="M70" i="1"/>
  <c r="M134" i="1"/>
  <c r="M198" i="1"/>
  <c r="M262" i="1"/>
  <c r="M267" i="1"/>
  <c r="M294" i="1"/>
  <c r="M299" i="1"/>
  <c r="M326" i="1"/>
  <c r="M331" i="1"/>
  <c r="M358" i="1"/>
  <c r="M363" i="1"/>
  <c r="M390" i="1"/>
  <c r="M422" i="1"/>
  <c r="M454" i="1"/>
  <c r="M459" i="1"/>
  <c r="M486" i="1"/>
  <c r="M491" i="1"/>
  <c r="M518" i="1"/>
  <c r="M523" i="1"/>
  <c r="M550" i="1"/>
  <c r="M555" i="1"/>
  <c r="M582" i="1"/>
  <c r="M27" i="1"/>
  <c r="M46" i="1"/>
  <c r="M110" i="1"/>
  <c r="M174" i="1"/>
  <c r="M238" i="1"/>
  <c r="M22" i="1"/>
  <c r="M29" i="1"/>
  <c r="M67" i="1"/>
  <c r="M86" i="1"/>
  <c r="M131" i="1"/>
  <c r="M150" i="1"/>
  <c r="M195" i="1"/>
  <c r="M214" i="1"/>
  <c r="M259" i="1"/>
  <c r="M286" i="1"/>
  <c r="M291" i="1"/>
  <c r="M318" i="1"/>
  <c r="M323" i="1"/>
  <c r="M350" i="1"/>
  <c r="M355" i="1"/>
  <c r="M382" i="1"/>
  <c r="M414" i="1"/>
  <c r="M419" i="1"/>
  <c r="M446" i="1"/>
  <c r="M451" i="1"/>
  <c r="M478" i="1"/>
  <c r="M510" i="1"/>
  <c r="M542" i="1"/>
  <c r="M574" i="1"/>
  <c r="M579" i="1"/>
  <c r="M606" i="1"/>
  <c r="M611" i="1"/>
  <c r="M638" i="1"/>
  <c r="M670" i="1"/>
  <c r="M249" i="1"/>
  <c r="M223" i="1"/>
  <c r="M204" i="1"/>
  <c r="M185" i="1"/>
  <c r="M159" i="1"/>
  <c r="M140" i="1"/>
  <c r="M121" i="1"/>
  <c r="M95" i="1"/>
  <c r="M76" i="1"/>
  <c r="M57" i="1"/>
  <c r="M31" i="1"/>
  <c r="M665" i="1"/>
  <c r="M660" i="1"/>
  <c r="M633" i="1"/>
  <c r="M628" i="1"/>
  <c r="M601" i="1"/>
  <c r="M596" i="1"/>
  <c r="M564" i="1"/>
  <c r="M537" i="1"/>
  <c r="M532" i="1"/>
  <c r="M505" i="1"/>
  <c r="M500" i="1"/>
  <c r="M473" i="1"/>
  <c r="M468" i="1"/>
  <c r="M441" i="1"/>
  <c r="M436" i="1"/>
  <c r="M409" i="1"/>
  <c r="M404" i="1"/>
  <c r="M377" i="1"/>
  <c r="M372" i="1"/>
  <c r="M345" i="1"/>
  <c r="M340" i="1"/>
  <c r="M313" i="1"/>
  <c r="M308" i="1"/>
  <c r="M281" i="1"/>
  <c r="M276" i="1"/>
  <c r="M247" i="1"/>
  <c r="M228" i="1"/>
  <c r="M209" i="1"/>
  <c r="M183" i="1"/>
  <c r="M164" i="1"/>
  <c r="M145" i="1"/>
  <c r="M119" i="1"/>
  <c r="M100" i="1"/>
  <c r="M81" i="1"/>
  <c r="M55" i="1"/>
  <c r="M36" i="1"/>
  <c r="M252" i="1"/>
  <c r="M233" i="1"/>
  <c r="M207" i="1"/>
  <c r="M188" i="1"/>
  <c r="M169" i="1"/>
  <c r="M143" i="1"/>
  <c r="M124" i="1"/>
  <c r="M79" i="1"/>
  <c r="M60" i="1"/>
  <c r="M41" i="1"/>
  <c r="H12" i="1"/>
  <c r="M577" i="1"/>
  <c r="M572" i="1"/>
  <c r="M545" i="1"/>
  <c r="M540" i="1"/>
  <c r="M513" i="1"/>
  <c r="M508" i="1"/>
  <c r="M481" i="1"/>
  <c r="M476" i="1"/>
  <c r="M449" i="1"/>
  <c r="M444" i="1"/>
  <c r="M417" i="1"/>
  <c r="M412" i="1"/>
  <c r="M385" i="1"/>
  <c r="M380" i="1"/>
  <c r="M353" i="1"/>
  <c r="M348" i="1"/>
  <c r="M321" i="1"/>
  <c r="M316" i="1"/>
  <c r="M289" i="1"/>
  <c r="M284" i="1"/>
  <c r="M257" i="1"/>
  <c r="M231" i="1"/>
  <c r="M212" i="1"/>
  <c r="M193" i="1"/>
  <c r="M167" i="1"/>
  <c r="M148" i="1"/>
  <c r="M129" i="1"/>
  <c r="M103" i="1"/>
  <c r="M84" i="1"/>
  <c r="M65" i="1"/>
  <c r="M39" i="1"/>
  <c r="M20" i="1"/>
  <c r="E12" i="1" l="1"/>
</calcChain>
</file>

<file path=xl/sharedStrings.xml><?xml version="1.0" encoding="utf-8"?>
<sst xmlns="http://schemas.openxmlformats.org/spreadsheetml/2006/main" count="32" uniqueCount="23">
  <si>
    <t>spread BRL</t>
  </si>
  <si>
    <t>spread MXN</t>
  </si>
  <si>
    <t>BRLUSD</t>
  </si>
  <si>
    <t>MXNUSD</t>
  </si>
  <si>
    <t>Mid</t>
  </si>
  <si>
    <t>Ask</t>
  </si>
  <si>
    <t>Bid</t>
  </si>
  <si>
    <t>Date</t>
  </si>
  <si>
    <t>daily rets port</t>
  </si>
  <si>
    <t>daily returns (mid)</t>
  </si>
  <si>
    <t>¿Qué tanto se modifica tu L-VaR si tu posición en MXN fuera short en vez de long?</t>
  </si>
  <si>
    <t>costo de liquidez BRL</t>
  </si>
  <si>
    <t>Solo VaR</t>
  </si>
  <si>
    <t>costo de liquidez MXN</t>
  </si>
  <si>
    <t>Ponderaciones de c/pos</t>
  </si>
  <si>
    <t>Valor en USD de cada posicion</t>
  </si>
  <si>
    <t>utilizar método histórico, 1 años para el VaR y 5 años para el costo de liquidez</t>
  </si>
  <si>
    <t>Calcular tu L-VaR para el 18-feb-2026 con un nivel de confianza del 95% para el VaR y 99% para el costo de liquidez</t>
  </si>
  <si>
    <t>100 millones de reales brasileños</t>
  </si>
  <si>
    <t>Largo</t>
  </si>
  <si>
    <t>300 millones de pesos</t>
  </si>
  <si>
    <t>Al cierre del 17-feb-2026 tienes las siguientes posiciones</t>
  </si>
  <si>
    <t>Estas a cargo del Latin FX trading desk de un banco en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</si>
</sst>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#,##0.000000"/>
    <numFmt numFmtId="165" formatCode="mm/dd/yy"/>
    <numFmt numFmtId="166" formatCode="_-&quot;$&quot;* #,##0_-;\-&quot;$&quot;* #,##0_-;_-&quot;$&quot;* &quot;-&quot;??_-;_-@_-"/>
    <numFmt numFmtId="167" formatCode="0.0000%"/>
    <numFmt numFmtId="168" formatCode="0.0%"/>
  </numFmts>
  <fonts count="5" x14ac:knownFonts="1"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10" fontId="0" fillId="0" borderId="0" xfId="2" applyNumberFormat="1" applyFont="1"/>
    <xf numFmtId="164" fontId="0" fillId="2" borderId="0" xfId="0" applyNumberFormat="1" applyFill="1" applyAlignment="1">
      <alignment horizontal="right"/>
    </xf>
    <xf numFmtId="165" fontId="0" fillId="2" borderId="0" xfId="0" applyNumberFormat="1" applyFill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3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166" fontId="4" fillId="0" borderId="0" xfId="1" applyNumberFormat="1" applyFont="1"/>
    <xf numFmtId="0" fontId="1" fillId="0" borderId="0" xfId="0" applyFont="1"/>
    <xf numFmtId="167" fontId="1" fillId="0" borderId="0" xfId="2" applyNumberFormat="1" applyFont="1"/>
    <xf numFmtId="168" fontId="0" fillId="0" borderId="0" xfId="2" applyNumberFormat="1" applyFont="1"/>
    <xf numFmtId="167" fontId="1" fillId="0" borderId="0" xfId="0" applyNumberFormat="1" applyFont="1"/>
    <xf numFmtId="0" fontId="0" fillId="4" borderId="0" xfId="0" applyFill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DBED-5007-43D8-8C1F-9D0F2085585F}">
  <dimension ref="D3:P1320"/>
  <sheetViews>
    <sheetView tabSelected="1" topLeftCell="B1" zoomScale="140" zoomScaleNormal="140" workbookViewId="0">
      <selection activeCell="O13" sqref="O13"/>
    </sheetView>
  </sheetViews>
  <sheetFormatPr baseColWidth="10" defaultRowHeight="15" x14ac:dyDescent="0.25"/>
  <cols>
    <col min="13" max="14" width="14.85546875" bestFit="1" customWidth="1"/>
  </cols>
  <sheetData>
    <row r="3" spans="4:16" x14ac:dyDescent="0.25">
      <c r="D3" s="14" t="s">
        <v>22</v>
      </c>
      <c r="E3" s="14"/>
      <c r="F3" s="14"/>
      <c r="G3" s="14"/>
      <c r="H3" s="14"/>
    </row>
    <row r="4" spans="4:16" x14ac:dyDescent="0.25">
      <c r="D4" t="s">
        <v>21</v>
      </c>
    </row>
    <row r="6" spans="4:16" x14ac:dyDescent="0.25">
      <c r="D6" t="s">
        <v>3</v>
      </c>
      <c r="E6" t="s">
        <v>19</v>
      </c>
      <c r="F6" t="s">
        <v>20</v>
      </c>
    </row>
    <row r="7" spans="4:16" x14ac:dyDescent="0.25">
      <c r="D7" t="s">
        <v>2</v>
      </c>
      <c r="E7" t="s">
        <v>19</v>
      </c>
      <c r="F7" t="s">
        <v>18</v>
      </c>
      <c r="N7">
        <f>CORREL(K16:K1319,L16:L1319)</f>
        <v>0.47704243039037242</v>
      </c>
    </row>
    <row r="9" spans="4:16" x14ac:dyDescent="0.25">
      <c r="D9" s="13" t="s">
        <v>17</v>
      </c>
      <c r="E9" s="13"/>
      <c r="F9" s="13"/>
      <c r="G9" s="13"/>
      <c r="H9" s="13"/>
      <c r="I9" s="13"/>
      <c r="J9" s="13"/>
      <c r="K9" s="13"/>
      <c r="L9" s="13"/>
    </row>
    <row r="10" spans="4:16" x14ac:dyDescent="0.25">
      <c r="D10" s="13" t="s">
        <v>16</v>
      </c>
      <c r="E10" s="13"/>
      <c r="F10" s="13"/>
      <c r="G10" s="13"/>
      <c r="H10" s="13"/>
      <c r="I10" s="13"/>
      <c r="J10" s="13"/>
      <c r="K10" s="13"/>
      <c r="L10" s="13"/>
      <c r="M10" s="16" t="s">
        <v>15</v>
      </c>
      <c r="N10" s="16"/>
      <c r="O10" s="15" t="s">
        <v>14</v>
      </c>
      <c r="P10" s="15"/>
    </row>
    <row r="11" spans="4:16" x14ac:dyDescent="0.25">
      <c r="D11" s="9" t="s">
        <v>12</v>
      </c>
      <c r="E11" s="10">
        <f>PERCENTILE(M16:M265,0.05)</f>
        <v>-7.1143533244831013E-3</v>
      </c>
      <c r="F11" s="9" t="s">
        <v>13</v>
      </c>
      <c r="G11" s="9"/>
      <c r="H11" s="10">
        <f>0.5*(AVERAGE(N16:N1320)+2.33*_xlfn.STDEV.S(N16:N1320))</f>
        <v>2.07874748715449E-4</v>
      </c>
      <c r="I11" s="12">
        <f>ABS(E11)+H11+H12</f>
        <v>7.597309556025761E-3</v>
      </c>
      <c r="J11" s="12">
        <f>E11-H11-H12</f>
        <v>-7.597309556025761E-3</v>
      </c>
      <c r="M11" s="8">
        <f>300000000*G16</f>
        <v>17504958.900000002</v>
      </c>
      <c r="N11" s="8">
        <f>100000000*J16</f>
        <v>19211742</v>
      </c>
      <c r="O11" s="11">
        <f>M11/(M11+N11)</f>
        <v>0.4767574011531085</v>
      </c>
      <c r="P11" s="11">
        <f>N11/(M11+N11)</f>
        <v>0.52324259884689139</v>
      </c>
    </row>
    <row r="12" spans="4:16" x14ac:dyDescent="0.25">
      <c r="D12" s="9" t="s">
        <v>12</v>
      </c>
      <c r="E12" s="10">
        <f>SMALL(M16:M264,13)</f>
        <v>-7.1933676345261816E-3</v>
      </c>
      <c r="F12" s="9" t="s">
        <v>11</v>
      </c>
      <c r="G12" s="9"/>
      <c r="H12" s="10">
        <f>0.5*(AVERAGE(O16:O1320)+2.33*_xlfn.STDEV.S(O16:O1320))</f>
        <v>2.7508148282721044E-4</v>
      </c>
      <c r="I12" s="9"/>
      <c r="J12" s="9"/>
      <c r="M12" s="8"/>
      <c r="N12" s="8"/>
    </row>
    <row r="13" spans="4:16" x14ac:dyDescent="0.25">
      <c r="D13" t="s">
        <v>10</v>
      </c>
    </row>
    <row r="14" spans="4:16" x14ac:dyDescent="0.25">
      <c r="E14" s="17" t="s">
        <v>3</v>
      </c>
      <c r="F14" s="17"/>
      <c r="G14" s="17"/>
      <c r="H14" s="17" t="s">
        <v>2</v>
      </c>
      <c r="I14" s="17"/>
      <c r="J14" s="17"/>
      <c r="K14" s="15" t="s">
        <v>9</v>
      </c>
      <c r="L14" s="15"/>
      <c r="M14" s="7" t="s">
        <v>8</v>
      </c>
    </row>
    <row r="15" spans="4:16" x14ac:dyDescent="0.25">
      <c r="D15" s="6" t="s">
        <v>7</v>
      </c>
      <c r="E15" s="6" t="s">
        <v>6</v>
      </c>
      <c r="F15" s="6" t="s">
        <v>5</v>
      </c>
      <c r="G15" s="6" t="s">
        <v>4</v>
      </c>
      <c r="H15" s="6" t="s">
        <v>6</v>
      </c>
      <c r="I15" s="6" t="s">
        <v>5</v>
      </c>
      <c r="J15" s="6" t="s">
        <v>4</v>
      </c>
      <c r="K15" s="6" t="s">
        <v>3</v>
      </c>
      <c r="L15" s="6" t="s">
        <v>2</v>
      </c>
      <c r="N15" s="6" t="s">
        <v>1</v>
      </c>
      <c r="O15" s="6" t="s">
        <v>0</v>
      </c>
    </row>
    <row r="16" spans="4:16" x14ac:dyDescent="0.25">
      <c r="D16" s="3">
        <v>46071</v>
      </c>
      <c r="E16" s="2">
        <v>5.8344759182006503E-2</v>
      </c>
      <c r="F16" s="2">
        <v>5.83549733025997E-2</v>
      </c>
      <c r="G16" s="2">
        <v>5.8349863000000002E-2</v>
      </c>
      <c r="H16" s="2">
        <v>0.192097124306049</v>
      </c>
      <c r="I16" s="2">
        <v>0.19213772432079301</v>
      </c>
      <c r="J16" s="2">
        <v>0.19211742000000001</v>
      </c>
      <c r="K16">
        <f>G16/G17-1</f>
        <v>4.2010812147423859E-3</v>
      </c>
      <c r="L16">
        <f t="shared" ref="L16:L79" si="0">J16/J17-1</f>
        <v>3.3813129994255675E-3</v>
      </c>
      <c r="M16" s="1">
        <f>SUMPRODUCT(K16:L16,$O$11:$P$11)</f>
        <v>3.7721435633079354E-3</v>
      </c>
      <c r="N16" s="1">
        <f>(F16-E16)/G16</f>
        <v>1.7504960711212973E-4</v>
      </c>
      <c r="O16" s="1">
        <f t="shared" ref="O16:O79" si="1">(I16-H16)/J16</f>
        <v>2.1132916913007321E-4</v>
      </c>
    </row>
    <row r="17" spans="4:15" x14ac:dyDescent="0.25">
      <c r="D17" s="5">
        <v>46070</v>
      </c>
      <c r="E17" s="4">
        <v>5.8099338248537399E-2</v>
      </c>
      <c r="F17" s="4">
        <v>5.81121681068799E-2</v>
      </c>
      <c r="G17" s="4">
        <v>5.8105756000000001E-2</v>
      </c>
      <c r="H17" s="4">
        <v>0.191438854429895</v>
      </c>
      <c r="I17" s="4">
        <v>0.19150117773224301</v>
      </c>
      <c r="J17" s="4">
        <v>0.19147</v>
      </c>
      <c r="K17">
        <f t="shared" ref="K16:K79" si="2">G17/G18-1</f>
        <v>-1.9174341464741618E-3</v>
      </c>
      <c r="L17">
        <f t="shared" si="0"/>
        <v>0</v>
      </c>
      <c r="M17" s="1">
        <f t="shared" ref="M16:M79" si="3">SUMPRODUCT(K17:L17,$O$11:$P$11)</f>
        <v>-9.1415092055525016E-4</v>
      </c>
      <c r="N17" s="1">
        <f t="shared" ref="N16:N79" si="4">(F17-E17)/G17</f>
        <v>2.2080184865850753E-4</v>
      </c>
      <c r="O17" s="1">
        <f t="shared" si="1"/>
        <v>3.2549904605426834E-4</v>
      </c>
    </row>
    <row r="18" spans="4:15" x14ac:dyDescent="0.25">
      <c r="D18" s="3">
        <v>46069</v>
      </c>
      <c r="E18" s="2">
        <v>5.8211283675227599E-2</v>
      </c>
      <c r="F18" s="2">
        <v>5.82234850249196E-2</v>
      </c>
      <c r="G18" s="2">
        <v>5.8217383999999997E-2</v>
      </c>
      <c r="H18" s="2">
        <v>0.191438854429895</v>
      </c>
      <c r="I18" s="2">
        <v>0.19150117773224301</v>
      </c>
      <c r="J18" s="2">
        <v>0.19147</v>
      </c>
      <c r="K18">
        <f t="shared" si="2"/>
        <v>5.2403555082469744E-4</v>
      </c>
      <c r="L18">
        <f t="shared" si="0"/>
        <v>2.8624030043447046E-3</v>
      </c>
      <c r="M18" s="1">
        <f t="shared" si="3"/>
        <v>1.7475690142634936E-3</v>
      </c>
      <c r="N18" s="1">
        <f t="shared" si="4"/>
        <v>2.0958258261829371E-4</v>
      </c>
      <c r="O18" s="1">
        <f t="shared" si="1"/>
        <v>3.2549904605426834E-4</v>
      </c>
    </row>
    <row r="19" spans="4:15" x14ac:dyDescent="0.25">
      <c r="D19" s="5">
        <v>46066</v>
      </c>
      <c r="E19" s="4">
        <v>5.8181818181818203E-2</v>
      </c>
      <c r="F19" s="4">
        <v>5.8191975326602502E-2</v>
      </c>
      <c r="G19" s="4">
        <v>5.8186891999999997E-2</v>
      </c>
      <c r="H19" s="4">
        <v>0.19089798411728801</v>
      </c>
      <c r="I19" s="4">
        <v>0.190949016612564</v>
      </c>
      <c r="J19" s="4">
        <v>0.1909235</v>
      </c>
      <c r="K19">
        <f t="shared" si="2"/>
        <v>4.3602786350405154E-5</v>
      </c>
      <c r="L19">
        <f t="shared" si="0"/>
        <v>-1.299236391026104E-2</v>
      </c>
      <c r="M19" s="1">
        <f t="shared" si="3"/>
        <v>-6.7773703064660934E-3</v>
      </c>
      <c r="N19" s="1">
        <f t="shared" si="4"/>
        <v>1.7456070319582208E-4</v>
      </c>
      <c r="O19" s="1">
        <f t="shared" si="1"/>
        <v>2.6729289624374841E-4</v>
      </c>
    </row>
    <row r="20" spans="4:15" x14ac:dyDescent="0.25">
      <c r="D20" s="3">
        <v>46065</v>
      </c>
      <c r="E20" s="2">
        <v>5.8179110208688503E-2</v>
      </c>
      <c r="F20" s="2">
        <v>5.8189605008961198E-2</v>
      </c>
      <c r="G20" s="2">
        <v>5.8184355E-2</v>
      </c>
      <c r="H20" s="2">
        <v>0.19340863376141099</v>
      </c>
      <c r="I20" s="2">
        <v>0.19346476039389399</v>
      </c>
      <c r="J20" s="2">
        <v>0.19343669999999999</v>
      </c>
      <c r="K20">
        <f t="shared" si="2"/>
        <v>2.6909673559940561E-3</v>
      </c>
      <c r="L20">
        <f t="shared" si="0"/>
        <v>3.2594039280267051E-3</v>
      </c>
      <c r="M20" s="1">
        <f t="shared" si="3"/>
        <v>2.988397585224037E-3</v>
      </c>
      <c r="N20" s="1">
        <f t="shared" si="4"/>
        <v>1.8037151520705378E-4</v>
      </c>
      <c r="O20" s="1">
        <f t="shared" si="1"/>
        <v>2.9015503512518618E-4</v>
      </c>
    </row>
    <row r="21" spans="4:15" x14ac:dyDescent="0.25">
      <c r="D21" s="5">
        <v>46064</v>
      </c>
      <c r="E21" s="4">
        <v>5.8023151237343702E-2</v>
      </c>
      <c r="F21" s="4">
        <v>5.8033253053999902E-2</v>
      </c>
      <c r="G21" s="4">
        <v>5.8028203E-2</v>
      </c>
      <c r="H21" s="4">
        <v>0.19279710033161099</v>
      </c>
      <c r="I21" s="4">
        <v>0.19281940534495401</v>
      </c>
      <c r="J21" s="4">
        <v>0.19280826000000001</v>
      </c>
      <c r="K21">
        <f t="shared" si="2"/>
        <v>-1.1598186705963354E-4</v>
      </c>
      <c r="L21">
        <f t="shared" si="0"/>
        <v>3.1814265377987372E-3</v>
      </c>
      <c r="M21" s="1">
        <f t="shared" si="3"/>
        <v>1.609362676158043E-3</v>
      </c>
      <c r="N21" s="1">
        <f t="shared" si="4"/>
        <v>1.740846025543729E-4</v>
      </c>
      <c r="O21" s="1">
        <f t="shared" si="1"/>
        <v>1.1568494701949684E-4</v>
      </c>
    </row>
    <row r="22" spans="4:15" x14ac:dyDescent="0.25">
      <c r="D22" s="3">
        <v>46063</v>
      </c>
      <c r="E22" s="2">
        <v>5.8029885390976303E-2</v>
      </c>
      <c r="F22" s="2">
        <v>5.8039989552801902E-2</v>
      </c>
      <c r="G22" s="2">
        <v>5.8034934000000003E-2</v>
      </c>
      <c r="H22" s="2">
        <v>0.19217834150091301</v>
      </c>
      <c r="I22" s="2">
        <v>0.19221528111484901</v>
      </c>
      <c r="J22" s="2">
        <v>0.1921968</v>
      </c>
      <c r="K22">
        <f t="shared" si="2"/>
        <v>-4.1785426253506674E-3</v>
      </c>
      <c r="L22">
        <f t="shared" si="0"/>
        <v>-5.0644203042297109E-3</v>
      </c>
      <c r="M22" s="1">
        <f t="shared" si="3"/>
        <v>-4.64207156430779E-3</v>
      </c>
      <c r="N22" s="1">
        <f t="shared" si="4"/>
        <v>1.7410482151316694E-4</v>
      </c>
      <c r="O22" s="1">
        <f t="shared" si="1"/>
        <v>1.9219682084196501E-4</v>
      </c>
    </row>
    <row r="23" spans="4:15" x14ac:dyDescent="0.25">
      <c r="D23" s="5">
        <v>46062</v>
      </c>
      <c r="E23" s="4">
        <v>5.8273360333323601E-2</v>
      </c>
      <c r="F23" s="4">
        <v>5.8283549468162603E-2</v>
      </c>
      <c r="G23" s="4">
        <v>5.8278453000000001E-2</v>
      </c>
      <c r="H23" s="4">
        <v>0.19315460094259401</v>
      </c>
      <c r="I23" s="4">
        <v>0.193195649233979</v>
      </c>
      <c r="J23" s="4">
        <v>0.19317512000000001</v>
      </c>
      <c r="K23">
        <f t="shared" si="2"/>
        <v>9.0330594010572529E-3</v>
      </c>
      <c r="L23">
        <f t="shared" si="0"/>
        <v>9.7553254726754357E-3</v>
      </c>
      <c r="M23" s="1">
        <f t="shared" si="3"/>
        <v>9.4109797774296847E-3</v>
      </c>
      <c r="N23" s="1">
        <f t="shared" si="4"/>
        <v>1.7483536906859557E-4</v>
      </c>
      <c r="O23" s="1">
        <f t="shared" si="1"/>
        <v>2.1249264079653448E-4</v>
      </c>
    </row>
    <row r="24" spans="4:15" x14ac:dyDescent="0.25">
      <c r="D24" s="3">
        <v>46059</v>
      </c>
      <c r="E24" s="2">
        <v>5.7751725332794303E-2</v>
      </c>
      <c r="F24" s="2">
        <v>5.7761732851985603E-2</v>
      </c>
      <c r="G24" s="2">
        <v>5.7756732999999998E-2</v>
      </c>
      <c r="H24" s="2">
        <v>0.19129237126023399</v>
      </c>
      <c r="I24" s="2">
        <v>0.191325310425316</v>
      </c>
      <c r="J24" s="2">
        <v>0.19130884000000001</v>
      </c>
      <c r="K24">
        <f t="shared" si="2"/>
        <v>6.80092751552408E-3</v>
      </c>
      <c r="L24">
        <f t="shared" si="0"/>
        <v>8.9149576201466019E-3</v>
      </c>
      <c r="M24" s="1">
        <f t="shared" si="3"/>
        <v>7.9070781215073334E-3</v>
      </c>
      <c r="N24" s="1">
        <f t="shared" si="4"/>
        <v>1.73270174254843E-4</v>
      </c>
      <c r="O24" s="1">
        <f t="shared" si="1"/>
        <v>1.7217795624087847E-4</v>
      </c>
    </row>
    <row r="25" spans="4:15" x14ac:dyDescent="0.25">
      <c r="D25" s="5">
        <v>46058</v>
      </c>
      <c r="E25" s="4">
        <v>5.7361157318710103E-2</v>
      </c>
      <c r="F25" s="4">
        <v>5.7372017372246897E-2</v>
      </c>
      <c r="G25" s="4">
        <v>5.7366586999999997E-2</v>
      </c>
      <c r="H25" s="4">
        <v>0.189602214553866</v>
      </c>
      <c r="I25" s="4">
        <v>0.18963457417556401</v>
      </c>
      <c r="J25" s="4">
        <v>0.18961839999999999</v>
      </c>
      <c r="K25">
        <f t="shared" si="2"/>
        <v>-9.1356495755283706E-3</v>
      </c>
      <c r="L25">
        <f t="shared" si="0"/>
        <v>-4.4844254731496447E-3</v>
      </c>
      <c r="M25" s="1">
        <f t="shared" si="3"/>
        <v>-6.7019309883804253E-3</v>
      </c>
      <c r="N25" s="1">
        <f t="shared" si="4"/>
        <v>1.8930973768396713E-4</v>
      </c>
      <c r="O25" s="1">
        <f t="shared" si="1"/>
        <v>1.7065654861557852E-4</v>
      </c>
    </row>
    <row r="26" spans="4:15" x14ac:dyDescent="0.25">
      <c r="D26" s="3">
        <v>46057</v>
      </c>
      <c r="E26" s="2">
        <v>5.7890471228435797E-2</v>
      </c>
      <c r="F26" s="2">
        <v>5.7900526894794697E-2</v>
      </c>
      <c r="G26" s="2">
        <v>5.7895500000000003E-2</v>
      </c>
      <c r="H26" s="2">
        <v>0.19044716995505401</v>
      </c>
      <c r="I26" s="2">
        <v>0.19049796167180999</v>
      </c>
      <c r="J26" s="2">
        <v>0.19047256000000001</v>
      </c>
      <c r="K26">
        <f t="shared" si="2"/>
        <v>-2.8947577810392033E-3</v>
      </c>
      <c r="L26">
        <f t="shared" si="0"/>
        <v>-6.5426893253462959E-3</v>
      </c>
      <c r="M26" s="1">
        <f t="shared" si="3"/>
        <v>-4.8035109626979999E-3</v>
      </c>
      <c r="N26" s="1">
        <f t="shared" si="4"/>
        <v>1.7368649305905438E-4</v>
      </c>
      <c r="O26" s="1">
        <f t="shared" si="1"/>
        <v>2.6666159553891843E-4</v>
      </c>
    </row>
    <row r="27" spans="4:15" x14ac:dyDescent="0.25">
      <c r="D27" s="5">
        <v>46056</v>
      </c>
      <c r="E27" s="4">
        <v>5.8058522991175102E-2</v>
      </c>
      <c r="F27" s="4">
        <v>5.8068637129086602E-2</v>
      </c>
      <c r="G27" s="4">
        <v>5.8063579999999997E-2</v>
      </c>
      <c r="H27" s="4">
        <v>0.19170676533174899</v>
      </c>
      <c r="I27" s="4">
        <v>0.19174720049087299</v>
      </c>
      <c r="J27" s="4">
        <v>0.19172697</v>
      </c>
      <c r="K27">
        <f t="shared" si="2"/>
        <v>1.2599865122898679E-2</v>
      </c>
      <c r="L27">
        <f t="shared" si="0"/>
        <v>9.0207023817117094E-3</v>
      </c>
      <c r="M27" s="1">
        <f t="shared" si="3"/>
        <v>1.0727094708504043E-2</v>
      </c>
      <c r="N27" s="1">
        <f t="shared" si="4"/>
        <v>1.7419073903986342E-4</v>
      </c>
      <c r="O27" s="1">
        <f t="shared" si="1"/>
        <v>2.108996930582958E-4</v>
      </c>
    </row>
    <row r="28" spans="4:15" x14ac:dyDescent="0.25">
      <c r="D28" s="3">
        <v>46055</v>
      </c>
      <c r="E28" s="2">
        <v>5.7335833175659802E-2</v>
      </c>
      <c r="F28" s="2">
        <v>5.7346354778958497E-2</v>
      </c>
      <c r="G28" s="2">
        <v>5.7341089999999997E-2</v>
      </c>
      <c r="H28" s="2">
        <v>0.189987650802698</v>
      </c>
      <c r="I28" s="2">
        <v>0.190038197677733</v>
      </c>
      <c r="J28" s="2">
        <v>0.19001292</v>
      </c>
      <c r="K28">
        <f t="shared" si="2"/>
        <v>-5.304122743485018E-3</v>
      </c>
      <c r="L28">
        <f t="shared" si="0"/>
        <v>-5.1778542517116888E-3</v>
      </c>
      <c r="M28" s="1">
        <f t="shared" si="3"/>
        <v>-5.2380536896970628E-3</v>
      </c>
      <c r="N28" s="1">
        <f t="shared" si="4"/>
        <v>1.8349151191048463E-4</v>
      </c>
      <c r="O28" s="1">
        <f t="shared" si="1"/>
        <v>2.6601809516427265E-4</v>
      </c>
    </row>
    <row r="29" spans="4:15" x14ac:dyDescent="0.25">
      <c r="D29" s="5">
        <v>46052</v>
      </c>
      <c r="E29" s="4">
        <v>5.7641871055134401E-2</v>
      </c>
      <c r="F29" s="4">
        <v>5.7651840535009102E-2</v>
      </c>
      <c r="G29" s="4">
        <v>5.7646856000000003E-2</v>
      </c>
      <c r="H29" s="4">
        <v>0.190981837627242</v>
      </c>
      <c r="I29" s="4">
        <v>0.19102196752626599</v>
      </c>
      <c r="J29" s="4">
        <v>0.1910019</v>
      </c>
      <c r="K29">
        <f t="shared" si="2"/>
        <v>-1.0087675662866502E-3</v>
      </c>
      <c r="L29">
        <f t="shared" si="0"/>
        <v>-7.4493462504154895E-4</v>
      </c>
      <c r="M29" s="1">
        <f t="shared" si="3"/>
        <v>-8.7071893244814412E-4</v>
      </c>
      <c r="N29" s="1">
        <f t="shared" si="4"/>
        <v>1.7294056547855857E-4</v>
      </c>
      <c r="O29" s="1">
        <f t="shared" si="1"/>
        <v>2.101020933508724E-4</v>
      </c>
    </row>
    <row r="30" spans="4:15" x14ac:dyDescent="0.25">
      <c r="D30" s="3">
        <v>46051</v>
      </c>
      <c r="E30" s="2">
        <v>5.7700075010097503E-2</v>
      </c>
      <c r="F30" s="2">
        <v>5.7710064635272403E-2</v>
      </c>
      <c r="G30" s="2">
        <v>5.7705066999999999E-2</v>
      </c>
      <c r="H30" s="2">
        <v>0.19110227793915299</v>
      </c>
      <c r="I30" s="2">
        <v>0.19118631106012801</v>
      </c>
      <c r="J30" s="2">
        <v>0.19114428999999999</v>
      </c>
      <c r="K30">
        <f t="shared" si="2"/>
        <v>-6.4918934618961588E-3</v>
      </c>
      <c r="L30">
        <f t="shared" si="0"/>
        <v>-4.1000625119770318E-3</v>
      </c>
      <c r="M30" s="1">
        <f t="shared" si="3"/>
        <v>-5.2403856196580455E-3</v>
      </c>
      <c r="N30" s="1">
        <f t="shared" si="4"/>
        <v>1.7311521663946556E-4</v>
      </c>
      <c r="O30" s="1">
        <f t="shared" si="1"/>
        <v>4.3963186645553954E-4</v>
      </c>
    </row>
    <row r="31" spans="4:15" x14ac:dyDescent="0.25">
      <c r="D31" s="5">
        <v>46050</v>
      </c>
      <c r="E31" s="4">
        <v>5.8077068269593801E-2</v>
      </c>
      <c r="F31" s="4">
        <v>5.8087188870494598E-2</v>
      </c>
      <c r="G31" s="4">
        <v>5.8082130000000003E-2</v>
      </c>
      <c r="H31" s="4">
        <v>0.19190911184463</v>
      </c>
      <c r="I31" s="4">
        <v>0.19195331695331699</v>
      </c>
      <c r="J31" s="4">
        <v>0.19193122000000001</v>
      </c>
      <c r="K31">
        <f t="shared" si="2"/>
        <v>2.0909773108388485E-3</v>
      </c>
      <c r="L31">
        <f t="shared" si="0"/>
        <v>1.7561545919186905E-3</v>
      </c>
      <c r="M31" s="1">
        <f t="shared" si="3"/>
        <v>1.9157838012380825E-3</v>
      </c>
      <c r="N31" s="1">
        <f t="shared" si="4"/>
        <v>1.7424638009654172E-4</v>
      </c>
      <c r="O31" s="1">
        <f t="shared" si="1"/>
        <v>2.3031744750538996E-4</v>
      </c>
    </row>
    <row r="32" spans="4:15" x14ac:dyDescent="0.25">
      <c r="D32" s="3">
        <v>46049</v>
      </c>
      <c r="E32" s="2">
        <v>5.7955895563476197E-2</v>
      </c>
      <c r="F32" s="2">
        <v>5.7965973973277699E-2</v>
      </c>
      <c r="G32" s="2">
        <v>5.7960934999999998E-2</v>
      </c>
      <c r="H32" s="2">
        <v>0.19158189167959799</v>
      </c>
      <c r="I32" s="2">
        <v>0.19160758766047101</v>
      </c>
      <c r="J32" s="2">
        <v>0.19159475000000001</v>
      </c>
      <c r="K32">
        <f t="shared" si="2"/>
        <v>5.7973440054981396E-5</v>
      </c>
      <c r="L32">
        <f t="shared" si="0"/>
        <v>8.1812254357622738E-3</v>
      </c>
      <c r="M32" s="1">
        <f t="shared" si="3"/>
        <v>4.3084049253770615E-3</v>
      </c>
      <c r="N32" s="1">
        <f t="shared" si="4"/>
        <v>1.7388280229609703E-4</v>
      </c>
      <c r="O32" s="1">
        <f t="shared" si="1"/>
        <v>1.3411630993549639E-4</v>
      </c>
    </row>
    <row r="33" spans="4:15" x14ac:dyDescent="0.25">
      <c r="D33" s="5">
        <v>46048</v>
      </c>
      <c r="E33" s="4">
        <v>5.7952536872301598E-2</v>
      </c>
      <c r="F33" s="4">
        <v>5.7962614113896499E-2</v>
      </c>
      <c r="G33" s="4">
        <v>5.7957574999999997E-2</v>
      </c>
      <c r="H33" s="4">
        <v>0.19002014213506599</v>
      </c>
      <c r="I33" s="4">
        <v>0.190059868858691</v>
      </c>
      <c r="J33" s="4">
        <v>0.19003998999999999</v>
      </c>
      <c r="K33">
        <f t="shared" si="2"/>
        <v>1.1968300460302395E-2</v>
      </c>
      <c r="L33">
        <f t="shared" si="0"/>
        <v>4.1617975067786972E-3</v>
      </c>
      <c r="M33" s="1">
        <f t="shared" si="3"/>
        <v>7.8836055669947204E-3</v>
      </c>
      <c r="N33" s="1">
        <f t="shared" si="4"/>
        <v>1.7387272664360151E-4</v>
      </c>
      <c r="O33" s="1">
        <f t="shared" si="1"/>
        <v>2.0904402081378215E-4</v>
      </c>
    </row>
    <row r="34" spans="4:15" x14ac:dyDescent="0.25">
      <c r="D34" s="3">
        <v>46045</v>
      </c>
      <c r="E34" s="2">
        <v>5.72672087962433E-2</v>
      </c>
      <c r="F34" s="2">
        <v>5.7277049086431102E-2</v>
      </c>
      <c r="G34" s="2">
        <v>5.7272125E-2</v>
      </c>
      <c r="H34" s="2">
        <v>0.18922550002838401</v>
      </c>
      <c r="I34" s="2">
        <v>0.189279224712296</v>
      </c>
      <c r="J34" s="2">
        <v>0.18925236000000001</v>
      </c>
      <c r="K34">
        <f t="shared" si="2"/>
        <v>7.1581637401085807E-4</v>
      </c>
      <c r="L34">
        <f t="shared" si="0"/>
        <v>2.2142170826648933E-3</v>
      </c>
      <c r="M34" s="1">
        <f t="shared" si="3"/>
        <v>1.4998434549210191E-3</v>
      </c>
      <c r="N34" s="1">
        <f t="shared" si="4"/>
        <v>1.7181639738007653E-4</v>
      </c>
      <c r="O34" s="1">
        <f t="shared" si="1"/>
        <v>2.8387854139302459E-4</v>
      </c>
    </row>
    <row r="35" spans="4:15" x14ac:dyDescent="0.25">
      <c r="D35" s="5">
        <v>46044</v>
      </c>
      <c r="E35" s="4">
        <v>5.7226243955477998E-2</v>
      </c>
      <c r="F35" s="4">
        <v>5.7236070171422002E-2</v>
      </c>
      <c r="G35" s="4">
        <v>5.7231157999999997E-2</v>
      </c>
      <c r="H35" s="4">
        <v>0.18882175226586101</v>
      </c>
      <c r="I35" s="4">
        <v>0.188846713122958</v>
      </c>
      <c r="J35" s="4">
        <v>0.18883423999999999</v>
      </c>
      <c r="K35">
        <f t="shared" si="2"/>
        <v>-2.4037173907182074E-3</v>
      </c>
      <c r="L35">
        <f t="shared" si="0"/>
        <v>5.514042135859043E-3</v>
      </c>
      <c r="M35" s="1">
        <f t="shared" si="3"/>
        <v>1.7391916810128058E-3</v>
      </c>
      <c r="N35" s="1">
        <f t="shared" si="4"/>
        <v>1.7169346711459581E-4</v>
      </c>
      <c r="O35" s="1">
        <f t="shared" si="1"/>
        <v>1.3218395719438925E-4</v>
      </c>
    </row>
    <row r="36" spans="4:15" x14ac:dyDescent="0.25">
      <c r="D36" s="3">
        <v>46043</v>
      </c>
      <c r="E36" s="2">
        <v>5.7364118743725802E-2</v>
      </c>
      <c r="F36" s="2">
        <v>5.7373992369258997E-2</v>
      </c>
      <c r="G36" s="2">
        <v>5.7369057000000001E-2</v>
      </c>
      <c r="H36" s="2">
        <v>0.18777932174108999</v>
      </c>
      <c r="I36" s="2">
        <v>0.18781811693556</v>
      </c>
      <c r="J36" s="2">
        <v>0.18779871000000001</v>
      </c>
      <c r="K36">
        <f t="shared" si="2"/>
        <v>9.781452736276508E-3</v>
      </c>
      <c r="L36">
        <f t="shared" si="0"/>
        <v>7.6058128845983841E-3</v>
      </c>
      <c r="M36" s="1">
        <f t="shared" si="3"/>
        <v>8.6430652861295802E-3</v>
      </c>
      <c r="N36" s="1">
        <f t="shared" si="4"/>
        <v>1.7210716106411174E-4</v>
      </c>
      <c r="O36" s="1">
        <f t="shared" si="1"/>
        <v>2.0657859934183675E-4</v>
      </c>
    </row>
    <row r="37" spans="4:15" x14ac:dyDescent="0.25">
      <c r="D37" s="5">
        <v>46042</v>
      </c>
      <c r="E37" s="4">
        <v>5.6808498551383299E-2</v>
      </c>
      <c r="F37" s="4">
        <v>5.6818181818181802E-2</v>
      </c>
      <c r="G37" s="4">
        <v>5.6813339999999997E-2</v>
      </c>
      <c r="H37" s="4">
        <v>0.186362026873404</v>
      </c>
      <c r="I37" s="4">
        <v>0.18640023859230501</v>
      </c>
      <c r="J37" s="4">
        <v>0.18638113000000001</v>
      </c>
      <c r="K37">
        <f t="shared" si="2"/>
        <v>4.5453642567427899E-4</v>
      </c>
      <c r="L37">
        <f t="shared" si="0"/>
        <v>-1.0997054875191425E-3</v>
      </c>
      <c r="M37" s="1">
        <f t="shared" si="3"/>
        <v>-3.5870915222181157E-4</v>
      </c>
      <c r="N37" s="1">
        <f t="shared" si="4"/>
        <v>1.7044001987039212E-4</v>
      </c>
      <c r="O37" s="1">
        <f t="shared" si="1"/>
        <v>2.0501924685725694E-4</v>
      </c>
    </row>
    <row r="38" spans="4:15" x14ac:dyDescent="0.25">
      <c r="D38" s="3">
        <v>46041</v>
      </c>
      <c r="E38" s="2">
        <v>5.67823702096973E-2</v>
      </c>
      <c r="F38" s="2">
        <v>5.6792689644988903E-2</v>
      </c>
      <c r="G38" s="2">
        <v>5.6787527999999997E-2</v>
      </c>
      <c r="H38" s="2">
        <v>0.18656020297750101</v>
      </c>
      <c r="I38" s="2">
        <v>0.186612424655234</v>
      </c>
      <c r="J38" s="2">
        <v>0.18658632</v>
      </c>
      <c r="K38">
        <f t="shared" si="2"/>
        <v>5.309536490350375E-3</v>
      </c>
      <c r="L38">
        <f t="shared" si="0"/>
        <v>4.216943985774213E-3</v>
      </c>
      <c r="M38" s="1">
        <f t="shared" si="3"/>
        <v>4.7378455487753091E-3</v>
      </c>
      <c r="N38" s="1">
        <f t="shared" si="4"/>
        <v>1.817201004347832E-4</v>
      </c>
      <c r="O38" s="1">
        <f t="shared" si="1"/>
        <v>2.7987945596976132E-4</v>
      </c>
    </row>
    <row r="39" spans="4:15" x14ac:dyDescent="0.25">
      <c r="D39" s="5">
        <v>46038</v>
      </c>
      <c r="E39" s="4">
        <v>5.6482815103504801E-2</v>
      </c>
      <c r="F39" s="4">
        <v>5.64923876507641E-2</v>
      </c>
      <c r="G39" s="4">
        <v>5.6487605000000003E-2</v>
      </c>
      <c r="H39" s="4">
        <v>0.185780370446059</v>
      </c>
      <c r="I39" s="4">
        <v>0.185825249934961</v>
      </c>
      <c r="J39" s="4">
        <v>0.18580279999999999</v>
      </c>
      <c r="K39">
        <f t="shared" si="2"/>
        <v>-1.5533229631172762E-3</v>
      </c>
      <c r="L39">
        <f t="shared" si="0"/>
        <v>-2.1739177133479615E-3</v>
      </c>
      <c r="M39" s="1">
        <f t="shared" si="3"/>
        <v>-1.8780445730587174E-3</v>
      </c>
      <c r="N39" s="1">
        <f t="shared" si="4"/>
        <v>1.6946279204614419E-4</v>
      </c>
      <c r="O39" s="1">
        <f t="shared" si="1"/>
        <v>2.4154366296955638E-4</v>
      </c>
    </row>
    <row r="40" spans="4:15" x14ac:dyDescent="0.25">
      <c r="D40" s="3">
        <v>46037</v>
      </c>
      <c r="E40" s="2">
        <v>5.6570685070996198E-2</v>
      </c>
      <c r="F40" s="2">
        <v>5.6580287427860101E-2</v>
      </c>
      <c r="G40" s="2">
        <v>5.6575485000000002E-2</v>
      </c>
      <c r="H40" s="2">
        <v>0.186198934942092</v>
      </c>
      <c r="I40" s="2">
        <v>0.18621627157781001</v>
      </c>
      <c r="J40" s="2">
        <v>0.1862076</v>
      </c>
      <c r="K40">
        <f t="shared" si="2"/>
        <v>7.3265620202664916E-3</v>
      </c>
      <c r="L40">
        <f t="shared" si="0"/>
        <v>4.1710224357272008E-3</v>
      </c>
      <c r="M40" s="1">
        <f t="shared" si="3"/>
        <v>5.675449287287913E-3</v>
      </c>
      <c r="N40" s="1">
        <f t="shared" si="4"/>
        <v>1.6972646127388791E-4</v>
      </c>
      <c r="O40" s="1">
        <f t="shared" si="1"/>
        <v>9.3103803056441813E-5</v>
      </c>
    </row>
    <row r="41" spans="4:15" x14ac:dyDescent="0.25">
      <c r="D41" s="5">
        <v>46036</v>
      </c>
      <c r="E41" s="4">
        <v>5.6159267683149397E-2</v>
      </c>
      <c r="F41" s="4">
        <v>5.61687308675261E-2</v>
      </c>
      <c r="G41" s="4">
        <v>5.6163996000000001E-2</v>
      </c>
      <c r="H41" s="4">
        <v>0.18542211344124901</v>
      </c>
      <c r="I41" s="4">
        <v>0.185446183517543</v>
      </c>
      <c r="J41" s="4">
        <v>0.18543414999999999</v>
      </c>
      <c r="K41">
        <f t="shared" si="2"/>
        <v>2.8783560821958876E-3</v>
      </c>
      <c r="L41">
        <f t="shared" si="0"/>
        <v>-2.5033952479600607E-3</v>
      </c>
      <c r="M41" s="1">
        <f t="shared" si="3"/>
        <v>6.2394529857374243E-5</v>
      </c>
      <c r="N41" s="1">
        <f t="shared" si="4"/>
        <v>1.6849200645735083E-4</v>
      </c>
      <c r="O41" s="1">
        <f t="shared" si="1"/>
        <v>1.2980390232320235E-4</v>
      </c>
    </row>
    <row r="42" spans="4:15" x14ac:dyDescent="0.25">
      <c r="D42" s="3">
        <v>46035</v>
      </c>
      <c r="E42" s="2">
        <v>5.5997939275834602E-2</v>
      </c>
      <c r="F42" s="2">
        <v>5.6007661848140801E-2</v>
      </c>
      <c r="G42" s="2">
        <v>5.6002799999999998E-2</v>
      </c>
      <c r="H42" s="2">
        <v>0.18588051600431199</v>
      </c>
      <c r="I42" s="2">
        <v>0.18591853049993501</v>
      </c>
      <c r="J42" s="2">
        <v>0.18589953000000001</v>
      </c>
      <c r="K42">
        <f t="shared" si="2"/>
        <v>1.5260347625183357E-3</v>
      </c>
      <c r="L42">
        <f t="shared" si="0"/>
        <v>-1.8310727712090857E-3</v>
      </c>
      <c r="M42" s="1">
        <f t="shared" si="3"/>
        <v>-2.3054690803767856E-4</v>
      </c>
      <c r="N42" s="1">
        <f t="shared" si="4"/>
        <v>1.7360868217659051E-4</v>
      </c>
      <c r="O42" s="1">
        <f t="shared" si="1"/>
        <v>2.0448946601972436E-4</v>
      </c>
    </row>
    <row r="43" spans="4:15" x14ac:dyDescent="0.25">
      <c r="D43" s="5">
        <v>46034</v>
      </c>
      <c r="E43" s="4">
        <v>5.5912776069331802E-2</v>
      </c>
      <c r="F43" s="4">
        <v>5.5922156358349198E-2</v>
      </c>
      <c r="G43" s="4">
        <v>5.5917467999999998E-2</v>
      </c>
      <c r="H43" s="4">
        <v>0.18621627157781001</v>
      </c>
      <c r="I43" s="4">
        <v>0.18626483133719501</v>
      </c>
      <c r="J43" s="4">
        <v>0.18624055</v>
      </c>
      <c r="K43">
        <f t="shared" si="2"/>
        <v>4.864938203938074E-3</v>
      </c>
      <c r="L43">
        <f t="shared" si="0"/>
        <v>-2.7470425331093118E-3</v>
      </c>
      <c r="M43" s="1">
        <f t="shared" si="3"/>
        <v>8.8202562071292337E-4</v>
      </c>
      <c r="N43" s="1">
        <f t="shared" si="4"/>
        <v>1.6775239210395983E-4</v>
      </c>
      <c r="O43" s="1">
        <f t="shared" si="1"/>
        <v>2.6073676965087837E-4</v>
      </c>
    </row>
    <row r="44" spans="4:15" x14ac:dyDescent="0.25">
      <c r="D44" s="3">
        <v>46031</v>
      </c>
      <c r="E44" s="2">
        <v>5.5642109948809297E-2</v>
      </c>
      <c r="F44" s="2">
        <v>5.5651399632700799E-2</v>
      </c>
      <c r="G44" s="2">
        <v>5.5646750000000002E-2</v>
      </c>
      <c r="H44" s="2">
        <v>0.18673438900507899</v>
      </c>
      <c r="I44" s="2">
        <v>0.186772753590706</v>
      </c>
      <c r="J44" s="2">
        <v>0.18675357000000001</v>
      </c>
      <c r="K44">
        <f t="shared" si="2"/>
        <v>3.6160734870982481E-4</v>
      </c>
      <c r="L44">
        <f t="shared" si="0"/>
        <v>6.4803158848822928E-3</v>
      </c>
      <c r="M44" s="1">
        <f t="shared" si="3"/>
        <v>3.5631763047633651E-3</v>
      </c>
      <c r="N44" s="1">
        <f t="shared" si="4"/>
        <v>1.6694027758137875E-4</v>
      </c>
      <c r="O44" s="1">
        <f t="shared" si="1"/>
        <v>2.0542892768799165E-4</v>
      </c>
    </row>
    <row r="45" spans="4:15" x14ac:dyDescent="0.25">
      <c r="D45" s="5">
        <v>46030</v>
      </c>
      <c r="E45" s="4">
        <v>5.5621992936006899E-2</v>
      </c>
      <c r="F45" s="4">
        <v>5.56312759033128E-2</v>
      </c>
      <c r="G45" s="4">
        <v>5.5626635000000001E-2</v>
      </c>
      <c r="H45" s="4">
        <v>0.185535641396712</v>
      </c>
      <c r="I45" s="4">
        <v>0.18556662769767501</v>
      </c>
      <c r="J45" s="4">
        <v>0.18555114</v>
      </c>
      <c r="K45">
        <f t="shared" si="2"/>
        <v>-1.9747670036163179E-3</v>
      </c>
      <c r="L45">
        <f t="shared" si="0"/>
        <v>9.2777423998335884E-4</v>
      </c>
      <c r="M45" s="1">
        <f t="shared" si="3"/>
        <v>-4.5603378005493477E-4</v>
      </c>
      <c r="N45" s="1">
        <f t="shared" si="4"/>
        <v>1.6687990035531343E-4</v>
      </c>
      <c r="O45" s="1">
        <f t="shared" si="1"/>
        <v>1.6699601502321749E-4</v>
      </c>
    </row>
    <row r="46" spans="4:15" x14ac:dyDescent="0.25">
      <c r="D46" s="3">
        <v>46029</v>
      </c>
      <c r="E46" s="2">
        <v>5.5732040349997201E-2</v>
      </c>
      <c r="F46" s="2">
        <v>5.5741360089186197E-2</v>
      </c>
      <c r="G46" s="2">
        <v>5.5736701999999999E-2</v>
      </c>
      <c r="H46" s="2">
        <v>0.18536368354711899</v>
      </c>
      <c r="I46" s="2">
        <v>0.185394612432563</v>
      </c>
      <c r="J46" s="2">
        <v>0.18537914999999999</v>
      </c>
      <c r="K46">
        <f t="shared" si="2"/>
        <v>1.700007422436034E-3</v>
      </c>
      <c r="L46">
        <f t="shared" si="0"/>
        <v>-4.374905642633653E-3</v>
      </c>
      <c r="M46" s="1">
        <f t="shared" si="3"/>
        <v>-1.478645877499964E-3</v>
      </c>
      <c r="N46" s="1">
        <f t="shared" si="4"/>
        <v>1.672100941493708E-4</v>
      </c>
      <c r="O46" s="1">
        <f t="shared" si="1"/>
        <v>1.6684123022470053E-4</v>
      </c>
    </row>
    <row r="47" spans="4:15" x14ac:dyDescent="0.25">
      <c r="D47" s="5">
        <v>46028</v>
      </c>
      <c r="E47" s="4">
        <v>5.56374662697861E-2</v>
      </c>
      <c r="F47" s="4">
        <v>5.5646754403049399E-2</v>
      </c>
      <c r="G47" s="4">
        <v>5.5642110000000002E-2</v>
      </c>
      <c r="H47" s="4">
        <v>0.18617466907452601</v>
      </c>
      <c r="I47" s="4">
        <v>0.186212803992403</v>
      </c>
      <c r="J47" s="4">
        <v>0.18619373</v>
      </c>
      <c r="K47">
        <f t="shared" si="2"/>
        <v>-4.7156159635843853E-3</v>
      </c>
      <c r="L47">
        <f t="shared" si="0"/>
        <v>8.2018520566116138E-3</v>
      </c>
      <c r="M47" s="1">
        <f t="shared" si="3"/>
        <v>2.0433535738245789E-3</v>
      </c>
      <c r="N47" s="1">
        <f t="shared" si="4"/>
        <v>1.6692633085444385E-4</v>
      </c>
      <c r="O47" s="1">
        <f t="shared" si="1"/>
        <v>2.048131152267687E-4</v>
      </c>
    </row>
    <row r="48" spans="4:15" x14ac:dyDescent="0.25">
      <c r="D48" s="3">
        <v>46027</v>
      </c>
      <c r="E48" s="2">
        <v>5.5900898886454102E-2</v>
      </c>
      <c r="F48" s="2">
        <v>5.5910587788009398E-2</v>
      </c>
      <c r="G48" s="2">
        <v>5.5905740000000002E-2</v>
      </c>
      <c r="H48" s="2">
        <v>0.184668796513453</v>
      </c>
      <c r="I48" s="2">
        <v>0.18468926031951199</v>
      </c>
      <c r="J48" s="2">
        <v>0.18467902</v>
      </c>
      <c r="K48">
        <f t="shared" si="2"/>
        <v>-3.7735009685158083E-4</v>
      </c>
      <c r="L48">
        <f t="shared" si="0"/>
        <v>4.1736938264251844E-3</v>
      </c>
      <c r="M48" s="1">
        <f t="shared" si="3"/>
        <v>2.0039499530301063E-3</v>
      </c>
      <c r="N48" s="1">
        <f t="shared" si="4"/>
        <v>1.7330781338904461E-4</v>
      </c>
      <c r="O48" s="1">
        <f t="shared" si="1"/>
        <v>1.1080742175800841E-4</v>
      </c>
    </row>
    <row r="49" spans="4:15" x14ac:dyDescent="0.25">
      <c r="D49" s="5">
        <v>46024</v>
      </c>
      <c r="E49" s="4">
        <v>5.5922156358349198E-2</v>
      </c>
      <c r="F49" s="4">
        <v>5.59315397952906E-2</v>
      </c>
      <c r="G49" s="4">
        <v>5.5926844000000003E-2</v>
      </c>
      <c r="H49" s="4">
        <v>0.18388775491439999</v>
      </c>
      <c r="I49" s="4">
        <v>0.18393510769400601</v>
      </c>
      <c r="J49" s="4">
        <v>0.18391142999999999</v>
      </c>
      <c r="K49">
        <f t="shared" si="2"/>
        <v>5.535594336895322E-3</v>
      </c>
      <c r="L49">
        <f t="shared" si="0"/>
        <v>7.7903544949395886E-3</v>
      </c>
      <c r="M49" s="1">
        <f t="shared" si="3"/>
        <v>6.7153809017668313E-3</v>
      </c>
      <c r="N49" s="1">
        <f t="shared" si="4"/>
        <v>1.6778055528041998E-4</v>
      </c>
      <c r="O49" s="1">
        <f t="shared" si="1"/>
        <v>2.5747600138838103E-4</v>
      </c>
    </row>
    <row r="50" spans="4:15" x14ac:dyDescent="0.25">
      <c r="D50" s="3">
        <v>46023</v>
      </c>
      <c r="E50" s="2">
        <v>5.5614259496134799E-2</v>
      </c>
      <c r="F50" s="2">
        <v>5.5623539882078098E-2</v>
      </c>
      <c r="G50" s="2">
        <v>5.5618960000000002E-2</v>
      </c>
      <c r="H50" s="2">
        <v>0.18246510354894599</v>
      </c>
      <c r="I50" s="2">
        <v>0.182515057492243</v>
      </c>
      <c r="J50" s="2">
        <v>0.18248977</v>
      </c>
      <c r="K50">
        <f t="shared" si="2"/>
        <v>1.0787699864511779E-6</v>
      </c>
      <c r="L50">
        <f t="shared" si="0"/>
        <v>-1.6439250640765124E-6</v>
      </c>
      <c r="M50" s="1">
        <f t="shared" si="3"/>
        <v>-3.4586004765449925E-7</v>
      </c>
      <c r="N50" s="1">
        <f t="shared" si="4"/>
        <v>1.6685651697368221E-4</v>
      </c>
      <c r="O50" s="1">
        <f t="shared" si="1"/>
        <v>2.7373558143568979E-4</v>
      </c>
    </row>
    <row r="51" spans="4:15" x14ac:dyDescent="0.25">
      <c r="D51" s="5">
        <v>46022</v>
      </c>
      <c r="E51" s="4">
        <v>5.5614259496134799E-2</v>
      </c>
      <c r="F51" s="4">
        <v>5.5623539882078098E-2</v>
      </c>
      <c r="G51" s="4">
        <v>5.5618899999999999E-2</v>
      </c>
      <c r="H51" s="4">
        <v>0.18246510354894599</v>
      </c>
      <c r="I51" s="4">
        <v>0.182515057492243</v>
      </c>
      <c r="J51" s="4">
        <v>0.18249007</v>
      </c>
      <c r="K51">
        <f t="shared" si="2"/>
        <v>-2.5167491546511656E-3</v>
      </c>
      <c r="L51">
        <f t="shared" si="0"/>
        <v>3.2027271887187236E-3</v>
      </c>
      <c r="M51" s="1">
        <f t="shared" si="3"/>
        <v>4.7592451129701099E-4</v>
      </c>
      <c r="N51" s="1">
        <f t="shared" si="4"/>
        <v>1.6685669697348479E-4</v>
      </c>
      <c r="O51" s="1">
        <f t="shared" si="1"/>
        <v>2.7373513143490657E-4</v>
      </c>
    </row>
    <row r="52" spans="4:15" x14ac:dyDescent="0.25">
      <c r="D52" s="3">
        <v>46021</v>
      </c>
      <c r="E52" s="2">
        <v>5.5754412961785897E-2</v>
      </c>
      <c r="F52" s="2">
        <v>5.5764051146787702E-2</v>
      </c>
      <c r="G52" s="2">
        <v>5.5759231999999999E-2</v>
      </c>
      <c r="H52" s="2">
        <v>0.181890938193459</v>
      </c>
      <c r="I52" s="2">
        <v>0.18192402852568801</v>
      </c>
      <c r="J52" s="2">
        <v>0.18190746999999999</v>
      </c>
      <c r="K52">
        <f t="shared" si="2"/>
        <v>7.9452621032793935E-4</v>
      </c>
      <c r="L52">
        <f t="shared" si="0"/>
        <v>1.2624329463140738E-2</v>
      </c>
      <c r="M52" s="1">
        <f t="shared" si="3"/>
        <v>6.9843832081771173E-3</v>
      </c>
      <c r="N52" s="1">
        <f t="shared" si="4"/>
        <v>1.7285361824576163E-4</v>
      </c>
      <c r="O52" s="1">
        <f t="shared" si="1"/>
        <v>1.819074952172536E-4</v>
      </c>
    </row>
    <row r="53" spans="4:15" x14ac:dyDescent="0.25">
      <c r="D53" s="5">
        <v>46020</v>
      </c>
      <c r="E53" s="4">
        <v>5.5710306406685201E-2</v>
      </c>
      <c r="F53" s="4">
        <v>5.5719618877806902E-2</v>
      </c>
      <c r="G53" s="4">
        <v>5.5714964999999998E-2</v>
      </c>
      <c r="H53" s="4">
        <v>0.17961705643567899</v>
      </c>
      <c r="I53" s="4">
        <v>0.179662234998203</v>
      </c>
      <c r="J53" s="4">
        <v>0.17963963999999999</v>
      </c>
      <c r="K53">
        <f t="shared" si="2"/>
        <v>-3.2314713915714277E-3</v>
      </c>
      <c r="L53">
        <f t="shared" si="0"/>
        <v>-5.4699814264337343E-3</v>
      </c>
      <c r="M53" s="1">
        <f t="shared" si="3"/>
        <v>-4.4027551997576266E-3</v>
      </c>
      <c r="N53" s="1">
        <f t="shared" si="4"/>
        <v>1.6714487968720043E-4</v>
      </c>
      <c r="O53" s="1">
        <f t="shared" si="1"/>
        <v>2.5149550802933265E-4</v>
      </c>
    </row>
    <row r="54" spans="4:15" x14ac:dyDescent="0.25">
      <c r="D54" s="3">
        <v>46017</v>
      </c>
      <c r="E54" s="2">
        <v>5.5890588583788398E-2</v>
      </c>
      <c r="F54" s="2">
        <v>5.59005863971513E-2</v>
      </c>
      <c r="G54" s="2">
        <v>5.5895590000000002E-2</v>
      </c>
      <c r="H54" s="2">
        <v>0.18060973847709899</v>
      </c>
      <c r="I54" s="2">
        <v>0.180645627472587</v>
      </c>
      <c r="J54" s="2">
        <v>0.18062766999999999</v>
      </c>
      <c r="K54">
        <f t="shared" si="2"/>
        <v>2.1519459668755125E-3</v>
      </c>
      <c r="L54">
        <f t="shared" si="0"/>
        <v>-1.4528128540990393E-3</v>
      </c>
      <c r="M54" s="1">
        <f t="shared" si="3"/>
        <v>2.6578259317253171E-4</v>
      </c>
      <c r="N54" s="1">
        <f t="shared" si="4"/>
        <v>1.7886587050789708E-4</v>
      </c>
      <c r="O54" s="1">
        <f t="shared" si="1"/>
        <v>1.9869046358184924E-4</v>
      </c>
    </row>
    <row r="55" spans="4:15" x14ac:dyDescent="0.25">
      <c r="D55" s="5">
        <v>46016</v>
      </c>
      <c r="E55" s="4">
        <v>5.5770893170854097E-2</v>
      </c>
      <c r="F55" s="4">
        <v>5.5780225909914903E-2</v>
      </c>
      <c r="G55" s="4">
        <v>5.5775564E-2</v>
      </c>
      <c r="H55" s="4">
        <v>0.18087761820352299</v>
      </c>
      <c r="I55" s="4">
        <v>0.18090379536162701</v>
      </c>
      <c r="J55" s="4">
        <v>0.18089047</v>
      </c>
      <c r="K55">
        <f t="shared" si="2"/>
        <v>1.2550300487745858E-7</v>
      </c>
      <c r="L55">
        <f t="shared" si="0"/>
        <v>-1.2714860410101281E-6</v>
      </c>
      <c r="M55" s="1">
        <f t="shared" si="3"/>
        <v>-6.0546117405340156E-7</v>
      </c>
      <c r="N55" s="1">
        <f t="shared" si="4"/>
        <v>1.6732666407114045E-4</v>
      </c>
      <c r="O55" s="1">
        <f t="shared" si="1"/>
        <v>1.4471275409930781E-4</v>
      </c>
    </row>
    <row r="56" spans="4:15" x14ac:dyDescent="0.25">
      <c r="D56" s="3">
        <v>46015</v>
      </c>
      <c r="E56" s="2">
        <v>5.5770893170854097E-2</v>
      </c>
      <c r="F56" s="2">
        <v>5.5780225909914903E-2</v>
      </c>
      <c r="G56" s="2">
        <v>5.5775557000000003E-2</v>
      </c>
      <c r="H56" s="2">
        <v>0.18087761820352299</v>
      </c>
      <c r="I56" s="2">
        <v>0.18090379536162701</v>
      </c>
      <c r="J56" s="2">
        <v>0.18089069999999999</v>
      </c>
      <c r="K56">
        <f t="shared" si="2"/>
        <v>-8.3775201357161322E-5</v>
      </c>
      <c r="L56">
        <f t="shared" si="0"/>
        <v>2.9394456237488154E-3</v>
      </c>
      <c r="M56" s="1">
        <f t="shared" si="3"/>
        <v>1.4981027200593332E-3</v>
      </c>
      <c r="N56" s="1">
        <f t="shared" si="4"/>
        <v>1.6732668507113955E-4</v>
      </c>
      <c r="O56" s="1">
        <f t="shared" si="1"/>
        <v>1.4471257009906102E-4</v>
      </c>
    </row>
    <row r="57" spans="4:15" x14ac:dyDescent="0.25">
      <c r="D57" s="5">
        <v>46014</v>
      </c>
      <c r="E57" s="4">
        <v>5.5775559149980503E-2</v>
      </c>
      <c r="F57" s="4">
        <v>5.5784893450853502E-2</v>
      </c>
      <c r="G57" s="4">
        <v>5.578023E-2</v>
      </c>
      <c r="H57" s="4">
        <v>0.18034265103697</v>
      </c>
      <c r="I57" s="4">
        <v>0.18037843395443601</v>
      </c>
      <c r="J57" s="4">
        <v>0.18036054000000001</v>
      </c>
      <c r="K57">
        <f t="shared" si="2"/>
        <v>2.9006326985969721E-3</v>
      </c>
      <c r="L57">
        <f t="shared" si="0"/>
        <v>2.7234010568037981E-3</v>
      </c>
      <c r="M57" s="1">
        <f t="shared" si="3"/>
        <v>2.8078975537472101E-3</v>
      </c>
      <c r="N57" s="1">
        <f t="shared" si="4"/>
        <v>1.6734066663045056E-4</v>
      </c>
      <c r="O57" s="1">
        <f t="shared" si="1"/>
        <v>1.9839659753737729E-4</v>
      </c>
    </row>
    <row r="58" spans="4:15" x14ac:dyDescent="0.25">
      <c r="D58" s="3">
        <v>46013</v>
      </c>
      <c r="E58" s="2">
        <v>5.5614259496134799E-2</v>
      </c>
      <c r="F58" s="2">
        <v>5.5623539882078098E-2</v>
      </c>
      <c r="G58" s="2">
        <v>5.5618899999999999E-2</v>
      </c>
      <c r="H58" s="2">
        <v>0.17984964569619799</v>
      </c>
      <c r="I58" s="2">
        <v>0.179891705193474</v>
      </c>
      <c r="J58" s="2">
        <v>0.17987068000000001</v>
      </c>
      <c r="K58">
        <f t="shared" si="2"/>
        <v>2.0857560944216313E-3</v>
      </c>
      <c r="L58">
        <f t="shared" si="0"/>
        <v>-9.4251570584152899E-3</v>
      </c>
      <c r="M58" s="1">
        <f t="shared" si="3"/>
        <v>-3.9372440187696242E-3</v>
      </c>
      <c r="N58" s="1">
        <f t="shared" si="4"/>
        <v>1.6685669697348479E-4</v>
      </c>
      <c r="O58" s="1">
        <f t="shared" si="1"/>
        <v>2.3383186896279651E-4</v>
      </c>
    </row>
    <row r="59" spans="4:15" x14ac:dyDescent="0.25">
      <c r="D59" s="5">
        <v>46010</v>
      </c>
      <c r="E59" s="4">
        <v>5.54985154147127E-2</v>
      </c>
      <c r="F59" s="4">
        <v>5.5507757209070002E-2</v>
      </c>
      <c r="G59" s="4">
        <v>5.5503134000000003E-2</v>
      </c>
      <c r="H59" s="4">
        <v>0.181560695740586</v>
      </c>
      <c r="I59" s="4">
        <v>0.181603559429765</v>
      </c>
      <c r="J59" s="4">
        <v>0.18158212000000001</v>
      </c>
      <c r="K59">
        <f t="shared" si="2"/>
        <v>-1.665164452437029E-3</v>
      </c>
      <c r="L59">
        <f t="shared" si="0"/>
        <v>8.0805571081432603E-4</v>
      </c>
      <c r="M59" s="1">
        <f t="shared" si="3"/>
        <v>-3.710703066968568E-4</v>
      </c>
      <c r="N59" s="1">
        <f t="shared" si="4"/>
        <v>1.6650941471705487E-4</v>
      </c>
      <c r="O59" s="1">
        <f t="shared" si="1"/>
        <v>2.3605677243439905E-4</v>
      </c>
    </row>
    <row r="60" spans="4:15" x14ac:dyDescent="0.25">
      <c r="D60" s="3">
        <v>46009</v>
      </c>
      <c r="E60" s="2">
        <v>5.5591072073825E-2</v>
      </c>
      <c r="F60" s="2">
        <v>5.5600344722137297E-2</v>
      </c>
      <c r="G60" s="2">
        <v>5.559571E-2</v>
      </c>
      <c r="H60" s="2">
        <v>0.181409186561207</v>
      </c>
      <c r="I60" s="2">
        <v>0.181461856717718</v>
      </c>
      <c r="J60" s="2">
        <v>0.18143550999999999</v>
      </c>
      <c r="K60">
        <f t="shared" si="2"/>
        <v>1.4177639281662824E-3</v>
      </c>
      <c r="L60">
        <f t="shared" si="0"/>
        <v>2.0864614790838676E-3</v>
      </c>
      <c r="M60" s="1">
        <f t="shared" si="3"/>
        <v>1.7676549725509508E-3</v>
      </c>
      <c r="N60" s="1">
        <f t="shared" si="4"/>
        <v>1.6678711922731717E-4</v>
      </c>
      <c r="O60" s="1">
        <f t="shared" si="1"/>
        <v>2.9029684713319497E-4</v>
      </c>
    </row>
    <row r="61" spans="4:15" x14ac:dyDescent="0.25">
      <c r="D61" s="5">
        <v>46008</v>
      </c>
      <c r="E61" s="4">
        <v>5.5512379260575097E-2</v>
      </c>
      <c r="F61" s="4">
        <v>5.5521625673199702E-2</v>
      </c>
      <c r="G61" s="4">
        <v>5.5516999999999997E-2</v>
      </c>
      <c r="H61" s="4">
        <v>0.18103807230660601</v>
      </c>
      <c r="I61" s="4">
        <v>0.18107741059302901</v>
      </c>
      <c r="J61" s="4">
        <v>0.18105773999999999</v>
      </c>
      <c r="K61">
        <f t="shared" si="2"/>
        <v>-3.3865505563619447E-3</v>
      </c>
      <c r="L61">
        <f t="shared" si="0"/>
        <v>-1.0175485842014442E-2</v>
      </c>
      <c r="M61" s="1">
        <f t="shared" si="3"/>
        <v>-6.93881069863012E-3</v>
      </c>
      <c r="N61" s="1">
        <f t="shared" si="4"/>
        <v>1.6655101364637087E-4</v>
      </c>
      <c r="O61" s="1">
        <f t="shared" si="1"/>
        <v>2.1726928891853121E-4</v>
      </c>
    </row>
    <row r="62" spans="4:15" x14ac:dyDescent="0.25">
      <c r="D62" s="3">
        <v>46007</v>
      </c>
      <c r="E62" s="2">
        <v>5.5700997047847201E-2</v>
      </c>
      <c r="F62" s="2">
        <v>5.5710306406685201E-2</v>
      </c>
      <c r="G62" s="2">
        <v>5.5705650000000002E-2</v>
      </c>
      <c r="H62" s="2">
        <v>0.182898948331047</v>
      </c>
      <c r="I62" s="2">
        <v>0.18293909957375201</v>
      </c>
      <c r="J62" s="2">
        <v>0.18291903000000001</v>
      </c>
      <c r="K62">
        <f t="shared" si="2"/>
        <v>1.3925674798229704E-3</v>
      </c>
      <c r="L62">
        <f t="shared" si="0"/>
        <v>-1.1779881823546945E-2</v>
      </c>
      <c r="M62" s="1">
        <f t="shared" si="3"/>
        <v>-5.4998191268512278E-3</v>
      </c>
      <c r="N62" s="1">
        <f t="shared" si="4"/>
        <v>1.6711695919534181E-4</v>
      </c>
      <c r="O62" s="1">
        <f t="shared" si="1"/>
        <v>2.1950281884291112E-4</v>
      </c>
    </row>
    <row r="63" spans="4:15" x14ac:dyDescent="0.25">
      <c r="D63" s="5">
        <v>46006</v>
      </c>
      <c r="E63" s="4">
        <v>5.5623539882078098E-2</v>
      </c>
      <c r="F63" s="4">
        <v>5.5632823365785802E-2</v>
      </c>
      <c r="G63" s="4">
        <v>5.5628183999999997E-2</v>
      </c>
      <c r="H63" s="4">
        <v>0.185085787262396</v>
      </c>
      <c r="I63" s="4">
        <v>0.18511319671979401</v>
      </c>
      <c r="J63" s="4">
        <v>0.18509948000000001</v>
      </c>
      <c r="K63">
        <f t="shared" si="2"/>
        <v>4.7840335598345884E-3</v>
      </c>
      <c r="L63">
        <f t="shared" si="0"/>
        <v>2.6746733524833921E-3</v>
      </c>
      <c r="M63" s="1">
        <f t="shared" si="3"/>
        <v>3.6803264430359302E-3</v>
      </c>
      <c r="N63" s="1">
        <f t="shared" si="4"/>
        <v>1.6688453658139649E-4</v>
      </c>
      <c r="O63" s="1">
        <f t="shared" si="1"/>
        <v>1.4807960237389305E-4</v>
      </c>
    </row>
    <row r="64" spans="4:15" x14ac:dyDescent="0.25">
      <c r="D64" s="3">
        <v>46003</v>
      </c>
      <c r="E64" s="2">
        <v>5.5358724534986699E-2</v>
      </c>
      <c r="F64" s="2">
        <v>5.5367919827252102E-2</v>
      </c>
      <c r="G64" s="2">
        <v>5.5363323999999998E-2</v>
      </c>
      <c r="H64" s="2">
        <v>0.18459039391590101</v>
      </c>
      <c r="I64" s="2">
        <v>0.18462106526354699</v>
      </c>
      <c r="J64" s="2">
        <v>0.18460572</v>
      </c>
      <c r="K64">
        <f t="shared" si="2"/>
        <v>-9.1347045995271436E-4</v>
      </c>
      <c r="L64">
        <f t="shared" si="0"/>
        <v>-1.7537442808100989E-3</v>
      </c>
      <c r="M64" s="1">
        <f t="shared" si="3"/>
        <v>-1.3531375177211393E-3</v>
      </c>
      <c r="N64" s="1">
        <f t="shared" si="4"/>
        <v>1.6608995994176376E-4</v>
      </c>
      <c r="O64" s="1">
        <f t="shared" si="1"/>
        <v>1.6614516411505263E-4</v>
      </c>
    </row>
    <row r="65" spans="4:15" x14ac:dyDescent="0.25">
      <c r="D65" s="5">
        <v>46002</v>
      </c>
      <c r="E65" s="4">
        <v>5.5409336473195701E-2</v>
      </c>
      <c r="F65" s="4">
        <v>5.5418548588212498E-2</v>
      </c>
      <c r="G65" s="4">
        <v>5.5413943E-2</v>
      </c>
      <c r="H65" s="4">
        <v>0.18491124260354999</v>
      </c>
      <c r="I65" s="4">
        <v>0.18494886163975699</v>
      </c>
      <c r="J65" s="4">
        <v>0.18493003999999999</v>
      </c>
      <c r="K65">
        <f t="shared" si="2"/>
        <v>8.5059907654285727E-3</v>
      </c>
      <c r="L65">
        <f t="shared" si="0"/>
        <v>1.4221139977075303E-2</v>
      </c>
      <c r="M65" s="1">
        <f t="shared" si="3"/>
        <v>1.1496400291728369E-2</v>
      </c>
      <c r="N65" s="1">
        <f t="shared" si="4"/>
        <v>1.6624182503663737E-4</v>
      </c>
      <c r="O65" s="1">
        <f t="shared" si="1"/>
        <v>2.034230685668935E-4</v>
      </c>
    </row>
    <row r="66" spans="4:15" x14ac:dyDescent="0.25">
      <c r="D66" s="3">
        <v>46001</v>
      </c>
      <c r="E66" s="2">
        <v>5.4942036151859802E-2</v>
      </c>
      <c r="F66" s="2">
        <v>5.4951093526761197E-2</v>
      </c>
      <c r="G66" s="2">
        <v>5.4946568000000001E-2</v>
      </c>
      <c r="H66" s="2">
        <v>0.182312081821662</v>
      </c>
      <c r="I66" s="2">
        <v>0.18236195200233399</v>
      </c>
      <c r="J66" s="2">
        <v>0.182337</v>
      </c>
      <c r="K66">
        <f t="shared" si="2"/>
        <v>4.9456105744183354E-4</v>
      </c>
      <c r="L66">
        <f t="shared" si="0"/>
        <v>-9.3904635883341747E-3</v>
      </c>
      <c r="M66" s="1">
        <f t="shared" si="3"/>
        <v>-4.6777049278795774E-3</v>
      </c>
      <c r="N66" s="1">
        <f t="shared" si="4"/>
        <v>1.6483968391609947E-4</v>
      </c>
      <c r="O66" s="1">
        <f t="shared" si="1"/>
        <v>2.7350554562148544E-4</v>
      </c>
    </row>
    <row r="67" spans="4:15" x14ac:dyDescent="0.25">
      <c r="D67" s="5">
        <v>46000</v>
      </c>
      <c r="E67" s="4">
        <v>5.4914881933003798E-2</v>
      </c>
      <c r="F67" s="4">
        <v>5.4923930356456298E-2</v>
      </c>
      <c r="G67" s="4">
        <v>5.4919407000000003E-2</v>
      </c>
      <c r="H67" s="4">
        <v>0.18404004711425201</v>
      </c>
      <c r="I67" s="4">
        <v>0.18409086725207599</v>
      </c>
      <c r="J67" s="4">
        <v>0.18406545999999999</v>
      </c>
      <c r="K67">
        <f t="shared" si="2"/>
        <v>1.3180821145848398E-3</v>
      </c>
      <c r="L67">
        <f t="shared" si="0"/>
        <v>2.5125249075252931E-3</v>
      </c>
      <c r="M67" s="1">
        <f t="shared" si="3"/>
        <v>1.943065465736942E-3</v>
      </c>
      <c r="N67" s="1">
        <f t="shared" si="4"/>
        <v>1.6475821475093208E-4</v>
      </c>
      <c r="O67" s="1">
        <f t="shared" si="1"/>
        <v>2.760981762900081E-4</v>
      </c>
    </row>
    <row r="68" spans="4:15" x14ac:dyDescent="0.25">
      <c r="D68" s="3">
        <v>45999</v>
      </c>
      <c r="E68" s="2">
        <v>5.48426017330262E-2</v>
      </c>
      <c r="F68" s="2">
        <v>5.48516263507213E-2</v>
      </c>
      <c r="G68" s="2">
        <v>5.4847114000000002E-2</v>
      </c>
      <c r="H68" s="2">
        <v>0.18357044515832999</v>
      </c>
      <c r="I68" s="2">
        <v>0.18363786612799601</v>
      </c>
      <c r="J68" s="2">
        <v>0.18360414999999999</v>
      </c>
      <c r="K68">
        <f t="shared" si="2"/>
        <v>-3.6473331258534136E-3</v>
      </c>
      <c r="L68">
        <f t="shared" si="0"/>
        <v>-1.3164390465685072E-2</v>
      </c>
      <c r="M68" s="1">
        <f t="shared" si="3"/>
        <v>-8.627062941721813E-3</v>
      </c>
      <c r="N68" s="1">
        <f t="shared" si="4"/>
        <v>1.6454134113783576E-4</v>
      </c>
      <c r="O68" s="1">
        <f t="shared" si="1"/>
        <v>3.6720831019356929E-4</v>
      </c>
    </row>
    <row r="69" spans="4:15" x14ac:dyDescent="0.25">
      <c r="D69" s="5">
        <v>45996</v>
      </c>
      <c r="E69" s="4">
        <v>5.5043346635475401E-2</v>
      </c>
      <c r="F69" s="4">
        <v>5.50524374466679E-2</v>
      </c>
      <c r="G69" s="4">
        <v>5.5047892000000001E-2</v>
      </c>
      <c r="H69" s="4">
        <v>0.18602574596324101</v>
      </c>
      <c r="I69" s="4">
        <v>0.186081131373279</v>
      </c>
      <c r="J69" s="4">
        <v>0.18605342999999999</v>
      </c>
      <c r="K69">
        <f t="shared" si="2"/>
        <v>3.4130474210569695E-3</v>
      </c>
      <c r="L69">
        <f t="shared" si="0"/>
        <v>-1.5172625596125866E-2</v>
      </c>
      <c r="M69" s="1">
        <f t="shared" si="3"/>
        <v>-6.3117684297723234E-3</v>
      </c>
      <c r="N69" s="1">
        <f t="shared" si="4"/>
        <v>1.6514367512017323E-4</v>
      </c>
      <c r="O69" s="1">
        <f t="shared" si="1"/>
        <v>2.9768550914645694E-4</v>
      </c>
    </row>
    <row r="70" spans="4:15" x14ac:dyDescent="0.25">
      <c r="D70" s="3">
        <v>45995</v>
      </c>
      <c r="E70" s="2">
        <v>5.4856139773444099E-2</v>
      </c>
      <c r="F70" s="2">
        <v>5.48651688475571E-2</v>
      </c>
      <c r="G70" s="2">
        <v>5.4860649999999997E-2</v>
      </c>
      <c r="H70" s="2">
        <v>0.18890022290226299</v>
      </c>
      <c r="I70" s="2">
        <v>0.18893948268369601</v>
      </c>
      <c r="J70" s="2">
        <v>0.18891984000000001</v>
      </c>
      <c r="K70">
        <f t="shared" si="2"/>
        <v>1.4811193563870617E-3</v>
      </c>
      <c r="L70">
        <f t="shared" si="0"/>
        <v>1.5113334102014875E-3</v>
      </c>
      <c r="M70" s="1">
        <f t="shared" si="3"/>
        <v>1.4969286364266217E-3</v>
      </c>
      <c r="N70" s="1">
        <f t="shared" si="4"/>
        <v>1.6458197474877048E-4</v>
      </c>
      <c r="O70" s="1">
        <f t="shared" si="1"/>
        <v>2.0781184989895893E-4</v>
      </c>
    </row>
    <row r="71" spans="4:15" x14ac:dyDescent="0.25">
      <c r="D71" s="5">
        <v>45994</v>
      </c>
      <c r="E71" s="4">
        <v>5.4775011639690001E-2</v>
      </c>
      <c r="F71" s="4">
        <v>5.4784014024707603E-2</v>
      </c>
      <c r="G71" s="4">
        <v>5.4779515000000001E-2</v>
      </c>
      <c r="H71" s="4">
        <v>0.18860807242550001</v>
      </c>
      <c r="I71" s="4">
        <v>0.18866144703329901</v>
      </c>
      <c r="J71" s="4">
        <v>0.18863474999999999</v>
      </c>
      <c r="K71">
        <f t="shared" si="2"/>
        <v>1.684464917656836E-3</v>
      </c>
      <c r="L71">
        <f t="shared" si="0"/>
        <v>7.4604565839164749E-3</v>
      </c>
      <c r="M71" s="1">
        <f t="shared" si="3"/>
        <v>4.7067098080285155E-3</v>
      </c>
      <c r="N71" s="1">
        <f t="shared" si="4"/>
        <v>1.6433853088334467E-4</v>
      </c>
      <c r="O71" s="1">
        <f t="shared" si="1"/>
        <v>2.8295214852512855E-4</v>
      </c>
    </row>
    <row r="72" spans="4:15" x14ac:dyDescent="0.25">
      <c r="D72" s="3">
        <v>45993</v>
      </c>
      <c r="E72" s="2">
        <v>5.4682757979581498E-2</v>
      </c>
      <c r="F72" s="2">
        <v>5.46920291836668E-2</v>
      </c>
      <c r="G72" s="2">
        <v>5.4687395999999999E-2</v>
      </c>
      <c r="H72" s="2">
        <v>0.187213329589067</v>
      </c>
      <c r="I72" s="2">
        <v>0.18726241081627701</v>
      </c>
      <c r="J72" s="2">
        <v>0.18723787</v>
      </c>
      <c r="K72">
        <f t="shared" si="2"/>
        <v>-1.3261683246008626E-3</v>
      </c>
      <c r="L72">
        <f t="shared" si="0"/>
        <v>1.0017616099267102E-3</v>
      </c>
      <c r="M72" s="1">
        <f t="shared" si="3"/>
        <v>-1.0809621572518155E-4</v>
      </c>
      <c r="N72" s="1">
        <f t="shared" si="4"/>
        <v>1.6953091138774296E-4</v>
      </c>
      <c r="O72" s="1">
        <f t="shared" si="1"/>
        <v>2.6213301406391334E-4</v>
      </c>
    </row>
    <row r="73" spans="4:15" x14ac:dyDescent="0.25">
      <c r="D73" s="5">
        <v>45992</v>
      </c>
      <c r="E73" s="4">
        <v>5.4754916991545798E-2</v>
      </c>
      <c r="F73" s="4">
        <v>5.4765112432775799E-2</v>
      </c>
      <c r="G73" s="4">
        <v>5.4760017000000001E-2</v>
      </c>
      <c r="H73" s="4">
        <v>0.187034751056746</v>
      </c>
      <c r="I73" s="4">
        <v>0.187066240155639</v>
      </c>
      <c r="J73" s="4">
        <v>0.18705049000000001</v>
      </c>
      <c r="K73">
        <f t="shared" si="2"/>
        <v>3.3951428947112117E-3</v>
      </c>
      <c r="L73">
        <f t="shared" si="0"/>
        <v>-5.517922803153219E-4</v>
      </c>
      <c r="M73" s="1">
        <f t="shared" si="3"/>
        <v>1.3299382762501177E-3</v>
      </c>
      <c r="N73" s="1">
        <f t="shared" si="4"/>
        <v>1.8618404062952518E-4</v>
      </c>
      <c r="O73" s="1">
        <f t="shared" si="1"/>
        <v>1.6834544989965304E-4</v>
      </c>
    </row>
    <row r="74" spans="4:15" x14ac:dyDescent="0.25">
      <c r="D74" s="3">
        <v>45989</v>
      </c>
      <c r="E74" s="2">
        <v>5.4569068069455502E-2</v>
      </c>
      <c r="F74" s="2">
        <v>5.4580385992489697E-2</v>
      </c>
      <c r="G74" s="2">
        <v>5.4574728000000003E-2</v>
      </c>
      <c r="H74" s="2">
        <v>0.18712574850299399</v>
      </c>
      <c r="I74" s="2">
        <v>0.18718179095537599</v>
      </c>
      <c r="J74" s="2">
        <v>0.18715376</v>
      </c>
      <c r="K74">
        <f t="shared" si="2"/>
        <v>8.7329036877270561E-4</v>
      </c>
      <c r="L74">
        <f t="shared" si="0"/>
        <v>9.7319488821323574E-4</v>
      </c>
      <c r="M74" s="1">
        <f t="shared" si="3"/>
        <v>9.2556466916131829E-4</v>
      </c>
      <c r="N74" s="1">
        <f t="shared" si="4"/>
        <v>2.0738395680496084E-4</v>
      </c>
      <c r="O74" s="1">
        <f t="shared" si="1"/>
        <v>2.9944604042151822E-4</v>
      </c>
    </row>
    <row r="75" spans="4:15" x14ac:dyDescent="0.25">
      <c r="D75" s="5">
        <v>45988</v>
      </c>
      <c r="E75" s="4">
        <v>5.4522059625324401E-2</v>
      </c>
      <c r="F75" s="4">
        <v>5.4532168526213599E-2</v>
      </c>
      <c r="G75" s="4">
        <v>5.4527109999999997E-2</v>
      </c>
      <c r="H75" s="4">
        <v>0.18695782231528599</v>
      </c>
      <c r="I75" s="4">
        <v>0.18698578908003</v>
      </c>
      <c r="J75" s="4">
        <v>0.18697179999999999</v>
      </c>
      <c r="K75">
        <f t="shared" si="2"/>
        <v>5.7248330847259332E-4</v>
      </c>
      <c r="L75">
        <f t="shared" si="0"/>
        <v>1.1218003377448937E-3</v>
      </c>
      <c r="M75" s="1">
        <f t="shared" si="3"/>
        <v>8.5990937845988567E-4</v>
      </c>
      <c r="N75" s="1">
        <f t="shared" si="4"/>
        <v>1.8539220012207328E-4</v>
      </c>
      <c r="O75" s="1">
        <f t="shared" si="1"/>
        <v>1.4957744827834199E-4</v>
      </c>
    </row>
    <row r="76" spans="4:15" x14ac:dyDescent="0.25">
      <c r="D76" s="3">
        <v>45987</v>
      </c>
      <c r="E76" s="2">
        <v>5.4491458463885797E-2</v>
      </c>
      <c r="F76" s="2">
        <v>5.4500367877483198E-2</v>
      </c>
      <c r="G76" s="2">
        <v>5.4495912000000001E-2</v>
      </c>
      <c r="H76" s="2">
        <v>0.186737876043398</v>
      </c>
      <c r="I76" s="2">
        <v>0.18678670825784</v>
      </c>
      <c r="J76" s="2">
        <v>0.18676229</v>
      </c>
      <c r="K76">
        <f t="shared" si="2"/>
        <v>5.4222893898792091E-3</v>
      </c>
      <c r="L76">
        <f t="shared" si="0"/>
        <v>7.535872390424414E-3</v>
      </c>
      <c r="M76" s="1">
        <f t="shared" si="3"/>
        <v>6.5282060519630918E-3</v>
      </c>
      <c r="N76" s="1">
        <f t="shared" si="4"/>
        <v>1.6348774193192275E-4</v>
      </c>
      <c r="O76" s="1">
        <f t="shared" si="1"/>
        <v>2.6146720755025328E-4</v>
      </c>
    </row>
    <row r="77" spans="4:15" x14ac:dyDescent="0.25">
      <c r="D77" s="5">
        <v>45986</v>
      </c>
      <c r="E77" s="4">
        <v>5.41976044658826E-2</v>
      </c>
      <c r="F77" s="4">
        <v>5.4206418039895898E-2</v>
      </c>
      <c r="G77" s="4">
        <v>5.4202013E-2</v>
      </c>
      <c r="H77" s="4">
        <v>0.18533963488091901</v>
      </c>
      <c r="I77" s="4">
        <v>0.18539117538005201</v>
      </c>
      <c r="J77" s="4">
        <v>0.18536540000000001</v>
      </c>
      <c r="K77">
        <f t="shared" si="2"/>
        <v>3.848374667786203E-3</v>
      </c>
      <c r="L77">
        <f t="shared" si="0"/>
        <v>1.9462650623092159E-4</v>
      </c>
      <c r="M77" s="1">
        <f t="shared" si="3"/>
        <v>1.9365779842019657E-3</v>
      </c>
      <c r="N77" s="1">
        <f t="shared" si="4"/>
        <v>1.6260602744216484E-4</v>
      </c>
      <c r="O77" s="1">
        <f t="shared" si="1"/>
        <v>2.7804811001946162E-4</v>
      </c>
    </row>
    <row r="78" spans="4:15" x14ac:dyDescent="0.25">
      <c r="D78" s="3">
        <v>45985</v>
      </c>
      <c r="E78" s="2">
        <v>5.3989849908217299E-2</v>
      </c>
      <c r="F78" s="2">
        <v>5.3998596036503102E-2</v>
      </c>
      <c r="G78" s="2">
        <v>5.3994223000000001E-2</v>
      </c>
      <c r="H78" s="2">
        <v>0.18531559245394899</v>
      </c>
      <c r="I78" s="2">
        <v>0.18534307002261199</v>
      </c>
      <c r="J78" s="2">
        <v>0.18532932999999999</v>
      </c>
      <c r="K78">
        <f t="shared" si="2"/>
        <v>-7.8289634004613529E-4</v>
      </c>
      <c r="L78">
        <f t="shared" si="0"/>
        <v>3.6787425727746736E-3</v>
      </c>
      <c r="M78" s="1">
        <f t="shared" si="3"/>
        <v>1.551623199814644E-3</v>
      </c>
      <c r="N78" s="1">
        <f t="shared" si="4"/>
        <v>1.6198266777174602E-4</v>
      </c>
      <c r="O78" s="1">
        <f t="shared" si="1"/>
        <v>1.4826346516767504E-4</v>
      </c>
    </row>
    <row r="79" spans="4:15" x14ac:dyDescent="0.25">
      <c r="D79" s="5">
        <v>45982</v>
      </c>
      <c r="E79" s="4">
        <v>5.4032149128731603E-2</v>
      </c>
      <c r="F79" s="4">
        <v>5.4040908968088802E-2</v>
      </c>
      <c r="G79" s="4">
        <v>5.4036528E-2</v>
      </c>
      <c r="H79" s="4">
        <v>0.18462447382024999</v>
      </c>
      <c r="I79" s="4">
        <v>0.18467561727825099</v>
      </c>
      <c r="J79" s="4">
        <v>0.18465005000000001</v>
      </c>
      <c r="K79">
        <f t="shared" si="2"/>
        <v>-1.0077777272973765E-2</v>
      </c>
      <c r="L79">
        <f t="shared" si="0"/>
        <v>-1.5399751591796518E-2</v>
      </c>
      <c r="M79" s="1">
        <f t="shared" si="3"/>
        <v>-1.2862460946550995E-2</v>
      </c>
      <c r="N79" s="1">
        <f t="shared" si="4"/>
        <v>1.621095892245126E-4</v>
      </c>
      <c r="O79" s="1">
        <f t="shared" si="1"/>
        <v>2.7697505633495211E-4</v>
      </c>
    </row>
    <row r="80" spans="4:15" x14ac:dyDescent="0.25">
      <c r="D80" s="3">
        <v>45981</v>
      </c>
      <c r="E80" s="2">
        <v>5.4582173462147297E-2</v>
      </c>
      <c r="F80" s="2">
        <v>5.45911125668741E-2</v>
      </c>
      <c r="G80" s="2">
        <v>5.4586639999999999E-2</v>
      </c>
      <c r="H80" s="2">
        <v>0.18751875187518799</v>
      </c>
      <c r="I80" s="2">
        <v>0.187557439465836</v>
      </c>
      <c r="J80" s="2">
        <v>0.18753808999999999</v>
      </c>
      <c r="K80">
        <f t="shared" ref="K80:K143" si="5">G80/G81-1</f>
        <v>1.9650663999197793E-3</v>
      </c>
      <c r="L80">
        <f t="shared" ref="L80:L143" si="6">J80/J81-1</f>
        <v>5.7194414431904761E-4</v>
      </c>
      <c r="M80" s="1">
        <f t="shared" ref="M80:M143" si="7">SUMPRODUCT(K80:L80,$O$11:$P$11)</f>
        <v>1.2361254903878089E-3</v>
      </c>
      <c r="N80" s="1">
        <f t="shared" ref="N80:N143" si="8">(F80-E80)/G80</f>
        <v>1.637599369883014E-4</v>
      </c>
      <c r="O80" s="1">
        <f t="shared" ref="O80:O143" si="9">(I80-H80)/J80</f>
        <v>2.0629190927566872E-4</v>
      </c>
    </row>
    <row r="81" spans="4:15" x14ac:dyDescent="0.25">
      <c r="D81" s="5">
        <v>45980</v>
      </c>
      <c r="E81" s="4">
        <v>5.44751321021954E-2</v>
      </c>
      <c r="F81" s="4">
        <v>5.4484036177399997E-2</v>
      </c>
      <c r="G81" s="4">
        <v>5.4479583999999998E-2</v>
      </c>
      <c r="H81" s="4">
        <v>0.18741683378001001</v>
      </c>
      <c r="I81" s="4">
        <v>0.18744493804944801</v>
      </c>
      <c r="J81" s="4">
        <v>0.18743088999999999</v>
      </c>
      <c r="K81">
        <f t="shared" si="5"/>
        <v>2.4243103146641687E-3</v>
      </c>
      <c r="L81">
        <f t="shared" si="6"/>
        <v>5.7163048306563269E-4</v>
      </c>
      <c r="M81" s="1">
        <f t="shared" si="7"/>
        <v>1.4549093047473293E-3</v>
      </c>
      <c r="N81" s="1">
        <f t="shared" si="8"/>
        <v>1.6343875174591225E-4</v>
      </c>
      <c r="O81" s="1">
        <f t="shared" si="9"/>
        <v>1.4994470462153121E-4</v>
      </c>
    </row>
    <row r="82" spans="4:15" x14ac:dyDescent="0.25">
      <c r="D82" s="3">
        <v>45979</v>
      </c>
      <c r="E82" s="2">
        <v>5.4342509971850597E-2</v>
      </c>
      <c r="F82" s="2">
        <v>5.4353143242273701E-2</v>
      </c>
      <c r="G82" s="2">
        <v>5.4347828000000001E-2</v>
      </c>
      <c r="H82" s="2">
        <v>0.187304500927157</v>
      </c>
      <c r="I82" s="2">
        <v>0.18734310015362099</v>
      </c>
      <c r="J82" s="2">
        <v>0.18732381000000001</v>
      </c>
      <c r="K82">
        <f t="shared" si="5"/>
        <v>-2.0652108049350471E-3</v>
      </c>
      <c r="L82">
        <f t="shared" si="6"/>
        <v>-5.2824840456545674E-3</v>
      </c>
      <c r="M82" s="1">
        <f t="shared" si="7"/>
        <v>-3.7486252166096887E-3</v>
      </c>
      <c r="N82" s="1">
        <f t="shared" si="8"/>
        <v>1.9565216889814849E-4</v>
      </c>
      <c r="O82" s="1">
        <f t="shared" si="9"/>
        <v>2.060561680012099E-4</v>
      </c>
    </row>
    <row r="83" spans="4:15" x14ac:dyDescent="0.25">
      <c r="D83" s="5">
        <v>45978</v>
      </c>
      <c r="E83" s="4">
        <v>5.4454960302333898E-2</v>
      </c>
      <c r="F83" s="4">
        <v>5.4465637629219701E-2</v>
      </c>
      <c r="G83" s="4">
        <v>5.4460300000000003E-2</v>
      </c>
      <c r="H83" s="4">
        <v>0.18829909428135699</v>
      </c>
      <c r="I83" s="4">
        <v>0.18833810456531599</v>
      </c>
      <c r="J83" s="4">
        <v>0.1883186</v>
      </c>
      <c r="K83">
        <f t="shared" si="5"/>
        <v>-2.831916124087952E-3</v>
      </c>
      <c r="L83">
        <f t="shared" si="6"/>
        <v>-6.5345947145896144E-3</v>
      </c>
      <c r="M83" s="1">
        <f t="shared" si="7"/>
        <v>-4.7693152924767864E-3</v>
      </c>
      <c r="N83" s="1">
        <f t="shared" si="8"/>
        <v>1.9605707066989623E-4</v>
      </c>
      <c r="O83" s="1">
        <f t="shared" si="9"/>
        <v>2.0715045650828538E-4</v>
      </c>
    </row>
    <row r="84" spans="4:15" x14ac:dyDescent="0.25">
      <c r="D84" s="3">
        <v>45975</v>
      </c>
      <c r="E84" s="2">
        <v>5.4608701350473202E-2</v>
      </c>
      <c r="F84" s="2">
        <v>5.46212290868969E-2</v>
      </c>
      <c r="G84" s="2">
        <v>5.4614965000000001E-2</v>
      </c>
      <c r="H84" s="2">
        <v>0.18953752843062899</v>
      </c>
      <c r="I84" s="2">
        <v>0.18957705359343299</v>
      </c>
      <c r="J84" s="2">
        <v>0.18955727999999999</v>
      </c>
      <c r="K84">
        <f t="shared" si="5"/>
        <v>-1.9660997188453155E-3</v>
      </c>
      <c r="L84">
        <f t="shared" si="6"/>
        <v>1.3457824016287478E-3</v>
      </c>
      <c r="M84" s="1">
        <f t="shared" si="7"/>
        <v>-2.3318191105391292E-4</v>
      </c>
      <c r="N84" s="1">
        <f t="shared" si="8"/>
        <v>2.293828518190589E-4</v>
      </c>
      <c r="O84" s="1">
        <f t="shared" si="9"/>
        <v>2.0851302996120738E-4</v>
      </c>
    </row>
    <row r="85" spans="4:15" x14ac:dyDescent="0.25">
      <c r="D85" s="5">
        <v>45974</v>
      </c>
      <c r="E85" s="4">
        <v>5.4718065169215603E-2</v>
      </c>
      <c r="F85" s="4">
        <v>5.4727048843891103E-2</v>
      </c>
      <c r="G85" s="4">
        <v>5.4722554999999999E-2</v>
      </c>
      <c r="H85" s="4">
        <v>0.18928280744260001</v>
      </c>
      <c r="I85" s="4">
        <v>0.18932222642938301</v>
      </c>
      <c r="J85" s="4">
        <v>0.18930252</v>
      </c>
      <c r="K85">
        <f t="shared" si="5"/>
        <v>1.5048408382598577E-3</v>
      </c>
      <c r="L85">
        <f t="shared" si="6"/>
        <v>3.5589554410382362E-3</v>
      </c>
      <c r="M85" s="1">
        <f t="shared" si="7"/>
        <v>2.5796411013469661E-3</v>
      </c>
      <c r="N85" s="1">
        <f t="shared" si="8"/>
        <v>1.6416767593362732E-4</v>
      </c>
      <c r="O85" s="1">
        <f t="shared" si="9"/>
        <v>2.0823276300284819E-4</v>
      </c>
    </row>
    <row r="86" spans="4:15" x14ac:dyDescent="0.25">
      <c r="D86" s="3">
        <v>45973</v>
      </c>
      <c r="E86" s="2">
        <v>5.4635852046112703E-2</v>
      </c>
      <c r="F86" s="2">
        <v>5.4644808743169397E-2</v>
      </c>
      <c r="G86" s="2">
        <v>5.4640330000000001E-2</v>
      </c>
      <c r="H86" s="2">
        <v>0.18861162979309301</v>
      </c>
      <c r="I86" s="2">
        <v>0.18865076969514</v>
      </c>
      <c r="J86" s="2">
        <v>0.18863119</v>
      </c>
      <c r="K86">
        <f t="shared" si="5"/>
        <v>2.5680559599869923E-3</v>
      </c>
      <c r="L86">
        <f t="shared" si="6"/>
        <v>-4.8572976583194372E-3</v>
      </c>
      <c r="M86" s="1">
        <f t="shared" si="7"/>
        <v>-1.3172053646128327E-3</v>
      </c>
      <c r="N86" s="1">
        <f t="shared" si="8"/>
        <v>1.6392099126587544E-4</v>
      </c>
      <c r="O86" s="1">
        <f t="shared" si="9"/>
        <v>2.0749432820195987E-4</v>
      </c>
    </row>
    <row r="87" spans="4:15" x14ac:dyDescent="0.25">
      <c r="D87" s="5">
        <v>45972</v>
      </c>
      <c r="E87" s="4">
        <v>5.4495912806539502E-2</v>
      </c>
      <c r="F87" s="4">
        <v>5.4504823676895402E-2</v>
      </c>
      <c r="G87" s="4">
        <v>5.4500369999999999E-2</v>
      </c>
      <c r="H87" s="4">
        <v>0.18953393605124999</v>
      </c>
      <c r="I87" s="4">
        <v>0.189569865974105</v>
      </c>
      <c r="J87" s="4">
        <v>0.1895519</v>
      </c>
      <c r="K87">
        <f t="shared" si="5"/>
        <v>2.6432808914598205E-3</v>
      </c>
      <c r="L87">
        <f t="shared" si="6"/>
        <v>8.2928663795280855E-3</v>
      </c>
      <c r="M87" s="1">
        <f t="shared" si="7"/>
        <v>5.5993846846443419E-3</v>
      </c>
      <c r="N87" s="1">
        <f t="shared" si="8"/>
        <v>1.6350109835766851E-4</v>
      </c>
      <c r="O87" s="1">
        <f t="shared" si="9"/>
        <v>1.8955190032389407E-4</v>
      </c>
    </row>
    <row r="88" spans="4:15" x14ac:dyDescent="0.25">
      <c r="D88" s="3">
        <v>45971</v>
      </c>
      <c r="E88" s="2">
        <v>5.4352256977471002E-2</v>
      </c>
      <c r="F88" s="2">
        <v>5.4361120926313497E-2</v>
      </c>
      <c r="G88" s="2">
        <v>5.4356689999999999E-2</v>
      </c>
      <c r="H88" s="2">
        <v>0.18796639160917999</v>
      </c>
      <c r="I88" s="2">
        <v>0.18801940360245201</v>
      </c>
      <c r="J88" s="2">
        <v>0.18799289999999999</v>
      </c>
      <c r="K88">
        <f t="shared" si="5"/>
        <v>6.0607189063608402E-3</v>
      </c>
      <c r="L88">
        <f t="shared" si="6"/>
        <v>5.207492286879889E-3</v>
      </c>
      <c r="M88" s="1">
        <f t="shared" si="7"/>
        <v>5.6142743925782796E-3</v>
      </c>
      <c r="N88" s="1">
        <f t="shared" si="8"/>
        <v>1.6307006262698248E-4</v>
      </c>
      <c r="O88" s="1">
        <f t="shared" si="9"/>
        <v>2.8198933721439423E-4</v>
      </c>
    </row>
    <row r="89" spans="4:15" x14ac:dyDescent="0.25">
      <c r="D89" s="5">
        <v>45968</v>
      </c>
      <c r="E89" s="4">
        <v>5.4024559564778099E-2</v>
      </c>
      <c r="F89" s="4">
        <v>5.4033900869405502E-2</v>
      </c>
      <c r="G89" s="4">
        <v>5.4029234000000002E-2</v>
      </c>
      <c r="H89" s="4">
        <v>0.18699977560026901</v>
      </c>
      <c r="I89" s="4">
        <v>0.18703824932198601</v>
      </c>
      <c r="J89" s="4">
        <v>0.18701899999999999</v>
      </c>
      <c r="K89">
        <f t="shared" si="5"/>
        <v>7.7262720742836688E-3</v>
      </c>
      <c r="L89">
        <f t="shared" si="6"/>
        <v>1.4025708050875441E-3</v>
      </c>
      <c r="M89" s="1">
        <f t="shared" si="7"/>
        <v>4.4174421878581021E-3</v>
      </c>
      <c r="N89" s="1">
        <f t="shared" si="8"/>
        <v>1.7289352329893627E-4</v>
      </c>
      <c r="O89" s="1">
        <f t="shared" si="9"/>
        <v>2.0572092523755771E-4</v>
      </c>
    </row>
    <row r="90" spans="4:15" x14ac:dyDescent="0.25">
      <c r="D90" s="3">
        <v>45967</v>
      </c>
      <c r="E90" s="2">
        <v>5.3610679247306101E-2</v>
      </c>
      <c r="F90" s="2">
        <v>5.3619302949061698E-2</v>
      </c>
      <c r="G90" s="2">
        <v>5.3614990000000001E-2</v>
      </c>
      <c r="H90" s="2">
        <v>0.18673438900507899</v>
      </c>
      <c r="I90" s="2">
        <v>0.18677973066362799</v>
      </c>
      <c r="J90" s="2">
        <v>0.18675706</v>
      </c>
      <c r="K90">
        <f t="shared" si="5"/>
        <v>-2.7343850849584905E-3</v>
      </c>
      <c r="L90">
        <f t="shared" si="6"/>
        <v>1.6808830248835616E-3</v>
      </c>
      <c r="M90" s="1">
        <f t="shared" si="7"/>
        <v>-4.24128724558933E-4</v>
      </c>
      <c r="N90" s="1">
        <f t="shared" si="8"/>
        <v>1.6084497554876622E-4</v>
      </c>
      <c r="O90" s="1">
        <f t="shared" si="9"/>
        <v>2.4278417399051694E-4</v>
      </c>
    </row>
    <row r="91" spans="4:15" x14ac:dyDescent="0.25">
      <c r="D91" s="5">
        <v>45966</v>
      </c>
      <c r="E91" s="4">
        <v>5.3757660466616501E-2</v>
      </c>
      <c r="F91" s="4">
        <v>5.3766331523200199E-2</v>
      </c>
      <c r="G91" s="4">
        <v>5.3761995999999999E-2</v>
      </c>
      <c r="H91" s="4">
        <v>0.18642108795346901</v>
      </c>
      <c r="I91" s="4">
        <v>0.18646627757370099</v>
      </c>
      <c r="J91" s="4">
        <v>0.18644367000000001</v>
      </c>
      <c r="K91">
        <f t="shared" si="5"/>
        <v>-1.3466580559895469E-5</v>
      </c>
      <c r="L91">
        <f t="shared" si="6"/>
        <v>3.2440671394047271E-3</v>
      </c>
      <c r="M91" s="1">
        <f t="shared" si="7"/>
        <v>1.6910138289057753E-3</v>
      </c>
      <c r="N91" s="1">
        <f t="shared" si="8"/>
        <v>1.6128598692090641E-4</v>
      </c>
      <c r="O91" s="1">
        <f t="shared" si="9"/>
        <v>2.4237680062818933E-4</v>
      </c>
    </row>
    <row r="92" spans="4:15" x14ac:dyDescent="0.25">
      <c r="D92" s="3">
        <v>45965</v>
      </c>
      <c r="E92" s="2">
        <v>5.3758238450042503E-2</v>
      </c>
      <c r="F92" s="2">
        <v>5.37671987827106E-2</v>
      </c>
      <c r="G92" s="2">
        <v>5.376272E-2</v>
      </c>
      <c r="H92" s="2">
        <v>0.185821796896776</v>
      </c>
      <c r="I92" s="2">
        <v>0.18585978737640299</v>
      </c>
      <c r="J92" s="2">
        <v>0.18584079000000001</v>
      </c>
      <c r="K92">
        <f t="shared" si="5"/>
        <v>-6.4381068776414585E-3</v>
      </c>
      <c r="L92">
        <f t="shared" si="6"/>
        <v>-3.9770004560440997E-3</v>
      </c>
      <c r="M92" s="1">
        <f t="shared" si="7"/>
        <v>-5.1503511575660826E-3</v>
      </c>
      <c r="N92" s="1">
        <f t="shared" si="8"/>
        <v>1.6666442226317344E-4</v>
      </c>
      <c r="O92" s="1">
        <f t="shared" si="9"/>
        <v>2.0442487156340937E-4</v>
      </c>
    </row>
    <row r="93" spans="4:15" x14ac:dyDescent="0.25">
      <c r="D93" s="5">
        <v>45964</v>
      </c>
      <c r="E93" s="4">
        <v>5.4106698409263097E-2</v>
      </c>
      <c r="F93" s="4">
        <v>5.4115482439525901E-2</v>
      </c>
      <c r="G93" s="4">
        <v>5.4111092999999999E-2</v>
      </c>
      <c r="H93" s="4">
        <v>0.18657064497472001</v>
      </c>
      <c r="I93" s="4">
        <v>0.18659501418122099</v>
      </c>
      <c r="J93" s="4">
        <v>0.18658283000000001</v>
      </c>
      <c r="K93">
        <f t="shared" si="5"/>
        <v>3.8419414426724696E-3</v>
      </c>
      <c r="L93">
        <f t="shared" si="6"/>
        <v>4.7764662066240859E-3</v>
      </c>
      <c r="M93" s="1">
        <f t="shared" si="7"/>
        <v>4.3309246088492903E-3</v>
      </c>
      <c r="N93" s="1">
        <f t="shared" si="8"/>
        <v>1.6233326247547695E-4</v>
      </c>
      <c r="O93" s="1">
        <f t="shared" si="9"/>
        <v>1.3060797984991058E-4</v>
      </c>
    </row>
    <row r="94" spans="4:15" x14ac:dyDescent="0.25">
      <c r="D94" s="3">
        <v>45961</v>
      </c>
      <c r="E94" s="2">
        <v>5.3899638872419602E-2</v>
      </c>
      <c r="F94" s="2">
        <v>5.3908355795148202E-2</v>
      </c>
      <c r="G94" s="2">
        <v>5.3903997000000002E-2</v>
      </c>
      <c r="H94" s="2">
        <v>0.185676885084576</v>
      </c>
      <c r="I94" s="2">
        <v>0.18571481632804701</v>
      </c>
      <c r="J94" s="2">
        <v>0.18569585999999999</v>
      </c>
      <c r="K94">
        <f t="shared" si="5"/>
        <v>-3.2348913530499956E-4</v>
      </c>
      <c r="L94">
        <f t="shared" si="6"/>
        <v>-1.485003723816769E-4</v>
      </c>
      <c r="M94" s="1">
        <f t="shared" si="7"/>
        <v>-2.3192756022399763E-4</v>
      </c>
      <c r="N94" s="1">
        <f t="shared" si="8"/>
        <v>1.6171199194376534E-4</v>
      </c>
      <c r="O94" s="1">
        <f t="shared" si="9"/>
        <v>2.042654234241527E-4</v>
      </c>
    </row>
    <row r="95" spans="4:15" x14ac:dyDescent="0.25">
      <c r="D95" s="5">
        <v>45960</v>
      </c>
      <c r="E95" s="4">
        <v>5.3917075537822802E-2</v>
      </c>
      <c r="F95" s="4">
        <v>5.3925798101811903E-2</v>
      </c>
      <c r="G95" s="4">
        <v>5.3921440000000001E-2</v>
      </c>
      <c r="H95" s="4">
        <v>0.18571481632804701</v>
      </c>
      <c r="I95" s="4">
        <v>0.18573206292602301</v>
      </c>
      <c r="J95" s="4">
        <v>0.18572343999999999</v>
      </c>
      <c r="K95">
        <f t="shared" si="5"/>
        <v>-6.7131649543425986E-3</v>
      </c>
      <c r="L95">
        <f t="shared" si="6"/>
        <v>-7.1689711302785897E-3</v>
      </c>
      <c r="M95" s="1">
        <f t="shared" si="7"/>
        <v>-6.9516621624098095E-3</v>
      </c>
      <c r="N95" s="1">
        <f t="shared" si="8"/>
        <v>1.6176429986107846E-4</v>
      </c>
      <c r="O95" s="1">
        <f t="shared" si="9"/>
        <v>9.286171942540257E-5</v>
      </c>
    </row>
    <row r="96" spans="4:15" x14ac:dyDescent="0.25">
      <c r="D96" s="3">
        <v>45959</v>
      </c>
      <c r="E96" s="2">
        <v>5.4281449314696702E-2</v>
      </c>
      <c r="F96" s="2">
        <v>5.4290290181601003E-2</v>
      </c>
      <c r="G96" s="2">
        <v>5.428587E-2</v>
      </c>
      <c r="H96" s="2">
        <v>0.18704524624506699</v>
      </c>
      <c r="I96" s="2">
        <v>0.18708373868143399</v>
      </c>
      <c r="J96" s="2">
        <v>0.18706449999999999</v>
      </c>
      <c r="K96">
        <f t="shared" si="5"/>
        <v>-4.0715930118706556E-4</v>
      </c>
      <c r="L96">
        <f t="shared" si="6"/>
        <v>2.9370024239114834E-3</v>
      </c>
      <c r="M96" s="1">
        <f t="shared" si="7"/>
        <v>1.3426485708178029E-3</v>
      </c>
      <c r="N96" s="1">
        <f t="shared" si="8"/>
        <v>1.6285760740873009E-4</v>
      </c>
      <c r="O96" s="1">
        <f t="shared" si="9"/>
        <v>2.0577093124028969E-4</v>
      </c>
    </row>
    <row r="97" spans="4:15" x14ac:dyDescent="0.25">
      <c r="D97" s="5">
        <v>45958</v>
      </c>
      <c r="E97" s="4">
        <v>5.4303556882975799E-2</v>
      </c>
      <c r="F97" s="4">
        <v>5.4312404953291302E-2</v>
      </c>
      <c r="G97" s="4">
        <v>5.4307981999999998E-2</v>
      </c>
      <c r="H97" s="4">
        <v>0.186508010519052</v>
      </c>
      <c r="I97" s="4">
        <v>0.18652540476012799</v>
      </c>
      <c r="J97" s="4">
        <v>0.18651670000000001</v>
      </c>
      <c r="K97">
        <f t="shared" si="5"/>
        <v>-1.0317843361040691E-3</v>
      </c>
      <c r="L97">
        <f t="shared" si="6"/>
        <v>3.0960894533165195E-3</v>
      </c>
      <c r="M97" s="1">
        <f t="shared" si="7"/>
        <v>1.1280950731843255E-3</v>
      </c>
      <c r="N97" s="1">
        <f t="shared" si="8"/>
        <v>1.6292393842772912E-4</v>
      </c>
      <c r="O97" s="1">
        <f t="shared" si="9"/>
        <v>9.3258357433926336E-5</v>
      </c>
    </row>
    <row r="98" spans="4:15" x14ac:dyDescent="0.25">
      <c r="D98" s="3">
        <v>45957</v>
      </c>
      <c r="E98" s="2">
        <v>5.4359643400739302E-2</v>
      </c>
      <c r="F98" s="2">
        <v>5.4368509759147497E-2</v>
      </c>
      <c r="G98" s="2">
        <v>5.4364073999999998E-2</v>
      </c>
      <c r="H98" s="2">
        <v>0.18591507399419899</v>
      </c>
      <c r="I98" s="2">
        <v>0.18596693507894299</v>
      </c>
      <c r="J98" s="2">
        <v>0.18594100999999999</v>
      </c>
      <c r="K98">
        <f t="shared" si="5"/>
        <v>-2.7190713450042647E-4</v>
      </c>
      <c r="L98">
        <f t="shared" si="6"/>
        <v>1.6828762719887091E-3</v>
      </c>
      <c r="M98" s="1">
        <f t="shared" si="7"/>
        <v>7.509188152937282E-4</v>
      </c>
      <c r="N98" s="1">
        <f t="shared" si="8"/>
        <v>1.6309223639485184E-4</v>
      </c>
      <c r="O98" s="1">
        <f t="shared" si="9"/>
        <v>2.789114931881017E-4</v>
      </c>
    </row>
    <row r="99" spans="4:15" x14ac:dyDescent="0.25">
      <c r="D99" s="5">
        <v>45954</v>
      </c>
      <c r="E99" s="4">
        <v>5.4374422271763402E-2</v>
      </c>
      <c r="F99" s="4">
        <v>5.4383293452251499E-2</v>
      </c>
      <c r="G99" s="4">
        <v>5.4378860000000001E-2</v>
      </c>
      <c r="H99" s="4">
        <v>0.185614849187935</v>
      </c>
      <c r="I99" s="4">
        <v>0.18564241557911201</v>
      </c>
      <c r="J99" s="4">
        <v>0.18562861999999999</v>
      </c>
      <c r="K99">
        <f t="shared" si="5"/>
        <v>1.0876332709743863E-3</v>
      </c>
      <c r="L99">
        <f t="shared" si="6"/>
        <v>-7.5185059839877333E-4</v>
      </c>
      <c r="M99" s="1">
        <f t="shared" si="7"/>
        <v>1.2513695062663847E-4</v>
      </c>
      <c r="N99" s="1">
        <f t="shared" si="8"/>
        <v>1.6313656608647669E-4</v>
      </c>
      <c r="O99" s="1">
        <f t="shared" si="9"/>
        <v>1.4850291499777401E-4</v>
      </c>
    </row>
    <row r="100" spans="4:15" x14ac:dyDescent="0.25">
      <c r="D100" s="3">
        <v>45953</v>
      </c>
      <c r="E100" s="2">
        <v>5.4315354950844601E-2</v>
      </c>
      <c r="F100" s="2">
        <v>5.4324206866579697E-2</v>
      </c>
      <c r="G100" s="2">
        <v>5.4319779999999998E-2</v>
      </c>
      <c r="H100" s="2">
        <v>0.18563552321372201</v>
      </c>
      <c r="I100" s="2">
        <v>0.18590124925639501</v>
      </c>
      <c r="J100" s="2">
        <v>0.18576829</v>
      </c>
      <c r="K100">
        <f t="shared" si="5"/>
        <v>6.7903495243060163E-4</v>
      </c>
      <c r="L100">
        <f t="shared" si="6"/>
        <v>2.0062424101792153E-3</v>
      </c>
      <c r="M100" s="1">
        <f t="shared" si="7"/>
        <v>1.3734864318319621E-3</v>
      </c>
      <c r="N100" s="1">
        <f t="shared" si="8"/>
        <v>1.6295934436951113E-4</v>
      </c>
      <c r="O100" s="1">
        <f t="shared" si="9"/>
        <v>1.4304165833307608E-3</v>
      </c>
    </row>
    <row r="101" spans="4:15" x14ac:dyDescent="0.25">
      <c r="D101" s="5">
        <v>45952</v>
      </c>
      <c r="E101" s="4">
        <v>5.4278502998887299E-2</v>
      </c>
      <c r="F101" s="4">
        <v>5.4287342906001498E-2</v>
      </c>
      <c r="G101" s="4">
        <v>5.4282919999999998E-2</v>
      </c>
      <c r="H101" s="4">
        <v>0.18538086498711601</v>
      </c>
      <c r="I101" s="4">
        <v>0.185411799606927</v>
      </c>
      <c r="J101" s="4">
        <v>0.18539633999999999</v>
      </c>
      <c r="K101">
        <f t="shared" si="5"/>
        <v>4.6131539578841974E-4</v>
      </c>
      <c r="L101">
        <f t="shared" si="6"/>
        <v>-1.5017086021787973E-3</v>
      </c>
      <c r="M101" s="1">
        <f t="shared" si="7"/>
        <v>-5.6582238250676184E-4</v>
      </c>
      <c r="N101" s="1">
        <f t="shared" si="8"/>
        <v>1.6284877663544622E-4</v>
      </c>
      <c r="O101" s="1">
        <f t="shared" si="9"/>
        <v>1.6685669097346015E-4</v>
      </c>
    </row>
    <row r="102" spans="4:15" x14ac:dyDescent="0.25">
      <c r="D102" s="3">
        <v>45951</v>
      </c>
      <c r="E102" s="2">
        <v>5.4253472222222203E-2</v>
      </c>
      <c r="F102" s="2">
        <v>5.4262303977426901E-2</v>
      </c>
      <c r="G102" s="2">
        <v>5.4257890000000003E-2</v>
      </c>
      <c r="H102" s="2">
        <v>0.185656201845423</v>
      </c>
      <c r="I102" s="2">
        <v>0.185694124637896</v>
      </c>
      <c r="J102" s="2">
        <v>0.18567517</v>
      </c>
      <c r="K102">
        <f t="shared" si="5"/>
        <v>-2.0888714328369806E-3</v>
      </c>
      <c r="L102">
        <f t="shared" si="6"/>
        <v>-1.3554231285602958E-3</v>
      </c>
      <c r="M102" s="1">
        <f t="shared" si="7"/>
        <v>-1.7051000359874025E-3</v>
      </c>
      <c r="N102" s="1">
        <f t="shared" si="8"/>
        <v>1.627736575214812E-4</v>
      </c>
      <c r="O102" s="1">
        <f t="shared" si="9"/>
        <v>2.0424266999728439E-4</v>
      </c>
    </row>
    <row r="103" spans="4:15" x14ac:dyDescent="0.25">
      <c r="D103" s="5">
        <v>45950</v>
      </c>
      <c r="E103" s="4">
        <v>5.4367031831897103E-2</v>
      </c>
      <c r="F103" s="4">
        <v>5.4375900600853698E-2</v>
      </c>
      <c r="G103" s="4">
        <v>5.4371465000000001E-2</v>
      </c>
      <c r="H103" s="4">
        <v>0.185908161368284</v>
      </c>
      <c r="I103" s="4">
        <v>0.185946187173432</v>
      </c>
      <c r="J103" s="4">
        <v>0.18592718</v>
      </c>
      <c r="K103">
        <f t="shared" si="5"/>
        <v>2.5281947695510176E-3</v>
      </c>
      <c r="L103">
        <f t="shared" si="6"/>
        <v>9.5845469156596863E-3</v>
      </c>
      <c r="M103" s="1">
        <f t="shared" si="7"/>
        <v>6.2203788048597565E-3</v>
      </c>
      <c r="N103" s="1">
        <f t="shared" si="8"/>
        <v>1.6311440121385357E-4</v>
      </c>
      <c r="O103" s="1">
        <f t="shared" si="9"/>
        <v>2.045198832575254E-4</v>
      </c>
    </row>
    <row r="104" spans="4:15" x14ac:dyDescent="0.25">
      <c r="D104" s="3">
        <v>45947</v>
      </c>
      <c r="E104" s="2">
        <v>5.4229934924078099E-2</v>
      </c>
      <c r="F104" s="2">
        <v>5.4238759017193702E-2</v>
      </c>
      <c r="G104" s="2">
        <v>5.4234350000000001E-2</v>
      </c>
      <c r="H104" s="2">
        <v>0.18414510634379899</v>
      </c>
      <c r="I104" s="2">
        <v>0.18417902200939301</v>
      </c>
      <c r="J104" s="2">
        <v>0.18416207000000001</v>
      </c>
      <c r="K104">
        <f t="shared" si="5"/>
        <v>-3.769226947065718E-3</v>
      </c>
      <c r="L104">
        <f t="shared" si="6"/>
        <v>-8.4712194199365598E-4</v>
      </c>
      <c r="M104" s="1">
        <f t="shared" si="7"/>
        <v>-2.2402571301083029E-3</v>
      </c>
      <c r="N104" s="1">
        <f t="shared" si="8"/>
        <v>1.6270303074717517E-4</v>
      </c>
      <c r="O104" s="1">
        <f t="shared" si="9"/>
        <v>1.8416205679062911E-4</v>
      </c>
    </row>
    <row r="105" spans="4:15" x14ac:dyDescent="0.25">
      <c r="D105" s="5">
        <v>45946</v>
      </c>
      <c r="E105" s="4">
        <v>5.4435099752320297E-2</v>
      </c>
      <c r="F105" s="4">
        <v>5.4443990744521602E-2</v>
      </c>
      <c r="G105" s="4">
        <v>5.4439544999999999E-2</v>
      </c>
      <c r="H105" s="4">
        <v>0.18430461867374401</v>
      </c>
      <c r="I105" s="4">
        <v>0.18433179723502299</v>
      </c>
      <c r="J105" s="4">
        <v>0.18431821000000001</v>
      </c>
      <c r="K105">
        <f t="shared" si="5"/>
        <v>4.7770683003105496E-3</v>
      </c>
      <c r="L105">
        <f t="shared" si="6"/>
        <v>2.0090389355944538E-3</v>
      </c>
      <c r="M105" s="1">
        <f t="shared" si="7"/>
        <v>3.3287174218319896E-3</v>
      </c>
      <c r="N105" s="1">
        <f t="shared" si="8"/>
        <v>1.63318635401981E-4</v>
      </c>
      <c r="O105" s="1">
        <f t="shared" si="9"/>
        <v>1.474545639249878E-4</v>
      </c>
    </row>
    <row r="106" spans="4:15" x14ac:dyDescent="0.25">
      <c r="D106" s="3">
        <v>45945</v>
      </c>
      <c r="E106" s="2">
        <v>5.41761700698331E-2</v>
      </c>
      <c r="F106" s="2">
        <v>5.41852702761281E-2</v>
      </c>
      <c r="G106" s="2">
        <v>5.4180720000000002E-2</v>
      </c>
      <c r="H106" s="2">
        <v>0.18393510769400601</v>
      </c>
      <c r="I106" s="2">
        <v>0.183962177376331</v>
      </c>
      <c r="J106" s="2">
        <v>0.18394864999999999</v>
      </c>
      <c r="K106">
        <f t="shared" si="5"/>
        <v>3.5081571460295891E-3</v>
      </c>
      <c r="L106">
        <f t="shared" si="6"/>
        <v>1.1827940132569825E-2</v>
      </c>
      <c r="M106" s="1">
        <f t="shared" si="7"/>
        <v>7.8614220177490538E-3</v>
      </c>
      <c r="N106" s="1">
        <f t="shared" si="8"/>
        <v>1.6796023188691314E-4</v>
      </c>
      <c r="O106" s="1">
        <f t="shared" si="9"/>
        <v>1.4715890725478409E-4</v>
      </c>
    </row>
    <row r="107" spans="4:15" x14ac:dyDescent="0.25">
      <c r="D107" s="5">
        <v>45944</v>
      </c>
      <c r="E107" s="4">
        <v>5.3986935161690897E-2</v>
      </c>
      <c r="F107" s="4">
        <v>5.3995680345572401E-2</v>
      </c>
      <c r="G107" s="4">
        <v>5.3991310000000001E-2</v>
      </c>
      <c r="H107" s="4">
        <v>0.18178182545309099</v>
      </c>
      <c r="I107" s="4">
        <v>0.18181487609316199</v>
      </c>
      <c r="J107" s="4">
        <v>0.18179835</v>
      </c>
      <c r="K107">
        <f t="shared" si="5"/>
        <v>-4.508275158373154E-3</v>
      </c>
      <c r="L107">
        <f t="shared" si="6"/>
        <v>-8.7171522115541134E-3</v>
      </c>
      <c r="M107" s="1">
        <f t="shared" si="7"/>
        <v>-6.7105389259066051E-3</v>
      </c>
      <c r="N107" s="1">
        <f t="shared" si="8"/>
        <v>1.6197391545981656E-4</v>
      </c>
      <c r="O107" s="1">
        <f t="shared" si="9"/>
        <v>1.8179835004554712E-4</v>
      </c>
    </row>
    <row r="108" spans="4:15" x14ac:dyDescent="0.25">
      <c r="D108" s="3">
        <v>45943</v>
      </c>
      <c r="E108" s="2">
        <v>5.4231405406871103E-2</v>
      </c>
      <c r="F108" s="2">
        <v>5.4240229978575097E-2</v>
      </c>
      <c r="G108" s="2">
        <v>5.4235819999999997E-2</v>
      </c>
      <c r="H108" s="2">
        <v>0.183368478958467</v>
      </c>
      <c r="I108" s="2">
        <v>0.183425657580982</v>
      </c>
      <c r="J108" s="2">
        <v>0.18339705000000001</v>
      </c>
      <c r="K108">
        <f t="shared" si="5"/>
        <v>2.603383418686267E-3</v>
      </c>
      <c r="L108">
        <f t="shared" si="6"/>
        <v>2.7510734995317421E-4</v>
      </c>
      <c r="M108" s="1">
        <f t="shared" si="7"/>
        <v>1.3851301976493399E-3</v>
      </c>
      <c r="N108" s="1">
        <f t="shared" si="8"/>
        <v>1.6270744507954706E-4</v>
      </c>
      <c r="O108" s="1">
        <f t="shared" si="9"/>
        <v>3.1177503953854673E-4</v>
      </c>
    </row>
    <row r="109" spans="4:15" x14ac:dyDescent="0.25">
      <c r="D109" s="5">
        <v>45940</v>
      </c>
      <c r="E109" s="4">
        <v>5.4090601757944598E-2</v>
      </c>
      <c r="F109" s="4">
        <v>5.4099380562092597E-2</v>
      </c>
      <c r="G109" s="4">
        <v>5.4094990000000003E-2</v>
      </c>
      <c r="H109" s="4">
        <v>0.18332477817701801</v>
      </c>
      <c r="I109" s="4">
        <v>0.183368478958467</v>
      </c>
      <c r="J109" s="4">
        <v>0.18334660999999999</v>
      </c>
      <c r="K109">
        <f t="shared" si="5"/>
        <v>-6.5725626842360052E-3</v>
      </c>
      <c r="L109">
        <f t="shared" si="6"/>
        <v>-1.6602112164248006E-2</v>
      </c>
      <c r="M109" s="1">
        <f t="shared" si="7"/>
        <v>-1.1820450219420972E-2</v>
      </c>
      <c r="N109" s="1">
        <f t="shared" si="8"/>
        <v>1.6228497589146687E-4</v>
      </c>
      <c r="O109" s="1">
        <f t="shared" si="9"/>
        <v>2.3835063789287664E-4</v>
      </c>
    </row>
    <row r="110" spans="4:15" x14ac:dyDescent="0.25">
      <c r="D110" s="3">
        <v>45939</v>
      </c>
      <c r="E110" s="2">
        <v>5.4448437329848602E-2</v>
      </c>
      <c r="F110" s="2">
        <v>5.4457332679845302E-2</v>
      </c>
      <c r="G110" s="2">
        <v>5.4452884999999999E-2</v>
      </c>
      <c r="H110" s="2">
        <v>0.18641761273605101</v>
      </c>
      <c r="I110" s="2">
        <v>0.18646627757370099</v>
      </c>
      <c r="J110" s="2">
        <v>0.18644194</v>
      </c>
      <c r="K110">
        <f t="shared" si="5"/>
        <v>-1.9056882084766968E-4</v>
      </c>
      <c r="L110">
        <f t="shared" si="6"/>
        <v>-3.0297015344542544E-3</v>
      </c>
      <c r="M110" s="1">
        <f t="shared" si="7"/>
        <v>-1.6761240003864059E-3</v>
      </c>
      <c r="N110" s="1">
        <f t="shared" si="8"/>
        <v>1.6335865393909079E-4</v>
      </c>
      <c r="O110" s="1">
        <f t="shared" si="9"/>
        <v>2.6101872599041277E-4</v>
      </c>
    </row>
    <row r="111" spans="4:15" x14ac:dyDescent="0.25">
      <c r="D111" s="5">
        <v>45938</v>
      </c>
      <c r="E111" s="4">
        <v>5.4458815520762399E-2</v>
      </c>
      <c r="F111" s="4">
        <v>5.4467714262371E-2</v>
      </c>
      <c r="G111" s="4">
        <v>5.4463263999999997E-2</v>
      </c>
      <c r="H111" s="4">
        <v>0.18698928551394001</v>
      </c>
      <c r="I111" s="4">
        <v>0.18702775491883</v>
      </c>
      <c r="J111" s="4">
        <v>0.18700852000000001</v>
      </c>
      <c r="K111">
        <f t="shared" si="5"/>
        <v>8.4410609634821832E-4</v>
      </c>
      <c r="L111">
        <f t="shared" si="6"/>
        <v>-1.9074973719872546E-3</v>
      </c>
      <c r="M111" s="1">
        <f t="shared" si="7"/>
        <v>-5.956500534197546E-4</v>
      </c>
      <c r="N111" s="1">
        <f t="shared" si="8"/>
        <v>1.6338979625975331E-4</v>
      </c>
      <c r="O111" s="1">
        <f t="shared" si="9"/>
        <v>2.0570937030032555E-4</v>
      </c>
    </row>
    <row r="112" spans="4:15" x14ac:dyDescent="0.25">
      <c r="D112" s="3">
        <v>45937</v>
      </c>
      <c r="E112" s="2">
        <v>5.4412884971161202E-2</v>
      </c>
      <c r="F112" s="2">
        <v>5.4421768707482998E-2</v>
      </c>
      <c r="G112" s="2">
        <v>5.441733E-2</v>
      </c>
      <c r="H112" s="2">
        <v>0.18734310015362099</v>
      </c>
      <c r="I112" s="2">
        <v>0.18738873793685001</v>
      </c>
      <c r="J112" s="2">
        <v>0.18736591999999999</v>
      </c>
      <c r="K112">
        <f t="shared" si="5"/>
        <v>1.3609649342471997E-4</v>
      </c>
      <c r="L112">
        <f t="shared" si="6"/>
        <v>-2.7355776467390402E-3</v>
      </c>
      <c r="M112" s="1">
        <f t="shared" si="7"/>
        <v>-1.3664857467159783E-3</v>
      </c>
      <c r="N112" s="1">
        <f t="shared" si="8"/>
        <v>1.6325196994774273E-4</v>
      </c>
      <c r="O112" s="1">
        <f t="shared" si="9"/>
        <v>2.4357568990681153E-4</v>
      </c>
    </row>
    <row r="113" spans="4:15" x14ac:dyDescent="0.25">
      <c r="D113" s="5">
        <v>45936</v>
      </c>
      <c r="E113" s="4">
        <v>5.4405484072794497E-2</v>
      </c>
      <c r="F113" s="4">
        <v>5.4414365392463603E-2</v>
      </c>
      <c r="G113" s="4">
        <v>5.4409924999999998E-2</v>
      </c>
      <c r="H113" s="4">
        <v>0.18786045725235301</v>
      </c>
      <c r="I113" s="4">
        <v>0.18789928598271299</v>
      </c>
      <c r="J113" s="4">
        <v>0.18787988</v>
      </c>
      <c r="K113">
        <f t="shared" si="5"/>
        <v>1.6867242083493661E-3</v>
      </c>
      <c r="L113">
        <f t="shared" si="6"/>
        <v>6.2376275485203081E-3</v>
      </c>
      <c r="M113" s="1">
        <f t="shared" si="7"/>
        <v>4.0679506991614083E-3</v>
      </c>
      <c r="N113" s="1">
        <f t="shared" si="8"/>
        <v>1.632297723091134E-4</v>
      </c>
      <c r="O113" s="1">
        <f t="shared" si="9"/>
        <v>2.0666784735004869E-4</v>
      </c>
    </row>
    <row r="114" spans="4:15" x14ac:dyDescent="0.25">
      <c r="D114" s="3">
        <v>45933</v>
      </c>
      <c r="E114" s="2">
        <v>5.4313879912011503E-2</v>
      </c>
      <c r="F114" s="2">
        <v>5.43227313469321E-2</v>
      </c>
      <c r="G114" s="2">
        <v>5.4318304999999997E-2</v>
      </c>
      <c r="H114" s="2">
        <v>0.186706497386109</v>
      </c>
      <c r="I114" s="2">
        <v>0.18672392867145901</v>
      </c>
      <c r="J114" s="2">
        <v>0.18671521999999999</v>
      </c>
      <c r="K114">
        <f t="shared" si="5"/>
        <v>4.6170734080992482E-3</v>
      </c>
      <c r="L114">
        <f t="shared" si="6"/>
        <v>-1.4936266581502267E-3</v>
      </c>
      <c r="M114" s="1">
        <f t="shared" si="7"/>
        <v>1.4196948246610009E-3</v>
      </c>
      <c r="N114" s="1">
        <f t="shared" si="8"/>
        <v>1.6295491769481314E-4</v>
      </c>
      <c r="O114" s="1">
        <f t="shared" si="9"/>
        <v>9.3357602824268009E-5</v>
      </c>
    </row>
    <row r="115" spans="4:15" x14ac:dyDescent="0.25">
      <c r="D115" s="5">
        <v>45932</v>
      </c>
      <c r="E115" s="4">
        <v>5.4064282431811397E-2</v>
      </c>
      <c r="F115" s="4">
        <v>5.4073052694189799E-2</v>
      </c>
      <c r="G115" s="4">
        <v>5.4068666000000001E-2</v>
      </c>
      <c r="H115" s="4">
        <v>0.18696830887164601</v>
      </c>
      <c r="I115" s="4">
        <v>0.187020759304283</v>
      </c>
      <c r="J115" s="4">
        <v>0.18699452</v>
      </c>
      <c r="K115">
        <f t="shared" si="5"/>
        <v>-9.1376004081566986E-3</v>
      </c>
      <c r="L115">
        <f t="shared" si="6"/>
        <v>-5.0862862874153647E-3</v>
      </c>
      <c r="M115" s="1">
        <f t="shared" si="7"/>
        <v>-7.0177802788748932E-3</v>
      </c>
      <c r="N115" s="1">
        <f t="shared" si="8"/>
        <v>1.6220600631060416E-4</v>
      </c>
      <c r="O115" s="1">
        <f t="shared" si="9"/>
        <v>2.8049181674944928E-4</v>
      </c>
    </row>
    <row r="116" spans="4:15" x14ac:dyDescent="0.25">
      <c r="D116" s="3">
        <v>45931</v>
      </c>
      <c r="E116" s="2">
        <v>5.45628154412768E-2</v>
      </c>
      <c r="F116" s="2">
        <v>5.4571748205953799E-2</v>
      </c>
      <c r="G116" s="2">
        <v>5.4567280000000003E-2</v>
      </c>
      <c r="H116" s="2">
        <v>0.18792400353297101</v>
      </c>
      <c r="I116" s="2">
        <v>0.187976991616226</v>
      </c>
      <c r="J116" s="2">
        <v>0.18795049</v>
      </c>
      <c r="K116">
        <f t="shared" si="5"/>
        <v>3.5469722298553386E-4</v>
      </c>
      <c r="L116">
        <f t="shared" si="6"/>
        <v>9.3974656665785083E-4</v>
      </c>
      <c r="M116" s="1">
        <f t="shared" si="7"/>
        <v>6.6081996202230512E-4</v>
      </c>
      <c r="N116" s="1">
        <f t="shared" si="8"/>
        <v>1.6370184984478784E-4</v>
      </c>
      <c r="O116" s="1">
        <f t="shared" si="9"/>
        <v>2.8192575212222136E-4</v>
      </c>
    </row>
    <row r="117" spans="4:15" x14ac:dyDescent="0.25">
      <c r="D117" s="5">
        <v>45930</v>
      </c>
      <c r="E117" s="4">
        <v>5.4543471146503798E-2</v>
      </c>
      <c r="F117" s="4">
        <v>5.4552397577873599E-2</v>
      </c>
      <c r="G117" s="4">
        <v>5.4547932E-2</v>
      </c>
      <c r="H117" s="4">
        <v>0.18775816748028501</v>
      </c>
      <c r="I117" s="4">
        <v>0.187789900659143</v>
      </c>
      <c r="J117" s="4">
        <v>0.18777403000000001</v>
      </c>
      <c r="K117">
        <f t="shared" si="5"/>
        <v>2.7242838149366122E-5</v>
      </c>
      <c r="L117">
        <f t="shared" si="6"/>
        <v>-2.1601089585154831E-4</v>
      </c>
      <c r="M117" s="1">
        <f t="shared" si="7"/>
        <v>-1.0003787780848277E-4</v>
      </c>
      <c r="N117" s="1">
        <f t="shared" si="8"/>
        <v>1.6364380907786513E-4</v>
      </c>
      <c r="O117" s="1">
        <f t="shared" si="9"/>
        <v>1.6899663312328113E-4</v>
      </c>
    </row>
    <row r="118" spans="4:15" x14ac:dyDescent="0.25">
      <c r="D118" s="3">
        <v>45929</v>
      </c>
      <c r="E118" s="2">
        <v>5.4541983691946898E-2</v>
      </c>
      <c r="F118" s="2">
        <v>5.4550909636418198E-2</v>
      </c>
      <c r="G118" s="2">
        <v>5.4546445999999998E-2</v>
      </c>
      <c r="H118" s="2">
        <v>0.18779695393340701</v>
      </c>
      <c r="I118" s="2">
        <v>0.187832228253724</v>
      </c>
      <c r="J118" s="2">
        <v>0.1878146</v>
      </c>
      <c r="K118">
        <f t="shared" si="5"/>
        <v>2.0182384712632562E-3</v>
      </c>
      <c r="L118">
        <f t="shared" si="6"/>
        <v>4.2728004606249481E-3</v>
      </c>
      <c r="M118" s="1">
        <f t="shared" si="7"/>
        <v>3.1979213458382854E-3</v>
      </c>
      <c r="N118" s="1">
        <f t="shared" si="8"/>
        <v>1.6363934088940799E-4</v>
      </c>
      <c r="O118" s="1">
        <f t="shared" si="9"/>
        <v>1.8781458053312658E-4</v>
      </c>
    </row>
    <row r="119" spans="4:15" x14ac:dyDescent="0.25">
      <c r="D119" s="5">
        <v>45926</v>
      </c>
      <c r="E119" s="4">
        <v>5.4432136733527502E-2</v>
      </c>
      <c r="F119" s="4">
        <v>5.4441026757764598E-2</v>
      </c>
      <c r="G119" s="4">
        <v>5.4436579999999998E-2</v>
      </c>
      <c r="H119" s="4">
        <v>0.18698928551394001</v>
      </c>
      <c r="I119" s="4">
        <v>0.18704174771809101</v>
      </c>
      <c r="J119" s="4">
        <v>0.18701551999999999</v>
      </c>
      <c r="K119">
        <f t="shared" si="5"/>
        <v>3.2525929645459417E-3</v>
      </c>
      <c r="L119">
        <f t="shared" si="6"/>
        <v>9.0711052303338313E-4</v>
      </c>
      <c r="M119" s="1">
        <f t="shared" si="7"/>
        <v>2.0253366362991583E-3</v>
      </c>
      <c r="N119" s="1">
        <f t="shared" si="8"/>
        <v>1.6330974938352024E-4</v>
      </c>
      <c r="O119" s="1">
        <f t="shared" si="9"/>
        <v>2.8052326433124257E-4</v>
      </c>
    </row>
    <row r="120" spans="4:15" x14ac:dyDescent="0.25">
      <c r="D120" s="3">
        <v>45925</v>
      </c>
      <c r="E120" s="2">
        <v>5.4255532707947897E-2</v>
      </c>
      <c r="F120" s="2">
        <v>5.4264659597790303E-2</v>
      </c>
      <c r="G120" s="2">
        <v>5.4260094000000002E-2</v>
      </c>
      <c r="H120" s="2">
        <v>0.18682509434667299</v>
      </c>
      <c r="I120" s="2">
        <v>0.18686698807788599</v>
      </c>
      <c r="J120" s="2">
        <v>0.18684603</v>
      </c>
      <c r="K120">
        <f t="shared" si="5"/>
        <v>-1.2344838198793395E-3</v>
      </c>
      <c r="L120">
        <f t="shared" si="6"/>
        <v>-8.1371639817410246E-3</v>
      </c>
      <c r="M120" s="1">
        <f t="shared" si="7"/>
        <v>-4.8462601267807289E-3</v>
      </c>
      <c r="N120" s="1">
        <f t="shared" si="8"/>
        <v>1.6820630355720141E-4</v>
      </c>
      <c r="O120" s="1">
        <f t="shared" si="9"/>
        <v>2.2421526008871643E-4</v>
      </c>
    </row>
    <row r="121" spans="4:15" x14ac:dyDescent="0.25">
      <c r="D121" s="5">
        <v>45924</v>
      </c>
      <c r="E121" s="4">
        <v>5.43227313469321E-2</v>
      </c>
      <c r="F121" s="4">
        <v>5.4331585667327702E-2</v>
      </c>
      <c r="G121" s="4">
        <v>5.4327159999999999E-2</v>
      </c>
      <c r="H121" s="4">
        <v>0.188362937708376</v>
      </c>
      <c r="I121" s="4">
        <v>0.18839487565938201</v>
      </c>
      <c r="J121" s="4">
        <v>0.18837889999999999</v>
      </c>
      <c r="K121">
        <f t="shared" si="5"/>
        <v>-4.8350363273433894E-3</v>
      </c>
      <c r="L121">
        <f t="shared" si="6"/>
        <v>-2.364195649185219E-3</v>
      </c>
      <c r="M121" s="1">
        <f t="shared" si="7"/>
        <v>-3.5421872295672923E-3</v>
      </c>
      <c r="N121" s="1">
        <f t="shared" si="8"/>
        <v>1.6298146996090947E-4</v>
      </c>
      <c r="O121" s="1">
        <f t="shared" si="9"/>
        <v>1.6954102081499482E-4</v>
      </c>
    </row>
    <row r="122" spans="4:15" x14ac:dyDescent="0.25">
      <c r="D122" s="3">
        <v>45923</v>
      </c>
      <c r="E122" s="2">
        <v>5.4586642648543897E-2</v>
      </c>
      <c r="F122" s="2">
        <v>5.4595583217317702E-2</v>
      </c>
      <c r="G122" s="2">
        <v>5.4591109999999998E-2</v>
      </c>
      <c r="H122" s="2">
        <v>0.188796798006306</v>
      </c>
      <c r="I122" s="2">
        <v>0.18885384600857399</v>
      </c>
      <c r="J122" s="2">
        <v>0.18882531999999999</v>
      </c>
      <c r="K122">
        <f t="shared" si="5"/>
        <v>4.3126246281737224E-3</v>
      </c>
      <c r="L122">
        <f t="shared" si="6"/>
        <v>1.1046287770405838E-2</v>
      </c>
      <c r="M122" s="1">
        <f t="shared" si="7"/>
        <v>7.835964030474778E-3</v>
      </c>
      <c r="N122" s="1">
        <f t="shared" si="8"/>
        <v>1.6377334649917872E-4</v>
      </c>
      <c r="O122" s="1">
        <f t="shared" si="9"/>
        <v>3.0212051152883173E-4</v>
      </c>
    </row>
    <row r="123" spans="4:15" x14ac:dyDescent="0.25">
      <c r="D123" s="5">
        <v>45922</v>
      </c>
      <c r="E123" s="4">
        <v>5.4352256977471002E-2</v>
      </c>
      <c r="F123" s="4">
        <v>5.4361120926313497E-2</v>
      </c>
      <c r="G123" s="4">
        <v>5.4356689999999999E-2</v>
      </c>
      <c r="H123" s="4">
        <v>0.18674833793979201</v>
      </c>
      <c r="I123" s="4">
        <v>0.18677624206200999</v>
      </c>
      <c r="J123" s="4">
        <v>0.18676229</v>
      </c>
      <c r="K123">
        <f t="shared" si="5"/>
        <v>-2.0927587397286951E-3</v>
      </c>
      <c r="L123">
        <f t="shared" si="6"/>
        <v>-6.6393611082270487E-3</v>
      </c>
      <c r="M123" s="1">
        <f t="shared" si="7"/>
        <v>-4.471734778945205E-3</v>
      </c>
      <c r="N123" s="1">
        <f t="shared" si="8"/>
        <v>1.6307006262698248E-4</v>
      </c>
      <c r="O123" s="1">
        <f t="shared" si="9"/>
        <v>1.4940983117084824E-4</v>
      </c>
    </row>
    <row r="124" spans="4:15" x14ac:dyDescent="0.25">
      <c r="D124" s="3">
        <v>45919</v>
      </c>
      <c r="E124" s="2">
        <v>5.4466230936819203E-2</v>
      </c>
      <c r="F124" s="2">
        <v>5.44751321021954E-2</v>
      </c>
      <c r="G124" s="2">
        <v>5.4470683999999998E-2</v>
      </c>
      <c r="H124" s="2">
        <v>0.18798405895180101</v>
      </c>
      <c r="I124" s="2">
        <v>0.18803708091235599</v>
      </c>
      <c r="J124" s="2">
        <v>0.18801055999999999</v>
      </c>
      <c r="K124">
        <f t="shared" si="5"/>
        <v>-5.4448343373314501E-5</v>
      </c>
      <c r="L124">
        <f t="shared" si="6"/>
        <v>-3.1774056339051171E-3</v>
      </c>
      <c r="M124" s="1">
        <f t="shared" si="7"/>
        <v>-1.6885126321590214E-3</v>
      </c>
      <c r="N124" s="1">
        <f t="shared" si="8"/>
        <v>1.6341203602652588E-4</v>
      </c>
      <c r="O124" s="1">
        <f t="shared" si="9"/>
        <v>2.8201586418860245E-4</v>
      </c>
    </row>
    <row r="125" spans="4:15" x14ac:dyDescent="0.25">
      <c r="D125" s="5">
        <v>45918</v>
      </c>
      <c r="E125" s="4">
        <v>5.44691976687183E-2</v>
      </c>
      <c r="F125" s="4">
        <v>5.4478099803878799E-2</v>
      </c>
      <c r="G125" s="4">
        <v>5.4473649999999998E-2</v>
      </c>
      <c r="H125" s="4">
        <v>0.188590287600189</v>
      </c>
      <c r="I125" s="4">
        <v>0.18862941864413199</v>
      </c>
      <c r="J125" s="4">
        <v>0.18860985</v>
      </c>
      <c r="K125">
        <f t="shared" si="5"/>
        <v>-4.7662712401008722E-4</v>
      </c>
      <c r="L125">
        <f t="shared" si="6"/>
        <v>6.6013635394712722E-5</v>
      </c>
      <c r="M125" s="1">
        <f t="shared" si="7"/>
        <v>-1.9269436281886892E-4</v>
      </c>
      <c r="N125" s="1">
        <f t="shared" si="8"/>
        <v>1.6342094132665942E-4</v>
      </c>
      <c r="O125" s="1">
        <f t="shared" si="9"/>
        <v>2.0747083963528916E-4</v>
      </c>
    </row>
    <row r="126" spans="4:15" x14ac:dyDescent="0.25">
      <c r="D126" s="3">
        <v>45917</v>
      </c>
      <c r="E126" s="2">
        <v>5.4495021879751297E-2</v>
      </c>
      <c r="F126" s="2">
        <v>5.4504229528211399E-2</v>
      </c>
      <c r="G126" s="2">
        <v>5.4499626000000002E-2</v>
      </c>
      <c r="H126" s="2">
        <v>0.18857606215466999</v>
      </c>
      <c r="I126" s="2">
        <v>0.188618744930871</v>
      </c>
      <c r="J126" s="2">
        <v>0.1885974</v>
      </c>
      <c r="K126">
        <f t="shared" si="5"/>
        <v>-1.267061774236744E-3</v>
      </c>
      <c r="L126">
        <f t="shared" si="6"/>
        <v>1.8200335640898846E-3</v>
      </c>
      <c r="M126" s="1">
        <f t="shared" si="7"/>
        <v>3.4823801347740469E-4</v>
      </c>
      <c r="N126" s="1">
        <f t="shared" si="8"/>
        <v>1.6894883755903657E-4</v>
      </c>
      <c r="O126" s="1">
        <f t="shared" si="9"/>
        <v>2.2631688560398216E-4</v>
      </c>
    </row>
    <row r="127" spans="4:15" x14ac:dyDescent="0.25">
      <c r="D127" s="5">
        <v>45916</v>
      </c>
      <c r="E127" s="4">
        <v>5.4564304032302099E-2</v>
      </c>
      <c r="F127" s="4">
        <v>5.4573237284435701E-2</v>
      </c>
      <c r="G127" s="4">
        <v>5.4568767999999997E-2</v>
      </c>
      <c r="H127" s="4">
        <v>0.18822112217433001</v>
      </c>
      <c r="I127" s="4">
        <v>0.18828845791752999</v>
      </c>
      <c r="J127" s="4">
        <v>0.18825476999999999</v>
      </c>
      <c r="K127">
        <f t="shared" si="5"/>
        <v>2.4556032296589869E-3</v>
      </c>
      <c r="L127">
        <f t="shared" si="6"/>
        <v>9.2242034932987771E-4</v>
      </c>
      <c r="M127" s="1">
        <f t="shared" si="7"/>
        <v>1.653376634848021E-3</v>
      </c>
      <c r="N127" s="1">
        <f t="shared" si="8"/>
        <v>1.6370631885259632E-4</v>
      </c>
      <c r="O127" s="1">
        <f t="shared" si="9"/>
        <v>3.5768412773804078E-4</v>
      </c>
    </row>
    <row r="128" spans="4:15" x14ac:dyDescent="0.25">
      <c r="D128" s="3">
        <v>45915</v>
      </c>
      <c r="E128" s="2">
        <v>5.4430359077078799E-2</v>
      </c>
      <c r="F128" s="2">
        <v>5.4439841253422903E-2</v>
      </c>
      <c r="G128" s="2">
        <v>5.4435097000000002E-2</v>
      </c>
      <c r="H128" s="2">
        <v>0.18806537152314101</v>
      </c>
      <c r="I128" s="2">
        <v>0.18809720863742399</v>
      </c>
      <c r="J128" s="2">
        <v>0.18808127999999999</v>
      </c>
      <c r="K128">
        <f t="shared" si="5"/>
        <v>7.2125989147249214E-3</v>
      </c>
      <c r="L128">
        <f t="shared" si="6"/>
        <v>8.7363330377618897E-3</v>
      </c>
      <c r="M128" s="1">
        <f t="shared" si="7"/>
        <v>8.0098815172144726E-3</v>
      </c>
      <c r="N128" s="1">
        <f t="shared" si="8"/>
        <v>1.741923293367906E-4</v>
      </c>
      <c r="O128" s="1">
        <f t="shared" si="9"/>
        <v>1.6927316893514737E-4</v>
      </c>
    </row>
    <row r="129" spans="4:15" x14ac:dyDescent="0.25">
      <c r="D129" s="5">
        <v>45912</v>
      </c>
      <c r="E129" s="4">
        <v>5.4039448797622298E-2</v>
      </c>
      <c r="F129" s="4">
        <v>5.40511323712232E-2</v>
      </c>
      <c r="G129" s="4">
        <v>5.4045290000000003E-2</v>
      </c>
      <c r="H129" s="4">
        <v>0.186431514383191</v>
      </c>
      <c r="I129" s="4">
        <v>0.18647323176757999</v>
      </c>
      <c r="J129" s="4">
        <v>0.18645237000000001</v>
      </c>
      <c r="K129">
        <f t="shared" si="5"/>
        <v>1.5943509974005732E-3</v>
      </c>
      <c r="L129">
        <f t="shared" si="6"/>
        <v>3.4027540727974426E-3</v>
      </c>
      <c r="M129" s="1">
        <f t="shared" si="7"/>
        <v>2.540584522333942E-3</v>
      </c>
      <c r="N129" s="1">
        <f t="shared" si="8"/>
        <v>2.1618116214939972E-4</v>
      </c>
      <c r="O129" s="1">
        <f t="shared" si="9"/>
        <v>2.2374284858374033E-4</v>
      </c>
    </row>
    <row r="130" spans="4:15" x14ac:dyDescent="0.25">
      <c r="D130" s="3">
        <v>45911</v>
      </c>
      <c r="E130" s="2">
        <v>5.3954893708859399E-2</v>
      </c>
      <c r="F130" s="2">
        <v>5.3963628514381301E-2</v>
      </c>
      <c r="G130" s="2">
        <v>5.3959260000000002E-2</v>
      </c>
      <c r="H130" s="2">
        <v>0.18580108136229401</v>
      </c>
      <c r="I130" s="2">
        <v>0.18583906337112099</v>
      </c>
      <c r="J130" s="2">
        <v>0.18582007</v>
      </c>
      <c r="K130">
        <f t="shared" si="5"/>
        <v>2.347188998015115E-3</v>
      </c>
      <c r="L130">
        <f t="shared" si="6"/>
        <v>4.4875961072687875E-3</v>
      </c>
      <c r="M130" s="1">
        <f t="shared" si="7"/>
        <v>3.4671411764513687E-3</v>
      </c>
      <c r="N130" s="1">
        <f t="shared" si="8"/>
        <v>1.6187778560904054E-4</v>
      </c>
      <c r="O130" s="1">
        <f t="shared" si="9"/>
        <v>2.0440208007125742E-4</v>
      </c>
    </row>
    <row r="131" spans="4:15" x14ac:dyDescent="0.25">
      <c r="D131" s="5">
        <v>45910</v>
      </c>
      <c r="E131" s="4">
        <v>5.3828556048983997E-2</v>
      </c>
      <c r="F131" s="4">
        <v>5.3837249993270303E-2</v>
      </c>
      <c r="G131" s="4">
        <v>5.3832904000000001E-2</v>
      </c>
      <c r="H131" s="4">
        <v>0.18496596626220799</v>
      </c>
      <c r="I131" s="4">
        <v>0.18501387604070299</v>
      </c>
      <c r="J131" s="4">
        <v>0.18498991000000001</v>
      </c>
      <c r="K131">
        <f t="shared" si="5"/>
        <v>2.2609884969992944E-3</v>
      </c>
      <c r="L131">
        <f t="shared" si="6"/>
        <v>3.4869547717322202E-3</v>
      </c>
      <c r="M131" s="1">
        <f t="shared" si="7"/>
        <v>2.9024662766891926E-3</v>
      </c>
      <c r="N131" s="1">
        <f t="shared" si="8"/>
        <v>1.6149870507275603E-4</v>
      </c>
      <c r="O131" s="1">
        <f t="shared" si="9"/>
        <v>2.5898590087969299E-4</v>
      </c>
    </row>
    <row r="132" spans="4:15" x14ac:dyDescent="0.25">
      <c r="D132" s="3">
        <v>45909</v>
      </c>
      <c r="E132" s="2">
        <v>5.37071349928838E-2</v>
      </c>
      <c r="F132" s="2">
        <v>5.3715789756398902E-2</v>
      </c>
      <c r="G132" s="2">
        <v>5.3711463000000001E-2</v>
      </c>
      <c r="H132" s="2">
        <v>0.184328399476507</v>
      </c>
      <c r="I132" s="2">
        <v>0.184365781710914</v>
      </c>
      <c r="J132" s="2">
        <v>0.18434710000000001</v>
      </c>
      <c r="K132">
        <f t="shared" si="5"/>
        <v>2.2290452135360628E-3</v>
      </c>
      <c r="L132">
        <f t="shared" si="6"/>
        <v>2.5164183339780877E-3</v>
      </c>
      <c r="M132" s="1">
        <f t="shared" si="7"/>
        <v>2.3794110719148887E-3</v>
      </c>
      <c r="N132" s="1">
        <f t="shared" si="8"/>
        <v>1.6113438420216068E-4</v>
      </c>
      <c r="O132" s="1">
        <f t="shared" si="9"/>
        <v>2.0278178722093421E-4</v>
      </c>
    </row>
    <row r="133" spans="4:15" x14ac:dyDescent="0.25">
      <c r="D133" s="5">
        <v>45908</v>
      </c>
      <c r="E133" s="4">
        <v>5.3587409102357299E-2</v>
      </c>
      <c r="F133" s="4">
        <v>5.3596599831706698E-2</v>
      </c>
      <c r="G133" s="4">
        <v>5.3592003999999999E-2</v>
      </c>
      <c r="H133" s="4">
        <v>0.183864087666397</v>
      </c>
      <c r="I133" s="4">
        <v>0.18390466382227499</v>
      </c>
      <c r="J133" s="4">
        <v>0.18388436999999999</v>
      </c>
      <c r="K133">
        <f t="shared" si="5"/>
        <v>1.2996229899437939E-3</v>
      </c>
      <c r="L133">
        <f t="shared" si="6"/>
        <v>-5.4429986836008748E-3</v>
      </c>
      <c r="M133" s="1">
        <f t="shared" si="7"/>
        <v>-2.2284038975630945E-3</v>
      </c>
      <c r="N133" s="1">
        <f t="shared" si="8"/>
        <v>1.7149441452869569E-4</v>
      </c>
      <c r="O133" s="1">
        <f t="shared" si="9"/>
        <v>2.2066125510282125E-4</v>
      </c>
    </row>
    <row r="134" spans="4:15" x14ac:dyDescent="0.25">
      <c r="D134" s="3">
        <v>45905</v>
      </c>
      <c r="E134" s="2">
        <v>5.3518006133163501E-2</v>
      </c>
      <c r="F134" s="2">
        <v>5.3526886555116601E-2</v>
      </c>
      <c r="G134" s="2">
        <v>5.3522445000000002E-2</v>
      </c>
      <c r="H134" s="2">
        <v>0.18487705675725599</v>
      </c>
      <c r="I134" s="2">
        <v>0.184904404422913</v>
      </c>
      <c r="J134" s="2">
        <v>0.18489073</v>
      </c>
      <c r="K134">
        <f t="shared" si="5"/>
        <v>3.0373664950225088E-3</v>
      </c>
      <c r="L134">
        <f t="shared" si="6"/>
        <v>9.6975692209966269E-3</v>
      </c>
      <c r="M134" s="1">
        <f t="shared" si="7"/>
        <v>6.5222682782083569E-3</v>
      </c>
      <c r="N134" s="1">
        <f t="shared" si="8"/>
        <v>1.6591958669115803E-4</v>
      </c>
      <c r="O134" s="1">
        <f t="shared" si="9"/>
        <v>1.4791258413557364E-4</v>
      </c>
    </row>
    <row r="135" spans="4:15" x14ac:dyDescent="0.25">
      <c r="D135" s="5">
        <v>45904</v>
      </c>
      <c r="E135" s="4">
        <v>5.33558139162634E-2</v>
      </c>
      <c r="F135" s="4">
        <v>5.3364925369151897E-2</v>
      </c>
      <c r="G135" s="4">
        <v>5.3360369999999997E-2</v>
      </c>
      <c r="H135" s="4">
        <v>0.18309988098507701</v>
      </c>
      <c r="I135" s="4">
        <v>0.18313005896787901</v>
      </c>
      <c r="J135" s="4">
        <v>0.18311495999999999</v>
      </c>
      <c r="K135">
        <f t="shared" si="5"/>
        <v>-2.4545318432496188E-3</v>
      </c>
      <c r="L135">
        <f t="shared" si="6"/>
        <v>-3.4884306894394923E-3</v>
      </c>
      <c r="M135" s="1">
        <f t="shared" si="7"/>
        <v>-2.99551176247481E-3</v>
      </c>
      <c r="N135" s="1">
        <f t="shared" si="8"/>
        <v>1.7075318046888891E-4</v>
      </c>
      <c r="O135" s="1">
        <f t="shared" si="9"/>
        <v>1.6480348084066312E-4</v>
      </c>
    </row>
    <row r="136" spans="4:15" x14ac:dyDescent="0.25">
      <c r="D136" s="3">
        <v>45903</v>
      </c>
      <c r="E136" s="2">
        <v>5.34873769790329E-2</v>
      </c>
      <c r="F136" s="2">
        <v>5.3495961054940297E-2</v>
      </c>
      <c r="G136" s="2">
        <v>5.3491667E-2</v>
      </c>
      <c r="H136" s="2">
        <v>0.183739090491502</v>
      </c>
      <c r="I136" s="2">
        <v>0.18377285674905799</v>
      </c>
      <c r="J136" s="2">
        <v>0.18375598000000001</v>
      </c>
      <c r="K136">
        <f t="shared" si="5"/>
        <v>2.3000654969282941E-3</v>
      </c>
      <c r="L136">
        <f t="shared" si="6"/>
        <v>2.9676505836644385E-3</v>
      </c>
      <c r="M136" s="1">
        <f t="shared" si="7"/>
        <v>2.6493744526635415E-3</v>
      </c>
      <c r="N136" s="1">
        <f t="shared" si="8"/>
        <v>1.6047501206865368E-4</v>
      </c>
      <c r="O136" s="1">
        <f t="shared" si="9"/>
        <v>1.8375596568881696E-4</v>
      </c>
    </row>
    <row r="137" spans="4:15" x14ac:dyDescent="0.25">
      <c r="D137" s="5">
        <v>45902</v>
      </c>
      <c r="E137" s="4">
        <v>5.3364640589145598E-2</v>
      </c>
      <c r="F137" s="4">
        <v>5.3373185311699399E-2</v>
      </c>
      <c r="G137" s="4">
        <v>5.3368915000000003E-2</v>
      </c>
      <c r="H137" s="4">
        <v>0.183200512961436</v>
      </c>
      <c r="I137" s="4">
        <v>0.183224009674228</v>
      </c>
      <c r="J137" s="4">
        <v>0.18321227000000001</v>
      </c>
      <c r="K137">
        <f t="shared" si="5"/>
        <v>-6.5643474774615962E-3</v>
      </c>
      <c r="L137">
        <f t="shared" si="6"/>
        <v>-3.1696212564846782E-3</v>
      </c>
      <c r="M137" s="1">
        <f t="shared" si="7"/>
        <v>-4.7880821072239458E-3</v>
      </c>
      <c r="N137" s="1">
        <f t="shared" si="8"/>
        <v>1.601067316770583E-4</v>
      </c>
      <c r="O137" s="1">
        <f t="shared" si="9"/>
        <v>1.2824857632080986E-4</v>
      </c>
    </row>
    <row r="138" spans="4:15" x14ac:dyDescent="0.25">
      <c r="D138" s="3">
        <v>45901</v>
      </c>
      <c r="E138" s="2">
        <v>5.37172324881822E-2</v>
      </c>
      <c r="F138" s="2">
        <v>5.37258905066351E-2</v>
      </c>
      <c r="G138" s="2">
        <v>5.3721562E-2</v>
      </c>
      <c r="H138" s="2">
        <v>0.18377961148990099</v>
      </c>
      <c r="I138" s="2">
        <v>0.18381001396956101</v>
      </c>
      <c r="J138" s="2">
        <v>0.18379482999999999</v>
      </c>
      <c r="K138">
        <f t="shared" si="5"/>
        <v>1.6117239009658668E-3</v>
      </c>
      <c r="L138">
        <f t="shared" si="6"/>
        <v>-2.3433107055753633E-3</v>
      </c>
      <c r="M138" s="1">
        <f t="shared" si="7"/>
        <v>-4.5771868509015916E-4</v>
      </c>
      <c r="N138" s="1">
        <f t="shared" si="8"/>
        <v>1.6116468193721909E-4</v>
      </c>
      <c r="O138" s="1">
        <f t="shared" si="9"/>
        <v>1.6541531478344009E-4</v>
      </c>
    </row>
    <row r="139" spans="4:15" x14ac:dyDescent="0.25">
      <c r="D139" s="5">
        <v>45898</v>
      </c>
      <c r="E139" s="4">
        <v>5.3630805534699101E-2</v>
      </c>
      <c r="F139" s="4">
        <v>5.3639435713136299E-2</v>
      </c>
      <c r="G139" s="4">
        <v>5.3635117000000003E-2</v>
      </c>
      <c r="H139" s="4">
        <v>0.18420955679180601</v>
      </c>
      <c r="I139" s="4">
        <v>0.184243496204584</v>
      </c>
      <c r="J139" s="4">
        <v>0.18422653</v>
      </c>
      <c r="K139">
        <f t="shared" si="5"/>
        <v>-8.3139365078210847E-4</v>
      </c>
      <c r="L139">
        <f t="shared" si="6"/>
        <v>-3.7674554877423772E-3</v>
      </c>
      <c r="M139" s="1">
        <f t="shared" si="7"/>
        <v>-2.3676662767283772E-3</v>
      </c>
      <c r="N139" s="1">
        <f t="shared" si="8"/>
        <v>1.6090537170261227E-4</v>
      </c>
      <c r="O139" s="1">
        <f t="shared" si="9"/>
        <v>1.8422652143526268E-4</v>
      </c>
    </row>
    <row r="140" spans="4:15" x14ac:dyDescent="0.25">
      <c r="D140" s="3">
        <v>45897</v>
      </c>
      <c r="E140" s="2">
        <v>5.3675424706798001E-2</v>
      </c>
      <c r="F140" s="2">
        <v>5.3684069252449299E-2</v>
      </c>
      <c r="G140" s="2">
        <v>5.3679746E-2</v>
      </c>
      <c r="H140" s="2">
        <v>0.18491124260354999</v>
      </c>
      <c r="I140" s="2">
        <v>0.184935180219333</v>
      </c>
      <c r="J140" s="2">
        <v>0.18492322</v>
      </c>
      <c r="K140">
        <f t="shared" si="5"/>
        <v>7.2736081807216468E-3</v>
      </c>
      <c r="L140">
        <f t="shared" si="6"/>
        <v>7.1011046114319853E-3</v>
      </c>
      <c r="M140" s="1">
        <f t="shared" si="7"/>
        <v>7.1833469648161594E-3</v>
      </c>
      <c r="N140" s="1">
        <f t="shared" si="8"/>
        <v>1.6103924283280093E-4</v>
      </c>
      <c r="O140" s="1">
        <f t="shared" si="9"/>
        <v>1.2944624143474017E-4</v>
      </c>
    </row>
    <row r="141" spans="4:15" x14ac:dyDescent="0.25">
      <c r="D141" s="5">
        <v>45896</v>
      </c>
      <c r="E141" s="4">
        <v>5.3287861025258502E-2</v>
      </c>
      <c r="F141" s="4">
        <v>5.3296381175718201E-2</v>
      </c>
      <c r="G141" s="4">
        <v>5.3292119999999998E-2</v>
      </c>
      <c r="H141" s="4">
        <v>0.183597407604605</v>
      </c>
      <c r="I141" s="4">
        <v>0.18364123847651201</v>
      </c>
      <c r="J141" s="4">
        <v>0.18361932</v>
      </c>
      <c r="K141">
        <f t="shared" si="5"/>
        <v>-4.369930328284255E-3</v>
      </c>
      <c r="L141">
        <f t="shared" si="6"/>
        <v>-3.0205949060364556E-3</v>
      </c>
      <c r="M141" s="1">
        <f t="shared" si="7"/>
        <v>-3.6639005552311487E-3</v>
      </c>
      <c r="N141" s="1">
        <f t="shared" si="8"/>
        <v>1.5987636558084439E-4</v>
      </c>
      <c r="O141" s="1">
        <f t="shared" si="9"/>
        <v>2.3870512050155459E-4</v>
      </c>
    </row>
    <row r="142" spans="4:15" x14ac:dyDescent="0.25">
      <c r="D142" s="3">
        <v>45895</v>
      </c>
      <c r="E142" s="2">
        <v>5.3521729822307899E-2</v>
      </c>
      <c r="F142" s="2">
        <v>5.3530324929072302E-2</v>
      </c>
      <c r="G142" s="2">
        <v>5.3526024999999998E-2</v>
      </c>
      <c r="H142" s="2">
        <v>0.18415527973186999</v>
      </c>
      <c r="I142" s="2">
        <v>0.18419598452753699</v>
      </c>
      <c r="J142" s="2">
        <v>0.18417564</v>
      </c>
      <c r="K142">
        <f t="shared" si="5"/>
        <v>-5.5935568526714885E-3</v>
      </c>
      <c r="L142">
        <f t="shared" si="6"/>
        <v>-4.26368833288715E-3</v>
      </c>
      <c r="M142" s="1">
        <f t="shared" si="7"/>
        <v>-4.8977129922548619E-3</v>
      </c>
      <c r="N142" s="1">
        <f t="shared" si="8"/>
        <v>1.6057808821789036E-4</v>
      </c>
      <c r="O142" s="1">
        <f t="shared" si="9"/>
        <v>2.2101074641036686E-4</v>
      </c>
    </row>
    <row r="143" spans="4:15" x14ac:dyDescent="0.25">
      <c r="D143" s="5">
        <v>45894</v>
      </c>
      <c r="E143" s="4">
        <v>5.3822761645900101E-2</v>
      </c>
      <c r="F143" s="4">
        <v>5.3831453718407703E-2</v>
      </c>
      <c r="G143" s="4">
        <v>5.3827109999999997E-2</v>
      </c>
      <c r="H143" s="4">
        <v>0.18494886163975699</v>
      </c>
      <c r="I143" s="4">
        <v>0.18497965223825399</v>
      </c>
      <c r="J143" s="4">
        <v>0.18496426999999999</v>
      </c>
      <c r="K143">
        <f t="shared" si="5"/>
        <v>6.4600251782964691E-4</v>
      </c>
      <c r="L143">
        <f t="shared" si="6"/>
        <v>2.4138452614628214E-3</v>
      </c>
      <c r="M143" s="1">
        <f t="shared" si="7"/>
        <v>1.5710131493608878E-3</v>
      </c>
      <c r="N143" s="1">
        <f t="shared" si="8"/>
        <v>1.614813150399814E-4</v>
      </c>
      <c r="O143" s="1">
        <f t="shared" si="9"/>
        <v>1.6646781833596684E-4</v>
      </c>
    </row>
    <row r="144" spans="4:15" x14ac:dyDescent="0.25">
      <c r="D144" s="3">
        <v>45891</v>
      </c>
      <c r="E144" s="2">
        <v>5.3788021407632503E-2</v>
      </c>
      <c r="F144" s="2">
        <v>5.3796702262151302E-2</v>
      </c>
      <c r="G144" s="2">
        <v>5.3792359999999997E-2</v>
      </c>
      <c r="H144" s="2">
        <v>0.184505249174339</v>
      </c>
      <c r="I144" s="2">
        <v>0.184532486944327</v>
      </c>
      <c r="J144" s="2">
        <v>0.18451887</v>
      </c>
      <c r="K144">
        <f t="shared" ref="K144:K207" si="10">G144/G145-1</f>
        <v>8.6201835600696608E-3</v>
      </c>
      <c r="L144">
        <f t="shared" ref="L144:L207" si="11">J144/J145-1</f>
        <v>1.1818476284824575E-2</v>
      </c>
      <c r="M144" s="1">
        <f t="shared" ref="M144:M207" si="12">SUMPRODUCT(K144:L144,$O$11:$P$11)</f>
        <v>1.0293666557243526E-2</v>
      </c>
      <c r="N144" s="1">
        <f t="shared" ref="N144:N207" si="13">(F144-E144)/G144</f>
        <v>1.6137708995849899E-4</v>
      </c>
      <c r="O144" s="1">
        <f t="shared" ref="O144:O207" si="14">(I144-H144)/J144</f>
        <v>1.47615092093309E-4</v>
      </c>
    </row>
    <row r="145" spans="4:15" x14ac:dyDescent="0.25">
      <c r="D145" s="5">
        <v>45890</v>
      </c>
      <c r="E145" s="4">
        <v>5.3328213824806202E-2</v>
      </c>
      <c r="F145" s="4">
        <v>5.33370313675081E-2</v>
      </c>
      <c r="G145" s="4">
        <v>5.3332623000000003E-2</v>
      </c>
      <c r="H145" s="4">
        <v>0.18234865061998501</v>
      </c>
      <c r="I145" s="4">
        <v>0.18237858145939301</v>
      </c>
      <c r="J145" s="4">
        <v>0.18236361000000001</v>
      </c>
      <c r="K145">
        <f t="shared" si="10"/>
        <v>2.5999957363869175E-3</v>
      </c>
      <c r="L145">
        <f t="shared" si="11"/>
        <v>-2.0971632563208109E-3</v>
      </c>
      <c r="M145" s="1">
        <f t="shared" si="12"/>
        <v>1.4224205784547873E-4</v>
      </c>
      <c r="N145" s="1">
        <f t="shared" si="13"/>
        <v>1.6533112766455439E-4</v>
      </c>
      <c r="O145" s="1">
        <f t="shared" si="14"/>
        <v>1.6412725876614802E-4</v>
      </c>
    </row>
    <row r="146" spans="4:15" x14ac:dyDescent="0.25">
      <c r="D146" s="3">
        <v>45889</v>
      </c>
      <c r="E146" s="2">
        <v>5.3188943082512E-2</v>
      </c>
      <c r="F146" s="2">
        <v>5.31996956977406E-2</v>
      </c>
      <c r="G146" s="2">
        <v>5.3194317999999997E-2</v>
      </c>
      <c r="H146" s="2">
        <v>0.18273184102329801</v>
      </c>
      <c r="I146" s="2">
        <v>0.18276189779954699</v>
      </c>
      <c r="J146" s="2">
        <v>0.18274686000000001</v>
      </c>
      <c r="K146">
        <f t="shared" si="10"/>
        <v>-1.3304162168981115E-4</v>
      </c>
      <c r="L146">
        <f t="shared" si="11"/>
        <v>1.5442405996677344E-3</v>
      </c>
      <c r="M146" s="1">
        <f t="shared" si="12"/>
        <v>7.4458388681299787E-4</v>
      </c>
      <c r="N146" s="1">
        <f t="shared" si="13"/>
        <v>2.021384169000906E-4</v>
      </c>
      <c r="O146" s="1">
        <f t="shared" si="14"/>
        <v>1.6447218983123586E-4</v>
      </c>
    </row>
    <row r="147" spans="4:15" x14ac:dyDescent="0.25">
      <c r="D147" s="5">
        <v>45888</v>
      </c>
      <c r="E147" s="4">
        <v>5.3197148632833299E-2</v>
      </c>
      <c r="F147" s="4">
        <v>5.3205639797818602E-2</v>
      </c>
      <c r="G147" s="4">
        <v>5.3201395999999998E-2</v>
      </c>
      <c r="H147" s="4">
        <v>0.18244180106546001</v>
      </c>
      <c r="I147" s="4">
        <v>0.18248841198583901</v>
      </c>
      <c r="J147" s="4">
        <v>0.18246509</v>
      </c>
      <c r="K147">
        <f t="shared" si="10"/>
        <v>1.7556625389139047E-3</v>
      </c>
      <c r="L147">
        <f t="shared" si="11"/>
        <v>-1.1778282074891511E-2</v>
      </c>
      <c r="M147" s="1">
        <f t="shared" si="12"/>
        <v>-5.3258738134635292E-3</v>
      </c>
      <c r="N147" s="1">
        <f t="shared" si="13"/>
        <v>1.5960417627579844E-4</v>
      </c>
      <c r="O147" s="1">
        <f t="shared" si="14"/>
        <v>2.5545116810562351E-4</v>
      </c>
    </row>
    <row r="148" spans="4:15" x14ac:dyDescent="0.25">
      <c r="D148" s="3">
        <v>45887</v>
      </c>
      <c r="E148" s="2">
        <v>5.3103924380011699E-2</v>
      </c>
      <c r="F148" s="2">
        <v>5.3112385808370501E-2</v>
      </c>
      <c r="G148" s="2">
        <v>5.3108155999999997E-2</v>
      </c>
      <c r="H148" s="2">
        <v>0.18461765683269901</v>
      </c>
      <c r="I148" s="2">
        <v>0.18466197625246999</v>
      </c>
      <c r="J148" s="2">
        <v>0.18463983</v>
      </c>
      <c r="K148">
        <f t="shared" si="10"/>
        <v>-7.5147997277159595E-3</v>
      </c>
      <c r="L148">
        <f t="shared" si="11"/>
        <v>-4.0620217926360391E-3</v>
      </c>
      <c r="M148" s="1">
        <f t="shared" si="12"/>
        <v>-5.7081592277235379E-3</v>
      </c>
      <c r="N148" s="1">
        <f t="shared" si="13"/>
        <v>1.5932446155353413E-4</v>
      </c>
      <c r="O148" s="1">
        <f t="shared" si="14"/>
        <v>2.4003174055664404E-4</v>
      </c>
    </row>
    <row r="149" spans="4:15" x14ac:dyDescent="0.25">
      <c r="D149" s="5">
        <v>45884</v>
      </c>
      <c r="E149" s="4">
        <v>5.3505120440026102E-2</v>
      </c>
      <c r="F149" s="4">
        <v>5.3515428498035998E-2</v>
      </c>
      <c r="G149" s="4">
        <v>5.3510275000000003E-2</v>
      </c>
      <c r="H149" s="4">
        <v>0.18537399202891799</v>
      </c>
      <c r="I149" s="4">
        <v>0.185411799606927</v>
      </c>
      <c r="J149" s="4">
        <v>0.1853929</v>
      </c>
      <c r="K149">
        <f t="shared" si="10"/>
        <v>4.8694510214761788E-3</v>
      </c>
      <c r="L149">
        <f t="shared" si="11"/>
        <v>1.112389699271521E-3</v>
      </c>
      <c r="M149" s="1">
        <f t="shared" si="12"/>
        <v>2.9035964912186752E-3</v>
      </c>
      <c r="N149" s="1">
        <f t="shared" si="13"/>
        <v>1.9263698439030702E-4</v>
      </c>
      <c r="O149" s="1">
        <f t="shared" si="14"/>
        <v>2.0393217868107453E-4</v>
      </c>
    </row>
    <row r="150" spans="4:15" x14ac:dyDescent="0.25">
      <c r="D150" s="3">
        <v>45883</v>
      </c>
      <c r="E150" s="2">
        <v>5.3246435151166602E-2</v>
      </c>
      <c r="F150" s="2">
        <v>5.3255509282435297E-2</v>
      </c>
      <c r="G150" s="2">
        <v>5.3250972000000001E-2</v>
      </c>
      <c r="H150" s="2">
        <v>0.185168039996297</v>
      </c>
      <c r="I150" s="2">
        <v>0.18520576360336299</v>
      </c>
      <c r="J150" s="2">
        <v>0.18518689999999999</v>
      </c>
      <c r="K150">
        <f t="shared" si="10"/>
        <v>-8.6799146932978744E-3</v>
      </c>
      <c r="L150">
        <f t="shared" si="11"/>
        <v>-1.4630248547072844E-3</v>
      </c>
      <c r="M150" s="1">
        <f t="shared" si="12"/>
        <v>-4.9037304985620105E-3</v>
      </c>
      <c r="N150" s="1">
        <f t="shared" si="13"/>
        <v>1.704031105515803E-4</v>
      </c>
      <c r="O150" s="1">
        <f t="shared" si="14"/>
        <v>2.0370559184260922E-4</v>
      </c>
    </row>
    <row r="151" spans="4:15" x14ac:dyDescent="0.25">
      <c r="D151" s="5">
        <v>45882</v>
      </c>
      <c r="E151" s="4">
        <v>5.3712904525312202E-2</v>
      </c>
      <c r="F151" s="4">
        <v>5.3721561148567E-2</v>
      </c>
      <c r="G151" s="4">
        <v>5.3717233000000003E-2</v>
      </c>
      <c r="H151" s="4">
        <v>0.185442744552619</v>
      </c>
      <c r="I151" s="4">
        <v>0.18547369982936401</v>
      </c>
      <c r="J151" s="4">
        <v>0.18545823</v>
      </c>
      <c r="K151">
        <f t="shared" si="10"/>
        <v>-1.7995107302044566E-3</v>
      </c>
      <c r="L151">
        <f t="shared" si="11"/>
        <v>3.0879892777924134E-3</v>
      </c>
      <c r="M151" s="1">
        <f t="shared" si="12"/>
        <v>7.5783747584402838E-4</v>
      </c>
      <c r="N151" s="1">
        <f t="shared" si="13"/>
        <v>1.6115169697586084E-4</v>
      </c>
      <c r="O151" s="1">
        <f t="shared" si="14"/>
        <v>1.6691239178231654E-4</v>
      </c>
    </row>
    <row r="152" spans="4:15" x14ac:dyDescent="0.25">
      <c r="D152" s="3">
        <v>45881</v>
      </c>
      <c r="E152" s="2">
        <v>5.3809728798966901E-2</v>
      </c>
      <c r="F152" s="2">
        <v>5.3818416662181803E-2</v>
      </c>
      <c r="G152" s="2">
        <v>5.3814071999999998E-2</v>
      </c>
      <c r="H152" s="2">
        <v>0.18486338595777699</v>
      </c>
      <c r="I152" s="2">
        <v>0.18491124260354999</v>
      </c>
      <c r="J152" s="2">
        <v>0.1848873</v>
      </c>
      <c r="K152">
        <f t="shared" si="10"/>
        <v>3.9552957479618289E-3</v>
      </c>
      <c r="L152">
        <f t="shared" si="11"/>
        <v>7.8206586137954393E-3</v>
      </c>
      <c r="M152" s="1">
        <f t="shared" si="12"/>
        <v>5.9778182593668745E-3</v>
      </c>
      <c r="N152" s="1">
        <f t="shared" si="13"/>
        <v>1.614422193307099E-4</v>
      </c>
      <c r="O152" s="1">
        <f t="shared" si="14"/>
        <v>2.5884225564981161E-4</v>
      </c>
    </row>
    <row r="153" spans="4:15" x14ac:dyDescent="0.25">
      <c r="D153" s="5">
        <v>45880</v>
      </c>
      <c r="E153" s="4">
        <v>5.3597174356967897E-2</v>
      </c>
      <c r="F153" s="4">
        <v>5.3606943171279502E-2</v>
      </c>
      <c r="G153" s="4">
        <v>5.360206E-2</v>
      </c>
      <c r="H153" s="4">
        <v>0.183435751627992</v>
      </c>
      <c r="I153" s="4">
        <v>0.18346940647647</v>
      </c>
      <c r="J153" s="4">
        <v>0.18345258</v>
      </c>
      <c r="K153">
        <f t="shared" si="10"/>
        <v>-5.7353510194345647E-3</v>
      </c>
      <c r="L153">
        <f t="shared" si="11"/>
        <v>-4.6229985987329414E-3</v>
      </c>
      <c r="M153" s="1">
        <f t="shared" si="12"/>
        <v>-5.1533208479930155E-3</v>
      </c>
      <c r="N153" s="1">
        <f t="shared" si="13"/>
        <v>1.8224699408202845E-4</v>
      </c>
      <c r="O153" s="1">
        <f t="shared" si="14"/>
        <v>1.8345257656231465E-4</v>
      </c>
    </row>
    <row r="154" spans="4:15" x14ac:dyDescent="0.25">
      <c r="D154" s="3">
        <v>45877</v>
      </c>
      <c r="E154" s="2">
        <v>5.3906902778900798E-2</v>
      </c>
      <c r="F154" s="2">
        <v>5.3915622051489399E-2</v>
      </c>
      <c r="G154" s="2">
        <v>5.3911260000000003E-2</v>
      </c>
      <c r="H154" s="2">
        <v>0.18428084400626599</v>
      </c>
      <c r="I154" s="2">
        <v>0.184328399476507</v>
      </c>
      <c r="J154" s="2">
        <v>0.18430462</v>
      </c>
      <c r="K154">
        <f t="shared" si="10"/>
        <v>8.0866442842131292E-3</v>
      </c>
      <c r="L154">
        <f t="shared" si="11"/>
        <v>8.358221138740074E-3</v>
      </c>
      <c r="M154" s="1">
        <f t="shared" si="12"/>
        <v>8.2287448633624714E-3</v>
      </c>
      <c r="N154" s="1">
        <f t="shared" si="13"/>
        <v>1.6173379343390932E-4</v>
      </c>
      <c r="O154" s="1">
        <f t="shared" si="14"/>
        <v>2.5802646857695411E-4</v>
      </c>
    </row>
    <row r="155" spans="4:15" x14ac:dyDescent="0.25">
      <c r="D155" s="5">
        <v>45876</v>
      </c>
      <c r="E155" s="4">
        <v>5.3473076306079899E-2</v>
      </c>
      <c r="F155" s="4">
        <v>5.3484516232550697E-2</v>
      </c>
      <c r="G155" s="4">
        <v>5.3478796000000002E-2</v>
      </c>
      <c r="H155" s="4">
        <v>0.18276189779954699</v>
      </c>
      <c r="I155" s="4">
        <v>0.18279196446524201</v>
      </c>
      <c r="J155" s="4">
        <v>0.18277693</v>
      </c>
      <c r="K155">
        <f t="shared" si="10"/>
        <v>-5.3478450175044046E-3</v>
      </c>
      <c r="L155">
        <f t="shared" si="11"/>
        <v>1.8003440533287396E-3</v>
      </c>
      <c r="M155" s="1">
        <f t="shared" si="12"/>
        <v>-1.6076079910327238E-3</v>
      </c>
      <c r="N155" s="1">
        <f t="shared" si="13"/>
        <v>2.1391518370753691E-4</v>
      </c>
      <c r="O155" s="1">
        <f t="shared" si="14"/>
        <v>1.6449923792363809E-4</v>
      </c>
    </row>
    <row r="156" spans="4:15" x14ac:dyDescent="0.25">
      <c r="D156" s="3">
        <v>45875</v>
      </c>
      <c r="E156" s="2">
        <v>5.37619956452784E-2</v>
      </c>
      <c r="F156" s="2">
        <v>5.37706681005512E-2</v>
      </c>
      <c r="G156" s="2">
        <v>5.3766330000000001E-2</v>
      </c>
      <c r="H156" s="2">
        <v>0.182435144306199</v>
      </c>
      <c r="I156" s="2">
        <v>0.18246177425829299</v>
      </c>
      <c r="J156" s="2">
        <v>0.18244846000000001</v>
      </c>
      <c r="K156">
        <f t="shared" si="10"/>
        <v>1.1936032770219818E-2</v>
      </c>
      <c r="L156">
        <f t="shared" si="11"/>
        <v>5.5373638131577252E-3</v>
      </c>
      <c r="M156" s="1">
        <f t="shared" si="12"/>
        <v>8.5879765959657184E-3</v>
      </c>
      <c r="N156" s="1">
        <f t="shared" si="13"/>
        <v>1.6129900018840531E-4</v>
      </c>
      <c r="O156" s="1">
        <f t="shared" si="14"/>
        <v>1.4595876607556576E-4</v>
      </c>
    </row>
    <row r="157" spans="4:15" x14ac:dyDescent="0.25">
      <c r="D157" s="5">
        <v>45874</v>
      </c>
      <c r="E157" s="4">
        <v>5.3127905432328301E-2</v>
      </c>
      <c r="F157" s="4">
        <v>5.3136374505167498E-2</v>
      </c>
      <c r="G157" s="4">
        <v>5.3132143E-2</v>
      </c>
      <c r="H157" s="4">
        <v>0.18142564270033901</v>
      </c>
      <c r="I157" s="4">
        <v>0.181461856717718</v>
      </c>
      <c r="J157" s="4">
        <v>0.18144373999999999</v>
      </c>
      <c r="K157">
        <f t="shared" si="10"/>
        <v>7.7052266725385898E-4</v>
      </c>
      <c r="L157">
        <f t="shared" si="11"/>
        <v>-8.9820395551143406E-4</v>
      </c>
      <c r="M157" s="1">
        <f t="shared" si="12"/>
        <v>-1.0262618760684919E-4</v>
      </c>
      <c r="N157" s="1">
        <f t="shared" si="13"/>
        <v>1.5939640980031639E-4</v>
      </c>
      <c r="O157" s="1">
        <f t="shared" si="14"/>
        <v>1.995881333739801E-4</v>
      </c>
    </row>
    <row r="158" spans="4:15" x14ac:dyDescent="0.25">
      <c r="D158" s="3">
        <v>45873</v>
      </c>
      <c r="E158" s="2">
        <v>5.3087009608748702E-2</v>
      </c>
      <c r="F158" s="2">
        <v>5.3095465647233699E-2</v>
      </c>
      <c r="G158" s="2">
        <v>5.3091235000000001E-2</v>
      </c>
      <c r="H158" s="2">
        <v>0.18158377367398401</v>
      </c>
      <c r="I158" s="2">
        <v>0.18162994714568501</v>
      </c>
      <c r="J158" s="2">
        <v>0.18160686000000001</v>
      </c>
      <c r="K158">
        <f t="shared" si="10"/>
        <v>3.7826733444046301E-3</v>
      </c>
      <c r="L158">
        <f t="shared" si="11"/>
        <v>7.7364154105488137E-3</v>
      </c>
      <c r="M158" s="1">
        <f t="shared" si="12"/>
        <v>5.8514396182641898E-3</v>
      </c>
      <c r="N158" s="1">
        <f t="shared" si="13"/>
        <v>1.5927371975801421E-4</v>
      </c>
      <c r="O158" s="1">
        <f t="shared" si="14"/>
        <v>2.5424960103926844E-4</v>
      </c>
    </row>
    <row r="159" spans="4:15" x14ac:dyDescent="0.25">
      <c r="D159" s="5">
        <v>45870</v>
      </c>
      <c r="E159" s="4">
        <v>5.28865477777073E-2</v>
      </c>
      <c r="F159" s="4">
        <v>5.2895779445757997E-2</v>
      </c>
      <c r="G159" s="4">
        <v>5.2891164999999997E-2</v>
      </c>
      <c r="H159" s="4">
        <v>0.18019316707510499</v>
      </c>
      <c r="I159" s="4">
        <v>0.18023213899502599</v>
      </c>
      <c r="J159" s="4">
        <v>0.18021266</v>
      </c>
      <c r="K159">
        <f t="shared" si="10"/>
        <v>-4.1386363631229495E-3</v>
      </c>
      <c r="L159">
        <f t="shared" si="11"/>
        <v>8.9295186831719331E-3</v>
      </c>
      <c r="M159" s="1">
        <f t="shared" si="12"/>
        <v>2.6991790454345037E-3</v>
      </c>
      <c r="N159" s="1">
        <f t="shared" si="13"/>
        <v>1.7454083400689945E-4</v>
      </c>
      <c r="O159" s="1">
        <f t="shared" si="14"/>
        <v>2.1625517275533941E-4</v>
      </c>
    </row>
    <row r="160" spans="4:15" x14ac:dyDescent="0.25">
      <c r="D160" s="3">
        <v>45869</v>
      </c>
      <c r="E160" s="2">
        <v>5.3105898472143302E-2</v>
      </c>
      <c r="F160" s="2">
        <v>5.3116053264778203E-2</v>
      </c>
      <c r="G160" s="2">
        <v>5.3110971999999999E-2</v>
      </c>
      <c r="H160" s="2">
        <v>0.17859694242034599</v>
      </c>
      <c r="I160" s="2">
        <v>0.17863841797817001</v>
      </c>
      <c r="J160" s="2">
        <v>0.17861769</v>
      </c>
      <c r="K160">
        <f t="shared" si="10"/>
        <v>-1.0888139548893561E-3</v>
      </c>
      <c r="L160">
        <f t="shared" si="11"/>
        <v>1.0896560745692341E-3</v>
      </c>
      <c r="M160" s="1">
        <f t="shared" si="12"/>
        <v>5.1054364834620769E-5</v>
      </c>
      <c r="N160" s="1">
        <f t="shared" si="13"/>
        <v>1.9119952530525123E-4</v>
      </c>
      <c r="O160" s="1">
        <f t="shared" si="14"/>
        <v>2.322029683847229E-4</v>
      </c>
    </row>
    <row r="161" spans="4:15" x14ac:dyDescent="0.25">
      <c r="D161" s="5">
        <v>45868</v>
      </c>
      <c r="E161" s="4">
        <v>5.3164624259018099E-2</v>
      </c>
      <c r="F161" s="4">
        <v>5.3173105043468998E-2</v>
      </c>
      <c r="G161" s="4">
        <v>5.3168862999999997E-2</v>
      </c>
      <c r="H161" s="4">
        <v>0.17839940057801401</v>
      </c>
      <c r="I161" s="4">
        <v>0.178447152875676</v>
      </c>
      <c r="J161" s="4">
        <v>0.17842326999999999</v>
      </c>
      <c r="K161">
        <f t="shared" si="10"/>
        <v>9.3048804207929159E-4</v>
      </c>
      <c r="L161">
        <f t="shared" si="11"/>
        <v>-2.069764011890185E-3</v>
      </c>
      <c r="M161" s="1">
        <f t="shared" si="12"/>
        <v>-6.3937163983542131E-4</v>
      </c>
      <c r="N161" s="1">
        <f t="shared" si="13"/>
        <v>1.5950659789166984E-4</v>
      </c>
      <c r="O161" s="1">
        <f t="shared" si="14"/>
        <v>2.6763492038897396E-4</v>
      </c>
    </row>
    <row r="162" spans="4:15" x14ac:dyDescent="0.25">
      <c r="D162" s="3">
        <v>45867</v>
      </c>
      <c r="E162" s="2">
        <v>5.3114642644684303E-2</v>
      </c>
      <c r="F162" s="2">
        <v>5.3124236339102598E-2</v>
      </c>
      <c r="G162" s="2">
        <v>5.3119435999999999E-2</v>
      </c>
      <c r="H162" s="2">
        <v>0.17876935178233</v>
      </c>
      <c r="I162" s="2">
        <v>0.17881730236217699</v>
      </c>
      <c r="J162" s="2">
        <v>0.17879333</v>
      </c>
      <c r="K162">
        <f t="shared" si="10"/>
        <v>-7.3437904695770051E-3</v>
      </c>
      <c r="L162">
        <f t="shared" si="11"/>
        <v>-1.6985158868466632E-3</v>
      </c>
      <c r="M162" s="1">
        <f t="shared" si="12"/>
        <v>-4.3899423257048797E-3</v>
      </c>
      <c r="N162" s="1">
        <f t="shared" si="13"/>
        <v>1.8060610467128988E-4</v>
      </c>
      <c r="O162" s="1">
        <f t="shared" si="14"/>
        <v>2.6818998139916517E-4</v>
      </c>
    </row>
    <row r="163" spans="4:15" x14ac:dyDescent="0.25">
      <c r="D163" s="5">
        <v>45866</v>
      </c>
      <c r="E163" s="4">
        <v>5.3507983391121998E-2</v>
      </c>
      <c r="F163" s="4">
        <v>5.3516860486896398E-2</v>
      </c>
      <c r="G163" s="4">
        <v>5.3512419999999998E-2</v>
      </c>
      <c r="H163" s="4">
        <v>0.179070267172839</v>
      </c>
      <c r="I163" s="4">
        <v>0.179124796245544</v>
      </c>
      <c r="J163" s="4">
        <v>0.17909753</v>
      </c>
      <c r="K163">
        <f t="shared" si="10"/>
        <v>-6.6756876705628132E-3</v>
      </c>
      <c r="L163">
        <f t="shared" si="11"/>
        <v>-8.077330493806989E-3</v>
      </c>
      <c r="M163" s="1">
        <f t="shared" si="12"/>
        <v>-7.4090869040521895E-3</v>
      </c>
      <c r="N163" s="1">
        <f t="shared" si="13"/>
        <v>1.6588851287980833E-4</v>
      </c>
      <c r="O163" s="1">
        <f t="shared" si="14"/>
        <v>3.044657997517123E-4</v>
      </c>
    </row>
    <row r="164" spans="4:15" x14ac:dyDescent="0.25">
      <c r="D164" s="3">
        <v>45863</v>
      </c>
      <c r="E164" s="2">
        <v>5.38677009265245E-2</v>
      </c>
      <c r="F164" s="2">
        <v>5.3876407521146502E-2</v>
      </c>
      <c r="G164" s="2">
        <v>5.3872053000000003E-2</v>
      </c>
      <c r="H164" s="2">
        <v>0.18054126270559101</v>
      </c>
      <c r="I164" s="2">
        <v>0.18057060310581399</v>
      </c>
      <c r="J164" s="2">
        <v>0.18055594</v>
      </c>
      <c r="K164">
        <f t="shared" si="10"/>
        <v>0</v>
      </c>
      <c r="L164">
        <f t="shared" si="11"/>
        <v>-1.8055364440116017E-3</v>
      </c>
      <c r="M164" s="1">
        <f t="shared" si="12"/>
        <v>-9.4473358127740534E-4</v>
      </c>
      <c r="N164" s="1">
        <f t="shared" si="13"/>
        <v>1.6161616528706689E-4</v>
      </c>
      <c r="O164" s="1">
        <f t="shared" si="14"/>
        <v>1.6250033215734944E-4</v>
      </c>
    </row>
    <row r="165" spans="4:15" x14ac:dyDescent="0.25">
      <c r="D165" s="5">
        <v>45862</v>
      </c>
      <c r="E165" s="4">
        <v>5.38677009265245E-2</v>
      </c>
      <c r="F165" s="4">
        <v>5.3876407521146502E-2</v>
      </c>
      <c r="G165" s="4">
        <v>5.3872053000000003E-2</v>
      </c>
      <c r="H165" s="4">
        <v>0.180848177954607</v>
      </c>
      <c r="I165" s="4">
        <v>0.18091688678221199</v>
      </c>
      <c r="J165" s="4">
        <v>0.18088253000000001</v>
      </c>
      <c r="K165">
        <f t="shared" si="10"/>
        <v>2.5858545644865671E-3</v>
      </c>
      <c r="L165">
        <f t="shared" si="11"/>
        <v>5.1733360718477783E-3</v>
      </c>
      <c r="M165" s="1">
        <f t="shared" si="12"/>
        <v>3.9397351128665188E-3</v>
      </c>
      <c r="N165" s="1">
        <f t="shared" si="13"/>
        <v>1.6161616528706689E-4</v>
      </c>
      <c r="O165" s="1">
        <f t="shared" si="14"/>
        <v>3.7985330924432116E-4</v>
      </c>
    </row>
    <row r="166" spans="4:15" x14ac:dyDescent="0.25">
      <c r="D166" s="3">
        <v>45861</v>
      </c>
      <c r="E166" s="2">
        <v>5.37287771330325E-2</v>
      </c>
      <c r="F166" s="2">
        <v>5.37374388736633E-2</v>
      </c>
      <c r="G166" s="2">
        <v>5.3733107000000002E-2</v>
      </c>
      <c r="H166" s="2">
        <v>0.179930546808932</v>
      </c>
      <c r="I166" s="2">
        <v>0.179972644158088</v>
      </c>
      <c r="J166" s="2">
        <v>0.17995158</v>
      </c>
      <c r="K166">
        <f t="shared" si="10"/>
        <v>6.1789656842359264E-4</v>
      </c>
      <c r="L166">
        <f t="shared" si="11"/>
        <v>1.6644349515531065E-3</v>
      </c>
      <c r="M166" s="1">
        <f t="shared" si="12"/>
        <v>1.1654900318053031E-3</v>
      </c>
      <c r="N166" s="1">
        <f t="shared" si="13"/>
        <v>1.6119932597234382E-4</v>
      </c>
      <c r="O166" s="1">
        <f t="shared" si="14"/>
        <v>2.3393709105527503E-4</v>
      </c>
    </row>
    <row r="167" spans="4:15" x14ac:dyDescent="0.25">
      <c r="D167" s="5">
        <v>45860</v>
      </c>
      <c r="E167" s="4">
        <v>5.3695599645609E-2</v>
      </c>
      <c r="F167" s="4">
        <v>5.3704250691442197E-2</v>
      </c>
      <c r="G167" s="4">
        <v>5.3699926000000002E-2</v>
      </c>
      <c r="H167" s="4">
        <v>0.179620282722325</v>
      </c>
      <c r="I167" s="4">
        <v>0.179684832803263</v>
      </c>
      <c r="J167" s="4">
        <v>0.17965255999999999</v>
      </c>
      <c r="K167">
        <f t="shared" si="10"/>
        <v>2.0137705617429003E-3</v>
      </c>
      <c r="L167">
        <f t="shared" si="11"/>
        <v>-1.2844416453505758E-3</v>
      </c>
      <c r="M167" s="1">
        <f t="shared" si="12"/>
        <v>2.8800543495476809E-4</v>
      </c>
      <c r="N167" s="1">
        <f t="shared" si="13"/>
        <v>1.6109977196610584E-4</v>
      </c>
      <c r="O167" s="1">
        <f t="shared" si="14"/>
        <v>3.5930509945420678E-4</v>
      </c>
    </row>
    <row r="168" spans="4:15" x14ac:dyDescent="0.25">
      <c r="D168" s="3">
        <v>45859</v>
      </c>
      <c r="E168" s="2">
        <v>5.3587696264937597E-2</v>
      </c>
      <c r="F168" s="2">
        <v>5.3596312573694897E-2</v>
      </c>
      <c r="G168" s="2">
        <v>5.3592003999999999E-2</v>
      </c>
      <c r="H168" s="2">
        <v>0.17985934998830899</v>
      </c>
      <c r="I168" s="2">
        <v>0.179907887161773</v>
      </c>
      <c r="J168" s="2">
        <v>0.17988361</v>
      </c>
      <c r="K168">
        <f t="shared" si="10"/>
        <v>2.7600035229071729E-3</v>
      </c>
      <c r="L168">
        <f t="shared" si="11"/>
        <v>-2.7612558680429888E-3</v>
      </c>
      <c r="M168" s="1">
        <f t="shared" si="12"/>
        <v>-1.289545897213949E-4</v>
      </c>
      <c r="N168" s="1">
        <f t="shared" si="13"/>
        <v>1.607760134758249E-4</v>
      </c>
      <c r="O168" s="1">
        <f t="shared" si="14"/>
        <v>2.6982543581379273E-4</v>
      </c>
    </row>
    <row r="169" spans="4:15" x14ac:dyDescent="0.25">
      <c r="D169" s="5">
        <v>45856</v>
      </c>
      <c r="E169" s="4">
        <v>5.3440213760854997E-2</v>
      </c>
      <c r="F169" s="4">
        <v>5.34487827039739E-2</v>
      </c>
      <c r="G169" s="4">
        <v>5.3444497000000001E-2</v>
      </c>
      <c r="H169" s="4">
        <v>0.180358914239336</v>
      </c>
      <c r="I169" s="4">
        <v>0.18040446681459801</v>
      </c>
      <c r="J169" s="4">
        <v>0.18038169000000001</v>
      </c>
      <c r="K169">
        <f t="shared" si="10"/>
        <v>2.9394499985551104E-3</v>
      </c>
      <c r="L169">
        <f t="shared" si="11"/>
        <v>3.3280610619359496E-3</v>
      </c>
      <c r="M169" s="1">
        <f t="shared" si="12"/>
        <v>3.1427878612991546E-3</v>
      </c>
      <c r="N169" s="1">
        <f t="shared" si="13"/>
        <v>1.6033349736461892E-4</v>
      </c>
      <c r="O169" s="1">
        <f t="shared" si="14"/>
        <v>2.5253436344902273E-4</v>
      </c>
    </row>
    <row r="170" spans="4:15" x14ac:dyDescent="0.25">
      <c r="D170" s="3">
        <v>45855</v>
      </c>
      <c r="E170" s="2">
        <v>5.3282750242436498E-2</v>
      </c>
      <c r="F170" s="2">
        <v>5.3292972788608103E-2</v>
      </c>
      <c r="G170" s="2">
        <v>5.3287859999999999E-2</v>
      </c>
      <c r="H170" s="2">
        <v>0.17976558567627801</v>
      </c>
      <c r="I170" s="2">
        <v>0.179801139939227</v>
      </c>
      <c r="J170" s="2">
        <v>0.17978336</v>
      </c>
      <c r="K170">
        <f t="shared" si="10"/>
        <v>-1.0391559636027115E-3</v>
      </c>
      <c r="L170">
        <f t="shared" si="11"/>
        <v>1.860746856565898E-3</v>
      </c>
      <c r="M170" s="1">
        <f t="shared" si="12"/>
        <v>4.7819672442574136E-4</v>
      </c>
      <c r="N170" s="1">
        <f t="shared" si="13"/>
        <v>1.918363051472732E-4</v>
      </c>
      <c r="O170" s="1">
        <f t="shared" si="14"/>
        <v>1.9776170024294302E-4</v>
      </c>
    </row>
    <row r="171" spans="4:15" x14ac:dyDescent="0.25">
      <c r="D171" s="5">
        <v>45854</v>
      </c>
      <c r="E171" s="4">
        <v>5.33370313675081E-2</v>
      </c>
      <c r="F171" s="4">
        <v>5.3349551597018798E-2</v>
      </c>
      <c r="G171" s="4">
        <v>5.3343292E-2</v>
      </c>
      <c r="H171" s="4">
        <v>0.179430129907414</v>
      </c>
      <c r="I171" s="4">
        <v>0.17946877243359699</v>
      </c>
      <c r="J171" s="4">
        <v>0.17944945000000001</v>
      </c>
      <c r="K171">
        <f t="shared" si="10"/>
        <v>9.3354654241406543E-4</v>
      </c>
      <c r="L171">
        <f t="shared" si="11"/>
        <v>-3.3736557721474325E-3</v>
      </c>
      <c r="M171" s="1">
        <f t="shared" si="12"/>
        <v>-1.3201651904164386E-3</v>
      </c>
      <c r="N171" s="1">
        <f t="shared" si="13"/>
        <v>2.3471047701175145E-4</v>
      </c>
      <c r="O171" s="1">
        <f t="shared" si="14"/>
        <v>2.1533934031556777E-4</v>
      </c>
    </row>
    <row r="172" spans="4:15" x14ac:dyDescent="0.25">
      <c r="D172" s="3">
        <v>45853</v>
      </c>
      <c r="E172" s="2">
        <v>5.3289280861154802E-2</v>
      </c>
      <c r="F172" s="2">
        <v>5.32978014656895E-2</v>
      </c>
      <c r="G172" s="2">
        <v>5.329354E-2</v>
      </c>
      <c r="H172" s="2">
        <v>0.18003420649923499</v>
      </c>
      <c r="I172" s="2">
        <v>0.18007959518107</v>
      </c>
      <c r="J172" s="2">
        <v>0.18005689999999999</v>
      </c>
      <c r="K172">
        <f t="shared" si="10"/>
        <v>-5.0637146585530424E-4</v>
      </c>
      <c r="L172">
        <f t="shared" si="11"/>
        <v>1.7555782239311313E-3</v>
      </c>
      <c r="M172" s="1">
        <f t="shared" si="12"/>
        <v>6.7717696828947013E-4</v>
      </c>
      <c r="N172" s="1">
        <f t="shared" si="13"/>
        <v>1.598806259576311E-4</v>
      </c>
      <c r="O172" s="1">
        <f t="shared" si="14"/>
        <v>2.5207965834695833E-4</v>
      </c>
    </row>
    <row r="173" spans="4:15" x14ac:dyDescent="0.25">
      <c r="D173" s="5">
        <v>45852</v>
      </c>
      <c r="E173" s="4">
        <v>5.3316272126252902E-2</v>
      </c>
      <c r="F173" s="4">
        <v>5.3324801365114902E-2</v>
      </c>
      <c r="G173" s="4">
        <v>5.332054E-2</v>
      </c>
      <c r="H173" s="4">
        <v>0.17971712524486499</v>
      </c>
      <c r="I173" s="4">
        <v>0.17976558567627801</v>
      </c>
      <c r="J173" s="4">
        <v>0.17974134999999999</v>
      </c>
      <c r="K173">
        <f t="shared" si="10"/>
        <v>-2.9592289250491843E-3</v>
      </c>
      <c r="L173">
        <f t="shared" si="11"/>
        <v>1.5367851935927934E-3</v>
      </c>
      <c r="M173" s="1">
        <f t="shared" si="12"/>
        <v>-6.0672281315863968E-4</v>
      </c>
      <c r="N173" s="1">
        <f t="shared" si="13"/>
        <v>1.5996159945116459E-4</v>
      </c>
      <c r="O173" s="1">
        <f t="shared" si="14"/>
        <v>2.6961203647917739E-4</v>
      </c>
    </row>
    <row r="174" spans="4:15" x14ac:dyDescent="0.25">
      <c r="D174" s="3">
        <v>45849</v>
      </c>
      <c r="E174" s="2">
        <v>5.34745060292506E-2</v>
      </c>
      <c r="F174" s="2">
        <v>5.34830859740607E-2</v>
      </c>
      <c r="G174" s="2">
        <v>5.3478796000000002E-2</v>
      </c>
      <c r="H174" s="2">
        <v>0.179449449090191</v>
      </c>
      <c r="I174" s="2">
        <v>0.17948165697465701</v>
      </c>
      <c r="J174" s="2">
        <v>0.17946555</v>
      </c>
      <c r="K174">
        <f t="shared" si="10"/>
        <v>-1.2032148981701019E-3</v>
      </c>
      <c r="L174">
        <f t="shared" si="11"/>
        <v>-4.3699628162043869E-3</v>
      </c>
      <c r="M174" s="1">
        <f t="shared" si="12"/>
        <v>-2.8601923086953433E-3</v>
      </c>
      <c r="N174" s="1">
        <f t="shared" si="13"/>
        <v>1.6043638697662202E-4</v>
      </c>
      <c r="O174" s="1">
        <f t="shared" si="14"/>
        <v>1.7946555462040905E-4</v>
      </c>
    </row>
    <row r="175" spans="4:15" x14ac:dyDescent="0.25">
      <c r="D175" s="5">
        <v>45848</v>
      </c>
      <c r="E175" s="4">
        <v>5.3538636156782497E-2</v>
      </c>
      <c r="F175" s="4">
        <v>5.3547810162303401E-2</v>
      </c>
      <c r="G175" s="4">
        <v>5.3543220000000002E-2</v>
      </c>
      <c r="H175" s="4">
        <v>0.18022889069117801</v>
      </c>
      <c r="I175" s="4">
        <v>0.18027762754642099</v>
      </c>
      <c r="J175" s="4">
        <v>0.18025325</v>
      </c>
      <c r="K175">
        <f t="shared" si="10"/>
        <v>-5.9834563563683218E-3</v>
      </c>
      <c r="L175">
        <f t="shared" si="11"/>
        <v>-1.3753364873324125E-2</v>
      </c>
      <c r="M175" s="1">
        <f t="shared" si="12"/>
        <v>-1.0049003481582872E-2</v>
      </c>
      <c r="N175" s="1">
        <f t="shared" si="13"/>
        <v>1.7133832296421209E-4</v>
      </c>
      <c r="O175" s="1">
        <f t="shared" si="14"/>
        <v>2.7037989741089945E-4</v>
      </c>
    </row>
    <row r="176" spans="4:15" x14ac:dyDescent="0.25">
      <c r="D176" s="3">
        <v>45847</v>
      </c>
      <c r="E176" s="2">
        <v>5.3860737676663203E-2</v>
      </c>
      <c r="F176" s="2">
        <v>5.3870312609424098E-2</v>
      </c>
      <c r="G176" s="2">
        <v>5.3865521999999999E-2</v>
      </c>
      <c r="H176" s="2">
        <v>0.18274185885018801</v>
      </c>
      <c r="I176" s="2">
        <v>0.18279196446524201</v>
      </c>
      <c r="J176" s="2">
        <v>0.18276691</v>
      </c>
      <c r="K176">
        <f t="shared" si="10"/>
        <v>8.0528918626581181E-3</v>
      </c>
      <c r="L176">
        <f t="shared" si="11"/>
        <v>-2.1566708758746778E-3</v>
      </c>
      <c r="M176" s="1">
        <f t="shared" si="12"/>
        <v>2.710813722257832E-3</v>
      </c>
      <c r="N176" s="1">
        <f t="shared" si="13"/>
        <v>1.7775624194070941E-4</v>
      </c>
      <c r="O176" s="1">
        <f t="shared" si="14"/>
        <v>2.7415036482261729E-4</v>
      </c>
    </row>
    <row r="177" spans="4:15" x14ac:dyDescent="0.25">
      <c r="D177" s="5">
        <v>45846</v>
      </c>
      <c r="E177" s="4">
        <v>5.3430791096293E-2</v>
      </c>
      <c r="F177" s="4">
        <v>5.34396425956703E-2</v>
      </c>
      <c r="G177" s="4">
        <v>5.3435214000000002E-2</v>
      </c>
      <c r="H177" s="4">
        <v>0.18313676653725</v>
      </c>
      <c r="I177" s="4">
        <v>0.18318708897396899</v>
      </c>
      <c r="J177" s="4">
        <v>0.18316193</v>
      </c>
      <c r="K177">
        <f t="shared" si="10"/>
        <v>-3.673722844787175E-3</v>
      </c>
      <c r="L177">
        <f t="shared" si="11"/>
        <v>-6.5936363470697756E-4</v>
      </c>
      <c r="M177" s="1">
        <f t="shared" si="12"/>
        <v>-2.0964816978467494E-3</v>
      </c>
      <c r="N177" s="1">
        <f t="shared" si="13"/>
        <v>1.6564917990785288E-4</v>
      </c>
      <c r="O177" s="1">
        <f t="shared" si="14"/>
        <v>2.747428830815762E-4</v>
      </c>
    </row>
    <row r="178" spans="4:15" x14ac:dyDescent="0.25">
      <c r="D178" s="3">
        <v>45845</v>
      </c>
      <c r="E178" s="2">
        <v>5.3627641831705701E-2</v>
      </c>
      <c r="F178" s="2">
        <v>5.3636846367981002E-2</v>
      </c>
      <c r="G178" s="2">
        <v>5.3632244000000003E-2</v>
      </c>
      <c r="H178" s="2">
        <v>0.18325758686409599</v>
      </c>
      <c r="I178" s="2">
        <v>0.183307975730024</v>
      </c>
      <c r="J178" s="2">
        <v>0.18328278000000001</v>
      </c>
      <c r="K178">
        <f t="shared" si="10"/>
        <v>-2.9499663268406362E-4</v>
      </c>
      <c r="L178">
        <f t="shared" si="11"/>
        <v>-9.0358147991292936E-3</v>
      </c>
      <c r="M178" s="1">
        <f t="shared" si="12"/>
        <v>-4.8685650461429862E-3</v>
      </c>
      <c r="N178" s="1">
        <f t="shared" si="13"/>
        <v>1.7162318017684868E-4</v>
      </c>
      <c r="O178" s="1">
        <f t="shared" si="14"/>
        <v>2.7492416869718086E-4</v>
      </c>
    </row>
    <row r="179" spans="4:15" x14ac:dyDescent="0.25">
      <c r="D179" s="5">
        <v>45842</v>
      </c>
      <c r="E179" s="4">
        <v>5.3642888562263298E-2</v>
      </c>
      <c r="F179" s="4">
        <v>5.3653249777338999E-2</v>
      </c>
      <c r="G179" s="4">
        <v>5.3648069999999999E-2</v>
      </c>
      <c r="H179" s="4">
        <v>0.184938600384672</v>
      </c>
      <c r="I179" s="4">
        <v>0.184969387566358</v>
      </c>
      <c r="J179" s="4">
        <v>0.18495399000000001</v>
      </c>
      <c r="K179">
        <f t="shared" si="10"/>
        <v>1.9046023270496981E-3</v>
      </c>
      <c r="L179">
        <f t="shared" si="11"/>
        <v>7.9526199816437604E-4</v>
      </c>
      <c r="M179" s="1">
        <f t="shared" si="12"/>
        <v>1.3241482103580767E-3</v>
      </c>
      <c r="N179" s="1">
        <f t="shared" si="13"/>
        <v>1.9313304422136161E-4</v>
      </c>
      <c r="O179" s="1">
        <f t="shared" si="14"/>
        <v>1.6645859700568729E-4</v>
      </c>
    </row>
    <row r="180" spans="4:15" x14ac:dyDescent="0.25">
      <c r="D180" s="3">
        <v>45841</v>
      </c>
      <c r="E180" s="2">
        <v>5.3541216028098401E-2</v>
      </c>
      <c r="F180" s="2">
        <v>5.3550964452869797E-2</v>
      </c>
      <c r="G180" s="2">
        <v>5.3546086E-2</v>
      </c>
      <c r="H180" s="2">
        <v>0.184788232685343</v>
      </c>
      <c r="I180" s="2">
        <v>0.18482580168191501</v>
      </c>
      <c r="J180" s="2">
        <v>0.18480701999999999</v>
      </c>
      <c r="K180">
        <f t="shared" si="10"/>
        <v>5.1002382496319054E-3</v>
      </c>
      <c r="L180">
        <f t="shared" si="11"/>
        <v>6.3296712057052673E-3</v>
      </c>
      <c r="M180" s="1">
        <f t="shared" si="12"/>
        <v>5.7435299446757463E-3</v>
      </c>
      <c r="N180" s="1">
        <f t="shared" si="13"/>
        <v>1.8205671972729316E-4</v>
      </c>
      <c r="O180" s="1">
        <f t="shared" si="14"/>
        <v>2.0328771370268936E-4</v>
      </c>
    </row>
    <row r="181" spans="4:15" x14ac:dyDescent="0.25">
      <c r="D181" s="5">
        <v>45840</v>
      </c>
      <c r="E181" s="4">
        <v>5.32699775733394E-2</v>
      </c>
      <c r="F181" s="4">
        <v>5.32787758668457E-2</v>
      </c>
      <c r="G181" s="4">
        <v>5.3274373999999999E-2</v>
      </c>
      <c r="H181" s="4">
        <v>0.183621006243114</v>
      </c>
      <c r="I181" s="4">
        <v>0.18366822172427699</v>
      </c>
      <c r="J181" s="4">
        <v>0.18364461000000001</v>
      </c>
      <c r="K181">
        <f t="shared" si="10"/>
        <v>-4.9945285729147137E-3</v>
      </c>
      <c r="L181">
        <f t="shared" si="11"/>
        <v>1.0467555157851471E-3</v>
      </c>
      <c r="M181" s="1">
        <f t="shared" si="12"/>
        <v>-1.833471385971024E-3</v>
      </c>
      <c r="N181" s="1">
        <f t="shared" si="13"/>
        <v>1.6515057513955884E-4</v>
      </c>
      <c r="O181" s="1">
        <f t="shared" si="14"/>
        <v>2.5710246090526523E-4</v>
      </c>
    </row>
    <row r="182" spans="4:15" x14ac:dyDescent="0.25">
      <c r="D182" s="3">
        <v>45839</v>
      </c>
      <c r="E182" s="2">
        <v>5.3536343146544998E-2</v>
      </c>
      <c r="F182" s="2">
        <v>5.3547236694850397E-2</v>
      </c>
      <c r="G182" s="2">
        <v>5.3541789999999999E-2</v>
      </c>
      <c r="H182" s="2">
        <v>0.18343238682221699</v>
      </c>
      <c r="I182" s="2">
        <v>0.18347277264053999</v>
      </c>
      <c r="J182" s="2">
        <v>0.18345258</v>
      </c>
      <c r="K182">
        <f t="shared" si="10"/>
        <v>1.1511538402827926E-2</v>
      </c>
      <c r="L182">
        <f t="shared" si="11"/>
        <v>1.256615323218746E-3</v>
      </c>
      <c r="M182" s="1">
        <f t="shared" si="12"/>
        <v>6.1457257996782502E-3</v>
      </c>
      <c r="N182" s="1">
        <f t="shared" si="13"/>
        <v>2.0345879929301979E-4</v>
      </c>
      <c r="O182" s="1">
        <f t="shared" si="14"/>
        <v>2.2014309268911122E-4</v>
      </c>
    </row>
    <row r="183" spans="4:15" x14ac:dyDescent="0.25">
      <c r="D183" s="5">
        <v>45838</v>
      </c>
      <c r="E183" s="4">
        <v>5.2928255749331798E-2</v>
      </c>
      <c r="F183" s="4">
        <v>5.2936661284772799E-2</v>
      </c>
      <c r="G183" s="4">
        <v>5.2932456000000003E-2</v>
      </c>
      <c r="H183" s="4">
        <v>0.18319715678012699</v>
      </c>
      <c r="I183" s="4">
        <v>0.18324751241501899</v>
      </c>
      <c r="J183" s="4">
        <v>0.18322234000000001</v>
      </c>
      <c r="K183">
        <f t="shared" si="10"/>
        <v>-1.2439436123928838E-3</v>
      </c>
      <c r="L183">
        <f t="shared" si="11"/>
        <v>5.3500929780578854E-3</v>
      </c>
      <c r="M183" s="1">
        <f t="shared" si="12"/>
        <v>2.2063372300860718E-3</v>
      </c>
      <c r="N183" s="1">
        <f t="shared" si="13"/>
        <v>1.587973821014481E-4</v>
      </c>
      <c r="O183" s="1">
        <f t="shared" si="14"/>
        <v>2.7483348860189217E-4</v>
      </c>
    </row>
    <row r="184" spans="4:15" x14ac:dyDescent="0.25">
      <c r="D184" s="3">
        <v>45835</v>
      </c>
      <c r="E184" s="2">
        <v>5.29941706412295E-2</v>
      </c>
      <c r="F184" s="2">
        <v>5.3002597127259202E-2</v>
      </c>
      <c r="G184" s="2">
        <v>5.2998383000000003E-2</v>
      </c>
      <c r="H184" s="2">
        <v>0.182225704757913</v>
      </c>
      <c r="I184" s="2">
        <v>0.182268883056285</v>
      </c>
      <c r="J184" s="2">
        <v>0.1822473</v>
      </c>
      <c r="K184">
        <f t="shared" si="10"/>
        <v>1.2322522390313395E-3</v>
      </c>
      <c r="L184">
        <f t="shared" si="11"/>
        <v>3.2257833671784919E-3</v>
      </c>
      <c r="M184" s="1">
        <f t="shared" si="12"/>
        <v>2.2753526474052306E-3</v>
      </c>
      <c r="N184" s="1">
        <f t="shared" si="13"/>
        <v>1.5899515329932751E-4</v>
      </c>
      <c r="O184" s="1">
        <f t="shared" si="14"/>
        <v>2.3692147083659732E-4</v>
      </c>
    </row>
    <row r="185" spans="4:15" x14ac:dyDescent="0.25">
      <c r="D185" s="5">
        <v>45834</v>
      </c>
      <c r="E185" s="4">
        <v>5.2928535890840199E-2</v>
      </c>
      <c r="F185" s="4">
        <v>5.2937782224551498E-2</v>
      </c>
      <c r="G185" s="4">
        <v>5.2933156000000002E-2</v>
      </c>
      <c r="H185" s="4">
        <v>0.18163654527290901</v>
      </c>
      <c r="I185" s="4">
        <v>0.18168604651162801</v>
      </c>
      <c r="J185" s="4">
        <v>0.1816613</v>
      </c>
      <c r="K185">
        <f t="shared" si="10"/>
        <v>1.5217568622334365E-3</v>
      </c>
      <c r="L185">
        <f t="shared" si="11"/>
        <v>7.3573268168511952E-3</v>
      </c>
      <c r="M185" s="1">
        <f t="shared" si="12"/>
        <v>4.575175651040468E-3</v>
      </c>
      <c r="N185" s="1">
        <f t="shared" si="13"/>
        <v>1.7467943364833804E-4</v>
      </c>
      <c r="O185" s="1">
        <f t="shared" si="14"/>
        <v>2.7249193261853993E-4</v>
      </c>
    </row>
    <row r="186" spans="4:15" x14ac:dyDescent="0.25">
      <c r="D186" s="3">
        <v>45833</v>
      </c>
      <c r="E186" s="2">
        <v>5.2848256800249398E-2</v>
      </c>
      <c r="F186" s="2">
        <v>5.2857195714338598E-2</v>
      </c>
      <c r="G186" s="2">
        <v>5.2852727000000002E-2</v>
      </c>
      <c r="H186" s="2">
        <v>0.180310133429499</v>
      </c>
      <c r="I186" s="2">
        <v>0.180358914239336</v>
      </c>
      <c r="J186" s="2">
        <v>0.18033452</v>
      </c>
      <c r="K186">
        <f t="shared" si="10"/>
        <v>5.3909190016308006E-3</v>
      </c>
      <c r="L186">
        <f t="shared" si="11"/>
        <v>-8.9896503480209056E-3</v>
      </c>
      <c r="M186" s="1">
        <f t="shared" si="12"/>
        <v>-2.1336074777789094E-3</v>
      </c>
      <c r="N186" s="1">
        <f t="shared" si="13"/>
        <v>1.6912872043859094E-4</v>
      </c>
      <c r="O186" s="1">
        <f t="shared" si="14"/>
        <v>2.7050178655202168E-4</v>
      </c>
    </row>
    <row r="187" spans="4:15" x14ac:dyDescent="0.25">
      <c r="D187" s="5">
        <v>45832</v>
      </c>
      <c r="E187" s="4">
        <v>5.2565180824221999E-2</v>
      </c>
      <c r="F187" s="4">
        <v>5.2573471426318297E-2</v>
      </c>
      <c r="G187" s="4">
        <v>5.2569329999999997E-2</v>
      </c>
      <c r="H187" s="4">
        <v>0.18195050946142599</v>
      </c>
      <c r="I187" s="4">
        <v>0.18199024532285099</v>
      </c>
      <c r="J187" s="4">
        <v>0.18197036999999999</v>
      </c>
      <c r="K187">
        <f t="shared" si="10"/>
        <v>8.7791965854970844E-3</v>
      </c>
      <c r="L187">
        <f t="shared" si="11"/>
        <v>3.1572072098393633E-3</v>
      </c>
      <c r="M187" s="1">
        <f t="shared" si="12"/>
        <v>5.8375322538883247E-3</v>
      </c>
      <c r="N187" s="1">
        <f t="shared" si="13"/>
        <v>1.5770796577201015E-4</v>
      </c>
      <c r="O187" s="1">
        <f t="shared" si="14"/>
        <v>2.1836445914244089E-4</v>
      </c>
    </row>
    <row r="188" spans="4:15" x14ac:dyDescent="0.25">
      <c r="D188" s="3">
        <v>45831</v>
      </c>
      <c r="E188" s="2">
        <v>5.21074873248537E-2</v>
      </c>
      <c r="F188" s="2">
        <v>5.2116177382621302E-2</v>
      </c>
      <c r="G188" s="2">
        <v>5.2111829999999998E-2</v>
      </c>
      <c r="H188" s="2">
        <v>0.18137299356125899</v>
      </c>
      <c r="I188" s="2">
        <v>0.18142235123367201</v>
      </c>
      <c r="J188" s="2">
        <v>0.18139765999999999</v>
      </c>
      <c r="K188">
        <f t="shared" si="10"/>
        <v>-2.814066659280412E-3</v>
      </c>
      <c r="L188">
        <f t="shared" si="11"/>
        <v>-1.7958551541978895E-3</v>
      </c>
      <c r="M188" s="1">
        <f t="shared" si="12"/>
        <v>-2.2812950251852281E-3</v>
      </c>
      <c r="N188" s="1">
        <f t="shared" si="13"/>
        <v>1.6675786990404866E-4</v>
      </c>
      <c r="O188" s="1">
        <f t="shared" si="14"/>
        <v>2.720965221547733E-4</v>
      </c>
    </row>
    <row r="189" spans="4:15" x14ac:dyDescent="0.25">
      <c r="D189" s="5">
        <v>45828</v>
      </c>
      <c r="E189" s="4">
        <v>5.2254794377384103E-2</v>
      </c>
      <c r="F189" s="4">
        <v>5.2262987352357099E-2</v>
      </c>
      <c r="G189" s="4">
        <v>5.2258890000000002E-2</v>
      </c>
      <c r="H189" s="4">
        <v>0.18170255292086901</v>
      </c>
      <c r="I189" s="4">
        <v>0.181745483624732</v>
      </c>
      <c r="J189" s="4">
        <v>0.18172400999999999</v>
      </c>
      <c r="K189">
        <f t="shared" si="10"/>
        <v>-2.6129005199749811E-3</v>
      </c>
      <c r="L189">
        <f t="shared" si="11"/>
        <v>-1.9717378385015749E-3</v>
      </c>
      <c r="M189" s="1">
        <f t="shared" si="12"/>
        <v>-2.2774168922371938E-3</v>
      </c>
      <c r="N189" s="1">
        <f t="shared" si="13"/>
        <v>1.5677667422701313E-4</v>
      </c>
      <c r="O189" s="1">
        <f t="shared" si="14"/>
        <v>2.3624123121095695E-4</v>
      </c>
    </row>
    <row r="190" spans="4:15" x14ac:dyDescent="0.25">
      <c r="D190" s="3">
        <v>45827</v>
      </c>
      <c r="E190" s="2">
        <v>5.2390033320061202E-2</v>
      </c>
      <c r="F190" s="2">
        <v>5.2401563662659703E-2</v>
      </c>
      <c r="G190" s="2">
        <v>5.2395795000000002E-2</v>
      </c>
      <c r="H190" s="2">
        <v>0.18206645425580301</v>
      </c>
      <c r="I190" s="2">
        <v>0.182099608485842</v>
      </c>
      <c r="J190" s="2">
        <v>0.18208303000000001</v>
      </c>
      <c r="K190">
        <f t="shared" si="10"/>
        <v>-3.3271950607931533E-3</v>
      </c>
      <c r="L190">
        <f t="shared" si="11"/>
        <v>-1.5931583949824191E-3</v>
      </c>
      <c r="M190" s="1">
        <f t="shared" si="12"/>
        <v>-2.4198732092785458E-3</v>
      </c>
      <c r="N190" s="1">
        <f t="shared" si="13"/>
        <v>2.2006236566313826E-4</v>
      </c>
      <c r="O190" s="1">
        <f t="shared" si="14"/>
        <v>1.8208303123577917E-4</v>
      </c>
    </row>
    <row r="191" spans="4:15" x14ac:dyDescent="0.25">
      <c r="D191" s="5">
        <v>45826</v>
      </c>
      <c r="E191" s="4">
        <v>5.2566562409651199E-2</v>
      </c>
      <c r="F191" s="4">
        <v>5.2574853447596E-2</v>
      </c>
      <c r="G191" s="4">
        <v>5.2570708000000001E-2</v>
      </c>
      <c r="H191" s="4">
        <v>0.18234865061998501</v>
      </c>
      <c r="I191" s="4">
        <v>0.182398540811674</v>
      </c>
      <c r="J191" s="4">
        <v>0.18237358000000001</v>
      </c>
      <c r="K191">
        <f t="shared" si="10"/>
        <v>-2.0765336436339155E-3</v>
      </c>
      <c r="L191">
        <f t="shared" si="11"/>
        <v>4.5586582469914205E-4</v>
      </c>
      <c r="M191" s="1">
        <f t="shared" si="12"/>
        <v>-7.5147436450484029E-4</v>
      </c>
      <c r="N191" s="1">
        <f t="shared" si="13"/>
        <v>1.5771212259117049E-4</v>
      </c>
      <c r="O191" s="1">
        <f t="shared" si="14"/>
        <v>2.7356041203443441E-4</v>
      </c>
    </row>
    <row r="192" spans="4:15" x14ac:dyDescent="0.25">
      <c r="D192" s="3">
        <v>45825</v>
      </c>
      <c r="E192" s="2">
        <v>5.2674550291026898E-2</v>
      </c>
      <c r="F192" s="2">
        <v>5.2685651062932999E-2</v>
      </c>
      <c r="G192" s="2">
        <v>5.2680100000000001E-2</v>
      </c>
      <c r="H192" s="2">
        <v>0.18226556092226401</v>
      </c>
      <c r="I192" s="2">
        <v>0.18231540565177801</v>
      </c>
      <c r="J192" s="2">
        <v>0.18229048</v>
      </c>
      <c r="K192">
        <f t="shared" si="10"/>
        <v>-5.4261001938413767E-3</v>
      </c>
      <c r="L192">
        <f t="shared" si="11"/>
        <v>3.6093283834770507E-3</v>
      </c>
      <c r="M192" s="1">
        <f t="shared" si="12"/>
        <v>-6.9837906334981135E-4</v>
      </c>
      <c r="N192" s="1">
        <f t="shared" si="13"/>
        <v>2.1072040307633312E-4</v>
      </c>
      <c r="O192" s="1">
        <f t="shared" si="14"/>
        <v>2.734357247509475E-4</v>
      </c>
    </row>
    <row r="193" spans="4:15" x14ac:dyDescent="0.25">
      <c r="D193" s="5">
        <v>45824</v>
      </c>
      <c r="E193" s="4">
        <v>5.2963296435570101E-2</v>
      </c>
      <c r="F193" s="4">
        <v>5.2971713105201802E-2</v>
      </c>
      <c r="G193" s="4">
        <v>5.2967506999999997E-2</v>
      </c>
      <c r="H193" s="4">
        <v>0.18161015563990299</v>
      </c>
      <c r="I193" s="4">
        <v>0.18165964249382399</v>
      </c>
      <c r="J193" s="4">
        <v>0.18163489999999999</v>
      </c>
      <c r="K193">
        <f t="shared" si="10"/>
        <v>4.1845012439429841E-3</v>
      </c>
      <c r="L193">
        <f t="shared" si="11"/>
        <v>8.4551825025336314E-3</v>
      </c>
      <c r="M193" s="1">
        <f t="shared" si="12"/>
        <v>6.419103604534666E-3</v>
      </c>
      <c r="N193" s="1">
        <f t="shared" si="13"/>
        <v>1.5890250661979347E-4</v>
      </c>
      <c r="O193" s="1">
        <f t="shared" si="14"/>
        <v>2.7245234214902928E-4</v>
      </c>
    </row>
    <row r="194" spans="4:15" x14ac:dyDescent="0.25">
      <c r="D194" s="3">
        <v>45821</v>
      </c>
      <c r="E194" s="2">
        <v>5.2742337856867799E-2</v>
      </c>
      <c r="F194" s="2">
        <v>5.2751240972943897E-2</v>
      </c>
      <c r="G194" s="2">
        <v>5.2746788000000003E-2</v>
      </c>
      <c r="H194" s="2">
        <v>0.18009256757973599</v>
      </c>
      <c r="I194" s="2">
        <v>0.18013149599207401</v>
      </c>
      <c r="J194" s="2">
        <v>0.18011202000000001</v>
      </c>
      <c r="K194">
        <f t="shared" si="10"/>
        <v>-2.1098290883684312E-3</v>
      </c>
      <c r="L194">
        <f t="shared" si="11"/>
        <v>-9.1863865749719498E-4</v>
      </c>
      <c r="M194" s="1">
        <f t="shared" si="12"/>
        <v>-1.486547511597817E-3</v>
      </c>
      <c r="N194" s="1">
        <f t="shared" si="13"/>
        <v>1.6878972945419402E-4</v>
      </c>
      <c r="O194" s="1">
        <f t="shared" si="14"/>
        <v>2.1613444976086808E-4</v>
      </c>
    </row>
    <row r="195" spans="4:15" x14ac:dyDescent="0.25">
      <c r="D195" s="5">
        <v>45820</v>
      </c>
      <c r="E195" s="4">
        <v>5.2853843267213201E-2</v>
      </c>
      <c r="F195" s="4">
        <v>5.28627840713859E-2</v>
      </c>
      <c r="G195" s="4">
        <v>5.2858309999999999E-2</v>
      </c>
      <c r="H195" s="4">
        <v>0.18025163127726301</v>
      </c>
      <c r="I195" s="4">
        <v>0.18030363131513499</v>
      </c>
      <c r="J195" s="4">
        <v>0.18027762999999999</v>
      </c>
      <c r="K195">
        <f t="shared" si="10"/>
        <v>1.0834622353146361E-3</v>
      </c>
      <c r="L195">
        <f t="shared" si="11"/>
        <v>-4.327005632814851E-4</v>
      </c>
      <c r="M195" s="1">
        <f t="shared" si="12"/>
        <v>2.9014127230222558E-4</v>
      </c>
      <c r="N195" s="1">
        <f t="shared" si="13"/>
        <v>1.6914661427313134E-4</v>
      </c>
      <c r="O195" s="1">
        <f t="shared" si="14"/>
        <v>2.8844420615014644E-4</v>
      </c>
    </row>
    <row r="196" spans="4:15" x14ac:dyDescent="0.25">
      <c r="D196" s="3">
        <v>45819</v>
      </c>
      <c r="E196" s="2">
        <v>5.2796916660067E-2</v>
      </c>
      <c r="F196" s="2">
        <v>5.2805280528052799E-2</v>
      </c>
      <c r="G196" s="2">
        <v>5.2801102000000003E-2</v>
      </c>
      <c r="H196" s="2">
        <v>0.18032639076728901</v>
      </c>
      <c r="I196" s="2">
        <v>0.18038494146508599</v>
      </c>
      <c r="J196" s="2">
        <v>0.18035567</v>
      </c>
      <c r="K196">
        <f t="shared" si="10"/>
        <v>5.8609609124493645E-3</v>
      </c>
      <c r="L196">
        <f t="shared" si="11"/>
        <v>3.1293202450997093E-3</v>
      </c>
      <c r="M196" s="1">
        <f t="shared" si="12"/>
        <v>4.4316501505494736E-3</v>
      </c>
      <c r="N196" s="1">
        <f t="shared" si="13"/>
        <v>1.5840328457157265E-4</v>
      </c>
      <c r="O196" s="1">
        <f t="shared" si="14"/>
        <v>3.2464018346069971E-4</v>
      </c>
    </row>
    <row r="197" spans="4:15" x14ac:dyDescent="0.25">
      <c r="D197" s="5">
        <v>45818</v>
      </c>
      <c r="E197" s="4">
        <v>5.2488478778907999E-2</v>
      </c>
      <c r="F197" s="4">
        <v>5.2498398798836603E-2</v>
      </c>
      <c r="G197" s="4">
        <v>5.2493440000000002E-2</v>
      </c>
      <c r="H197" s="4">
        <v>0.17977528089887601</v>
      </c>
      <c r="I197" s="4">
        <v>0.17981083899737499</v>
      </c>
      <c r="J197" s="4">
        <v>0.17979303999999999</v>
      </c>
      <c r="K197">
        <f t="shared" si="10"/>
        <v>1.391058310753257E-3</v>
      </c>
      <c r="L197">
        <f t="shared" si="11"/>
        <v>4.2160834950304427E-3</v>
      </c>
      <c r="M197" s="1">
        <f t="shared" si="12"/>
        <v>2.86923182998237E-3</v>
      </c>
      <c r="N197" s="1">
        <f t="shared" si="13"/>
        <v>1.8897637359266173E-4</v>
      </c>
      <c r="O197" s="1">
        <f t="shared" si="14"/>
        <v>1.9777238595541764E-4</v>
      </c>
    </row>
    <row r="198" spans="4:15" x14ac:dyDescent="0.25">
      <c r="D198" s="3">
        <v>45817</v>
      </c>
      <c r="E198" s="2">
        <v>5.2415846358671199E-2</v>
      </c>
      <c r="F198" s="2">
        <v>5.2425189254933197E-2</v>
      </c>
      <c r="G198" s="2">
        <v>5.2420519999999998E-2</v>
      </c>
      <c r="H198" s="2">
        <v>0.17902218084820701</v>
      </c>
      <c r="I198" s="2">
        <v>0.179054235527941</v>
      </c>
      <c r="J198" s="2">
        <v>0.17903820000000001</v>
      </c>
      <c r="K198">
        <f t="shared" si="10"/>
        <v>5.5304007073706529E-3</v>
      </c>
      <c r="L198">
        <f t="shared" si="11"/>
        <v>4.4937859226277244E-3</v>
      </c>
      <c r="M198" s="1">
        <f t="shared" si="12"/>
        <v>4.9879996933986518E-3</v>
      </c>
      <c r="N198" s="1">
        <f t="shared" si="13"/>
        <v>1.7822975166972087E-4</v>
      </c>
      <c r="O198" s="1">
        <f t="shared" si="14"/>
        <v>1.7903821493957654E-4</v>
      </c>
    </row>
    <row r="199" spans="4:15" x14ac:dyDescent="0.25">
      <c r="D199" s="5">
        <v>45814</v>
      </c>
      <c r="E199" s="4">
        <v>5.2127044031714101E-2</v>
      </c>
      <c r="F199" s="4">
        <v>5.2137371546550897E-2</v>
      </c>
      <c r="G199" s="4">
        <v>5.2132207999999999E-2</v>
      </c>
      <c r="H199" s="4">
        <v>0.178211822572309</v>
      </c>
      <c r="I199" s="4">
        <v>0.17826265219173901</v>
      </c>
      <c r="J199" s="4">
        <v>0.17823723999999999</v>
      </c>
      <c r="K199">
        <f t="shared" si="10"/>
        <v>-8.080404693745491E-4</v>
      </c>
      <c r="L199">
        <f t="shared" si="11"/>
        <v>-2.3794603407231163E-3</v>
      </c>
      <c r="M199" s="1">
        <f t="shared" si="12"/>
        <v>-1.630274286738621E-3</v>
      </c>
      <c r="N199" s="1">
        <f t="shared" si="13"/>
        <v>1.9810238685450787E-4</v>
      </c>
      <c r="O199" s="1">
        <f t="shared" si="14"/>
        <v>2.851795698250799E-4</v>
      </c>
    </row>
    <row r="200" spans="4:15" x14ac:dyDescent="0.25">
      <c r="D200" s="3">
        <v>45813</v>
      </c>
      <c r="E200" s="2">
        <v>5.2169739464321102E-2</v>
      </c>
      <c r="F200" s="2">
        <v>5.2178994823843701E-2</v>
      </c>
      <c r="G200" s="2">
        <v>5.2174366999999999E-2</v>
      </c>
      <c r="H200" s="2">
        <v>0.17863841797817001</v>
      </c>
      <c r="I200" s="2">
        <v>0.178686298334644</v>
      </c>
      <c r="J200" s="2">
        <v>0.17866235999999999</v>
      </c>
      <c r="K200">
        <f t="shared" si="10"/>
        <v>1.0435345924360018E-3</v>
      </c>
      <c r="L200">
        <f t="shared" si="11"/>
        <v>5.8868884832088408E-3</v>
      </c>
      <c r="M200" s="1">
        <f t="shared" si="12"/>
        <v>3.5777836693791846E-3</v>
      </c>
      <c r="N200" s="1">
        <f t="shared" si="13"/>
        <v>1.773928473842121E-4</v>
      </c>
      <c r="O200" s="1">
        <f t="shared" si="14"/>
        <v>2.6799352966114053E-4</v>
      </c>
    </row>
    <row r="201" spans="4:15" x14ac:dyDescent="0.25">
      <c r="D201" s="5">
        <v>45812</v>
      </c>
      <c r="E201" s="4">
        <v>5.2115362566577401E-2</v>
      </c>
      <c r="F201" s="4">
        <v>5.2124598640590498E-2</v>
      </c>
      <c r="G201" s="4">
        <v>5.2119977999999997E-2</v>
      </c>
      <c r="H201" s="4">
        <v>0.177588350204227</v>
      </c>
      <c r="I201" s="4">
        <v>0.17764513607617399</v>
      </c>
      <c r="J201" s="4">
        <v>0.17761674999999999</v>
      </c>
      <c r="K201">
        <f t="shared" si="10"/>
        <v>2.9186638777869423E-3</v>
      </c>
      <c r="L201">
        <f t="shared" si="11"/>
        <v>2.3357412140945222E-3</v>
      </c>
      <c r="M201" s="1">
        <f t="shared" si="12"/>
        <v>2.6136539083097673E-3</v>
      </c>
      <c r="N201" s="1">
        <f t="shared" si="13"/>
        <v>1.772079415132717E-4</v>
      </c>
      <c r="O201" s="1">
        <f t="shared" si="14"/>
        <v>3.1971011713135433E-4</v>
      </c>
    </row>
    <row r="202" spans="4:15" x14ac:dyDescent="0.25">
      <c r="D202" s="3">
        <v>45811</v>
      </c>
      <c r="E202" s="2">
        <v>5.1963168506162803E-2</v>
      </c>
      <c r="F202" s="2">
        <v>5.19734311819798E-2</v>
      </c>
      <c r="G202" s="2">
        <v>5.1968300000000002E-2</v>
      </c>
      <c r="H202" s="2">
        <v>0.17717930545712299</v>
      </c>
      <c r="I202" s="2">
        <v>0.17722640673460299</v>
      </c>
      <c r="J202" s="2">
        <v>0.17720285</v>
      </c>
      <c r="K202">
        <f t="shared" si="10"/>
        <v>-1.818873427875678E-3</v>
      </c>
      <c r="L202">
        <f t="shared" si="11"/>
        <v>7.9830174658122033E-3</v>
      </c>
      <c r="M202" s="1">
        <f t="shared" si="12"/>
        <v>3.3098934369512481E-3</v>
      </c>
      <c r="N202" s="1">
        <f t="shared" si="13"/>
        <v>1.974795368906926E-4</v>
      </c>
      <c r="O202" s="1">
        <f t="shared" si="14"/>
        <v>2.6580428858793769E-4</v>
      </c>
    </row>
    <row r="203" spans="4:15" x14ac:dyDescent="0.25">
      <c r="D203" s="5">
        <v>45810</v>
      </c>
      <c r="E203" s="4">
        <v>5.2057846679230003E-2</v>
      </c>
      <c r="F203" s="4">
        <v>5.2068146790519403E-2</v>
      </c>
      <c r="G203" s="4">
        <v>5.2062996E-2</v>
      </c>
      <c r="H203" s="4">
        <v>0.17578708668061199</v>
      </c>
      <c r="I203" s="4">
        <v>0.17581181103746499</v>
      </c>
      <c r="J203" s="4">
        <v>0.17579944</v>
      </c>
      <c r="K203">
        <f t="shared" si="10"/>
        <v>1.0334510151996712E-2</v>
      </c>
      <c r="L203">
        <f t="shared" si="11"/>
        <v>7.6912075796045087E-3</v>
      </c>
      <c r="M203" s="1">
        <f t="shared" si="12"/>
        <v>8.9514216444795403E-3</v>
      </c>
      <c r="N203" s="1">
        <f t="shared" si="13"/>
        <v>1.9783938844777807E-4</v>
      </c>
      <c r="O203" s="1">
        <f t="shared" si="14"/>
        <v>1.4063956547868039E-4</v>
      </c>
    </row>
    <row r="204" spans="4:15" x14ac:dyDescent="0.25">
      <c r="D204" s="3">
        <v>45807</v>
      </c>
      <c r="E204" s="2">
        <v>5.1526206228487803E-2</v>
      </c>
      <c r="F204" s="2">
        <v>5.1534703469316198E-2</v>
      </c>
      <c r="G204" s="2">
        <v>5.1530454000000003E-2</v>
      </c>
      <c r="H204" s="2">
        <v>0.17444700300048799</v>
      </c>
      <c r="I204" s="2">
        <v>0.174468307831882</v>
      </c>
      <c r="J204" s="2">
        <v>0.17445764999999999</v>
      </c>
      <c r="K204">
        <f t="shared" si="10"/>
        <v>-2.5764579961315981E-3</v>
      </c>
      <c r="L204">
        <f t="shared" si="11"/>
        <v>-1.5186574022432731E-2</v>
      </c>
      <c r="M204" s="1">
        <f t="shared" si="12"/>
        <v>-9.1746078774942365E-3</v>
      </c>
      <c r="N204" s="1">
        <f t="shared" si="13"/>
        <v>1.6489745711138293E-4</v>
      </c>
      <c r="O204" s="1">
        <f t="shared" si="14"/>
        <v>1.2212036212805205E-4</v>
      </c>
    </row>
    <row r="205" spans="4:15" x14ac:dyDescent="0.25">
      <c r="D205" s="5">
        <v>45806</v>
      </c>
      <c r="E205" s="4">
        <v>5.1658229155904498E-2</v>
      </c>
      <c r="F205" s="4">
        <v>5.1668905652578298E-2</v>
      </c>
      <c r="G205" s="4">
        <v>5.1663563000000003E-2</v>
      </c>
      <c r="H205" s="4">
        <v>0.17713850459674399</v>
      </c>
      <c r="I205" s="4">
        <v>0.177157333427817</v>
      </c>
      <c r="J205" s="4">
        <v>0.17714791999999999</v>
      </c>
      <c r="K205">
        <f t="shared" si="10"/>
        <v>1.627367427106563E-3</v>
      </c>
      <c r="L205">
        <f t="shared" si="11"/>
        <v>9.4242527466177339E-3</v>
      </c>
      <c r="M205" s="1">
        <f t="shared" si="12"/>
        <v>5.7070299645987626E-3</v>
      </c>
      <c r="N205" s="1">
        <f t="shared" si="13"/>
        <v>2.0665428502870465E-4</v>
      </c>
      <c r="O205" s="1">
        <f t="shared" si="14"/>
        <v>1.0628875051434121E-4</v>
      </c>
    </row>
    <row r="206" spans="4:15" x14ac:dyDescent="0.25">
      <c r="D206" s="3">
        <v>45805</v>
      </c>
      <c r="E206" s="2">
        <v>5.1575635669709602E-2</v>
      </c>
      <c r="F206" s="2">
        <v>5.1583617043227101E-2</v>
      </c>
      <c r="G206" s="2">
        <v>5.1579623999999998E-2</v>
      </c>
      <c r="H206" s="2">
        <v>0.175466301696759</v>
      </c>
      <c r="I206" s="2">
        <v>0.17552173836729701</v>
      </c>
      <c r="J206" s="2">
        <v>0.17549402</v>
      </c>
      <c r="K206">
        <f t="shared" si="10"/>
        <v>-9.6711938475826376E-3</v>
      </c>
      <c r="L206">
        <f t="shared" si="11"/>
        <v>-7.6778945000693932E-3</v>
      </c>
      <c r="M206" s="1">
        <f t="shared" si="12"/>
        <v>-8.6282147167099938E-3</v>
      </c>
      <c r="N206" s="1">
        <f t="shared" si="13"/>
        <v>1.5473888521364243E-4</v>
      </c>
      <c r="O206" s="1">
        <f t="shared" si="14"/>
        <v>3.1588922823698522E-4</v>
      </c>
    </row>
    <row r="207" spans="4:15" x14ac:dyDescent="0.25">
      <c r="D207" s="5">
        <v>45804</v>
      </c>
      <c r="E207" s="4">
        <v>5.2079264640783302E-2</v>
      </c>
      <c r="F207" s="4">
        <v>5.2087402661666303E-2</v>
      </c>
      <c r="G207" s="4">
        <v>5.2083332000000003E-2</v>
      </c>
      <c r="H207" s="4">
        <v>0.176831532598893</v>
      </c>
      <c r="I207" s="4">
        <v>0.17687219215395</v>
      </c>
      <c r="J207" s="4">
        <v>0.17685186999999999</v>
      </c>
      <c r="K207">
        <f t="shared" si="10"/>
        <v>-2.8645872522103932E-4</v>
      </c>
      <c r="L207">
        <f t="shared" si="11"/>
        <v>1.7950550083614125E-3</v>
      </c>
      <c r="M207" s="1">
        <f t="shared" si="12"/>
        <v>8.0267793027413866E-4</v>
      </c>
      <c r="N207" s="1">
        <f t="shared" si="13"/>
        <v>1.5625000495362841E-4</v>
      </c>
      <c r="O207" s="1">
        <f t="shared" si="14"/>
        <v>2.2990740814331684E-4</v>
      </c>
    </row>
    <row r="208" spans="4:15" x14ac:dyDescent="0.25">
      <c r="D208" s="3">
        <v>45803</v>
      </c>
      <c r="E208" s="2">
        <v>5.2093643533616001E-2</v>
      </c>
      <c r="F208" s="2">
        <v>5.2102871910299699E-2</v>
      </c>
      <c r="G208" s="2">
        <v>5.2098256000000003E-2</v>
      </c>
      <c r="H208" s="2">
        <v>0.17650381248235</v>
      </c>
      <c r="I208" s="2">
        <v>0.17656614167667201</v>
      </c>
      <c r="J208" s="2">
        <v>0.17653498000000001</v>
      </c>
      <c r="K208">
        <f t="shared" ref="K208:K271" si="15">G208/G209-1</f>
        <v>5.6265433916418139E-3</v>
      </c>
      <c r="L208">
        <f t="shared" ref="L208:L271" si="16">J208/J209-1</f>
        <v>3.5484467494515393E-3</v>
      </c>
      <c r="M208" s="1">
        <f t="shared" ref="M208:M271" si="17">SUMPRODUCT(K208:L208,$O$11:$P$11)</f>
        <v>4.5391947039271751E-3</v>
      </c>
      <c r="N208" s="1">
        <f t="shared" ref="N208:N271" si="18">(F208-E208)/G208</f>
        <v>1.7713408072043979E-4</v>
      </c>
      <c r="O208" s="1">
        <f t="shared" ref="O208:O271" si="19">(I208-H208)/J208</f>
        <v>3.530699373121564E-4</v>
      </c>
    </row>
    <row r="209" spans="4:15" x14ac:dyDescent="0.25">
      <c r="D209" s="5">
        <v>45800</v>
      </c>
      <c r="E209" s="4">
        <v>5.1802735184417699E-2</v>
      </c>
      <c r="F209" s="4">
        <v>5.1810787005854599E-2</v>
      </c>
      <c r="G209" s="4">
        <v>5.1806762999999999E-2</v>
      </c>
      <c r="H209" s="4">
        <v>0.175892213251719</v>
      </c>
      <c r="I209" s="4">
        <v>0.175929346774335</v>
      </c>
      <c r="J209" s="4">
        <v>0.17591076999999999</v>
      </c>
      <c r="K209">
        <f t="shared" si="15"/>
        <v>2.9789814277574322E-3</v>
      </c>
      <c r="L209">
        <f t="shared" si="16"/>
        <v>-8.2415214210944665E-3</v>
      </c>
      <c r="M209" s="1">
        <f t="shared" si="17"/>
        <v>-2.8920636432447845E-3</v>
      </c>
      <c r="N209" s="1">
        <f t="shared" si="18"/>
        <v>1.5542027663260186E-4</v>
      </c>
      <c r="O209" s="1">
        <f t="shared" si="19"/>
        <v>2.1109294567922578E-4</v>
      </c>
    </row>
    <row r="210" spans="4:15" x14ac:dyDescent="0.25">
      <c r="D210" s="3">
        <v>45799</v>
      </c>
      <c r="E210" s="2">
        <v>5.1647557070550597E-2</v>
      </c>
      <c r="F210" s="2">
        <v>5.1658229155904498E-2</v>
      </c>
      <c r="G210" s="2">
        <v>5.165289E-2</v>
      </c>
      <c r="H210" s="2">
        <v>0.177355278093076</v>
      </c>
      <c r="I210" s="2">
        <v>0.17738988522874399</v>
      </c>
      <c r="J210" s="2">
        <v>0.17737259</v>
      </c>
      <c r="K210">
        <f t="shared" si="15"/>
        <v>-1.0589150029731709E-3</v>
      </c>
      <c r="L210">
        <f t="shared" si="16"/>
        <v>1.6762315928373628E-3</v>
      </c>
      <c r="M210" s="1">
        <f t="shared" si="17"/>
        <v>3.7223021004596085E-4</v>
      </c>
      <c r="N210" s="1">
        <f t="shared" si="18"/>
        <v>2.0661158269945389E-4</v>
      </c>
      <c r="O210" s="1">
        <f t="shared" si="19"/>
        <v>1.9510982879596375E-4</v>
      </c>
    </row>
    <row r="211" spans="4:15" x14ac:dyDescent="0.25">
      <c r="D211" s="5">
        <v>45798</v>
      </c>
      <c r="E211" s="4">
        <v>5.1703634765523997E-2</v>
      </c>
      <c r="F211" s="4">
        <v>5.1711655807218898E-2</v>
      </c>
      <c r="G211" s="4">
        <v>5.1707643999999997E-2</v>
      </c>
      <c r="H211" s="4">
        <v>0.17706009419596999</v>
      </c>
      <c r="I211" s="4">
        <v>0.17709145002479301</v>
      </c>
      <c r="J211" s="4">
        <v>0.17707576999999999</v>
      </c>
      <c r="K211">
        <f t="shared" si="15"/>
        <v>-3.8005267709740886E-3</v>
      </c>
      <c r="L211">
        <f t="shared" si="16"/>
        <v>3.6742565063399013E-3</v>
      </c>
      <c r="M211" s="1">
        <f t="shared" si="17"/>
        <v>1.1059825686496783E-4</v>
      </c>
      <c r="N211" s="1">
        <f t="shared" si="18"/>
        <v>1.551229387844749E-4</v>
      </c>
      <c r="O211" s="1">
        <f t="shared" si="19"/>
        <v>1.7707577283453805E-4</v>
      </c>
    </row>
    <row r="212" spans="4:15" x14ac:dyDescent="0.25">
      <c r="D212" s="3">
        <v>45797</v>
      </c>
      <c r="E212" s="2">
        <v>5.1900599970935699E-2</v>
      </c>
      <c r="F212" s="2">
        <v>5.1909221154045802E-2</v>
      </c>
      <c r="G212" s="2">
        <v>5.1904909999999999E-2</v>
      </c>
      <c r="H212" s="2">
        <v>0.176404177250917</v>
      </c>
      <c r="I212" s="2">
        <v>0.176450867256013</v>
      </c>
      <c r="J212" s="2">
        <v>0.17642753</v>
      </c>
      <c r="K212">
        <f t="shared" si="15"/>
        <v>6.7217046317424867E-3</v>
      </c>
      <c r="L212">
        <f t="shared" si="16"/>
        <v>-3.0168162670964893E-3</v>
      </c>
      <c r="M212" s="1">
        <f t="shared" si="17"/>
        <v>1.6260956477092156E-3</v>
      </c>
      <c r="N212" s="1">
        <f t="shared" si="18"/>
        <v>1.6609571445367678E-4</v>
      </c>
      <c r="O212" s="1">
        <f t="shared" si="19"/>
        <v>2.6464126713101455E-4</v>
      </c>
    </row>
    <row r="213" spans="4:15" x14ac:dyDescent="0.25">
      <c r="D213" s="5">
        <v>45796</v>
      </c>
      <c r="E213" s="4">
        <v>5.1553566733514501E-2</v>
      </c>
      <c r="F213" s="4">
        <v>5.1563136482466E-2</v>
      </c>
      <c r="G213" s="4">
        <v>5.1558350000000003E-2</v>
      </c>
      <c r="H213" s="4">
        <v>0.176937912486508</v>
      </c>
      <c r="I213" s="4">
        <v>0.17698488549077901</v>
      </c>
      <c r="J213" s="4">
        <v>0.17696139</v>
      </c>
      <c r="K213">
        <f t="shared" si="15"/>
        <v>8.1203604399815443E-3</v>
      </c>
      <c r="L213">
        <f t="shared" si="16"/>
        <v>8.3967631721078018E-3</v>
      </c>
      <c r="M213" s="1">
        <f t="shared" si="17"/>
        <v>8.2649861238676681E-3</v>
      </c>
      <c r="N213" s="1">
        <f t="shared" si="18"/>
        <v>1.8561006997894579E-4</v>
      </c>
      <c r="O213" s="1">
        <f t="shared" si="19"/>
        <v>2.6544210729247732E-4</v>
      </c>
    </row>
    <row r="214" spans="4:15" x14ac:dyDescent="0.25">
      <c r="D214" s="3">
        <v>45793</v>
      </c>
      <c r="E214" s="2">
        <v>5.1138862467143303E-2</v>
      </c>
      <c r="F214" s="2">
        <v>5.11472324232536E-2</v>
      </c>
      <c r="G214" s="2">
        <v>5.1143050000000002E-2</v>
      </c>
      <c r="H214" s="2">
        <v>0.17545090883570799</v>
      </c>
      <c r="I214" s="2">
        <v>0.17552481920943599</v>
      </c>
      <c r="J214" s="2">
        <v>0.17548786</v>
      </c>
      <c r="K214">
        <f t="shared" si="15"/>
        <v>-4.2448492603444077E-3</v>
      </c>
      <c r="L214">
        <f t="shared" si="16"/>
        <v>-9.879937803745964E-3</v>
      </c>
      <c r="M214" s="1">
        <f t="shared" si="17"/>
        <v>-7.1933676345261816E-3</v>
      </c>
      <c r="N214" s="1">
        <f t="shared" si="18"/>
        <v>1.6365774255341103E-4</v>
      </c>
      <c r="O214" s="1">
        <f t="shared" si="19"/>
        <v>4.2117086462848969E-4</v>
      </c>
    </row>
    <row r="215" spans="4:15" x14ac:dyDescent="0.25">
      <c r="D215" s="5">
        <v>45792</v>
      </c>
      <c r="E215" s="4">
        <v>5.1356320422354398E-2</v>
      </c>
      <c r="F215" s="4">
        <v>5.13658170760522E-2</v>
      </c>
      <c r="G215" s="4">
        <v>5.1361070000000002E-2</v>
      </c>
      <c r="H215" s="4">
        <v>0.17720756321879799</v>
      </c>
      <c r="I215" s="4">
        <v>0.17727039052667001</v>
      </c>
      <c r="J215" s="4">
        <v>0.17723897</v>
      </c>
      <c r="K215">
        <f t="shared" si="15"/>
        <v>-5.6752958998144143E-3</v>
      </c>
      <c r="L215">
        <f t="shared" si="16"/>
        <v>-4.8740344782495226E-3</v>
      </c>
      <c r="M215" s="1">
        <f t="shared" si="17"/>
        <v>-5.2560417912390451E-3</v>
      </c>
      <c r="N215" s="1">
        <f t="shared" si="18"/>
        <v>1.8489984141299915E-4</v>
      </c>
      <c r="O215" s="1">
        <f t="shared" si="19"/>
        <v>3.5447795635475062E-4</v>
      </c>
    </row>
    <row r="216" spans="4:15" x14ac:dyDescent="0.25">
      <c r="D216" s="3">
        <v>45791</v>
      </c>
      <c r="E216" s="2">
        <v>5.1649691134846999E-2</v>
      </c>
      <c r="F216" s="2">
        <v>5.1658762875946597E-2</v>
      </c>
      <c r="G216" s="2">
        <v>5.1654222999999999E-2</v>
      </c>
      <c r="H216" s="2">
        <v>0.178075361492984</v>
      </c>
      <c r="I216" s="2">
        <v>0.17813880575744601</v>
      </c>
      <c r="J216" s="2">
        <v>0.17810707000000001</v>
      </c>
      <c r="K216">
        <f t="shared" si="15"/>
        <v>7.1799331252102583E-3</v>
      </c>
      <c r="L216">
        <f t="shared" si="16"/>
        <v>2.377696343841551E-3</v>
      </c>
      <c r="M216" s="1">
        <f t="shared" si="17"/>
        <v>4.6671982714487636E-3</v>
      </c>
      <c r="N216" s="1">
        <f t="shared" si="18"/>
        <v>1.7562438408177665E-4</v>
      </c>
      <c r="O216" s="1">
        <f t="shared" si="19"/>
        <v>3.5621418319892455E-4</v>
      </c>
    </row>
    <row r="217" spans="4:15" x14ac:dyDescent="0.25">
      <c r="D217" s="5">
        <v>45790</v>
      </c>
      <c r="E217" s="4">
        <v>5.1281788298521501E-2</v>
      </c>
      <c r="F217" s="4">
        <v>5.1290205109530203E-2</v>
      </c>
      <c r="G217" s="4">
        <v>5.1285993000000002E-2</v>
      </c>
      <c r="H217" s="4">
        <v>0.177660916375007</v>
      </c>
      <c r="I217" s="4">
        <v>0.17770827409724199</v>
      </c>
      <c r="J217" s="4">
        <v>0.17768459</v>
      </c>
      <c r="K217">
        <f t="shared" si="15"/>
        <v>7.3082001333073521E-3</v>
      </c>
      <c r="L217">
        <f t="shared" si="16"/>
        <v>9.7904176388234898E-3</v>
      </c>
      <c r="M217" s="1">
        <f t="shared" si="17"/>
        <v>8.6070020717968626E-3</v>
      </c>
      <c r="N217" s="1">
        <f t="shared" si="18"/>
        <v>1.6411520020099524E-4</v>
      </c>
      <c r="O217" s="1">
        <f t="shared" si="19"/>
        <v>2.6652689597331936E-4</v>
      </c>
    </row>
    <row r="218" spans="4:15" x14ac:dyDescent="0.25">
      <c r="D218" s="3">
        <v>45789</v>
      </c>
      <c r="E218" s="2">
        <v>5.09089798349531E-2</v>
      </c>
      <c r="F218" s="2">
        <v>5.0918830292630501E-2</v>
      </c>
      <c r="G218" s="2">
        <v>5.0913904000000003E-2</v>
      </c>
      <c r="H218" s="2">
        <v>0.175947919415853</v>
      </c>
      <c r="I218" s="2">
        <v>0.17597578573188299</v>
      </c>
      <c r="J218" s="2">
        <v>0.17596185</v>
      </c>
      <c r="K218">
        <f t="shared" si="15"/>
        <v>-8.1461754586761304E-3</v>
      </c>
      <c r="L218">
        <f t="shared" si="16"/>
        <v>-6.3698162763451416E-3</v>
      </c>
      <c r="M218" s="1">
        <f t="shared" si="17"/>
        <v>-7.2167086636277236E-3</v>
      </c>
      <c r="N218" s="1">
        <f t="shared" si="18"/>
        <v>1.9347284147374887E-4</v>
      </c>
      <c r="O218" s="1">
        <f t="shared" si="19"/>
        <v>1.5836566863780546E-4</v>
      </c>
    </row>
    <row r="219" spans="4:15" x14ac:dyDescent="0.25">
      <c r="D219" s="5">
        <v>45786</v>
      </c>
      <c r="E219" s="4">
        <v>5.1326797721090202E-2</v>
      </c>
      <c r="F219" s="4">
        <v>5.1337337645669702E-2</v>
      </c>
      <c r="G219" s="4">
        <v>5.1332063999999997E-2</v>
      </c>
      <c r="H219" s="4">
        <v>0.17706949977866299</v>
      </c>
      <c r="I219" s="4">
        <v>0.17711026885338799</v>
      </c>
      <c r="J219" s="4">
        <v>0.17708988000000001</v>
      </c>
      <c r="K219">
        <f t="shared" si="15"/>
        <v>3.400713357359475E-3</v>
      </c>
      <c r="L219">
        <f t="shared" si="16"/>
        <v>5.3657580331809562E-3</v>
      </c>
      <c r="M219" s="1">
        <f t="shared" si="17"/>
        <v>4.4289084403865541E-3</v>
      </c>
      <c r="N219" s="1">
        <f t="shared" si="18"/>
        <v>2.053282833026186E-4</v>
      </c>
      <c r="O219" s="1">
        <f t="shared" si="19"/>
        <v>2.3021685217133818E-4</v>
      </c>
    </row>
    <row r="220" spans="4:15" x14ac:dyDescent="0.25">
      <c r="D220" s="3">
        <v>45785</v>
      </c>
      <c r="E220" s="2">
        <v>5.11532500217401E-2</v>
      </c>
      <c r="F220" s="2">
        <v>5.1162933477953899E-2</v>
      </c>
      <c r="G220" s="2">
        <v>5.1158090000000003E-2</v>
      </c>
      <c r="H220" s="2">
        <v>0.17612145335423299</v>
      </c>
      <c r="I220" s="2">
        <v>0.17616799379888701</v>
      </c>
      <c r="J220" s="2">
        <v>0.17614473</v>
      </c>
      <c r="K220">
        <f t="shared" si="15"/>
        <v>3.1333793858552283E-3</v>
      </c>
      <c r="L220">
        <f t="shared" si="16"/>
        <v>1.1097202727237132E-2</v>
      </c>
      <c r="M220" s="1">
        <f t="shared" si="17"/>
        <v>7.3003910077574299E-3</v>
      </c>
      <c r="N220" s="1">
        <f t="shared" si="18"/>
        <v>1.8928494425415979E-4</v>
      </c>
      <c r="O220" s="1">
        <f t="shared" si="19"/>
        <v>2.642170711211152E-4</v>
      </c>
    </row>
    <row r="221" spans="4:15" x14ac:dyDescent="0.25">
      <c r="D221" s="5">
        <v>45784</v>
      </c>
      <c r="E221" s="4">
        <v>5.09943906170321E-2</v>
      </c>
      <c r="F221" s="4">
        <v>5.1002193094303101E-2</v>
      </c>
      <c r="G221" s="4">
        <v>5.0998293E-2</v>
      </c>
      <c r="H221" s="4">
        <v>0.17418871605497399</v>
      </c>
      <c r="I221" s="4">
        <v>0.174234240512946</v>
      </c>
      <c r="J221" s="4">
        <v>0.17421147000000001</v>
      </c>
      <c r="K221">
        <f t="shared" si="15"/>
        <v>5.8393492593273866E-3</v>
      </c>
      <c r="L221">
        <f t="shared" si="16"/>
        <v>-3.945818677473456E-3</v>
      </c>
      <c r="M221" s="1">
        <f t="shared" si="17"/>
        <v>7.1933255792243876E-4</v>
      </c>
      <c r="N221" s="1">
        <f t="shared" si="18"/>
        <v>1.5299487124013534E-4</v>
      </c>
      <c r="O221" s="1">
        <f t="shared" si="19"/>
        <v>2.6131722539286681E-4</v>
      </c>
    </row>
    <row r="222" spans="4:15" x14ac:dyDescent="0.25">
      <c r="D222" s="3">
        <v>45783</v>
      </c>
      <c r="E222" s="2">
        <v>5.06978559876703E-2</v>
      </c>
      <c r="F222" s="2">
        <v>5.0706596421128403E-2</v>
      </c>
      <c r="G222" s="2">
        <v>5.0702224999999997E-2</v>
      </c>
      <c r="H222" s="2">
        <v>0.17488020705816501</v>
      </c>
      <c r="I222" s="2">
        <v>0.174923033865099</v>
      </c>
      <c r="J222" s="2">
        <v>0.17490159999999999</v>
      </c>
      <c r="K222">
        <f t="shared" si="15"/>
        <v>-6.1350531447428303E-3</v>
      </c>
      <c r="L222">
        <f t="shared" si="16"/>
        <v>-1.0940179562761498E-2</v>
      </c>
      <c r="M222" s="1">
        <f t="shared" si="17"/>
        <v>-8.6492999794947727E-3</v>
      </c>
      <c r="N222" s="1">
        <f t="shared" si="18"/>
        <v>1.7238757190839025E-4</v>
      </c>
      <c r="O222" s="1">
        <f t="shared" si="19"/>
        <v>2.4486229362102841E-4</v>
      </c>
    </row>
    <row r="223" spans="4:15" x14ac:dyDescent="0.25">
      <c r="D223" s="5">
        <v>45782</v>
      </c>
      <c r="E223" s="4">
        <v>5.10102581629166E-2</v>
      </c>
      <c r="F223" s="4">
        <v>5.1020147856388497E-2</v>
      </c>
      <c r="G223" s="4">
        <v>5.1015206E-2</v>
      </c>
      <c r="H223" s="4">
        <v>0.17681277295471801</v>
      </c>
      <c r="I223" s="4">
        <v>0.17685967953026099</v>
      </c>
      <c r="J223" s="4">
        <v>0.17683621999999999</v>
      </c>
      <c r="K223">
        <f t="shared" si="15"/>
        <v>1.3264798898868779E-3</v>
      </c>
      <c r="L223">
        <f t="shared" si="16"/>
        <v>-3.704805463627614E-3</v>
      </c>
      <c r="M223" s="1">
        <f t="shared" si="17"/>
        <v>-1.3061029340263458E-3</v>
      </c>
      <c r="N223" s="1">
        <f t="shared" si="18"/>
        <v>1.938577582514711E-4</v>
      </c>
      <c r="O223" s="1">
        <f t="shared" si="19"/>
        <v>2.6525434406473745E-4</v>
      </c>
    </row>
    <row r="224" spans="4:15" x14ac:dyDescent="0.25">
      <c r="D224" s="3">
        <v>45779</v>
      </c>
      <c r="E224" s="2">
        <v>5.0942435048395303E-2</v>
      </c>
      <c r="F224" s="2">
        <v>5.0952817690818303E-2</v>
      </c>
      <c r="G224" s="2">
        <v>5.0947625000000003E-2</v>
      </c>
      <c r="H224" s="2">
        <v>0.17747803709290999</v>
      </c>
      <c r="I224" s="2">
        <v>0.17750954113783601</v>
      </c>
      <c r="J224" s="2">
        <v>0.17749380000000001</v>
      </c>
      <c r="K224">
        <f t="shared" si="15"/>
        <v>-1.0316618117874876E-3</v>
      </c>
      <c r="L224">
        <f t="shared" si="16"/>
        <v>7.1886272572239118E-3</v>
      </c>
      <c r="M224" s="1">
        <f t="shared" si="17"/>
        <v>3.2695436039547306E-3</v>
      </c>
      <c r="N224" s="1">
        <f t="shared" si="18"/>
        <v>2.0379050884118671E-4</v>
      </c>
      <c r="O224" s="1">
        <f t="shared" si="19"/>
        <v>1.7749377683064354E-4</v>
      </c>
    </row>
    <row r="225" spans="4:15" x14ac:dyDescent="0.25">
      <c r="D225" s="5">
        <v>45778</v>
      </c>
      <c r="E225" s="4">
        <v>5.09943906170321E-2</v>
      </c>
      <c r="F225" s="4">
        <v>5.1006095228379802E-2</v>
      </c>
      <c r="G225" s="4">
        <v>5.1000240000000002E-2</v>
      </c>
      <c r="H225" s="4">
        <v>0.17619592987402</v>
      </c>
      <c r="I225" s="4">
        <v>0.17625804177315599</v>
      </c>
      <c r="J225" s="4">
        <v>0.17622697000000001</v>
      </c>
      <c r="K225">
        <f t="shared" si="15"/>
        <v>-1.6702369837741093E-3</v>
      </c>
      <c r="L225">
        <f t="shared" si="16"/>
        <v>-2.3086622361305764E-3</v>
      </c>
      <c r="M225" s="1">
        <f t="shared" si="17"/>
        <v>-2.0042882719865894E-3</v>
      </c>
      <c r="N225" s="1">
        <f t="shared" si="18"/>
        <v>2.2950110328310018E-4</v>
      </c>
      <c r="O225" s="1">
        <f t="shared" si="19"/>
        <v>3.5245399234856879E-4</v>
      </c>
    </row>
    <row r="226" spans="4:15" x14ac:dyDescent="0.25">
      <c r="D226" s="3">
        <v>45777</v>
      </c>
      <c r="E226" s="2">
        <v>5.10800884707132E-2</v>
      </c>
      <c r="F226" s="2">
        <v>5.10910493590628E-2</v>
      </c>
      <c r="G226" s="2">
        <v>5.1085564999999999E-2</v>
      </c>
      <c r="H226" s="2">
        <v>0.17660667926460999</v>
      </c>
      <c r="I226" s="2">
        <v>0.176662838971822</v>
      </c>
      <c r="J226" s="2">
        <v>0.17663476</v>
      </c>
      <c r="K226">
        <f t="shared" si="15"/>
        <v>2.0178417419716155E-3</v>
      </c>
      <c r="L226">
        <f t="shared" si="16"/>
        <v>-2.7554891007267601E-3</v>
      </c>
      <c r="M226" s="1">
        <f t="shared" si="17"/>
        <v>-4.797682933179049E-4</v>
      </c>
      <c r="N226" s="1">
        <f t="shared" si="18"/>
        <v>2.1455940341659279E-4</v>
      </c>
      <c r="O226" s="1">
        <f t="shared" si="19"/>
        <v>3.1794255678786694E-4</v>
      </c>
    </row>
    <row r="227" spans="4:15" x14ac:dyDescent="0.25">
      <c r="D227" s="5">
        <v>45776</v>
      </c>
      <c r="E227" s="4">
        <v>5.0975414557558898E-2</v>
      </c>
      <c r="F227" s="4">
        <v>5.0989970272847303E-2</v>
      </c>
      <c r="G227" s="4">
        <v>5.0982689999999997E-2</v>
      </c>
      <c r="H227" s="4">
        <v>0.17710085893916599</v>
      </c>
      <c r="I227" s="4">
        <v>0.177144780429045</v>
      </c>
      <c r="J227" s="4">
        <v>0.17712281999999999</v>
      </c>
      <c r="K227">
        <f t="shared" si="15"/>
        <v>-1.5677575024171109E-3</v>
      </c>
      <c r="L227">
        <f t="shared" si="16"/>
        <v>4.9948219079025691E-3</v>
      </c>
      <c r="M227" s="1">
        <f t="shared" si="17"/>
        <v>1.8660636033776589E-3</v>
      </c>
      <c r="N227" s="1">
        <f t="shared" si="18"/>
        <v>2.8550308523156242E-4</v>
      </c>
      <c r="O227" s="1">
        <f t="shared" si="19"/>
        <v>2.4797194330465605E-4</v>
      </c>
    </row>
    <row r="228" spans="4:15" x14ac:dyDescent="0.25">
      <c r="D228" s="3">
        <v>45775</v>
      </c>
      <c r="E228" s="2">
        <v>5.1058441492131901E-2</v>
      </c>
      <c r="F228" s="2">
        <v>5.1067045924594399E-2</v>
      </c>
      <c r="G228" s="2">
        <v>5.1062744E-2</v>
      </c>
      <c r="H228" s="2">
        <v>0.17623319175933599</v>
      </c>
      <c r="I228" s="2">
        <v>0.17625182861272201</v>
      </c>
      <c r="J228" s="2">
        <v>0.17624252000000001</v>
      </c>
      <c r="K228">
        <f t="shared" si="15"/>
        <v>-1.2638243007265793E-3</v>
      </c>
      <c r="L228">
        <f t="shared" si="16"/>
        <v>8.2835193060182277E-4</v>
      </c>
      <c r="M228" s="1">
        <f t="shared" si="17"/>
        <v>-1.6910857220061101E-4</v>
      </c>
      <c r="N228" s="1">
        <f t="shared" si="18"/>
        <v>1.6850705207888361E-4</v>
      </c>
      <c r="O228" s="1">
        <f t="shared" si="19"/>
        <v>1.0574549992826396E-4</v>
      </c>
    </row>
    <row r="229" spans="4:15" x14ac:dyDescent="0.25">
      <c r="D229" s="5">
        <v>45772</v>
      </c>
      <c r="E229" s="4">
        <v>5.1122392118972002E-2</v>
      </c>
      <c r="F229" s="4">
        <v>5.1132325344759699E-2</v>
      </c>
      <c r="G229" s="4">
        <v>5.1127359999999997E-2</v>
      </c>
      <c r="H229" s="4">
        <v>0.17606873723501701</v>
      </c>
      <c r="I229" s="4">
        <v>0.176124555285498</v>
      </c>
      <c r="J229" s="4">
        <v>0.17609664999999999</v>
      </c>
      <c r="K229">
        <f t="shared" si="15"/>
        <v>1.9684120447955866E-3</v>
      </c>
      <c r="L229">
        <f t="shared" si="16"/>
        <v>-6.1632669855193889E-4</v>
      </c>
      <c r="M229" s="1">
        <f t="shared" si="17"/>
        <v>6.1596662738617894E-4</v>
      </c>
      <c r="N229" s="1">
        <f t="shared" si="18"/>
        <v>1.9428395652929724E-4</v>
      </c>
      <c r="O229" s="1">
        <f t="shared" si="19"/>
        <v>3.1697394857309059E-4</v>
      </c>
    </row>
    <row r="230" spans="4:15" x14ac:dyDescent="0.25">
      <c r="D230" s="3">
        <v>45771</v>
      </c>
      <c r="E230" s="2">
        <v>5.1021970060308001E-2</v>
      </c>
      <c r="F230" s="2">
        <v>5.1031864296066501E-2</v>
      </c>
      <c r="G230" s="2">
        <v>5.1026917999999997E-2</v>
      </c>
      <c r="H230" s="2">
        <v>0.17619592987402</v>
      </c>
      <c r="I230" s="2">
        <v>0.176214558846852</v>
      </c>
      <c r="J230" s="2">
        <v>0.17620525000000001</v>
      </c>
      <c r="K230">
        <f t="shared" si="15"/>
        <v>1.3777969574564342E-3</v>
      </c>
      <c r="L230">
        <f t="shared" si="16"/>
        <v>3.2157744091154683E-3</v>
      </c>
      <c r="M230" s="1">
        <f t="shared" si="17"/>
        <v>2.3395050558844936E-3</v>
      </c>
      <c r="N230" s="1">
        <f t="shared" si="18"/>
        <v>1.9390228033171441E-4</v>
      </c>
      <c r="O230" s="1">
        <f t="shared" si="19"/>
        <v>1.0572314293701325E-4</v>
      </c>
    </row>
    <row r="231" spans="4:15" x14ac:dyDescent="0.25">
      <c r="D231" s="5">
        <v>45770</v>
      </c>
      <c r="E231" s="4">
        <v>5.09497024537377E-2</v>
      </c>
      <c r="F231" s="4">
        <v>5.0963724021241698E-2</v>
      </c>
      <c r="G231" s="4">
        <v>5.0956710000000002E-2</v>
      </c>
      <c r="H231" s="4">
        <v>0.175623463294696</v>
      </c>
      <c r="I231" s="4">
        <v>0.17565739781130901</v>
      </c>
      <c r="J231" s="4">
        <v>0.17564042999999999</v>
      </c>
      <c r="K231">
        <f t="shared" si="15"/>
        <v>0</v>
      </c>
      <c r="L231">
        <f t="shared" si="16"/>
        <v>1.0362808753411112E-2</v>
      </c>
      <c r="M231" s="1">
        <f t="shared" si="17"/>
        <v>5.4222629834881457E-3</v>
      </c>
      <c r="N231" s="1">
        <f t="shared" si="18"/>
        <v>2.7516626375600258E-4</v>
      </c>
      <c r="O231" s="1">
        <f t="shared" si="19"/>
        <v>1.9320447241569387E-4</v>
      </c>
    </row>
    <row r="232" spans="4:15" x14ac:dyDescent="0.25">
      <c r="D232" s="3">
        <v>45769</v>
      </c>
      <c r="E232" s="2">
        <v>5.0951260024660397E-2</v>
      </c>
      <c r="F232" s="2">
        <v>5.0962165688193103E-2</v>
      </c>
      <c r="G232" s="2">
        <v>5.0956710000000002E-2</v>
      </c>
      <c r="H232" s="2">
        <v>0.17382839660686999</v>
      </c>
      <c r="I232" s="2">
        <v>0.17384955059891199</v>
      </c>
      <c r="J232" s="2">
        <v>0.17383897000000001</v>
      </c>
      <c r="K232">
        <f t="shared" si="15"/>
        <v>-5.0981853992215775E-5</v>
      </c>
      <c r="L232">
        <f t="shared" si="16"/>
        <v>9.5002409946400856E-3</v>
      </c>
      <c r="M232" s="1">
        <f t="shared" si="17"/>
        <v>4.9466248114919589E-3</v>
      </c>
      <c r="N232" s="1">
        <f t="shared" si="18"/>
        <v>2.1401820354388068E-4</v>
      </c>
      <c r="O232" s="1">
        <f t="shared" si="19"/>
        <v>1.2168728359354683E-4</v>
      </c>
    </row>
    <row r="233" spans="4:15" x14ac:dyDescent="0.25">
      <c r="D233" s="5">
        <v>45768</v>
      </c>
      <c r="E233" s="4">
        <v>5.0954894727187498E-2</v>
      </c>
      <c r="F233" s="4">
        <v>5.0963724021241698E-2</v>
      </c>
      <c r="G233" s="4">
        <v>5.0959308000000002E-2</v>
      </c>
      <c r="H233" s="4">
        <v>0.17218223768036101</v>
      </c>
      <c r="I233" s="4">
        <v>0.17222375310002799</v>
      </c>
      <c r="J233" s="4">
        <v>0.17220299999999999</v>
      </c>
      <c r="K233">
        <f t="shared" si="15"/>
        <v>1.1059125203338072E-2</v>
      </c>
      <c r="L233">
        <f t="shared" si="16"/>
        <v>9.0600529108588734E-3</v>
      </c>
      <c r="M233" s="1">
        <f t="shared" si="17"/>
        <v>1.0013125421738441E-2</v>
      </c>
      <c r="N233" s="1">
        <f t="shared" si="18"/>
        <v>1.7326165524460263E-4</v>
      </c>
      <c r="O233" s="1">
        <f t="shared" si="19"/>
        <v>2.4108418359138677E-4</v>
      </c>
    </row>
    <row r="234" spans="4:15" x14ac:dyDescent="0.25">
      <c r="D234" s="3">
        <v>45765</v>
      </c>
      <c r="E234" s="2">
        <v>5.0396367429835699E-2</v>
      </c>
      <c r="F234" s="2">
        <v>5.0407545001335798E-2</v>
      </c>
      <c r="G234" s="2">
        <v>5.0401907000000003E-2</v>
      </c>
      <c r="H234" s="2">
        <v>0.17063390495691499</v>
      </c>
      <c r="I234" s="2">
        <v>0.17068050316612299</v>
      </c>
      <c r="J234" s="2">
        <v>0.17065684</v>
      </c>
      <c r="K234">
        <f t="shared" si="15"/>
        <v>-9.7218449213176683E-7</v>
      </c>
      <c r="L234">
        <f t="shared" si="16"/>
        <v>-2.0508951306119627E-6</v>
      </c>
      <c r="M234" s="1">
        <f t="shared" si="17"/>
        <v>-1.5366118500139339E-6</v>
      </c>
      <c r="N234" s="1">
        <f t="shared" si="18"/>
        <v>2.217688211697694E-4</v>
      </c>
      <c r="O234" s="1">
        <f t="shared" si="19"/>
        <v>2.7305210390625461E-4</v>
      </c>
    </row>
    <row r="235" spans="4:15" x14ac:dyDescent="0.25">
      <c r="D235" s="5">
        <v>45764</v>
      </c>
      <c r="E235" s="4">
        <v>5.0396367429835699E-2</v>
      </c>
      <c r="F235" s="4">
        <v>5.0407545001335798E-2</v>
      </c>
      <c r="G235" s="4">
        <v>5.0401955999999998E-2</v>
      </c>
      <c r="H235" s="4">
        <v>0.17063390495691499</v>
      </c>
      <c r="I235" s="4">
        <v>0.17068050316612299</v>
      </c>
      <c r="J235" s="4">
        <v>0.17065718999999999</v>
      </c>
      <c r="K235">
        <f t="shared" si="15"/>
        <v>7.4343571553996401E-3</v>
      </c>
      <c r="L235">
        <f t="shared" si="16"/>
        <v>3.8994246336832017E-3</v>
      </c>
      <c r="M235" s="1">
        <f t="shared" si="17"/>
        <v>5.5847298759883349E-3</v>
      </c>
      <c r="N235" s="1">
        <f t="shared" si="18"/>
        <v>2.2176860556956062E-4</v>
      </c>
      <c r="O235" s="1">
        <f t="shared" si="19"/>
        <v>2.7305154390502428E-4</v>
      </c>
    </row>
    <row r="236" spans="4:15" x14ac:dyDescent="0.25">
      <c r="D236" s="3">
        <v>45763</v>
      </c>
      <c r="E236" s="2">
        <v>5.0022760355962002E-2</v>
      </c>
      <c r="F236" s="2">
        <v>5.00372777719401E-2</v>
      </c>
      <c r="G236" s="2">
        <v>5.0030014999999997E-2</v>
      </c>
      <c r="H236" s="2">
        <v>0.16996396763886101</v>
      </c>
      <c r="I236" s="2">
        <v>0.17002465357476801</v>
      </c>
      <c r="J236" s="2">
        <v>0.16999431000000001</v>
      </c>
      <c r="K236">
        <f t="shared" si="15"/>
        <v>-1.0256306834995899E-3</v>
      </c>
      <c r="L236">
        <f t="shared" si="16"/>
        <v>-7.223843326834567E-4</v>
      </c>
      <c r="M236" s="1">
        <f t="shared" si="17"/>
        <v>-8.6695927480772003E-4</v>
      </c>
      <c r="N236" s="1">
        <f t="shared" si="18"/>
        <v>2.901741280328979E-4</v>
      </c>
      <c r="O236" s="1">
        <f t="shared" si="19"/>
        <v>3.5698804217032651E-4</v>
      </c>
    </row>
    <row r="237" spans="4:15" x14ac:dyDescent="0.25">
      <c r="D237" s="5">
        <v>45762</v>
      </c>
      <c r="E237" s="4">
        <v>5.0077118762894897E-2</v>
      </c>
      <c r="F237" s="4">
        <v>5.0085646455438802E-2</v>
      </c>
      <c r="G237" s="4">
        <v>5.0081380000000002E-2</v>
      </c>
      <c r="H237" s="4">
        <v>0.170099848611135</v>
      </c>
      <c r="I237" s="4">
        <v>0.17013457644997201</v>
      </c>
      <c r="J237" s="4">
        <v>0.1701172</v>
      </c>
      <c r="K237">
        <f t="shared" si="15"/>
        <v>3.8812330577160381E-3</v>
      </c>
      <c r="L237">
        <f t="shared" si="16"/>
        <v>-6.149739571542634E-3</v>
      </c>
      <c r="M237" s="1">
        <f t="shared" si="17"/>
        <v>-1.367399129779305E-3</v>
      </c>
      <c r="N237" s="1">
        <f t="shared" si="18"/>
        <v>1.7027670850734136E-4</v>
      </c>
      <c r="O237" s="1">
        <f t="shared" si="19"/>
        <v>2.0414066794546365E-4</v>
      </c>
    </row>
    <row r="238" spans="4:15" x14ac:dyDescent="0.25">
      <c r="D238" s="3">
        <v>45761</v>
      </c>
      <c r="E238" s="2">
        <v>4.98817801809711E-2</v>
      </c>
      <c r="F238" s="2">
        <v>4.9893726362847099E-2</v>
      </c>
      <c r="G238" s="2">
        <v>4.9887753999999999E-2</v>
      </c>
      <c r="H238" s="2">
        <v>0.17114788889079099</v>
      </c>
      <c r="I238" s="2">
        <v>0.17119183757318501</v>
      </c>
      <c r="J238" s="2">
        <v>0.17116985000000001</v>
      </c>
      <c r="K238">
        <f t="shared" si="15"/>
        <v>1.74358296215682E-2</v>
      </c>
      <c r="L238">
        <f t="shared" si="16"/>
        <v>8.3102462071109606E-3</v>
      </c>
      <c r="M238" s="1">
        <f t="shared" si="17"/>
        <v>1.2660935639793503E-2</v>
      </c>
      <c r="N238" s="1">
        <f t="shared" si="18"/>
        <v>2.3946120877679043E-4</v>
      </c>
      <c r="O238" s="1">
        <f t="shared" si="19"/>
        <v>2.5675481046468331E-4</v>
      </c>
    </row>
    <row r="239" spans="4:15" x14ac:dyDescent="0.25">
      <c r="D239" s="5">
        <v>45758</v>
      </c>
      <c r="E239" s="4">
        <v>4.9025615884299503E-2</v>
      </c>
      <c r="F239" s="4">
        <v>4.9040041193634601E-2</v>
      </c>
      <c r="G239" s="4">
        <v>4.9032826000000002E-2</v>
      </c>
      <c r="H239" s="4">
        <v>0.16973317944191699</v>
      </c>
      <c r="I239" s="4">
        <v>0.16978505212401099</v>
      </c>
      <c r="J239" s="4">
        <v>0.16975910999999999</v>
      </c>
      <c r="K239">
        <f t="shared" si="15"/>
        <v>3.5916809726013188E-3</v>
      </c>
      <c r="L239">
        <f t="shared" si="16"/>
        <v>4.9059866925027507E-3</v>
      </c>
      <c r="M239" s="1">
        <f t="shared" si="17"/>
        <v>4.2793817131618781E-3</v>
      </c>
      <c r="N239" s="1">
        <f t="shared" si="18"/>
        <v>2.9419698010262898E-4</v>
      </c>
      <c r="O239" s="1">
        <f t="shared" si="19"/>
        <v>3.0556641168771892E-4</v>
      </c>
    </row>
    <row r="240" spans="4:15" x14ac:dyDescent="0.25">
      <c r="D240" s="3">
        <v>45757</v>
      </c>
      <c r="E240" s="2">
        <v>4.8849592105905899E-2</v>
      </c>
      <c r="F240" s="2">
        <v>4.8865107869725602E-2</v>
      </c>
      <c r="G240" s="2">
        <v>4.8857346000000003E-2</v>
      </c>
      <c r="H240" s="2">
        <v>0.16891606560700001</v>
      </c>
      <c r="I240" s="2">
        <v>0.168944603064655</v>
      </c>
      <c r="J240" s="2">
        <v>0.16893034000000001</v>
      </c>
      <c r="K240">
        <f t="shared" si="15"/>
        <v>2.5711120838797674E-2</v>
      </c>
      <c r="L240">
        <f t="shared" si="16"/>
        <v>2.4266884862823579E-2</v>
      </c>
      <c r="M240" s="1">
        <f t="shared" si="17"/>
        <v>2.4955435053380808E-2</v>
      </c>
      <c r="N240" s="1">
        <f t="shared" si="18"/>
        <v>3.1757279283452277E-4</v>
      </c>
      <c r="O240" s="1">
        <f t="shared" si="19"/>
        <v>1.6893032746511007E-4</v>
      </c>
    </row>
    <row r="241" spans="4:15" x14ac:dyDescent="0.25">
      <c r="D241" s="5">
        <v>45756</v>
      </c>
      <c r="E241" s="4">
        <v>4.7626758618062003E-2</v>
      </c>
      <c r="F241" s="4">
        <v>4.7638556742284899E-2</v>
      </c>
      <c r="G241" s="4">
        <v>4.7632657000000002E-2</v>
      </c>
      <c r="H241" s="4">
        <v>0.16491581047875101</v>
      </c>
      <c r="I241" s="4">
        <v>0.16494029161443599</v>
      </c>
      <c r="J241" s="4">
        <v>0.16492804999999999</v>
      </c>
      <c r="K241">
        <f t="shared" si="15"/>
        <v>-1.7695609037026272E-2</v>
      </c>
      <c r="L241">
        <f t="shared" si="16"/>
        <v>-1.9271865715068226E-2</v>
      </c>
      <c r="M241" s="1">
        <f t="shared" si="17"/>
        <v>-1.8520373677694709E-2</v>
      </c>
      <c r="N241" s="1">
        <f t="shared" si="18"/>
        <v>2.4768981967342743E-4</v>
      </c>
      <c r="O241" s="1">
        <f t="shared" si="19"/>
        <v>1.4843524606629309E-4</v>
      </c>
    </row>
    <row r="242" spans="4:15" x14ac:dyDescent="0.25">
      <c r="D242" s="3">
        <v>45755</v>
      </c>
      <c r="E242" s="2">
        <v>4.8482027712327E-2</v>
      </c>
      <c r="F242" s="2">
        <v>4.8499427706753098E-2</v>
      </c>
      <c r="G242" s="2">
        <v>4.8490730000000003E-2</v>
      </c>
      <c r="H242" s="2">
        <v>0.168154836973886</v>
      </c>
      <c r="I242" s="2">
        <v>0.16818311777863701</v>
      </c>
      <c r="J242" s="2">
        <v>0.16816898</v>
      </c>
      <c r="K242">
        <f t="shared" si="15"/>
        <v>5.5773702791994673E-4</v>
      </c>
      <c r="L242">
        <f t="shared" si="16"/>
        <v>-1.1990432752225333E-2</v>
      </c>
      <c r="M242" s="1">
        <f t="shared" si="17"/>
        <v>-6.0079999386152957E-3</v>
      </c>
      <c r="N242" s="1">
        <f t="shared" si="18"/>
        <v>3.588313565520316E-4</v>
      </c>
      <c r="O242" s="1">
        <f t="shared" si="19"/>
        <v>1.6816897355866387E-4</v>
      </c>
    </row>
    <row r="243" spans="4:15" x14ac:dyDescent="0.25">
      <c r="D243" s="5">
        <v>45754</v>
      </c>
      <c r="E243" s="4">
        <v>4.8454777156479903E-2</v>
      </c>
      <c r="F243" s="4">
        <v>4.84726275072467E-2</v>
      </c>
      <c r="G243" s="4">
        <v>4.8463699999999998E-2</v>
      </c>
      <c r="H243" s="4">
        <v>0.17016642276146099</v>
      </c>
      <c r="I243" s="4">
        <v>0.17025333696540501</v>
      </c>
      <c r="J243" s="4">
        <v>0.17020987000000001</v>
      </c>
      <c r="K243">
        <f t="shared" si="15"/>
        <v>-6.1064619476118853E-3</v>
      </c>
      <c r="L243">
        <f t="shared" si="16"/>
        <v>-1.0331723732967979E-2</v>
      </c>
      <c r="M243" s="1">
        <f t="shared" si="17"/>
        <v>-8.3172989049900628E-3</v>
      </c>
      <c r="N243" s="1">
        <f t="shared" si="18"/>
        <v>3.6832414295229963E-4</v>
      </c>
      <c r="O243" s="1">
        <f t="shared" si="19"/>
        <v>5.1062963589609594E-4</v>
      </c>
    </row>
    <row r="244" spans="4:15" x14ac:dyDescent="0.25">
      <c r="D244" s="3">
        <v>45751</v>
      </c>
      <c r="E244" s="2">
        <v>4.87550400522654E-2</v>
      </c>
      <c r="F244" s="2">
        <v>4.8767879523830403E-2</v>
      </c>
      <c r="G244" s="2">
        <v>4.876146E-2</v>
      </c>
      <c r="H244" s="2">
        <v>0.17196608828738999</v>
      </c>
      <c r="I244" s="2">
        <v>0.172007499526979</v>
      </c>
      <c r="J244" s="2">
        <v>0.17198679</v>
      </c>
      <c r="K244">
        <f t="shared" si="15"/>
        <v>-3.0000455543980231E-2</v>
      </c>
      <c r="L244">
        <f t="shared" si="16"/>
        <v>-3.7432965628736325E-2</v>
      </c>
      <c r="M244" s="1">
        <f t="shared" si="17"/>
        <v>-3.388946143668374E-2</v>
      </c>
      <c r="N244" s="1">
        <f t="shared" si="18"/>
        <v>2.6331187714647846E-4</v>
      </c>
      <c r="O244" s="1">
        <f t="shared" si="19"/>
        <v>2.4078151344650655E-4</v>
      </c>
    </row>
    <row r="245" spans="4:15" x14ac:dyDescent="0.25">
      <c r="D245" s="5">
        <v>45750</v>
      </c>
      <c r="E245" s="4">
        <v>5.0262622201000202E-2</v>
      </c>
      <c r="F245" s="4">
        <v>5.0276520864756202E-2</v>
      </c>
      <c r="G245" s="4">
        <v>5.026957E-2</v>
      </c>
      <c r="H245" s="4">
        <v>0.17865118356409099</v>
      </c>
      <c r="I245" s="4">
        <v>0.17869907076483199</v>
      </c>
      <c r="J245" s="4">
        <v>0.17867512999999999</v>
      </c>
      <c r="K245">
        <f t="shared" si="15"/>
        <v>2.6957088066562607E-2</v>
      </c>
      <c r="L245">
        <f t="shared" si="16"/>
        <v>1.9162930023842062E-2</v>
      </c>
      <c r="M245" s="1">
        <f t="shared" si="17"/>
        <v>2.2878852556466104E-2</v>
      </c>
      <c r="N245" s="1">
        <f t="shared" si="18"/>
        <v>2.7648264657922976E-4</v>
      </c>
      <c r="O245" s="1">
        <f t="shared" si="19"/>
        <v>2.68012681681013E-4</v>
      </c>
    </row>
    <row r="246" spans="4:15" x14ac:dyDescent="0.25">
      <c r="D246" s="3">
        <v>45749</v>
      </c>
      <c r="E246" s="2">
        <v>4.8944032498837602E-2</v>
      </c>
      <c r="F246" s="2">
        <v>4.8956013022299502E-2</v>
      </c>
      <c r="G246" s="2">
        <v>4.8950019999999997E-2</v>
      </c>
      <c r="H246" s="2">
        <v>0.17530020159523199</v>
      </c>
      <c r="I246" s="2">
        <v>0.175330937143859</v>
      </c>
      <c r="J246" s="2">
        <v>0.17531557</v>
      </c>
      <c r="K246">
        <f t="shared" si="15"/>
        <v>-1.444080585367713E-3</v>
      </c>
      <c r="L246">
        <f t="shared" si="16"/>
        <v>-2.1652173165704891E-3</v>
      </c>
      <c r="M246" s="1">
        <f t="shared" si="17"/>
        <v>-1.8214100427262057E-3</v>
      </c>
      <c r="N246" s="1">
        <f t="shared" si="18"/>
        <v>2.4475012394071626E-4</v>
      </c>
      <c r="O246" s="1">
        <f t="shared" si="19"/>
        <v>1.753155673908991E-4</v>
      </c>
    </row>
    <row r="247" spans="4:15" x14ac:dyDescent="0.25">
      <c r="D247" s="5">
        <v>45748</v>
      </c>
      <c r="E247" s="4">
        <v>4.9016003725216299E-2</v>
      </c>
      <c r="F247" s="4">
        <v>4.9025615884299503E-2</v>
      </c>
      <c r="G247" s="4">
        <v>4.9020809999999998E-2</v>
      </c>
      <c r="H247" s="4">
        <v>0.17568517217146901</v>
      </c>
      <c r="I247" s="4">
        <v>0.17570678052465999</v>
      </c>
      <c r="J247" s="4">
        <v>0.17569599</v>
      </c>
      <c r="K247">
        <f t="shared" si="15"/>
        <v>2.8799691784193726E-3</v>
      </c>
      <c r="L247">
        <f t="shared" si="16"/>
        <v>6.3251009440998818E-3</v>
      </c>
      <c r="M247" s="1">
        <f t="shared" si="17"/>
        <v>4.6826088768640219E-3</v>
      </c>
      <c r="N247" s="1">
        <f t="shared" si="18"/>
        <v>1.9608323655206971E-4</v>
      </c>
      <c r="O247" s="1">
        <f t="shared" si="19"/>
        <v>1.2298717341803164E-4</v>
      </c>
    </row>
    <row r="248" spans="4:15" x14ac:dyDescent="0.25">
      <c r="D248" s="3">
        <v>45747</v>
      </c>
      <c r="E248" s="2">
        <v>4.8875377562291697E-2</v>
      </c>
      <c r="F248" s="2">
        <v>4.8884695668327101E-2</v>
      </c>
      <c r="G248" s="2">
        <v>4.8880037000000001E-2</v>
      </c>
      <c r="H248" s="2">
        <v>0.17456881502688401</v>
      </c>
      <c r="I248" s="2">
        <v>0.17461453840646801</v>
      </c>
      <c r="J248" s="2">
        <v>0.17459168</v>
      </c>
      <c r="K248">
        <f t="shared" si="15"/>
        <v>-1.9429224493903163E-3</v>
      </c>
      <c r="L248">
        <f t="shared" si="16"/>
        <v>6.9400275773991993E-3</v>
      </c>
      <c r="M248" s="1">
        <f t="shared" si="17"/>
        <v>2.7050154080540938E-3</v>
      </c>
      <c r="N248" s="1">
        <f t="shared" si="18"/>
        <v>1.9063213956658614E-4</v>
      </c>
      <c r="O248" s="1">
        <f t="shared" si="19"/>
        <v>2.6188750565892162E-4</v>
      </c>
    </row>
    <row r="249" spans="4:15" x14ac:dyDescent="0.25">
      <c r="D249" s="5">
        <v>45744</v>
      </c>
      <c r="E249" s="4">
        <v>4.8969438173635797E-2</v>
      </c>
      <c r="F249" s="4">
        <v>4.89809513080363E-2</v>
      </c>
      <c r="G249" s="4">
        <v>4.8975192000000001E-2</v>
      </c>
      <c r="H249" s="4">
        <v>0.17336731332674499</v>
      </c>
      <c r="I249" s="4">
        <v>0.17340940225779</v>
      </c>
      <c r="J249" s="4">
        <v>0.17338835999999999</v>
      </c>
      <c r="K249">
        <f t="shared" si="15"/>
        <v>-6.6116706596427433E-3</v>
      </c>
      <c r="L249">
        <f t="shared" si="16"/>
        <v>-5.5917711152159155E-3</v>
      </c>
      <c r="M249" s="1">
        <f t="shared" si="17"/>
        <v>-6.078015771454089E-3</v>
      </c>
      <c r="N249" s="1">
        <f t="shared" si="18"/>
        <v>2.3508094466484855E-4</v>
      </c>
      <c r="O249" s="1">
        <f t="shared" si="19"/>
        <v>2.4274369424230407E-4</v>
      </c>
    </row>
    <row r="250" spans="4:15" x14ac:dyDescent="0.25">
      <c r="D250" s="3">
        <v>45743</v>
      </c>
      <c r="E250" s="2">
        <v>4.9297267452465099E-2</v>
      </c>
      <c r="F250" s="2">
        <v>4.9305045385294302E-2</v>
      </c>
      <c r="G250" s="2">
        <v>4.9301154999999999E-2</v>
      </c>
      <c r="H250" s="2">
        <v>0.174343596359706</v>
      </c>
      <c r="I250" s="2">
        <v>0.17438311971401199</v>
      </c>
      <c r="J250" s="2">
        <v>0.17436336</v>
      </c>
      <c r="K250">
        <f t="shared" si="15"/>
        <v>-8.4305563167578201E-3</v>
      </c>
      <c r="L250">
        <f t="shared" si="16"/>
        <v>3.4009530930090293E-4</v>
      </c>
      <c r="M250" s="1">
        <f t="shared" si="17"/>
        <v>-3.8413777663581393E-3</v>
      </c>
      <c r="N250" s="1">
        <f t="shared" si="18"/>
        <v>1.5776370409989886E-4</v>
      </c>
      <c r="O250" s="1">
        <f t="shared" si="19"/>
        <v>2.2667235998427061E-4</v>
      </c>
    </row>
    <row r="251" spans="4:15" x14ac:dyDescent="0.25">
      <c r="D251" s="5">
        <v>45742</v>
      </c>
      <c r="E251" s="4">
        <v>4.9714885133757901E-2</v>
      </c>
      <c r="F251" s="4">
        <v>4.9725762420252298E-2</v>
      </c>
      <c r="G251" s="4">
        <v>4.9720325000000003E-2</v>
      </c>
      <c r="H251" s="4">
        <v>0.174288901282766</v>
      </c>
      <c r="I251" s="4">
        <v>0.174319283199107</v>
      </c>
      <c r="J251" s="4">
        <v>0.17430408</v>
      </c>
      <c r="K251">
        <f t="shared" si="15"/>
        <v>-1.7402172385406756E-3</v>
      </c>
      <c r="L251">
        <f t="shared" si="16"/>
        <v>-9.0464043098366087E-3</v>
      </c>
      <c r="M251" s="1">
        <f t="shared" si="17"/>
        <v>-5.5631255493871178E-3</v>
      </c>
      <c r="N251" s="1">
        <f t="shared" si="18"/>
        <v>2.1876941661980417E-4</v>
      </c>
      <c r="O251" s="1">
        <f t="shared" si="19"/>
        <v>1.7430410315696037E-4</v>
      </c>
    </row>
    <row r="252" spans="4:15" x14ac:dyDescent="0.25">
      <c r="D252" s="3">
        <v>45741</v>
      </c>
      <c r="E252" s="2">
        <v>4.9801044825920501E-2</v>
      </c>
      <c r="F252" s="2">
        <v>4.9812952363873703E-2</v>
      </c>
      <c r="G252" s="2">
        <v>4.9806999999999997E-2</v>
      </c>
      <c r="H252" s="2">
        <v>0.175879838894068</v>
      </c>
      <c r="I252" s="2">
        <v>0.17591077805337099</v>
      </c>
      <c r="J252" s="2">
        <v>0.1758953</v>
      </c>
      <c r="K252">
        <f t="shared" si="15"/>
        <v>9.9619289034058589E-4</v>
      </c>
      <c r="L252">
        <f t="shared" si="16"/>
        <v>7.9416925391984083E-3</v>
      </c>
      <c r="M252" s="1">
        <f t="shared" si="17"/>
        <v>4.6303741768991252E-3</v>
      </c>
      <c r="N252" s="1">
        <f t="shared" si="18"/>
        <v>2.3907358309477222E-4</v>
      </c>
      <c r="O252" s="1">
        <f t="shared" si="19"/>
        <v>1.7589531558259412E-4</v>
      </c>
    </row>
    <row r="253" spans="4:15" x14ac:dyDescent="0.25">
      <c r="D253" s="5">
        <v>45740</v>
      </c>
      <c r="E253" s="4">
        <v>4.9751491300951703E-2</v>
      </c>
      <c r="F253" s="4">
        <v>4.9763375151156301E-2</v>
      </c>
      <c r="G253" s="4">
        <v>4.9757431999999997E-2</v>
      </c>
      <c r="H253" s="4">
        <v>0.174486573258188</v>
      </c>
      <c r="I253" s="4">
        <v>0.17453225356045801</v>
      </c>
      <c r="J253" s="4">
        <v>0.17450940000000001</v>
      </c>
      <c r="K253">
        <f t="shared" si="15"/>
        <v>4.7020706734539619E-3</v>
      </c>
      <c r="L253">
        <f t="shared" si="16"/>
        <v>-1.1430429210613768E-3</v>
      </c>
      <c r="M253" s="1">
        <f t="shared" si="17"/>
        <v>1.6436582457044608E-3</v>
      </c>
      <c r="N253" s="1">
        <f t="shared" si="18"/>
        <v>2.3883568196603119E-4</v>
      </c>
      <c r="O253" s="1">
        <f t="shared" si="19"/>
        <v>2.6176413574287093E-4</v>
      </c>
    </row>
    <row r="254" spans="4:15" x14ac:dyDescent="0.25">
      <c r="D254" s="3">
        <v>45737</v>
      </c>
      <c r="E254" s="2">
        <v>4.9518678445509598E-2</v>
      </c>
      <c r="F254" s="2">
        <v>4.95304513214724E-2</v>
      </c>
      <c r="G254" s="2">
        <v>4.9524564E-2</v>
      </c>
      <c r="H254" s="2">
        <v>0.17468774565464201</v>
      </c>
      <c r="I254" s="2">
        <v>0.17473047823731899</v>
      </c>
      <c r="J254" s="2">
        <v>0.17470910000000001</v>
      </c>
      <c r="K254">
        <f t="shared" si="15"/>
        <v>-2.3771934146686879E-3</v>
      </c>
      <c r="L254">
        <f t="shared" si="16"/>
        <v>-8.5345576092570319E-3</v>
      </c>
      <c r="M254" s="1">
        <f t="shared" si="17"/>
        <v>-5.5989886578918886E-3</v>
      </c>
      <c r="N254" s="1">
        <f t="shared" si="18"/>
        <v>2.3771791232331626E-4</v>
      </c>
      <c r="O254" s="1">
        <f t="shared" si="19"/>
        <v>2.4459276979264257E-4</v>
      </c>
    </row>
    <row r="255" spans="4:15" x14ac:dyDescent="0.25">
      <c r="D255" s="5">
        <v>45736</v>
      </c>
      <c r="E255" s="4">
        <v>4.96378915809172E-2</v>
      </c>
      <c r="F255" s="4">
        <v>4.9647256244383701E-2</v>
      </c>
      <c r="G255" s="4">
        <v>4.9642574000000002E-2</v>
      </c>
      <c r="H255" s="4">
        <v>0.17619282542814901</v>
      </c>
      <c r="I255" s="4">
        <v>0.17623319175933599</v>
      </c>
      <c r="J255" s="4">
        <v>0.17621300000000001</v>
      </c>
      <c r="K255">
        <f t="shared" si="15"/>
        <v>-4.120248852711228E-3</v>
      </c>
      <c r="L255">
        <f t="shared" si="16"/>
        <v>-4.3877721847934703E-3</v>
      </c>
      <c r="M255" s="1">
        <f t="shared" si="17"/>
        <v>-4.2602284562421201E-3</v>
      </c>
      <c r="N255" s="1">
        <f t="shared" si="18"/>
        <v>1.8864177885904499E-4</v>
      </c>
      <c r="O255" s="1">
        <f t="shared" si="19"/>
        <v>2.2907691933614789E-4</v>
      </c>
    </row>
    <row r="256" spans="4:15" x14ac:dyDescent="0.25">
      <c r="D256" s="3">
        <v>45735</v>
      </c>
      <c r="E256" s="2">
        <v>4.9842746135941099E-2</v>
      </c>
      <c r="F256" s="2">
        <v>4.9853182377897098E-2</v>
      </c>
      <c r="G256" s="2">
        <v>4.9847959999999997E-2</v>
      </c>
      <c r="H256" s="2">
        <v>0.17696922505176399</v>
      </c>
      <c r="I256" s="2">
        <v>0.17700994795907499</v>
      </c>
      <c r="J256" s="2">
        <v>0.17698959</v>
      </c>
      <c r="K256">
        <f t="shared" si="15"/>
        <v>-3.8508684737572629E-3</v>
      </c>
      <c r="L256">
        <f t="shared" si="16"/>
        <v>3.8140940385249511E-3</v>
      </c>
      <c r="M256" s="1">
        <f t="shared" si="17"/>
        <v>1.5976643123328106E-4</v>
      </c>
      <c r="N256" s="1">
        <f t="shared" si="18"/>
        <v>2.0936146546417266E-4</v>
      </c>
      <c r="O256" s="1">
        <f t="shared" si="19"/>
        <v>2.3008645486436319E-4</v>
      </c>
    </row>
    <row r="257" spans="4:15" x14ac:dyDescent="0.25">
      <c r="D257" s="5">
        <v>45734</v>
      </c>
      <c r="E257" s="4">
        <v>5.0036025938675802E-2</v>
      </c>
      <c r="F257" s="4">
        <v>5.0045290988344503E-2</v>
      </c>
      <c r="G257" s="4">
        <v>5.0040660000000001E-2</v>
      </c>
      <c r="H257" s="4">
        <v>0.17629532993670999</v>
      </c>
      <c r="I257" s="4">
        <v>0.17633885273942401</v>
      </c>
      <c r="J257" s="4">
        <v>0.1763171</v>
      </c>
      <c r="K257">
        <f t="shared" si="15"/>
        <v>-4.3159667289922599E-3</v>
      </c>
      <c r="L257">
        <f t="shared" si="16"/>
        <v>2.9180206832493116E-3</v>
      </c>
      <c r="M257" s="1">
        <f t="shared" si="17"/>
        <v>-5.3083635538528069E-4</v>
      </c>
      <c r="N257" s="1">
        <f t="shared" si="18"/>
        <v>1.8515042904512178E-4</v>
      </c>
      <c r="O257" s="1">
        <f t="shared" si="19"/>
        <v>2.4684391198598674E-4</v>
      </c>
    </row>
    <row r="258" spans="4:15" x14ac:dyDescent="0.25">
      <c r="D258" s="3">
        <v>45733</v>
      </c>
      <c r="E258" s="2">
        <v>5.0252518907510202E-2</v>
      </c>
      <c r="F258" s="2">
        <v>5.0262622201000202E-2</v>
      </c>
      <c r="G258" s="2">
        <v>5.0257570000000001E-2</v>
      </c>
      <c r="H258" s="2">
        <v>0.17576545857208101</v>
      </c>
      <c r="I258" s="2">
        <v>0.175842726265628</v>
      </c>
      <c r="J258" s="2">
        <v>0.17580409999999999</v>
      </c>
      <c r="K258">
        <f t="shared" si="15"/>
        <v>-1.8846147849961303E-3</v>
      </c>
      <c r="L258">
        <f t="shared" si="16"/>
        <v>7.4190845879933409E-3</v>
      </c>
      <c r="M258" s="1">
        <f t="shared" si="17"/>
        <v>2.9834770538170749E-3</v>
      </c>
      <c r="N258" s="1">
        <f t="shared" si="18"/>
        <v>2.0103028240323902E-4</v>
      </c>
      <c r="O258" s="1">
        <f t="shared" si="19"/>
        <v>4.3951019087148474E-4</v>
      </c>
    </row>
    <row r="259" spans="4:15" x14ac:dyDescent="0.25">
      <c r="D259" s="5">
        <v>45730</v>
      </c>
      <c r="E259" s="4">
        <v>5.0348157509175998E-2</v>
      </c>
      <c r="F259" s="4">
        <v>5.0356777770503999E-2</v>
      </c>
      <c r="G259" s="4">
        <v>5.0352464999999999E-2</v>
      </c>
      <c r="H259" s="4">
        <v>0.174471351804034</v>
      </c>
      <c r="I259" s="4">
        <v>0.174547485643469</v>
      </c>
      <c r="J259" s="4">
        <v>0.17450940000000001</v>
      </c>
      <c r="K259">
        <f t="shared" si="15"/>
        <v>1.1757249302745354E-2</v>
      </c>
      <c r="L259">
        <f t="shared" si="16"/>
        <v>1.3027058439921468E-2</v>
      </c>
      <c r="M259" s="1">
        <f t="shared" si="17"/>
        <v>1.2421667535720911E-2</v>
      </c>
      <c r="N259" s="1">
        <f t="shared" si="18"/>
        <v>1.7119839769516259E-4</v>
      </c>
      <c r="O259" s="1">
        <f t="shared" si="19"/>
        <v>4.3627357285624577E-4</v>
      </c>
    </row>
    <row r="260" spans="4:15" x14ac:dyDescent="0.25">
      <c r="D260" s="3">
        <v>45729</v>
      </c>
      <c r="E260" s="2">
        <v>4.9763127513037901E-2</v>
      </c>
      <c r="F260" s="2">
        <v>4.9771548591962901E-2</v>
      </c>
      <c r="G260" s="2">
        <v>4.9767338000000001E-2</v>
      </c>
      <c r="H260" s="2">
        <v>0.17223561832587</v>
      </c>
      <c r="I260" s="2">
        <v>0.17229496898690599</v>
      </c>
      <c r="J260" s="2">
        <v>0.17226528999999999</v>
      </c>
      <c r="K260">
        <f t="shared" si="15"/>
        <v>3.9067921225268698E-3</v>
      </c>
      <c r="L260">
        <f t="shared" si="16"/>
        <v>2.9284658466068869E-3</v>
      </c>
      <c r="M260" s="1">
        <f t="shared" si="17"/>
        <v>3.3948901393942967E-3</v>
      </c>
      <c r="N260" s="1">
        <f t="shared" si="18"/>
        <v>1.6920894834680512E-4</v>
      </c>
      <c r="O260" s="1">
        <f t="shared" si="19"/>
        <v>3.4453058440263572E-4</v>
      </c>
    </row>
    <row r="261" spans="4:15" x14ac:dyDescent="0.25">
      <c r="D261" s="5">
        <v>45728</v>
      </c>
      <c r="E261" s="4">
        <v>4.9568506153929999E-2</v>
      </c>
      <c r="F261" s="4">
        <v>4.95788278573518E-2</v>
      </c>
      <c r="G261" s="4">
        <v>4.9573664000000003E-2</v>
      </c>
      <c r="H261" s="4">
        <v>0.171726885561203</v>
      </c>
      <c r="I261" s="4">
        <v>0.171797691039032</v>
      </c>
      <c r="J261" s="4">
        <v>0.17176229000000001</v>
      </c>
      <c r="K261">
        <f t="shared" si="15"/>
        <v>8.6134553373111711E-3</v>
      </c>
      <c r="L261">
        <f t="shared" si="16"/>
        <v>6.0987687116687006E-4</v>
      </c>
      <c r="M261" s="1">
        <f t="shared" si="17"/>
        <v>4.4256421406108099E-3</v>
      </c>
      <c r="N261" s="1">
        <f t="shared" si="18"/>
        <v>2.0820941179172493E-4</v>
      </c>
      <c r="O261" s="1">
        <f t="shared" si="19"/>
        <v>4.122294703278915E-4</v>
      </c>
    </row>
    <row r="262" spans="4:15" x14ac:dyDescent="0.25">
      <c r="D262" s="3">
        <v>45727</v>
      </c>
      <c r="E262" s="2">
        <v>4.9145603680022798E-2</v>
      </c>
      <c r="F262" s="2">
        <v>4.9155025118217802E-2</v>
      </c>
      <c r="G262" s="2">
        <v>4.9150310000000003E-2</v>
      </c>
      <c r="H262" s="2">
        <v>0.171638460746284</v>
      </c>
      <c r="I262" s="2">
        <v>0.17167676698312401</v>
      </c>
      <c r="J262" s="2">
        <v>0.17165759999999999</v>
      </c>
      <c r="K262">
        <f t="shared" si="15"/>
        <v>-2.6665059579901174E-3</v>
      </c>
      <c r="L262">
        <f t="shared" si="16"/>
        <v>-4.7721281279585748E-3</v>
      </c>
      <c r="M262" s="1">
        <f t="shared" si="17"/>
        <v>-3.7682571743940432E-3</v>
      </c>
      <c r="N262" s="1">
        <f t="shared" si="18"/>
        <v>1.9168624155175477E-4</v>
      </c>
      <c r="O262" s="1">
        <f t="shared" si="19"/>
        <v>2.2315491326925101E-4</v>
      </c>
    </row>
    <row r="263" spans="4:15" x14ac:dyDescent="0.25">
      <c r="D263" s="5">
        <v>45726</v>
      </c>
      <c r="E263" s="4">
        <v>4.9277104871534597E-2</v>
      </c>
      <c r="F263" s="4">
        <v>4.9286333885340303E-2</v>
      </c>
      <c r="G263" s="4">
        <v>4.9281720000000001E-2</v>
      </c>
      <c r="H263" s="4">
        <v>0.17246136865342199</v>
      </c>
      <c r="I263" s="4">
        <v>0.17250004312501099</v>
      </c>
      <c r="J263" s="4">
        <v>0.17248069999999999</v>
      </c>
      <c r="K263">
        <f t="shared" si="15"/>
        <v>-1.1827504849658554E-3</v>
      </c>
      <c r="L263">
        <f t="shared" si="16"/>
        <v>-5.398723181179621E-3</v>
      </c>
      <c r="M263" s="1">
        <f t="shared" si="17"/>
        <v>-3.3887269952002819E-3</v>
      </c>
      <c r="N263" s="1">
        <f t="shared" si="18"/>
        <v>1.8727052963464071E-4</v>
      </c>
      <c r="O263" s="1">
        <f t="shared" si="19"/>
        <v>2.242249224928145E-4</v>
      </c>
    </row>
    <row r="264" spans="4:15" x14ac:dyDescent="0.25">
      <c r="D264" s="3">
        <v>45723</v>
      </c>
      <c r="E264" s="2">
        <v>4.9335938270874E-2</v>
      </c>
      <c r="F264" s="2">
        <v>4.9344215377631298E-2</v>
      </c>
      <c r="G264" s="2">
        <v>4.9340077000000003E-2</v>
      </c>
      <c r="H264" s="2">
        <v>0.17339436815092199</v>
      </c>
      <c r="I264" s="2">
        <v>0.17343947829404899</v>
      </c>
      <c r="J264" s="2">
        <v>0.17341693</v>
      </c>
      <c r="K264">
        <f t="shared" si="15"/>
        <v>2.0229499858919198E-3</v>
      </c>
      <c r="L264">
        <f t="shared" si="16"/>
        <v>-2.0375666825880323E-3</v>
      </c>
      <c r="M264" s="1">
        <f t="shared" si="17"/>
        <v>-1.0168530838465192E-4</v>
      </c>
      <c r="N264" s="1">
        <f t="shared" si="18"/>
        <v>1.6775625942574887E-4</v>
      </c>
      <c r="O264" s="1">
        <f t="shared" si="19"/>
        <v>2.6012537026804332E-4</v>
      </c>
    </row>
    <row r="265" spans="4:15" x14ac:dyDescent="0.25">
      <c r="D265" s="5">
        <v>45722</v>
      </c>
      <c r="E265" s="4">
        <v>4.9235374631965603E-2</v>
      </c>
      <c r="F265" s="4">
        <v>4.9245558050663801E-2</v>
      </c>
      <c r="G265" s="4">
        <v>4.9240465999999997E-2</v>
      </c>
      <c r="H265" s="4">
        <v>0.17374986968759801</v>
      </c>
      <c r="I265" s="4">
        <v>0.17379214459506401</v>
      </c>
      <c r="J265" s="4">
        <v>0.17377100000000001</v>
      </c>
      <c r="K265">
        <f t="shared" si="15"/>
        <v>4.7024280759029313E-3</v>
      </c>
      <c r="L265">
        <f t="shared" si="16"/>
        <v>1.5743673295412597E-2</v>
      </c>
      <c r="M265" s="1">
        <f t="shared" si="17"/>
        <v>1.0479677919064984E-2</v>
      </c>
      <c r="N265" s="1">
        <f t="shared" si="18"/>
        <v>2.0680995785454296E-4</v>
      </c>
      <c r="O265" s="1">
        <f t="shared" si="19"/>
        <v>2.432794163928391E-4</v>
      </c>
    </row>
    <row r="266" spans="4:15" x14ac:dyDescent="0.25">
      <c r="D266" s="3">
        <v>45721</v>
      </c>
      <c r="E266" s="2">
        <v>4.9004233965814603E-2</v>
      </c>
      <c r="F266" s="2">
        <v>4.9015763469531799E-2</v>
      </c>
      <c r="G266" s="2">
        <v>4.9009999999999998E-2</v>
      </c>
      <c r="H266" s="2">
        <v>0.17103372785113199</v>
      </c>
      <c r="I266" s="2">
        <v>0.17112153051096901</v>
      </c>
      <c r="J266" s="2">
        <v>0.17107760999999999</v>
      </c>
      <c r="K266">
        <f t="shared" si="15"/>
        <v>2.3867968872408163E-2</v>
      </c>
      <c r="L266">
        <f t="shared" si="16"/>
        <v>7.24504739734666E-3</v>
      </c>
      <c r="M266" s="1">
        <f t="shared" si="17"/>
        <v>1.5170148239369179E-2</v>
      </c>
      <c r="N266" s="1">
        <f t="shared" si="18"/>
        <v>2.3524798443575051E-4</v>
      </c>
      <c r="O266" s="1">
        <f t="shared" si="19"/>
        <v>5.1323291129105853E-4</v>
      </c>
    </row>
    <row r="267" spans="4:15" x14ac:dyDescent="0.25">
      <c r="D267" s="5">
        <v>45720</v>
      </c>
      <c r="E267" s="4">
        <v>4.7862004269290798E-2</v>
      </c>
      <c r="F267" s="4">
        <v>4.7873002498970703E-2</v>
      </c>
      <c r="G267" s="4">
        <v>4.78675E-2</v>
      </c>
      <c r="H267" s="4">
        <v>0.16981676770764301</v>
      </c>
      <c r="I267" s="4">
        <v>0.169877348554344</v>
      </c>
      <c r="J267" s="4">
        <v>0.16984705999999999</v>
      </c>
      <c r="K267">
        <f t="shared" si="15"/>
        <v>-2.3120020065146352E-2</v>
      </c>
      <c r="L267">
        <f t="shared" si="16"/>
        <v>0</v>
      </c>
      <c r="M267" s="1">
        <f t="shared" si="17"/>
        <v>-1.1022640680866896E-2</v>
      </c>
      <c r="N267" s="1">
        <f t="shared" si="18"/>
        <v>2.297640294543315E-4</v>
      </c>
      <c r="O267" s="1">
        <f t="shared" si="19"/>
        <v>3.5667880681003027E-4</v>
      </c>
    </row>
    <row r="268" spans="4:15" x14ac:dyDescent="0.25">
      <c r="D268" s="3">
        <v>45719</v>
      </c>
      <c r="E268" s="2">
        <v>4.8995110287993297E-2</v>
      </c>
      <c r="F268" s="2">
        <v>4.9005674857148497E-2</v>
      </c>
      <c r="G268" s="2">
        <v>4.9000389999999998E-2</v>
      </c>
      <c r="H268" s="2">
        <v>0.16981676770764301</v>
      </c>
      <c r="I268" s="2">
        <v>0.169877348554344</v>
      </c>
      <c r="J268" s="2">
        <v>0.16984705999999999</v>
      </c>
      <c r="K268">
        <f t="shared" si="15"/>
        <v>5.9534520301056659E-3</v>
      </c>
      <c r="L268">
        <f t="shared" si="16"/>
        <v>-3.2524988513878972E-3</v>
      </c>
      <c r="M268" s="1">
        <f t="shared" si="17"/>
        <v>1.1365063660161428E-3</v>
      </c>
      <c r="N268" s="1">
        <f t="shared" si="18"/>
        <v>2.1560173613311581E-4</v>
      </c>
      <c r="O268" s="1">
        <f t="shared" si="19"/>
        <v>3.5667880681003027E-4</v>
      </c>
    </row>
    <row r="269" spans="4:15" x14ac:dyDescent="0.25">
      <c r="D269" s="5">
        <v>45716</v>
      </c>
      <c r="E269" s="4">
        <v>4.8704698542268401E-2</v>
      </c>
      <c r="F269" s="4">
        <v>4.8716087513579601E-2</v>
      </c>
      <c r="G269" s="4">
        <v>4.8710394999999997E-2</v>
      </c>
      <c r="H269" s="4">
        <v>0.170363555828137</v>
      </c>
      <c r="I269" s="4">
        <v>0.17043905099536399</v>
      </c>
      <c r="J269" s="4">
        <v>0.17040129000000001</v>
      </c>
      <c r="K269">
        <f t="shared" si="15"/>
        <v>-3.8968360412765524E-3</v>
      </c>
      <c r="L269">
        <f t="shared" si="16"/>
        <v>-6.6541426755636346E-3</v>
      </c>
      <c r="M269" s="1">
        <f t="shared" si="17"/>
        <v>-5.3395763304186997E-3</v>
      </c>
      <c r="N269" s="1">
        <f t="shared" si="18"/>
        <v>2.3380987387187487E-4</v>
      </c>
      <c r="O269" s="1">
        <f t="shared" si="19"/>
        <v>4.4304340200118793E-4</v>
      </c>
    </row>
    <row r="270" spans="4:15" x14ac:dyDescent="0.25">
      <c r="D270" s="3">
        <v>45715</v>
      </c>
      <c r="E270" s="2">
        <v>4.8895929902794899E-2</v>
      </c>
      <c r="F270" s="2">
        <v>4.8905973375588101E-2</v>
      </c>
      <c r="G270" s="2">
        <v>4.8900954000000003E-2</v>
      </c>
      <c r="H270" s="2">
        <v>0.171520702548798</v>
      </c>
      <c r="I270" s="2">
        <v>0.171564842932386</v>
      </c>
      <c r="J270" s="2">
        <v>0.17154275999999999</v>
      </c>
      <c r="K270">
        <f t="shared" si="15"/>
        <v>1.4672622979872152E-4</v>
      </c>
      <c r="L270">
        <f t="shared" si="16"/>
        <v>-8.4571682237426504E-3</v>
      </c>
      <c r="M270" s="1">
        <f t="shared" si="17"/>
        <v>-4.3551978642766198E-3</v>
      </c>
      <c r="N270" s="1">
        <f t="shared" si="18"/>
        <v>2.0538398480327537E-4</v>
      </c>
      <c r="O270" s="1">
        <f t="shared" si="19"/>
        <v>2.5731417395868396E-4</v>
      </c>
    </row>
    <row r="271" spans="4:15" x14ac:dyDescent="0.25">
      <c r="D271" s="5">
        <v>45714</v>
      </c>
      <c r="E271" s="4">
        <v>4.8888519508963703E-2</v>
      </c>
      <c r="F271" s="4">
        <v>4.8899038155919498E-2</v>
      </c>
      <c r="G271" s="4">
        <v>4.8893779999999998E-2</v>
      </c>
      <c r="H271" s="4">
        <v>0.17299541562148599</v>
      </c>
      <c r="I271" s="4">
        <v>0.17301636734835099</v>
      </c>
      <c r="J271" s="4">
        <v>0.17300589999999999</v>
      </c>
      <c r="K271">
        <f t="shared" si="15"/>
        <v>3.1783056040568525E-4</v>
      </c>
      <c r="L271">
        <f t="shared" si="16"/>
        <v>-3.442786145308907E-3</v>
      </c>
      <c r="M271" s="1">
        <f t="shared" si="17"/>
        <v>-1.6498842979594535E-3</v>
      </c>
      <c r="N271" s="1">
        <f t="shared" si="18"/>
        <v>2.1513261923695651E-4</v>
      </c>
      <c r="O271" s="1">
        <f t="shared" si="19"/>
        <v>1.2110411763416108E-4</v>
      </c>
    </row>
    <row r="272" spans="4:15" x14ac:dyDescent="0.25">
      <c r="D272" s="3">
        <v>45713</v>
      </c>
      <c r="E272" s="2">
        <v>4.8873227734579298E-2</v>
      </c>
      <c r="F272" s="2">
        <v>4.8883261882298898E-2</v>
      </c>
      <c r="G272" s="2">
        <v>4.8878245000000001E-2</v>
      </c>
      <c r="H272" s="2">
        <v>0.17357193688924399</v>
      </c>
      <c r="I272" s="2">
        <v>0.173635227114877</v>
      </c>
      <c r="J272" s="2">
        <v>0.17360358000000001</v>
      </c>
      <c r="K272">
        <f t="shared" ref="K272:K335" si="20">G272/G273-1</f>
        <v>-1.9552933897382108E-4</v>
      </c>
      <c r="L272">
        <f t="shared" ref="L272:L335" si="21">J272/J273-1</f>
        <v>-5.103895155700866E-3</v>
      </c>
      <c r="M272" s="1">
        <f t="shared" ref="M272:M335" si="22">SUMPRODUCT(K272:L272,$O$11:$P$11)</f>
        <v>-2.7637954250093245E-3</v>
      </c>
      <c r="N272" s="1">
        <f t="shared" ref="N272:N335" si="23">(F272-E272)/G272</f>
        <v>2.0528862522783877E-4</v>
      </c>
      <c r="O272" s="1">
        <f t="shared" ref="O272:O335" si="24">(I272-H272)/J272</f>
        <v>3.6456751429323001E-4</v>
      </c>
    </row>
    <row r="273" spans="4:15" x14ac:dyDescent="0.25">
      <c r="D273" s="5">
        <v>45712</v>
      </c>
      <c r="E273" s="4">
        <v>4.8882783972312799E-2</v>
      </c>
      <c r="F273" s="4">
        <v>4.88928220447956E-2</v>
      </c>
      <c r="G273" s="4">
        <v>4.8887804E-2</v>
      </c>
      <c r="H273" s="4">
        <v>0.174471351804034</v>
      </c>
      <c r="I273" s="4">
        <v>0.174517024135704</v>
      </c>
      <c r="J273" s="4">
        <v>0.17449418</v>
      </c>
      <c r="K273">
        <f t="shared" si="20"/>
        <v>-5.8910262028313287E-3</v>
      </c>
      <c r="L273">
        <f t="shared" si="21"/>
        <v>-5.5052959606665119E-3</v>
      </c>
      <c r="M273" s="1">
        <f t="shared" si="22"/>
        <v>-5.6891957084671679E-3</v>
      </c>
      <c r="N273" s="1">
        <f t="shared" si="23"/>
        <v>2.0532876630747045E-4</v>
      </c>
      <c r="O273" s="1">
        <f t="shared" si="24"/>
        <v>2.6174128942291154E-4</v>
      </c>
    </row>
    <row r="274" spans="4:15" x14ac:dyDescent="0.25">
      <c r="D274" s="3">
        <v>45709</v>
      </c>
      <c r="E274" s="2">
        <v>4.9172186244572598E-2</v>
      </c>
      <c r="F274" s="2">
        <v>4.9182827324011497E-2</v>
      </c>
      <c r="G274" s="2">
        <v>4.9177510000000001E-2</v>
      </c>
      <c r="H274" s="2">
        <v>0.175444752447454</v>
      </c>
      <c r="I274" s="2">
        <v>0.17547553870990401</v>
      </c>
      <c r="J274" s="2">
        <v>0.17546013999999999</v>
      </c>
      <c r="K274">
        <f t="shared" si="20"/>
        <v>2.5818503354517741E-3</v>
      </c>
      <c r="L274">
        <f t="shared" si="21"/>
        <v>-9.6479842067287436E-5</v>
      </c>
      <c r="M274" s="1">
        <f t="shared" si="22"/>
        <v>1.1804338927966442E-3</v>
      </c>
      <c r="N274" s="1">
        <f t="shared" si="23"/>
        <v>2.1638101316839013E-4</v>
      </c>
      <c r="O274" s="1">
        <f t="shared" si="24"/>
        <v>1.7546014980958661E-4</v>
      </c>
    </row>
    <row r="275" spans="4:15" x14ac:dyDescent="0.25">
      <c r="D275" s="5">
        <v>45708</v>
      </c>
      <c r="E275" s="4">
        <v>4.9045332600923003E-2</v>
      </c>
      <c r="F275" s="4">
        <v>4.9056400143244701E-2</v>
      </c>
      <c r="G275" s="4">
        <v>4.9050867999999997E-2</v>
      </c>
      <c r="H275" s="4">
        <v>0.175438596491228</v>
      </c>
      <c r="I275" s="4">
        <v>0.17551557700745901</v>
      </c>
      <c r="J275" s="4">
        <v>0.17547707000000001</v>
      </c>
      <c r="K275">
        <f t="shared" si="20"/>
        <v>9.815264649004618E-5</v>
      </c>
      <c r="L275">
        <f t="shared" si="21"/>
        <v>-3.597466153340001E-4</v>
      </c>
      <c r="M275" s="1">
        <f t="shared" si="22"/>
        <v>-1.4143975327684098E-4</v>
      </c>
      <c r="N275" s="1">
        <f t="shared" si="23"/>
        <v>2.2563397495224728E-4</v>
      </c>
      <c r="O275" s="1">
        <f t="shared" si="24"/>
        <v>4.3869273763806664E-4</v>
      </c>
    </row>
    <row r="276" spans="4:15" x14ac:dyDescent="0.25">
      <c r="D276" s="3">
        <v>45707</v>
      </c>
      <c r="E276" s="2">
        <v>4.9039560213223997E-2</v>
      </c>
      <c r="F276" s="2">
        <v>4.9052549996811599E-2</v>
      </c>
      <c r="G276" s="2">
        <v>4.9046053999999999E-2</v>
      </c>
      <c r="H276" s="2">
        <v>0.17552481920943599</v>
      </c>
      <c r="I276" s="2">
        <v>0.17555563358028201</v>
      </c>
      <c r="J276" s="2">
        <v>0.17554022</v>
      </c>
      <c r="K276">
        <f t="shared" si="20"/>
        <v>-6.9155622210167467E-3</v>
      </c>
      <c r="L276">
        <f t="shared" si="21"/>
        <v>-2.9666730924136075E-3</v>
      </c>
      <c r="M276" s="1">
        <f t="shared" si="22"/>
        <v>-4.8493352108082031E-3</v>
      </c>
      <c r="N276" s="1">
        <f t="shared" si="23"/>
        <v>2.6484869889028178E-4</v>
      </c>
      <c r="O276" s="1">
        <f t="shared" si="24"/>
        <v>1.7554023144103777E-4</v>
      </c>
    </row>
    <row r="277" spans="4:15" x14ac:dyDescent="0.25">
      <c r="D277" s="5">
        <v>45706</v>
      </c>
      <c r="E277" s="4">
        <v>4.9382472185322497E-2</v>
      </c>
      <c r="F277" s="4">
        <v>4.93927165500175E-2</v>
      </c>
      <c r="G277" s="4">
        <v>4.9387596999999998E-2</v>
      </c>
      <c r="H277" s="4">
        <v>0.176043940567566</v>
      </c>
      <c r="I277" s="4">
        <v>0.17608113818847701</v>
      </c>
      <c r="J277" s="4">
        <v>0.17606253999999999</v>
      </c>
      <c r="K277">
        <f t="shared" si="20"/>
        <v>2.543466301816899E-3</v>
      </c>
      <c r="L277">
        <f t="shared" si="21"/>
        <v>6.1709518419330589E-3</v>
      </c>
      <c r="M277" s="1">
        <f t="shared" si="22"/>
        <v>4.441521263106798E-3</v>
      </c>
      <c r="N277" s="1">
        <f t="shared" si="23"/>
        <v>2.0742788305741814E-4</v>
      </c>
      <c r="O277" s="1">
        <f t="shared" si="24"/>
        <v>2.1127504414627818E-4</v>
      </c>
    </row>
    <row r="278" spans="4:15" x14ac:dyDescent="0.25">
      <c r="D278" s="3">
        <v>45705</v>
      </c>
      <c r="E278" s="2">
        <v>4.9255988296777201E-2</v>
      </c>
      <c r="F278" s="2">
        <v>4.9268607521345598E-2</v>
      </c>
      <c r="G278" s="2">
        <v>4.9262300000000002E-2</v>
      </c>
      <c r="H278" s="2">
        <v>0.17497200447928299</v>
      </c>
      <c r="I278" s="2">
        <v>0.174993437746085</v>
      </c>
      <c r="J278" s="2">
        <v>0.17498273</v>
      </c>
      <c r="K278">
        <f t="shared" si="20"/>
        <v>-2.2162140002213171E-4</v>
      </c>
      <c r="L278">
        <f t="shared" si="21"/>
        <v>1.2685894561275113E-3</v>
      </c>
      <c r="M278" s="1">
        <f t="shared" si="22"/>
        <v>5.5812040117945853E-4</v>
      </c>
      <c r="N278" s="1">
        <f t="shared" si="23"/>
        <v>2.5616393405092808E-4</v>
      </c>
      <c r="O278" s="1">
        <f t="shared" si="24"/>
        <v>1.2248789810292876E-4</v>
      </c>
    </row>
    <row r="279" spans="4:15" x14ac:dyDescent="0.25">
      <c r="D279" s="5">
        <v>45702</v>
      </c>
      <c r="E279" s="4">
        <v>4.9268607521345598E-2</v>
      </c>
      <c r="F279" s="4">
        <v>4.9277833352223202E-2</v>
      </c>
      <c r="G279" s="4">
        <v>4.927322E-2</v>
      </c>
      <c r="H279" s="4">
        <v>0.17473658459871699</v>
      </c>
      <c r="I279" s="4">
        <v>0.17478545085906999</v>
      </c>
      <c r="J279" s="4">
        <v>0.17476103000000001</v>
      </c>
      <c r="K279">
        <f t="shared" si="20"/>
        <v>9.6082938931563167E-3</v>
      </c>
      <c r="L279">
        <f t="shared" si="21"/>
        <v>7.11290910479212E-3</v>
      </c>
      <c r="M279" s="1">
        <f t="shared" si="22"/>
        <v>8.3026022713696343E-3</v>
      </c>
      <c r="N279" s="1">
        <f t="shared" si="23"/>
        <v>1.8723823767970561E-4</v>
      </c>
      <c r="O279" s="1">
        <f t="shared" si="24"/>
        <v>2.7961760326657311E-4</v>
      </c>
    </row>
    <row r="280" spans="4:15" x14ac:dyDescent="0.25">
      <c r="D280" s="3">
        <v>45701</v>
      </c>
      <c r="E280" s="2">
        <v>4.8798578985379898E-2</v>
      </c>
      <c r="F280" s="2">
        <v>4.8810011909642903E-2</v>
      </c>
      <c r="G280" s="2">
        <v>4.8804293999999998E-2</v>
      </c>
      <c r="H280" s="2">
        <v>0.17350267194114799</v>
      </c>
      <c r="I280" s="2">
        <v>0.17355085039916701</v>
      </c>
      <c r="J280" s="2">
        <v>0.17352675000000001</v>
      </c>
      <c r="K280">
        <f t="shared" si="20"/>
        <v>6.8327531726364299E-4</v>
      </c>
      <c r="L280">
        <f t="shared" si="21"/>
        <v>7.2011906675983894E-4</v>
      </c>
      <c r="M280" s="1">
        <f t="shared" si="22"/>
        <v>7.0255353650129637E-4</v>
      </c>
      <c r="N280" s="1">
        <f t="shared" si="23"/>
        <v>2.342606218830894E-4</v>
      </c>
      <c r="O280" s="1">
        <f t="shared" si="24"/>
        <v>2.7764283039370831E-4</v>
      </c>
    </row>
    <row r="281" spans="4:15" x14ac:dyDescent="0.25">
      <c r="D281" s="5">
        <v>45700</v>
      </c>
      <c r="E281" s="4">
        <v>4.8765025723551098E-2</v>
      </c>
      <c r="F281" s="4">
        <v>4.87769187620418E-2</v>
      </c>
      <c r="G281" s="4">
        <v>4.8770969999999997E-2</v>
      </c>
      <c r="H281" s="4">
        <v>0.17336731332674499</v>
      </c>
      <c r="I281" s="4">
        <v>0.17343647022095801</v>
      </c>
      <c r="J281" s="4">
        <v>0.17340188000000001</v>
      </c>
      <c r="K281">
        <f t="shared" si="20"/>
        <v>3.670021262893286E-3</v>
      </c>
      <c r="L281">
        <f t="shared" si="21"/>
        <v>-4.3348666002451797E-4</v>
      </c>
      <c r="M281" s="1">
        <f t="shared" si="22"/>
        <v>1.5228911129169646E-3</v>
      </c>
      <c r="N281" s="1">
        <f t="shared" si="23"/>
        <v>2.438548688021299E-4</v>
      </c>
      <c r="O281" s="1">
        <f t="shared" si="24"/>
        <v>3.9882436230232246E-4</v>
      </c>
    </row>
    <row r="282" spans="4:15" x14ac:dyDescent="0.25">
      <c r="D282" s="3">
        <v>45699</v>
      </c>
      <c r="E282" s="2">
        <v>4.8586851426267001E-2</v>
      </c>
      <c r="F282" s="2">
        <v>4.8598421523268903E-2</v>
      </c>
      <c r="G282" s="2">
        <v>4.8592634000000003E-2</v>
      </c>
      <c r="H282" s="2">
        <v>0.17345452022479699</v>
      </c>
      <c r="I282" s="2">
        <v>0.17349966167566</v>
      </c>
      <c r="J282" s="2">
        <v>0.17347708000000001</v>
      </c>
      <c r="K282">
        <f t="shared" si="20"/>
        <v>3.4378946085946716E-3</v>
      </c>
      <c r="L282">
        <f t="shared" si="21"/>
        <v>2.2464842209961589E-3</v>
      </c>
      <c r="M282" s="1">
        <f t="shared" si="22"/>
        <v>2.8144979410944433E-3</v>
      </c>
      <c r="N282" s="1">
        <f t="shared" si="23"/>
        <v>2.3810392747802023E-4</v>
      </c>
      <c r="O282" s="1">
        <f t="shared" si="24"/>
        <v>2.6021564844769197E-4</v>
      </c>
    </row>
    <row r="283" spans="4:15" x14ac:dyDescent="0.25">
      <c r="D283" s="5">
        <v>45698</v>
      </c>
      <c r="E283" s="4">
        <v>4.8421225928598099E-2</v>
      </c>
      <c r="F283" s="4">
        <v>4.8431075315165203E-2</v>
      </c>
      <c r="G283" s="4">
        <v>4.8426150000000001E-2</v>
      </c>
      <c r="H283" s="4">
        <v>0.173073261911767</v>
      </c>
      <c r="I283" s="4">
        <v>0.173103221450951</v>
      </c>
      <c r="J283" s="4">
        <v>0.17308824</v>
      </c>
      <c r="K283">
        <f t="shared" si="20"/>
        <v>-3.8620641421486246E-3</v>
      </c>
      <c r="L283">
        <f t="shared" si="21"/>
        <v>-2.6136064848003571E-3</v>
      </c>
      <c r="M283" s="1">
        <f t="shared" si="22"/>
        <v>-3.2088179129674149E-3</v>
      </c>
      <c r="N283" s="1">
        <f t="shared" si="23"/>
        <v>2.0338983311917198E-4</v>
      </c>
      <c r="O283" s="1">
        <f t="shared" si="24"/>
        <v>1.730882420665845E-4</v>
      </c>
    </row>
    <row r="284" spans="4:15" x14ac:dyDescent="0.25">
      <c r="D284" s="3">
        <v>45695</v>
      </c>
      <c r="E284" s="2">
        <v>4.8605035481675898E-2</v>
      </c>
      <c r="F284" s="2">
        <v>4.8622760314103002E-2</v>
      </c>
      <c r="G284" s="2">
        <v>4.8613900000000002E-2</v>
      </c>
      <c r="H284" s="2">
        <v>0.17349665151462601</v>
      </c>
      <c r="I284" s="2">
        <v>0.17358700180530501</v>
      </c>
      <c r="J284" s="2">
        <v>0.17354180999999999</v>
      </c>
      <c r="K284">
        <f t="shared" si="20"/>
        <v>-3.8769253743807797E-3</v>
      </c>
      <c r="L284">
        <f t="shared" si="21"/>
        <v>2.1432035806063787E-3</v>
      </c>
      <c r="M284" s="1">
        <f t="shared" si="22"/>
        <v>-7.2693745457987806E-4</v>
      </c>
      <c r="N284" s="1">
        <f t="shared" si="23"/>
        <v>3.6460420635051196E-4</v>
      </c>
      <c r="O284" s="1">
        <f t="shared" si="24"/>
        <v>5.2062549468049051E-4</v>
      </c>
    </row>
    <row r="285" spans="4:15" x14ac:dyDescent="0.25">
      <c r="D285" s="5">
        <v>45694</v>
      </c>
      <c r="E285" s="4">
        <v>4.8797388363774799E-2</v>
      </c>
      <c r="F285" s="4">
        <v>4.8808820730082303E-2</v>
      </c>
      <c r="G285" s="4">
        <v>4.8803105999999999E-2</v>
      </c>
      <c r="H285" s="4">
        <v>0.17314518223530401</v>
      </c>
      <c r="I285" s="4">
        <v>0.17319616197305099</v>
      </c>
      <c r="J285" s="4">
        <v>0.17317067</v>
      </c>
      <c r="K285">
        <f t="shared" si="20"/>
        <v>1.0102263240526765E-2</v>
      </c>
      <c r="L285">
        <f t="shared" si="21"/>
        <v>4.883329939633585E-3</v>
      </c>
      <c r="M285" s="1">
        <f t="shared" si="22"/>
        <v>7.3714950169588307E-3</v>
      </c>
      <c r="N285" s="1">
        <f t="shared" si="23"/>
        <v>2.3425489163546033E-4</v>
      </c>
      <c r="O285" s="1">
        <f t="shared" si="24"/>
        <v>2.9439013977933541E-4</v>
      </c>
    </row>
    <row r="286" spans="4:15" x14ac:dyDescent="0.25">
      <c r="D286" s="3">
        <v>45693</v>
      </c>
      <c r="E286" s="2">
        <v>4.8309412122763899E-2</v>
      </c>
      <c r="F286" s="2">
        <v>4.83206169576373E-2</v>
      </c>
      <c r="G286" s="2">
        <v>4.8315015000000003E-2</v>
      </c>
      <c r="H286" s="2">
        <v>0.17231278216218099</v>
      </c>
      <c r="I286" s="2">
        <v>0.17234544921841299</v>
      </c>
      <c r="J286" s="2">
        <v>0.17232913</v>
      </c>
      <c r="K286">
        <f t="shared" si="20"/>
        <v>-1.5823110987985722E-2</v>
      </c>
      <c r="L286">
        <f t="shared" si="21"/>
        <v>-6.9189280893993121E-3</v>
      </c>
      <c r="M286" s="1">
        <f t="shared" si="22"/>
        <v>-1.116406318752132E-2</v>
      </c>
      <c r="N286" s="1">
        <f t="shared" si="23"/>
        <v>2.3191206446692293E-4</v>
      </c>
      <c r="O286" s="1">
        <f t="shared" si="24"/>
        <v>1.895620098123009E-4</v>
      </c>
    </row>
    <row r="287" spans="4:15" x14ac:dyDescent="0.25">
      <c r="D287" s="5">
        <v>45692</v>
      </c>
      <c r="E287" s="4">
        <v>4.9085777395999501E-2</v>
      </c>
      <c r="F287" s="4">
        <v>4.9097827421136601E-2</v>
      </c>
      <c r="G287" s="4">
        <v>4.9091799999999998E-2</v>
      </c>
      <c r="H287" s="4">
        <v>0.173517724835592</v>
      </c>
      <c r="I287" s="4">
        <v>0.17354181490029999</v>
      </c>
      <c r="J287" s="4">
        <v>0.17352977</v>
      </c>
      <c r="K287">
        <f t="shared" si="20"/>
        <v>5.817361369223617E-3</v>
      </c>
      <c r="L287">
        <f t="shared" si="21"/>
        <v>1.1097263105884103E-2</v>
      </c>
      <c r="M287" s="1">
        <f t="shared" si="22"/>
        <v>8.580030875570065E-3</v>
      </c>
      <c r="N287" s="1">
        <f t="shared" si="23"/>
        <v>2.4545902038833973E-4</v>
      </c>
      <c r="O287" s="1">
        <f t="shared" si="24"/>
        <v>1.3882381511825522E-4</v>
      </c>
    </row>
    <row r="288" spans="4:15" x14ac:dyDescent="0.25">
      <c r="D288" s="3">
        <v>45691</v>
      </c>
      <c r="E288" s="2">
        <v>4.8796674018698902E-2</v>
      </c>
      <c r="F288" s="2">
        <v>4.8819066774719498E-2</v>
      </c>
      <c r="G288" s="2">
        <v>4.8807866999999998E-2</v>
      </c>
      <c r="H288" s="2">
        <v>0.17160606112607901</v>
      </c>
      <c r="I288" s="2">
        <v>0.17164435290079</v>
      </c>
      <c r="J288" s="2">
        <v>0.17162520000000001</v>
      </c>
      <c r="K288">
        <f t="shared" si="20"/>
        <v>7.4798065884502662E-3</v>
      </c>
      <c r="L288">
        <f t="shared" si="21"/>
        <v>2.5486465536024294E-3</v>
      </c>
      <c r="M288" s="1">
        <f t="shared" si="22"/>
        <v>4.899613596486556E-3</v>
      </c>
      <c r="N288" s="1">
        <f t="shared" si="23"/>
        <v>4.587939895139522E-4</v>
      </c>
      <c r="O288" s="1">
        <f t="shared" si="24"/>
        <v>2.2311277546062966E-4</v>
      </c>
    </row>
    <row r="289" spans="4:15" x14ac:dyDescent="0.25">
      <c r="D289" s="5">
        <v>45688</v>
      </c>
      <c r="E289" s="4">
        <v>4.8439520836259901E-2</v>
      </c>
      <c r="F289" s="4">
        <v>4.84514903678437E-2</v>
      </c>
      <c r="G289" s="4">
        <v>4.8445504E-2</v>
      </c>
      <c r="H289" s="4">
        <v>0.17117425539198899</v>
      </c>
      <c r="I289" s="4">
        <v>0.17120356103407</v>
      </c>
      <c r="J289" s="4">
        <v>0.1711889</v>
      </c>
      <c r="K289">
        <f t="shared" si="20"/>
        <v>-1.0379538836964519E-2</v>
      </c>
      <c r="L289">
        <f t="shared" si="21"/>
        <v>7.3354309080200242E-3</v>
      </c>
      <c r="M289" s="1">
        <f t="shared" si="22"/>
        <v>-1.1103120291047525E-3</v>
      </c>
      <c r="N289" s="1">
        <f t="shared" si="23"/>
        <v>2.4707208296972981E-4</v>
      </c>
      <c r="O289" s="1">
        <f t="shared" si="24"/>
        <v>1.7118891517503017E-4</v>
      </c>
    </row>
    <row r="290" spans="4:15" x14ac:dyDescent="0.25">
      <c r="D290" s="3">
        <v>45687</v>
      </c>
      <c r="E290" s="2">
        <v>4.8947865628319299E-2</v>
      </c>
      <c r="F290" s="2">
        <v>4.8959368619982298E-2</v>
      </c>
      <c r="G290" s="2">
        <v>4.8953620000000003E-2</v>
      </c>
      <c r="H290" s="2">
        <v>0.16992353440951599</v>
      </c>
      <c r="I290" s="2">
        <v>0.169961078912929</v>
      </c>
      <c r="J290" s="2">
        <v>0.16994229999999999</v>
      </c>
      <c r="K290">
        <f t="shared" si="20"/>
        <v>6.7557052760567338E-3</v>
      </c>
      <c r="L290">
        <f t="shared" si="21"/>
        <v>-2.6086530891656912E-3</v>
      </c>
      <c r="M290" s="1">
        <f t="shared" si="22"/>
        <v>1.855874068504124E-3</v>
      </c>
      <c r="N290" s="1">
        <f t="shared" si="23"/>
        <v>2.3497734514829106E-4</v>
      </c>
      <c r="O290" s="1">
        <f t="shared" si="24"/>
        <v>2.2092500462219349E-4</v>
      </c>
    </row>
    <row r="291" spans="4:15" x14ac:dyDescent="0.25">
      <c r="D291" s="5">
        <v>45686</v>
      </c>
      <c r="E291" s="4">
        <v>4.8619214313496702E-2</v>
      </c>
      <c r="F291" s="4">
        <v>4.8631036327384101E-2</v>
      </c>
      <c r="G291" s="4">
        <v>4.8625122999999999E-2</v>
      </c>
      <c r="H291" s="4">
        <v>0.17036065350346699</v>
      </c>
      <c r="I291" s="4">
        <v>0.170412910482098</v>
      </c>
      <c r="J291" s="4">
        <v>0.17038677999999999</v>
      </c>
      <c r="K291">
        <f t="shared" si="20"/>
        <v>-8.5097487006324801E-4</v>
      </c>
      <c r="L291">
        <f t="shared" si="21"/>
        <v>1.0819456785127191E-3</v>
      </c>
      <c r="M291" s="1">
        <f t="shared" si="22"/>
        <v>1.6041150113820012E-4</v>
      </c>
      <c r="N291" s="1">
        <f t="shared" si="23"/>
        <v>2.4312563461072962E-4</v>
      </c>
      <c r="O291" s="1">
        <f t="shared" si="24"/>
        <v>3.066962039602491E-4</v>
      </c>
    </row>
    <row r="292" spans="4:15" x14ac:dyDescent="0.25">
      <c r="D292" s="3">
        <v>45685</v>
      </c>
      <c r="E292" s="2">
        <v>4.86606165300114E-2</v>
      </c>
      <c r="F292" s="2">
        <v>4.86724586892507E-2</v>
      </c>
      <c r="G292" s="2">
        <v>4.8666537000000003E-2</v>
      </c>
      <c r="H292" s="2">
        <v>0.17017800619447901</v>
      </c>
      <c r="I292" s="2">
        <v>0.170227253383267</v>
      </c>
      <c r="J292" s="2">
        <v>0.17020262999999999</v>
      </c>
      <c r="K292">
        <f t="shared" si="20"/>
        <v>4.8179151528116027E-3</v>
      </c>
      <c r="L292">
        <f t="shared" si="21"/>
        <v>1.0441942785054392E-2</v>
      </c>
      <c r="M292" s="1">
        <f t="shared" si="22"/>
        <v>7.7606459870930488E-3</v>
      </c>
      <c r="N292" s="1">
        <f t="shared" si="23"/>
        <v>2.4333268749531778E-4</v>
      </c>
      <c r="O292" s="1">
        <f t="shared" si="24"/>
        <v>2.8934446423059095E-4</v>
      </c>
    </row>
    <row r="293" spans="4:15" x14ac:dyDescent="0.25">
      <c r="D293" s="5">
        <v>45684</v>
      </c>
      <c r="E293" s="4">
        <v>4.8426853658890899E-2</v>
      </c>
      <c r="F293" s="4">
        <v>4.8439520836259901E-2</v>
      </c>
      <c r="G293" s="4">
        <v>4.8433190000000001E-2</v>
      </c>
      <c r="H293" s="4">
        <v>0.168426725952874</v>
      </c>
      <c r="I293" s="4">
        <v>0.16846077390879499</v>
      </c>
      <c r="J293" s="4">
        <v>0.16844375</v>
      </c>
      <c r="K293">
        <f t="shared" si="20"/>
        <v>-2.1843385689438777E-2</v>
      </c>
      <c r="L293">
        <f t="shared" si="21"/>
        <v>-8.7590815631175545E-3</v>
      </c>
      <c r="M293" s="1">
        <f t="shared" si="22"/>
        <v>-1.4997120394279353E-2</v>
      </c>
      <c r="N293" s="1">
        <f t="shared" si="23"/>
        <v>2.6153919180219921E-4</v>
      </c>
      <c r="O293" s="1">
        <f t="shared" si="24"/>
        <v>2.0213249776848666E-4</v>
      </c>
    </row>
    <row r="294" spans="4:15" x14ac:dyDescent="0.25">
      <c r="D294" s="3">
        <v>45681</v>
      </c>
      <c r="E294" s="2">
        <v>4.9508381769033501E-2</v>
      </c>
      <c r="F294" s="2">
        <v>4.9521130666455401E-2</v>
      </c>
      <c r="G294" s="2">
        <v>4.9514759999999998E-2</v>
      </c>
      <c r="H294" s="2">
        <v>0.16990332500807001</v>
      </c>
      <c r="I294" s="2">
        <v>0.169961078912929</v>
      </c>
      <c r="J294" s="2">
        <v>0.16993220000000001</v>
      </c>
      <c r="K294">
        <f t="shared" si="20"/>
        <v>1.2849121671557828E-2</v>
      </c>
      <c r="L294">
        <f t="shared" si="21"/>
        <v>5.9646127388293113E-3</v>
      </c>
      <c r="M294" s="1">
        <f t="shared" si="22"/>
        <v>9.2468533258123192E-3</v>
      </c>
      <c r="N294" s="1">
        <f t="shared" si="23"/>
        <v>2.5747670839766987E-4</v>
      </c>
      <c r="O294" s="1">
        <f t="shared" si="24"/>
        <v>3.3986439803043223E-4</v>
      </c>
    </row>
    <row r="295" spans="4:15" x14ac:dyDescent="0.25">
      <c r="D295" s="5">
        <v>45680</v>
      </c>
      <c r="E295" s="4">
        <v>4.8880155634415501E-2</v>
      </c>
      <c r="F295" s="4">
        <v>4.8893061096769101E-2</v>
      </c>
      <c r="G295" s="4">
        <v>4.8886609999999997E-2</v>
      </c>
      <c r="H295" s="4">
        <v>0.16891606560700001</v>
      </c>
      <c r="I295" s="4">
        <v>0.16893318692457099</v>
      </c>
      <c r="J295" s="4">
        <v>0.16892462999999999</v>
      </c>
      <c r="K295">
        <f t="shared" si="20"/>
        <v>4.6931817191608882E-3</v>
      </c>
      <c r="L295">
        <f t="shared" si="21"/>
        <v>3.8261056209809574E-3</v>
      </c>
      <c r="M295" s="1">
        <f t="shared" si="22"/>
        <v>4.2394905681511982E-3</v>
      </c>
      <c r="N295" s="1">
        <f t="shared" si="23"/>
        <v>2.6398767174898004E-4</v>
      </c>
      <c r="O295" s="1">
        <f t="shared" si="24"/>
        <v>1.0135477325584994E-4</v>
      </c>
    </row>
    <row r="296" spans="4:15" x14ac:dyDescent="0.25">
      <c r="D296" s="3">
        <v>45679</v>
      </c>
      <c r="E296" s="2">
        <v>4.8653987437540402E-2</v>
      </c>
      <c r="F296" s="2">
        <v>4.8662510888236803E-2</v>
      </c>
      <c r="G296" s="2">
        <v>4.8658248000000001E-2</v>
      </c>
      <c r="H296" s="2">
        <v>0.16825386142612</v>
      </c>
      <c r="I296" s="2">
        <v>0.168307666414205</v>
      </c>
      <c r="J296" s="2">
        <v>0.16828077</v>
      </c>
      <c r="K296">
        <f t="shared" si="20"/>
        <v>4.9144689102220696E-3</v>
      </c>
      <c r="L296">
        <f t="shared" si="21"/>
        <v>1.5027501461643888E-2</v>
      </c>
      <c r="M296" s="1">
        <f t="shared" si="22"/>
        <v>1.020603834465123E-2</v>
      </c>
      <c r="N296" s="1">
        <f t="shared" si="23"/>
        <v>1.7516969982972266E-4</v>
      </c>
      <c r="O296" s="1">
        <f t="shared" si="24"/>
        <v>3.1973343172243238E-4</v>
      </c>
    </row>
    <row r="297" spans="4:15" x14ac:dyDescent="0.25">
      <c r="D297" s="5">
        <v>45678</v>
      </c>
      <c r="E297" s="4">
        <v>4.8413489934835401E-2</v>
      </c>
      <c r="F297" s="4">
        <v>4.8427088176042202E-2</v>
      </c>
      <c r="G297" s="4">
        <v>4.8420287999999999E-2</v>
      </c>
      <c r="H297" s="4">
        <v>0.16576600470775499</v>
      </c>
      <c r="I297" s="4">
        <v>0.165812731101494</v>
      </c>
      <c r="J297" s="4">
        <v>0.16578936999999999</v>
      </c>
      <c r="K297">
        <f t="shared" si="20"/>
        <v>-4.7209696747353425E-3</v>
      </c>
      <c r="L297">
        <f t="shared" si="21"/>
        <v>2.1967530249331624E-3</v>
      </c>
      <c r="M297" s="1">
        <f t="shared" si="22"/>
        <v>-1.1013224712586598E-3</v>
      </c>
      <c r="N297" s="1">
        <f t="shared" si="23"/>
        <v>2.8083767710760299E-4</v>
      </c>
      <c r="O297" s="1">
        <f t="shared" si="24"/>
        <v>2.8184191627611923E-4</v>
      </c>
    </row>
    <row r="298" spans="4:15" x14ac:dyDescent="0.25">
      <c r="D298" s="3">
        <v>45677</v>
      </c>
      <c r="E298" s="2">
        <v>4.8638605433904997E-2</v>
      </c>
      <c r="F298" s="2">
        <v>4.8661326897061798E-2</v>
      </c>
      <c r="G298" s="2">
        <v>4.8649962999999997E-2</v>
      </c>
      <c r="H298" s="2">
        <v>0.165398610651671</v>
      </c>
      <c r="I298" s="2">
        <v>0.16545334215751201</v>
      </c>
      <c r="J298" s="2">
        <v>0.16542597000000001</v>
      </c>
      <c r="K298">
        <f t="shared" si="20"/>
        <v>6.3244176438568278E-3</v>
      </c>
      <c r="L298">
        <f t="shared" si="21"/>
        <v>-1.224183751212693E-3</v>
      </c>
      <c r="M298" s="1">
        <f t="shared" si="22"/>
        <v>2.3746678322413813E-3</v>
      </c>
      <c r="N298" s="1">
        <f t="shared" si="23"/>
        <v>4.6703968010830673E-4</v>
      </c>
      <c r="O298" s="1">
        <f t="shared" si="24"/>
        <v>3.3085195656407682E-4</v>
      </c>
    </row>
    <row r="299" spans="4:15" x14ac:dyDescent="0.25">
      <c r="D299" s="5">
        <v>45674</v>
      </c>
      <c r="E299" s="4">
        <v>4.8339303237283103E-2</v>
      </c>
      <c r="F299" s="4">
        <v>4.8349119320791598E-2</v>
      </c>
      <c r="G299" s="4">
        <v>4.8344214000000003E-2</v>
      </c>
      <c r="H299" s="4">
        <v>0.16561775422325301</v>
      </c>
      <c r="I299" s="4">
        <v>0.165639700523421</v>
      </c>
      <c r="J299" s="4">
        <v>0.16562873</v>
      </c>
      <c r="K299">
        <f t="shared" si="20"/>
        <v>3.069989757709779E-3</v>
      </c>
      <c r="L299">
        <f t="shared" si="21"/>
        <v>-1.8549862495625957E-3</v>
      </c>
      <c r="M299" s="1">
        <f t="shared" si="22"/>
        <v>4.9303251240599461E-4</v>
      </c>
      <c r="N299" s="1">
        <f t="shared" si="23"/>
        <v>2.0304567385239845E-4</v>
      </c>
      <c r="O299" s="1">
        <f t="shared" si="24"/>
        <v>1.3250297921137523E-4</v>
      </c>
    </row>
    <row r="300" spans="4:15" x14ac:dyDescent="0.25">
      <c r="D300" s="3">
        <v>45673</v>
      </c>
      <c r="E300" s="2">
        <v>4.81902164222619E-2</v>
      </c>
      <c r="F300" s="2">
        <v>4.8202295393306602E-2</v>
      </c>
      <c r="G300" s="2">
        <v>4.8196252000000002E-2</v>
      </c>
      <c r="H300" s="2">
        <v>0.16591452083886399</v>
      </c>
      <c r="I300" s="2">
        <v>0.16595857673924599</v>
      </c>
      <c r="J300" s="2">
        <v>0.16593653999999999</v>
      </c>
      <c r="K300">
        <f t="shared" si="20"/>
        <v>-1.2916662203624418E-2</v>
      </c>
      <c r="L300">
        <f t="shared" si="21"/>
        <v>2.3978552563856947E-3</v>
      </c>
      <c r="M300" s="1">
        <f t="shared" si="22"/>
        <v>-4.9034542877626312E-3</v>
      </c>
      <c r="N300" s="1">
        <f t="shared" si="23"/>
        <v>2.5062054710606294E-4</v>
      </c>
      <c r="O300" s="1">
        <f t="shared" si="24"/>
        <v>2.6549848744590094E-4</v>
      </c>
    </row>
    <row r="301" spans="4:15" x14ac:dyDescent="0.25">
      <c r="D301" s="5">
        <v>45672</v>
      </c>
      <c r="E301" s="4">
        <v>4.8822641988448601E-2</v>
      </c>
      <c r="F301" s="4">
        <v>4.8831224638282697E-2</v>
      </c>
      <c r="G301" s="4">
        <v>4.8826933000000003E-2</v>
      </c>
      <c r="H301" s="4">
        <v>0.16551906779660999</v>
      </c>
      <c r="I301" s="4">
        <v>0.16556017284482</v>
      </c>
      <c r="J301" s="4">
        <v>0.16553960000000001</v>
      </c>
      <c r="K301">
        <f t="shared" si="20"/>
        <v>3.2955789519495404E-4</v>
      </c>
      <c r="L301">
        <f t="shared" si="21"/>
        <v>1.9366949276362622E-3</v>
      </c>
      <c r="M301" s="1">
        <f t="shared" si="22"/>
        <v>1.1704804527526249E-3</v>
      </c>
      <c r="N301" s="1">
        <f t="shared" si="23"/>
        <v>1.7577695969755644E-4</v>
      </c>
      <c r="O301" s="1">
        <f t="shared" si="24"/>
        <v>2.4830945713294608E-4</v>
      </c>
    </row>
    <row r="302" spans="4:15" x14ac:dyDescent="0.25">
      <c r="D302" s="3">
        <v>45671</v>
      </c>
      <c r="E302" s="2">
        <v>4.8804056593184E-2</v>
      </c>
      <c r="F302" s="2">
        <v>4.8817636835836099E-2</v>
      </c>
      <c r="G302" s="2">
        <v>4.8810846999999997E-2</v>
      </c>
      <c r="H302" s="2">
        <v>0.16520460590441299</v>
      </c>
      <c r="I302" s="2">
        <v>0.16523463317911399</v>
      </c>
      <c r="J302" s="2">
        <v>0.16521962000000001</v>
      </c>
      <c r="K302">
        <f t="shared" si="20"/>
        <v>1.4923904900306928E-2</v>
      </c>
      <c r="L302">
        <f t="shared" si="21"/>
        <v>8.9631331888748722E-3</v>
      </c>
      <c r="M302" s="1">
        <f t="shared" si="22"/>
        <v>1.1804975218884184E-2</v>
      </c>
      <c r="N302" s="1">
        <f t="shared" si="23"/>
        <v>2.7822181926281573E-4</v>
      </c>
      <c r="O302" s="1">
        <f t="shared" si="24"/>
        <v>1.8174157948674602E-4</v>
      </c>
    </row>
    <row r="303" spans="4:15" x14ac:dyDescent="0.25">
      <c r="D303" s="5">
        <v>45670</v>
      </c>
      <c r="E303" s="4">
        <v>4.8087095347092698E-2</v>
      </c>
      <c r="F303" s="4">
        <v>4.8099122672002503E-2</v>
      </c>
      <c r="G303" s="4">
        <v>4.8093110000000001E-2</v>
      </c>
      <c r="H303" s="4">
        <v>0.16373043421311201</v>
      </c>
      <c r="I303" s="4">
        <v>0.163773337700622</v>
      </c>
      <c r="J303" s="4">
        <v>0.16375189000000001</v>
      </c>
      <c r="K303">
        <f t="shared" si="20"/>
        <v>-4.3283760691545936E-3</v>
      </c>
      <c r="L303">
        <f t="shared" si="21"/>
        <v>8.3519114723062948E-4</v>
      </c>
      <c r="M303" s="1">
        <f t="shared" si="22"/>
        <v>-1.6265777395325803E-3</v>
      </c>
      <c r="N303" s="1">
        <f t="shared" si="23"/>
        <v>2.5008415778903008E-4</v>
      </c>
      <c r="O303" s="1">
        <f t="shared" si="24"/>
        <v>2.6200300656064256E-4</v>
      </c>
    </row>
    <row r="304" spans="4:15" x14ac:dyDescent="0.25">
      <c r="D304" s="3">
        <v>45667</v>
      </c>
      <c r="E304" s="2">
        <v>4.82970461526573E-2</v>
      </c>
      <c r="F304" s="2">
        <v>4.8307311794713197E-2</v>
      </c>
      <c r="G304" s="2">
        <v>4.830218E-2</v>
      </c>
      <c r="H304" s="2">
        <v>0.16358847682769201</v>
      </c>
      <c r="I304" s="2">
        <v>0.163642016724214</v>
      </c>
      <c r="J304" s="2">
        <v>0.16361524</v>
      </c>
      <c r="K304">
        <f t="shared" si="20"/>
        <v>-1.1326817718467219E-2</v>
      </c>
      <c r="L304">
        <f t="shared" si="21"/>
        <v>-6.781906466024612E-3</v>
      </c>
      <c r="M304" s="1">
        <f t="shared" si="22"/>
        <v>-8.948726543210668E-3</v>
      </c>
      <c r="N304" s="1">
        <f t="shared" si="23"/>
        <v>2.1252958056752134E-4</v>
      </c>
      <c r="O304" s="1">
        <f t="shared" si="24"/>
        <v>3.2723049834469501E-4</v>
      </c>
    </row>
    <row r="305" spans="4:15" x14ac:dyDescent="0.25">
      <c r="D305" s="5">
        <v>45666</v>
      </c>
      <c r="E305" s="4">
        <v>4.88507852763733E-2</v>
      </c>
      <c r="F305" s="4">
        <v>4.8860332738866002E-2</v>
      </c>
      <c r="G305" s="4">
        <v>4.8855558E-2</v>
      </c>
      <c r="H305" s="4">
        <v>0.16470937031607699</v>
      </c>
      <c r="I305" s="4">
        <v>0.164755502833795</v>
      </c>
      <c r="J305" s="4">
        <v>0.16473244000000001</v>
      </c>
      <c r="K305">
        <f t="shared" si="20"/>
        <v>-4.885628842771883E-3</v>
      </c>
      <c r="L305">
        <f t="shared" si="21"/>
        <v>8.2943576076315306E-3</v>
      </c>
      <c r="M305" s="1">
        <f t="shared" si="22"/>
        <v>2.0107015203040149E-3</v>
      </c>
      <c r="N305" s="1">
        <f t="shared" si="23"/>
        <v>1.9542223819657317E-4</v>
      </c>
      <c r="O305" s="1">
        <f t="shared" si="24"/>
        <v>2.800451308680405E-4</v>
      </c>
    </row>
    <row r="306" spans="4:15" x14ac:dyDescent="0.25">
      <c r="D306" s="3">
        <v>45665</v>
      </c>
      <c r="E306" s="2">
        <v>4.90893917824358E-2</v>
      </c>
      <c r="F306" s="2">
        <v>4.9101443582441298E-2</v>
      </c>
      <c r="G306" s="2">
        <v>4.9095420000000001E-2</v>
      </c>
      <c r="H306" s="2">
        <v>0.16335598536330401</v>
      </c>
      <c r="I306" s="2">
        <v>0.16339869281045799</v>
      </c>
      <c r="J306" s="2">
        <v>0.16337732999999999</v>
      </c>
      <c r="K306">
        <f t="shared" si="20"/>
        <v>-2.4424356605765585E-3</v>
      </c>
      <c r="L306">
        <f t="shared" si="21"/>
        <v>-9.1736926646482919E-3</v>
      </c>
      <c r="M306" s="1">
        <f t="shared" si="22"/>
        <v>-5.9645160688933923E-3</v>
      </c>
      <c r="N306" s="1">
        <f t="shared" si="23"/>
        <v>2.4547707312613641E-4</v>
      </c>
      <c r="O306" s="1">
        <f t="shared" si="24"/>
        <v>2.6140375261355693E-4</v>
      </c>
    </row>
    <row r="307" spans="4:15" x14ac:dyDescent="0.25">
      <c r="D307" s="5">
        <v>45664</v>
      </c>
      <c r="E307" s="4">
        <v>4.92106609975985E-2</v>
      </c>
      <c r="F307" s="4">
        <v>4.9220591926838503E-2</v>
      </c>
      <c r="G307" s="4">
        <v>4.9215625999999998E-2</v>
      </c>
      <c r="H307" s="4">
        <v>0.16487230639869399</v>
      </c>
      <c r="I307" s="4">
        <v>0.16490765171503999</v>
      </c>
      <c r="J307" s="4">
        <v>0.16488997999999999</v>
      </c>
      <c r="K307">
        <f t="shared" si="20"/>
        <v>-1.3532487834233553E-4</v>
      </c>
      <c r="L307">
        <f t="shared" si="21"/>
        <v>8.0466451342806611E-3</v>
      </c>
      <c r="M307" s="1">
        <f t="shared" si="22"/>
        <v>4.1458303747498541E-3</v>
      </c>
      <c r="N307" s="1">
        <f t="shared" si="23"/>
        <v>2.0178406833639914E-4</v>
      </c>
      <c r="O307" s="1">
        <f t="shared" si="24"/>
        <v>2.1435696908931118E-4</v>
      </c>
    </row>
    <row r="308" spans="4:15" x14ac:dyDescent="0.25">
      <c r="D308" s="3">
        <v>45663</v>
      </c>
      <c r="E308" s="2">
        <v>4.9215504852648799E-2</v>
      </c>
      <c r="F308" s="2">
        <v>4.92290727211862E-2</v>
      </c>
      <c r="G308" s="2">
        <v>4.9222287000000003E-2</v>
      </c>
      <c r="H308" s="2">
        <v>0.16355636970281801</v>
      </c>
      <c r="I308" s="2">
        <v>0.16359115299044599</v>
      </c>
      <c r="J308" s="2">
        <v>0.16357376000000001</v>
      </c>
      <c r="K308">
        <f t="shared" si="20"/>
        <v>1.6858616841119112E-2</v>
      </c>
      <c r="L308">
        <f t="shared" si="21"/>
        <v>7.4507886661097089E-3</v>
      </c>
      <c r="M308" s="1">
        <f t="shared" si="22"/>
        <v>1.1936040377322182E-2</v>
      </c>
      <c r="N308" s="1">
        <f t="shared" si="23"/>
        <v>2.7564482197669468E-4</v>
      </c>
      <c r="O308" s="1">
        <f t="shared" si="24"/>
        <v>2.1264588909607161E-4</v>
      </c>
    </row>
    <row r="309" spans="4:15" x14ac:dyDescent="0.25">
      <c r="D309" s="5">
        <v>45660</v>
      </c>
      <c r="E309" s="4">
        <v>4.8402007715279999E-2</v>
      </c>
      <c r="F309" s="4">
        <v>4.8410443100785697E-2</v>
      </c>
      <c r="G309" s="4">
        <v>4.8406224999999997E-2</v>
      </c>
      <c r="H309" s="4">
        <v>0.162337662337662</v>
      </c>
      <c r="I309" s="4">
        <v>0.16239038648911999</v>
      </c>
      <c r="J309" s="4">
        <v>0.16236402</v>
      </c>
      <c r="K309">
        <f t="shared" si="20"/>
        <v>-3.8725882332879547E-4</v>
      </c>
      <c r="L309">
        <f t="shared" si="21"/>
        <v>4.497421290796666E-3</v>
      </c>
      <c r="M309" s="1">
        <f t="shared" si="22"/>
        <v>2.1686138941219408E-3</v>
      </c>
      <c r="N309" s="1">
        <f t="shared" si="23"/>
        <v>1.7426241161540464E-4</v>
      </c>
      <c r="O309" s="1">
        <f t="shared" si="24"/>
        <v>3.2472804909603148E-4</v>
      </c>
    </row>
    <row r="310" spans="4:15" x14ac:dyDescent="0.25">
      <c r="D310" s="3">
        <v>45659</v>
      </c>
      <c r="E310" s="2">
        <v>4.8418881427001299E-2</v>
      </c>
      <c r="F310" s="2">
        <v>4.8431075315165203E-2</v>
      </c>
      <c r="G310" s="2">
        <v>4.8424978E-2</v>
      </c>
      <c r="H310" s="2">
        <v>0.16161354968000499</v>
      </c>
      <c r="I310" s="2">
        <v>0.16166057745158299</v>
      </c>
      <c r="J310" s="2">
        <v>0.16163706999999999</v>
      </c>
      <c r="K310">
        <f t="shared" si="20"/>
        <v>6.8888067806012199E-3</v>
      </c>
      <c r="L310">
        <f t="shared" si="21"/>
        <v>-1.4291239055924665E-3</v>
      </c>
      <c r="M310" s="1">
        <f t="shared" si="22"/>
        <v>2.5365111113289283E-3</v>
      </c>
      <c r="N310" s="1">
        <f t="shared" si="23"/>
        <v>2.5180988546663158E-4</v>
      </c>
      <c r="O310" s="1">
        <f t="shared" si="24"/>
        <v>2.9094669668288948E-4</v>
      </c>
    </row>
    <row r="311" spans="4:15" x14ac:dyDescent="0.25">
      <c r="D311" s="5">
        <v>45658</v>
      </c>
      <c r="E311" s="4">
        <v>4.8087095347092698E-2</v>
      </c>
      <c r="F311" s="4">
        <v>4.8100279462623699E-2</v>
      </c>
      <c r="G311" s="4">
        <v>4.8093669999999998E-2</v>
      </c>
      <c r="H311" s="4">
        <v>0.161854201735077</v>
      </c>
      <c r="I311" s="4">
        <v>0.161883023327344</v>
      </c>
      <c r="J311" s="4">
        <v>0.1618684</v>
      </c>
      <c r="K311">
        <f t="shared" si="20"/>
        <v>-3.7426948840124652E-7</v>
      </c>
      <c r="L311">
        <f t="shared" si="21"/>
        <v>-1.3591269264479067E-6</v>
      </c>
      <c r="M311" s="1">
        <f t="shared" si="22"/>
        <v>-8.8958885377847223E-7</v>
      </c>
      <c r="N311" s="1">
        <f t="shared" si="23"/>
        <v>2.7413411226468788E-4</v>
      </c>
      <c r="O311" s="1">
        <f t="shared" si="24"/>
        <v>1.7805570616005135E-4</v>
      </c>
    </row>
    <row r="312" spans="4:15" x14ac:dyDescent="0.25">
      <c r="D312" s="3">
        <v>45657</v>
      </c>
      <c r="E312" s="2">
        <v>4.8087095347092698E-2</v>
      </c>
      <c r="F312" s="2">
        <v>4.8100279462623699E-2</v>
      </c>
      <c r="G312" s="2">
        <v>4.8093688000000002E-2</v>
      </c>
      <c r="H312" s="2">
        <v>0.161854201735077</v>
      </c>
      <c r="I312" s="2">
        <v>0.161883023327344</v>
      </c>
      <c r="J312" s="2">
        <v>0.16186861999999999</v>
      </c>
      <c r="K312">
        <f t="shared" si="20"/>
        <v>-1.4367974272652573E-2</v>
      </c>
      <c r="L312">
        <f t="shared" si="21"/>
        <v>7.4055237311774214E-3</v>
      </c>
      <c r="M312" s="1">
        <f t="shared" si="22"/>
        <v>-2.9751525911409626E-3</v>
      </c>
      <c r="N312" s="1">
        <f t="shared" si="23"/>
        <v>2.7413400966465394E-4</v>
      </c>
      <c r="O312" s="1">
        <f t="shared" si="24"/>
        <v>1.7805546415974668E-4</v>
      </c>
    </row>
    <row r="313" spans="4:15" x14ac:dyDescent="0.25">
      <c r="D313" s="5">
        <v>45656</v>
      </c>
      <c r="E313" s="4">
        <v>4.8787151415803101E-2</v>
      </c>
      <c r="F313" s="4">
        <v>4.8802389364983302E-2</v>
      </c>
      <c r="G313" s="4">
        <v>4.8794770000000001E-2</v>
      </c>
      <c r="H313" s="4">
        <v>0.16065547433528801</v>
      </c>
      <c r="I313" s="4">
        <v>0.16070194610056701</v>
      </c>
      <c r="J313" s="4">
        <v>0.16067871</v>
      </c>
      <c r="K313">
        <f t="shared" si="20"/>
        <v>-1.2686716805164977E-2</v>
      </c>
      <c r="L313">
        <f t="shared" si="21"/>
        <v>-3.5349120002261536E-3</v>
      </c>
      <c r="M313" s="1">
        <f t="shared" si="22"/>
        <v>-7.8981026748893169E-3</v>
      </c>
      <c r="N313" s="1">
        <f t="shared" si="23"/>
        <v>3.1228652538378585E-4</v>
      </c>
      <c r="O313" s="1">
        <f t="shared" si="24"/>
        <v>2.8922167273436045E-4</v>
      </c>
    </row>
    <row r="314" spans="4:15" x14ac:dyDescent="0.25">
      <c r="D314" s="3">
        <v>45653</v>
      </c>
      <c r="E314" s="2">
        <v>4.9412973870419402E-2</v>
      </c>
      <c r="F314" s="2">
        <v>4.9430559949383099E-2</v>
      </c>
      <c r="G314" s="2">
        <v>4.9421769999999997E-2</v>
      </c>
      <c r="H314" s="2">
        <v>0.161235710485158</v>
      </c>
      <c r="I314" s="2">
        <v>0.161261711631807</v>
      </c>
      <c r="J314" s="2">
        <v>0.16124870999999999</v>
      </c>
      <c r="K314">
        <f t="shared" si="20"/>
        <v>-3.0393502131165206E-3</v>
      </c>
      <c r="L314">
        <f t="shared" si="21"/>
        <v>-7.8769966827448856E-3</v>
      </c>
      <c r="M314" s="1">
        <f t="shared" si="22"/>
        <v>-5.5706129241873559E-3</v>
      </c>
      <c r="N314" s="1">
        <f t="shared" si="23"/>
        <v>3.5583668823873938E-4</v>
      </c>
      <c r="O314" s="1">
        <f t="shared" si="24"/>
        <v>1.6124871106873488E-4</v>
      </c>
    </row>
    <row r="315" spans="4:15" x14ac:dyDescent="0.25">
      <c r="D315" s="5">
        <v>45652</v>
      </c>
      <c r="E315" s="4">
        <v>4.9566540602431701E-2</v>
      </c>
      <c r="F315" s="4">
        <v>4.9578336250192097E-2</v>
      </c>
      <c r="G315" s="4">
        <v>4.9572438000000003E-2</v>
      </c>
      <c r="H315" s="4">
        <v>0.16251970551429401</v>
      </c>
      <c r="I315" s="4">
        <v>0.16253819647617199</v>
      </c>
      <c r="J315" s="4">
        <v>0.16252895000000001</v>
      </c>
      <c r="K315">
        <f t="shared" si="20"/>
        <v>-1.863389977712071E-4</v>
      </c>
      <c r="L315">
        <f t="shared" si="21"/>
        <v>6.441814153277825E-3</v>
      </c>
      <c r="M315" s="1">
        <f t="shared" si="22"/>
        <v>3.2817930825389009E-3</v>
      </c>
      <c r="N315" s="1">
        <f t="shared" si="23"/>
        <v>2.3794770312478633E-4</v>
      </c>
      <c r="O315" s="1">
        <f t="shared" si="24"/>
        <v>1.137702660232288E-4</v>
      </c>
    </row>
    <row r="316" spans="4:15" x14ac:dyDescent="0.25">
      <c r="D316" s="3">
        <v>45651</v>
      </c>
      <c r="E316" s="2">
        <v>4.9575386811955599E-2</v>
      </c>
      <c r="F316" s="2">
        <v>4.9587924348662597E-2</v>
      </c>
      <c r="G316" s="2">
        <v>4.9581676999999998E-2</v>
      </c>
      <c r="H316" s="2">
        <v>0.16147784523963299</v>
      </c>
      <c r="I316" s="2">
        <v>0.161498708010336</v>
      </c>
      <c r="J316" s="2">
        <v>0.16148867</v>
      </c>
      <c r="K316">
        <f t="shared" si="20"/>
        <v>4.6388125718443973E-7</v>
      </c>
      <c r="L316">
        <f t="shared" si="21"/>
        <v>2.4150359394514709E-6</v>
      </c>
      <c r="M316" s="1">
        <f t="shared" si="22"/>
        <v>1.4848085038861216E-6</v>
      </c>
      <c r="N316" s="1">
        <f t="shared" si="23"/>
        <v>2.5286633017673554E-4</v>
      </c>
      <c r="O316" s="1">
        <f t="shared" si="24"/>
        <v>1.2919030606303085E-4</v>
      </c>
    </row>
    <row r="317" spans="4:15" x14ac:dyDescent="0.25">
      <c r="D317" s="5">
        <v>45650</v>
      </c>
      <c r="E317" s="4">
        <v>4.9575386811955599E-2</v>
      </c>
      <c r="F317" s="4">
        <v>4.9587924348662597E-2</v>
      </c>
      <c r="G317" s="4">
        <v>4.9581654000000003E-2</v>
      </c>
      <c r="H317" s="4">
        <v>0.16147784523963299</v>
      </c>
      <c r="I317" s="4">
        <v>0.161498708010336</v>
      </c>
      <c r="J317" s="4">
        <v>0.16148828000000001</v>
      </c>
      <c r="K317">
        <f t="shared" si="20"/>
        <v>1.0288165544858341E-3</v>
      </c>
      <c r="L317">
        <f t="shared" si="21"/>
        <v>-3.9079864928756036E-3</v>
      </c>
      <c r="M317" s="1">
        <f t="shared" si="22"/>
        <v>-1.5543291020108177E-3</v>
      </c>
      <c r="N317" s="1">
        <f t="shared" si="23"/>
        <v>2.528664474766867E-4</v>
      </c>
      <c r="O317" s="1">
        <f t="shared" si="24"/>
        <v>1.2919061806226302E-4</v>
      </c>
    </row>
    <row r="318" spans="4:15" x14ac:dyDescent="0.25">
      <c r="D318" s="3">
        <v>45649</v>
      </c>
      <c r="E318" s="2">
        <v>4.9524809453295598E-2</v>
      </c>
      <c r="F318" s="2">
        <v>4.9536585245032697E-2</v>
      </c>
      <c r="G318" s="2">
        <v>4.9530695999999999E-2</v>
      </c>
      <c r="H318" s="2">
        <v>0.16210608222020501</v>
      </c>
      <c r="I318" s="2">
        <v>0.162137622413905</v>
      </c>
      <c r="J318" s="2">
        <v>0.16212185000000001</v>
      </c>
      <c r="K318">
        <f t="shared" si="20"/>
        <v>-4.2596101770354666E-3</v>
      </c>
      <c r="L318">
        <f t="shared" si="21"/>
        <v>-1.3812729724508088E-2</v>
      </c>
      <c r="M318" s="1">
        <f t="shared" si="22"/>
        <v>-9.2582092761500801E-3</v>
      </c>
      <c r="N318" s="1">
        <f t="shared" si="23"/>
        <v>2.3774735039253406E-4</v>
      </c>
      <c r="O318" s="1">
        <f t="shared" si="24"/>
        <v>1.9454622371998007E-4</v>
      </c>
    </row>
    <row r="319" spans="4:15" x14ac:dyDescent="0.25">
      <c r="D319" s="5">
        <v>45646</v>
      </c>
      <c r="E319" s="4">
        <v>4.9737881365205398E-2</v>
      </c>
      <c r="F319" s="4">
        <v>4.9747283798304599E-2</v>
      </c>
      <c r="G319" s="4">
        <v>4.9742580000000002E-2</v>
      </c>
      <c r="H319" s="4">
        <v>0.16436014595181</v>
      </c>
      <c r="I319" s="4">
        <v>0.16442500575487501</v>
      </c>
      <c r="J319" s="4">
        <v>0.16439255999999999</v>
      </c>
      <c r="K319">
        <f t="shared" si="20"/>
        <v>1.95488244682962E-2</v>
      </c>
      <c r="L319">
        <f t="shared" si="21"/>
        <v>8.967512537633171E-3</v>
      </c>
      <c r="M319" s="1">
        <f t="shared" si="22"/>
        <v>1.4012231314486458E-2</v>
      </c>
      <c r="N319" s="1">
        <f t="shared" si="23"/>
        <v>1.8902182193205436E-4</v>
      </c>
      <c r="O319" s="1">
        <f t="shared" si="24"/>
        <v>3.9454220473848594E-4</v>
      </c>
    </row>
    <row r="320" spans="4:15" x14ac:dyDescent="0.25">
      <c r="D320" s="3">
        <v>45645</v>
      </c>
      <c r="E320" s="2">
        <v>4.8782867456949097E-2</v>
      </c>
      <c r="F320" s="2">
        <v>4.8794769200741703E-2</v>
      </c>
      <c r="G320" s="2">
        <v>4.8788815999999999E-2</v>
      </c>
      <c r="H320" s="2">
        <v>0.162895632768085</v>
      </c>
      <c r="I320" s="2">
        <v>0.162967308757863</v>
      </c>
      <c r="J320" s="2">
        <v>0.16293146999999999</v>
      </c>
      <c r="K320">
        <f t="shared" si="20"/>
        <v>-1.6929790581217352E-2</v>
      </c>
      <c r="L320">
        <f t="shared" si="21"/>
        <v>7.7311261790078412E-3</v>
      </c>
      <c r="M320" s="1">
        <f t="shared" si="22"/>
        <v>-4.0261484056502593E-3</v>
      </c>
      <c r="N320" s="1">
        <f t="shared" si="23"/>
        <v>2.4394409966016714E-4</v>
      </c>
      <c r="O320" s="1">
        <f t="shared" si="24"/>
        <v>4.3991495183835772E-4</v>
      </c>
    </row>
    <row r="321" spans="4:15" x14ac:dyDescent="0.25">
      <c r="D321" s="5">
        <v>45644</v>
      </c>
      <c r="E321" s="4">
        <v>4.9622619975089398E-2</v>
      </c>
      <c r="F321" s="4">
        <v>4.9635427782934401E-2</v>
      </c>
      <c r="G321" s="4">
        <v>4.9629025E-2</v>
      </c>
      <c r="H321" s="4">
        <v>0.161647511436561</v>
      </c>
      <c r="I321" s="4">
        <v>0.161715477788379</v>
      </c>
      <c r="J321" s="4">
        <v>0.16168149000000001</v>
      </c>
      <c r="K321">
        <f t="shared" si="20"/>
        <v>4.5410275630382024E-3</v>
      </c>
      <c r="L321">
        <f t="shared" si="21"/>
        <v>-2.7162285651194384E-3</v>
      </c>
      <c r="M321" s="1">
        <f t="shared" si="22"/>
        <v>7.4372200604346916E-4</v>
      </c>
      <c r="N321" s="1">
        <f t="shared" si="23"/>
        <v>2.5807091404682629E-4</v>
      </c>
      <c r="O321" s="1">
        <f t="shared" si="24"/>
        <v>4.2037187941547323E-4</v>
      </c>
    </row>
    <row r="322" spans="4:15" x14ac:dyDescent="0.25">
      <c r="D322" s="3">
        <v>45643</v>
      </c>
      <c r="E322" s="2">
        <v>4.9398084342289199E-2</v>
      </c>
      <c r="F322" s="2">
        <v>4.9411264780144598E-2</v>
      </c>
      <c r="G322" s="2">
        <v>4.9404677000000001E-2</v>
      </c>
      <c r="H322" s="2">
        <v>0.16210871010099401</v>
      </c>
      <c r="I322" s="2">
        <v>0.16213499359566799</v>
      </c>
      <c r="J322" s="2">
        <v>0.16212185000000001</v>
      </c>
      <c r="K322">
        <f t="shared" si="20"/>
        <v>-3.4088059337312737E-3</v>
      </c>
      <c r="L322">
        <f t="shared" si="21"/>
        <v>-1.6204048554497197E-2</v>
      </c>
      <c r="M322" s="1">
        <f t="shared" si="22"/>
        <v>-1.0103821935497345E-2</v>
      </c>
      <c r="N322" s="1">
        <f t="shared" si="23"/>
        <v>2.6678522471464182E-4</v>
      </c>
      <c r="O322" s="1">
        <f t="shared" si="24"/>
        <v>1.6212185263111834E-4</v>
      </c>
    </row>
    <row r="323" spans="4:15" x14ac:dyDescent="0.25">
      <c r="D323" s="5">
        <v>45642</v>
      </c>
      <c r="E323" s="4">
        <v>4.9569488988137997E-2</v>
      </c>
      <c r="F323" s="4">
        <v>4.9577844652781602E-2</v>
      </c>
      <c r="G323" s="4">
        <v>4.9573664000000003E-2</v>
      </c>
      <c r="H323" s="4">
        <v>0.16477179106936901</v>
      </c>
      <c r="I323" s="4">
        <v>0.16481252575195701</v>
      </c>
      <c r="J323" s="4">
        <v>0.16479215</v>
      </c>
      <c r="K323">
        <f t="shared" si="20"/>
        <v>-8.5518620520208533E-4</v>
      </c>
      <c r="L323">
        <f t="shared" si="21"/>
        <v>-3.2546977942633504E-3</v>
      </c>
      <c r="M323" s="1">
        <f t="shared" si="22"/>
        <v>-2.1107128850257357E-3</v>
      </c>
      <c r="N323" s="1">
        <f t="shared" si="23"/>
        <v>1.6855047558327741E-4</v>
      </c>
      <c r="O323" s="1">
        <f t="shared" si="24"/>
        <v>2.4718824645470437E-4</v>
      </c>
    </row>
    <row r="324" spans="4:15" x14ac:dyDescent="0.25">
      <c r="D324" s="3">
        <v>45639</v>
      </c>
      <c r="E324" s="2">
        <v>4.9610557126556501E-2</v>
      </c>
      <c r="F324" s="2">
        <v>4.9621635032874298E-2</v>
      </c>
      <c r="G324" s="2">
        <v>4.9616094999999999E-2</v>
      </c>
      <c r="H324" s="2">
        <v>0.1653165812531</v>
      </c>
      <c r="I324" s="2">
        <v>0.16534391534391499</v>
      </c>
      <c r="J324" s="2">
        <v>0.16533025000000001</v>
      </c>
      <c r="K324">
        <f t="shared" si="20"/>
        <v>2.7164193812165838E-3</v>
      </c>
      <c r="L324">
        <f t="shared" si="21"/>
        <v>-7.5142576937639038E-3</v>
      </c>
      <c r="M324" s="1">
        <f t="shared" si="22"/>
        <v>-2.6367066794595198E-3</v>
      </c>
      <c r="N324" s="1">
        <f t="shared" si="23"/>
        <v>2.2327243443476992E-4</v>
      </c>
      <c r="O324" s="1">
        <f t="shared" si="24"/>
        <v>1.6533024546315262E-4</v>
      </c>
    </row>
    <row r="325" spans="4:15" x14ac:dyDescent="0.25">
      <c r="D325" s="5">
        <v>45638</v>
      </c>
      <c r="E325" s="4">
        <v>4.9474335188620898E-2</v>
      </c>
      <c r="F325" s="4">
        <v>4.9489025808527001E-2</v>
      </c>
      <c r="G325" s="4">
        <v>4.9481681999999999E-2</v>
      </c>
      <c r="H325" s="4">
        <v>0.16657227571043101</v>
      </c>
      <c r="I325" s="4">
        <v>0.16659170040148599</v>
      </c>
      <c r="J325" s="4">
        <v>0.16658199000000001</v>
      </c>
      <c r="K325">
        <f t="shared" si="20"/>
        <v>-8.658733472141078E-4</v>
      </c>
      <c r="L325">
        <f t="shared" si="21"/>
        <v>6.2801448523508441E-3</v>
      </c>
      <c r="M325" s="1">
        <f t="shared" si="22"/>
        <v>2.8732277869334415E-3</v>
      </c>
      <c r="N325" s="1">
        <f t="shared" si="23"/>
        <v>2.9689006744159133E-4</v>
      </c>
      <c r="O325" s="1">
        <f t="shared" si="24"/>
        <v>1.1660738988038937E-4</v>
      </c>
    </row>
    <row r="326" spans="4:15" x14ac:dyDescent="0.25">
      <c r="D326" s="3">
        <v>45637</v>
      </c>
      <c r="E326" s="2">
        <v>4.9518188030463602E-2</v>
      </c>
      <c r="F326" s="2">
        <v>4.9530941979454603E-2</v>
      </c>
      <c r="G326" s="2">
        <v>4.9524564E-2</v>
      </c>
      <c r="H326" s="2">
        <v>0.16551084923616699</v>
      </c>
      <c r="I326" s="2">
        <v>0.165573879064839</v>
      </c>
      <c r="J326" s="2">
        <v>0.16554236</v>
      </c>
      <c r="K326">
        <f t="shared" si="20"/>
        <v>4.5933597467813225E-3</v>
      </c>
      <c r="L326">
        <f t="shared" si="21"/>
        <v>1.5892454783765775E-3</v>
      </c>
      <c r="M326" s="1">
        <f t="shared" si="22"/>
        <v>3.0214791897481951E-3</v>
      </c>
      <c r="N326" s="1">
        <f t="shared" si="23"/>
        <v>2.5752773898223778E-4</v>
      </c>
      <c r="O326" s="1">
        <f t="shared" si="24"/>
        <v>3.8074743329750841E-4</v>
      </c>
    </row>
    <row r="327" spans="4:15" x14ac:dyDescent="0.25">
      <c r="D327" s="5">
        <v>45636</v>
      </c>
      <c r="E327" s="4">
        <v>4.92909496887277E-2</v>
      </c>
      <c r="F327" s="4">
        <v>4.9305288485242897E-2</v>
      </c>
      <c r="G327" s="4">
        <v>4.9298120000000001E-2</v>
      </c>
      <c r="H327" s="4">
        <v>0.16526194017517801</v>
      </c>
      <c r="I327" s="4">
        <v>0.16529745276625299</v>
      </c>
      <c r="J327" s="4">
        <v>0.16527969000000001</v>
      </c>
      <c r="K327">
        <f t="shared" si="20"/>
        <v>-7.7521064937956519E-3</v>
      </c>
      <c r="L327">
        <f t="shared" si="21"/>
        <v>2.2891142574743562E-3</v>
      </c>
      <c r="M327" s="1">
        <f t="shared" si="22"/>
        <v>-2.4981120523057971E-3</v>
      </c>
      <c r="N327" s="1">
        <f t="shared" si="23"/>
        <v>2.9085889107326418E-4</v>
      </c>
      <c r="O327" s="1">
        <f t="shared" si="24"/>
        <v>2.148636113425797E-4</v>
      </c>
    </row>
    <row r="328" spans="4:15" x14ac:dyDescent="0.25">
      <c r="D328" s="3">
        <v>45635</v>
      </c>
      <c r="E328" s="2">
        <v>4.9676605299500298E-2</v>
      </c>
      <c r="F328" s="2">
        <v>4.9689934806805502E-2</v>
      </c>
      <c r="G328" s="2">
        <v>4.9683270000000002E-2</v>
      </c>
      <c r="H328" s="2">
        <v>0.164885898957921</v>
      </c>
      <c r="I328" s="2">
        <v>0.16491853024605799</v>
      </c>
      <c r="J328" s="2">
        <v>0.16490220999999999</v>
      </c>
      <c r="K328">
        <f t="shared" si="20"/>
        <v>5.191935929301339E-3</v>
      </c>
      <c r="L328">
        <f t="shared" si="21"/>
        <v>-4.9542060360341367E-5</v>
      </c>
      <c r="M328" s="1">
        <f t="shared" si="22"/>
        <v>2.4493713641919809E-3</v>
      </c>
      <c r="N328" s="1">
        <f t="shared" si="23"/>
        <v>2.6828965374469543E-4</v>
      </c>
      <c r="O328" s="1">
        <f t="shared" si="24"/>
        <v>1.9788266110558298E-4</v>
      </c>
    </row>
    <row r="329" spans="4:15" x14ac:dyDescent="0.25">
      <c r="D329" s="5">
        <v>45632</v>
      </c>
      <c r="E329" s="4">
        <v>4.9419078729534299E-2</v>
      </c>
      <c r="F329" s="4">
        <v>4.9434225291538299E-2</v>
      </c>
      <c r="G329" s="4">
        <v>4.9426650000000003E-2</v>
      </c>
      <c r="H329" s="4">
        <v>0.164896774619088</v>
      </c>
      <c r="I329" s="4">
        <v>0.16492397004980699</v>
      </c>
      <c r="J329" s="4">
        <v>0.16491038</v>
      </c>
      <c r="K329">
        <f t="shared" si="20"/>
        <v>-2.5949222485887047E-3</v>
      </c>
      <c r="L329">
        <f t="shared" si="21"/>
        <v>-1.5155204218811891E-2</v>
      </c>
      <c r="M329" s="1">
        <f t="shared" si="22"/>
        <v>-9.1669968289380382E-3</v>
      </c>
      <c r="N329" s="1">
        <f t="shared" si="23"/>
        <v>3.0644524773577609E-4</v>
      </c>
      <c r="O329" s="1">
        <f t="shared" si="24"/>
        <v>1.6491036355016514E-4</v>
      </c>
    </row>
    <row r="330" spans="4:15" x14ac:dyDescent="0.25">
      <c r="D330" s="3">
        <v>45631</v>
      </c>
      <c r="E330" s="2">
        <v>4.9547875634832199E-2</v>
      </c>
      <c r="F330" s="2">
        <v>4.9562609967040899E-2</v>
      </c>
      <c r="G330" s="2">
        <v>4.9555241999999999E-2</v>
      </c>
      <c r="H330" s="2">
        <v>0.16743126946388501</v>
      </c>
      <c r="I330" s="2">
        <v>0.16746491610007699</v>
      </c>
      <c r="J330" s="2">
        <v>0.16744808999999999</v>
      </c>
      <c r="K330">
        <f t="shared" si="20"/>
        <v>6.0209721105470848E-3</v>
      </c>
      <c r="L330">
        <f t="shared" si="21"/>
        <v>1.0699961014120518E-2</v>
      </c>
      <c r="M330" s="1">
        <f t="shared" si="22"/>
        <v>8.4692184244286144E-3</v>
      </c>
      <c r="N330" s="1">
        <f t="shared" si="23"/>
        <v>2.9733145503961836E-4</v>
      </c>
      <c r="O330" s="1">
        <f t="shared" si="24"/>
        <v>2.009377126486559E-4</v>
      </c>
    </row>
    <row r="331" spans="4:15" x14ac:dyDescent="0.25">
      <c r="D331" s="5">
        <v>45630</v>
      </c>
      <c r="E331" s="4">
        <v>4.9252591917649698E-2</v>
      </c>
      <c r="F331" s="4">
        <v>4.9264723994383801E-2</v>
      </c>
      <c r="G331" s="4">
        <v>4.9258656999999997E-2</v>
      </c>
      <c r="H331" s="4">
        <v>0.16565890830779401</v>
      </c>
      <c r="I331" s="4">
        <v>0.165691846304243</v>
      </c>
      <c r="J331" s="4">
        <v>0.16567536999999999</v>
      </c>
      <c r="K331">
        <f t="shared" si="20"/>
        <v>1.2322858903290879E-5</v>
      </c>
      <c r="L331">
        <f t="shared" si="21"/>
        <v>3.3962472125419474E-3</v>
      </c>
      <c r="M331" s="1">
        <f t="shared" si="22"/>
        <v>1.7829362320024686E-3</v>
      </c>
      <c r="N331" s="1">
        <f t="shared" si="23"/>
        <v>2.4629329082405182E-4</v>
      </c>
      <c r="O331" s="1">
        <f t="shared" si="24"/>
        <v>1.9881045956915346E-4</v>
      </c>
    </row>
    <row r="332" spans="4:15" x14ac:dyDescent="0.25">
      <c r="D332" s="3">
        <v>45629</v>
      </c>
      <c r="E332" s="2">
        <v>4.9251136469973998E-2</v>
      </c>
      <c r="F332" s="2">
        <v>4.9264966696882503E-2</v>
      </c>
      <c r="G332" s="2">
        <v>4.9258049999999998E-2</v>
      </c>
      <c r="H332" s="2">
        <v>0.16510641108194199</v>
      </c>
      <c r="I332" s="2">
        <v>0.165122768778587</v>
      </c>
      <c r="J332" s="2">
        <v>0.1651146</v>
      </c>
      <c r="K332">
        <f t="shared" si="20"/>
        <v>8.7802374954373263E-3</v>
      </c>
      <c r="L332">
        <f t="shared" si="21"/>
        <v>3.4509339472865719E-3</v>
      </c>
      <c r="M332" s="1">
        <f t="shared" si="22"/>
        <v>5.9917188568589658E-3</v>
      </c>
      <c r="N332" s="1">
        <f t="shared" si="23"/>
        <v>2.807708975183807E-4</v>
      </c>
      <c r="O332" s="1">
        <f t="shared" si="24"/>
        <v>9.9068747675941891E-5</v>
      </c>
    </row>
    <row r="333" spans="4:15" x14ac:dyDescent="0.25">
      <c r="D333" s="5">
        <v>45628</v>
      </c>
      <c r="E333" s="4">
        <v>4.8820735142629801E-2</v>
      </c>
      <c r="F333" s="4">
        <v>4.8837902119076598E-2</v>
      </c>
      <c r="G333" s="4">
        <v>4.8829316999999997E-2</v>
      </c>
      <c r="H333" s="4">
        <v>0.164519684780284</v>
      </c>
      <c r="I333" s="4">
        <v>0.16457383605154499</v>
      </c>
      <c r="J333" s="4">
        <v>0.16454675999999999</v>
      </c>
      <c r="K333">
        <f t="shared" si="20"/>
        <v>-1.0766788219325862E-2</v>
      </c>
      <c r="L333">
        <f t="shared" si="21"/>
        <v>-1.7548874995186203E-2</v>
      </c>
      <c r="M333" s="1">
        <f t="shared" si="22"/>
        <v>-1.4315464929532161E-2</v>
      </c>
      <c r="N333" s="1">
        <f t="shared" si="23"/>
        <v>3.5157109502058842E-4</v>
      </c>
      <c r="O333" s="1">
        <f t="shared" si="24"/>
        <v>3.2909351275581592E-4</v>
      </c>
    </row>
    <row r="334" spans="4:15" x14ac:dyDescent="0.25">
      <c r="D334" s="3">
        <v>45625</v>
      </c>
      <c r="E334" s="2">
        <v>4.9352495262160498E-2</v>
      </c>
      <c r="F334" s="2">
        <v>4.9369063370129702E-2</v>
      </c>
      <c r="G334" s="2">
        <v>4.9360774000000003E-2</v>
      </c>
      <c r="H334" s="2">
        <v>0.167467720596855</v>
      </c>
      <c r="I334" s="2">
        <v>0.16750418760468999</v>
      </c>
      <c r="J334" s="2">
        <v>0.16748594999999999</v>
      </c>
      <c r="K334">
        <f t="shared" si="20"/>
        <v>7.3299861904490005E-3</v>
      </c>
      <c r="L334">
        <f t="shared" si="21"/>
        <v>3.7432876902463441E-3</v>
      </c>
      <c r="M334" s="1">
        <f t="shared" si="22"/>
        <v>5.4532727459227145E-3</v>
      </c>
      <c r="N334" s="1">
        <f t="shared" si="23"/>
        <v>3.3565332604396656E-4</v>
      </c>
      <c r="O334" s="1">
        <f t="shared" si="24"/>
        <v>2.1773174308050856E-4</v>
      </c>
    </row>
    <row r="335" spans="4:15" x14ac:dyDescent="0.25">
      <c r="D335" s="5">
        <v>45624</v>
      </c>
      <c r="E335" s="4">
        <v>4.8994390142328703E-2</v>
      </c>
      <c r="F335" s="4">
        <v>4.9008797079075697E-2</v>
      </c>
      <c r="G335" s="4">
        <v>4.9001593000000003E-2</v>
      </c>
      <c r="H335" s="4">
        <v>0.16684741803620601</v>
      </c>
      <c r="I335" s="4">
        <v>0.16687526074259501</v>
      </c>
      <c r="J335" s="4">
        <v>0.16686134</v>
      </c>
      <c r="K335">
        <f t="shared" si="20"/>
        <v>1.32059660424928E-2</v>
      </c>
      <c r="L335">
        <f t="shared" si="21"/>
        <v>-2.5521370496299212E-2</v>
      </c>
      <c r="M335" s="1">
        <f t="shared" si="22"/>
        <v>-7.0578261744829096E-3</v>
      </c>
      <c r="N335" s="1">
        <f t="shared" si="23"/>
        <v>2.9400955897482766E-4</v>
      </c>
      <c r="O335" s="1">
        <f t="shared" si="24"/>
        <v>1.6686133761722752E-4</v>
      </c>
    </row>
    <row r="336" spans="4:15" x14ac:dyDescent="0.25">
      <c r="D336" s="3">
        <v>45623</v>
      </c>
      <c r="E336" s="2">
        <v>4.8356600917808301E-2</v>
      </c>
      <c r="F336" s="2">
        <v>4.83692313645444E-2</v>
      </c>
      <c r="G336" s="2">
        <v>4.8362914E-2</v>
      </c>
      <c r="H336" s="2">
        <v>0.17120649215018199</v>
      </c>
      <c r="I336" s="2">
        <v>0.17125633648444999</v>
      </c>
      <c r="J336" s="2">
        <v>0.17123140000000001</v>
      </c>
      <c r="K336">
        <f t="shared" ref="K336:K399" si="25">G336/G337-1</f>
        <v>3.9889433209716607E-4</v>
      </c>
      <c r="L336">
        <f t="shared" ref="L336:L399" si="26">J336/J337-1</f>
        <v>-6.3955618165397743E-3</v>
      </c>
      <c r="M336" s="1">
        <f t="shared" ref="M336:M399" si="27">SUMPRODUCT(K336:L336,$O$11:$P$11)</f>
        <v>-3.1562545608668671E-3</v>
      </c>
      <c r="N336" s="1">
        <f t="shared" ref="N336:N399" si="28">(F336-E336)/G336</f>
        <v>2.6115975427161165E-4</v>
      </c>
      <c r="O336" s="1">
        <f t="shared" ref="O336:O399" si="29">(I336-H336)/J336</f>
        <v>2.9109342251476951E-4</v>
      </c>
    </row>
    <row r="337" spans="4:15" x14ac:dyDescent="0.25">
      <c r="D337" s="5">
        <v>45622</v>
      </c>
      <c r="E337" s="4">
        <v>4.83367330168889E-2</v>
      </c>
      <c r="F337" s="4">
        <v>4.8350521943884402E-2</v>
      </c>
      <c r="G337" s="4">
        <v>4.8343629999999999E-2</v>
      </c>
      <c r="H337" s="4">
        <v>0.17230387511415099</v>
      </c>
      <c r="I337" s="4">
        <v>0.17236327283382499</v>
      </c>
      <c r="J337" s="4">
        <v>0.17233356999999999</v>
      </c>
      <c r="K337">
        <f t="shared" si="25"/>
        <v>-1.6618089471473918E-2</v>
      </c>
      <c r="L337">
        <f t="shared" si="26"/>
        <v>2.6539846044921767E-3</v>
      </c>
      <c r="M337" s="1">
        <f t="shared" si="27"/>
        <v>-6.5341193467956136E-3</v>
      </c>
      <c r="N337" s="1">
        <f t="shared" si="28"/>
        <v>2.8522738146684231E-4</v>
      </c>
      <c r="O337" s="1">
        <f t="shared" si="29"/>
        <v>3.446671456640958E-4</v>
      </c>
    </row>
    <row r="338" spans="4:15" x14ac:dyDescent="0.25">
      <c r="D338" s="3">
        <v>45621</v>
      </c>
      <c r="E338" s="2">
        <v>4.9155266741054998E-2</v>
      </c>
      <c r="F338" s="2">
        <v>4.9165900498050599E-2</v>
      </c>
      <c r="G338" s="2">
        <v>4.9160585E-2</v>
      </c>
      <c r="H338" s="2">
        <v>0.17185083347654201</v>
      </c>
      <c r="I338" s="2">
        <v>0.17190400880148499</v>
      </c>
      <c r="J338" s="2">
        <v>0.17187741000000001</v>
      </c>
      <c r="K338">
        <f t="shared" si="25"/>
        <v>8.6522912035611466E-3</v>
      </c>
      <c r="L338">
        <f t="shared" si="26"/>
        <v>-9.9692570014808801E-4</v>
      </c>
      <c r="M338" s="1">
        <f t="shared" si="27"/>
        <v>3.6034098740269707E-3</v>
      </c>
      <c r="N338" s="1">
        <f t="shared" si="28"/>
        <v>2.1630655932188553E-4</v>
      </c>
      <c r="O338" s="1">
        <f t="shared" si="29"/>
        <v>3.0937937069785862E-4</v>
      </c>
    </row>
    <row r="339" spans="4:15" x14ac:dyDescent="0.25">
      <c r="D339" s="5">
        <v>45618</v>
      </c>
      <c r="E339" s="4">
        <v>4.8727481812467402E-2</v>
      </c>
      <c r="F339" s="4">
        <v>4.8750286407932601E-2</v>
      </c>
      <c r="G339" s="4">
        <v>4.8738881999999997E-2</v>
      </c>
      <c r="H339" s="4">
        <v>0.17203117204837501</v>
      </c>
      <c r="I339" s="4">
        <v>0.17206669305022601</v>
      </c>
      <c r="J339" s="4">
        <v>0.17204892999999999</v>
      </c>
      <c r="K339">
        <f t="shared" si="25"/>
        <v>-7.8957352257651436E-3</v>
      </c>
      <c r="L339">
        <f t="shared" si="26"/>
        <v>3.0110965798613165E-4</v>
      </c>
      <c r="M339" s="1">
        <f t="shared" si="27"/>
        <v>-3.6067968064462802E-3</v>
      </c>
      <c r="N339" s="1">
        <f t="shared" si="28"/>
        <v>4.6789328210686596E-4</v>
      </c>
      <c r="O339" s="1">
        <f t="shared" si="29"/>
        <v>2.0645871991765456E-4</v>
      </c>
    </row>
    <row r="340" spans="4:15" x14ac:dyDescent="0.25">
      <c r="D340" s="3">
        <v>45617</v>
      </c>
      <c r="E340" s="2">
        <v>4.9119291110390699E-2</v>
      </c>
      <c r="F340" s="2">
        <v>4.9134254436823198E-2</v>
      </c>
      <c r="G340" s="2">
        <v>4.9126773999999998E-2</v>
      </c>
      <c r="H340" s="2">
        <v>0.171977918035324</v>
      </c>
      <c r="I340" s="2">
        <v>0.172016375958991</v>
      </c>
      <c r="J340" s="2">
        <v>0.17199713999999999</v>
      </c>
      <c r="K340">
        <f t="shared" si="25"/>
        <v>-5.5021025912289634E-3</v>
      </c>
      <c r="L340">
        <f t="shared" si="26"/>
        <v>-7.2152982354632966E-3</v>
      </c>
      <c r="M340" s="1">
        <f t="shared" si="27"/>
        <v>-6.3985195324513097E-3</v>
      </c>
      <c r="N340" s="1">
        <f t="shared" si="28"/>
        <v>3.0458597652878385E-4</v>
      </c>
      <c r="O340" s="1">
        <f t="shared" si="29"/>
        <v>2.2359629739771104E-4</v>
      </c>
    </row>
    <row r="341" spans="4:15" x14ac:dyDescent="0.25">
      <c r="D341" s="5">
        <v>45616</v>
      </c>
      <c r="E341" s="4">
        <v>4.9392960515267398E-2</v>
      </c>
      <c r="F341" s="4">
        <v>4.9404185522597503E-2</v>
      </c>
      <c r="G341" s="4">
        <v>4.9398570000000003E-2</v>
      </c>
      <c r="H341" s="4">
        <v>0.173232165748536</v>
      </c>
      <c r="I341" s="4">
        <v>0.17326218033127699</v>
      </c>
      <c r="J341" s="4">
        <v>0.17324717000000001</v>
      </c>
      <c r="K341">
        <f t="shared" si="25"/>
        <v>-1.3338038117239881E-3</v>
      </c>
      <c r="L341">
        <f t="shared" si="26"/>
        <v>2.5986973834513094E-4</v>
      </c>
      <c r="M341" s="1">
        <f t="shared" si="27"/>
        <v>-4.9992592167227064E-4</v>
      </c>
      <c r="N341" s="1">
        <f t="shared" si="28"/>
        <v>2.2723344684077689E-4</v>
      </c>
      <c r="O341" s="1">
        <f t="shared" si="29"/>
        <v>1.7324717477918528E-4</v>
      </c>
    </row>
    <row r="342" spans="4:15" x14ac:dyDescent="0.25">
      <c r="D342" s="3">
        <v>45615</v>
      </c>
      <c r="E342" s="2">
        <v>4.9455739585857597E-2</v>
      </c>
      <c r="F342" s="2">
        <v>4.9473356124059398E-2</v>
      </c>
      <c r="G342" s="2">
        <v>4.9464545999999998E-2</v>
      </c>
      <c r="H342" s="2">
        <v>0.17318416404004</v>
      </c>
      <c r="I342" s="2">
        <v>0.17322016282695299</v>
      </c>
      <c r="J342" s="2">
        <v>0.17320215999999999</v>
      </c>
      <c r="K342">
        <f t="shared" si="25"/>
        <v>3.2399278269081844E-3</v>
      </c>
      <c r="L342">
        <f t="shared" si="26"/>
        <v>-5.5943804611607861E-3</v>
      </c>
      <c r="M342" s="1">
        <f t="shared" si="27"/>
        <v>-1.382558600755656E-3</v>
      </c>
      <c r="N342" s="1">
        <f t="shared" si="28"/>
        <v>3.5614474661913704E-4</v>
      </c>
      <c r="O342" s="1">
        <f t="shared" si="29"/>
        <v>2.0784259799640215E-4</v>
      </c>
    </row>
    <row r="343" spans="4:15" x14ac:dyDescent="0.25">
      <c r="D343" s="5">
        <v>45614</v>
      </c>
      <c r="E343" s="4">
        <v>4.9297267452465099E-2</v>
      </c>
      <c r="F343" s="4">
        <v>4.9312339426694697E-2</v>
      </c>
      <c r="G343" s="4">
        <v>4.9304802000000002E-2</v>
      </c>
      <c r="H343" s="4">
        <v>0.17414928076347</v>
      </c>
      <c r="I343" s="4">
        <v>0.174203888230785</v>
      </c>
      <c r="J343" s="4">
        <v>0.17417657</v>
      </c>
      <c r="K343">
        <f t="shared" si="25"/>
        <v>6.8410329158392624E-3</v>
      </c>
      <c r="L343">
        <f t="shared" si="26"/>
        <v>9.3183860717114264E-3</v>
      </c>
      <c r="M343" s="1">
        <f t="shared" si="27"/>
        <v>8.137289619379361E-3</v>
      </c>
      <c r="N343" s="1">
        <f t="shared" si="28"/>
        <v>3.0568978310871659E-4</v>
      </c>
      <c r="O343" s="1">
        <f t="shared" si="29"/>
        <v>3.1351787048627906E-4</v>
      </c>
    </row>
    <row r="344" spans="4:15" x14ac:dyDescent="0.25">
      <c r="D344" s="3">
        <v>45611</v>
      </c>
      <c r="E344" s="2">
        <v>4.8964402879106902E-2</v>
      </c>
      <c r="F344" s="2">
        <v>4.8975194064206501E-2</v>
      </c>
      <c r="G344" s="2">
        <v>4.8969798000000002E-2</v>
      </c>
      <c r="H344" s="2">
        <v>0.172535758035853</v>
      </c>
      <c r="I344" s="2">
        <v>0.17260127379740101</v>
      </c>
      <c r="J344" s="2">
        <v>0.17256851000000001</v>
      </c>
      <c r="K344">
        <f t="shared" si="25"/>
        <v>7.1986099984815421E-3</v>
      </c>
      <c r="L344">
        <f t="shared" si="26"/>
        <v>-2.1829929044345775E-3</v>
      </c>
      <c r="M344" s="1">
        <f t="shared" si="27"/>
        <v>2.2897557142101703E-3</v>
      </c>
      <c r="N344" s="1">
        <f t="shared" si="28"/>
        <v>2.2036409256984114E-4</v>
      </c>
      <c r="O344" s="1">
        <f t="shared" si="29"/>
        <v>3.7965073435476329E-4</v>
      </c>
    </row>
    <row r="345" spans="4:15" x14ac:dyDescent="0.25">
      <c r="D345" s="5">
        <v>45610</v>
      </c>
      <c r="E345" s="4">
        <v>4.8611887550981697E-2</v>
      </c>
      <c r="F345" s="4">
        <v>4.8627725584019003E-2</v>
      </c>
      <c r="G345" s="4">
        <v>4.8619803000000003E-2</v>
      </c>
      <c r="H345" s="4">
        <v>0.17292361963720601</v>
      </c>
      <c r="I345" s="4">
        <v>0.17296848514200699</v>
      </c>
      <c r="J345" s="4">
        <v>0.17294604999999999</v>
      </c>
      <c r="K345">
        <f t="shared" si="25"/>
        <v>1.5436854134831535E-3</v>
      </c>
      <c r="L345">
        <f t="shared" si="26"/>
        <v>3.3897886178710923E-3</v>
      </c>
      <c r="M345" s="1">
        <f t="shared" si="27"/>
        <v>2.5096452518866726E-3</v>
      </c>
      <c r="N345" s="1">
        <f t="shared" si="28"/>
        <v>3.2575271926351052E-4</v>
      </c>
      <c r="O345" s="1">
        <f t="shared" si="29"/>
        <v>2.5941907780480583E-4</v>
      </c>
    </row>
    <row r="346" spans="4:15" x14ac:dyDescent="0.25">
      <c r="D346" s="3">
        <v>45609</v>
      </c>
      <c r="E346" s="2">
        <v>4.8534500749858003E-2</v>
      </c>
      <c r="F346" s="2">
        <v>4.8555238867497602E-2</v>
      </c>
      <c r="G346" s="2">
        <v>4.8544865E-2</v>
      </c>
      <c r="H346" s="2">
        <v>0.17234544921841299</v>
      </c>
      <c r="I346" s="2">
        <v>0.17237812866303501</v>
      </c>
      <c r="J346" s="2">
        <v>0.17236177999999999</v>
      </c>
      <c r="K346">
        <f t="shared" si="25"/>
        <v>-2.3423287525966563E-3</v>
      </c>
      <c r="L346">
        <f t="shared" si="26"/>
        <v>-3.6713948433302335E-3</v>
      </c>
      <c r="M346" s="1">
        <f t="shared" si="27"/>
        <v>-3.0377527479513713E-3</v>
      </c>
      <c r="N346" s="1">
        <f t="shared" si="28"/>
        <v>4.2719487714300497E-4</v>
      </c>
      <c r="O346" s="1">
        <f t="shared" si="29"/>
        <v>1.8959797596667635E-4</v>
      </c>
    </row>
    <row r="347" spans="4:15" x14ac:dyDescent="0.25">
      <c r="D347" s="5">
        <v>45608</v>
      </c>
      <c r="E347" s="4">
        <v>4.8648780131838203E-2</v>
      </c>
      <c r="F347" s="4">
        <v>4.8668905436316703E-2</v>
      </c>
      <c r="G347" s="4">
        <v>4.8658840000000002E-2</v>
      </c>
      <c r="H347" s="4">
        <v>0.17296549338407</v>
      </c>
      <c r="I347" s="4">
        <v>0.17302834204242701</v>
      </c>
      <c r="J347" s="4">
        <v>0.17299692</v>
      </c>
      <c r="K347">
        <f t="shared" si="25"/>
        <v>-2.6154808590255207E-3</v>
      </c>
      <c r="L347">
        <f t="shared" si="26"/>
        <v>1.3407786564523239E-3</v>
      </c>
      <c r="M347" s="1">
        <f t="shared" si="27"/>
        <v>-5.4539734843414957E-4</v>
      </c>
      <c r="N347" s="1">
        <f t="shared" si="28"/>
        <v>4.1360016964031099E-4</v>
      </c>
      <c r="O347" s="1">
        <f t="shared" si="29"/>
        <v>3.632935104105439E-4</v>
      </c>
    </row>
    <row r="348" spans="4:15" x14ac:dyDescent="0.25">
      <c r="D348" s="3">
        <v>45607</v>
      </c>
      <c r="E348" s="2">
        <v>4.8778822186559503E-2</v>
      </c>
      <c r="F348" s="2">
        <v>4.8794054932347002E-2</v>
      </c>
      <c r="G348" s="2">
        <v>4.878644E-2</v>
      </c>
      <c r="H348" s="2">
        <v>0.17274140611504599</v>
      </c>
      <c r="I348" s="2">
        <v>0.17278916266371799</v>
      </c>
      <c r="J348" s="2">
        <v>0.17276527999999999</v>
      </c>
      <c r="K348">
        <f t="shared" si="25"/>
        <v>-1.8270476460316099E-2</v>
      </c>
      <c r="L348">
        <f t="shared" si="26"/>
        <v>-7.4294192160695438E-4</v>
      </c>
      <c r="M348" s="1">
        <f t="shared" si="27"/>
        <v>-9.099323736903274E-3</v>
      </c>
      <c r="N348" s="1">
        <f t="shared" si="28"/>
        <v>3.1223318994987482E-4</v>
      </c>
      <c r="O348" s="1">
        <f t="shared" si="29"/>
        <v>2.7642445676588856E-4</v>
      </c>
    </row>
    <row r="349" spans="4:15" x14ac:dyDescent="0.25">
      <c r="D349" s="5">
        <v>45604</v>
      </c>
      <c r="E349" s="4">
        <v>4.96852439793906E-2</v>
      </c>
      <c r="F349" s="4">
        <v>4.9703518512075502E-2</v>
      </c>
      <c r="G349" s="4">
        <v>4.9694380000000003E-2</v>
      </c>
      <c r="H349" s="4">
        <v>0.172869811744775</v>
      </c>
      <c r="I349" s="4">
        <v>0.172917639328388</v>
      </c>
      <c r="J349" s="4">
        <v>0.17289373</v>
      </c>
      <c r="K349">
        <f t="shared" si="25"/>
        <v>-1.5852429770753185E-2</v>
      </c>
      <c r="L349">
        <f t="shared" si="26"/>
        <v>-1.8447720680852875E-2</v>
      </c>
      <c r="M349" s="1">
        <f t="shared" si="27"/>
        <v>-1.7210396531317458E-2</v>
      </c>
      <c r="N349" s="1">
        <f t="shared" si="28"/>
        <v>3.6773841800424536E-4</v>
      </c>
      <c r="O349" s="1">
        <f t="shared" si="29"/>
        <v>2.7662994842549555E-4</v>
      </c>
    </row>
    <row r="350" spans="4:15" x14ac:dyDescent="0.25">
      <c r="D350" s="3">
        <v>45603</v>
      </c>
      <c r="E350" s="2">
        <v>5.0487456391459497E-2</v>
      </c>
      <c r="F350" s="2">
        <v>5.0502244824782501E-2</v>
      </c>
      <c r="G350" s="2">
        <v>5.0494846000000003E-2</v>
      </c>
      <c r="H350" s="2">
        <v>0.176112148215984</v>
      </c>
      <c r="I350" s="2">
        <v>0.17617420104999801</v>
      </c>
      <c r="J350" s="2">
        <v>0.17614316999999999</v>
      </c>
      <c r="K350">
        <f t="shared" si="25"/>
        <v>2.0753325731415195E-2</v>
      </c>
      <c r="L350">
        <f t="shared" si="26"/>
        <v>7.4420338043508227E-3</v>
      </c>
      <c r="M350" s="1">
        <f t="shared" si="27"/>
        <v>1.3788290749488386E-2</v>
      </c>
      <c r="N350" s="1">
        <f t="shared" si="28"/>
        <v>2.9287015397579721E-4</v>
      </c>
      <c r="O350" s="1">
        <f t="shared" si="29"/>
        <v>3.5228634760010072E-4</v>
      </c>
    </row>
    <row r="351" spans="4:15" x14ac:dyDescent="0.25">
      <c r="D351" s="5">
        <v>45602</v>
      </c>
      <c r="E351" s="4">
        <v>4.9456473357797799E-2</v>
      </c>
      <c r="F351" s="4">
        <v>4.9479965561943999E-2</v>
      </c>
      <c r="G351" s="4">
        <v>4.9468216000000002E-2</v>
      </c>
      <c r="H351" s="4">
        <v>0.17482517482517501</v>
      </c>
      <c r="I351" s="4">
        <v>0.174858801517774</v>
      </c>
      <c r="J351" s="4">
        <v>0.17484199</v>
      </c>
      <c r="K351">
        <f t="shared" si="25"/>
        <v>4.9962936504759359E-3</v>
      </c>
      <c r="L351">
        <f t="shared" si="26"/>
        <v>1.2789713269195646E-2</v>
      </c>
      <c r="M351" s="1">
        <f t="shared" si="27"/>
        <v>9.074142785679187E-3</v>
      </c>
      <c r="N351" s="1">
        <f t="shared" si="28"/>
        <v>4.7489491325500603E-4</v>
      </c>
      <c r="O351" s="1">
        <f t="shared" si="29"/>
        <v>1.9232618319539249E-4</v>
      </c>
    </row>
    <row r="352" spans="4:15" x14ac:dyDescent="0.25">
      <c r="D352" s="3">
        <v>45601</v>
      </c>
      <c r="E352" s="2">
        <v>4.9213324999877003E-2</v>
      </c>
      <c r="F352" s="2">
        <v>4.9231253969269799E-2</v>
      </c>
      <c r="G352" s="2">
        <v>4.9222287000000003E-2</v>
      </c>
      <c r="H352" s="2">
        <v>0.17261617068287</v>
      </c>
      <c r="I352" s="2">
        <v>0.17265193370165699</v>
      </c>
      <c r="J352" s="2">
        <v>0.17263405000000001</v>
      </c>
      <c r="K352">
        <f t="shared" si="25"/>
        <v>-1.4692904537146334E-2</v>
      </c>
      <c r="L352">
        <f t="shared" si="26"/>
        <v>-4.3676340043701245E-3</v>
      </c>
      <c r="M352" s="1">
        <f t="shared" si="27"/>
        <v>-9.2902831497792809E-3</v>
      </c>
      <c r="N352" s="1">
        <f t="shared" si="28"/>
        <v>3.6424494848838674E-4</v>
      </c>
      <c r="O352" s="1">
        <f t="shared" si="29"/>
        <v>2.0716086303364803E-4</v>
      </c>
    </row>
    <row r="353" spans="4:15" x14ac:dyDescent="0.25">
      <c r="D353" s="5">
        <v>45600</v>
      </c>
      <c r="E353" s="4">
        <v>4.9949800450547199E-2</v>
      </c>
      <c r="F353" s="4">
        <v>4.9962777730590699E-2</v>
      </c>
      <c r="G353" s="4">
        <v>4.995629E-2</v>
      </c>
      <c r="H353" s="4">
        <v>0.17336130229010299</v>
      </c>
      <c r="I353" s="4">
        <v>0.17342143142049499</v>
      </c>
      <c r="J353" s="4">
        <v>0.17339135999999999</v>
      </c>
      <c r="K353">
        <f t="shared" si="25"/>
        <v>6.7444376917724647E-4</v>
      </c>
      <c r="L353">
        <f t="shared" si="26"/>
        <v>1.0836956991291613E-2</v>
      </c>
      <c r="M353" s="1">
        <f t="shared" si="27"/>
        <v>5.9919035983322638E-3</v>
      </c>
      <c r="N353" s="1">
        <f t="shared" si="28"/>
        <v>2.5977269415922654E-4</v>
      </c>
      <c r="O353" s="1">
        <f t="shared" si="29"/>
        <v>3.4678273699447805E-4</v>
      </c>
    </row>
    <row r="354" spans="4:15" x14ac:dyDescent="0.25">
      <c r="D354" s="3">
        <v>45597</v>
      </c>
      <c r="E354" s="2">
        <v>4.9915144254766897E-2</v>
      </c>
      <c r="F354" s="2">
        <v>4.9930097862991803E-2</v>
      </c>
      <c r="G354" s="2">
        <v>4.9922620000000001E-2</v>
      </c>
      <c r="H354" s="2">
        <v>0.171508935615546</v>
      </c>
      <c r="I354" s="2">
        <v>0.17155601303825699</v>
      </c>
      <c r="J354" s="2">
        <v>0.17153246999999999</v>
      </c>
      <c r="K354">
        <f t="shared" si="25"/>
        <v>2.4964856854792217E-4</v>
      </c>
      <c r="L354">
        <f t="shared" si="26"/>
        <v>-7.041377870742549E-3</v>
      </c>
      <c r="M354" s="1">
        <f t="shared" si="27"/>
        <v>-3.5653270538078207E-3</v>
      </c>
      <c r="N354" s="1">
        <f t="shared" si="28"/>
        <v>2.9953572598765939E-4</v>
      </c>
      <c r="O354" s="1">
        <f t="shared" si="29"/>
        <v>2.7445196067533924E-4</v>
      </c>
    </row>
    <row r="355" spans="4:15" x14ac:dyDescent="0.25">
      <c r="D355" s="5">
        <v>45596</v>
      </c>
      <c r="E355" s="4">
        <v>4.9903436849695802E-2</v>
      </c>
      <c r="F355" s="4">
        <v>4.9916888380845903E-2</v>
      </c>
      <c r="G355" s="4">
        <v>4.9910160000000002E-2</v>
      </c>
      <c r="H355" s="4">
        <v>0.17272648760687501</v>
      </c>
      <c r="I355" s="4">
        <v>0.172771250863856</v>
      </c>
      <c r="J355" s="4">
        <v>0.17274886</v>
      </c>
      <c r="K355">
        <f t="shared" si="25"/>
        <v>7.2618685985796905E-3</v>
      </c>
      <c r="L355">
        <f t="shared" si="26"/>
        <v>-1.7707057669257287E-3</v>
      </c>
      <c r="M355" s="1">
        <f t="shared" si="27"/>
        <v>2.535640913294823E-3</v>
      </c>
      <c r="N355" s="1">
        <f t="shared" si="28"/>
        <v>2.6951488735160788E-4</v>
      </c>
      <c r="O355" s="1">
        <f t="shared" si="29"/>
        <v>2.591233133520838E-4</v>
      </c>
    </row>
    <row r="356" spans="4:15" x14ac:dyDescent="0.25">
      <c r="D356" s="3">
        <v>45595</v>
      </c>
      <c r="E356" s="2">
        <v>4.9543211589148102E-2</v>
      </c>
      <c r="F356" s="2">
        <v>4.9557451954050299E-2</v>
      </c>
      <c r="G356" s="2">
        <v>4.9550332000000002E-2</v>
      </c>
      <c r="H356" s="2">
        <v>0.17303133597494499</v>
      </c>
      <c r="I356" s="2">
        <v>0.173079252989944</v>
      </c>
      <c r="J356" s="2">
        <v>0.17305529</v>
      </c>
      <c r="K356">
        <f t="shared" si="25"/>
        <v>-9.5136426737763014E-3</v>
      </c>
      <c r="L356">
        <f t="shared" si="26"/>
        <v>-9.1286776993090291E-3</v>
      </c>
      <c r="M356" s="1">
        <f t="shared" si="27"/>
        <v>-9.3122126000710174E-3</v>
      </c>
      <c r="N356" s="1">
        <f t="shared" si="28"/>
        <v>2.8739191701475245E-4</v>
      </c>
      <c r="O356" s="1">
        <f t="shared" si="29"/>
        <v>2.7688847303662586E-4</v>
      </c>
    </row>
    <row r="357" spans="4:15" x14ac:dyDescent="0.25">
      <c r="D357" s="5">
        <v>45594</v>
      </c>
      <c r="E357" s="4">
        <v>5.0018757033887702E-2</v>
      </c>
      <c r="F357" s="4">
        <v>5.0033772796637697E-2</v>
      </c>
      <c r="G357" s="4">
        <v>5.0026264000000001E-2</v>
      </c>
      <c r="H357" s="4">
        <v>0.174617587483411</v>
      </c>
      <c r="I357" s="4">
        <v>0.17468164270616801</v>
      </c>
      <c r="J357" s="4">
        <v>0.17464961000000001</v>
      </c>
      <c r="K357">
        <f t="shared" si="25"/>
        <v>2.9140809328105366E-3</v>
      </c>
      <c r="L357">
        <f t="shared" si="26"/>
        <v>-3.2833796376245949E-3</v>
      </c>
      <c r="M357" s="1">
        <f t="shared" si="27"/>
        <v>-3.2869444231508E-4</v>
      </c>
      <c r="N357" s="1">
        <f t="shared" si="28"/>
        <v>3.0015758822196431E-4</v>
      </c>
      <c r="O357" s="1">
        <f t="shared" si="29"/>
        <v>3.6676419006612484E-4</v>
      </c>
    </row>
    <row r="358" spans="4:15" x14ac:dyDescent="0.25">
      <c r="D358" s="3">
        <v>45593</v>
      </c>
      <c r="E358" s="2">
        <v>4.9875062967267E-2</v>
      </c>
      <c r="F358" s="2">
        <v>4.9886757061470499E-2</v>
      </c>
      <c r="G358" s="2">
        <v>4.9880907000000002E-2</v>
      </c>
      <c r="H358" s="2">
        <v>0.17519271198318101</v>
      </c>
      <c r="I358" s="2">
        <v>0.175257189926217</v>
      </c>
      <c r="J358" s="2">
        <v>0.17522494</v>
      </c>
      <c r="K358">
        <f t="shared" si="25"/>
        <v>-8.3800895089674032E-3</v>
      </c>
      <c r="L358">
        <f t="shared" si="26"/>
        <v>-2.1290578295524165E-3</v>
      </c>
      <c r="M358" s="1">
        <f t="shared" si="27"/>
        <v>-5.1092834475560565E-3</v>
      </c>
      <c r="N358" s="1">
        <f t="shared" si="28"/>
        <v>2.3444028801438517E-4</v>
      </c>
      <c r="O358" s="1">
        <f t="shared" si="29"/>
        <v>3.6797240755790734E-4</v>
      </c>
    </row>
    <row r="359" spans="4:15" x14ac:dyDescent="0.25">
      <c r="D359" s="5">
        <v>45590</v>
      </c>
      <c r="E359" s="4">
        <v>5.0293715297336401E-2</v>
      </c>
      <c r="F359" s="4">
        <v>5.0311174614993702E-2</v>
      </c>
      <c r="G359" s="4">
        <v>5.0302446000000001E-2</v>
      </c>
      <c r="H359" s="4">
        <v>0.17558337576598201</v>
      </c>
      <c r="I359" s="4">
        <v>0.17561421070193001</v>
      </c>
      <c r="J359" s="4">
        <v>0.1755988</v>
      </c>
      <c r="K359">
        <f t="shared" si="25"/>
        <v>-2.0120284438532865E-3</v>
      </c>
      <c r="L359">
        <f t="shared" si="26"/>
        <v>1.4662227258990246E-3</v>
      </c>
      <c r="M359" s="1">
        <f t="shared" si="27"/>
        <v>-1.9205926234984699E-4</v>
      </c>
      <c r="N359" s="1">
        <f t="shared" si="28"/>
        <v>3.4708685254193579E-4</v>
      </c>
      <c r="O359" s="1">
        <f t="shared" si="29"/>
        <v>1.755987851169435E-4</v>
      </c>
    </row>
    <row r="360" spans="4:15" x14ac:dyDescent="0.25">
      <c r="D360" s="3">
        <v>45589</v>
      </c>
      <c r="E360" s="2">
        <v>5.0397129379510498E-2</v>
      </c>
      <c r="F360" s="2">
        <v>5.0410594290496102E-2</v>
      </c>
      <c r="G360" s="2">
        <v>5.0403860000000002E-2</v>
      </c>
      <c r="H360" s="2">
        <v>0.17531864163116501</v>
      </c>
      <c r="I360" s="2">
        <v>0.17536475869809201</v>
      </c>
      <c r="J360" s="2">
        <v>0.17534171000000001</v>
      </c>
      <c r="K360">
        <f t="shared" si="25"/>
        <v>7.2580977149381276E-3</v>
      </c>
      <c r="L360">
        <f t="shared" si="26"/>
        <v>4.1381495988612738E-3</v>
      </c>
      <c r="M360" s="1">
        <f t="shared" si="27"/>
        <v>5.6256079544146111E-3</v>
      </c>
      <c r="N360" s="1">
        <f t="shared" si="28"/>
        <v>2.6714047268610279E-4</v>
      </c>
      <c r="O360" s="1">
        <f t="shared" si="29"/>
        <v>2.6301253094317318E-4</v>
      </c>
    </row>
    <row r="361" spans="4:15" x14ac:dyDescent="0.25">
      <c r="D361" s="5">
        <v>45588</v>
      </c>
      <c r="E361" s="4">
        <v>5.0033522460048198E-2</v>
      </c>
      <c r="F361" s="4">
        <v>5.0047795644840798E-2</v>
      </c>
      <c r="G361" s="4">
        <v>5.0040660000000001E-2</v>
      </c>
      <c r="H361" s="4">
        <v>0.174602343163445</v>
      </c>
      <c r="I361" s="4">
        <v>0.17463588418148199</v>
      </c>
      <c r="J361" s="4">
        <v>0.17461910999999999</v>
      </c>
      <c r="K361">
        <f t="shared" si="25"/>
        <v>-6.3425644030056239E-3</v>
      </c>
      <c r="L361">
        <f t="shared" si="26"/>
        <v>-5.9981956230795719E-3</v>
      </c>
      <c r="M361" s="1">
        <f t="shared" si="27"/>
        <v>-6.1623759876353826E-3</v>
      </c>
      <c r="N361" s="1">
        <f t="shared" si="28"/>
        <v>2.8523174539664414E-4</v>
      </c>
      <c r="O361" s="1">
        <f t="shared" si="29"/>
        <v>1.9208102731130982E-4</v>
      </c>
    </row>
    <row r="362" spans="4:15" x14ac:dyDescent="0.25">
      <c r="D362" s="3">
        <v>45587</v>
      </c>
      <c r="E362" s="2">
        <v>5.0352467270896303E-2</v>
      </c>
      <c r="F362" s="2">
        <v>5.0367684093885402E-2</v>
      </c>
      <c r="G362" s="2">
        <v>5.0360071999999999E-2</v>
      </c>
      <c r="H362" s="2">
        <v>0.17565739781130901</v>
      </c>
      <c r="I362" s="2">
        <v>0.175688258753667</v>
      </c>
      <c r="J362" s="2">
        <v>0.17567283</v>
      </c>
      <c r="K362">
        <f t="shared" si="25"/>
        <v>7.881316420804918E-3</v>
      </c>
      <c r="L362">
        <f t="shared" si="26"/>
        <v>2.0992577386063083E-3</v>
      </c>
      <c r="M362" s="1">
        <f t="shared" si="27"/>
        <v>4.8558970092460844E-3</v>
      </c>
      <c r="N362" s="1">
        <f t="shared" si="28"/>
        <v>3.0216046929200049E-4</v>
      </c>
      <c r="O362" s="1">
        <f t="shared" si="29"/>
        <v>1.7567282520575812E-4</v>
      </c>
    </row>
    <row r="363" spans="4:15" x14ac:dyDescent="0.25">
      <c r="D363" s="5">
        <v>45586</v>
      </c>
      <c r="E363" s="4">
        <v>4.99585344164344E-2</v>
      </c>
      <c r="F363" s="4">
        <v>4.99740135129733E-2</v>
      </c>
      <c r="G363" s="4">
        <v>4.9966271999999999E-2</v>
      </c>
      <c r="H363" s="4">
        <v>0.17529405577856899</v>
      </c>
      <c r="I363" s="4">
        <v>0.17531556802244</v>
      </c>
      <c r="J363" s="4">
        <v>0.17530482</v>
      </c>
      <c r="K363">
        <f t="shared" si="25"/>
        <v>-1.4315390174301279E-2</v>
      </c>
      <c r="L363">
        <f t="shared" si="26"/>
        <v>-5.942745237332181E-3</v>
      </c>
      <c r="M363" s="1">
        <f t="shared" si="27"/>
        <v>-9.9344656782592994E-3</v>
      </c>
      <c r="N363" s="1">
        <f t="shared" si="28"/>
        <v>3.0979090332976358E-4</v>
      </c>
      <c r="O363" s="1">
        <f t="shared" si="29"/>
        <v>1.2271336219396608E-4</v>
      </c>
    </row>
    <row r="364" spans="4:15" x14ac:dyDescent="0.25">
      <c r="D364" s="3">
        <v>45583</v>
      </c>
      <c r="E364" s="2">
        <v>5.0683466546377898E-2</v>
      </c>
      <c r="F364" s="2">
        <v>5.0700426390585897E-2</v>
      </c>
      <c r="G364" s="2">
        <v>5.0691947000000001E-2</v>
      </c>
      <c r="H364" s="2">
        <v>0.176335743255158</v>
      </c>
      <c r="I364" s="2">
        <v>0.17636995361470201</v>
      </c>
      <c r="J364" s="2">
        <v>0.17635284000000001</v>
      </c>
      <c r="K364">
        <f t="shared" si="25"/>
        <v>1.0163762200362525E-2</v>
      </c>
      <c r="L364">
        <f t="shared" si="26"/>
        <v>7.9358503629123334E-4</v>
      </c>
      <c r="M364" s="1">
        <f t="shared" si="27"/>
        <v>5.2608863493780666E-3</v>
      </c>
      <c r="N364" s="1">
        <f t="shared" si="28"/>
        <v>3.3456683382074602E-4</v>
      </c>
      <c r="O364" s="1">
        <f t="shared" si="29"/>
        <v>1.9398814072975752E-4</v>
      </c>
    </row>
    <row r="365" spans="4:15" x14ac:dyDescent="0.25">
      <c r="D365" s="5">
        <v>45582</v>
      </c>
      <c r="E365" s="4">
        <v>5.0176118174793498E-2</v>
      </c>
      <c r="F365" s="4">
        <v>5.0187702005500601E-2</v>
      </c>
      <c r="G365" s="4">
        <v>5.0181910000000003E-2</v>
      </c>
      <c r="H365" s="4">
        <v>0.17620213909396901</v>
      </c>
      <c r="I365" s="4">
        <v>0.17622387481055901</v>
      </c>
      <c r="J365" s="4">
        <v>0.17621300000000001</v>
      </c>
      <c r="K365">
        <f t="shared" si="25"/>
        <v>-6.2720304721819442E-4</v>
      </c>
      <c r="L365">
        <f t="shared" si="26"/>
        <v>-1.8943350297233597E-3</v>
      </c>
      <c r="M365" s="1">
        <f t="shared" si="27"/>
        <v>-1.2902204788262106E-3</v>
      </c>
      <c r="N365" s="1">
        <f t="shared" si="28"/>
        <v>2.3083678375539785E-4</v>
      </c>
      <c r="O365" s="1">
        <f t="shared" si="29"/>
        <v>1.2334910925984182E-4</v>
      </c>
    </row>
    <row r="366" spans="4:15" x14ac:dyDescent="0.25">
      <c r="D366" s="3">
        <v>45581</v>
      </c>
      <c r="E366" s="2">
        <v>5.0203071423909701E-2</v>
      </c>
      <c r="F366" s="2">
        <v>5.02237467919582E-2</v>
      </c>
      <c r="G366" s="2">
        <v>5.0213404000000003E-2</v>
      </c>
      <c r="H366" s="2">
        <v>0.176531855173266</v>
      </c>
      <c r="I366" s="2">
        <v>0.17656302417147801</v>
      </c>
      <c r="J366" s="2">
        <v>0.17654744</v>
      </c>
      <c r="K366">
        <f t="shared" si="25"/>
        <v>-1.4812963413387226E-2</v>
      </c>
      <c r="L366">
        <f t="shared" si="26"/>
        <v>-3.6545611527095678E-3</v>
      </c>
      <c r="M366" s="1">
        <f t="shared" si="27"/>
        <v>-8.974412015531218E-3</v>
      </c>
      <c r="N366" s="1">
        <f t="shared" si="28"/>
        <v>4.1174997911910485E-4</v>
      </c>
      <c r="O366" s="1">
        <f t="shared" si="29"/>
        <v>1.765474379691438E-4</v>
      </c>
    </row>
    <row r="367" spans="4:15" x14ac:dyDescent="0.25">
      <c r="D367" s="5">
        <v>45580</v>
      </c>
      <c r="E367" s="4">
        <v>5.0960607450440801E-2</v>
      </c>
      <c r="F367" s="4">
        <v>5.0976194117347197E-2</v>
      </c>
      <c r="G367" s="4">
        <v>5.0968396999999999E-2</v>
      </c>
      <c r="H367" s="4">
        <v>0.17717930545712299</v>
      </c>
      <c r="I367" s="4">
        <v>0.17721070352649301</v>
      </c>
      <c r="J367" s="4">
        <v>0.17719500999999999</v>
      </c>
      <c r="K367">
        <f t="shared" si="25"/>
        <v>-1.3532144050900863E-2</v>
      </c>
      <c r="L367">
        <f t="shared" si="26"/>
        <v>-7.486407025939501E-3</v>
      </c>
      <c r="M367" s="1">
        <f t="shared" si="27"/>
        <v>-1.0368756898015205E-2</v>
      </c>
      <c r="N367" s="1">
        <f t="shared" si="28"/>
        <v>3.0581042025701045E-4</v>
      </c>
      <c r="O367" s="1">
        <f t="shared" si="29"/>
        <v>1.7719499759065192E-4</v>
      </c>
    </row>
    <row r="368" spans="4:15" x14ac:dyDescent="0.25">
      <c r="D368" s="3">
        <v>45579</v>
      </c>
      <c r="E368" s="2">
        <v>5.1661164752620503E-2</v>
      </c>
      <c r="F368" s="2">
        <v>5.1673978534629302E-2</v>
      </c>
      <c r="G368" s="2">
        <v>5.1667570000000003E-2</v>
      </c>
      <c r="H368" s="2">
        <v>0.17851723583911999</v>
      </c>
      <c r="I368" s="2">
        <v>0.178545922011141</v>
      </c>
      <c r="J368" s="2">
        <v>0.17853157</v>
      </c>
      <c r="K368">
        <f t="shared" si="25"/>
        <v>6.7168140565243561E-3</v>
      </c>
      <c r="L368">
        <f t="shared" si="26"/>
        <v>6.9715797701397353E-3</v>
      </c>
      <c r="M368" s="1">
        <f t="shared" si="27"/>
        <v>6.8501183306135492E-3</v>
      </c>
      <c r="N368" s="1">
        <f t="shared" si="28"/>
        <v>2.4800434796524014E-4</v>
      </c>
      <c r="O368" s="1">
        <f t="shared" si="29"/>
        <v>1.6067842802821114E-4</v>
      </c>
    </row>
    <row r="369" spans="4:15" x14ac:dyDescent="0.25">
      <c r="D369" s="5">
        <v>45576</v>
      </c>
      <c r="E369" s="4">
        <v>5.1316262123466898E-2</v>
      </c>
      <c r="F369" s="4">
        <v>5.1329432296478801E-2</v>
      </c>
      <c r="G369" s="4">
        <v>5.1322843999999999E-2</v>
      </c>
      <c r="H369" s="4">
        <v>0.17728610431514399</v>
      </c>
      <c r="I369" s="4">
        <v>0.17730496453900699</v>
      </c>
      <c r="J369" s="4">
        <v>0.17729554</v>
      </c>
      <c r="K369">
        <f t="shared" si="25"/>
        <v>1.4626945377880229E-3</v>
      </c>
      <c r="L369">
        <f t="shared" si="26"/>
        <v>-1.0345084548407657E-2</v>
      </c>
      <c r="M369" s="1">
        <f t="shared" si="27"/>
        <v>-4.7156384778829774E-3</v>
      </c>
      <c r="N369" s="1">
        <f t="shared" si="28"/>
        <v>2.566142478757269E-4</v>
      </c>
      <c r="O369" s="1">
        <f t="shared" si="29"/>
        <v>1.0637731700974052E-4</v>
      </c>
    </row>
    <row r="370" spans="4:15" x14ac:dyDescent="0.25">
      <c r="D370" s="3">
        <v>45575</v>
      </c>
      <c r="E370" s="2">
        <v>5.1239220548976998E-2</v>
      </c>
      <c r="F370" s="2">
        <v>5.1256554431897999E-2</v>
      </c>
      <c r="G370" s="2">
        <v>5.1247884E-2</v>
      </c>
      <c r="H370" s="2">
        <v>0.179121587733754</v>
      </c>
      <c r="I370" s="2">
        <v>0.17917614807116899</v>
      </c>
      <c r="J370" s="2">
        <v>0.17914885</v>
      </c>
      <c r="K370">
        <f t="shared" si="25"/>
        <v>-4.4842019688716706E-3</v>
      </c>
      <c r="L370">
        <f t="shared" si="26"/>
        <v>-1.7033210910388785E-4</v>
      </c>
      <c r="M370" s="1">
        <f t="shared" si="27"/>
        <v>-2.2270014923595005E-3</v>
      </c>
      <c r="N370" s="1">
        <f t="shared" si="28"/>
        <v>3.3823607080053336E-4</v>
      </c>
      <c r="O370" s="1">
        <f t="shared" si="29"/>
        <v>3.0455309880579129E-4</v>
      </c>
    </row>
    <row r="371" spans="4:15" x14ac:dyDescent="0.25">
      <c r="D371" s="5">
        <v>45574</v>
      </c>
      <c r="E371" s="4">
        <v>5.1471307319734601E-2</v>
      </c>
      <c r="F371" s="4">
        <v>5.14861476519742E-2</v>
      </c>
      <c r="G371" s="4">
        <v>5.1478725000000003E-2</v>
      </c>
      <c r="H371" s="4">
        <v>0.17914725904693701</v>
      </c>
      <c r="I371" s="4">
        <v>0.17921146953405001</v>
      </c>
      <c r="J371" s="4">
        <v>0.17917937</v>
      </c>
      <c r="K371">
        <f t="shared" si="25"/>
        <v>-1.8018620695671173E-3</v>
      </c>
      <c r="L371">
        <f t="shared" si="26"/>
        <v>-9.7203381376452791E-3</v>
      </c>
      <c r="M371" s="1">
        <f t="shared" si="27"/>
        <v>-5.9451460663352482E-3</v>
      </c>
      <c r="N371" s="1">
        <f t="shared" si="28"/>
        <v>2.8828088185165851E-4</v>
      </c>
      <c r="O371" s="1">
        <f t="shared" si="29"/>
        <v>3.5835870565343442E-4</v>
      </c>
    </row>
    <row r="372" spans="4:15" x14ac:dyDescent="0.25">
      <c r="D372" s="3">
        <v>45573</v>
      </c>
      <c r="E372" s="2">
        <v>5.1564997679575099E-2</v>
      </c>
      <c r="F372" s="2">
        <v>5.1578295853105E-2</v>
      </c>
      <c r="G372" s="2">
        <v>5.1571649999999997E-2</v>
      </c>
      <c r="H372" s="2">
        <v>0.180920159933421</v>
      </c>
      <c r="I372" s="2">
        <v>0.180956172415041</v>
      </c>
      <c r="J372" s="2">
        <v>0.18093814999999999</v>
      </c>
      <c r="K372">
        <f t="shared" si="25"/>
        <v>-1.3665175509497418E-3</v>
      </c>
      <c r="L372">
        <f t="shared" si="26"/>
        <v>-9.0288613573715759E-3</v>
      </c>
      <c r="M372" s="1">
        <f t="shared" si="27"/>
        <v>-5.3757822374802845E-3</v>
      </c>
      <c r="N372" s="1">
        <f t="shared" si="28"/>
        <v>2.5785821337693577E-4</v>
      </c>
      <c r="O372" s="1">
        <f t="shared" si="29"/>
        <v>1.9903199861386788E-4</v>
      </c>
    </row>
    <row r="373" spans="4:15" x14ac:dyDescent="0.25">
      <c r="D373" s="5">
        <v>45572</v>
      </c>
      <c r="E373" s="4">
        <v>5.1635822868473201E-2</v>
      </c>
      <c r="F373" s="4">
        <v>5.1648624080654501E-2</v>
      </c>
      <c r="G373" s="4">
        <v>5.1642220000000003E-2</v>
      </c>
      <c r="H373" s="4">
        <v>0.18256170585657999</v>
      </c>
      <c r="I373" s="4">
        <v>0.182611712715254</v>
      </c>
      <c r="J373" s="4">
        <v>0.18258669999999999</v>
      </c>
      <c r="K373">
        <f t="shared" si="25"/>
        <v>-1.1645394224383487E-2</v>
      </c>
      <c r="L373">
        <f t="shared" si="26"/>
        <v>-3.8800226298284501E-3</v>
      </c>
      <c r="M373" s="1">
        <f t="shared" si="27"/>
        <v>-7.5822210102366797E-3</v>
      </c>
      <c r="N373" s="1">
        <f t="shared" si="28"/>
        <v>2.4788268554876402E-4</v>
      </c>
      <c r="O373" s="1">
        <f t="shared" si="29"/>
        <v>2.7388007272168301E-4</v>
      </c>
    </row>
    <row r="374" spans="4:15" x14ac:dyDescent="0.25">
      <c r="D374" s="3">
        <v>45569</v>
      </c>
      <c r="E374" s="2">
        <v>5.2243601464910597E-2</v>
      </c>
      <c r="F374" s="2">
        <v>5.2257798169931903E-2</v>
      </c>
      <c r="G374" s="2">
        <v>5.2250699999999997E-2</v>
      </c>
      <c r="H374" s="2">
        <v>0.18328445747800601</v>
      </c>
      <c r="I374" s="2">
        <v>0.18331133597301699</v>
      </c>
      <c r="J374" s="2">
        <v>0.18329790000000001</v>
      </c>
      <c r="K374">
        <f t="shared" si="25"/>
        <v>2.1083159885058711E-2</v>
      </c>
      <c r="L374">
        <f t="shared" si="26"/>
        <v>7.1761435536417117E-3</v>
      </c>
      <c r="M374" s="1">
        <f t="shared" si="27"/>
        <v>1.3806416517601915E-2</v>
      </c>
      <c r="N374" s="1">
        <f t="shared" si="28"/>
        <v>2.7170363308637525E-4</v>
      </c>
      <c r="O374" s="1">
        <f t="shared" si="29"/>
        <v>1.4663831397405318E-4</v>
      </c>
    </row>
    <row r="375" spans="4:15" x14ac:dyDescent="0.25">
      <c r="D375" s="5">
        <v>45568</v>
      </c>
      <c r="E375" s="4">
        <v>5.1162671714716897E-2</v>
      </c>
      <c r="F375" s="4">
        <v>5.1181001612201599E-2</v>
      </c>
      <c r="G375" s="4">
        <v>5.1171835999999998E-2</v>
      </c>
      <c r="H375" s="4">
        <v>0.181963752820438</v>
      </c>
      <c r="I375" s="4">
        <v>0.182020058610459</v>
      </c>
      <c r="J375" s="4">
        <v>0.18199190000000001</v>
      </c>
      <c r="K375">
        <f t="shared" si="25"/>
        <v>-4.68220217005344E-3</v>
      </c>
      <c r="L375">
        <f t="shared" si="26"/>
        <v>-1.1037798459117343E-2</v>
      </c>
      <c r="M375" s="1">
        <f t="shared" si="27"/>
        <v>-8.0077208895648951E-3</v>
      </c>
      <c r="N375" s="1">
        <f t="shared" si="28"/>
        <v>3.5820284980007548E-4</v>
      </c>
      <c r="O375" s="1">
        <f t="shared" si="29"/>
        <v>3.0938624203054945E-4</v>
      </c>
    </row>
    <row r="376" spans="4:15" x14ac:dyDescent="0.25">
      <c r="D376" s="3">
        <v>45567</v>
      </c>
      <c r="E376" s="2">
        <v>5.1404103075507503E-2</v>
      </c>
      <c r="F376" s="2">
        <v>5.1421019884508402E-2</v>
      </c>
      <c r="G376" s="2">
        <v>5.1412560000000003E-2</v>
      </c>
      <c r="H376" s="2">
        <v>0.18401295451199801</v>
      </c>
      <c r="I376" s="2">
        <v>0.18403327321579699</v>
      </c>
      <c r="J376" s="2">
        <v>0.18402310999999999</v>
      </c>
      <c r="K376">
        <f t="shared" si="25"/>
        <v>1.4524040437494889E-2</v>
      </c>
      <c r="L376">
        <f t="shared" si="26"/>
        <v>5.6586332465604627E-3</v>
      </c>
      <c r="M376" s="1">
        <f t="shared" si="27"/>
        <v>9.8852817390744398E-3</v>
      </c>
      <c r="N376" s="1">
        <f t="shared" si="28"/>
        <v>3.2904039403795017E-4</v>
      </c>
      <c r="O376" s="1">
        <f t="shared" si="29"/>
        <v>1.1041387029587049E-4</v>
      </c>
    </row>
    <row r="377" spans="4:15" x14ac:dyDescent="0.25">
      <c r="D377" s="5">
        <v>45566</v>
      </c>
      <c r="E377" s="4">
        <v>5.06649778340722E-2</v>
      </c>
      <c r="F377" s="4">
        <v>5.0688090833058801E-2</v>
      </c>
      <c r="G377" s="4">
        <v>5.0676532000000003E-2</v>
      </c>
      <c r="H377" s="4">
        <v>0.182959181806539</v>
      </c>
      <c r="I377" s="4">
        <v>0.183016105417277</v>
      </c>
      <c r="J377" s="4">
        <v>0.18298765</v>
      </c>
      <c r="K377">
        <f t="shared" si="25"/>
        <v>-6.6386872964895316E-3</v>
      </c>
      <c r="L377">
        <f t="shared" si="26"/>
        <v>-3.4858565766884286E-3</v>
      </c>
      <c r="M377" s="1">
        <f t="shared" si="27"/>
        <v>-4.9889919569364866E-3</v>
      </c>
      <c r="N377" s="1">
        <f t="shared" si="28"/>
        <v>4.560888062861231E-4</v>
      </c>
      <c r="O377" s="1">
        <f t="shared" si="29"/>
        <v>3.1107897575602633E-4</v>
      </c>
    </row>
    <row r="378" spans="4:15" x14ac:dyDescent="0.25">
      <c r="D378" s="3">
        <v>45565</v>
      </c>
      <c r="E378" s="2">
        <v>5.10089571728796E-2</v>
      </c>
      <c r="F378" s="2">
        <v>5.10214494173351E-2</v>
      </c>
      <c r="G378" s="2">
        <v>5.1015206E-2</v>
      </c>
      <c r="H378" s="2">
        <v>0.18360414945377801</v>
      </c>
      <c r="I378" s="2">
        <v>0.18365135626526599</v>
      </c>
      <c r="J378" s="2">
        <v>0.18362775000000001</v>
      </c>
      <c r="K378">
        <f t="shared" si="25"/>
        <v>1.0458399634487581E-3</v>
      </c>
      <c r="L378">
        <f t="shared" si="26"/>
        <v>-1.9463995765761632E-3</v>
      </c>
      <c r="M378" s="1">
        <f t="shared" si="27"/>
        <v>-5.1982722984630881E-4</v>
      </c>
      <c r="N378" s="1">
        <f t="shared" si="28"/>
        <v>2.4487295916241809E-4</v>
      </c>
      <c r="O378" s="1">
        <f t="shared" si="29"/>
        <v>2.5707885375702747E-4</v>
      </c>
    </row>
    <row r="379" spans="4:15" x14ac:dyDescent="0.25">
      <c r="D379" s="5">
        <v>45562</v>
      </c>
      <c r="E379" s="4">
        <v>5.0957231595521901E-2</v>
      </c>
      <c r="F379" s="4">
        <v>5.09665812126988E-2</v>
      </c>
      <c r="G379" s="4">
        <v>5.0961908E-2</v>
      </c>
      <c r="H379" s="4">
        <v>0.183968946041908</v>
      </c>
      <c r="I379" s="4">
        <v>0.184002796842512</v>
      </c>
      <c r="J379" s="4">
        <v>0.18398586</v>
      </c>
      <c r="K379">
        <f t="shared" si="25"/>
        <v>-3.2360755571967381E-3</v>
      </c>
      <c r="L379">
        <f t="shared" si="26"/>
        <v>8.8307519717401028E-4</v>
      </c>
      <c r="M379" s="1">
        <f t="shared" si="27"/>
        <v>-1.0807604114376544E-3</v>
      </c>
      <c r="N379" s="1">
        <f t="shared" si="28"/>
        <v>1.8346285576471429E-4</v>
      </c>
      <c r="O379" s="1">
        <f t="shared" si="29"/>
        <v>1.8398588132806346E-4</v>
      </c>
    </row>
    <row r="380" spans="4:15" x14ac:dyDescent="0.25">
      <c r="D380" s="3">
        <v>45561</v>
      </c>
      <c r="E380" s="2">
        <v>5.1120562735154598E-2</v>
      </c>
      <c r="F380" s="2">
        <v>5.1134155570554903E-2</v>
      </c>
      <c r="G380" s="2">
        <v>5.1127359999999997E-2</v>
      </c>
      <c r="H380" s="2">
        <v>0.183803256993714</v>
      </c>
      <c r="I380" s="2">
        <v>0.18384380630216601</v>
      </c>
      <c r="J380" s="2">
        <v>0.18382353000000001</v>
      </c>
      <c r="K380">
        <f t="shared" si="25"/>
        <v>-3.7322510548991605E-3</v>
      </c>
      <c r="L380">
        <f t="shared" si="26"/>
        <v>9.3290588942245289E-3</v>
      </c>
      <c r="M380" s="1">
        <f t="shared" si="27"/>
        <v>3.1019827072250776E-3</v>
      </c>
      <c r="N380" s="1">
        <f t="shared" si="28"/>
        <v>2.6586225849142727E-4</v>
      </c>
      <c r="O380" s="1">
        <f t="shared" si="29"/>
        <v>2.2058823727307794E-4</v>
      </c>
    </row>
    <row r="381" spans="4:15" x14ac:dyDescent="0.25">
      <c r="D381" s="5">
        <v>45560</v>
      </c>
      <c r="E381" s="4">
        <v>5.1313892210038001E-2</v>
      </c>
      <c r="F381" s="4">
        <v>5.1323900000513199E-2</v>
      </c>
      <c r="G381" s="4">
        <v>5.1318895000000003E-2</v>
      </c>
      <c r="H381" s="4">
        <v>0.182102924572969</v>
      </c>
      <c r="I381" s="4">
        <v>0.18214604469863899</v>
      </c>
      <c r="J381" s="4">
        <v>0.18212448000000001</v>
      </c>
      <c r="K381">
        <f t="shared" si="25"/>
        <v>-8.8011928171767284E-3</v>
      </c>
      <c r="L381">
        <f t="shared" si="26"/>
        <v>-4.5713058285420383E-3</v>
      </c>
      <c r="M381" s="1">
        <f t="shared" si="27"/>
        <v>-6.5879357564148609E-3</v>
      </c>
      <c r="N381" s="1">
        <f t="shared" si="28"/>
        <v>1.9501180754571124E-4</v>
      </c>
      <c r="O381" s="1">
        <f t="shared" si="29"/>
        <v>2.3676183273100917E-4</v>
      </c>
    </row>
    <row r="382" spans="4:15" x14ac:dyDescent="0.25">
      <c r="D382" s="3">
        <v>45559</v>
      </c>
      <c r="E382" s="2">
        <v>5.17651930841702E-2</v>
      </c>
      <c r="F382" s="2">
        <v>5.1783957330019198E-2</v>
      </c>
      <c r="G382" s="2">
        <v>5.1774572999999997E-2</v>
      </c>
      <c r="H382" s="2">
        <v>0.18293575296355899</v>
      </c>
      <c r="I382" s="2">
        <v>0.182985964976486</v>
      </c>
      <c r="J382" s="2">
        <v>0.18296085000000001</v>
      </c>
      <c r="K382">
        <f t="shared" si="25"/>
        <v>1.4237258434151023E-3</v>
      </c>
      <c r="L382">
        <f t="shared" si="26"/>
        <v>1.2770671059304739E-2</v>
      </c>
      <c r="M382" s="1">
        <f t="shared" si="27"/>
        <v>7.3609309471504968E-3</v>
      </c>
      <c r="N382" s="1">
        <f t="shared" si="28"/>
        <v>3.6242202999913463E-4</v>
      </c>
      <c r="O382" s="1">
        <f t="shared" si="29"/>
        <v>2.7444129674197783E-4</v>
      </c>
    </row>
    <row r="383" spans="4:15" x14ac:dyDescent="0.25">
      <c r="D383" s="5">
        <v>45558</v>
      </c>
      <c r="E383" s="4">
        <v>5.1694547259155101E-2</v>
      </c>
      <c r="F383" s="4">
        <v>5.1707377608637202E-2</v>
      </c>
      <c r="G383" s="4">
        <v>5.1700965000000002E-2</v>
      </c>
      <c r="H383" s="4">
        <v>0.18062931252483699</v>
      </c>
      <c r="I383" s="4">
        <v>0.18067826621135699</v>
      </c>
      <c r="J383" s="4">
        <v>0.18065378000000001</v>
      </c>
      <c r="K383">
        <f t="shared" si="25"/>
        <v>4.9123783419569023E-4</v>
      </c>
      <c r="L383">
        <f t="shared" si="26"/>
        <v>-7.668831878997473E-3</v>
      </c>
      <c r="M383" s="1">
        <f t="shared" si="27"/>
        <v>-3.7784582493073085E-3</v>
      </c>
      <c r="N383" s="1">
        <f t="shared" si="28"/>
        <v>2.4816460354466069E-4</v>
      </c>
      <c r="O383" s="1">
        <f t="shared" si="29"/>
        <v>2.7098069312470508E-4</v>
      </c>
    </row>
    <row r="384" spans="4:15" x14ac:dyDescent="0.25">
      <c r="D384" s="3">
        <v>45555</v>
      </c>
      <c r="E384" s="2">
        <v>5.1664901449200502E-2</v>
      </c>
      <c r="F384" s="2">
        <v>5.1686264375242298E-2</v>
      </c>
      <c r="G384" s="2">
        <v>5.1675579999999999E-2</v>
      </c>
      <c r="H384" s="2">
        <v>0.18203662576910501</v>
      </c>
      <c r="I384" s="2">
        <v>0.18206313949677699</v>
      </c>
      <c r="J384" s="2">
        <v>0.18204988999999999</v>
      </c>
      <c r="K384">
        <f t="shared" si="25"/>
        <v>-1.2402842595766739E-3</v>
      </c>
      <c r="L384">
        <f t="shared" si="26"/>
        <v>-1.2497702109784625E-2</v>
      </c>
      <c r="M384" s="1">
        <f t="shared" si="27"/>
        <v>-7.130644831824867E-3</v>
      </c>
      <c r="N384" s="1">
        <f t="shared" si="28"/>
        <v>4.1340466893251694E-4</v>
      </c>
      <c r="O384" s="1">
        <f t="shared" si="29"/>
        <v>1.4563989943626999E-4</v>
      </c>
    </row>
    <row r="385" spans="4:15" x14ac:dyDescent="0.25">
      <c r="D385" s="5">
        <v>45554</v>
      </c>
      <c r="E385" s="4">
        <v>5.1730381252909803E-2</v>
      </c>
      <c r="F385" s="4">
        <v>5.1749120264955498E-2</v>
      </c>
      <c r="G385" s="4">
        <v>5.1739752E-2</v>
      </c>
      <c r="H385" s="4">
        <v>0.18432500184325001</v>
      </c>
      <c r="I385" s="4">
        <v>0.18438277864847399</v>
      </c>
      <c r="J385" s="4">
        <v>0.18435388999999999</v>
      </c>
      <c r="K385">
        <f t="shared" si="25"/>
        <v>-7.1141742615089543E-3</v>
      </c>
      <c r="L385">
        <f t="shared" si="26"/>
        <v>8.2038222997729005E-3</v>
      </c>
      <c r="M385" s="1">
        <f t="shared" si="27"/>
        <v>9.0085406834391037E-4</v>
      </c>
      <c r="N385" s="1">
        <f t="shared" si="28"/>
        <v>3.6217823474868143E-4</v>
      </c>
      <c r="O385" s="1">
        <f t="shared" si="29"/>
        <v>3.1340160613904167E-4</v>
      </c>
    </row>
    <row r="386" spans="4:15" x14ac:dyDescent="0.25">
      <c r="D386" s="3">
        <v>45553</v>
      </c>
      <c r="E386" s="2">
        <v>5.21039578166358E-2</v>
      </c>
      <c r="F386" s="2">
        <v>5.2116992224144801E-2</v>
      </c>
      <c r="G386" s="2">
        <v>5.2110475000000003E-2</v>
      </c>
      <c r="H386" s="2">
        <v>0.18283541156251101</v>
      </c>
      <c r="I386" s="2">
        <v>0.18287219062597199</v>
      </c>
      <c r="J386" s="2">
        <v>0.18285378999999999</v>
      </c>
      <c r="K386">
        <f t="shared" si="25"/>
        <v>4.9375132618820761E-3</v>
      </c>
      <c r="L386">
        <f t="shared" si="26"/>
        <v>6.6009856392916788E-3</v>
      </c>
      <c r="M386" s="1">
        <f t="shared" si="27"/>
        <v>5.8079128717478928E-3</v>
      </c>
      <c r="N386" s="1">
        <f t="shared" si="28"/>
        <v>2.5013027628323885E-4</v>
      </c>
      <c r="O386" s="1">
        <f t="shared" si="29"/>
        <v>2.0113919137783944E-4</v>
      </c>
    </row>
    <row r="387" spans="4:15" x14ac:dyDescent="0.25">
      <c r="D387" s="5">
        <v>45552</v>
      </c>
      <c r="E387" s="4">
        <v>5.1847051198963101E-2</v>
      </c>
      <c r="F387" s="4">
        <v>5.18618400580853E-2</v>
      </c>
      <c r="G387" s="4">
        <v>5.1854443E-2</v>
      </c>
      <c r="H387" s="4">
        <v>0.18163324614937501</v>
      </c>
      <c r="I387" s="4">
        <v>0.18167614410551799</v>
      </c>
      <c r="J387" s="4">
        <v>0.18165469000000001</v>
      </c>
      <c r="K387">
        <f t="shared" si="25"/>
        <v>-6.092773750234759E-4</v>
      </c>
      <c r="L387">
        <f t="shared" si="26"/>
        <v>8.4473191579781393E-4</v>
      </c>
      <c r="M387" s="1">
        <f t="shared" si="27"/>
        <v>1.5152222505338133E-4</v>
      </c>
      <c r="N387" s="1">
        <f t="shared" si="28"/>
        <v>2.8519945961426454E-4</v>
      </c>
      <c r="O387" s="1">
        <f t="shared" si="29"/>
        <v>2.3615110704262193E-4</v>
      </c>
    </row>
    <row r="388" spans="4:15" x14ac:dyDescent="0.25">
      <c r="D388" s="3">
        <v>45551</v>
      </c>
      <c r="E388" s="2">
        <v>5.1873946310465602E-2</v>
      </c>
      <c r="F388" s="2">
        <v>5.1898175779121397E-2</v>
      </c>
      <c r="G388" s="2">
        <v>5.1886056E-2</v>
      </c>
      <c r="H388" s="2">
        <v>0.18146844263782499</v>
      </c>
      <c r="I388" s="2">
        <v>0.18153432814145201</v>
      </c>
      <c r="J388" s="2">
        <v>0.18150137</v>
      </c>
      <c r="K388">
        <f t="shared" si="25"/>
        <v>1.245235425911595E-3</v>
      </c>
      <c r="L388">
        <f t="shared" si="26"/>
        <v>7.677444829104596E-3</v>
      </c>
      <c r="M388" s="1">
        <f t="shared" si="27"/>
        <v>4.6108413903657129E-3</v>
      </c>
      <c r="N388" s="1">
        <f t="shared" si="28"/>
        <v>4.6697456934856134E-4</v>
      </c>
      <c r="O388" s="1">
        <f t="shared" si="29"/>
        <v>3.6300278960438E-4</v>
      </c>
    </row>
    <row r="389" spans="4:15" x14ac:dyDescent="0.25">
      <c r="D389" s="5">
        <v>45548</v>
      </c>
      <c r="E389" s="4">
        <v>5.1811055443010401E-2</v>
      </c>
      <c r="F389" s="4">
        <v>5.1832002114745701E-2</v>
      </c>
      <c r="G389" s="4">
        <v>5.1821526E-2</v>
      </c>
      <c r="H389" s="4">
        <v>0.18009905447996399</v>
      </c>
      <c r="I389" s="4">
        <v>0.18013798569704401</v>
      </c>
      <c r="J389" s="4">
        <v>0.18011852</v>
      </c>
      <c r="K389">
        <f t="shared" si="25"/>
        <v>1.9614487283891036E-2</v>
      </c>
      <c r="L389">
        <f t="shared" si="26"/>
        <v>2.1163984567892591E-2</v>
      </c>
      <c r="M389" s="1">
        <f t="shared" si="27"/>
        <v>2.0425250269678209E-2</v>
      </c>
      <c r="N389" s="1">
        <f t="shared" si="28"/>
        <v>4.0420792964105653E-4</v>
      </c>
      <c r="O389" s="1">
        <f t="shared" si="29"/>
        <v>2.1614222168832322E-4</v>
      </c>
    </row>
    <row r="390" spans="4:15" x14ac:dyDescent="0.25">
      <c r="D390" s="3">
        <v>45547</v>
      </c>
      <c r="E390" s="2">
        <v>5.0817656086430699E-2</v>
      </c>
      <c r="F390" s="2">
        <v>5.0831605058761303E-2</v>
      </c>
      <c r="G390" s="2">
        <v>5.0824626999999997E-2</v>
      </c>
      <c r="H390" s="2">
        <v>0.176357511948221</v>
      </c>
      <c r="I390" s="2">
        <v>0.17641351327511701</v>
      </c>
      <c r="J390" s="2">
        <v>0.1763855</v>
      </c>
      <c r="K390">
        <f t="shared" si="25"/>
        <v>1.3341392804451679E-2</v>
      </c>
      <c r="L390">
        <f t="shared" si="26"/>
        <v>-1.6580969552313363E-3</v>
      </c>
      <c r="M390" s="1">
        <f t="shared" si="27"/>
        <v>5.4930208012178025E-3</v>
      </c>
      <c r="N390" s="1">
        <f t="shared" si="28"/>
        <v>2.7445301921457603E-4</v>
      </c>
      <c r="O390" s="1">
        <f t="shared" si="29"/>
        <v>3.1749393740420967E-4</v>
      </c>
    </row>
    <row r="391" spans="4:15" x14ac:dyDescent="0.25">
      <c r="D391" s="5">
        <v>45546</v>
      </c>
      <c r="E391" s="4">
        <v>5.0148690868424897E-2</v>
      </c>
      <c r="F391" s="4">
        <v>5.0162274959493998E-2</v>
      </c>
      <c r="G391" s="4">
        <v>5.0155483000000001E-2</v>
      </c>
      <c r="H391" s="4">
        <v>0.17665347654041799</v>
      </c>
      <c r="I391" s="4">
        <v>0.17670342097823</v>
      </c>
      <c r="J391" s="4">
        <v>0.17667844999999999</v>
      </c>
      <c r="K391">
        <f t="shared" si="25"/>
        <v>6.4700622438196298E-3</v>
      </c>
      <c r="L391">
        <f t="shared" si="26"/>
        <v>-5.476960952300769E-3</v>
      </c>
      <c r="M391" s="1">
        <f t="shared" si="27"/>
        <v>2.1887077819749681E-4</v>
      </c>
      <c r="N391" s="1">
        <f t="shared" si="28"/>
        <v>2.7083960230431215E-4</v>
      </c>
      <c r="O391" s="1">
        <f t="shared" si="29"/>
        <v>2.8268551038344001E-4</v>
      </c>
    </row>
    <row r="392" spans="4:15" x14ac:dyDescent="0.25">
      <c r="D392" s="3">
        <v>45545</v>
      </c>
      <c r="E392" s="2">
        <v>4.9826851690375901E-2</v>
      </c>
      <c r="F392" s="2">
        <v>4.9839268359540501E-2</v>
      </c>
      <c r="G392" s="2">
        <v>4.9833059999999998E-2</v>
      </c>
      <c r="H392" s="2">
        <v>0.17763251385533599</v>
      </c>
      <c r="I392" s="2">
        <v>0.177670385900078</v>
      </c>
      <c r="J392" s="2">
        <v>0.17765143999999999</v>
      </c>
      <c r="K392">
        <f t="shared" si="25"/>
        <v>-9.5430225070161079E-3</v>
      </c>
      <c r="L392">
        <f t="shared" si="26"/>
        <v>-5.1874309124650964E-3</v>
      </c>
      <c r="M392" s="1">
        <f t="shared" si="27"/>
        <v>-7.2639914415675595E-3</v>
      </c>
      <c r="N392" s="1">
        <f t="shared" si="28"/>
        <v>2.4916529638356415E-4</v>
      </c>
      <c r="O392" s="1">
        <f t="shared" si="29"/>
        <v>2.131817492839349E-4</v>
      </c>
    </row>
    <row r="393" spans="4:15" x14ac:dyDescent="0.25">
      <c r="D393" s="5">
        <v>45544</v>
      </c>
      <c r="E393" s="4">
        <v>5.0305353495718998E-2</v>
      </c>
      <c r="F393" s="4">
        <v>5.0321048288077902E-2</v>
      </c>
      <c r="G393" s="4">
        <v>5.0313200000000002E-2</v>
      </c>
      <c r="H393" s="4">
        <v>0.178542734203432</v>
      </c>
      <c r="I393" s="4">
        <v>0.178612892278565</v>
      </c>
      <c r="J393" s="4">
        <v>0.17857780000000001</v>
      </c>
      <c r="K393">
        <f t="shared" si="25"/>
        <v>6.8425720155831371E-3</v>
      </c>
      <c r="L393">
        <f t="shared" si="26"/>
        <v>-2.6429895432603656E-3</v>
      </c>
      <c r="M393" s="1">
        <f t="shared" si="27"/>
        <v>1.8793221340116916E-3</v>
      </c>
      <c r="N393" s="1">
        <f t="shared" si="28"/>
        <v>3.1194184347058639E-4</v>
      </c>
      <c r="O393" s="1">
        <f t="shared" si="29"/>
        <v>3.9287120310026083E-4</v>
      </c>
    </row>
    <row r="394" spans="4:15" x14ac:dyDescent="0.25">
      <c r="D394" s="3">
        <v>45541</v>
      </c>
      <c r="E394" s="2">
        <v>4.9961030396290899E-2</v>
      </c>
      <c r="F394" s="2">
        <v>4.9981506842468298E-2</v>
      </c>
      <c r="G394" s="2">
        <v>4.9971267999999999E-2</v>
      </c>
      <c r="H394" s="2">
        <v>0.179002953548734</v>
      </c>
      <c r="I394" s="2">
        <v>0.17909913136921299</v>
      </c>
      <c r="J394" s="2">
        <v>0.17905103</v>
      </c>
      <c r="K394">
        <f t="shared" si="25"/>
        <v>-3.5479532622607612E-3</v>
      </c>
      <c r="L394">
        <f t="shared" si="26"/>
        <v>4.5747301395653306E-3</v>
      </c>
      <c r="M394" s="1">
        <f t="shared" si="27"/>
        <v>7.0218071052123186E-4</v>
      </c>
      <c r="N394" s="1">
        <f t="shared" si="28"/>
        <v>4.0976439055737031E-4</v>
      </c>
      <c r="O394" s="1">
        <f t="shared" si="29"/>
        <v>5.3715312600543629E-4</v>
      </c>
    </row>
    <row r="395" spans="4:15" x14ac:dyDescent="0.25">
      <c r="D395" s="5">
        <v>45540</v>
      </c>
      <c r="E395" s="4">
        <v>5.0141901581475599E-2</v>
      </c>
      <c r="F395" s="4">
        <v>5.0156488243319197E-2</v>
      </c>
      <c r="G395" s="4">
        <v>5.0149195000000001E-2</v>
      </c>
      <c r="H395" s="4">
        <v>0.17822452725944099</v>
      </c>
      <c r="I395" s="4">
        <v>0.17824676482121901</v>
      </c>
      <c r="J395" s="4">
        <v>0.17823565</v>
      </c>
      <c r="K395">
        <f t="shared" si="25"/>
        <v>-1.100769067752394E-2</v>
      </c>
      <c r="L395">
        <f t="shared" si="26"/>
        <v>1.8447794063711775E-3</v>
      </c>
      <c r="M395" s="1">
        <f t="shared" si="27"/>
        <v>-4.2827308292247334E-3</v>
      </c>
      <c r="N395" s="1">
        <f t="shared" si="28"/>
        <v>2.9086532383217214E-4</v>
      </c>
      <c r="O395" s="1">
        <f t="shared" si="29"/>
        <v>1.2476494897637638E-4</v>
      </c>
    </row>
    <row r="396" spans="4:15" x14ac:dyDescent="0.25">
      <c r="D396" s="3">
        <v>45539</v>
      </c>
      <c r="E396" s="2">
        <v>5.0701197562286401E-2</v>
      </c>
      <c r="F396" s="2">
        <v>5.0713539500775902E-2</v>
      </c>
      <c r="G396" s="2">
        <v>5.0707365999999997E-2</v>
      </c>
      <c r="H396" s="2">
        <v>0.17787580711147499</v>
      </c>
      <c r="I396" s="2">
        <v>0.17793910923681899</v>
      </c>
      <c r="J396" s="2">
        <v>0.17790744999999999</v>
      </c>
      <c r="K396">
        <f t="shared" si="25"/>
        <v>5.6538691175935796E-3</v>
      </c>
      <c r="L396">
        <f t="shared" si="26"/>
        <v>2.5708469227463393E-3</v>
      </c>
      <c r="M396" s="1">
        <f t="shared" si="27"/>
        <v>4.0407005720590611E-3</v>
      </c>
      <c r="N396" s="1">
        <f t="shared" si="28"/>
        <v>2.4339537749802341E-4</v>
      </c>
      <c r="O396" s="1">
        <f t="shared" si="29"/>
        <v>3.5581492143246535E-4</v>
      </c>
    </row>
    <row r="397" spans="4:15" x14ac:dyDescent="0.25">
      <c r="D397" s="5">
        <v>45538</v>
      </c>
      <c r="E397" s="4">
        <v>5.0413389796329901E-2</v>
      </c>
      <c r="F397" s="4">
        <v>5.0431186645821802E-2</v>
      </c>
      <c r="G397" s="4">
        <v>5.0422284999999997E-2</v>
      </c>
      <c r="H397" s="4">
        <v>0.17742765387413301</v>
      </c>
      <c r="I397" s="4">
        <v>0.17747488730344699</v>
      </c>
      <c r="J397" s="4">
        <v>0.17745125</v>
      </c>
      <c r="K397">
        <f t="shared" si="25"/>
        <v>-2.3698873872661785E-3</v>
      </c>
      <c r="L397">
        <f t="shared" si="26"/>
        <v>6.2986513724649917E-4</v>
      </c>
      <c r="M397" s="1">
        <f t="shared" si="27"/>
        <v>-8.0028908044264141E-4</v>
      </c>
      <c r="N397" s="1">
        <f t="shared" si="28"/>
        <v>3.5295602910302286E-4</v>
      </c>
      <c r="O397" s="1">
        <f t="shared" si="29"/>
        <v>2.6617693205306181E-4</v>
      </c>
    </row>
    <row r="398" spans="4:15" x14ac:dyDescent="0.25">
      <c r="D398" s="3">
        <v>45537</v>
      </c>
      <c r="E398" s="2">
        <v>5.0535933575568903E-2</v>
      </c>
      <c r="F398" s="2">
        <v>5.05481951766912E-2</v>
      </c>
      <c r="G398" s="2">
        <v>5.0542063999999998E-2</v>
      </c>
      <c r="H398" s="2">
        <v>0.17731125217206301</v>
      </c>
      <c r="I398" s="2">
        <v>0.17736786094359699</v>
      </c>
      <c r="J398" s="2">
        <v>0.17733955000000001</v>
      </c>
      <c r="K398">
        <f t="shared" si="25"/>
        <v>-7.1264156784484056E-3</v>
      </c>
      <c r="L398">
        <f t="shared" si="26"/>
        <v>4.3270442388667618E-3</v>
      </c>
      <c r="M398" s="1">
        <f t="shared" si="27"/>
        <v>-1.1334775455237151E-3</v>
      </c>
      <c r="N398" s="1">
        <f t="shared" si="28"/>
        <v>2.4260190724101206E-4</v>
      </c>
      <c r="O398" s="1">
        <f t="shared" si="29"/>
        <v>3.1921120547553623E-4</v>
      </c>
    </row>
    <row r="399" spans="4:15" x14ac:dyDescent="0.25">
      <c r="D399" s="5">
        <v>45534</v>
      </c>
      <c r="E399" s="4">
        <v>5.0900428581608703E-2</v>
      </c>
      <c r="F399" s="4">
        <v>5.0909239008695303E-2</v>
      </c>
      <c r="G399" s="4">
        <v>5.0904832999999997E-2</v>
      </c>
      <c r="H399" s="4">
        <v>0.17655990677636901</v>
      </c>
      <c r="I399" s="4">
        <v>0.176591085681995</v>
      </c>
      <c r="J399" s="4">
        <v>0.1765755</v>
      </c>
      <c r="K399">
        <f t="shared" si="25"/>
        <v>1.1288061993820264E-2</v>
      </c>
      <c r="L399">
        <f t="shared" si="26"/>
        <v>-4.1848087899256647E-3</v>
      </c>
      <c r="M399" s="1">
        <f t="shared" si="27"/>
        <v>3.1919968733109061E-3</v>
      </c>
      <c r="N399" s="1">
        <f t="shared" si="28"/>
        <v>1.730764363100883E-4</v>
      </c>
      <c r="O399" s="1">
        <f t="shared" si="29"/>
        <v>1.7657549108445787E-4</v>
      </c>
    </row>
    <row r="400" spans="4:15" x14ac:dyDescent="0.25">
      <c r="D400" s="3">
        <v>45533</v>
      </c>
      <c r="E400" s="2">
        <v>5.0328899357299998E-2</v>
      </c>
      <c r="F400" s="2">
        <v>5.0344355390873598E-2</v>
      </c>
      <c r="G400" s="2">
        <v>5.033663E-2</v>
      </c>
      <c r="H400" s="2">
        <v>0.17730182088970101</v>
      </c>
      <c r="I400" s="2">
        <v>0.177333262400028</v>
      </c>
      <c r="J400" s="2">
        <v>0.17731754</v>
      </c>
      <c r="K400">
        <f t="shared" ref="K400:K463" si="30">G400/G401-1</f>
        <v>-1.8511155667786383E-2</v>
      </c>
      <c r="L400">
        <f t="shared" ref="L400:L463" si="31">J400/J401-1</f>
        <v>-2.0063391703150968E-2</v>
      </c>
      <c r="M400" s="1">
        <f t="shared" ref="M400:M463" si="32">SUMPRODUCT(K400:L400,$O$11:$P$11)</f>
        <v>-1.9323351684954342E-2</v>
      </c>
      <c r="N400" s="1">
        <f t="shared" ref="N400:N463" si="33">(F400-E400)/G400</f>
        <v>3.070534037260591E-4</v>
      </c>
      <c r="O400" s="1">
        <f t="shared" ref="O400:O463" si="34">(I400-H400)/J400</f>
        <v>1.7731754189120855E-4</v>
      </c>
    </row>
    <row r="401" spans="4:15" x14ac:dyDescent="0.25">
      <c r="D401" s="5">
        <v>45532</v>
      </c>
      <c r="E401" s="4">
        <v>5.1281262339553803E-2</v>
      </c>
      <c r="F401" s="4">
        <v>5.1290731251955497E-2</v>
      </c>
      <c r="G401" s="4">
        <v>5.1285993000000002E-2</v>
      </c>
      <c r="H401" s="4">
        <v>0.18092670659116</v>
      </c>
      <c r="I401" s="4">
        <v>0.18096927141771299</v>
      </c>
      <c r="J401" s="4">
        <v>0.18094797000000001</v>
      </c>
      <c r="K401">
        <f t="shared" si="30"/>
        <v>9.1288532539599565E-3</v>
      </c>
      <c r="L401">
        <f t="shared" si="31"/>
        <v>-5.4737207978635682E-3</v>
      </c>
      <c r="M401" s="1">
        <f t="shared" si="32"/>
        <v>1.4881644572296332E-3</v>
      </c>
      <c r="N401" s="1">
        <f t="shared" si="33"/>
        <v>1.8462960055573948E-4</v>
      </c>
      <c r="O401" s="1">
        <f t="shared" si="34"/>
        <v>2.3523240715542514E-4</v>
      </c>
    </row>
    <row r="402" spans="4:15" x14ac:dyDescent="0.25">
      <c r="D402" s="3">
        <v>45531</v>
      </c>
      <c r="E402" s="2">
        <v>5.0814557354390902E-2</v>
      </c>
      <c r="F402" s="2">
        <v>5.08295380611581E-2</v>
      </c>
      <c r="G402" s="2">
        <v>5.0822046000000003E-2</v>
      </c>
      <c r="H402" s="2">
        <v>0.18192402852568801</v>
      </c>
      <c r="I402" s="2">
        <v>0.181963752820438</v>
      </c>
      <c r="J402" s="2">
        <v>0.18194388</v>
      </c>
      <c r="K402">
        <f t="shared" si="30"/>
        <v>-1.5195720517518718E-2</v>
      </c>
      <c r="L402">
        <f t="shared" si="31"/>
        <v>-9.1785701821223142E-6</v>
      </c>
      <c r="M402" s="1">
        <f t="shared" si="32"/>
        <v>-7.2494748414969855E-3</v>
      </c>
      <c r="N402" s="1">
        <f t="shared" si="33"/>
        <v>2.9476788020691043E-4</v>
      </c>
      <c r="O402" s="1">
        <f t="shared" si="34"/>
        <v>2.1833267901065522E-4</v>
      </c>
    </row>
    <row r="403" spans="4:15" x14ac:dyDescent="0.25">
      <c r="D403" s="5">
        <v>45530</v>
      </c>
      <c r="E403" s="4">
        <v>5.1598255978947898E-2</v>
      </c>
      <c r="F403" s="4">
        <v>5.1614235206069801E-2</v>
      </c>
      <c r="G403" s="4">
        <v>5.1606239999999998E-2</v>
      </c>
      <c r="H403" s="4">
        <v>0.18192402852568801</v>
      </c>
      <c r="I403" s="4">
        <v>0.18196706396142301</v>
      </c>
      <c r="J403" s="4">
        <v>0.18194555000000001</v>
      </c>
      <c r="K403">
        <f t="shared" si="30"/>
        <v>-1.5301340030001054E-2</v>
      </c>
      <c r="L403">
        <f t="shared" si="31"/>
        <v>9.2789578080565427E-4</v>
      </c>
      <c r="M403" s="1">
        <f t="shared" si="32"/>
        <v>-6.8095125070555141E-3</v>
      </c>
      <c r="N403" s="1">
        <f t="shared" si="33"/>
        <v>3.0963749968809811E-4</v>
      </c>
      <c r="O403" s="1">
        <f t="shared" si="34"/>
        <v>2.3652920192332517E-4</v>
      </c>
    </row>
    <row r="404" spans="4:15" x14ac:dyDescent="0.25">
      <c r="D404" s="3">
        <v>45527</v>
      </c>
      <c r="E404" s="2">
        <v>5.23968960078805E-2</v>
      </c>
      <c r="F404" s="2">
        <v>5.2419418249296301E-2</v>
      </c>
      <c r="G404" s="2">
        <v>5.2408154999999998E-2</v>
      </c>
      <c r="H404" s="2">
        <v>0.181758697153659</v>
      </c>
      <c r="I404" s="2">
        <v>0.181795044267093</v>
      </c>
      <c r="J404" s="2">
        <v>0.18177688</v>
      </c>
      <c r="K404">
        <f t="shared" si="30"/>
        <v>1.7347146266028846E-2</v>
      </c>
      <c r="L404">
        <f t="shared" si="31"/>
        <v>9.3071285802062143E-3</v>
      </c>
      <c r="M404" s="1">
        <f t="shared" si="32"/>
        <v>1.3140266517324041E-2</v>
      </c>
      <c r="N404" s="1">
        <f t="shared" si="33"/>
        <v>4.2974688606765604E-4</v>
      </c>
      <c r="O404" s="1">
        <f t="shared" si="34"/>
        <v>1.9995454556159353E-4</v>
      </c>
    </row>
    <row r="405" spans="4:15" x14ac:dyDescent="0.25">
      <c r="D405" s="5">
        <v>45526</v>
      </c>
      <c r="E405" s="4">
        <v>5.1507097678059999E-2</v>
      </c>
      <c r="F405" s="4">
        <v>5.1521958658780398E-2</v>
      </c>
      <c r="G405" s="4">
        <v>5.1514524999999999E-2</v>
      </c>
      <c r="H405" s="4">
        <v>0.18007310968253101</v>
      </c>
      <c r="I405" s="4">
        <v>0.18012825131493601</v>
      </c>
      <c r="J405" s="4">
        <v>0.18010066</v>
      </c>
      <c r="K405">
        <f t="shared" si="30"/>
        <v>-9.0151310539797747E-3</v>
      </c>
      <c r="L405">
        <f t="shared" si="31"/>
        <v>-1.3732776119036783E-2</v>
      </c>
      <c r="M405" s="1">
        <f t="shared" si="32"/>
        <v>-1.1483603918257415E-2</v>
      </c>
      <c r="N405" s="1">
        <f t="shared" si="33"/>
        <v>2.8848136948558117E-4</v>
      </c>
      <c r="O405" s="1">
        <f t="shared" si="34"/>
        <v>3.061711845198015E-4</v>
      </c>
    </row>
    <row r="406" spans="4:15" x14ac:dyDescent="0.25">
      <c r="D406" s="3">
        <v>45525</v>
      </c>
      <c r="E406" s="2">
        <v>5.1970189899073899E-2</v>
      </c>
      <c r="F406" s="2">
        <v>5.1996131487817301E-2</v>
      </c>
      <c r="G406" s="2">
        <v>5.198316E-2</v>
      </c>
      <c r="H406" s="2">
        <v>0.18258837277242199</v>
      </c>
      <c r="I406" s="2">
        <v>0.18262838775659301</v>
      </c>
      <c r="J406" s="2">
        <v>0.18260837999999999</v>
      </c>
      <c r="K406">
        <f t="shared" si="30"/>
        <v>-1.731035479064591E-2</v>
      </c>
      <c r="L406">
        <f t="shared" si="31"/>
        <v>-2.2826245166265302E-3</v>
      </c>
      <c r="M406" s="1">
        <f t="shared" si="32"/>
        <v>-9.4472061472978992E-3</v>
      </c>
      <c r="N406" s="1">
        <f t="shared" si="33"/>
        <v>4.9903831824388506E-4</v>
      </c>
      <c r="O406" s="1">
        <f t="shared" si="34"/>
        <v>2.1913005400424305E-4</v>
      </c>
    </row>
    <row r="407" spans="4:15" x14ac:dyDescent="0.25">
      <c r="D407" s="5">
        <v>45524</v>
      </c>
      <c r="E407" s="4">
        <v>5.28899043750529E-2</v>
      </c>
      <c r="F407" s="4">
        <v>5.2907813425886699E-2</v>
      </c>
      <c r="G407" s="4">
        <v>5.2898858E-2</v>
      </c>
      <c r="H407" s="4">
        <v>0.183006057500503</v>
      </c>
      <c r="I407" s="4">
        <v>0.18304625578883801</v>
      </c>
      <c r="J407" s="4">
        <v>0.18302615999999999</v>
      </c>
      <c r="K407">
        <f t="shared" si="30"/>
        <v>-6.6652324030092025E-3</v>
      </c>
      <c r="L407">
        <f t="shared" si="31"/>
        <v>-9.5173938250234791E-3</v>
      </c>
      <c r="M407" s="1">
        <f t="shared" si="32"/>
        <v>-8.157604757794798E-3</v>
      </c>
      <c r="N407" s="1">
        <f t="shared" si="33"/>
        <v>3.3855269302409053E-4</v>
      </c>
      <c r="O407" s="1">
        <f t="shared" si="34"/>
        <v>2.1963138130097807E-4</v>
      </c>
    </row>
    <row r="408" spans="4:15" x14ac:dyDescent="0.25">
      <c r="D408" s="3">
        <v>45523</v>
      </c>
      <c r="E408" s="2">
        <v>5.3247852780336599E-2</v>
      </c>
      <c r="F408" s="2">
        <v>5.3259763846207099E-2</v>
      </c>
      <c r="G408" s="2">
        <v>5.3253807E-2</v>
      </c>
      <c r="H408" s="2">
        <v>0.184757505773672</v>
      </c>
      <c r="I408" s="2">
        <v>0.18481213846125399</v>
      </c>
      <c r="J408" s="2">
        <v>0.18478483000000001</v>
      </c>
      <c r="K408">
        <f t="shared" si="30"/>
        <v>-5.2720919625491858E-3</v>
      </c>
      <c r="L408">
        <f t="shared" si="31"/>
        <v>1.2380656792040368E-2</v>
      </c>
      <c r="M408" s="1">
        <f t="shared" si="32"/>
        <v>3.9645781725934784E-3</v>
      </c>
      <c r="N408" s="1">
        <f t="shared" si="33"/>
        <v>2.2366599763468353E-4</v>
      </c>
      <c r="O408" s="1">
        <f t="shared" si="34"/>
        <v>2.9565569631441197E-4</v>
      </c>
    </row>
    <row r="409" spans="4:15" x14ac:dyDescent="0.25">
      <c r="D409" s="5">
        <v>45520</v>
      </c>
      <c r="E409" s="4">
        <v>5.3529178755339503E-2</v>
      </c>
      <c r="F409" s="4">
        <v>5.3542936080442902E-2</v>
      </c>
      <c r="G409" s="4">
        <v>5.3536054E-2</v>
      </c>
      <c r="H409" s="4">
        <v>0.182501733766471</v>
      </c>
      <c r="I409" s="4">
        <v>0.18254837531946</v>
      </c>
      <c r="J409" s="4">
        <v>0.18252504999999999</v>
      </c>
      <c r="K409">
        <f t="shared" si="30"/>
        <v>-1.4722748246339679E-3</v>
      </c>
      <c r="L409">
        <f t="shared" si="31"/>
        <v>-1.1042713322395592E-3</v>
      </c>
      <c r="M409" s="1">
        <f t="shared" si="32"/>
        <v>-1.2797197208887852E-3</v>
      </c>
      <c r="N409" s="1">
        <f t="shared" si="33"/>
        <v>2.5697308776994883E-4</v>
      </c>
      <c r="O409" s="1">
        <f t="shared" si="34"/>
        <v>2.5553507854950245E-4</v>
      </c>
    </row>
    <row r="410" spans="4:15" x14ac:dyDescent="0.25">
      <c r="D410" s="3">
        <v>45519</v>
      </c>
      <c r="E410" s="2">
        <v>5.3609529629987003E-2</v>
      </c>
      <c r="F410" s="2">
        <v>5.3620452985586799E-2</v>
      </c>
      <c r="G410" s="2">
        <v>5.3614990000000001E-2</v>
      </c>
      <c r="H410" s="2">
        <v>0.18271848562919099</v>
      </c>
      <c r="I410" s="2">
        <v>0.182735180176888</v>
      </c>
      <c r="J410" s="2">
        <v>0.18272683000000001</v>
      </c>
      <c r="K410">
        <f t="shared" si="30"/>
        <v>8.7123868173317742E-3</v>
      </c>
      <c r="L410">
        <f t="shared" si="31"/>
        <v>-5.7102052860699137E-3</v>
      </c>
      <c r="M410" s="1">
        <f t="shared" si="32"/>
        <v>1.1658722430392203E-3</v>
      </c>
      <c r="N410" s="1">
        <f t="shared" si="33"/>
        <v>2.0373696982496173E-4</v>
      </c>
      <c r="O410" s="1">
        <f t="shared" si="34"/>
        <v>9.1363417714904793E-5</v>
      </c>
    </row>
    <row r="411" spans="4:15" x14ac:dyDescent="0.25">
      <c r="D411" s="5">
        <v>45518</v>
      </c>
      <c r="E411" s="4">
        <v>5.3146258503401399E-2</v>
      </c>
      <c r="F411" s="4">
        <v>5.3157559004890498E-2</v>
      </c>
      <c r="G411" s="4">
        <v>5.3151909999999997E-2</v>
      </c>
      <c r="H411" s="4">
        <v>0.18376610250473199</v>
      </c>
      <c r="I411" s="4">
        <v>0.18378636672731599</v>
      </c>
      <c r="J411" s="4">
        <v>0.18377623000000001</v>
      </c>
      <c r="K411">
        <f t="shared" si="30"/>
        <v>1.2012431978405402E-2</v>
      </c>
      <c r="L411">
        <f t="shared" si="31"/>
        <v>8.39855529046174E-3</v>
      </c>
      <c r="M411" s="1">
        <f t="shared" si="32"/>
        <v>1.0121497748293563E-2</v>
      </c>
      <c r="N411" s="1">
        <f t="shared" si="33"/>
        <v>2.1260762762992068E-4</v>
      </c>
      <c r="O411" s="1">
        <f t="shared" si="34"/>
        <v>1.102657432030184E-4</v>
      </c>
    </row>
    <row r="412" spans="4:15" x14ac:dyDescent="0.25">
      <c r="D412" s="3">
        <v>45517</v>
      </c>
      <c r="E412" s="2">
        <v>5.2511631326338799E-2</v>
      </c>
      <c r="F412" s="2">
        <v>5.2530388829938102E-2</v>
      </c>
      <c r="G412" s="2">
        <v>5.2521005000000003E-2</v>
      </c>
      <c r="H412" s="2">
        <v>0.182222384197675</v>
      </c>
      <c r="I412" s="2">
        <v>0.182268883056285</v>
      </c>
      <c r="J412" s="2">
        <v>0.18224562999999999</v>
      </c>
      <c r="K412">
        <f t="shared" si="30"/>
        <v>-7.8256537448064822E-3</v>
      </c>
      <c r="L412">
        <f t="shared" si="31"/>
        <v>-4.1920324945876608E-4</v>
      </c>
      <c r="M412" s="1">
        <f t="shared" si="32"/>
        <v>-3.9502833393898961E-3</v>
      </c>
      <c r="N412" s="1">
        <f t="shared" si="33"/>
        <v>3.5714289167357587E-4</v>
      </c>
      <c r="O412" s="1">
        <f t="shared" si="34"/>
        <v>2.5514388800430821E-4</v>
      </c>
    </row>
    <row r="413" spans="4:15" x14ac:dyDescent="0.25">
      <c r="D413" s="5">
        <v>45516</v>
      </c>
      <c r="E413" s="4">
        <v>5.2923493797366501E-2</v>
      </c>
      <c r="F413" s="4">
        <v>5.29470317893979E-2</v>
      </c>
      <c r="G413" s="4">
        <v>5.2935257999999999E-2</v>
      </c>
      <c r="H413" s="4">
        <v>0.182305434525003</v>
      </c>
      <c r="I413" s="4">
        <v>0.18233867585653599</v>
      </c>
      <c r="J413" s="4">
        <v>0.18232206000000001</v>
      </c>
      <c r="K413">
        <f t="shared" si="30"/>
        <v>-4.7112548586720759E-3</v>
      </c>
      <c r="L413">
        <f t="shared" si="31"/>
        <v>1.8505341832848465E-3</v>
      </c>
      <c r="M413" s="1">
        <f t="shared" si="32"/>
        <v>-1.2778473072734815E-3</v>
      </c>
      <c r="N413" s="1">
        <f t="shared" si="33"/>
        <v>4.4465622575030347E-4</v>
      </c>
      <c r="O413" s="1">
        <f t="shared" si="34"/>
        <v>1.8232204886772845E-4</v>
      </c>
    </row>
    <row r="414" spans="4:15" x14ac:dyDescent="0.25">
      <c r="D414" s="3">
        <v>45513</v>
      </c>
      <c r="E414" s="2">
        <v>5.3178194812998902E-2</v>
      </c>
      <c r="F414" s="2">
        <v>5.3193469969626497E-2</v>
      </c>
      <c r="G414" s="2">
        <v>5.3185830000000003E-2</v>
      </c>
      <c r="H414" s="2">
        <v>0.181963752820438</v>
      </c>
      <c r="I414" s="2">
        <v>0.182006807054584</v>
      </c>
      <c r="J414" s="2">
        <v>0.18198528999999999</v>
      </c>
      <c r="K414">
        <f t="shared" si="30"/>
        <v>1.7817197104740501E-2</v>
      </c>
      <c r="L414">
        <f t="shared" si="31"/>
        <v>2.1010332113258201E-2</v>
      </c>
      <c r="M414" s="1">
        <f t="shared" si="32"/>
        <v>1.9487981365066291E-2</v>
      </c>
      <c r="N414" s="1">
        <f t="shared" si="33"/>
        <v>2.8720350190257314E-4</v>
      </c>
      <c r="O414" s="1">
        <f t="shared" si="34"/>
        <v>2.3658084752891271E-4</v>
      </c>
    </row>
    <row r="415" spans="4:15" x14ac:dyDescent="0.25">
      <c r="D415" s="5">
        <v>45512</v>
      </c>
      <c r="E415" s="4">
        <v>5.2247695876611801E-2</v>
      </c>
      <c r="F415" s="4">
        <v>5.2261894807258097E-2</v>
      </c>
      <c r="G415" s="4">
        <v>5.2254795999999999E-2</v>
      </c>
      <c r="H415" s="4">
        <v>0.178208646683537</v>
      </c>
      <c r="I415" s="4">
        <v>0.178272185973544</v>
      </c>
      <c r="J415" s="4">
        <v>0.17824039999999999</v>
      </c>
      <c r="K415">
        <f t="shared" si="30"/>
        <v>1.5415424206297601E-3</v>
      </c>
      <c r="L415">
        <f t="shared" si="31"/>
        <v>3.3859005667702391E-4</v>
      </c>
      <c r="M415" s="1">
        <f t="shared" si="32"/>
        <v>9.1210649942611872E-4</v>
      </c>
      <c r="N415" s="1">
        <f t="shared" si="33"/>
        <v>2.7172492734056652E-4</v>
      </c>
      <c r="O415" s="1">
        <f t="shared" si="34"/>
        <v>3.5648085398704216E-4</v>
      </c>
    </row>
    <row r="416" spans="4:15" x14ac:dyDescent="0.25">
      <c r="D416" s="3">
        <v>45511</v>
      </c>
      <c r="E416" s="2">
        <v>5.2166201518036498E-2</v>
      </c>
      <c r="F416" s="2">
        <v>5.21825345057009E-2</v>
      </c>
      <c r="G416" s="2">
        <v>5.2174366999999999E-2</v>
      </c>
      <c r="H416" s="2">
        <v>0.17816419612314699</v>
      </c>
      <c r="I416" s="2">
        <v>0.17819594426030899</v>
      </c>
      <c r="J416" s="2">
        <v>0.17818007</v>
      </c>
      <c r="K416">
        <f t="shared" si="30"/>
        <v>1.0617530346592963E-2</v>
      </c>
      <c r="L416">
        <f t="shared" si="31"/>
        <v>9.1940384057707103E-3</v>
      </c>
      <c r="M416" s="1">
        <f t="shared" si="32"/>
        <v>9.872698724039522E-3</v>
      </c>
      <c r="N416" s="1">
        <f t="shared" si="33"/>
        <v>3.130462064715131E-4</v>
      </c>
      <c r="O416" s="1">
        <f t="shared" si="34"/>
        <v>1.7818006897181088E-4</v>
      </c>
    </row>
    <row r="417" spans="4:15" x14ac:dyDescent="0.25">
      <c r="D417" s="5">
        <v>45510</v>
      </c>
      <c r="E417" s="4">
        <v>5.1619563814685798E-2</v>
      </c>
      <c r="F417" s="4">
        <v>5.1632890151026199E-2</v>
      </c>
      <c r="G417" s="4">
        <v>5.1626223999999998E-2</v>
      </c>
      <c r="H417" s="4">
        <v>0.17654432145189999</v>
      </c>
      <c r="I417" s="4">
        <v>0.17656925929195699</v>
      </c>
      <c r="J417" s="4">
        <v>0.17655680000000001</v>
      </c>
      <c r="K417">
        <f t="shared" si="30"/>
        <v>1.1590028986143253E-2</v>
      </c>
      <c r="L417">
        <f t="shared" si="31"/>
        <v>1.986272962634783E-2</v>
      </c>
      <c r="M417" s="1">
        <f t="shared" si="32"/>
        <v>1.5918658368606238E-2</v>
      </c>
      <c r="N417" s="1">
        <f t="shared" si="33"/>
        <v>2.5813114552791967E-4</v>
      </c>
      <c r="O417" s="1">
        <f t="shared" si="34"/>
        <v>1.4124542389190809E-4</v>
      </c>
    </row>
    <row r="418" spans="4:15" x14ac:dyDescent="0.25">
      <c r="D418" s="3">
        <v>45509</v>
      </c>
      <c r="E418" s="2">
        <v>5.1025094141298702E-2</v>
      </c>
      <c r="F418" s="2">
        <v>5.1044367764460898E-2</v>
      </c>
      <c r="G418" s="2">
        <v>5.103473E-2</v>
      </c>
      <c r="H418" s="2">
        <v>0.173103221450951</v>
      </c>
      <c r="I418" s="2">
        <v>0.17313319136411601</v>
      </c>
      <c r="J418" s="2">
        <v>0.1731182</v>
      </c>
      <c r="K418">
        <f t="shared" si="30"/>
        <v>-2.8311572995102119E-2</v>
      </c>
      <c r="L418">
        <f t="shared" si="31"/>
        <v>-5.4273483895763697E-3</v>
      </c>
      <c r="M418" s="1">
        <f t="shared" si="32"/>
        <v>-1.6337571839910844E-2</v>
      </c>
      <c r="N418" s="1">
        <f t="shared" si="33"/>
        <v>3.7765700263713871E-4</v>
      </c>
      <c r="O418" s="1">
        <f t="shared" si="34"/>
        <v>1.7311821151679393E-4</v>
      </c>
    </row>
    <row r="419" spans="4:15" x14ac:dyDescent="0.25">
      <c r="D419" s="5">
        <v>45506</v>
      </c>
      <c r="E419" s="4">
        <v>5.2512182826415697E-2</v>
      </c>
      <c r="F419" s="4">
        <v>5.2531216675509397E-2</v>
      </c>
      <c r="G419" s="4">
        <v>5.2521702000000003E-2</v>
      </c>
      <c r="H419" s="4">
        <v>0.17403411068569399</v>
      </c>
      <c r="I419" s="4">
        <v>0.17409167667693801</v>
      </c>
      <c r="J419" s="4">
        <v>0.17406289999999999</v>
      </c>
      <c r="K419">
        <f t="shared" si="30"/>
        <v>-2.3529717106836823E-2</v>
      </c>
      <c r="L419">
        <f t="shared" si="31"/>
        <v>-1.4072931332224425E-2</v>
      </c>
      <c r="M419" s="1">
        <f t="shared" si="32"/>
        <v>-1.8581523941390315E-2</v>
      </c>
      <c r="N419" s="1">
        <f t="shared" si="33"/>
        <v>3.6239970086460183E-4</v>
      </c>
      <c r="O419" s="1">
        <f t="shared" si="34"/>
        <v>3.3071947694777553E-4</v>
      </c>
    </row>
    <row r="420" spans="4:15" x14ac:dyDescent="0.25">
      <c r="D420" s="3">
        <v>45505</v>
      </c>
      <c r="E420" s="2">
        <v>5.3779921803993699E-2</v>
      </c>
      <c r="F420" s="2">
        <v>5.3794676478815702E-2</v>
      </c>
      <c r="G420" s="2">
        <v>5.3787302000000002E-2</v>
      </c>
      <c r="H420" s="2">
        <v>0.17653497157786999</v>
      </c>
      <c r="I420" s="2">
        <v>0.17655990677636901</v>
      </c>
      <c r="J420" s="2">
        <v>0.17654744</v>
      </c>
      <c r="K420">
        <f t="shared" si="30"/>
        <v>2.084417783782655E-3</v>
      </c>
      <c r="L420">
        <f t="shared" si="31"/>
        <v>-2.0214798842655979E-3</v>
      </c>
      <c r="M420" s="1">
        <f t="shared" si="32"/>
        <v>-6.3962782646303975E-5</v>
      </c>
      <c r="N420" s="1">
        <f t="shared" si="33"/>
        <v>2.743152058826561E-4</v>
      </c>
      <c r="O420" s="1">
        <f t="shared" si="34"/>
        <v>1.4123794997552205E-4</v>
      </c>
    </row>
    <row r="421" spans="4:15" x14ac:dyDescent="0.25">
      <c r="D421" s="5">
        <v>45504</v>
      </c>
      <c r="E421" s="4">
        <v>5.3669663222863297E-2</v>
      </c>
      <c r="F421" s="4">
        <v>5.3681187427865901E-2</v>
      </c>
      <c r="G421" s="4">
        <v>5.3675420000000001E-2</v>
      </c>
      <c r="H421" s="4">
        <v>0.17689409350621799</v>
      </c>
      <c r="I421" s="4">
        <v>0.17691600028306601</v>
      </c>
      <c r="J421" s="4">
        <v>0.17690505000000001</v>
      </c>
      <c r="K421">
        <f t="shared" si="30"/>
        <v>6.118860555641259E-3</v>
      </c>
      <c r="L421">
        <f t="shared" si="31"/>
        <v>-2.3616679156996945E-3</v>
      </c>
      <c r="M421" s="1">
        <f t="shared" si="32"/>
        <v>1.6814867987017628E-3</v>
      </c>
      <c r="N421" s="1">
        <f t="shared" si="33"/>
        <v>2.1470172012820834E-4</v>
      </c>
      <c r="O421" s="1">
        <f t="shared" si="34"/>
        <v>1.2383353017914728E-4</v>
      </c>
    </row>
    <row r="422" spans="4:15" x14ac:dyDescent="0.25">
      <c r="D422" s="3">
        <v>45503</v>
      </c>
      <c r="E422" s="2">
        <v>5.3341298967312503E-2</v>
      </c>
      <c r="F422" s="2">
        <v>5.3356667982797798E-2</v>
      </c>
      <c r="G422" s="2">
        <v>5.3348985000000002E-2</v>
      </c>
      <c r="H422" s="2">
        <v>0.17730182088970101</v>
      </c>
      <c r="I422" s="2">
        <v>0.17734584212673099</v>
      </c>
      <c r="J422" s="2">
        <v>0.17732382999999999</v>
      </c>
      <c r="K422">
        <f t="shared" si="30"/>
        <v>-6.9619896906731871E-3</v>
      </c>
      <c r="L422">
        <f t="shared" si="31"/>
        <v>4.0075637528482755E-3</v>
      </c>
      <c r="M422" s="1">
        <f t="shared" si="32"/>
        <v>-1.2222520386951496E-3</v>
      </c>
      <c r="N422" s="1">
        <f t="shared" si="33"/>
        <v>2.8808449655217977E-4</v>
      </c>
      <c r="O422" s="1">
        <f t="shared" si="34"/>
        <v>2.4825336239344808E-4</v>
      </c>
    </row>
    <row r="423" spans="4:15" x14ac:dyDescent="0.25">
      <c r="D423" s="5">
        <v>45502</v>
      </c>
      <c r="E423" s="4">
        <v>5.3716078296555697E-2</v>
      </c>
      <c r="F423" s="4">
        <v>5.3729931870446397E-2</v>
      </c>
      <c r="G423" s="4">
        <v>5.3723003999999998E-2</v>
      </c>
      <c r="H423" s="4">
        <v>0.17660044150110399</v>
      </c>
      <c r="I423" s="4">
        <v>0.176631634725779</v>
      </c>
      <c r="J423" s="4">
        <v>0.17661603000000001</v>
      </c>
      <c r="K423">
        <f t="shared" si="30"/>
        <v>-7.8973382590975527E-3</v>
      </c>
      <c r="L423">
        <f t="shared" si="31"/>
        <v>-1.4394701935532828E-3</v>
      </c>
      <c r="M423" s="1">
        <f t="shared" si="32"/>
        <v>-4.5183065894718209E-3</v>
      </c>
      <c r="N423" s="1">
        <f t="shared" si="33"/>
        <v>2.5787042531538301E-4</v>
      </c>
      <c r="O423" s="1">
        <f t="shared" si="34"/>
        <v>1.7661604484606243E-4</v>
      </c>
    </row>
    <row r="424" spans="4:15" x14ac:dyDescent="0.25">
      <c r="D424" s="3">
        <v>45499</v>
      </c>
      <c r="E424" s="2">
        <v>5.4142437925694897E-2</v>
      </c>
      <c r="F424" s="2">
        <v>5.4158858764528098E-2</v>
      </c>
      <c r="G424" s="2">
        <v>5.4150650000000002E-2</v>
      </c>
      <c r="H424" s="2">
        <v>0.17684091391384299</v>
      </c>
      <c r="I424" s="2">
        <v>0.17690035203170101</v>
      </c>
      <c r="J424" s="2">
        <v>0.17687063</v>
      </c>
      <c r="K424">
        <f t="shared" si="30"/>
        <v>-4.87347030765517E-3</v>
      </c>
      <c r="L424">
        <f t="shared" si="31"/>
        <v>-1.9985912809170614E-3</v>
      </c>
      <c r="M424" s="1">
        <f t="shared" si="32"/>
        <v>-3.3692111343343002E-3</v>
      </c>
      <c r="N424" s="1">
        <f t="shared" si="33"/>
        <v>3.0324361449401706E-4</v>
      </c>
      <c r="O424" s="1">
        <f t="shared" si="34"/>
        <v>3.3605419881200111E-4</v>
      </c>
    </row>
    <row r="425" spans="4:15" x14ac:dyDescent="0.25">
      <c r="D425" s="5">
        <v>45498</v>
      </c>
      <c r="E425" s="4">
        <v>5.4408148164269102E-2</v>
      </c>
      <c r="F425" s="4">
        <v>5.4423545802856098E-2</v>
      </c>
      <c r="G425" s="4">
        <v>5.4415843999999998E-2</v>
      </c>
      <c r="H425" s="4">
        <v>0.177213843945489</v>
      </c>
      <c r="I425" s="4">
        <v>0.177235829995392</v>
      </c>
      <c r="J425" s="4">
        <v>0.17722483</v>
      </c>
      <c r="K425">
        <f t="shared" si="30"/>
        <v>2.2309907043802646E-3</v>
      </c>
      <c r="L425">
        <f t="shared" si="31"/>
        <v>-4.2357315791158312E-3</v>
      </c>
      <c r="M425" s="1">
        <f t="shared" si="32"/>
        <v>-1.152673869257337E-3</v>
      </c>
      <c r="N425" s="1">
        <f t="shared" si="33"/>
        <v>2.8296241416371509E-4</v>
      </c>
      <c r="O425" s="1">
        <f t="shared" si="34"/>
        <v>1.2405739028216315E-4</v>
      </c>
    </row>
    <row r="426" spans="4:15" x14ac:dyDescent="0.25">
      <c r="D426" s="3">
        <v>45497</v>
      </c>
      <c r="E426" s="2">
        <v>5.4287932335521101E-2</v>
      </c>
      <c r="F426" s="2">
        <v>5.4301492748035599E-2</v>
      </c>
      <c r="G426" s="2">
        <v>5.4294713000000001E-2</v>
      </c>
      <c r="H426" s="2">
        <v>0.17796760989499899</v>
      </c>
      <c r="I426" s="2">
        <v>0.17798978338643401</v>
      </c>
      <c r="J426" s="2">
        <v>0.17797869999999999</v>
      </c>
      <c r="K426">
        <f t="shared" si="30"/>
        <v>-1.734717627214355E-2</v>
      </c>
      <c r="L426">
        <f t="shared" si="31"/>
        <v>-9.1836288193722915E-3</v>
      </c>
      <c r="M426" s="1">
        <f t="shared" si="32"/>
        <v>-1.3075660487145594E-2</v>
      </c>
      <c r="N426" s="1">
        <f t="shared" si="33"/>
        <v>2.4975567168938754E-4</v>
      </c>
      <c r="O426" s="1">
        <f t="shared" si="34"/>
        <v>1.2458508481643036E-4</v>
      </c>
    </row>
    <row r="427" spans="4:15" x14ac:dyDescent="0.25">
      <c r="D427" s="5">
        <v>45496</v>
      </c>
      <c r="E427" s="4">
        <v>5.52473978475614E-2</v>
      </c>
      <c r="F427" s="4">
        <v>5.5258998927975402E-2</v>
      </c>
      <c r="G427" s="4">
        <v>5.5253200000000002E-2</v>
      </c>
      <c r="H427" s="4">
        <v>0.17961705643567899</v>
      </c>
      <c r="I427" s="4">
        <v>0.17963964287639</v>
      </c>
      <c r="J427" s="4">
        <v>0.17962834</v>
      </c>
      <c r="K427">
        <f t="shared" si="30"/>
        <v>-9.696880842337996E-3</v>
      </c>
      <c r="L427">
        <f t="shared" si="31"/>
        <v>-2.3172469411213426E-3</v>
      </c>
      <c r="M427" s="1">
        <f t="shared" si="32"/>
        <v>-5.8355420213267693E-3</v>
      </c>
      <c r="N427" s="1">
        <f t="shared" si="33"/>
        <v>2.0996214543233366E-4</v>
      </c>
      <c r="O427" s="1">
        <f t="shared" si="34"/>
        <v>1.2573985102247421E-4</v>
      </c>
    </row>
    <row r="428" spans="4:15" x14ac:dyDescent="0.25">
      <c r="D428" s="3">
        <v>45495</v>
      </c>
      <c r="E428" s="2">
        <v>5.5788005578800599E-2</v>
      </c>
      <c r="F428" s="2">
        <v>5.5800457563752001E-2</v>
      </c>
      <c r="G428" s="2">
        <v>5.579423E-2</v>
      </c>
      <c r="H428" s="2">
        <v>0.18003744778913999</v>
      </c>
      <c r="I428" s="2">
        <v>0.180053655989485</v>
      </c>
      <c r="J428" s="2">
        <v>0.18004555</v>
      </c>
      <c r="K428">
        <f t="shared" si="30"/>
        <v>-4.4631641872394656E-4</v>
      </c>
      <c r="L428">
        <f t="shared" si="31"/>
        <v>-6.0320540923219923E-4</v>
      </c>
      <c r="M428" s="1">
        <f t="shared" si="32"/>
        <v>-5.2840742184794996E-4</v>
      </c>
      <c r="N428" s="1">
        <f t="shared" si="33"/>
        <v>2.2317692979008434E-4</v>
      </c>
      <c r="O428" s="1">
        <f t="shared" si="34"/>
        <v>9.0022776708494816E-5</v>
      </c>
    </row>
    <row r="429" spans="4:15" x14ac:dyDescent="0.25">
      <c r="D429" s="5">
        <v>45492</v>
      </c>
      <c r="E429" s="4">
        <v>5.5812292099211902E-2</v>
      </c>
      <c r="F429" s="4">
        <v>5.58260015184672E-2</v>
      </c>
      <c r="G429" s="4">
        <v>5.5819143000000002E-2</v>
      </c>
      <c r="H429" s="4">
        <v>0.18013798569704401</v>
      </c>
      <c r="I429" s="4">
        <v>0.18017044123741099</v>
      </c>
      <c r="J429" s="4">
        <v>0.18015422</v>
      </c>
      <c r="K429">
        <f t="shared" si="30"/>
        <v>-3.6840872554816384E-3</v>
      </c>
      <c r="L429">
        <f t="shared" si="31"/>
        <v>-1.1619294538000036E-3</v>
      </c>
      <c r="M429" s="1">
        <f t="shared" si="32"/>
        <v>-2.364386852627777E-3</v>
      </c>
      <c r="N429" s="1">
        <f t="shared" si="33"/>
        <v>2.4560425901375415E-4</v>
      </c>
      <c r="O429" s="1">
        <f t="shared" si="34"/>
        <v>1.8015420547455366E-4</v>
      </c>
    </row>
    <row r="430" spans="4:15" x14ac:dyDescent="0.25">
      <c r="D430" s="3">
        <v>45491</v>
      </c>
      <c r="E430" s="2">
        <v>5.6020839752387898E-2</v>
      </c>
      <c r="F430" s="2">
        <v>5.60302563384227E-2</v>
      </c>
      <c r="G430" s="2">
        <v>5.6025546000000002E-2</v>
      </c>
      <c r="H430" s="2">
        <v>0.18033939874844501</v>
      </c>
      <c r="I430" s="2">
        <v>0.18038819539649301</v>
      </c>
      <c r="J430" s="2">
        <v>0.18036379</v>
      </c>
      <c r="K430">
        <f t="shared" si="30"/>
        <v>-5.8827391341069735E-3</v>
      </c>
      <c r="L430">
        <f t="shared" si="31"/>
        <v>-1.4591400572963042E-2</v>
      </c>
      <c r="M430" s="1">
        <f t="shared" si="32"/>
        <v>-1.0439481777851731E-2</v>
      </c>
      <c r="N430" s="1">
        <f t="shared" si="33"/>
        <v>1.6807664908436985E-4</v>
      </c>
      <c r="O430" s="1">
        <f t="shared" si="34"/>
        <v>2.7054570126295305E-4</v>
      </c>
    </row>
    <row r="431" spans="4:15" x14ac:dyDescent="0.25">
      <c r="D431" s="5">
        <v>45490</v>
      </c>
      <c r="E431" s="4">
        <v>5.6350726924377301E-2</v>
      </c>
      <c r="F431" s="4">
        <v>5.6363431405703997E-2</v>
      </c>
      <c r="G431" s="4">
        <v>5.6357079999999997E-2</v>
      </c>
      <c r="H431" s="4">
        <v>0.183012755989092</v>
      </c>
      <c r="I431" s="4">
        <v>0.18305630812037799</v>
      </c>
      <c r="J431" s="4">
        <v>0.18303452000000001</v>
      </c>
      <c r="K431">
        <f t="shared" si="30"/>
        <v>-2.6205573633061308E-3</v>
      </c>
      <c r="L431">
        <f t="shared" si="31"/>
        <v>-8.5477400397609982E-3</v>
      </c>
      <c r="M431" s="1">
        <f t="shared" si="32"/>
        <v>-5.7219118307746484E-3</v>
      </c>
      <c r="N431" s="1">
        <f t="shared" si="33"/>
        <v>2.254283104571076E-4</v>
      </c>
      <c r="O431" s="1">
        <f t="shared" si="34"/>
        <v>2.3794490397759034E-4</v>
      </c>
    </row>
    <row r="432" spans="4:15" x14ac:dyDescent="0.25">
      <c r="D432" s="3">
        <v>45489</v>
      </c>
      <c r="E432" s="2">
        <v>5.6498771151727398E-2</v>
      </c>
      <c r="F432" s="2">
        <v>5.65115424825521E-2</v>
      </c>
      <c r="G432" s="2">
        <v>5.6505155000000001E-2</v>
      </c>
      <c r="H432" s="2">
        <v>0.184600616566059</v>
      </c>
      <c r="I432" s="2">
        <v>0.18462447382024999</v>
      </c>
      <c r="J432" s="2">
        <v>0.18461253999999999</v>
      </c>
      <c r="K432">
        <f t="shared" si="30"/>
        <v>6.7947456451993293E-3</v>
      </c>
      <c r="L432">
        <f t="shared" si="31"/>
        <v>6.636863297039497E-3</v>
      </c>
      <c r="M432" s="1">
        <f t="shared" si="32"/>
        <v>6.7121348750361284E-3</v>
      </c>
      <c r="N432" s="1">
        <f t="shared" si="33"/>
        <v>2.2602063165215041E-4</v>
      </c>
      <c r="O432" s="1">
        <f t="shared" si="34"/>
        <v>1.292287847347197E-4</v>
      </c>
    </row>
    <row r="433" spans="4:15" x14ac:dyDescent="0.25">
      <c r="D433" s="5">
        <v>45488</v>
      </c>
      <c r="E433" s="4">
        <v>5.61167227833895E-2</v>
      </c>
      <c r="F433" s="4">
        <v>5.6130897252392599E-2</v>
      </c>
      <c r="G433" s="4">
        <v>5.6123807999999997E-2</v>
      </c>
      <c r="H433" s="4">
        <v>0.18337184142003199</v>
      </c>
      <c r="I433" s="4">
        <v>0.18341892883345601</v>
      </c>
      <c r="J433" s="4">
        <v>0.18339537</v>
      </c>
      <c r="K433">
        <f t="shared" si="30"/>
        <v>-6.580497443189226E-3</v>
      </c>
      <c r="L433">
        <f t="shared" si="31"/>
        <v>1.3203675997743858E-3</v>
      </c>
      <c r="M433" s="1">
        <f t="shared" si="32"/>
        <v>-2.4464282849703889E-3</v>
      </c>
      <c r="N433" s="1">
        <f t="shared" si="33"/>
        <v>2.5255715013313047E-4</v>
      </c>
      <c r="O433" s="1">
        <f t="shared" si="34"/>
        <v>2.5675355612313688E-4</v>
      </c>
    </row>
    <row r="434" spans="4:15" x14ac:dyDescent="0.25">
      <c r="D434" s="3">
        <v>45485</v>
      </c>
      <c r="E434" s="2">
        <v>5.6489834654254001E-2</v>
      </c>
      <c r="F434" s="2">
        <v>5.6501324956070201E-2</v>
      </c>
      <c r="G434" s="2">
        <v>5.6495576999999998E-2</v>
      </c>
      <c r="H434" s="2">
        <v>0.18311999853503999</v>
      </c>
      <c r="I434" s="2">
        <v>0.18318708897396899</v>
      </c>
      <c r="J434" s="2">
        <v>0.18315354</v>
      </c>
      <c r="K434">
        <f t="shared" si="30"/>
        <v>6.8359174508125786E-3</v>
      </c>
      <c r="L434">
        <f t="shared" si="31"/>
        <v>-6.492795326988321E-3</v>
      </c>
      <c r="M434" s="1">
        <f t="shared" si="32"/>
        <v>-1.3823286232773338E-4</v>
      </c>
      <c r="N434" s="1">
        <f t="shared" si="33"/>
        <v>2.0338409529298057E-4</v>
      </c>
      <c r="O434" s="1">
        <f t="shared" si="34"/>
        <v>3.6630708272958378E-4</v>
      </c>
    </row>
    <row r="435" spans="4:15" x14ac:dyDescent="0.25">
      <c r="D435" s="5">
        <v>45484</v>
      </c>
      <c r="E435" s="4">
        <v>5.6104444033011902E-2</v>
      </c>
      <c r="F435" s="4">
        <v>5.6119557104455299E-2</v>
      </c>
      <c r="G435" s="4">
        <v>5.6112000000000002E-2</v>
      </c>
      <c r="H435" s="4">
        <v>0.184338593127857</v>
      </c>
      <c r="I435" s="4">
        <v>0.184362382699434</v>
      </c>
      <c r="J435" s="4">
        <v>0.18435049000000001</v>
      </c>
      <c r="K435">
        <f t="shared" si="30"/>
        <v>1.2064544913821251E-3</v>
      </c>
      <c r="L435">
        <f t="shared" si="31"/>
        <v>-4.562584849542195E-3</v>
      </c>
      <c r="M435" s="1">
        <f t="shared" si="32"/>
        <v>-1.812152646213074E-3</v>
      </c>
      <c r="N435" s="1">
        <f t="shared" si="33"/>
        <v>2.6933760057379819E-4</v>
      </c>
      <c r="O435" s="1">
        <f t="shared" si="34"/>
        <v>1.2904533954319423E-4</v>
      </c>
    </row>
    <row r="436" spans="4:15" x14ac:dyDescent="0.25">
      <c r="D436" s="3">
        <v>45483</v>
      </c>
      <c r="E436" s="2">
        <v>5.6038419940711397E-2</v>
      </c>
      <c r="F436" s="2">
        <v>5.6050355639506499E-2</v>
      </c>
      <c r="G436" s="2">
        <v>5.6044385000000002E-2</v>
      </c>
      <c r="H436" s="2">
        <v>0.18517832672864001</v>
      </c>
      <c r="I436" s="2">
        <v>0.18521262409245801</v>
      </c>
      <c r="J436" s="2">
        <v>0.18519546000000001</v>
      </c>
      <c r="K436">
        <f t="shared" si="30"/>
        <v>6.1647905782660217E-3</v>
      </c>
      <c r="L436">
        <f t="shared" si="31"/>
        <v>7.417045033026648E-3</v>
      </c>
      <c r="M436" s="1">
        <f t="shared" si="32"/>
        <v>6.8200234535925677E-3</v>
      </c>
      <c r="N436" s="1">
        <f t="shared" si="33"/>
        <v>2.1296868178859944E-4</v>
      </c>
      <c r="O436" s="1">
        <f t="shared" si="34"/>
        <v>1.8519548923063339E-4</v>
      </c>
    </row>
    <row r="437" spans="4:15" x14ac:dyDescent="0.25">
      <c r="D437" s="5">
        <v>45482</v>
      </c>
      <c r="E437" s="4">
        <v>5.5694792536897797E-2</v>
      </c>
      <c r="F437" s="4">
        <v>5.5707202941340302E-2</v>
      </c>
      <c r="G437" s="4">
        <v>5.5701000000000001E-2</v>
      </c>
      <c r="H437" s="4">
        <v>0.18378974453225499</v>
      </c>
      <c r="I437" s="4">
        <v>0.18387423002666201</v>
      </c>
      <c r="J437" s="4">
        <v>0.18383197000000001</v>
      </c>
      <c r="K437">
        <f t="shared" si="30"/>
        <v>1.476116931474758E-3</v>
      </c>
      <c r="L437">
        <f t="shared" si="31"/>
        <v>7.187757882612944E-3</v>
      </c>
      <c r="M437" s="1">
        <f t="shared" si="32"/>
        <v>4.4646907864286335E-3</v>
      </c>
      <c r="N437" s="1">
        <f t="shared" si="33"/>
        <v>2.2280397914767571E-4</v>
      </c>
      <c r="O437" s="1">
        <f t="shared" si="34"/>
        <v>4.5957998713178441E-4</v>
      </c>
    </row>
    <row r="438" spans="4:15" x14ac:dyDescent="0.25">
      <c r="D438" s="3">
        <v>45481</v>
      </c>
      <c r="E438" s="2">
        <v>5.5611785249530102E-2</v>
      </c>
      <c r="F438" s="2">
        <v>5.5626015174776902E-2</v>
      </c>
      <c r="G438" s="2">
        <v>5.5618899999999999E-2</v>
      </c>
      <c r="H438" s="2">
        <v>0.182501733766471</v>
      </c>
      <c r="I438" s="2">
        <v>0.18253837869412001</v>
      </c>
      <c r="J438" s="2">
        <v>0.18252006000000001</v>
      </c>
      <c r="K438">
        <f t="shared" si="30"/>
        <v>9.9558154658381248E-3</v>
      </c>
      <c r="L438">
        <f t="shared" si="31"/>
        <v>2.0716721480826816E-3</v>
      </c>
      <c r="M438" s="1">
        <f t="shared" si="32"/>
        <v>5.8304958265744129E-3</v>
      </c>
      <c r="N438" s="1">
        <f t="shared" si="33"/>
        <v>2.5584693776396756E-4</v>
      </c>
      <c r="O438" s="1">
        <f t="shared" si="34"/>
        <v>2.0077205567988252E-4</v>
      </c>
    </row>
    <row r="439" spans="4:15" x14ac:dyDescent="0.25">
      <c r="D439" s="5">
        <v>45478</v>
      </c>
      <c r="E439" s="4">
        <v>5.5063956785806702E-2</v>
      </c>
      <c r="F439" s="4">
        <v>5.5077300991942198E-2</v>
      </c>
      <c r="G439" s="4">
        <v>5.5070626999999997E-2</v>
      </c>
      <c r="H439" s="4">
        <v>0.18212945761847499</v>
      </c>
      <c r="I439" s="4">
        <v>0.18215599839702701</v>
      </c>
      <c r="J439" s="4">
        <v>0.18214272000000001</v>
      </c>
      <c r="K439">
        <f t="shared" si="30"/>
        <v>-5.0114367276143934E-3</v>
      </c>
      <c r="L439">
        <f t="shared" si="31"/>
        <v>6.2836369325780517E-4</v>
      </c>
      <c r="M439" s="1">
        <f t="shared" si="32"/>
        <v>-2.0604528984194317E-3</v>
      </c>
      <c r="N439" s="1">
        <f t="shared" si="33"/>
        <v>2.4231077186566316E-4</v>
      </c>
      <c r="O439" s="1">
        <f t="shared" si="34"/>
        <v>1.457141880390277E-4</v>
      </c>
    </row>
    <row r="440" spans="4:15" x14ac:dyDescent="0.25">
      <c r="D440" s="3">
        <v>45477</v>
      </c>
      <c r="E440" s="2">
        <v>5.5338505638993701E-2</v>
      </c>
      <c r="F440" s="2">
        <v>5.5357498726777497E-2</v>
      </c>
      <c r="G440" s="2">
        <v>5.5348000000000001E-2</v>
      </c>
      <c r="H440" s="2">
        <v>0.18200349446709399</v>
      </c>
      <c r="I440" s="2">
        <v>0.182053195943855</v>
      </c>
      <c r="J440" s="2">
        <v>0.18202834000000001</v>
      </c>
      <c r="K440">
        <f t="shared" si="30"/>
        <v>4.4139554524953439E-3</v>
      </c>
      <c r="L440">
        <f t="shared" si="31"/>
        <v>1.5117542905739967E-2</v>
      </c>
      <c r="M440" s="1">
        <f t="shared" si="32"/>
        <v>1.0014528368516039E-2</v>
      </c>
      <c r="N440" s="1">
        <f t="shared" si="33"/>
        <v>3.4315761696531024E-4</v>
      </c>
      <c r="O440" s="1">
        <f t="shared" si="34"/>
        <v>2.73042520527325E-4</v>
      </c>
    </row>
    <row r="441" spans="4:15" x14ac:dyDescent="0.25">
      <c r="D441" s="5">
        <v>45476</v>
      </c>
      <c r="E441" s="4">
        <v>5.5097936582274999E-2</v>
      </c>
      <c r="F441" s="4">
        <v>5.5111600992008798E-2</v>
      </c>
      <c r="G441" s="4">
        <v>5.5104769999999997E-2</v>
      </c>
      <c r="H441" s="4">
        <v>0.179288582903041</v>
      </c>
      <c r="I441" s="4">
        <v>0.17934646149431499</v>
      </c>
      <c r="J441" s="4">
        <v>0.17931749999999999</v>
      </c>
      <c r="K441">
        <f t="shared" si="30"/>
        <v>4.6150866086465125E-3</v>
      </c>
      <c r="L441">
        <f t="shared" si="31"/>
        <v>1.5788848474672434E-2</v>
      </c>
      <c r="M441" s="1">
        <f t="shared" si="32"/>
        <v>1.0461674806322206E-2</v>
      </c>
      <c r="N441" s="1">
        <f t="shared" si="33"/>
        <v>2.4797145027189137E-4</v>
      </c>
      <c r="O441" s="1">
        <f t="shared" si="34"/>
        <v>3.2277157150855567E-4</v>
      </c>
    </row>
    <row r="442" spans="4:15" x14ac:dyDescent="0.25">
      <c r="D442" s="3">
        <v>45475</v>
      </c>
      <c r="E442" s="2">
        <v>5.4843203281817299E-2</v>
      </c>
      <c r="F442" s="2">
        <v>5.4860052007329303E-2</v>
      </c>
      <c r="G442" s="2">
        <v>5.4851625000000001E-2</v>
      </c>
      <c r="H442" s="2">
        <v>0.176519390655063</v>
      </c>
      <c r="I442" s="2">
        <v>0.17654120471718099</v>
      </c>
      <c r="J442" s="2">
        <v>0.17653029000000001</v>
      </c>
      <c r="K442">
        <f t="shared" si="30"/>
        <v>1.0380676950840106E-2</v>
      </c>
      <c r="L442">
        <f t="shared" si="31"/>
        <v>-1.3398708718589059E-2</v>
      </c>
      <c r="M442" s="1">
        <f t="shared" si="32"/>
        <v>-2.0617106058145379E-3</v>
      </c>
      <c r="N442" s="1">
        <f t="shared" si="33"/>
        <v>3.0716912237339374E-4</v>
      </c>
      <c r="O442" s="1">
        <f t="shared" si="34"/>
        <v>1.2357121329142047E-4</v>
      </c>
    </row>
    <row r="443" spans="4:15" x14ac:dyDescent="0.25">
      <c r="D443" s="5">
        <v>45474</v>
      </c>
      <c r="E443" s="4">
        <v>5.4281154668722097E-2</v>
      </c>
      <c r="F443" s="4">
        <v>5.4295006488253299E-2</v>
      </c>
      <c r="G443" s="4">
        <v>5.4288077999999997E-2</v>
      </c>
      <c r="H443" s="4">
        <v>0.178910079793896</v>
      </c>
      <c r="I443" s="4">
        <v>0.17894529642288401</v>
      </c>
      <c r="J443" s="4">
        <v>0.17892769</v>
      </c>
      <c r="K443">
        <f t="shared" si="30"/>
        <v>-7.3153338182648797E-3</v>
      </c>
      <c r="L443">
        <f t="shared" si="31"/>
        <v>-6.1551081248660822E-3</v>
      </c>
      <c r="M443" s="1">
        <f t="shared" si="32"/>
        <v>-6.7082543112019551E-3</v>
      </c>
      <c r="N443" s="1">
        <f t="shared" si="33"/>
        <v>2.5515398668565998E-4</v>
      </c>
      <c r="O443" s="1">
        <f t="shared" si="34"/>
        <v>1.9682045293271908E-4</v>
      </c>
    </row>
    <row r="444" spans="4:15" x14ac:dyDescent="0.25">
      <c r="D444" s="3">
        <v>45471</v>
      </c>
      <c r="E444" s="2">
        <v>5.4683057001618601E-2</v>
      </c>
      <c r="F444" s="2">
        <v>5.4693225697065202E-2</v>
      </c>
      <c r="G444" s="2">
        <v>5.4688140000000003E-2</v>
      </c>
      <c r="H444" s="2">
        <v>0.17999856001152001</v>
      </c>
      <c r="I444" s="2">
        <v>0.18007310968253101</v>
      </c>
      <c r="J444" s="2">
        <v>0.18003583000000001</v>
      </c>
      <c r="K444">
        <f t="shared" si="30"/>
        <v>4.9218774835635415E-3</v>
      </c>
      <c r="L444">
        <f t="shared" si="31"/>
        <v>-4.8609500857444976E-3</v>
      </c>
      <c r="M444" s="1">
        <f t="shared" si="32"/>
        <v>-1.9691463787221497E-4</v>
      </c>
      <c r="N444" s="1">
        <f t="shared" si="33"/>
        <v>1.8593968356943541E-4</v>
      </c>
      <c r="O444" s="1">
        <f t="shared" si="34"/>
        <v>4.1408241354514737E-4</v>
      </c>
    </row>
    <row r="445" spans="4:15" x14ac:dyDescent="0.25">
      <c r="D445" s="5">
        <v>45470</v>
      </c>
      <c r="E445" s="4">
        <v>5.4413181048977299E-2</v>
      </c>
      <c r="F445" s="4">
        <v>5.4427396574339697E-2</v>
      </c>
      <c r="G445" s="4">
        <v>5.4420290000000003E-2</v>
      </c>
      <c r="H445" s="4">
        <v>0.18089725036179499</v>
      </c>
      <c r="I445" s="4">
        <v>0.180933253722702</v>
      </c>
      <c r="J445" s="4">
        <v>0.18091525</v>
      </c>
      <c r="K445">
        <f t="shared" si="30"/>
        <v>-9.4690576764600021E-3</v>
      </c>
      <c r="L445">
        <f t="shared" si="31"/>
        <v>-4.1248544914558316E-3</v>
      </c>
      <c r="M445" s="1">
        <f t="shared" si="32"/>
        <v>-6.6727429131725842E-3</v>
      </c>
      <c r="N445" s="1">
        <f t="shared" si="33"/>
        <v>2.6121737613668349E-4</v>
      </c>
      <c r="O445" s="1">
        <f t="shared" si="34"/>
        <v>1.9900677752154891E-4</v>
      </c>
    </row>
    <row r="446" spans="4:15" x14ac:dyDescent="0.25">
      <c r="D446" s="3">
        <v>45469</v>
      </c>
      <c r="E446" s="2">
        <v>5.4932378242383603E-2</v>
      </c>
      <c r="F446" s="2">
        <v>5.4948677934808898E-2</v>
      </c>
      <c r="G446" s="2">
        <v>5.4940524999999997E-2</v>
      </c>
      <c r="H446" s="2">
        <v>0.181639844516293</v>
      </c>
      <c r="I446" s="2">
        <v>0.18168934755355301</v>
      </c>
      <c r="J446" s="2">
        <v>0.18166458999999999</v>
      </c>
      <c r="K446">
        <f t="shared" si="30"/>
        <v>-7.1429874504624902E-4</v>
      </c>
      <c r="L446">
        <f t="shared" si="31"/>
        <v>-1.2707469668939875E-2</v>
      </c>
      <c r="M446" s="1">
        <f t="shared" si="32"/>
        <v>-6.9896366676793237E-3</v>
      </c>
      <c r="N446" s="1">
        <f t="shared" si="33"/>
        <v>2.9667886182913348E-4</v>
      </c>
      <c r="O446" s="1">
        <f t="shared" si="34"/>
        <v>2.7249689804714799E-4</v>
      </c>
    </row>
    <row r="447" spans="4:15" x14ac:dyDescent="0.25">
      <c r="D447" s="5">
        <v>45468</v>
      </c>
      <c r="E447" s="4">
        <v>5.4970123737748497E-2</v>
      </c>
      <c r="F447" s="4">
        <v>5.4989469516587598E-2</v>
      </c>
      <c r="G447" s="4">
        <v>5.4979796999999997E-2</v>
      </c>
      <c r="H447" s="4">
        <v>0.183975715205593</v>
      </c>
      <c r="I447" s="4">
        <v>0.18402988645356</v>
      </c>
      <c r="J447" s="4">
        <v>0.18400279999999999</v>
      </c>
      <c r="K447">
        <f t="shared" si="30"/>
        <v>-8.3018679653861227E-3</v>
      </c>
      <c r="L447">
        <f t="shared" si="31"/>
        <v>-7.8293475191447692E-3</v>
      </c>
      <c r="M447" s="1">
        <f t="shared" si="32"/>
        <v>-8.054625139086502E-3</v>
      </c>
      <c r="N447" s="1">
        <f t="shared" si="33"/>
        <v>3.5187068513733007E-4</v>
      </c>
      <c r="O447" s="1">
        <f t="shared" si="34"/>
        <v>2.9440447627427296E-4</v>
      </c>
    </row>
    <row r="448" spans="4:15" x14ac:dyDescent="0.25">
      <c r="D448" s="3">
        <v>45467</v>
      </c>
      <c r="E448" s="2">
        <v>5.5435445423803999E-2</v>
      </c>
      <c r="F448" s="2">
        <v>5.5444666223109298E-2</v>
      </c>
      <c r="G448" s="2">
        <v>5.5440053000000003E-2</v>
      </c>
      <c r="H448" s="2">
        <v>0.18542898996829199</v>
      </c>
      <c r="I448" s="2">
        <v>0.185480580183255</v>
      </c>
      <c r="J448" s="2">
        <v>0.18545479000000001</v>
      </c>
      <c r="K448">
        <f t="shared" si="30"/>
        <v>1.081076025258132E-2</v>
      </c>
      <c r="L448">
        <f t="shared" si="31"/>
        <v>9.7456312546666535E-3</v>
      </c>
      <c r="M448" s="1">
        <f t="shared" si="32"/>
        <v>1.0253439387605263E-2</v>
      </c>
      <c r="N448" s="1">
        <f t="shared" si="33"/>
        <v>1.6632017478951161E-4</v>
      </c>
      <c r="O448" s="1">
        <f t="shared" si="34"/>
        <v>2.7818216484464951E-4</v>
      </c>
    </row>
    <row r="449" spans="4:15" x14ac:dyDescent="0.25">
      <c r="D449" s="5">
        <v>45464</v>
      </c>
      <c r="E449" s="4">
        <v>5.4840496416173598E-2</v>
      </c>
      <c r="F449" s="4">
        <v>5.4853732522229498E-2</v>
      </c>
      <c r="G449" s="4">
        <v>5.4847114000000002E-2</v>
      </c>
      <c r="H449" s="4">
        <v>0.183634493903335</v>
      </c>
      <c r="I449" s="4">
        <v>0.18369521290275201</v>
      </c>
      <c r="J449" s="4">
        <v>0.18366486000000001</v>
      </c>
      <c r="K449">
        <f t="shared" si="30"/>
        <v>9.2005662124687859E-3</v>
      </c>
      <c r="L449">
        <f t="shared" si="31"/>
        <v>-2.7089478792649002E-3</v>
      </c>
      <c r="M449" s="1">
        <f t="shared" si="32"/>
        <v>2.969001108106376E-3</v>
      </c>
      <c r="N449" s="1">
        <f t="shared" si="33"/>
        <v>2.4132730221502587E-4</v>
      </c>
      <c r="O449" s="1">
        <f t="shared" si="34"/>
        <v>3.3059671521819007E-4</v>
      </c>
    </row>
    <row r="450" spans="4:15" x14ac:dyDescent="0.25">
      <c r="D450" s="3">
        <v>45463</v>
      </c>
      <c r="E450" s="2">
        <v>5.4340442874609401E-2</v>
      </c>
      <c r="F450" s="2">
        <v>5.4353734101532797E-2</v>
      </c>
      <c r="G450" s="2">
        <v>5.4347090000000001E-2</v>
      </c>
      <c r="H450" s="2">
        <v>0.18414510634379899</v>
      </c>
      <c r="I450" s="2">
        <v>0.18418241426308599</v>
      </c>
      <c r="J450" s="2">
        <v>0.18416374999999999</v>
      </c>
      <c r="K450">
        <f t="shared" si="30"/>
        <v>2.8535887025271656E-4</v>
      </c>
      <c r="L450">
        <f t="shared" si="31"/>
        <v>6.4549303346366216E-3</v>
      </c>
      <c r="M450" s="1">
        <f t="shared" si="32"/>
        <v>3.5135414770485723E-3</v>
      </c>
      <c r="N450" s="1">
        <f t="shared" si="33"/>
        <v>2.4456188773668193E-4</v>
      </c>
      <c r="O450" s="1">
        <f t="shared" si="34"/>
        <v>2.0258014558779383E-4</v>
      </c>
    </row>
    <row r="451" spans="4:15" x14ac:dyDescent="0.25">
      <c r="D451" s="5">
        <v>45462</v>
      </c>
      <c r="E451" s="4">
        <v>5.4319485485833499E-2</v>
      </c>
      <c r="F451" s="4">
        <v>5.4343691240883799E-2</v>
      </c>
      <c r="G451" s="4">
        <v>5.4331586000000001E-2</v>
      </c>
      <c r="H451" s="4">
        <v>0.182955834461561</v>
      </c>
      <c r="I451" s="4">
        <v>0.18300940668350399</v>
      </c>
      <c r="J451" s="4">
        <v>0.18298260999999999</v>
      </c>
      <c r="K451">
        <f t="shared" si="30"/>
        <v>-1.0323467609874015E-3</v>
      </c>
      <c r="L451">
        <f t="shared" si="31"/>
        <v>-9.9725795857505961E-3</v>
      </c>
      <c r="M451" s="1">
        <f t="shared" si="32"/>
        <v>-5.7102574185127807E-3</v>
      </c>
      <c r="N451" s="1">
        <f t="shared" si="33"/>
        <v>4.4551902185037314E-4</v>
      </c>
      <c r="O451" s="1">
        <f t="shared" si="34"/>
        <v>2.9277220356072905E-4</v>
      </c>
    </row>
    <row r="452" spans="4:15" x14ac:dyDescent="0.25">
      <c r="D452" s="3">
        <v>45461</v>
      </c>
      <c r="E452" s="2">
        <v>5.4379153207826297E-2</v>
      </c>
      <c r="F452" s="2">
        <v>5.4396309754346298E-2</v>
      </c>
      <c r="G452" s="2">
        <v>5.4387733000000001E-2</v>
      </c>
      <c r="H452" s="2">
        <v>0.18481213846125399</v>
      </c>
      <c r="I452" s="2">
        <v>0.18483946692297701</v>
      </c>
      <c r="J452" s="2">
        <v>0.18482580000000001</v>
      </c>
      <c r="K452">
        <f t="shared" si="30"/>
        <v>8.4029853829057366E-3</v>
      </c>
      <c r="L452">
        <f t="shared" si="31"/>
        <v>1.0165290361778823E-3</v>
      </c>
      <c r="M452" s="1">
        <f t="shared" si="32"/>
        <v>4.5380767677747373E-3</v>
      </c>
      <c r="N452" s="1">
        <f t="shared" si="33"/>
        <v>3.1544882593286623E-4</v>
      </c>
      <c r="O452" s="1">
        <f t="shared" si="34"/>
        <v>1.4786064349789943E-4</v>
      </c>
    </row>
    <row r="453" spans="4:15" x14ac:dyDescent="0.25">
      <c r="D453" s="5">
        <v>45460</v>
      </c>
      <c r="E453" s="4">
        <v>5.3928415421369703E-2</v>
      </c>
      <c r="F453" s="4">
        <v>5.3940632939386897E-2</v>
      </c>
      <c r="G453" s="4">
        <v>5.3934521999999999E-2</v>
      </c>
      <c r="H453" s="4">
        <v>0.18461765683269901</v>
      </c>
      <c r="I453" s="4">
        <v>0.184658566310891</v>
      </c>
      <c r="J453" s="4">
        <v>0.18463810999999999</v>
      </c>
      <c r="K453">
        <f t="shared" si="30"/>
        <v>-3.1417163188801611E-3</v>
      </c>
      <c r="L453">
        <f t="shared" si="31"/>
        <v>-1.1161394368821465E-2</v>
      </c>
      <c r="M453" s="1">
        <f t="shared" si="32"/>
        <v>-7.3379535036468182E-3</v>
      </c>
      <c r="N453" s="1">
        <f t="shared" si="33"/>
        <v>2.2652500780842198E-4</v>
      </c>
      <c r="O453" s="1">
        <f t="shared" si="34"/>
        <v>2.2156573305473959E-4</v>
      </c>
    </row>
    <row r="454" spans="4:15" x14ac:dyDescent="0.25">
      <c r="D454" s="3">
        <v>45457</v>
      </c>
      <c r="E454" s="2">
        <v>5.4095576063789501E-2</v>
      </c>
      <c r="F454" s="2">
        <v>5.4113432577368697E-2</v>
      </c>
      <c r="G454" s="2">
        <v>5.4104502999999998E-2</v>
      </c>
      <c r="H454" s="2">
        <v>0.18669604017698799</v>
      </c>
      <c r="I454" s="2">
        <v>0.18674833793979201</v>
      </c>
      <c r="J454" s="2">
        <v>0.18672219000000001</v>
      </c>
      <c r="K454">
        <f t="shared" si="30"/>
        <v>4.6124771806228537E-3</v>
      </c>
      <c r="L454">
        <f t="shared" si="31"/>
        <v>8.7292521299242587E-3</v>
      </c>
      <c r="M454" s="1">
        <f t="shared" si="32"/>
        <v>6.7665492039631001E-3</v>
      </c>
      <c r="N454" s="1">
        <f t="shared" si="33"/>
        <v>3.3003747542411868E-4</v>
      </c>
      <c r="O454" s="1">
        <f t="shared" si="34"/>
        <v>2.8008327667976204E-4</v>
      </c>
    </row>
    <row r="455" spans="4:15" x14ac:dyDescent="0.25">
      <c r="D455" s="5">
        <v>45456</v>
      </c>
      <c r="E455" s="4">
        <v>5.3841308128422298E-2</v>
      </c>
      <c r="F455" s="4">
        <v>5.3870893017793603E-2</v>
      </c>
      <c r="G455" s="4">
        <v>5.3856093000000001E-2</v>
      </c>
      <c r="H455" s="4">
        <v>0.18507893616627499</v>
      </c>
      <c r="I455" s="4">
        <v>0.18513375914097899</v>
      </c>
      <c r="J455" s="4">
        <v>0.18510635</v>
      </c>
      <c r="K455">
        <f t="shared" si="30"/>
        <v>1.6695325673157013E-2</v>
      </c>
      <c r="L455">
        <f t="shared" si="31"/>
        <v>1.2961797115629281E-4</v>
      </c>
      <c r="M455" s="1">
        <f t="shared" si="32"/>
        <v>8.0274417234241884E-3</v>
      </c>
      <c r="N455" s="1">
        <f t="shared" si="33"/>
        <v>5.4933226164966952E-4</v>
      </c>
      <c r="O455" s="1">
        <f t="shared" si="34"/>
        <v>2.9617014599441947E-4</v>
      </c>
    </row>
    <row r="456" spans="4:15" x14ac:dyDescent="0.25">
      <c r="D456" s="3">
        <v>45455</v>
      </c>
      <c r="E456" s="2">
        <v>5.2962174415032801E-2</v>
      </c>
      <c r="F456" s="2">
        <v>5.2981255231898901E-2</v>
      </c>
      <c r="G456" s="2">
        <v>5.2971712999999997E-2</v>
      </c>
      <c r="H456" s="2">
        <v>0.18505496132351301</v>
      </c>
      <c r="I456" s="2">
        <v>0.185109770093666</v>
      </c>
      <c r="J456" s="2">
        <v>0.18508236</v>
      </c>
      <c r="K456">
        <f t="shared" si="30"/>
        <v>-2.3440000458675225E-2</v>
      </c>
      <c r="L456">
        <f t="shared" si="31"/>
        <v>-1.0614483001608055E-2</v>
      </c>
      <c r="M456" s="1">
        <f t="shared" si="32"/>
        <v>-1.6729143372883223E-2</v>
      </c>
      <c r="N456" s="1">
        <f t="shared" si="33"/>
        <v>3.6020766151361291E-4</v>
      </c>
      <c r="O456" s="1">
        <f t="shared" si="34"/>
        <v>2.9613178777808142E-4</v>
      </c>
    </row>
    <row r="457" spans="4:15" x14ac:dyDescent="0.25">
      <c r="D457" s="5">
        <v>45454</v>
      </c>
      <c r="E457" s="4">
        <v>5.4229346753288998E-2</v>
      </c>
      <c r="F457" s="4">
        <v>5.4257004579291203E-2</v>
      </c>
      <c r="G457" s="4">
        <v>5.4243172999999999E-2</v>
      </c>
      <c r="H457" s="4">
        <v>0.18704174771809101</v>
      </c>
      <c r="I457" s="4">
        <v>0.18709423936837</v>
      </c>
      <c r="J457" s="4">
        <v>0.18706798999999999</v>
      </c>
      <c r="K457">
        <f t="shared" si="30"/>
        <v>-6.7782737615207367E-5</v>
      </c>
      <c r="L457">
        <f t="shared" si="31"/>
        <v>3.7600492447062983E-3</v>
      </c>
      <c r="M457" s="1">
        <f t="shared" si="32"/>
        <v>1.9351020167639454E-3</v>
      </c>
      <c r="N457" s="1">
        <f t="shared" si="33"/>
        <v>5.0988584318628464E-4</v>
      </c>
      <c r="O457" s="1">
        <f t="shared" si="34"/>
        <v>2.8060199010522953E-4</v>
      </c>
    </row>
    <row r="458" spans="4:15" x14ac:dyDescent="0.25">
      <c r="D458" s="3">
        <v>45453</v>
      </c>
      <c r="E458" s="2">
        <v>5.4233758345219603E-2</v>
      </c>
      <c r="F458" s="2">
        <v>5.4259948561568801E-2</v>
      </c>
      <c r="G458" s="2">
        <v>5.4246849999999999E-2</v>
      </c>
      <c r="H458" s="2">
        <v>0.18635855385762201</v>
      </c>
      <c r="I458" s="2">
        <v>0.186375920231106</v>
      </c>
      <c r="J458" s="2">
        <v>0.18636723999999999</v>
      </c>
      <c r="K458">
        <f t="shared" si="30"/>
        <v>-4.9499871663194472E-3</v>
      </c>
      <c r="L458">
        <f t="shared" si="31"/>
        <v>-1.6418979526307775E-2</v>
      </c>
      <c r="M458" s="1">
        <f t="shared" si="32"/>
        <v>-1.0951052534914883E-2</v>
      </c>
      <c r="N458" s="1">
        <f t="shared" si="33"/>
        <v>4.8279699833626887E-4</v>
      </c>
      <c r="O458" s="1">
        <f t="shared" si="34"/>
        <v>9.318361684158987E-5</v>
      </c>
    </row>
    <row r="459" spans="4:15" x14ac:dyDescent="0.25">
      <c r="D459" s="5">
        <v>45450</v>
      </c>
      <c r="E459" s="4">
        <v>5.4491161533599203E-2</v>
      </c>
      <c r="F459" s="4">
        <v>5.4542281176367897E-2</v>
      </c>
      <c r="G459" s="4">
        <v>5.4516706999999998E-2</v>
      </c>
      <c r="H459" s="4">
        <v>0.18945493814296299</v>
      </c>
      <c r="I459" s="4">
        <v>0.18950161076369099</v>
      </c>
      <c r="J459" s="4">
        <v>0.18947828</v>
      </c>
      <c r="K459">
        <f t="shared" si="30"/>
        <v>-4.4294841490704839E-2</v>
      </c>
      <c r="L459">
        <f t="shared" si="31"/>
        <v>-2.7473643723051611E-3</v>
      </c>
      <c r="M459" s="1">
        <f t="shared" si="32"/>
        <v>-2.2555431587741634E-2</v>
      </c>
      <c r="N459" s="1">
        <f t="shared" si="33"/>
        <v>9.3768764809464163E-4</v>
      </c>
      <c r="O459" s="1">
        <f t="shared" si="34"/>
        <v>2.4632174583806853E-4</v>
      </c>
    </row>
    <row r="460" spans="4:15" x14ac:dyDescent="0.25">
      <c r="D460" s="3">
        <v>45449</v>
      </c>
      <c r="E460" s="2">
        <v>5.7036606093790999E-2</v>
      </c>
      <c r="F460" s="2">
        <v>5.7050272700303502E-2</v>
      </c>
      <c r="G460" s="2">
        <v>5.7043437000000002E-2</v>
      </c>
      <c r="H460" s="2">
        <v>0.18995877894496899</v>
      </c>
      <c r="I460" s="2">
        <v>0.19004180919802399</v>
      </c>
      <c r="J460" s="2">
        <v>0.19000027999999999</v>
      </c>
      <c r="K460">
        <f t="shared" si="30"/>
        <v>1.7112179452847265E-3</v>
      </c>
      <c r="L460">
        <f t="shared" si="31"/>
        <v>5.3390302461091554E-3</v>
      </c>
      <c r="M460" s="1">
        <f t="shared" si="32"/>
        <v>3.609443881696821E-3</v>
      </c>
      <c r="N460" s="1">
        <f t="shared" si="33"/>
        <v>2.3958245209702912E-4</v>
      </c>
      <c r="O460" s="1">
        <f t="shared" si="34"/>
        <v>4.3700068786743543E-4</v>
      </c>
    </row>
    <row r="461" spans="4:15" x14ac:dyDescent="0.25">
      <c r="D461" s="5">
        <v>45448</v>
      </c>
      <c r="E461" s="4">
        <v>5.69395017793594E-2</v>
      </c>
      <c r="F461" s="4">
        <v>5.6952473161147002E-2</v>
      </c>
      <c r="G461" s="4">
        <v>5.6945990000000002E-2</v>
      </c>
      <c r="H461" s="4">
        <v>0.18897161646320701</v>
      </c>
      <c r="I461" s="4">
        <v>0.189010905929272</v>
      </c>
      <c r="J461" s="4">
        <v>0.18899125</v>
      </c>
      <c r="K461">
        <f t="shared" si="30"/>
        <v>1.5290061339783501E-2</v>
      </c>
      <c r="L461">
        <f t="shared" si="31"/>
        <v>-3.9027736689060122E-3</v>
      </c>
      <c r="M461" s="1">
        <f t="shared" si="32"/>
        <v>5.2475524705971992E-3</v>
      </c>
      <c r="N461" s="1">
        <f t="shared" si="33"/>
        <v>2.2778393680752661E-4</v>
      </c>
      <c r="O461" s="1">
        <f t="shared" si="34"/>
        <v>2.0789039738606979E-4</v>
      </c>
    </row>
    <row r="462" spans="4:15" x14ac:dyDescent="0.25">
      <c r="D462" s="3">
        <v>45447</v>
      </c>
      <c r="E462" s="2">
        <v>5.6081789682072301E-2</v>
      </c>
      <c r="F462" s="2">
        <v>5.6095002496227599E-2</v>
      </c>
      <c r="G462" s="2">
        <v>5.6088394999999999E-2</v>
      </c>
      <c r="H462" s="2">
        <v>0.189695728052204</v>
      </c>
      <c r="I462" s="2">
        <v>0.18976772430545</v>
      </c>
      <c r="J462" s="2">
        <v>0.18973172999999999</v>
      </c>
      <c r="K462">
        <f t="shared" si="30"/>
        <v>-1.5802861128389356E-2</v>
      </c>
      <c r="L462">
        <f t="shared" si="31"/>
        <v>-7.3331528659522638E-3</v>
      </c>
      <c r="M462" s="1">
        <f t="shared" si="32"/>
        <v>-1.1371148965676781E-2</v>
      </c>
      <c r="N462" s="1">
        <f t="shared" si="33"/>
        <v>2.3557126488103809E-4</v>
      </c>
      <c r="O462" s="1">
        <f t="shared" si="34"/>
        <v>3.7946343105604082E-4</v>
      </c>
    </row>
    <row r="463" spans="4:15" x14ac:dyDescent="0.25">
      <c r="D463" s="5">
        <v>45446</v>
      </c>
      <c r="E463" s="4">
        <v>5.6976485804308599E-2</v>
      </c>
      <c r="F463" s="4">
        <v>5.7001493439128102E-2</v>
      </c>
      <c r="G463" s="4">
        <v>5.6988983999999999E-2</v>
      </c>
      <c r="H463" s="4">
        <v>0.19111688708814301</v>
      </c>
      <c r="I463" s="4">
        <v>0.19114976584153701</v>
      </c>
      <c r="J463" s="4">
        <v>0.19113334000000001</v>
      </c>
      <c r="K463">
        <f t="shared" si="30"/>
        <v>-2.8138376871770898E-2</v>
      </c>
      <c r="L463">
        <f t="shared" si="31"/>
        <v>4.5681746296124537E-3</v>
      </c>
      <c r="M463" s="1">
        <f t="shared" si="32"/>
        <v>-1.1024915864867372E-2</v>
      </c>
      <c r="N463" s="1">
        <f t="shared" si="33"/>
        <v>4.3881524224932705E-4</v>
      </c>
      <c r="O463" s="1">
        <f t="shared" si="34"/>
        <v>1.7201998036553976E-4</v>
      </c>
    </row>
    <row r="464" spans="4:15" x14ac:dyDescent="0.25">
      <c r="D464" s="3">
        <v>45443</v>
      </c>
      <c r="E464" s="2">
        <v>5.8633831720903001E-2</v>
      </c>
      <c r="F464" s="2">
        <v>5.8644147314098102E-2</v>
      </c>
      <c r="G464" s="2">
        <v>5.8638990000000002E-2</v>
      </c>
      <c r="H464" s="2">
        <v>0.19024065442785101</v>
      </c>
      <c r="I464" s="2">
        <v>0.19028771502511799</v>
      </c>
      <c r="J464" s="2">
        <v>0.19026418</v>
      </c>
      <c r="K464">
        <f t="shared" ref="K464:K527" si="35">G464/G465-1</f>
        <v>-4.6911357766232786E-3</v>
      </c>
      <c r="L464">
        <f t="shared" ref="L464:L527" si="36">J464/J465-1</f>
        <v>-1.0045893505526537E-2</v>
      </c>
      <c r="M464" s="1">
        <f t="shared" ref="M464:M527" si="37">SUMPRODUCT(K464:L464,$O$11:$P$11)</f>
        <v>-7.4929731268900974E-3</v>
      </c>
      <c r="N464" s="1">
        <f t="shared" ref="N464:N527" si="38">(F464-E464)/G464</f>
        <v>1.7591696574414058E-4</v>
      </c>
      <c r="O464" s="1">
        <f t="shared" ref="O464:O527" si="39">(I464-H464)/J464</f>
        <v>2.4734344250701071E-4</v>
      </c>
    </row>
    <row r="465" spans="4:15" x14ac:dyDescent="0.25">
      <c r="D465" s="5">
        <v>45442</v>
      </c>
      <c r="E465" s="4">
        <v>5.8909120899188802E-2</v>
      </c>
      <c r="F465" s="4">
        <v>5.89216165734723E-2</v>
      </c>
      <c r="G465" s="4">
        <v>5.8915370000000002E-2</v>
      </c>
      <c r="H465" s="4">
        <v>0.192148800030744</v>
      </c>
      <c r="I465" s="4">
        <v>0.192241147295167</v>
      </c>
      <c r="J465" s="4">
        <v>0.19219495</v>
      </c>
      <c r="K465">
        <f t="shared" si="35"/>
        <v>-7.6581749452930836E-4</v>
      </c>
      <c r="L465">
        <f t="shared" si="36"/>
        <v>-1.6529778196473499E-3</v>
      </c>
      <c r="M465" s="1">
        <f t="shared" si="37"/>
        <v>-1.2300175686379253E-3</v>
      </c>
      <c r="N465" s="1">
        <f t="shared" si="38"/>
        <v>2.120953205165027E-4</v>
      </c>
      <c r="O465" s="1">
        <f t="shared" si="39"/>
        <v>4.8048746558119185E-4</v>
      </c>
    </row>
    <row r="466" spans="4:15" x14ac:dyDescent="0.25">
      <c r="D466" s="3">
        <v>45441</v>
      </c>
      <c r="E466" s="2">
        <v>5.89549643027691E-2</v>
      </c>
      <c r="F466" s="2">
        <v>5.8966088602444698E-2</v>
      </c>
      <c r="G466" s="2">
        <v>5.8960523000000001E-2</v>
      </c>
      <c r="H466" s="2">
        <v>0.19250019250019301</v>
      </c>
      <c r="I466" s="2">
        <v>0.19252613542288399</v>
      </c>
      <c r="J466" s="2">
        <v>0.19251317000000001</v>
      </c>
      <c r="K466">
        <f t="shared" si="35"/>
        <v>-1.3649425107086888E-2</v>
      </c>
      <c r="L466">
        <f t="shared" si="36"/>
        <v>-6.795632696774967E-3</v>
      </c>
      <c r="M466" s="1">
        <f t="shared" si="37"/>
        <v>-1.0063228954358176E-2</v>
      </c>
      <c r="N466" s="1">
        <f t="shared" si="38"/>
        <v>1.8867369401723389E-4</v>
      </c>
      <c r="O466" s="1">
        <f t="shared" si="39"/>
        <v>1.347592099334305E-4</v>
      </c>
    </row>
    <row r="467" spans="4:15" x14ac:dyDescent="0.25">
      <c r="D467" s="5">
        <v>45440</v>
      </c>
      <c r="E467" s="4">
        <v>5.9771076775948097E-2</v>
      </c>
      <c r="F467" s="4">
        <v>5.97817964429831E-2</v>
      </c>
      <c r="G467" s="4">
        <v>5.9776437000000002E-2</v>
      </c>
      <c r="H467" s="4">
        <v>0.193817230351778</v>
      </c>
      <c r="I467" s="4">
        <v>0.193843529502985</v>
      </c>
      <c r="J467" s="4">
        <v>0.19383037</v>
      </c>
      <c r="K467">
        <f t="shared" si="35"/>
        <v>-4.9017088760484606E-3</v>
      </c>
      <c r="L467">
        <f t="shared" si="36"/>
        <v>3.6924190634397558E-3</v>
      </c>
      <c r="M467" s="1">
        <f t="shared" si="37"/>
        <v>-4.0489503816796613E-4</v>
      </c>
      <c r="N467" s="1">
        <f t="shared" si="38"/>
        <v>1.7932930721519807E-4</v>
      </c>
      <c r="O467" s="1">
        <f t="shared" si="39"/>
        <v>1.3568127227430238E-4</v>
      </c>
    </row>
    <row r="468" spans="4:15" x14ac:dyDescent="0.25">
      <c r="D468" s="3">
        <v>45439</v>
      </c>
      <c r="E468" s="2">
        <v>6.0057895811562297E-2</v>
      </c>
      <c r="F468" s="2">
        <v>6.0083877092421002E-2</v>
      </c>
      <c r="G468" s="2">
        <v>6.0070887000000003E-2</v>
      </c>
      <c r="H468" s="2">
        <v>0.19310611180843901</v>
      </c>
      <c r="I468" s="2">
        <v>0.193128488383321</v>
      </c>
      <c r="J468" s="2">
        <v>0.19311729999999999</v>
      </c>
      <c r="K468">
        <f t="shared" si="35"/>
        <v>4.5354263660652983E-3</v>
      </c>
      <c r="L468">
        <f t="shared" si="36"/>
        <v>-5.156239326736145E-3</v>
      </c>
      <c r="M468" s="1">
        <f t="shared" si="37"/>
        <v>-5.3566597819138754E-4</v>
      </c>
      <c r="N468" s="1">
        <f t="shared" si="38"/>
        <v>4.3251035828230166E-4</v>
      </c>
      <c r="O468" s="1">
        <f t="shared" si="39"/>
        <v>1.158703797225507E-4</v>
      </c>
    </row>
    <row r="469" spans="4:15" x14ac:dyDescent="0.25">
      <c r="D469" s="5">
        <v>45436</v>
      </c>
      <c r="E469" s="4">
        <v>5.9793592518625698E-2</v>
      </c>
      <c r="F469" s="4">
        <v>5.9805750921008601E-2</v>
      </c>
      <c r="G469" s="4">
        <v>5.9799669999999999E-2</v>
      </c>
      <c r="H469" s="4">
        <v>0.194099378881988</v>
      </c>
      <c r="I469" s="4">
        <v>0.1941370607649</v>
      </c>
      <c r="J469" s="4">
        <v>0.19411822000000001</v>
      </c>
      <c r="K469">
        <f t="shared" si="35"/>
        <v>5.6805138463977833E-4</v>
      </c>
      <c r="L469">
        <f t="shared" si="36"/>
        <v>2.6207395205468664E-4</v>
      </c>
      <c r="M469" s="1">
        <f t="shared" si="37"/>
        <v>4.0795095762545536E-4</v>
      </c>
      <c r="N469" s="1">
        <f t="shared" si="38"/>
        <v>2.0331888759424593E-4</v>
      </c>
      <c r="O469" s="1">
        <f t="shared" si="39"/>
        <v>1.9411821781595328E-4</v>
      </c>
    </row>
    <row r="470" spans="4:15" x14ac:dyDescent="0.25">
      <c r="D470" s="3">
        <v>45435</v>
      </c>
      <c r="E470" s="2">
        <v>5.9757861146633798E-2</v>
      </c>
      <c r="F470" s="2">
        <v>5.9773577687718897E-2</v>
      </c>
      <c r="G470" s="2">
        <v>5.9765720000000001E-2</v>
      </c>
      <c r="H470" s="2">
        <v>0.194054179927036</v>
      </c>
      <c r="I470" s="2">
        <v>0.194080543425522</v>
      </c>
      <c r="J470" s="2">
        <v>0.19406735999999999</v>
      </c>
      <c r="K470">
        <f t="shared" si="35"/>
        <v>-4.7812221922004516E-3</v>
      </c>
      <c r="L470">
        <f t="shared" si="36"/>
        <v>3.9780362089447685E-4</v>
      </c>
      <c r="M470" s="1">
        <f t="shared" si="37"/>
        <v>-2.071335266261526E-3</v>
      </c>
      <c r="N470" s="1">
        <f t="shared" si="38"/>
        <v>2.6296915832519524E-4</v>
      </c>
      <c r="O470" s="1">
        <f t="shared" si="39"/>
        <v>1.3584715372025438E-4</v>
      </c>
    </row>
    <row r="471" spans="4:15" x14ac:dyDescent="0.25">
      <c r="D471" s="5">
        <v>45434</v>
      </c>
      <c r="E471" s="4">
        <v>6.0046355786667303E-2</v>
      </c>
      <c r="F471" s="4">
        <v>6.0059338626563E-2</v>
      </c>
      <c r="G471" s="4">
        <v>6.0052846E-2</v>
      </c>
      <c r="H471" s="4">
        <v>0.19396760740956301</v>
      </c>
      <c r="I471" s="4">
        <v>0.194012766040005</v>
      </c>
      <c r="J471" s="4">
        <v>0.19399019000000001</v>
      </c>
      <c r="K471">
        <f t="shared" si="35"/>
        <v>-4.1736660709292828E-3</v>
      </c>
      <c r="L471">
        <f t="shared" si="36"/>
        <v>-8.7294979308480958E-3</v>
      </c>
      <c r="M471" s="1">
        <f t="shared" si="37"/>
        <v>-6.5574713732226685E-3</v>
      </c>
      <c r="N471" s="1">
        <f t="shared" si="38"/>
        <v>2.1619025176086273E-4</v>
      </c>
      <c r="O471" s="1">
        <f t="shared" si="39"/>
        <v>2.3278821698145537E-4</v>
      </c>
    </row>
    <row r="472" spans="4:15" x14ac:dyDescent="0.25">
      <c r="D472" s="3">
        <v>45433</v>
      </c>
      <c r="E472" s="2">
        <v>6.0298719858177398E-2</v>
      </c>
      <c r="F472" s="2">
        <v>6.0310357097624397E-2</v>
      </c>
      <c r="G472" s="2">
        <v>6.0304536999999998E-2</v>
      </c>
      <c r="H472" s="2">
        <v>0.19567556990509699</v>
      </c>
      <c r="I472" s="2">
        <v>0.19572152741080001</v>
      </c>
      <c r="J472" s="2">
        <v>0.19569854</v>
      </c>
      <c r="K472">
        <f t="shared" si="35"/>
        <v>-2.7143158151954339E-4</v>
      </c>
      <c r="L472">
        <f t="shared" si="36"/>
        <v>-3.2877996627145301E-3</v>
      </c>
      <c r="M472" s="1">
        <f t="shared" si="37"/>
        <v>-1.8497238554028193E-3</v>
      </c>
      <c r="N472" s="1">
        <f t="shared" si="38"/>
        <v>1.9297452606258786E-4</v>
      </c>
      <c r="O472" s="1">
        <f t="shared" si="39"/>
        <v>2.3483826554362834E-4</v>
      </c>
    </row>
    <row r="473" spans="4:15" x14ac:dyDescent="0.25">
      <c r="D473" s="5">
        <v>45432</v>
      </c>
      <c r="E473" s="4">
        <v>6.0315449802466899E-2</v>
      </c>
      <c r="F473" s="4">
        <v>6.0326365638102099E-2</v>
      </c>
      <c r="G473" s="4">
        <v>6.0320909999999998E-2</v>
      </c>
      <c r="H473" s="4">
        <v>0.196320945481673</v>
      </c>
      <c r="I473" s="4">
        <v>0.196367206676485</v>
      </c>
      <c r="J473" s="4">
        <v>0.19634408</v>
      </c>
      <c r="K473">
        <f t="shared" si="35"/>
        <v>2.1414802396531041E-3</v>
      </c>
      <c r="L473">
        <f t="shared" si="36"/>
        <v>3.8875933085027459E-3</v>
      </c>
      <c r="M473" s="1">
        <f t="shared" si="37"/>
        <v>3.0551209796785112E-3</v>
      </c>
      <c r="N473" s="1">
        <f t="shared" si="38"/>
        <v>1.8096271483968254E-4</v>
      </c>
      <c r="O473" s="1">
        <f t="shared" si="39"/>
        <v>2.3561288332193034E-4</v>
      </c>
    </row>
    <row r="474" spans="4:15" x14ac:dyDescent="0.25">
      <c r="D474" s="3">
        <v>45429</v>
      </c>
      <c r="E474" s="2">
        <v>6.0185853916895397E-2</v>
      </c>
      <c r="F474" s="2">
        <v>6.0198172383486397E-2</v>
      </c>
      <c r="G474" s="2">
        <v>6.0192009999999997E-2</v>
      </c>
      <c r="H474" s="2">
        <v>0.19556459498572401</v>
      </c>
      <c r="I474" s="2">
        <v>0.19560284797746699</v>
      </c>
      <c r="J474" s="2">
        <v>0.19558373000000001</v>
      </c>
      <c r="K474">
        <f t="shared" si="35"/>
        <v>4.7852824353940004E-3</v>
      </c>
      <c r="L474">
        <f t="shared" si="36"/>
        <v>2.7675302293421744E-3</v>
      </c>
      <c r="M474" s="1">
        <f t="shared" si="37"/>
        <v>3.7295085272703939E-3</v>
      </c>
      <c r="N474" s="1">
        <f t="shared" si="38"/>
        <v>2.0465285327735729E-4</v>
      </c>
      <c r="O474" s="1">
        <f t="shared" si="39"/>
        <v>1.9558371109387222E-4</v>
      </c>
    </row>
    <row r="475" spans="4:15" x14ac:dyDescent="0.25">
      <c r="D475" s="5">
        <v>45428</v>
      </c>
      <c r="E475" s="4">
        <v>5.98999670550181E-2</v>
      </c>
      <c r="F475" s="4">
        <v>5.9910733007818302E-2</v>
      </c>
      <c r="G475" s="4">
        <v>5.9905345999999998E-2</v>
      </c>
      <c r="H475" s="4">
        <v>0.195026816187226</v>
      </c>
      <c r="I475" s="4">
        <v>0.19506105410993599</v>
      </c>
      <c r="J475" s="4">
        <v>0.19504394</v>
      </c>
      <c r="K475">
        <f t="shared" si="35"/>
        <v>8.9848937964354114E-4</v>
      </c>
      <c r="L475">
        <f t="shared" si="36"/>
        <v>1.2190046870619309E-3</v>
      </c>
      <c r="M475" s="1">
        <f t="shared" si="37"/>
        <v>1.0661966420673495E-3</v>
      </c>
      <c r="N475" s="1">
        <f t="shared" si="38"/>
        <v>1.797160607369283E-4</v>
      </c>
      <c r="O475" s="1">
        <f t="shared" si="39"/>
        <v>1.7553953591167338E-4</v>
      </c>
    </row>
    <row r="476" spans="4:15" x14ac:dyDescent="0.25">
      <c r="D476" s="3">
        <v>45427</v>
      </c>
      <c r="E476" s="2">
        <v>5.9845478973290997E-2</v>
      </c>
      <c r="F476" s="2">
        <v>5.9857658488115299E-2</v>
      </c>
      <c r="G476" s="2">
        <v>5.985157E-2</v>
      </c>
      <c r="H476" s="2">
        <v>0.19476851761681199</v>
      </c>
      <c r="I476" s="2">
        <v>0.19484441673323899</v>
      </c>
      <c r="J476" s="2">
        <v>0.19480647000000001</v>
      </c>
      <c r="K476">
        <f t="shared" si="35"/>
        <v>8.6186180214606889E-3</v>
      </c>
      <c r="L476">
        <f t="shared" si="36"/>
        <v>-2.9156292356447011E-5</v>
      </c>
      <c r="M476" s="1">
        <f t="shared" si="37"/>
        <v>4.0937341152576167E-3</v>
      </c>
      <c r="N476" s="1">
        <f t="shared" si="38"/>
        <v>2.0349532726213023E-4</v>
      </c>
      <c r="O476" s="1">
        <f t="shared" si="39"/>
        <v>3.8961291391911834E-4</v>
      </c>
    </row>
    <row r="477" spans="4:15" x14ac:dyDescent="0.25">
      <c r="D477" s="5">
        <v>45426</v>
      </c>
      <c r="E477" s="4">
        <v>5.9333448044666198E-2</v>
      </c>
      <c r="F477" s="4">
        <v>5.9346828802202899E-2</v>
      </c>
      <c r="G477" s="4">
        <v>5.934014E-2</v>
      </c>
      <c r="H477" s="4">
        <v>0.194802664900456</v>
      </c>
      <c r="I477" s="4">
        <v>0.19482164078785899</v>
      </c>
      <c r="J477" s="4">
        <v>0.19481214999999999</v>
      </c>
      <c r="K477">
        <f t="shared" si="35"/>
        <v>-3.3526841005970809E-3</v>
      </c>
      <c r="L477">
        <f t="shared" si="36"/>
        <v>1.5487563936005255E-3</v>
      </c>
      <c r="M477" s="1">
        <f t="shared" si="37"/>
        <v>-7.8804163831973318E-4</v>
      </c>
      <c r="N477" s="1">
        <f t="shared" si="38"/>
        <v>2.254925171511286E-4</v>
      </c>
      <c r="O477" s="1">
        <f t="shared" si="39"/>
        <v>9.7406077613684951E-5</v>
      </c>
    </row>
    <row r="478" spans="4:15" x14ac:dyDescent="0.25">
      <c r="D478" s="3">
        <v>45425</v>
      </c>
      <c r="E478" s="2">
        <v>5.9532668551867798E-2</v>
      </c>
      <c r="F478" s="2">
        <v>5.9546848483044E-2</v>
      </c>
      <c r="G478" s="2">
        <v>5.9539757999999998E-2</v>
      </c>
      <c r="H478" s="2">
        <v>0.19448820429041</v>
      </c>
      <c r="I478" s="2">
        <v>0.194533605680381</v>
      </c>
      <c r="J478" s="2">
        <v>0.19451089999999999</v>
      </c>
      <c r="K478">
        <f t="shared" si="35"/>
        <v>-2.6792759964830992E-3</v>
      </c>
      <c r="L478">
        <f t="shared" si="36"/>
        <v>1.4004920848231794E-3</v>
      </c>
      <c r="M478" s="1">
        <f t="shared" si="37"/>
        <v>-5.4456754292780594E-4</v>
      </c>
      <c r="N478" s="1">
        <f t="shared" si="38"/>
        <v>2.3815903276264071E-4</v>
      </c>
      <c r="O478" s="1">
        <f t="shared" si="39"/>
        <v>2.3341308878320141E-4</v>
      </c>
    </row>
    <row r="479" spans="4:15" x14ac:dyDescent="0.25">
      <c r="D479" s="5">
        <v>45422</v>
      </c>
      <c r="E479" s="4">
        <v>5.9693652177027497E-2</v>
      </c>
      <c r="F479" s="4">
        <v>5.9705769965609501E-2</v>
      </c>
      <c r="G479" s="4">
        <v>5.9699710000000003E-2</v>
      </c>
      <c r="H479" s="4">
        <v>0.194223784644668</v>
      </c>
      <c r="I479" s="4">
        <v>0.194253967637289</v>
      </c>
      <c r="J479" s="4">
        <v>0.19423887000000001</v>
      </c>
      <c r="K479">
        <f t="shared" si="35"/>
        <v>8.4475204401650572E-3</v>
      </c>
      <c r="L479">
        <f t="shared" si="36"/>
        <v>1.4761857229417252E-3</v>
      </c>
      <c r="M479" s="1">
        <f t="shared" si="37"/>
        <v>4.7998211452935612E-3</v>
      </c>
      <c r="N479" s="1">
        <f t="shared" si="38"/>
        <v>2.0297901919463663E-4</v>
      </c>
      <c r="O479" s="1">
        <f t="shared" si="39"/>
        <v>1.5539110488545821E-4</v>
      </c>
    </row>
    <row r="480" spans="4:15" x14ac:dyDescent="0.25">
      <c r="D480" s="3">
        <v>45421</v>
      </c>
      <c r="E480" s="2">
        <v>5.9193313523304397E-2</v>
      </c>
      <c r="F480" s="2">
        <v>5.9205930065955398E-2</v>
      </c>
      <c r="G480" s="2">
        <v>5.9199620000000001E-2</v>
      </c>
      <c r="H480" s="2">
        <v>0.193926230461932</v>
      </c>
      <c r="I480" s="2">
        <v>0.19397889509621399</v>
      </c>
      <c r="J480" s="2">
        <v>0.19395256</v>
      </c>
      <c r="K480">
        <f t="shared" si="35"/>
        <v>2.3976421830600447E-3</v>
      </c>
      <c r="L480">
        <f t="shared" si="36"/>
        <v>-1.4139076988139321E-2</v>
      </c>
      <c r="M480" s="1">
        <f t="shared" si="37"/>
        <v>-6.255073732479524E-3</v>
      </c>
      <c r="N480" s="1">
        <f t="shared" si="38"/>
        <v>2.1311864250143057E-4</v>
      </c>
      <c r="O480" s="1">
        <f t="shared" si="39"/>
        <v>2.7153358678016863E-4</v>
      </c>
    </row>
    <row r="481" spans="4:15" x14ac:dyDescent="0.25">
      <c r="D481" s="5">
        <v>45420</v>
      </c>
      <c r="E481" s="4">
        <v>5.9052793197118203E-2</v>
      </c>
      <c r="F481" s="4">
        <v>5.9063256747977098E-2</v>
      </c>
      <c r="G481" s="4">
        <v>5.9058020000000003E-2</v>
      </c>
      <c r="H481" s="4">
        <v>0.19669551534224999</v>
      </c>
      <c r="I481" s="4">
        <v>0.196772924045651</v>
      </c>
      <c r="J481" s="4">
        <v>0.1967342</v>
      </c>
      <c r="K481">
        <f t="shared" si="35"/>
        <v>-3.9422004001904432E-3</v>
      </c>
      <c r="L481">
        <f t="shared" si="36"/>
        <v>-6.3250783588858495E-3</v>
      </c>
      <c r="M481" s="1">
        <f t="shared" si="37"/>
        <v>-5.1890236560332027E-3</v>
      </c>
      <c r="N481" s="1">
        <f t="shared" si="38"/>
        <v>1.7717408844548872E-4</v>
      </c>
      <c r="O481" s="1">
        <f t="shared" si="39"/>
        <v>3.9346846354627277E-4</v>
      </c>
    </row>
    <row r="482" spans="4:15" x14ac:dyDescent="0.25">
      <c r="D482" s="3">
        <v>45419</v>
      </c>
      <c r="E482" s="2">
        <v>5.9285959898976698E-2</v>
      </c>
      <c r="F482" s="2">
        <v>5.9297561091312297E-2</v>
      </c>
      <c r="G482" s="2">
        <v>5.9291759999999999E-2</v>
      </c>
      <c r="H482" s="2">
        <v>0.197941409342835</v>
      </c>
      <c r="I482" s="2">
        <v>0.19803156623165699</v>
      </c>
      <c r="J482" s="2">
        <v>0.19798647999999999</v>
      </c>
      <c r="K482">
        <f t="shared" si="35"/>
        <v>2.594018764878081E-3</v>
      </c>
      <c r="L482">
        <f t="shared" si="36"/>
        <v>3.6824989466950342E-3</v>
      </c>
      <c r="M482" s="1">
        <f t="shared" si="37"/>
        <v>3.16355796400532E-3</v>
      </c>
      <c r="N482" s="1">
        <f t="shared" si="38"/>
        <v>1.9566280939541699E-4</v>
      </c>
      <c r="O482" s="1">
        <f t="shared" si="39"/>
        <v>4.5536891621082476E-4</v>
      </c>
    </row>
    <row r="483" spans="4:15" x14ac:dyDescent="0.25">
      <c r="D483" s="5">
        <v>45418</v>
      </c>
      <c r="E483" s="4">
        <v>5.9132409290884098E-2</v>
      </c>
      <c r="F483" s="4">
        <v>5.9144300263783603E-2</v>
      </c>
      <c r="G483" s="4">
        <v>5.9138353999999997E-2</v>
      </c>
      <c r="H483" s="4">
        <v>0.19720754121637599</v>
      </c>
      <c r="I483" s="4">
        <v>0.197312602355912</v>
      </c>
      <c r="J483" s="4">
        <v>0.19726007000000001</v>
      </c>
      <c r="K483">
        <f t="shared" si="35"/>
        <v>5.2929278869917606E-3</v>
      </c>
      <c r="L483">
        <f t="shared" si="36"/>
        <v>2.9594063864868403E-4</v>
      </c>
      <c r="M483" s="1">
        <f t="shared" si="37"/>
        <v>2.6782912927639517E-3</v>
      </c>
      <c r="N483" s="1">
        <f t="shared" si="38"/>
        <v>2.0107040685482262E-4</v>
      </c>
      <c r="O483" s="1">
        <f t="shared" si="39"/>
        <v>5.3260216087326368E-4</v>
      </c>
    </row>
    <row r="484" spans="4:15" x14ac:dyDescent="0.25">
      <c r="D484" s="3">
        <v>45415</v>
      </c>
      <c r="E484" s="2">
        <v>5.8821107366167302E-2</v>
      </c>
      <c r="F484" s="2">
        <v>5.8832873456372503E-2</v>
      </c>
      <c r="G484" s="2">
        <v>5.8826986999999997E-2</v>
      </c>
      <c r="H484" s="2">
        <v>0.197168658070113</v>
      </c>
      <c r="I484" s="2">
        <v>0.197234768544999</v>
      </c>
      <c r="J484" s="2">
        <v>0.19720171</v>
      </c>
      <c r="K484">
        <f t="shared" si="35"/>
        <v>-3.3385210500671558E-3</v>
      </c>
      <c r="L484">
        <f t="shared" si="36"/>
        <v>8.016215221250178E-3</v>
      </c>
      <c r="M484" s="1">
        <f t="shared" si="37"/>
        <v>2.6027606657579878E-3</v>
      </c>
      <c r="N484" s="1">
        <f t="shared" si="38"/>
        <v>2.0001177699617369E-4</v>
      </c>
      <c r="O484" s="1">
        <f t="shared" si="39"/>
        <v>3.3524290882670207E-4</v>
      </c>
    </row>
    <row r="485" spans="4:15" x14ac:dyDescent="0.25">
      <c r="D485" s="5">
        <v>45414</v>
      </c>
      <c r="E485" s="4">
        <v>5.9016548240126497E-2</v>
      </c>
      <c r="F485" s="4">
        <v>5.9031528739499801E-2</v>
      </c>
      <c r="G485" s="4">
        <v>5.902404E-2</v>
      </c>
      <c r="H485" s="4">
        <v>0.19561050037166</v>
      </c>
      <c r="I485" s="4">
        <v>0.195656427313637</v>
      </c>
      <c r="J485" s="4">
        <v>0.19563347</v>
      </c>
      <c r="K485">
        <f t="shared" si="35"/>
        <v>5.3269141250344987E-3</v>
      </c>
      <c r="L485">
        <f t="shared" si="36"/>
        <v>1.6120148843405513E-2</v>
      </c>
      <c r="M485" s="1">
        <f t="shared" si="37"/>
        <v>1.0974394309039444E-2</v>
      </c>
      <c r="N485" s="1">
        <f t="shared" si="38"/>
        <v>2.5380335492630404E-4</v>
      </c>
      <c r="O485" s="1">
        <f t="shared" si="39"/>
        <v>2.3476014598625733E-4</v>
      </c>
    </row>
    <row r="486" spans="4:15" x14ac:dyDescent="0.25">
      <c r="D486" s="3">
        <v>45413</v>
      </c>
      <c r="E486" s="2">
        <v>5.8702670971529203E-2</v>
      </c>
      <c r="F486" s="2">
        <v>5.8719906048150299E-2</v>
      </c>
      <c r="G486" s="2">
        <v>5.8711289999999999E-2</v>
      </c>
      <c r="H486" s="2">
        <v>0.19251501617126099</v>
      </c>
      <c r="I486" s="2">
        <v>0.19254467036352399</v>
      </c>
      <c r="J486" s="2">
        <v>0.19252986</v>
      </c>
      <c r="K486">
        <f t="shared" si="35"/>
        <v>3.5235619462814505E-4</v>
      </c>
      <c r="L486">
        <f t="shared" si="36"/>
        <v>-2.0984299767300429E-3</v>
      </c>
      <c r="M486" s="1">
        <f t="shared" si="37"/>
        <v>-9.2999953089133614E-4</v>
      </c>
      <c r="N486" s="1">
        <f t="shared" si="38"/>
        <v>2.9355642877367791E-4</v>
      </c>
      <c r="O486" s="1">
        <f t="shared" si="39"/>
        <v>1.5402386031445275E-4</v>
      </c>
    </row>
    <row r="487" spans="4:15" x14ac:dyDescent="0.25">
      <c r="D487" s="5">
        <v>45412</v>
      </c>
      <c r="E487" s="4">
        <v>5.8685101613253403E-2</v>
      </c>
      <c r="F487" s="4">
        <v>5.8696124294912798E-2</v>
      </c>
      <c r="G487" s="4">
        <v>5.8690609999999997E-2</v>
      </c>
      <c r="H487" s="4">
        <v>0.19289751355105</v>
      </c>
      <c r="I487" s="4">
        <v>0.192971961174041</v>
      </c>
      <c r="J487" s="4">
        <v>0.19293472</v>
      </c>
      <c r="K487">
        <f t="shared" si="35"/>
        <v>1.4668892857483407E-4</v>
      </c>
      <c r="L487">
        <f t="shared" si="36"/>
        <v>-1.3582704922885713E-2</v>
      </c>
      <c r="M487" s="1">
        <f t="shared" si="37"/>
        <v>-7.0371147908559143E-3</v>
      </c>
      <c r="N487" s="1">
        <f t="shared" si="38"/>
        <v>1.8780996925053288E-4</v>
      </c>
      <c r="O487" s="1">
        <f t="shared" si="39"/>
        <v>3.8586949508620007E-4</v>
      </c>
    </row>
    <row r="488" spans="4:15" x14ac:dyDescent="0.25">
      <c r="D488" s="3">
        <v>45411</v>
      </c>
      <c r="E488" s="2">
        <v>5.8675804445278902E-2</v>
      </c>
      <c r="F488" s="2">
        <v>5.8688201324005797E-2</v>
      </c>
      <c r="G488" s="2">
        <v>5.8682001999999997E-2</v>
      </c>
      <c r="H488" s="2">
        <v>0.19555312200559299</v>
      </c>
      <c r="I488" s="2">
        <v>0.19562963397695499</v>
      </c>
      <c r="J488" s="2">
        <v>0.19559138000000001</v>
      </c>
      <c r="K488">
        <f t="shared" si="35"/>
        <v>8.2154731054639996E-3</v>
      </c>
      <c r="L488">
        <f t="shared" si="36"/>
        <v>2.9240935545853386E-3</v>
      </c>
      <c r="M488" s="1">
        <f t="shared" si="37"/>
        <v>5.4467979177769505E-3</v>
      </c>
      <c r="N488" s="1">
        <f t="shared" si="38"/>
        <v>2.1125521121270977E-4</v>
      </c>
      <c r="O488" s="1">
        <f t="shared" si="39"/>
        <v>3.9118273699992388E-4</v>
      </c>
    </row>
    <row r="489" spans="4:15" x14ac:dyDescent="0.25">
      <c r="D489" s="5">
        <v>45408</v>
      </c>
      <c r="E489" s="4">
        <v>5.8197732616337303E-2</v>
      </c>
      <c r="F489" s="4">
        <v>5.8209928285368299E-2</v>
      </c>
      <c r="G489" s="4">
        <v>5.8203829999999998E-2</v>
      </c>
      <c r="H489" s="4">
        <v>0.19500399758195</v>
      </c>
      <c r="I489" s="4">
        <v>0.19503822749258901</v>
      </c>
      <c r="J489" s="4">
        <v>0.19502111999999999</v>
      </c>
      <c r="K489">
        <f t="shared" si="35"/>
        <v>4.627194780424837E-3</v>
      </c>
      <c r="L489">
        <f t="shared" si="36"/>
        <v>8.3079715330163229E-3</v>
      </c>
      <c r="M489" s="1">
        <f t="shared" si="37"/>
        <v>6.5531339742260272E-3</v>
      </c>
      <c r="N489" s="1">
        <f t="shared" si="38"/>
        <v>2.0953378894476252E-4</v>
      </c>
      <c r="O489" s="1">
        <f t="shared" si="39"/>
        <v>1.7551899321983886E-4</v>
      </c>
    </row>
    <row r="490" spans="4:15" x14ac:dyDescent="0.25">
      <c r="D490" s="3">
        <v>45407</v>
      </c>
      <c r="E490" s="2">
        <v>5.7929372509037E-2</v>
      </c>
      <c r="F490" s="2">
        <v>5.7942127403149697E-2</v>
      </c>
      <c r="G490" s="2">
        <v>5.7935750000000001E-2</v>
      </c>
      <c r="H490" s="2">
        <v>0.19340115267086999</v>
      </c>
      <c r="I490" s="2">
        <v>0.19342733902009701</v>
      </c>
      <c r="J490" s="2">
        <v>0.19341423999999999</v>
      </c>
      <c r="K490">
        <f t="shared" si="35"/>
        <v>-9.3565731550818709E-3</v>
      </c>
      <c r="L490">
        <f t="shared" si="36"/>
        <v>-1.2282851567321229E-3</v>
      </c>
      <c r="M490" s="1">
        <f t="shared" si="37"/>
        <v>-5.1035066186493512E-3</v>
      </c>
      <c r="N490" s="1">
        <f t="shared" si="38"/>
        <v>2.2015584699770543E-4</v>
      </c>
      <c r="O490" s="1">
        <f t="shared" si="39"/>
        <v>1.3538997556239804E-4</v>
      </c>
    </row>
    <row r="491" spans="4:15" x14ac:dyDescent="0.25">
      <c r="D491" s="5">
        <v>45406</v>
      </c>
      <c r="E491" s="4">
        <v>5.8475770564466602E-2</v>
      </c>
      <c r="F491" s="4">
        <v>5.8490135638624499E-2</v>
      </c>
      <c r="G491" s="4">
        <v>5.8482949999999999E-2</v>
      </c>
      <c r="H491" s="4">
        <v>0.19362583743174699</v>
      </c>
      <c r="I491" s="4">
        <v>0.19367833901456499</v>
      </c>
      <c r="J491" s="4">
        <v>0.19365209999999999</v>
      </c>
      <c r="K491">
        <f t="shared" si="35"/>
        <v>-6.0237733591538278E-3</v>
      </c>
      <c r="L491">
        <f t="shared" si="36"/>
        <v>-1.5104793857848575E-3</v>
      </c>
      <c r="M491" s="1">
        <f t="shared" si="37"/>
        <v>-3.6622256911682345E-3</v>
      </c>
      <c r="N491" s="1">
        <f t="shared" si="38"/>
        <v>2.4562841234748581E-4</v>
      </c>
      <c r="O491" s="1">
        <f t="shared" si="39"/>
        <v>2.7111290204443259E-4</v>
      </c>
    </row>
    <row r="492" spans="4:15" x14ac:dyDescent="0.25">
      <c r="D492" s="3">
        <v>45405</v>
      </c>
      <c r="E492" s="2">
        <v>5.88307967454803E-2</v>
      </c>
      <c r="F492" s="2">
        <v>5.8843951724422E-2</v>
      </c>
      <c r="G492" s="2">
        <v>5.8837372999999998E-2</v>
      </c>
      <c r="H492" s="2">
        <v>0.19392246979657499</v>
      </c>
      <c r="I492" s="2">
        <v>0.19396760740956301</v>
      </c>
      <c r="J492" s="2">
        <v>0.19394505000000001</v>
      </c>
      <c r="K492">
        <f t="shared" si="35"/>
        <v>8.7078657079011634E-3</v>
      </c>
      <c r="L492">
        <f t="shared" si="36"/>
        <v>7.3894250861796795E-3</v>
      </c>
      <c r="M492" s="1">
        <f t="shared" si="37"/>
        <v>8.0180014105663017E-3</v>
      </c>
      <c r="N492" s="1">
        <f t="shared" si="38"/>
        <v>2.2358202399178951E-4</v>
      </c>
      <c r="O492" s="1">
        <f t="shared" si="39"/>
        <v>2.3273402949970675E-4</v>
      </c>
    </row>
    <row r="493" spans="4:15" x14ac:dyDescent="0.25">
      <c r="D493" s="5">
        <v>45404</v>
      </c>
      <c r="E493" s="4">
        <v>5.8322640849177598E-2</v>
      </c>
      <c r="F493" s="4">
        <v>5.8336250145840603E-2</v>
      </c>
      <c r="G493" s="4">
        <v>5.8329447999999999E-2</v>
      </c>
      <c r="H493" s="4">
        <v>0.192496486939113</v>
      </c>
      <c r="I493" s="4">
        <v>0.19254837777991701</v>
      </c>
      <c r="J493" s="4">
        <v>0.19252242</v>
      </c>
      <c r="K493">
        <f t="shared" si="35"/>
        <v>6.9704490305508848E-3</v>
      </c>
      <c r="L493">
        <f t="shared" si="36"/>
        <v>3.8888994915020625E-3</v>
      </c>
      <c r="M493" s="1">
        <f t="shared" si="37"/>
        <v>5.3580510412635386E-3</v>
      </c>
      <c r="N493" s="1">
        <f t="shared" si="38"/>
        <v>2.3331776880529406E-4</v>
      </c>
      <c r="O493" s="1">
        <f t="shared" si="39"/>
        <v>2.6953141771232999E-4</v>
      </c>
    </row>
    <row r="494" spans="4:15" x14ac:dyDescent="0.25">
      <c r="D494" s="3">
        <v>45401</v>
      </c>
      <c r="E494" s="2">
        <v>5.7915952369920802E-2</v>
      </c>
      <c r="F494" s="2">
        <v>5.7935413600917703E-2</v>
      </c>
      <c r="G494" s="2">
        <v>5.792568E-2</v>
      </c>
      <c r="H494" s="2">
        <v>0.19174720049087299</v>
      </c>
      <c r="I494" s="2">
        <v>0.19180604572656099</v>
      </c>
      <c r="J494" s="2">
        <v>0.19177662000000001</v>
      </c>
      <c r="K494">
        <f t="shared" si="35"/>
        <v>-1.0035668034615863E-2</v>
      </c>
      <c r="L494">
        <f t="shared" si="36"/>
        <v>6.5588082822281013E-3</v>
      </c>
      <c r="M494" s="1">
        <f t="shared" si="37"/>
        <v>-1.3527311200872355E-3</v>
      </c>
      <c r="N494" s="1">
        <f t="shared" si="38"/>
        <v>3.3596896914978914E-4</v>
      </c>
      <c r="O494" s="1">
        <f t="shared" si="39"/>
        <v>3.0684259472295793E-4</v>
      </c>
    </row>
    <row r="495" spans="4:15" x14ac:dyDescent="0.25">
      <c r="D495" s="5">
        <v>45400</v>
      </c>
      <c r="E495" s="4">
        <v>5.8507246122432299E-2</v>
      </c>
      <c r="F495" s="4">
        <v>5.8518544526760502E-2</v>
      </c>
      <c r="G495" s="4">
        <v>5.8512896000000002E-2</v>
      </c>
      <c r="H495" s="4">
        <v>0.190487075451931</v>
      </c>
      <c r="I495" s="4">
        <v>0.19056693663649399</v>
      </c>
      <c r="J495" s="4">
        <v>0.19052699000000001</v>
      </c>
      <c r="K495">
        <f t="shared" si="35"/>
        <v>-7.5042265064841907E-3</v>
      </c>
      <c r="L495">
        <f t="shared" si="36"/>
        <v>-1.7052964213978283E-3</v>
      </c>
      <c r="M495" s="1">
        <f t="shared" si="37"/>
        <v>-4.4699792582321759E-3</v>
      </c>
      <c r="N495" s="1">
        <f t="shared" si="38"/>
        <v>1.9309255054138368E-4</v>
      </c>
      <c r="O495" s="1">
        <f t="shared" si="39"/>
        <v>4.1915943018356824E-4</v>
      </c>
    </row>
    <row r="496" spans="4:15" x14ac:dyDescent="0.25">
      <c r="D496" s="3">
        <v>45399</v>
      </c>
      <c r="E496" s="2">
        <v>5.8948361235557703E-2</v>
      </c>
      <c r="F496" s="2">
        <v>5.8962264150943397E-2</v>
      </c>
      <c r="G496" s="2">
        <v>5.8955309999999997E-2</v>
      </c>
      <c r="H496" s="2">
        <v>0.19082876934526599</v>
      </c>
      <c r="I496" s="2">
        <v>0.19087612139721299</v>
      </c>
      <c r="J496" s="2">
        <v>0.19085245000000001</v>
      </c>
      <c r="K496">
        <f t="shared" si="35"/>
        <v>7.0303518599013071E-3</v>
      </c>
      <c r="L496">
        <f t="shared" si="36"/>
        <v>7.7199811014667663E-3</v>
      </c>
      <c r="M496" s="1">
        <f t="shared" si="37"/>
        <v>7.391195256498828E-3</v>
      </c>
      <c r="N496" s="1">
        <f t="shared" si="38"/>
        <v>2.3582125826654109E-4</v>
      </c>
      <c r="O496" s="1">
        <f t="shared" si="39"/>
        <v>2.4810816914848491E-4</v>
      </c>
    </row>
    <row r="497" spans="4:15" x14ac:dyDescent="0.25">
      <c r="D497" s="5">
        <v>45398</v>
      </c>
      <c r="E497" s="4">
        <v>5.8536014282787499E-2</v>
      </c>
      <c r="F497" s="4">
        <v>5.8551437437789101E-2</v>
      </c>
      <c r="G497" s="4">
        <v>5.8543726999999997E-2</v>
      </c>
      <c r="H497" s="4">
        <v>0.189354490541743</v>
      </c>
      <c r="I497" s="4">
        <v>0.189426227955523</v>
      </c>
      <c r="J497" s="4">
        <v>0.18939036000000001</v>
      </c>
      <c r="K497">
        <f t="shared" si="35"/>
        <v>-2.2217302628947388E-2</v>
      </c>
      <c r="L497">
        <f t="shared" si="36"/>
        <v>-1.8825368499302941E-2</v>
      </c>
      <c r="M497" s="1">
        <f t="shared" si="37"/>
        <v>-2.0442498199834756E-2</v>
      </c>
      <c r="N497" s="1">
        <f t="shared" si="38"/>
        <v>2.6344675667133992E-4</v>
      </c>
      <c r="O497" s="1">
        <f t="shared" si="39"/>
        <v>3.7878070341066273E-4</v>
      </c>
    </row>
    <row r="498" spans="4:15" x14ac:dyDescent="0.25">
      <c r="D498" s="3">
        <v>45397</v>
      </c>
      <c r="E498" s="2">
        <v>5.9867333987882798E-2</v>
      </c>
      <c r="F498" s="2">
        <v>5.9880598087413701E-2</v>
      </c>
      <c r="G498" s="2">
        <v>5.9873965000000001E-2</v>
      </c>
      <c r="H498" s="2">
        <v>0.19301293186643501</v>
      </c>
      <c r="I498" s="2">
        <v>0.193035286850436</v>
      </c>
      <c r="J498" s="2">
        <v>0.19302411</v>
      </c>
      <c r="K498">
        <f t="shared" si="35"/>
        <v>1.7213173996522002E-3</v>
      </c>
      <c r="L498">
        <f t="shared" si="36"/>
        <v>-7.026084841543434E-3</v>
      </c>
      <c r="M498" s="1">
        <f t="shared" si="37"/>
        <v>-2.8556960821901258E-3</v>
      </c>
      <c r="N498" s="1">
        <f t="shared" si="38"/>
        <v>2.2153367546150142E-4</v>
      </c>
      <c r="O498" s="1">
        <f t="shared" si="39"/>
        <v>1.1581446484065646E-4</v>
      </c>
    </row>
    <row r="499" spans="4:15" x14ac:dyDescent="0.25">
      <c r="D499" s="5">
        <v>45394</v>
      </c>
      <c r="E499" s="4">
        <v>5.9764646820819597E-2</v>
      </c>
      <c r="F499" s="4">
        <v>5.97775081147967E-2</v>
      </c>
      <c r="G499" s="4">
        <v>5.9771079999999997E-2</v>
      </c>
      <c r="H499" s="4">
        <v>0.194367237458454</v>
      </c>
      <c r="I499" s="4">
        <v>0.194412582382332</v>
      </c>
      <c r="J499" s="4">
        <v>0.19438991</v>
      </c>
      <c r="K499">
        <f t="shared" si="35"/>
        <v>-1.4912784109585964E-2</v>
      </c>
      <c r="L499">
        <f t="shared" si="36"/>
        <v>-1.1779950404436246E-2</v>
      </c>
      <c r="M499" s="1">
        <f t="shared" si="37"/>
        <v>-1.3273552059948287E-2</v>
      </c>
      <c r="N499" s="1">
        <f t="shared" si="38"/>
        <v>2.151758672773272E-4</v>
      </c>
      <c r="O499" s="1">
        <f t="shared" si="39"/>
        <v>2.3326788863683613E-4</v>
      </c>
    </row>
    <row r="500" spans="4:15" x14ac:dyDescent="0.25">
      <c r="D500" s="3">
        <v>45393</v>
      </c>
      <c r="E500" s="2">
        <v>6.0670408008493902E-2</v>
      </c>
      <c r="F500" s="2">
        <v>6.0681452713977999E-2</v>
      </c>
      <c r="G500" s="2">
        <v>6.0675926999999998E-2</v>
      </c>
      <c r="H500" s="2">
        <v>0.196687777821486</v>
      </c>
      <c r="I500" s="2">
        <v>0.19672647151400699</v>
      </c>
      <c r="J500" s="2">
        <v>0.19670710999999999</v>
      </c>
      <c r="K500">
        <f t="shared" si="35"/>
        <v>2.7298339145231942E-4</v>
      </c>
      <c r="L500">
        <f t="shared" si="36"/>
        <v>-3.5112925901205072E-3</v>
      </c>
      <c r="M500" s="1">
        <f t="shared" si="37"/>
        <v>-1.7071110078997172E-3</v>
      </c>
      <c r="N500" s="1">
        <f t="shared" si="38"/>
        <v>1.8202779965926971E-4</v>
      </c>
      <c r="O500" s="1">
        <f t="shared" si="39"/>
        <v>1.967071374338798E-4</v>
      </c>
    </row>
    <row r="501" spans="4:15" x14ac:dyDescent="0.25">
      <c r="D501" s="5">
        <v>45392</v>
      </c>
      <c r="E501" s="4">
        <v>6.06523769666533E-2</v>
      </c>
      <c r="F501" s="4">
        <v>6.0666359290446302E-2</v>
      </c>
      <c r="G501" s="4">
        <v>6.0659367999999998E-2</v>
      </c>
      <c r="H501" s="4">
        <v>0.19737101803971099</v>
      </c>
      <c r="I501" s="4">
        <v>0.19742946832244199</v>
      </c>
      <c r="J501" s="4">
        <v>0.19740024</v>
      </c>
      <c r="K501">
        <f t="shared" si="35"/>
        <v>-8.1586910305283533E-3</v>
      </c>
      <c r="L501">
        <f t="shared" si="36"/>
        <v>-1.1666378027537783E-2</v>
      </c>
      <c r="M501" s="1">
        <f t="shared" si="37"/>
        <v>-9.9940622907850139E-3</v>
      </c>
      <c r="N501" s="1">
        <f t="shared" si="38"/>
        <v>2.3050559631617026E-4</v>
      </c>
      <c r="O501" s="1">
        <f t="shared" si="39"/>
        <v>2.9610036305423412E-4</v>
      </c>
    </row>
    <row r="502" spans="4:15" x14ac:dyDescent="0.25">
      <c r="D502" s="3">
        <v>45391</v>
      </c>
      <c r="E502" s="2">
        <v>6.1150859169571303E-2</v>
      </c>
      <c r="F502" s="2">
        <v>6.1165820539482503E-2</v>
      </c>
      <c r="G502" s="2">
        <v>6.1158339999999999E-2</v>
      </c>
      <c r="H502" s="2">
        <v>0.19971640270815399</v>
      </c>
      <c r="I502" s="2">
        <v>0.199744327261106</v>
      </c>
      <c r="J502" s="2">
        <v>0.19973036999999999</v>
      </c>
      <c r="K502">
        <f t="shared" si="35"/>
        <v>7.0329294315829571E-4</v>
      </c>
      <c r="L502">
        <f t="shared" si="36"/>
        <v>7.0704554725224966E-3</v>
      </c>
      <c r="M502" s="1">
        <f t="shared" si="37"/>
        <v>4.0348636123033665E-3</v>
      </c>
      <c r="N502" s="1">
        <f t="shared" si="38"/>
        <v>2.4463335517608441E-4</v>
      </c>
      <c r="O502" s="1">
        <f t="shared" si="39"/>
        <v>1.3981125129844925E-4</v>
      </c>
    </row>
    <row r="503" spans="4:15" x14ac:dyDescent="0.25">
      <c r="D503" s="5">
        <v>45390</v>
      </c>
      <c r="E503" s="4">
        <v>6.1107885972684801E-2</v>
      </c>
      <c r="F503" s="4">
        <v>6.1122826319489003E-2</v>
      </c>
      <c r="G503" s="4">
        <v>6.1115358000000002E-2</v>
      </c>
      <c r="H503" s="4">
        <v>0.19831039543092799</v>
      </c>
      <c r="I503" s="4">
        <v>0.19834579606085301</v>
      </c>
      <c r="J503" s="4">
        <v>0.19832810000000001</v>
      </c>
      <c r="K503">
        <f t="shared" si="35"/>
        <v>7.7311646560254133E-3</v>
      </c>
      <c r="L503">
        <f t="shared" si="36"/>
        <v>1.8444358558573626E-3</v>
      </c>
      <c r="M503" s="1">
        <f t="shared" si="37"/>
        <v>4.6509773799186388E-3</v>
      </c>
      <c r="N503" s="1">
        <f t="shared" si="38"/>
        <v>2.4446141351575524E-4</v>
      </c>
      <c r="O503" s="1">
        <f t="shared" si="39"/>
        <v>1.7849528092599989E-4</v>
      </c>
    </row>
    <row r="504" spans="4:15" x14ac:dyDescent="0.25">
      <c r="D504" s="3">
        <v>45387</v>
      </c>
      <c r="E504" s="2">
        <v>6.0639871928590501E-2</v>
      </c>
      <c r="F504" s="2">
        <v>6.0653112717744699E-2</v>
      </c>
      <c r="G504" s="2">
        <v>6.0646489999999997E-2</v>
      </c>
      <c r="H504" s="2">
        <v>0.197953164281331</v>
      </c>
      <c r="I504" s="2">
        <v>0.19797275894836899</v>
      </c>
      <c r="J504" s="2">
        <v>0.19796296999999999</v>
      </c>
      <c r="K504">
        <f t="shared" si="35"/>
        <v>2.36515672923443E-3</v>
      </c>
      <c r="L504">
        <f t="shared" si="36"/>
        <v>-4.8501016373830863E-3</v>
      </c>
      <c r="M504" s="1">
        <f t="shared" si="37"/>
        <v>-1.4101738098662962E-3</v>
      </c>
      <c r="N504" s="1">
        <f t="shared" si="38"/>
        <v>2.1832737812523063E-4</v>
      </c>
      <c r="O504" s="1">
        <f t="shared" si="39"/>
        <v>9.89814763740515E-5</v>
      </c>
    </row>
    <row r="505" spans="4:15" x14ac:dyDescent="0.25">
      <c r="D505" s="5">
        <v>45386</v>
      </c>
      <c r="E505" s="4">
        <v>6.0496067755595899E-2</v>
      </c>
      <c r="F505" s="4">
        <v>6.0510710395739999E-2</v>
      </c>
      <c r="G505" s="4">
        <v>6.0503389999999997E-2</v>
      </c>
      <c r="H505" s="4">
        <v>0.198913929942514</v>
      </c>
      <c r="I505" s="4">
        <v>0.19894163052560401</v>
      </c>
      <c r="J505" s="4">
        <v>0.19892778999999999</v>
      </c>
      <c r="K505">
        <f t="shared" si="35"/>
        <v>3.3277105908324778E-3</v>
      </c>
      <c r="L505">
        <f t="shared" si="36"/>
        <v>1.0244858996070638E-2</v>
      </c>
      <c r="M505" s="1">
        <f t="shared" si="37"/>
        <v>6.9470572989989232E-3</v>
      </c>
      <c r="N505" s="1">
        <f t="shared" si="38"/>
        <v>2.4201354906063383E-4</v>
      </c>
      <c r="O505" s="1">
        <f t="shared" si="39"/>
        <v>1.3924943865315314E-4</v>
      </c>
    </row>
    <row r="506" spans="4:15" x14ac:dyDescent="0.25">
      <c r="D506" s="3">
        <v>45385</v>
      </c>
      <c r="E506" s="2">
        <v>6.0296538375731797E-2</v>
      </c>
      <c r="F506" s="2">
        <v>6.0308902197053302E-2</v>
      </c>
      <c r="G506" s="2">
        <v>6.0302719999999997E-2</v>
      </c>
      <c r="H506" s="2">
        <v>0.19690078169610301</v>
      </c>
      <c r="I506" s="2">
        <v>0.19692016856366401</v>
      </c>
      <c r="J506" s="2">
        <v>0.19691047</v>
      </c>
      <c r="K506">
        <f t="shared" si="35"/>
        <v>6.6331194626756407E-4</v>
      </c>
      <c r="L506">
        <f t="shared" si="36"/>
        <v>-5.5824310656297227E-3</v>
      </c>
      <c r="M506" s="1">
        <f t="shared" si="37"/>
        <v>-2.6047268590073834E-3</v>
      </c>
      <c r="N506" s="1">
        <f t="shared" si="38"/>
        <v>2.0502924779355241E-4</v>
      </c>
      <c r="O506" s="1">
        <f t="shared" si="39"/>
        <v>9.8455239891537426E-5</v>
      </c>
    </row>
    <row r="507" spans="4:15" x14ac:dyDescent="0.25">
      <c r="D507" s="5">
        <v>45384</v>
      </c>
      <c r="E507" s="4">
        <v>6.0255846323489501E-2</v>
      </c>
      <c r="F507" s="4">
        <v>6.02696463979846E-2</v>
      </c>
      <c r="G507" s="4">
        <v>6.0262746999999998E-2</v>
      </c>
      <c r="H507" s="4">
        <v>0.19800411848566499</v>
      </c>
      <c r="I507" s="4">
        <v>0.19802764465919401</v>
      </c>
      <c r="J507" s="4">
        <v>0.19801588000000001</v>
      </c>
      <c r="K507">
        <f t="shared" si="35"/>
        <v>2.9378281451002408E-3</v>
      </c>
      <c r="L507">
        <f t="shared" si="36"/>
        <v>5.0496185400716875E-4</v>
      </c>
      <c r="M507" s="1">
        <f t="shared" si="37"/>
        <v>1.6648488643017038E-3</v>
      </c>
      <c r="N507" s="1">
        <f t="shared" si="38"/>
        <v>2.2899843074028641E-4</v>
      </c>
      <c r="O507" s="1">
        <f t="shared" si="39"/>
        <v>1.1880952946309367E-4</v>
      </c>
    </row>
    <row r="508" spans="4:15" x14ac:dyDescent="0.25">
      <c r="D508" s="3">
        <v>45383</v>
      </c>
      <c r="E508" s="2">
        <v>6.00799062753462E-2</v>
      </c>
      <c r="F508" s="2">
        <v>6.0092542515473801E-2</v>
      </c>
      <c r="G508" s="2">
        <v>6.0086224000000001E-2</v>
      </c>
      <c r="H508" s="2">
        <v>0.19790223629527001</v>
      </c>
      <c r="I508" s="2">
        <v>0.19792965580032901</v>
      </c>
      <c r="J508" s="2">
        <v>0.19791594000000001</v>
      </c>
      <c r="K508">
        <f t="shared" si="35"/>
        <v>-1.2629357584218459E-3</v>
      </c>
      <c r="L508">
        <f t="shared" si="36"/>
        <v>-9.3156869909949425E-3</v>
      </c>
      <c r="M508" s="1">
        <f t="shared" si="37"/>
        <v>-5.4764782412209008E-3</v>
      </c>
      <c r="N508" s="1">
        <f t="shared" si="38"/>
        <v>2.1030178444233287E-4</v>
      </c>
      <c r="O508" s="1">
        <f t="shared" si="39"/>
        <v>1.3854116580501487E-4</v>
      </c>
    </row>
    <row r="509" spans="4:15" x14ac:dyDescent="0.25">
      <c r="D509" s="5">
        <v>45380</v>
      </c>
      <c r="E509" s="4">
        <v>6.0155079795713301E-2</v>
      </c>
      <c r="F509" s="4">
        <v>6.0169195778529201E-2</v>
      </c>
      <c r="G509" s="4">
        <v>6.0162205000000003E-2</v>
      </c>
      <c r="H509" s="4">
        <v>0.19976427815178099</v>
      </c>
      <c r="I509" s="4">
        <v>0.19979221609526099</v>
      </c>
      <c r="J509" s="4">
        <v>0.19977700000000001</v>
      </c>
      <c r="K509">
        <f t="shared" si="35"/>
        <v>1.0804136953979082E-6</v>
      </c>
      <c r="L509">
        <f t="shared" si="36"/>
        <v>-6.2068821908844996E-6</v>
      </c>
      <c r="M509" s="1">
        <f t="shared" si="37"/>
        <v>-2.7326099427067598E-6</v>
      </c>
      <c r="N509" s="1">
        <f t="shared" si="38"/>
        <v>2.3463207201099347E-4</v>
      </c>
      <c r="O509" s="1">
        <f t="shared" si="39"/>
        <v>1.398456452944745E-4</v>
      </c>
    </row>
    <row r="510" spans="4:15" x14ac:dyDescent="0.25">
      <c r="D510" s="3">
        <v>45379</v>
      </c>
      <c r="E510" s="2">
        <v>6.0155079795713301E-2</v>
      </c>
      <c r="F510" s="2">
        <v>6.0169195778529201E-2</v>
      </c>
      <c r="G510" s="2">
        <v>6.0162140000000003E-2</v>
      </c>
      <c r="H510" s="2">
        <v>0.19976427815178099</v>
      </c>
      <c r="I510" s="2">
        <v>0.19979221609526099</v>
      </c>
      <c r="J510" s="2">
        <v>0.19977824</v>
      </c>
      <c r="K510">
        <f t="shared" si="35"/>
        <v>-5.4897295423363968E-3</v>
      </c>
      <c r="L510">
        <f t="shared" si="36"/>
        <v>-5.7436255152979454E-3</v>
      </c>
      <c r="M510" s="1">
        <f t="shared" si="37"/>
        <v>-5.6225787310655567E-3</v>
      </c>
      <c r="N510" s="1">
        <f t="shared" si="38"/>
        <v>2.3463232551069744E-4</v>
      </c>
      <c r="O510" s="1">
        <f t="shared" si="39"/>
        <v>1.3984477728902923E-4</v>
      </c>
    </row>
    <row r="511" spans="4:15" x14ac:dyDescent="0.25">
      <c r="D511" s="5">
        <v>45378</v>
      </c>
      <c r="E511" s="4">
        <v>6.0488383206005303E-2</v>
      </c>
      <c r="F511" s="4">
        <v>6.05000937751453E-2</v>
      </c>
      <c r="G511" s="4">
        <v>6.0494236999999999E-2</v>
      </c>
      <c r="H511" s="4">
        <v>0.200916177770634</v>
      </c>
      <c r="I511" s="4">
        <v>0.20094847681054601</v>
      </c>
      <c r="J511" s="4">
        <v>0.20093232</v>
      </c>
      <c r="K511">
        <f t="shared" si="35"/>
        <v>9.2556222561899215E-3</v>
      </c>
      <c r="L511">
        <f t="shared" si="36"/>
        <v>2.7325931738817477E-3</v>
      </c>
      <c r="M511" s="1">
        <f t="shared" si="37"/>
        <v>5.8424955668091383E-3</v>
      </c>
      <c r="N511" s="1">
        <f t="shared" si="38"/>
        <v>1.9358156612500342E-4</v>
      </c>
      <c r="O511" s="1">
        <f t="shared" si="39"/>
        <v>1.6074586662814515E-4</v>
      </c>
    </row>
    <row r="512" spans="4:15" x14ac:dyDescent="0.25">
      <c r="D512" s="3">
        <v>45377</v>
      </c>
      <c r="E512" s="2">
        <v>5.9934072520227803E-2</v>
      </c>
      <c r="F512" s="2">
        <v>5.9944850737321698E-2</v>
      </c>
      <c r="G512" s="2">
        <v>5.993946E-2</v>
      </c>
      <c r="H512" s="2">
        <v>0.200364663687912</v>
      </c>
      <c r="I512" s="2">
        <v>0.20040481773181801</v>
      </c>
      <c r="J512" s="2">
        <v>0.20038475</v>
      </c>
      <c r="K512">
        <f t="shared" si="35"/>
        <v>1.828177398392139E-3</v>
      </c>
      <c r="L512">
        <f t="shared" si="36"/>
        <v>-1.0520161490934488E-3</v>
      </c>
      <c r="M512" s="1">
        <f t="shared" si="37"/>
        <v>3.211374414237323E-4</v>
      </c>
      <c r="N512" s="1">
        <f t="shared" si="38"/>
        <v>1.798183883187207E-4</v>
      </c>
      <c r="O512" s="1">
        <f t="shared" si="39"/>
        <v>2.0038472940682567E-4</v>
      </c>
    </row>
    <row r="513" spans="4:15" x14ac:dyDescent="0.25">
      <c r="D513" s="5">
        <v>45376</v>
      </c>
      <c r="E513" s="4">
        <v>5.9824713589183703E-2</v>
      </c>
      <c r="F513" s="4">
        <v>5.98354525056096E-2</v>
      </c>
      <c r="G513" s="4">
        <v>5.9830080000000001E-2</v>
      </c>
      <c r="H513" s="4">
        <v>0.20056559497783699</v>
      </c>
      <c r="I513" s="4">
        <v>0.20062595297327701</v>
      </c>
      <c r="J513" s="4">
        <v>0.20059578</v>
      </c>
      <c r="K513">
        <f t="shared" si="35"/>
        <v>8.6754005054023864E-4</v>
      </c>
      <c r="L513">
        <f t="shared" si="36"/>
        <v>7.7234709051743344E-4</v>
      </c>
      <c r="M513" s="1">
        <f t="shared" si="37"/>
        <v>8.1773103874597771E-4</v>
      </c>
      <c r="N513" s="1">
        <f t="shared" si="38"/>
        <v>1.7949025683897956E-4</v>
      </c>
      <c r="O513" s="1">
        <f t="shared" si="39"/>
        <v>3.0089364512064548E-4</v>
      </c>
    </row>
    <row r="514" spans="4:15" x14ac:dyDescent="0.25">
      <c r="D514" s="3">
        <v>45373</v>
      </c>
      <c r="E514" s="2">
        <v>5.9771434036245401E-2</v>
      </c>
      <c r="F514" s="2">
        <v>5.9785013092917901E-2</v>
      </c>
      <c r="G514" s="2">
        <v>5.977822E-2</v>
      </c>
      <c r="H514" s="2">
        <v>0.20040481773181801</v>
      </c>
      <c r="I514" s="2">
        <v>0.20047713558268701</v>
      </c>
      <c r="J514" s="2">
        <v>0.20044097</v>
      </c>
      <c r="K514">
        <f t="shared" si="35"/>
        <v>8.2196081057617221E-4</v>
      </c>
      <c r="L514">
        <f t="shared" si="36"/>
        <v>-2.0445441266543352E-3</v>
      </c>
      <c r="M514" s="1">
        <f t="shared" si="37"/>
        <v>-6.779166823877639E-4</v>
      </c>
      <c r="N514" s="1">
        <f t="shared" si="38"/>
        <v>2.2715726016097002E-4</v>
      </c>
      <c r="O514" s="1">
        <f t="shared" si="39"/>
        <v>3.6079375822718556E-4</v>
      </c>
    </row>
    <row r="515" spans="4:15" x14ac:dyDescent="0.25">
      <c r="D515" s="5">
        <v>45372</v>
      </c>
      <c r="E515" s="4">
        <v>5.9722885809842301E-2</v>
      </c>
      <c r="F515" s="4">
        <v>5.9735372300707898E-2</v>
      </c>
      <c r="G515" s="4">
        <v>5.9729125000000001E-2</v>
      </c>
      <c r="H515" s="4">
        <v>0.20083144217058599</v>
      </c>
      <c r="I515" s="4">
        <v>0.20087178354056601</v>
      </c>
      <c r="J515" s="4">
        <v>0.20085162000000001</v>
      </c>
      <c r="K515">
        <f t="shared" si="35"/>
        <v>2.0457265344773212E-3</v>
      </c>
      <c r="L515">
        <f t="shared" si="36"/>
        <v>5.3326498027417291E-3</v>
      </c>
      <c r="M515" s="1">
        <f t="shared" si="37"/>
        <v>3.7655848075743075E-3</v>
      </c>
      <c r="N515" s="1">
        <f t="shared" si="38"/>
        <v>2.0905196360397412E-4</v>
      </c>
      <c r="O515" s="1">
        <f t="shared" si="39"/>
        <v>2.0085160368643349E-4</v>
      </c>
    </row>
    <row r="516" spans="4:15" x14ac:dyDescent="0.25">
      <c r="D516" s="3">
        <v>45371</v>
      </c>
      <c r="E516" s="2">
        <v>5.9599728225239297E-2</v>
      </c>
      <c r="F516" s="2">
        <v>5.96146508966044E-2</v>
      </c>
      <c r="G516" s="2">
        <v>5.9607185E-2</v>
      </c>
      <c r="H516" s="2">
        <v>0.19975629731727301</v>
      </c>
      <c r="I516" s="2">
        <v>0.199816169124406</v>
      </c>
      <c r="J516" s="2">
        <v>0.19978623000000001</v>
      </c>
      <c r="K516">
        <f t="shared" si="35"/>
        <v>3.3677784218271167E-3</v>
      </c>
      <c r="L516">
        <f t="shared" si="36"/>
        <v>3.3564536387740151E-3</v>
      </c>
      <c r="M516" s="1">
        <f t="shared" si="37"/>
        <v>3.3618528129110339E-3</v>
      </c>
      <c r="N516" s="1">
        <f t="shared" si="38"/>
        <v>2.5035021138983406E-4</v>
      </c>
      <c r="O516" s="1">
        <f t="shared" si="39"/>
        <v>2.9967934793598364E-4</v>
      </c>
    </row>
    <row r="517" spans="4:15" x14ac:dyDescent="0.25">
      <c r="D517" s="5">
        <v>45370</v>
      </c>
      <c r="E517" s="4">
        <v>5.9400765081854198E-2</v>
      </c>
      <c r="F517" s="4">
        <v>5.9413470221968703E-2</v>
      </c>
      <c r="G517" s="4">
        <v>5.9407115000000003E-2</v>
      </c>
      <c r="H517" s="4">
        <v>0.199088176153218</v>
      </c>
      <c r="I517" s="4">
        <v>0.199147648066276</v>
      </c>
      <c r="J517" s="4">
        <v>0.19911789999999999</v>
      </c>
      <c r="K517">
        <f t="shared" si="35"/>
        <v>-2.6733379493618648E-3</v>
      </c>
      <c r="L517">
        <f t="shared" si="36"/>
        <v>-3.9824850978109616E-4</v>
      </c>
      <c r="M517" s="1">
        <f t="shared" si="37"/>
        <v>-1.4829142383865053E-3</v>
      </c>
      <c r="N517" s="1">
        <f t="shared" si="38"/>
        <v>2.1386563064887219E-4</v>
      </c>
      <c r="O517" s="1">
        <f t="shared" si="39"/>
        <v>2.9867687966775319E-4</v>
      </c>
    </row>
    <row r="518" spans="4:15" x14ac:dyDescent="0.25">
      <c r="D518" s="3">
        <v>45369</v>
      </c>
      <c r="E518" s="2">
        <v>5.9559970934734197E-2</v>
      </c>
      <c r="F518" s="2">
        <v>5.9572744278037902E-2</v>
      </c>
      <c r="G518" s="2">
        <v>5.9566356000000001E-2</v>
      </c>
      <c r="H518" s="2">
        <v>0.19916747993387601</v>
      </c>
      <c r="I518" s="2">
        <v>0.19922699924293699</v>
      </c>
      <c r="J518" s="2">
        <v>0.19919723</v>
      </c>
      <c r="K518">
        <f t="shared" si="35"/>
        <v>-5.3312297676804121E-3</v>
      </c>
      <c r="L518">
        <f t="shared" si="36"/>
        <v>-4.9002351155708057E-3</v>
      </c>
      <c r="M518" s="1">
        <f t="shared" si="37"/>
        <v>-5.1057150058214686E-3</v>
      </c>
      <c r="N518" s="1">
        <f t="shared" si="38"/>
        <v>2.1443889070040735E-4</v>
      </c>
      <c r="O518" s="1">
        <f t="shared" si="39"/>
        <v>2.987958670960391E-4</v>
      </c>
    </row>
    <row r="519" spans="4:15" x14ac:dyDescent="0.25">
      <c r="D519" s="5">
        <v>45366</v>
      </c>
      <c r="E519" s="4">
        <v>5.9880239520958098E-2</v>
      </c>
      <c r="F519" s="4">
        <v>5.9890998382942998E-2</v>
      </c>
      <c r="G519" s="4">
        <v>5.9885620000000001E-2</v>
      </c>
      <c r="H519" s="4">
        <v>0.200152115607862</v>
      </c>
      <c r="I519" s="4">
        <v>0.200204208292458</v>
      </c>
      <c r="J519" s="4">
        <v>0.20017815</v>
      </c>
      <c r="K519">
        <f t="shared" si="35"/>
        <v>-8.0848831305924129E-4</v>
      </c>
      <c r="L519">
        <f t="shared" si="36"/>
        <v>-2.8225394276791826E-3</v>
      </c>
      <c r="M519" s="1">
        <f t="shared" si="37"/>
        <v>-1.8623256524834576E-3</v>
      </c>
      <c r="N519" s="1">
        <f t="shared" si="38"/>
        <v>1.7965685226102235E-4</v>
      </c>
      <c r="O519" s="1">
        <f t="shared" si="39"/>
        <v>2.6023162166297667E-4</v>
      </c>
    </row>
    <row r="520" spans="4:15" x14ac:dyDescent="0.25">
      <c r="D520" s="3">
        <v>45365</v>
      </c>
      <c r="E520" s="2">
        <v>5.9928684865010601E-2</v>
      </c>
      <c r="F520" s="2">
        <v>5.9939461144244303E-2</v>
      </c>
      <c r="G520" s="2">
        <v>5.9934076000000003E-2</v>
      </c>
      <c r="H520" s="2">
        <v>0.200714543775842</v>
      </c>
      <c r="I520" s="2">
        <v>0.20077499146706301</v>
      </c>
      <c r="J520" s="2">
        <v>0.20074475999999999</v>
      </c>
      <c r="K520">
        <f t="shared" si="35"/>
        <v>2.9368001851852732E-3</v>
      </c>
      <c r="L520">
        <f t="shared" si="36"/>
        <v>-7.828691037682356E-4</v>
      </c>
      <c r="M520" s="1">
        <f t="shared" si="37"/>
        <v>9.9051075958227035E-4</v>
      </c>
      <c r="N520" s="1">
        <f t="shared" si="38"/>
        <v>1.7980220857501277E-4</v>
      </c>
      <c r="O520" s="1">
        <f t="shared" si="39"/>
        <v>3.0111715603942102E-4</v>
      </c>
    </row>
    <row r="521" spans="4:15" x14ac:dyDescent="0.25">
      <c r="D521" s="5">
        <v>45364</v>
      </c>
      <c r="E521" s="4">
        <v>5.9752148089723803E-2</v>
      </c>
      <c r="F521" s="4">
        <v>5.9765004004255301E-2</v>
      </c>
      <c r="G521" s="4">
        <v>5.9758577E-2</v>
      </c>
      <c r="H521" s="4">
        <v>0.20086774867427301</v>
      </c>
      <c r="I521" s="4">
        <v>0.20093636345369401</v>
      </c>
      <c r="J521" s="4">
        <v>0.20090204</v>
      </c>
      <c r="K521">
        <f t="shared" si="35"/>
        <v>5.9459961461723054E-3</v>
      </c>
      <c r="L521">
        <f t="shared" si="36"/>
        <v>8.738750807504303E-4</v>
      </c>
      <c r="M521" s="1">
        <f t="shared" si="37"/>
        <v>3.2920463382348992E-3</v>
      </c>
      <c r="N521" s="1">
        <f t="shared" si="38"/>
        <v>2.1513086785012063E-4</v>
      </c>
      <c r="O521" s="1">
        <f t="shared" si="39"/>
        <v>3.4153351265619097E-4</v>
      </c>
    </row>
    <row r="522" spans="4:15" x14ac:dyDescent="0.25">
      <c r="D522" s="3">
        <v>45363</v>
      </c>
      <c r="E522" s="2">
        <v>5.93986480867695E-2</v>
      </c>
      <c r="F522" s="2">
        <v>5.9412058271346699E-2</v>
      </c>
      <c r="G522" s="2">
        <v>5.9405353000000001E-2</v>
      </c>
      <c r="H522" s="2">
        <v>0.20070245860511801</v>
      </c>
      <c r="I522" s="2">
        <v>0.20075080802200199</v>
      </c>
      <c r="J522" s="2">
        <v>0.20072662999999999</v>
      </c>
      <c r="K522">
        <f t="shared" si="35"/>
        <v>-8.9106095707291999E-4</v>
      </c>
      <c r="L522">
        <f t="shared" si="36"/>
        <v>-2.7700138793812501E-3</v>
      </c>
      <c r="M522" s="1">
        <f t="shared" si="37"/>
        <v>-1.8742091672524917E-3</v>
      </c>
      <c r="N522" s="1">
        <f t="shared" si="38"/>
        <v>2.2574033988484454E-4</v>
      </c>
      <c r="O522" s="1">
        <f t="shared" si="39"/>
        <v>2.4087196045674097E-4</v>
      </c>
    </row>
    <row r="523" spans="4:15" x14ac:dyDescent="0.25">
      <c r="D523" s="5">
        <v>45362</v>
      </c>
      <c r="E523" s="4">
        <v>5.94519717246422E-2</v>
      </c>
      <c r="F523" s="4">
        <v>5.94646987815683E-2</v>
      </c>
      <c r="G523" s="4">
        <v>5.9458334000000002E-2</v>
      </c>
      <c r="H523" s="4">
        <v>0.20125988689194399</v>
      </c>
      <c r="I523" s="4">
        <v>0.20130850528434799</v>
      </c>
      <c r="J523" s="4">
        <v>0.20128419</v>
      </c>
      <c r="K523">
        <f t="shared" si="35"/>
        <v>-9.8106878328851899E-4</v>
      </c>
      <c r="L523">
        <f t="shared" si="36"/>
        <v>7.044757176863925E-4</v>
      </c>
      <c r="M523" s="1">
        <f t="shared" si="37"/>
        <v>-9.9120098126319529E-5</v>
      </c>
      <c r="N523" s="1">
        <f t="shared" si="38"/>
        <v>2.1405000897098501E-4</v>
      </c>
      <c r="O523" s="1">
        <f t="shared" si="39"/>
        <v>2.4154103908507893E-4</v>
      </c>
    </row>
    <row r="524" spans="4:15" x14ac:dyDescent="0.25">
      <c r="D524" s="3">
        <v>45359</v>
      </c>
      <c r="E524" s="2">
        <v>5.9510702999934502E-2</v>
      </c>
      <c r="F524" s="2">
        <v>5.9522746617619901E-2</v>
      </c>
      <c r="G524" s="2">
        <v>5.9516724E-2</v>
      </c>
      <c r="H524" s="2">
        <v>0.20111417251573699</v>
      </c>
      <c r="I524" s="2">
        <v>0.201170814138285</v>
      </c>
      <c r="J524" s="2">
        <v>0.20114249000000001</v>
      </c>
      <c r="K524">
        <f t="shared" si="35"/>
        <v>4.7018481910192644E-3</v>
      </c>
      <c r="L524">
        <f t="shared" si="36"/>
        <v>-7.40205187007692E-3</v>
      </c>
      <c r="M524" s="1">
        <f t="shared" si="37"/>
        <v>-1.6314279331317511E-3</v>
      </c>
      <c r="N524" s="1">
        <f t="shared" si="38"/>
        <v>2.0235686502837643E-4</v>
      </c>
      <c r="O524" s="1">
        <f t="shared" si="39"/>
        <v>2.8159948973491034E-4</v>
      </c>
    </row>
    <row r="525" spans="4:15" x14ac:dyDescent="0.25">
      <c r="D525" s="5">
        <v>45358</v>
      </c>
      <c r="E525" s="4">
        <v>5.92329335110321E-2</v>
      </c>
      <c r="F525" s="4">
        <v>5.9243461002991799E-2</v>
      </c>
      <c r="G525" s="4">
        <v>5.9238195E-2</v>
      </c>
      <c r="H525" s="4">
        <v>0.202621927745021</v>
      </c>
      <c r="I525" s="4">
        <v>0.20266299171108401</v>
      </c>
      <c r="J525" s="4">
        <v>0.20264246</v>
      </c>
      <c r="K525">
        <f t="shared" si="35"/>
        <v>-1.8659979436870255E-3</v>
      </c>
      <c r="L525">
        <f t="shared" si="36"/>
        <v>8.7135600617260778E-4</v>
      </c>
      <c r="M525" s="1">
        <f t="shared" si="37"/>
        <v>-4.3369774899866759E-4</v>
      </c>
      <c r="N525" s="1">
        <f t="shared" si="38"/>
        <v>1.7771459713953862E-4</v>
      </c>
      <c r="O525" s="1">
        <f t="shared" si="39"/>
        <v>2.0264245737549382E-4</v>
      </c>
    </row>
    <row r="526" spans="4:15" x14ac:dyDescent="0.25">
      <c r="D526" s="3">
        <v>45357</v>
      </c>
      <c r="E526" s="2">
        <v>5.9342250495507801E-2</v>
      </c>
      <c r="F526" s="2">
        <v>5.9355635224008198E-2</v>
      </c>
      <c r="G526" s="2">
        <v>5.9348940000000003E-2</v>
      </c>
      <c r="H526" s="2">
        <v>0.20244554214916199</v>
      </c>
      <c r="I526" s="2">
        <v>0.202486534645446</v>
      </c>
      <c r="J526" s="2">
        <v>0.20246604000000001</v>
      </c>
      <c r="K526">
        <f t="shared" si="35"/>
        <v>3.264123607863878E-3</v>
      </c>
      <c r="L526">
        <f t="shared" si="36"/>
        <v>1.0730336295325937E-3</v>
      </c>
      <c r="M526" s="1">
        <f t="shared" si="37"/>
        <v>2.1176519932944375E-3</v>
      </c>
      <c r="N526" s="1">
        <f t="shared" si="38"/>
        <v>2.2552599086684825E-4</v>
      </c>
      <c r="O526" s="1">
        <f t="shared" si="39"/>
        <v>2.0246603471872905E-4</v>
      </c>
    </row>
    <row r="527" spans="4:15" x14ac:dyDescent="0.25">
      <c r="D527" s="5">
        <v>45356</v>
      </c>
      <c r="E527" s="4">
        <v>5.9149197936876001E-2</v>
      </c>
      <c r="F527" s="4">
        <v>5.9162495710719097E-2</v>
      </c>
      <c r="G527" s="4">
        <v>5.9155847999999997E-2</v>
      </c>
      <c r="H527" s="4">
        <v>0.20223264843876401</v>
      </c>
      <c r="I527" s="4">
        <v>0.202265372168285</v>
      </c>
      <c r="J527" s="4">
        <v>0.20224902</v>
      </c>
      <c r="K527">
        <f t="shared" si="35"/>
        <v>4.2001292684366032E-3</v>
      </c>
      <c r="L527">
        <f t="shared" si="36"/>
        <v>3.5394647850450767E-4</v>
      </c>
      <c r="M527" s="1">
        <f t="shared" si="37"/>
        <v>2.1876425897923457E-3</v>
      </c>
      <c r="N527" s="1">
        <f t="shared" si="38"/>
        <v>2.2479221062127555E-4</v>
      </c>
      <c r="O527" s="1">
        <f t="shared" si="39"/>
        <v>1.6179919942743693E-4</v>
      </c>
    </row>
    <row r="528" spans="4:15" x14ac:dyDescent="0.25">
      <c r="D528" s="3">
        <v>45355</v>
      </c>
      <c r="E528" s="2">
        <v>5.8901487262553398E-2</v>
      </c>
      <c r="F528" s="2">
        <v>5.8915368073761999E-2</v>
      </c>
      <c r="G528" s="2">
        <v>5.8908425E-2</v>
      </c>
      <c r="H528" s="2">
        <v>0.202150885420878</v>
      </c>
      <c r="I528" s="2">
        <v>0.20220402386007499</v>
      </c>
      <c r="J528" s="2">
        <v>0.20217746</v>
      </c>
      <c r="K528">
        <f t="shared" ref="K528:K591" si="40">G528/G529-1</f>
        <v>1.7672967204891421E-3</v>
      </c>
      <c r="L528">
        <f t="shared" ref="L528:L591" si="41">J528/J529-1</f>
        <v>6.0661734046640881E-4</v>
      </c>
      <c r="M528" s="1">
        <f t="shared" ref="M528:M591" si="42">SUMPRODUCT(K528:L528,$O$11:$P$11)</f>
        <v>1.1599798252580483E-3</v>
      </c>
      <c r="N528" s="1">
        <f t="shared" ref="N528:N591" si="43">(F528-E528)/G528</f>
        <v>2.3563371807345263E-4</v>
      </c>
      <c r="O528" s="1">
        <f t="shared" ref="O528:O591" si="44">(I528-H528)/J528</f>
        <v>2.6283067952773993E-4</v>
      </c>
    </row>
    <row r="529" spans="4:15" x14ac:dyDescent="0.25">
      <c r="D529" s="5">
        <v>45352</v>
      </c>
      <c r="E529" s="4">
        <v>5.8798626464085797E-2</v>
      </c>
      <c r="F529" s="4">
        <v>5.8810383561321601E-2</v>
      </c>
      <c r="G529" s="4">
        <v>5.8804500000000003E-2</v>
      </c>
      <c r="H529" s="4">
        <v>0.202024283318855</v>
      </c>
      <c r="I529" s="4">
        <v>0.20208552259316101</v>
      </c>
      <c r="J529" s="4">
        <v>0.20205488999999999</v>
      </c>
      <c r="K529">
        <f t="shared" si="40"/>
        <v>3.5869685944325269E-3</v>
      </c>
      <c r="L529">
        <f t="shared" si="41"/>
        <v>3.9399902375967244E-3</v>
      </c>
      <c r="M529" s="1">
        <f t="shared" si="42"/>
        <v>3.7716845564509608E-3</v>
      </c>
      <c r="N529" s="1">
        <f t="shared" si="43"/>
        <v>1.9993533208859644E-4</v>
      </c>
      <c r="O529" s="1">
        <f t="shared" si="44"/>
        <v>3.0308236690541397E-4</v>
      </c>
    </row>
    <row r="530" spans="4:15" x14ac:dyDescent="0.25">
      <c r="D530" s="3">
        <v>45351</v>
      </c>
      <c r="E530" s="2">
        <v>5.8588829453776303E-2</v>
      </c>
      <c r="F530" s="2">
        <v>5.8599815996577799E-2</v>
      </c>
      <c r="G530" s="2">
        <v>5.8594324000000003E-2</v>
      </c>
      <c r="H530" s="2">
        <v>0.20123963615873799</v>
      </c>
      <c r="I530" s="2">
        <v>0.201284193152312</v>
      </c>
      <c r="J530" s="2">
        <v>0.20126192000000001</v>
      </c>
      <c r="K530">
        <f t="shared" si="40"/>
        <v>1.2597956958746437E-3</v>
      </c>
      <c r="L530">
        <f t="shared" si="41"/>
        <v>-2.5861347811141355E-3</v>
      </c>
      <c r="M530" s="1">
        <f t="shared" si="42"/>
        <v>-7.5255896188942983E-4</v>
      </c>
      <c r="N530" s="1">
        <f t="shared" si="43"/>
        <v>1.8750182699429633E-4</v>
      </c>
      <c r="O530" s="1">
        <f t="shared" si="44"/>
        <v>2.2138809752983576E-4</v>
      </c>
    </row>
    <row r="531" spans="4:15" x14ac:dyDescent="0.25">
      <c r="D531" s="5">
        <v>45350</v>
      </c>
      <c r="E531" s="4">
        <v>5.8515462711021399E-2</v>
      </c>
      <c r="F531" s="4">
        <v>5.8525736692710599E-2</v>
      </c>
      <c r="G531" s="4">
        <v>5.8520599999999999E-2</v>
      </c>
      <c r="H531" s="4">
        <v>0.20175120041964301</v>
      </c>
      <c r="I531" s="4">
        <v>0.201816347124117</v>
      </c>
      <c r="J531" s="4">
        <v>0.20178376000000001</v>
      </c>
      <c r="K531">
        <f t="shared" si="40"/>
        <v>-2.1652042819019224E-3</v>
      </c>
      <c r="L531">
        <f t="shared" si="41"/>
        <v>-2.2095568128661647E-3</v>
      </c>
      <c r="M531" s="1">
        <f t="shared" si="42"/>
        <v>-2.1884114154690892E-3</v>
      </c>
      <c r="N531" s="1">
        <f t="shared" si="43"/>
        <v>1.7556179685786365E-4</v>
      </c>
      <c r="O531" s="1">
        <f t="shared" si="44"/>
        <v>3.2285405165408289E-4</v>
      </c>
    </row>
    <row r="532" spans="4:15" x14ac:dyDescent="0.25">
      <c r="D532" s="3">
        <v>45349</v>
      </c>
      <c r="E532" s="2">
        <v>5.8641396134359203E-2</v>
      </c>
      <c r="F532" s="2">
        <v>5.8653778476409499E-2</v>
      </c>
      <c r="G532" s="2">
        <v>5.8647584000000003E-2</v>
      </c>
      <c r="H532" s="2">
        <v>0.20220402386007499</v>
      </c>
      <c r="I532" s="2">
        <v>0.20225719024311301</v>
      </c>
      <c r="J532" s="2">
        <v>0.20223060000000001</v>
      </c>
      <c r="K532">
        <f t="shared" si="40"/>
        <v>4.7797448343669391E-3</v>
      </c>
      <c r="L532">
        <f t="shared" si="41"/>
        <v>7.1487778888694731E-3</v>
      </c>
      <c r="M532" s="1">
        <f t="shared" si="42"/>
        <v>6.019323846559033E-3</v>
      </c>
      <c r="N532" s="1">
        <f t="shared" si="43"/>
        <v>2.1113132384611259E-4</v>
      </c>
      <c r="O532" s="1">
        <f t="shared" si="44"/>
        <v>2.6289979378991783E-4</v>
      </c>
    </row>
    <row r="533" spans="4:15" x14ac:dyDescent="0.25">
      <c r="D533" s="5">
        <v>45348</v>
      </c>
      <c r="E533" s="4">
        <v>5.8361444095572701E-2</v>
      </c>
      <c r="F533" s="4">
        <v>5.8375753047214297E-2</v>
      </c>
      <c r="G533" s="4">
        <v>5.8368597000000001E-2</v>
      </c>
      <c r="H533" s="4">
        <v>0.2007548381916</v>
      </c>
      <c r="I533" s="4">
        <v>0.200835475578406</v>
      </c>
      <c r="J533" s="4">
        <v>0.20079516</v>
      </c>
      <c r="K533">
        <f t="shared" si="40"/>
        <v>3.7940605136976835E-4</v>
      </c>
      <c r="L533">
        <f t="shared" si="41"/>
        <v>1.9478075401484496E-3</v>
      </c>
      <c r="M533" s="1">
        <f t="shared" si="42"/>
        <v>1.2000605223936589E-3</v>
      </c>
      <c r="N533" s="1">
        <f t="shared" si="43"/>
        <v>2.4514811691630101E-4</v>
      </c>
      <c r="O533" s="1">
        <f t="shared" si="44"/>
        <v>4.0159029134964413E-4</v>
      </c>
    </row>
    <row r="534" spans="4:15" x14ac:dyDescent="0.25">
      <c r="D534" s="3">
        <v>45345</v>
      </c>
      <c r="E534" s="2">
        <v>5.8340674534878997E-2</v>
      </c>
      <c r="F534" s="2">
        <v>5.8352249187444902E-2</v>
      </c>
      <c r="G534" s="2">
        <v>5.8346460000000003E-2</v>
      </c>
      <c r="H534" s="2">
        <v>0.20038473869830101</v>
      </c>
      <c r="I534" s="2">
        <v>0.20042490078967401</v>
      </c>
      <c r="J534" s="2">
        <v>0.20040480999999999</v>
      </c>
      <c r="K534">
        <f t="shared" si="40"/>
        <v>-8.4605304080931365E-4</v>
      </c>
      <c r="L534">
        <f t="shared" si="41"/>
        <v>-9.2286357692507037E-3</v>
      </c>
      <c r="M534" s="1">
        <f t="shared" si="42"/>
        <v>-5.2321774126880523E-3</v>
      </c>
      <c r="N534" s="1">
        <f t="shared" si="43"/>
        <v>1.9837797470325359E-4</v>
      </c>
      <c r="O534" s="1">
        <f t="shared" si="44"/>
        <v>2.0040482747396508E-4</v>
      </c>
    </row>
    <row r="535" spans="4:15" x14ac:dyDescent="0.25">
      <c r="D535" s="5">
        <v>45344</v>
      </c>
      <c r="E535" s="4">
        <v>5.8390750905056597E-2</v>
      </c>
      <c r="F535" s="4">
        <v>5.84009811364831E-2</v>
      </c>
      <c r="G535" s="4">
        <v>5.8395865999999998E-2</v>
      </c>
      <c r="H535" s="4">
        <v>0.20224900897985601</v>
      </c>
      <c r="I535" s="4">
        <v>0.20229401412012199</v>
      </c>
      <c r="J535" s="4">
        <v>0.20227149999999999</v>
      </c>
      <c r="K535">
        <f t="shared" si="40"/>
        <v>-3.5183071935748211E-3</v>
      </c>
      <c r="L535">
        <f t="shared" si="41"/>
        <v>-2.0025422670523207E-3</v>
      </c>
      <c r="M535" s="1">
        <f t="shared" si="42"/>
        <v>-2.7251944141802203E-3</v>
      </c>
      <c r="N535" s="1">
        <f t="shared" si="43"/>
        <v>1.7518759678130166E-4</v>
      </c>
      <c r="O535" s="1">
        <f t="shared" si="44"/>
        <v>2.22498672655219E-4</v>
      </c>
    </row>
    <row r="536" spans="4:15" x14ac:dyDescent="0.25">
      <c r="D536" s="3">
        <v>45343</v>
      </c>
      <c r="E536" s="2">
        <v>5.8596725614972603E-2</v>
      </c>
      <c r="F536" s="2">
        <v>5.8607371635204297E-2</v>
      </c>
      <c r="G536" s="2">
        <v>5.8602045999999998E-2</v>
      </c>
      <c r="H536" s="2">
        <v>0.20265888456549899</v>
      </c>
      <c r="I536" s="2">
        <v>0.20269585486976799</v>
      </c>
      <c r="J536" s="2">
        <v>0.20267737</v>
      </c>
      <c r="K536">
        <f t="shared" si="40"/>
        <v>-1.6848790351775556E-3</v>
      </c>
      <c r="L536">
        <f t="shared" si="41"/>
        <v>2.4325355103793633E-4</v>
      </c>
      <c r="M536" s="1">
        <f t="shared" si="42"/>
        <v>-6.7599792984478343E-4</v>
      </c>
      <c r="N536" s="1">
        <f t="shared" si="43"/>
        <v>1.8166635737759676E-4</v>
      </c>
      <c r="O536" s="1">
        <f t="shared" si="44"/>
        <v>1.8240963097654252E-4</v>
      </c>
    </row>
    <row r="537" spans="4:15" x14ac:dyDescent="0.25">
      <c r="D537" s="5">
        <v>45342</v>
      </c>
      <c r="E537" s="4">
        <v>5.8695779773434299E-2</v>
      </c>
      <c r="F537" s="4">
        <v>5.8706117177409901E-2</v>
      </c>
      <c r="G537" s="4">
        <v>5.8700950000000002E-2</v>
      </c>
      <c r="H537" s="4">
        <v>0.20259729735205301</v>
      </c>
      <c r="I537" s="4">
        <v>0.20265888456549899</v>
      </c>
      <c r="J537" s="4">
        <v>0.20262807999999999</v>
      </c>
      <c r="K537">
        <f t="shared" si="40"/>
        <v>1.4381579295303926E-3</v>
      </c>
      <c r="L537">
        <f t="shared" si="41"/>
        <v>5.2075034244745133E-3</v>
      </c>
      <c r="M537" s="1">
        <f t="shared" si="42"/>
        <v>3.4104400622567764E-3</v>
      </c>
      <c r="N537" s="1">
        <f t="shared" si="43"/>
        <v>1.7610283948730167E-4</v>
      </c>
      <c r="O537" s="1">
        <f t="shared" si="44"/>
        <v>3.0394214585651184E-4</v>
      </c>
    </row>
    <row r="538" spans="4:15" x14ac:dyDescent="0.25">
      <c r="D538" s="3">
        <v>45341</v>
      </c>
      <c r="E538" s="2">
        <v>5.8608745597018001E-2</v>
      </c>
      <c r="F538" s="2">
        <v>5.8624550789379601E-2</v>
      </c>
      <c r="G538" s="2">
        <v>5.8616649999999999E-2</v>
      </c>
      <c r="H538" s="2">
        <v>0.201564137708619</v>
      </c>
      <c r="I538" s="2">
        <v>0.20159258139300501</v>
      </c>
      <c r="J538" s="2">
        <v>0.20157836000000001</v>
      </c>
      <c r="K538">
        <f t="shared" si="40"/>
        <v>3.0785713176473273E-4</v>
      </c>
      <c r="L538">
        <f t="shared" si="41"/>
        <v>8.3660253773087945E-4</v>
      </c>
      <c r="M538" s="1">
        <f t="shared" si="42"/>
        <v>5.8451925211081392E-4</v>
      </c>
      <c r="N538" s="1">
        <f t="shared" si="43"/>
        <v>2.6963656847669651E-4</v>
      </c>
      <c r="O538" s="1">
        <f t="shared" si="44"/>
        <v>1.4110485066953215E-4</v>
      </c>
    </row>
    <row r="539" spans="4:15" x14ac:dyDescent="0.25">
      <c r="D539" s="5">
        <v>45338</v>
      </c>
      <c r="E539" s="4">
        <v>5.8592948924526399E-2</v>
      </c>
      <c r="F539" s="4">
        <v>5.8604280456644599E-2</v>
      </c>
      <c r="G539" s="4">
        <v>5.8598610000000002E-2</v>
      </c>
      <c r="H539" s="4">
        <v>0.20138147693175201</v>
      </c>
      <c r="I539" s="4">
        <v>0.201438269242391</v>
      </c>
      <c r="J539" s="4">
        <v>0.20140986</v>
      </c>
      <c r="K539">
        <f t="shared" si="40"/>
        <v>-4.835659225720379E-4</v>
      </c>
      <c r="L539">
        <f t="shared" si="41"/>
        <v>2.6183285587675353E-3</v>
      </c>
      <c r="M539" s="1">
        <f t="shared" si="42"/>
        <v>1.1394774071929108E-3</v>
      </c>
      <c r="N539" s="1">
        <f t="shared" si="43"/>
        <v>1.9337544215127352E-4</v>
      </c>
      <c r="O539" s="1">
        <f t="shared" si="44"/>
        <v>2.8197383503958899E-4</v>
      </c>
    </row>
    <row r="540" spans="4:15" x14ac:dyDescent="0.25">
      <c r="D540" s="3">
        <v>45337</v>
      </c>
      <c r="E540" s="2">
        <v>5.8621801447958498E-2</v>
      </c>
      <c r="F540" s="2">
        <v>5.8632112808184998E-2</v>
      </c>
      <c r="G540" s="2">
        <v>5.8626959999999999E-2</v>
      </c>
      <c r="H540" s="2">
        <v>0.200863713970071</v>
      </c>
      <c r="I540" s="2">
        <v>0.200904068307383</v>
      </c>
      <c r="J540" s="2">
        <v>0.20088387999999999</v>
      </c>
      <c r="K540">
        <f t="shared" si="40"/>
        <v>2.8141144981290722E-3</v>
      </c>
      <c r="L540">
        <f t="shared" si="41"/>
        <v>-2.4607776474490084E-3</v>
      </c>
      <c r="M540" s="1">
        <f t="shared" si="42"/>
        <v>5.406622323974198E-5</v>
      </c>
      <c r="N540" s="1">
        <f t="shared" si="43"/>
        <v>1.7588086140745429E-4</v>
      </c>
      <c r="O540" s="1">
        <f t="shared" si="44"/>
        <v>2.0088390025125018E-4</v>
      </c>
    </row>
    <row r="541" spans="4:15" x14ac:dyDescent="0.25">
      <c r="D541" s="5">
        <v>45336</v>
      </c>
      <c r="E541" s="4">
        <v>5.8456286389038298E-2</v>
      </c>
      <c r="F541" s="4">
        <v>5.8468590673090397E-2</v>
      </c>
      <c r="G541" s="4">
        <v>5.8462439999999997E-2</v>
      </c>
      <c r="H541" s="4">
        <v>0.20136931131695501</v>
      </c>
      <c r="I541" s="4">
        <v>0.201389588158292</v>
      </c>
      <c r="J541" s="4">
        <v>0.20137943</v>
      </c>
      <c r="K541">
        <f t="shared" si="40"/>
        <v>5.7292867292626504E-3</v>
      </c>
      <c r="L541">
        <f t="shared" si="41"/>
        <v>-2.30592930105189E-3</v>
      </c>
      <c r="M541" s="1">
        <f t="shared" si="42"/>
        <v>1.5249194112646677E-3</v>
      </c>
      <c r="N541" s="1">
        <f t="shared" si="43"/>
        <v>2.1046477109232852E-4</v>
      </c>
      <c r="O541" s="1">
        <f t="shared" si="44"/>
        <v>1.0068973448274146E-4</v>
      </c>
    </row>
    <row r="542" spans="4:15" x14ac:dyDescent="0.25">
      <c r="D542" s="3">
        <v>45335</v>
      </c>
      <c r="E542" s="2">
        <v>5.8121963127426603E-2</v>
      </c>
      <c r="F542" s="2">
        <v>5.8136830845077002E-2</v>
      </c>
      <c r="G542" s="2">
        <v>5.8129399999999998E-2</v>
      </c>
      <c r="H542" s="2">
        <v>0.201824493420522</v>
      </c>
      <c r="I542" s="2">
        <v>0.20186523476926799</v>
      </c>
      <c r="J542" s="2">
        <v>0.20184487000000001</v>
      </c>
      <c r="K542">
        <f t="shared" si="40"/>
        <v>-8.7484437462772568E-3</v>
      </c>
      <c r="L542">
        <f t="shared" si="41"/>
        <v>0</v>
      </c>
      <c r="M542" s="1">
        <f t="shared" si="42"/>
        <v>-4.1708853046093092E-3</v>
      </c>
      <c r="N542" s="1">
        <f t="shared" si="43"/>
        <v>2.5576932929634885E-4</v>
      </c>
      <c r="O542" s="1">
        <f t="shared" si="44"/>
        <v>2.0184485613128209E-4</v>
      </c>
    </row>
    <row r="543" spans="4:15" x14ac:dyDescent="0.25">
      <c r="D543" s="5">
        <v>45334</v>
      </c>
      <c r="E543" s="4">
        <v>5.8637269848715798E-2</v>
      </c>
      <c r="F543" s="4">
        <v>5.8647586651809303E-2</v>
      </c>
      <c r="G543" s="4">
        <v>5.8642430000000002E-2</v>
      </c>
      <c r="H543" s="4">
        <v>0.201824493420522</v>
      </c>
      <c r="I543" s="4">
        <v>0.20186523476926799</v>
      </c>
      <c r="J543" s="4">
        <v>0.20184487000000001</v>
      </c>
      <c r="K543">
        <f t="shared" si="40"/>
        <v>1.7593267035012072E-3</v>
      </c>
      <c r="L543">
        <f t="shared" si="41"/>
        <v>2.4019521932749921E-3</v>
      </c>
      <c r="M543" s="1">
        <f t="shared" si="42"/>
        <v>2.0955757348556986E-3</v>
      </c>
      <c r="N543" s="1">
        <f t="shared" si="43"/>
        <v>1.7592727814152125E-4</v>
      </c>
      <c r="O543" s="1">
        <f t="shared" si="44"/>
        <v>2.0184485613128209E-4</v>
      </c>
    </row>
    <row r="544" spans="4:15" x14ac:dyDescent="0.25">
      <c r="D544" s="3">
        <v>45331</v>
      </c>
      <c r="E544" s="2">
        <v>5.8531902813628599E-2</v>
      </c>
      <c r="F544" s="2">
        <v>5.8546981024923402E-2</v>
      </c>
      <c r="G544" s="2">
        <v>5.8539439999999998E-2</v>
      </c>
      <c r="H544" s="2">
        <v>0.20132066355290701</v>
      </c>
      <c r="I544" s="2">
        <v>0.20140175622331399</v>
      </c>
      <c r="J544" s="2">
        <v>0.20136121000000001</v>
      </c>
      <c r="K544">
        <f t="shared" si="40"/>
        <v>5.8541814837287376E-4</v>
      </c>
      <c r="L544">
        <f t="shared" si="41"/>
        <v>3.9265877609839794E-3</v>
      </c>
      <c r="M544" s="1">
        <f t="shared" si="42"/>
        <v>2.3336604196637699E-3</v>
      </c>
      <c r="N544" s="1">
        <f t="shared" si="43"/>
        <v>2.5757354861616035E-4</v>
      </c>
      <c r="O544" s="1">
        <f t="shared" si="44"/>
        <v>4.0272240322247147E-4</v>
      </c>
    </row>
    <row r="545" spans="4:15" x14ac:dyDescent="0.25">
      <c r="D545" s="5">
        <v>45330</v>
      </c>
      <c r="E545" s="4">
        <v>5.8499716276376103E-2</v>
      </c>
      <c r="F545" s="4">
        <v>5.8510669420568803E-2</v>
      </c>
      <c r="G545" s="4">
        <v>5.8505189999999999E-2</v>
      </c>
      <c r="H545" s="4">
        <v>0.20053341889425899</v>
      </c>
      <c r="I545" s="4">
        <v>0.20061387846811199</v>
      </c>
      <c r="J545" s="4">
        <v>0.20057364</v>
      </c>
      <c r="K545">
        <f t="shared" si="40"/>
        <v>-3.1592788011574058E-3</v>
      </c>
      <c r="L545">
        <f t="shared" si="41"/>
        <v>-4.7536453951526614E-3</v>
      </c>
      <c r="M545" s="1">
        <f t="shared" si="42"/>
        <v>-3.9935193213141498E-3</v>
      </c>
      <c r="N545" s="1">
        <f t="shared" si="43"/>
        <v>1.872166245883569E-4</v>
      </c>
      <c r="O545" s="1">
        <f t="shared" si="44"/>
        <v>4.0114729858319292E-4</v>
      </c>
    </row>
    <row r="546" spans="4:15" x14ac:dyDescent="0.25">
      <c r="D546" s="3">
        <v>45329</v>
      </c>
      <c r="E546" s="2">
        <v>5.8682690953476398E-2</v>
      </c>
      <c r="F546" s="2">
        <v>5.8698536058510699E-2</v>
      </c>
      <c r="G546" s="2">
        <v>5.8690609999999997E-2</v>
      </c>
      <c r="H546" s="2">
        <v>0.20150727441260599</v>
      </c>
      <c r="I546" s="2">
        <v>0.20155601241585</v>
      </c>
      <c r="J546" s="2">
        <v>0.20153165000000001</v>
      </c>
      <c r="K546">
        <f t="shared" si="40"/>
        <v>6.748389584974035E-4</v>
      </c>
      <c r="L546">
        <f t="shared" si="41"/>
        <v>-9.0687544747636295E-4</v>
      </c>
      <c r="M546" s="1">
        <f t="shared" si="42"/>
        <v>-1.5278139791787714E-4</v>
      </c>
      <c r="N546" s="1">
        <f t="shared" si="43"/>
        <v>2.6997683333502827E-4</v>
      </c>
      <c r="O546" s="1">
        <f t="shared" si="44"/>
        <v>2.4183796065783606E-4</v>
      </c>
    </row>
    <row r="547" spans="4:15" x14ac:dyDescent="0.25">
      <c r="D547" s="5">
        <v>45328</v>
      </c>
      <c r="E547" s="4">
        <v>5.8645179073054297E-2</v>
      </c>
      <c r="F547" s="4">
        <v>5.8656874879020202E-2</v>
      </c>
      <c r="G547" s="4">
        <v>5.865103E-2</v>
      </c>
      <c r="H547" s="4">
        <v>0.20168609576055799</v>
      </c>
      <c r="I547" s="4">
        <v>0.20174306003873499</v>
      </c>
      <c r="J547" s="4">
        <v>0.20171458</v>
      </c>
      <c r="K547">
        <f t="shared" si="40"/>
        <v>9.6042403666254383E-3</v>
      </c>
      <c r="L547">
        <f t="shared" si="41"/>
        <v>1.055976154717797E-2</v>
      </c>
      <c r="M547" s="1">
        <f t="shared" si="42"/>
        <v>1.0104209752390993E-2</v>
      </c>
      <c r="N547" s="1">
        <f t="shared" si="43"/>
        <v>1.9941347945473751E-4</v>
      </c>
      <c r="O547" s="1">
        <f t="shared" si="44"/>
        <v>2.8240040049163474E-4</v>
      </c>
    </row>
    <row r="548" spans="4:15" x14ac:dyDescent="0.25">
      <c r="D548" s="3">
        <v>45327</v>
      </c>
      <c r="E548" s="2">
        <v>5.8083814944965603E-2</v>
      </c>
      <c r="F548" s="2">
        <v>5.8102376387194198E-2</v>
      </c>
      <c r="G548" s="2">
        <v>5.809309E-2</v>
      </c>
      <c r="H548" s="2">
        <v>0.19959283062552399</v>
      </c>
      <c r="I548" s="2">
        <v>0.199620720630801</v>
      </c>
      <c r="J548" s="2">
        <v>0.19960678000000001</v>
      </c>
      <c r="K548">
        <f t="shared" si="40"/>
        <v>-4.342508525795763E-3</v>
      </c>
      <c r="L548">
        <f t="shared" si="41"/>
        <v>-8.2037545367794618E-3</v>
      </c>
      <c r="M548" s="1">
        <f t="shared" si="42"/>
        <v>-6.3628769233700661E-3</v>
      </c>
      <c r="N548" s="1">
        <f t="shared" si="43"/>
        <v>3.1951204917132645E-4</v>
      </c>
      <c r="O548" s="1">
        <f t="shared" si="44"/>
        <v>1.3972473919474925E-4</v>
      </c>
    </row>
    <row r="549" spans="4:15" x14ac:dyDescent="0.25">
      <c r="D549" s="5">
        <v>45324</v>
      </c>
      <c r="E549" s="4">
        <v>5.8341355269682899E-2</v>
      </c>
      <c r="F549" s="4">
        <v>5.83515681983953E-2</v>
      </c>
      <c r="G549" s="4">
        <v>5.8346460000000003E-2</v>
      </c>
      <c r="H549" s="4">
        <v>0.20124773596296999</v>
      </c>
      <c r="I549" s="4">
        <v>0.20126798832645701</v>
      </c>
      <c r="J549" s="4">
        <v>0.20125784999999999</v>
      </c>
      <c r="K549">
        <f t="shared" si="40"/>
        <v>-1.2253064293152871E-3</v>
      </c>
      <c r="L549">
        <f t="shared" si="41"/>
        <v>-1.0314505602409652E-2</v>
      </c>
      <c r="M549" s="1">
        <f t="shared" si="42"/>
        <v>-5.9811626260821982E-3</v>
      </c>
      <c r="N549" s="1">
        <f t="shared" si="43"/>
        <v>1.7503938906321219E-4</v>
      </c>
      <c r="O549" s="1">
        <f t="shared" si="44"/>
        <v>1.0062893689372437E-4</v>
      </c>
    </row>
    <row r="550" spans="4:15" x14ac:dyDescent="0.25">
      <c r="D550" s="3">
        <v>45323</v>
      </c>
      <c r="E550" s="2">
        <v>5.8410532587236101E-2</v>
      </c>
      <c r="F550" s="2">
        <v>5.8425548323770997E-2</v>
      </c>
      <c r="G550" s="2">
        <v>5.8418039999999997E-2</v>
      </c>
      <c r="H550" s="2">
        <v>0.203334688897926</v>
      </c>
      <c r="I550" s="2">
        <v>0.20337604230221701</v>
      </c>
      <c r="J550" s="2">
        <v>0.20335536000000001</v>
      </c>
      <c r="K550">
        <f t="shared" si="40"/>
        <v>3.3590985884914826E-3</v>
      </c>
      <c r="L550">
        <f t="shared" si="41"/>
        <v>4.7991917150795871E-3</v>
      </c>
      <c r="M550" s="1">
        <f t="shared" si="42"/>
        <v>4.1126166586289876E-3</v>
      </c>
      <c r="N550" s="1">
        <f t="shared" si="43"/>
        <v>2.5703937576296195E-4</v>
      </c>
      <c r="O550" s="1">
        <f t="shared" si="44"/>
        <v>2.0335536909876043E-4</v>
      </c>
    </row>
    <row r="551" spans="4:15" x14ac:dyDescent="0.25">
      <c r="D551" s="5">
        <v>45322</v>
      </c>
      <c r="E551" s="4">
        <v>5.8217044786372601E-2</v>
      </c>
      <c r="F551" s="4">
        <v>5.8227892324981503E-2</v>
      </c>
      <c r="G551" s="4">
        <v>5.8222465000000001E-2</v>
      </c>
      <c r="H551" s="4">
        <v>0.20234722784297901</v>
      </c>
      <c r="I551" s="4">
        <v>0.20242095461722201</v>
      </c>
      <c r="J551" s="4">
        <v>0.20238407999999999</v>
      </c>
      <c r="K551">
        <f t="shared" si="40"/>
        <v>9.0240717324063802E-4</v>
      </c>
      <c r="L551">
        <f t="shared" si="41"/>
        <v>5.7578201088470671E-3</v>
      </c>
      <c r="M551" s="1">
        <f t="shared" si="42"/>
        <v>3.4429660561421599E-3</v>
      </c>
      <c r="N551" s="1">
        <f t="shared" si="43"/>
        <v>1.8631190913854064E-4</v>
      </c>
      <c r="O551" s="1">
        <f t="shared" si="44"/>
        <v>3.6429137234015256E-4</v>
      </c>
    </row>
    <row r="552" spans="4:15" x14ac:dyDescent="0.25">
      <c r="D552" s="3">
        <v>45321</v>
      </c>
      <c r="E552" s="2">
        <v>5.8164559170805999E-2</v>
      </c>
      <c r="F552" s="2">
        <v>5.8175387157201497E-2</v>
      </c>
      <c r="G552" s="2">
        <v>5.8169972E-2</v>
      </c>
      <c r="H552" s="2">
        <v>0.20119509888739101</v>
      </c>
      <c r="I552" s="2">
        <v>0.20125583641925601</v>
      </c>
      <c r="J552" s="2">
        <v>0.20122545999999999</v>
      </c>
      <c r="K552">
        <f t="shared" si="40"/>
        <v>3.0248014684137736E-3</v>
      </c>
      <c r="L552">
        <f t="shared" si="41"/>
        <v>-4.557776823575721E-3</v>
      </c>
      <c r="M552" s="1">
        <f t="shared" si="42"/>
        <v>-9.4272650304683299E-4</v>
      </c>
      <c r="N552" s="1">
        <f t="shared" si="43"/>
        <v>1.8614391623736692E-4</v>
      </c>
      <c r="O552" s="1">
        <f t="shared" si="44"/>
        <v>3.0183820608486442E-4</v>
      </c>
    </row>
    <row r="553" spans="4:15" x14ac:dyDescent="0.25">
      <c r="D553" s="5">
        <v>45320</v>
      </c>
      <c r="E553" s="4">
        <v>5.7989503899794098E-2</v>
      </c>
      <c r="F553" s="4">
        <v>5.7999594002841999E-2</v>
      </c>
      <c r="G553" s="4">
        <v>5.7994549999999999E-2</v>
      </c>
      <c r="H553" s="4">
        <v>0.202114113628555</v>
      </c>
      <c r="I553" s="4">
        <v>0.20217949495562201</v>
      </c>
      <c r="J553" s="4">
        <v>0.20214679999999999</v>
      </c>
      <c r="K553">
        <f t="shared" si="40"/>
        <v>-4.5234927069343067E-3</v>
      </c>
      <c r="L553">
        <f t="shared" si="41"/>
        <v>-5.8521147800386641E-3</v>
      </c>
      <c r="M553" s="1">
        <f t="shared" si="42"/>
        <v>-5.2186843733507751E-3</v>
      </c>
      <c r="N553" s="1">
        <f t="shared" si="43"/>
        <v>1.7398364239227423E-4</v>
      </c>
      <c r="O553" s="1">
        <f t="shared" si="44"/>
        <v>3.2343488527651989E-4</v>
      </c>
    </row>
    <row r="554" spans="4:15" x14ac:dyDescent="0.25">
      <c r="D554" s="3">
        <v>45317</v>
      </c>
      <c r="E554" s="2">
        <v>5.8252992747502397E-2</v>
      </c>
      <c r="F554" s="2">
        <v>5.8263174760392701E-2</v>
      </c>
      <c r="G554" s="2">
        <v>5.8258079999999997E-2</v>
      </c>
      <c r="H554" s="2">
        <v>0.20325616374316499</v>
      </c>
      <c r="I554" s="2">
        <v>0.20341741253051299</v>
      </c>
      <c r="J554" s="2">
        <v>0.20333675000000001</v>
      </c>
      <c r="K554">
        <f t="shared" si="40"/>
        <v>4.8061881267524864E-3</v>
      </c>
      <c r="L554">
        <f t="shared" si="41"/>
        <v>7.9300849220942382E-4</v>
      </c>
      <c r="M554" s="1">
        <f t="shared" si="42"/>
        <v>2.706321585134756E-3</v>
      </c>
      <c r="N554" s="1">
        <f t="shared" si="43"/>
        <v>1.7477426118925218E-4</v>
      </c>
      <c r="O554" s="1">
        <f t="shared" si="44"/>
        <v>7.9301349779611939E-4</v>
      </c>
    </row>
    <row r="555" spans="4:15" x14ac:dyDescent="0.25">
      <c r="D555" s="5">
        <v>45316</v>
      </c>
      <c r="E555" s="4">
        <v>5.7973030946003902E-2</v>
      </c>
      <c r="F555" s="4">
        <v>5.7985805074917698E-2</v>
      </c>
      <c r="G555" s="4">
        <v>5.7979419999999997E-2</v>
      </c>
      <c r="H555" s="4">
        <v>0.20311579631547899</v>
      </c>
      <c r="I555" s="4">
        <v>0.20323550930818601</v>
      </c>
      <c r="J555" s="4">
        <v>0.20317563</v>
      </c>
      <c r="K555">
        <f t="shared" si="40"/>
        <v>-5.3050641338463489E-3</v>
      </c>
      <c r="L555">
        <f t="shared" si="41"/>
        <v>5.1804686679401968E-4</v>
      </c>
      <c r="M555" s="1">
        <f t="shared" si="42"/>
        <v>-2.2581644004973597E-3</v>
      </c>
      <c r="N555" s="1">
        <f t="shared" si="43"/>
        <v>2.2032177820675722E-4</v>
      </c>
      <c r="O555" s="1">
        <f t="shared" si="44"/>
        <v>5.892094081707621E-4</v>
      </c>
    </row>
    <row r="556" spans="4:15" x14ac:dyDescent="0.25">
      <c r="D556" s="3">
        <v>45315</v>
      </c>
      <c r="E556" s="2">
        <v>5.8282530394339602E-2</v>
      </c>
      <c r="F556" s="2">
        <v>5.8294761632719697E-2</v>
      </c>
      <c r="G556" s="2">
        <v>5.8288645E-2</v>
      </c>
      <c r="H556" s="2">
        <v>0.20302095176222201</v>
      </c>
      <c r="I556" s="2">
        <v>0.20311992200195</v>
      </c>
      <c r="J556" s="2">
        <v>0.20307043</v>
      </c>
      <c r="K556">
        <f t="shared" si="40"/>
        <v>1.1832571198024056E-2</v>
      </c>
      <c r="L556">
        <f t="shared" si="41"/>
        <v>1.1026775250124965E-2</v>
      </c>
      <c r="M556" s="1">
        <f t="shared" si="42"/>
        <v>1.141094443210504E-2</v>
      </c>
      <c r="N556" s="1">
        <f t="shared" si="43"/>
        <v>2.0983912698768135E-4</v>
      </c>
      <c r="O556" s="1">
        <f t="shared" si="44"/>
        <v>4.8736903609250857E-4</v>
      </c>
    </row>
    <row r="557" spans="4:15" x14ac:dyDescent="0.25">
      <c r="D557" s="5">
        <v>45314</v>
      </c>
      <c r="E557" s="4">
        <v>5.75993733188183E-2</v>
      </c>
      <c r="F557" s="4">
        <v>5.7614638727407901E-2</v>
      </c>
      <c r="G557" s="4">
        <v>5.7607006000000002E-2</v>
      </c>
      <c r="H557" s="4">
        <v>0.20082740892477</v>
      </c>
      <c r="I557" s="4">
        <v>0.20088388911209301</v>
      </c>
      <c r="J557" s="4">
        <v>0.20085564</v>
      </c>
      <c r="K557">
        <f t="shared" si="40"/>
        <v>-1.2702336272311765E-2</v>
      </c>
      <c r="L557">
        <f t="shared" si="41"/>
        <v>-1.7977076233528511E-3</v>
      </c>
      <c r="M557" s="1">
        <f t="shared" si="42"/>
        <v>-6.9965700385702352E-3</v>
      </c>
      <c r="N557" s="1">
        <f t="shared" si="43"/>
        <v>2.6499222316119105E-4</v>
      </c>
      <c r="O557" s="1">
        <f t="shared" si="44"/>
        <v>2.8119791569216501E-4</v>
      </c>
    </row>
    <row r="558" spans="4:15" x14ac:dyDescent="0.25">
      <c r="D558" s="3">
        <v>45313</v>
      </c>
      <c r="E558" s="2">
        <v>5.8341355269682899E-2</v>
      </c>
      <c r="F558" s="2">
        <v>5.83549733025997E-2</v>
      </c>
      <c r="G558" s="2">
        <v>5.8348164000000001E-2</v>
      </c>
      <c r="H558" s="2">
        <v>0.201187003319586</v>
      </c>
      <c r="I558" s="2">
        <v>0.20124773596296999</v>
      </c>
      <c r="J558" s="2">
        <v>0.20121737000000001</v>
      </c>
      <c r="K558">
        <f t="shared" si="40"/>
        <v>-7.8768150787678071E-4</v>
      </c>
      <c r="L558">
        <f t="shared" si="41"/>
        <v>-8.3303898763412709E-3</v>
      </c>
      <c r="M558" s="1">
        <f t="shared" si="42"/>
        <v>-4.7343478369363369E-3</v>
      </c>
      <c r="N558" s="1">
        <f t="shared" si="43"/>
        <v>2.3339265511081365E-4</v>
      </c>
      <c r="O558" s="1">
        <f t="shared" si="44"/>
        <v>3.0182604704550485E-4</v>
      </c>
    </row>
    <row r="559" spans="4:15" x14ac:dyDescent="0.25">
      <c r="D559" s="5">
        <v>45310</v>
      </c>
      <c r="E559" s="4">
        <v>5.8387000718160102E-2</v>
      </c>
      <c r="F559" s="4">
        <v>5.8401322205934698E-2</v>
      </c>
      <c r="G559" s="4">
        <v>5.8394160000000001E-2</v>
      </c>
      <c r="H559" s="4">
        <v>0.20288502505630099</v>
      </c>
      <c r="I559" s="4">
        <v>0.20293031373026499</v>
      </c>
      <c r="J559" s="4">
        <v>0.20290767000000001</v>
      </c>
      <c r="K559">
        <f t="shared" si="40"/>
        <v>4.2043741704704818E-3</v>
      </c>
      <c r="L559">
        <f t="shared" si="41"/>
        <v>3.8146979631297206E-3</v>
      </c>
      <c r="M559" s="1">
        <f t="shared" si="42"/>
        <v>4.0004789790327013E-3</v>
      </c>
      <c r="N559" s="1">
        <f t="shared" si="43"/>
        <v>2.4525548059251451E-4</v>
      </c>
      <c r="O559" s="1">
        <f t="shared" si="44"/>
        <v>2.2319843288329198E-4</v>
      </c>
    </row>
    <row r="560" spans="4:15" x14ac:dyDescent="0.25">
      <c r="D560" s="3">
        <v>45309</v>
      </c>
      <c r="E560" s="2">
        <v>5.8143591413354401E-2</v>
      </c>
      <c r="F560" s="2">
        <v>5.8155764399367302E-2</v>
      </c>
      <c r="G560" s="2">
        <v>5.8149676999999997E-2</v>
      </c>
      <c r="H560" s="2">
        <v>0.20208552259316101</v>
      </c>
      <c r="I560" s="2">
        <v>0.202187670595847</v>
      </c>
      <c r="J560" s="2">
        <v>0.20213658000000001</v>
      </c>
      <c r="K560">
        <f t="shared" si="40"/>
        <v>7.99555529561502E-3</v>
      </c>
      <c r="L560">
        <f t="shared" si="41"/>
        <v>-2.7793789401833191E-3</v>
      </c>
      <c r="M560" s="1">
        <f t="shared" si="42"/>
        <v>2.3576507036715526E-3</v>
      </c>
      <c r="N560" s="1">
        <f t="shared" si="43"/>
        <v>2.0933884143330782E-4</v>
      </c>
      <c r="O560" s="1">
        <f t="shared" si="44"/>
        <v>5.0534150071197739E-4</v>
      </c>
    </row>
    <row r="561" spans="4:15" x14ac:dyDescent="0.25">
      <c r="D561" s="5">
        <v>45308</v>
      </c>
      <c r="E561" s="4">
        <v>5.7682102397268203E-2</v>
      </c>
      <c r="F561" s="4">
        <v>5.7694748623980198E-2</v>
      </c>
      <c r="G561" s="4">
        <v>5.7688426000000001E-2</v>
      </c>
      <c r="H561" s="4">
        <v>0.20267531414673701</v>
      </c>
      <c r="I561" s="4">
        <v>0.20272461887771701</v>
      </c>
      <c r="J561" s="4">
        <v>0.20269996000000001</v>
      </c>
      <c r="K561">
        <f t="shared" si="40"/>
        <v>-9.3310543948588176E-3</v>
      </c>
      <c r="L561">
        <f t="shared" si="41"/>
        <v>-3.4965626278197215E-3</v>
      </c>
      <c r="M561" s="1">
        <f t="shared" si="42"/>
        <v>-6.278199759722488E-3</v>
      </c>
      <c r="N561" s="1">
        <f t="shared" si="43"/>
        <v>2.1921601244579808E-4</v>
      </c>
      <c r="O561" s="1">
        <f t="shared" si="44"/>
        <v>2.4323996403353393E-4</v>
      </c>
    </row>
    <row r="562" spans="4:15" x14ac:dyDescent="0.25">
      <c r="D562" s="3">
        <v>45307</v>
      </c>
      <c r="E562" s="2">
        <v>5.82251800613693E-2</v>
      </c>
      <c r="F562" s="2">
        <v>5.8238404733617501E-2</v>
      </c>
      <c r="G562" s="2">
        <v>5.8231789999999999E-2</v>
      </c>
      <c r="H562" s="2">
        <v>0.20339672531272199</v>
      </c>
      <c r="I562" s="2">
        <v>0.203425688595956</v>
      </c>
      <c r="J562" s="2">
        <v>0.20341119999999999</v>
      </c>
      <c r="K562">
        <f t="shared" si="40"/>
        <v>-1.6173871317234134E-2</v>
      </c>
      <c r="L562">
        <f t="shared" si="41"/>
        <v>-7.587294577246273E-3</v>
      </c>
      <c r="M562" s="1">
        <f t="shared" si="42"/>
        <v>-1.1681008588604616E-2</v>
      </c>
      <c r="N562" s="1">
        <f t="shared" si="43"/>
        <v>2.2710399677222236E-4</v>
      </c>
      <c r="O562" s="1">
        <f t="shared" si="44"/>
        <v>1.4238784901722491E-4</v>
      </c>
    </row>
    <row r="563" spans="4:15" x14ac:dyDescent="0.25">
      <c r="D563" s="5">
        <v>45306</v>
      </c>
      <c r="E563" s="4">
        <v>5.9180702356575597E-2</v>
      </c>
      <c r="F563" s="4">
        <v>5.9197518440026999E-2</v>
      </c>
      <c r="G563" s="4">
        <v>5.9189106999999998E-2</v>
      </c>
      <c r="H563" s="4">
        <v>0.204918032786885</v>
      </c>
      <c r="I563" s="4">
        <v>0.20501465854808601</v>
      </c>
      <c r="J563" s="4">
        <v>0.20496634</v>
      </c>
      <c r="K563">
        <f t="shared" si="40"/>
        <v>-2.9002580301937808E-3</v>
      </c>
      <c r="L563">
        <f t="shared" si="41"/>
        <v>-6.0156597156029168E-3</v>
      </c>
      <c r="M563" s="1">
        <f t="shared" si="42"/>
        <v>-4.5303689045192424E-3</v>
      </c>
      <c r="N563" s="1">
        <f t="shared" si="43"/>
        <v>2.8410774049017837E-4</v>
      </c>
      <c r="O563" s="1">
        <f t="shared" si="44"/>
        <v>4.7142258187860486E-4</v>
      </c>
    </row>
    <row r="564" spans="4:15" x14ac:dyDescent="0.25">
      <c r="D564" s="3">
        <v>45303</v>
      </c>
      <c r="E564" s="2">
        <v>5.9355987535242599E-2</v>
      </c>
      <c r="F564" s="2">
        <v>5.9366558817418098E-2</v>
      </c>
      <c r="G564" s="2">
        <v>5.9361270000000001E-2</v>
      </c>
      <c r="H564" s="2">
        <v>0.206177064863305</v>
      </c>
      <c r="I564" s="2">
        <v>0.20623659462134999</v>
      </c>
      <c r="J564" s="2">
        <v>0.20620680999999999</v>
      </c>
      <c r="K564">
        <f t="shared" si="40"/>
        <v>7.3607373940054455E-3</v>
      </c>
      <c r="L564">
        <f t="shared" si="41"/>
        <v>5.6190400020286191E-3</v>
      </c>
      <c r="M564" s="1">
        <f t="shared" si="42"/>
        <v>6.4494071242226373E-3</v>
      </c>
      <c r="N564" s="1">
        <f t="shared" si="43"/>
        <v>1.7808382764551923E-4</v>
      </c>
      <c r="O564" s="1">
        <f t="shared" si="44"/>
        <v>2.886895832634747E-4</v>
      </c>
    </row>
    <row r="565" spans="4:15" x14ac:dyDescent="0.25">
      <c r="D565" s="5">
        <v>45302</v>
      </c>
      <c r="E565" s="4">
        <v>5.8919533592972098E-2</v>
      </c>
      <c r="F565" s="4">
        <v>5.8935506874826897E-2</v>
      </c>
      <c r="G565" s="4">
        <v>5.8927519999999997E-2</v>
      </c>
      <c r="H565" s="4">
        <v>0.20501045553323199</v>
      </c>
      <c r="I565" s="4">
        <v>0.205098755050557</v>
      </c>
      <c r="J565" s="4">
        <v>0.2050546</v>
      </c>
      <c r="K565">
        <f t="shared" si="40"/>
        <v>7.6610315372604987E-4</v>
      </c>
      <c r="L565">
        <f t="shared" si="41"/>
        <v>2.8810725642152146E-3</v>
      </c>
      <c r="M565" s="1">
        <f t="shared" si="42"/>
        <v>1.8727452445520781E-3</v>
      </c>
      <c r="N565" s="1">
        <f t="shared" si="43"/>
        <v>2.7106658917257855E-4</v>
      </c>
      <c r="O565" s="1">
        <f t="shared" si="44"/>
        <v>4.3061466226557366E-4</v>
      </c>
    </row>
    <row r="566" spans="4:15" x14ac:dyDescent="0.25">
      <c r="D566" s="3">
        <v>45301</v>
      </c>
      <c r="E566" s="2">
        <v>5.8875131733107301E-2</v>
      </c>
      <c r="F566" s="2">
        <v>5.8889693714702998E-2</v>
      </c>
      <c r="G566" s="2">
        <v>5.8882410000000003E-2</v>
      </c>
      <c r="H566" s="2">
        <v>0.204440446497935</v>
      </c>
      <c r="I566" s="2">
        <v>0.20449061388082301</v>
      </c>
      <c r="J566" s="2">
        <v>0.20446552000000001</v>
      </c>
      <c r="K566">
        <f t="shared" si="40"/>
        <v>-1.7959478439386611E-3</v>
      </c>
      <c r="L566">
        <f t="shared" si="41"/>
        <v>2.8829531422629451E-3</v>
      </c>
      <c r="M566" s="1">
        <f t="shared" si="42"/>
        <v>6.5225246782875065E-4</v>
      </c>
      <c r="N566" s="1">
        <f t="shared" si="43"/>
        <v>2.473061410987904E-4</v>
      </c>
      <c r="O566" s="1">
        <f t="shared" si="44"/>
        <v>2.4535864476326713E-4</v>
      </c>
    </row>
    <row r="567" spans="4:15" x14ac:dyDescent="0.25">
      <c r="D567" s="5">
        <v>45300</v>
      </c>
      <c r="E567" s="4">
        <v>5.89806956183241E-2</v>
      </c>
      <c r="F567" s="4">
        <v>5.8996005970395803E-2</v>
      </c>
      <c r="G567" s="4">
        <v>5.8988350000000002E-2</v>
      </c>
      <c r="H567" s="4">
        <v>0.20382788773159899</v>
      </c>
      <c r="I567" s="4">
        <v>0.20392764647103201</v>
      </c>
      <c r="J567" s="4">
        <v>0.20387775</v>
      </c>
      <c r="K567">
        <f t="shared" si="40"/>
        <v>-9.3348658870763268E-3</v>
      </c>
      <c r="L567">
        <f t="shared" si="41"/>
        <v>-6.1979266314646786E-3</v>
      </c>
      <c r="M567" s="1">
        <f t="shared" si="42"/>
        <v>-7.6934856385452539E-3</v>
      </c>
      <c r="N567" s="1">
        <f t="shared" si="43"/>
        <v>2.5954874261956254E-4</v>
      </c>
      <c r="O567" s="1">
        <f t="shared" si="44"/>
        <v>4.8930665280061294E-4</v>
      </c>
    </row>
    <row r="568" spans="4:15" x14ac:dyDescent="0.25">
      <c r="D568" s="3">
        <v>45299</v>
      </c>
      <c r="E568" s="2">
        <v>5.9538694197358903E-2</v>
      </c>
      <c r="F568" s="2">
        <v>5.9549685279913299E-2</v>
      </c>
      <c r="G568" s="2">
        <v>5.9544186999999998E-2</v>
      </c>
      <c r="H568" s="2">
        <v>0.20512820512820501</v>
      </c>
      <c r="I568" s="2">
        <v>0.205170291341814</v>
      </c>
      <c r="J568" s="2">
        <v>0.20514925000000001</v>
      </c>
      <c r="K568">
        <f t="shared" si="40"/>
        <v>5.1356728018845388E-3</v>
      </c>
      <c r="L568">
        <f t="shared" si="41"/>
        <v>-4.3081759795848829E-4</v>
      </c>
      <c r="M568" s="1">
        <f t="shared" si="42"/>
        <v>2.2230478986144009E-3</v>
      </c>
      <c r="N568" s="1">
        <f t="shared" si="43"/>
        <v>1.8458699510660439E-4</v>
      </c>
      <c r="O568" s="1">
        <f t="shared" si="44"/>
        <v>2.0514924431353437E-4</v>
      </c>
    </row>
    <row r="569" spans="4:15" x14ac:dyDescent="0.25">
      <c r="D569" s="5">
        <v>45296</v>
      </c>
      <c r="E569" s="4">
        <v>5.9234336960449198E-2</v>
      </c>
      <c r="F569" s="4">
        <v>5.9245566950452903E-2</v>
      </c>
      <c r="G569" s="4">
        <v>5.923995E-2</v>
      </c>
      <c r="H569" s="4">
        <v>0.205191340925413</v>
      </c>
      <c r="I569" s="4">
        <v>0.205284010428428</v>
      </c>
      <c r="J569" s="4">
        <v>0.20523767000000001</v>
      </c>
      <c r="K569">
        <f t="shared" si="40"/>
        <v>9.507991905252311E-3</v>
      </c>
      <c r="L569">
        <f t="shared" si="41"/>
        <v>8.6097446351394158E-3</v>
      </c>
      <c r="M569" s="1">
        <f t="shared" si="42"/>
        <v>9.0379906692313119E-3</v>
      </c>
      <c r="N569" s="1">
        <f t="shared" si="43"/>
        <v>1.8956785081191836E-4</v>
      </c>
      <c r="O569" s="1">
        <f t="shared" si="44"/>
        <v>4.5152287596623075E-4</v>
      </c>
    </row>
    <row r="570" spans="4:15" x14ac:dyDescent="0.25">
      <c r="D570" s="3">
        <v>45295</v>
      </c>
      <c r="E570" s="2">
        <v>5.8675115883353897E-2</v>
      </c>
      <c r="F570" s="2">
        <v>5.8688890193086402E-2</v>
      </c>
      <c r="G570" s="2">
        <v>5.8682001999999997E-2</v>
      </c>
      <c r="H570" s="2">
        <v>0.20344638170610099</v>
      </c>
      <c r="I570" s="2">
        <v>0.203525053934139</v>
      </c>
      <c r="J570" s="2">
        <v>0.20348570999999999</v>
      </c>
      <c r="K570">
        <f t="shared" si="40"/>
        <v>8.7973380979544658E-5</v>
      </c>
      <c r="L570">
        <f t="shared" si="41"/>
        <v>1.404032600131E-3</v>
      </c>
      <c r="M570" s="1">
        <f t="shared" si="42"/>
        <v>7.7659162704476266E-4</v>
      </c>
      <c r="N570" s="1">
        <f t="shared" si="43"/>
        <v>2.3472801307127615E-4</v>
      </c>
      <c r="O570" s="1">
        <f t="shared" si="44"/>
        <v>3.8662286426897988E-4</v>
      </c>
    </row>
    <row r="571" spans="4:15" x14ac:dyDescent="0.25">
      <c r="D571" s="5">
        <v>45294</v>
      </c>
      <c r="E571" s="4">
        <v>5.8669263759409097E-2</v>
      </c>
      <c r="F571" s="4">
        <v>5.8684412833107401E-2</v>
      </c>
      <c r="G571" s="4">
        <v>5.8676840000000001E-2</v>
      </c>
      <c r="H571" s="4">
        <v>0.203124047856026</v>
      </c>
      <c r="I571" s="4">
        <v>0.20327682237671299</v>
      </c>
      <c r="J571" s="4">
        <v>0.20320041</v>
      </c>
      <c r="K571">
        <f t="shared" si="40"/>
        <v>7.9214883692757532E-4</v>
      </c>
      <c r="L571">
        <f t="shared" si="41"/>
        <v>-3.3630054587345803E-3</v>
      </c>
      <c r="M571" s="1">
        <f t="shared" si="42"/>
        <v>-1.3820048953445156E-3</v>
      </c>
      <c r="N571" s="1">
        <f t="shared" si="43"/>
        <v>2.5817807670459804E-4</v>
      </c>
      <c r="O571" s="1">
        <f t="shared" si="44"/>
        <v>7.5184159661384508E-4</v>
      </c>
    </row>
    <row r="572" spans="4:15" x14ac:dyDescent="0.25">
      <c r="D572" s="3">
        <v>45293</v>
      </c>
      <c r="E572" s="2">
        <v>5.8623863429847801E-2</v>
      </c>
      <c r="F572" s="2">
        <v>5.86369260177904E-2</v>
      </c>
      <c r="G572" s="2">
        <v>5.8630396000000001E-2</v>
      </c>
      <c r="H572" s="2">
        <v>0.20384035223612901</v>
      </c>
      <c r="I572" s="2">
        <v>0.20393180520434001</v>
      </c>
      <c r="J572" s="2">
        <v>0.20388608</v>
      </c>
      <c r="K572">
        <f t="shared" si="40"/>
        <v>-7.1235651186557503E-3</v>
      </c>
      <c r="L572">
        <f t="shared" si="41"/>
        <v>-9.6059721096881656E-3</v>
      </c>
      <c r="M572" s="1">
        <f t="shared" si="42"/>
        <v>-8.4224662040392421E-3</v>
      </c>
      <c r="N572" s="1">
        <f t="shared" si="43"/>
        <v>2.2279549233470244E-4</v>
      </c>
      <c r="O572" s="1">
        <f t="shared" si="44"/>
        <v>4.485493478073797E-4</v>
      </c>
    </row>
    <row r="573" spans="4:15" x14ac:dyDescent="0.25">
      <c r="D573" s="5">
        <v>45292</v>
      </c>
      <c r="E573" s="4">
        <v>5.90447736518602E-2</v>
      </c>
      <c r="F573" s="4">
        <v>5.9057326947267702E-2</v>
      </c>
      <c r="G573" s="4">
        <v>5.9051050000000001E-2</v>
      </c>
      <c r="H573" s="4">
        <v>0.205790957545325</v>
      </c>
      <c r="I573" s="4">
        <v>0.20593504808583399</v>
      </c>
      <c r="J573" s="4">
        <v>0.20586360000000001</v>
      </c>
      <c r="K573">
        <f t="shared" si="40"/>
        <v>0</v>
      </c>
      <c r="L573">
        <f t="shared" si="41"/>
        <v>3.0602881129215831E-6</v>
      </c>
      <c r="M573" s="1">
        <f t="shared" si="42"/>
        <v>1.6012731054253382E-6</v>
      </c>
      <c r="N573" s="1">
        <f t="shared" si="43"/>
        <v>2.1258377975501698E-4</v>
      </c>
      <c r="O573" s="1">
        <f t="shared" si="44"/>
        <v>6.999320934297481E-4</v>
      </c>
    </row>
    <row r="574" spans="4:15" x14ac:dyDescent="0.25">
      <c r="D574" s="3">
        <v>45289</v>
      </c>
      <c r="E574" s="2">
        <v>5.90447736518602E-2</v>
      </c>
      <c r="F574" s="2">
        <v>5.9057326947267702E-2</v>
      </c>
      <c r="G574" s="2">
        <v>5.9051050000000001E-2</v>
      </c>
      <c r="H574" s="2">
        <v>0.205790957545325</v>
      </c>
      <c r="I574" s="2">
        <v>0.20593504808583399</v>
      </c>
      <c r="J574" s="2">
        <v>0.20586297000000001</v>
      </c>
      <c r="K574">
        <f t="shared" si="40"/>
        <v>-4.1335396581292372E-3</v>
      </c>
      <c r="L574">
        <f t="shared" si="41"/>
        <v>-3.6231757797094977E-3</v>
      </c>
      <c r="M574" s="1">
        <f t="shared" si="42"/>
        <v>-3.866495536027313E-3</v>
      </c>
      <c r="N574" s="1">
        <f t="shared" si="43"/>
        <v>2.1258377975501698E-4</v>
      </c>
      <c r="O574" s="1">
        <f t="shared" si="44"/>
        <v>6.9993423542361348E-4</v>
      </c>
    </row>
    <row r="575" spans="4:15" x14ac:dyDescent="0.25">
      <c r="D575" s="5">
        <v>45288</v>
      </c>
      <c r="E575" s="4">
        <v>5.9290529523719201E-2</v>
      </c>
      <c r="F575" s="4">
        <v>5.9301780832478397E-2</v>
      </c>
      <c r="G575" s="4">
        <v>5.9296152999999997E-2</v>
      </c>
      <c r="H575" s="4">
        <v>0.20656889072505699</v>
      </c>
      <c r="I575" s="4">
        <v>0.20665426741062201</v>
      </c>
      <c r="J575" s="4">
        <v>0.20661156</v>
      </c>
      <c r="K575">
        <f t="shared" si="40"/>
        <v>3.8542887318966379E-3</v>
      </c>
      <c r="L575">
        <f t="shared" si="41"/>
        <v>-3.0475315129852021E-3</v>
      </c>
      <c r="M575" s="1">
        <f t="shared" si="42"/>
        <v>2.4296237019057524E-4</v>
      </c>
      <c r="N575" s="1">
        <f t="shared" si="43"/>
        <v>1.8974770183144277E-4</v>
      </c>
      <c r="O575" s="1">
        <f t="shared" si="44"/>
        <v>4.1322317863056422E-4</v>
      </c>
    </row>
    <row r="576" spans="4:15" x14ac:dyDescent="0.25">
      <c r="D576" s="3">
        <v>45287</v>
      </c>
      <c r="E576" s="2">
        <v>5.9060814921124298E-2</v>
      </c>
      <c r="F576" s="2">
        <v>5.90761669019867E-2</v>
      </c>
      <c r="G576" s="2">
        <v>5.9068486000000003E-2</v>
      </c>
      <c r="H576" s="2">
        <v>0.207146556188503</v>
      </c>
      <c r="I576" s="2">
        <v>0.20733982998133901</v>
      </c>
      <c r="J576" s="2">
        <v>0.20724313999999999</v>
      </c>
      <c r="K576">
        <f t="shared" si="40"/>
        <v>2.9533462773720931E-3</v>
      </c>
      <c r="L576">
        <f t="shared" si="41"/>
        <v>4.6623994142103165E-4</v>
      </c>
      <c r="M576" s="1">
        <f t="shared" si="42"/>
        <v>1.6519862945404895E-3</v>
      </c>
      <c r="N576" s="1">
        <f t="shared" si="43"/>
        <v>2.5990137723187908E-4</v>
      </c>
      <c r="O576" s="1">
        <f t="shared" si="44"/>
        <v>9.3259440498736355E-4</v>
      </c>
    </row>
    <row r="577" spans="4:15" x14ac:dyDescent="0.25">
      <c r="D577" s="5">
        <v>45286</v>
      </c>
      <c r="E577" s="4">
        <v>5.8888306548968601E-2</v>
      </c>
      <c r="F577" s="4">
        <v>5.8900793393687E-2</v>
      </c>
      <c r="G577" s="4">
        <v>5.8894549999999997E-2</v>
      </c>
      <c r="H577" s="4">
        <v>0.20708650003106299</v>
      </c>
      <c r="I577" s="4">
        <v>0.207206647189242</v>
      </c>
      <c r="J577" s="4">
        <v>0.20714656000000001</v>
      </c>
      <c r="K577">
        <f t="shared" si="40"/>
        <v>-7.0557732884213298E-4</v>
      </c>
      <c r="L577">
        <f t="shared" si="41"/>
        <v>6.9560111143733838E-3</v>
      </c>
      <c r="M577" s="1">
        <f t="shared" si="42"/>
        <v>3.3032921194812628E-3</v>
      </c>
      <c r="N577" s="1">
        <f t="shared" si="43"/>
        <v>2.1202037741010755E-4</v>
      </c>
      <c r="O577" s="1">
        <f t="shared" si="44"/>
        <v>5.800103954369918E-4</v>
      </c>
    </row>
    <row r="578" spans="4:15" x14ac:dyDescent="0.25">
      <c r="D578" s="3">
        <v>45285</v>
      </c>
      <c r="E578" s="2">
        <v>5.8929602696618601E-2</v>
      </c>
      <c r="F578" s="2">
        <v>5.89428019050314E-2</v>
      </c>
      <c r="G578" s="2">
        <v>5.8936134000000001E-2</v>
      </c>
      <c r="H578" s="2">
        <v>0.20563861070554601</v>
      </c>
      <c r="I578" s="2">
        <v>0.205790957545325</v>
      </c>
      <c r="J578" s="2">
        <v>0.2057156</v>
      </c>
      <c r="K578">
        <f t="shared" si="40"/>
        <v>-1.1198550297075727E-6</v>
      </c>
      <c r="L578">
        <f t="shared" si="41"/>
        <v>4.1319351189450515E-6</v>
      </c>
      <c r="M578" s="1">
        <f t="shared" si="42"/>
        <v>1.6281052962719286E-6</v>
      </c>
      <c r="N578" s="1">
        <f t="shared" si="43"/>
        <v>2.2395782547934631E-4</v>
      </c>
      <c r="O578" s="1">
        <f t="shared" si="44"/>
        <v>7.4057018417171083E-4</v>
      </c>
    </row>
    <row r="579" spans="4:15" x14ac:dyDescent="0.25">
      <c r="D579" s="5">
        <v>45282</v>
      </c>
      <c r="E579" s="4">
        <v>5.8929602696618601E-2</v>
      </c>
      <c r="F579" s="4">
        <v>5.89428019050314E-2</v>
      </c>
      <c r="G579" s="4">
        <v>5.8936200000000001E-2</v>
      </c>
      <c r="H579" s="4">
        <v>0.20563861070554601</v>
      </c>
      <c r="I579" s="4">
        <v>0.205790957545325</v>
      </c>
      <c r="J579" s="4">
        <v>0.20571475</v>
      </c>
      <c r="K579">
        <f t="shared" si="40"/>
        <v>4.5380982939307035E-3</v>
      </c>
      <c r="L579">
        <f t="shared" si="41"/>
        <v>2.0364675179582736E-3</v>
      </c>
      <c r="M579" s="1">
        <f t="shared" si="42"/>
        <v>3.2291385053555234E-3</v>
      </c>
      <c r="N579" s="1">
        <f t="shared" si="43"/>
        <v>2.23957574679049E-4</v>
      </c>
      <c r="O579" s="1">
        <f t="shared" si="44"/>
        <v>7.4057324415966277E-4</v>
      </c>
    </row>
    <row r="580" spans="4:15" x14ac:dyDescent="0.25">
      <c r="D580" s="3">
        <v>45281</v>
      </c>
      <c r="E580" s="2">
        <v>5.8663756944322201E-2</v>
      </c>
      <c r="F580" s="2">
        <v>5.86761487323018E-2</v>
      </c>
      <c r="G580" s="2">
        <v>5.8669949999999998E-2</v>
      </c>
      <c r="H580" s="2">
        <v>0.20525872862743499</v>
      </c>
      <c r="I580" s="2">
        <v>0.205334592718835</v>
      </c>
      <c r="J580" s="2">
        <v>0.20529666999999999</v>
      </c>
      <c r="K580">
        <f t="shared" si="40"/>
        <v>1.0559980999200747E-3</v>
      </c>
      <c r="L580">
        <f t="shared" si="41"/>
        <v>2.4841794883037061E-3</v>
      </c>
      <c r="M580" s="1">
        <f t="shared" si="42"/>
        <v>1.8032834412026874E-3</v>
      </c>
      <c r="N580" s="1">
        <f t="shared" si="43"/>
        <v>2.1121183808063112E-4</v>
      </c>
      <c r="O580" s="1">
        <f t="shared" si="44"/>
        <v>3.6953395980561933E-4</v>
      </c>
    </row>
    <row r="581" spans="4:15" x14ac:dyDescent="0.25">
      <c r="D581" s="5">
        <v>45280</v>
      </c>
      <c r="E581" s="4">
        <v>5.8601876432083401E-2</v>
      </c>
      <c r="F581" s="4">
        <v>5.8614242088542698E-2</v>
      </c>
      <c r="G581" s="4">
        <v>5.8608059999999997E-2</v>
      </c>
      <c r="H581" s="4">
        <v>0.204750204750205</v>
      </c>
      <c r="I581" s="4">
        <v>0.204825693334972</v>
      </c>
      <c r="J581" s="4">
        <v>0.20478794</v>
      </c>
      <c r="K581">
        <f t="shared" si="40"/>
        <v>-9.377279436619812E-4</v>
      </c>
      <c r="L581">
        <f t="shared" si="41"/>
        <v>-4.9252299156526957E-3</v>
      </c>
      <c r="M581" s="1">
        <f t="shared" si="42"/>
        <v>-3.0241588383935068E-3</v>
      </c>
      <c r="N581" s="1">
        <f t="shared" si="43"/>
        <v>2.1098900832576504E-4</v>
      </c>
      <c r="O581" s="1">
        <f t="shared" si="44"/>
        <v>3.686183120304705E-4</v>
      </c>
    </row>
    <row r="582" spans="4:15" x14ac:dyDescent="0.25">
      <c r="D582" s="3">
        <v>45279</v>
      </c>
      <c r="E582" s="2">
        <v>5.8657563012887097E-2</v>
      </c>
      <c r="F582" s="2">
        <v>5.8668575350984797E-2</v>
      </c>
      <c r="G582" s="2">
        <v>5.8663069999999998E-2</v>
      </c>
      <c r="H582" s="2">
        <v>0.20571898786258</v>
      </c>
      <c r="I582" s="2">
        <v>0.20588416956620201</v>
      </c>
      <c r="J582" s="2">
        <v>0.20580155999999999</v>
      </c>
      <c r="K582">
        <f t="shared" si="40"/>
        <v>1.173262130584285E-2</v>
      </c>
      <c r="L582">
        <f t="shared" si="41"/>
        <v>1.6104040760373861E-2</v>
      </c>
      <c r="M582" s="1">
        <f t="shared" si="42"/>
        <v>1.4019934181881516E-2</v>
      </c>
      <c r="N582" s="1">
        <f t="shared" si="43"/>
        <v>1.8772181711083921E-4</v>
      </c>
      <c r="O582" s="1">
        <f t="shared" si="44"/>
        <v>8.0262610070598226E-4</v>
      </c>
    </row>
    <row r="583" spans="4:15" x14ac:dyDescent="0.25">
      <c r="D583" s="5">
        <v>45278</v>
      </c>
      <c r="E583" s="4">
        <v>5.7977736549165097E-2</v>
      </c>
      <c r="F583" s="4">
        <v>5.7987822557263001E-2</v>
      </c>
      <c r="G583" s="4">
        <v>5.7982779999999998E-2</v>
      </c>
      <c r="H583" s="4">
        <v>0.20250293629257601</v>
      </c>
      <c r="I583" s="4">
        <v>0.20257677659833101</v>
      </c>
      <c r="J583" s="4">
        <v>0.20253984999999999</v>
      </c>
      <c r="K583">
        <f t="shared" si="40"/>
        <v>-3.2180177085181505E-3</v>
      </c>
      <c r="L583">
        <f t="shared" si="41"/>
        <v>1.6406365521459687E-3</v>
      </c>
      <c r="M583" s="1">
        <f t="shared" si="42"/>
        <v>-6.757628262697346E-4</v>
      </c>
      <c r="N583" s="1">
        <f t="shared" si="43"/>
        <v>1.7394833600430543E-4</v>
      </c>
      <c r="O583" s="1">
        <f t="shared" si="44"/>
        <v>3.6457174109192015E-4</v>
      </c>
    </row>
    <row r="584" spans="4:15" x14ac:dyDescent="0.25">
      <c r="D584" s="3">
        <v>45275</v>
      </c>
      <c r="E584" s="2">
        <v>5.8163205955912303E-2</v>
      </c>
      <c r="F584" s="2">
        <v>5.8176740938972599E-2</v>
      </c>
      <c r="G584" s="2">
        <v>5.8169972E-2</v>
      </c>
      <c r="H584" s="2">
        <v>0.202146799005438</v>
      </c>
      <c r="I584" s="2">
        <v>0.202269463379114</v>
      </c>
      <c r="J584" s="2">
        <v>0.2022081</v>
      </c>
      <c r="K584">
        <f t="shared" si="40"/>
        <v>4.9880915678142124E-3</v>
      </c>
      <c r="L584">
        <f t="shared" si="41"/>
        <v>-1.1081024138633211E-2</v>
      </c>
      <c r="M584" s="1">
        <f t="shared" si="42"/>
        <v>-3.4199542955987389E-3</v>
      </c>
      <c r="N584" s="1">
        <f t="shared" si="43"/>
        <v>2.3267989642999031E-4</v>
      </c>
      <c r="O584" s="1">
        <f t="shared" si="44"/>
        <v>6.0662443134573425E-4</v>
      </c>
    </row>
    <row r="585" spans="4:15" x14ac:dyDescent="0.25">
      <c r="D585" s="5">
        <v>45274</v>
      </c>
      <c r="E585" s="4">
        <v>5.7874724371625198E-2</v>
      </c>
      <c r="F585" s="4">
        <v>5.78877903072684E-2</v>
      </c>
      <c r="G585" s="4">
        <v>5.7881255E-2</v>
      </c>
      <c r="H585" s="4">
        <v>0.20445716622367599</v>
      </c>
      <c r="I585" s="4">
        <v>0.20449061388082301</v>
      </c>
      <c r="J585" s="4">
        <v>0.20447388</v>
      </c>
      <c r="K585">
        <f t="shared" si="40"/>
        <v>8.7544674279669277E-3</v>
      </c>
      <c r="L585">
        <f t="shared" si="41"/>
        <v>1.3709934937288448E-2</v>
      </c>
      <c r="M585" s="1">
        <f t="shared" si="42"/>
        <v>1.1347379126045651E-2</v>
      </c>
      <c r="N585" s="1">
        <f t="shared" si="43"/>
        <v>2.2573690987179546E-4</v>
      </c>
      <c r="O585" s="1">
        <f t="shared" si="44"/>
        <v>1.6357911899076422E-4</v>
      </c>
    </row>
    <row r="586" spans="4:15" x14ac:dyDescent="0.25">
      <c r="D586" s="3">
        <v>45273</v>
      </c>
      <c r="E586" s="2">
        <v>5.7372675689476099E-2</v>
      </c>
      <c r="F586" s="2">
        <v>5.7385186587934199E-2</v>
      </c>
      <c r="G586" s="2">
        <v>5.7378933E-2</v>
      </c>
      <c r="H586" s="2">
        <v>0.20168609576055799</v>
      </c>
      <c r="I586" s="2">
        <v>0.20173085069899699</v>
      </c>
      <c r="J586" s="2">
        <v>0.20170847</v>
      </c>
      <c r="K586">
        <f t="shared" si="40"/>
        <v>-6.2255463808773559E-3</v>
      </c>
      <c r="L586">
        <f t="shared" si="41"/>
        <v>-3.8322815579683311E-4</v>
      </c>
      <c r="M586" s="1">
        <f t="shared" si="42"/>
        <v>-3.1685966094956645E-3</v>
      </c>
      <c r="N586" s="1">
        <f t="shared" si="43"/>
        <v>2.1803992866336298E-4</v>
      </c>
      <c r="O586" s="1">
        <f t="shared" si="44"/>
        <v>2.2187932137406592E-4</v>
      </c>
    </row>
    <row r="587" spans="4:15" x14ac:dyDescent="0.25">
      <c r="D587" s="5">
        <v>45272</v>
      </c>
      <c r="E587" s="4">
        <v>5.7729054455817101E-2</v>
      </c>
      <c r="F587" s="4">
        <v>5.77477232960091E-2</v>
      </c>
      <c r="G587" s="4">
        <v>5.7738386000000003E-2</v>
      </c>
      <c r="H587" s="4">
        <v>0.201734920314706</v>
      </c>
      <c r="I587" s="4">
        <v>0.20183671409829401</v>
      </c>
      <c r="J587" s="4">
        <v>0.20178579999999999</v>
      </c>
      <c r="K587">
        <f t="shared" si="40"/>
        <v>7.5059371049543966E-3</v>
      </c>
      <c r="L587">
        <f t="shared" si="41"/>
        <v>-2.4718983035045827E-3</v>
      </c>
      <c r="M587" s="1">
        <f t="shared" si="42"/>
        <v>2.2851085749657852E-3</v>
      </c>
      <c r="N587" s="1">
        <f t="shared" si="43"/>
        <v>3.2333498535963177E-4</v>
      </c>
      <c r="O587" s="1">
        <f t="shared" si="44"/>
        <v>5.0446455393797149E-4</v>
      </c>
    </row>
    <row r="588" spans="4:15" x14ac:dyDescent="0.25">
      <c r="D588" s="3">
        <v>45271</v>
      </c>
      <c r="E588" s="2">
        <v>5.7302321317036602E-2</v>
      </c>
      <c r="F588" s="2">
        <v>5.7314144557735397E-2</v>
      </c>
      <c r="G588" s="2">
        <v>5.7308234E-2</v>
      </c>
      <c r="H588" s="2">
        <v>0.20226128112295499</v>
      </c>
      <c r="I588" s="2">
        <v>0.20231038459204101</v>
      </c>
      <c r="J588" s="2">
        <v>0.20228583</v>
      </c>
      <c r="K588">
        <f t="shared" si="40"/>
        <v>-5.7881704923721244E-3</v>
      </c>
      <c r="L588">
        <f t="shared" si="41"/>
        <v>-4.8245040291687857E-3</v>
      </c>
      <c r="M588" s="1">
        <f t="shared" si="42"/>
        <v>-5.2839391477440163E-3</v>
      </c>
      <c r="N588" s="1">
        <f t="shared" si="43"/>
        <v>2.0630963255289478E-4</v>
      </c>
      <c r="O588" s="1">
        <f t="shared" si="44"/>
        <v>2.4274299927985475E-4</v>
      </c>
    </row>
    <row r="589" spans="4:15" x14ac:dyDescent="0.25">
      <c r="D589" s="5">
        <v>45268</v>
      </c>
      <c r="E589" s="4">
        <v>5.7634230121953997E-2</v>
      </c>
      <c r="F589" s="4">
        <v>5.7649514014596899E-2</v>
      </c>
      <c r="G589" s="4">
        <v>5.7641875000000002E-2</v>
      </c>
      <c r="H589" s="4">
        <v>0.20318595578673601</v>
      </c>
      <c r="I589" s="4">
        <v>0.20334709315330299</v>
      </c>
      <c r="J589" s="4">
        <v>0.20326648999999999</v>
      </c>
      <c r="K589">
        <f t="shared" si="40"/>
        <v>5.1877965939961523E-3</v>
      </c>
      <c r="L589">
        <f t="shared" si="41"/>
        <v>-2.3782452960000589E-3</v>
      </c>
      <c r="M589" s="1">
        <f t="shared" si="42"/>
        <v>1.2289211724900882E-3</v>
      </c>
      <c r="N589" s="1">
        <f t="shared" si="43"/>
        <v>2.6515259336900334E-4</v>
      </c>
      <c r="O589" s="1">
        <f t="shared" si="44"/>
        <v>7.9273945531787779E-4</v>
      </c>
    </row>
    <row r="590" spans="4:15" x14ac:dyDescent="0.25">
      <c r="D590" s="3">
        <v>45267</v>
      </c>
      <c r="E590" s="2">
        <v>5.7337148164924599E-2</v>
      </c>
      <c r="F590" s="2">
        <v>5.7351617028842103E-2</v>
      </c>
      <c r="G590" s="2">
        <v>5.7344383999999998E-2</v>
      </c>
      <c r="H590" s="2">
        <v>0.20367428408489099</v>
      </c>
      <c r="I590" s="2">
        <v>0.20382788773159899</v>
      </c>
      <c r="J590" s="2">
        <v>0.20375106000000001</v>
      </c>
      <c r="K590">
        <f t="shared" si="40"/>
        <v>-9.7198735183954277E-3</v>
      </c>
      <c r="L590">
        <f t="shared" si="41"/>
        <v>-1.7115596888372941E-3</v>
      </c>
      <c r="M590" s="1">
        <f t="shared" si="42"/>
        <v>-5.5295825778359283E-3</v>
      </c>
      <c r="N590" s="1">
        <f t="shared" si="43"/>
        <v>2.5231527323588701E-4</v>
      </c>
      <c r="O590" s="1">
        <f t="shared" si="44"/>
        <v>7.5387900660735144E-4</v>
      </c>
    </row>
    <row r="591" spans="4:15" x14ac:dyDescent="0.25">
      <c r="D591" s="5">
        <v>45266</v>
      </c>
      <c r="E591" s="4">
        <v>5.7901532653569301E-2</v>
      </c>
      <c r="F591" s="4">
        <v>5.7912933695482199E-2</v>
      </c>
      <c r="G591" s="4">
        <v>5.7907235000000001E-2</v>
      </c>
      <c r="H591" s="4">
        <v>0.204002529631367</v>
      </c>
      <c r="I591" s="4">
        <v>0.204198317405865</v>
      </c>
      <c r="J591" s="4">
        <v>0.20410038999999999</v>
      </c>
      <c r="K591">
        <f t="shared" si="40"/>
        <v>1.2102729399641188E-2</v>
      </c>
      <c r="L591">
        <f t="shared" si="41"/>
        <v>1.1950111401066277E-2</v>
      </c>
      <c r="M591" s="1">
        <f t="shared" si="42"/>
        <v>1.2022873161436038E-2</v>
      </c>
      <c r="N591" s="1">
        <f t="shared" si="43"/>
        <v>1.968845846792361E-4</v>
      </c>
      <c r="O591" s="1">
        <f t="shared" si="44"/>
        <v>9.5927192739806301E-4</v>
      </c>
    </row>
    <row r="592" spans="4:15" x14ac:dyDescent="0.25">
      <c r="D592" s="3">
        <v>45265</v>
      </c>
      <c r="E592" s="2">
        <v>5.7207256168372397E-2</v>
      </c>
      <c r="F592" s="2">
        <v>5.7222314413728798E-2</v>
      </c>
      <c r="G592" s="2">
        <v>5.721478E-2</v>
      </c>
      <c r="H592" s="2">
        <v>0.20166575917075</v>
      </c>
      <c r="I592" s="2">
        <v>0.20171457387796299</v>
      </c>
      <c r="J592" s="2">
        <v>0.20169017</v>
      </c>
      <c r="K592">
        <f t="shared" ref="K592:K655" si="45">G592/G593-1</f>
        <v>-3.9478391512763888E-3</v>
      </c>
      <c r="L592">
        <f t="shared" ref="L592:L655" si="46">J592/J593-1</f>
        <v>-5.8692064290717383E-3</v>
      </c>
      <c r="M592" s="1">
        <f t="shared" ref="M592:M655" si="47">SUMPRODUCT(K592:L592,$O$11:$P$11)</f>
        <v>-4.9531803590494045E-3</v>
      </c>
      <c r="N592" s="1">
        <f t="shared" ref="N592:N655" si="48">(F592-E592)/G592</f>
        <v>2.631880321203754E-4</v>
      </c>
      <c r="O592" s="1">
        <f t="shared" ref="O592:O655" si="49">(I592-H592)/J592</f>
        <v>2.4202819211759674E-4</v>
      </c>
    </row>
    <row r="593" spans="4:15" x14ac:dyDescent="0.25">
      <c r="D593" s="5">
        <v>45264</v>
      </c>
      <c r="E593" s="4">
        <v>5.7433965298398199E-2</v>
      </c>
      <c r="F593" s="4">
        <v>5.7449143146030002E-2</v>
      </c>
      <c r="G593" s="4">
        <v>5.7441550000000001E-2</v>
      </c>
      <c r="H593" s="4">
        <v>0.20284798571950199</v>
      </c>
      <c r="I593" s="4">
        <v>0.202913842782355</v>
      </c>
      <c r="J593" s="4">
        <v>0.20288091999999999</v>
      </c>
      <c r="K593">
        <f t="shared" si="45"/>
        <v>-7.2951640212965962E-3</v>
      </c>
      <c r="L593">
        <f t="shared" si="46"/>
        <v>-5.3560412604760632E-3</v>
      </c>
      <c r="M593" s="1">
        <f t="shared" si="47"/>
        <v>-6.2805323884417008E-3</v>
      </c>
      <c r="N593" s="1">
        <f t="shared" si="48"/>
        <v>2.6423116423221845E-4</v>
      </c>
      <c r="O593" s="1">
        <f t="shared" si="49"/>
        <v>3.2460944505280771E-4</v>
      </c>
    </row>
    <row r="594" spans="4:15" x14ac:dyDescent="0.25">
      <c r="D594" s="3">
        <v>45261</v>
      </c>
      <c r="E594" s="2">
        <v>5.7854969163301399E-2</v>
      </c>
      <c r="F594" s="2">
        <v>5.7872379828003299E-2</v>
      </c>
      <c r="G594" s="2">
        <v>5.7863675000000003E-2</v>
      </c>
      <c r="H594" s="2">
        <v>0.203923487907337</v>
      </c>
      <c r="I594" s="2">
        <v>0.204023340270127</v>
      </c>
      <c r="J594" s="2">
        <v>0.20397340999999999</v>
      </c>
      <c r="K594">
        <f t="shared" si="45"/>
        <v>5.1788786869926273E-3</v>
      </c>
      <c r="L594">
        <f t="shared" si="46"/>
        <v>6.0478261527912025E-3</v>
      </c>
      <c r="M594" s="1">
        <f t="shared" si="47"/>
        <v>5.6335490172584931E-3</v>
      </c>
      <c r="N594" s="1">
        <f t="shared" si="48"/>
        <v>3.0089109794530184E-4</v>
      </c>
      <c r="O594" s="1">
        <f t="shared" si="49"/>
        <v>4.8953617429842384E-4</v>
      </c>
    </row>
    <row r="595" spans="4:15" x14ac:dyDescent="0.25">
      <c r="D595" s="5">
        <v>45260</v>
      </c>
      <c r="E595" s="4">
        <v>5.7559588564060897E-2</v>
      </c>
      <c r="F595" s="4">
        <v>5.7571518218506902E-2</v>
      </c>
      <c r="G595" s="4">
        <v>5.756555E-2</v>
      </c>
      <c r="H595" s="4">
        <v>0.20268352993635699</v>
      </c>
      <c r="I595" s="4">
        <v>0.202810959904273</v>
      </c>
      <c r="J595" s="4">
        <v>0.20274723</v>
      </c>
      <c r="K595">
        <f t="shared" si="45"/>
        <v>-1.0419385809891657E-2</v>
      </c>
      <c r="L595">
        <f t="shared" si="46"/>
        <v>-9.1033247371363757E-3</v>
      </c>
      <c r="M595" s="1">
        <f t="shared" si="47"/>
        <v>-9.7307665939419547E-3</v>
      </c>
      <c r="N595" s="1">
        <f t="shared" si="48"/>
        <v>2.0723600219237258E-4</v>
      </c>
      <c r="O595" s="1">
        <f t="shared" si="49"/>
        <v>6.2851644343555062E-4</v>
      </c>
    </row>
    <row r="596" spans="4:15" x14ac:dyDescent="0.25">
      <c r="D596" s="3">
        <v>45259</v>
      </c>
      <c r="E596" s="2">
        <v>5.8164559170805999E-2</v>
      </c>
      <c r="F596" s="2">
        <v>5.8178771729771199E-2</v>
      </c>
      <c r="G596" s="2">
        <v>5.8171662999999998E-2</v>
      </c>
      <c r="H596" s="2">
        <v>0.204553357743367</v>
      </c>
      <c r="I596" s="2">
        <v>0.204666393778142</v>
      </c>
      <c r="J596" s="2">
        <v>0.20460986</v>
      </c>
      <c r="K596">
        <f t="shared" si="45"/>
        <v>-1.8905200772123543E-3</v>
      </c>
      <c r="L596">
        <f t="shared" si="46"/>
        <v>-4.2251717020466151E-3</v>
      </c>
      <c r="M596" s="1">
        <f t="shared" si="47"/>
        <v>-3.1121092607927503E-3</v>
      </c>
      <c r="N596" s="1">
        <f t="shared" si="48"/>
        <v>2.4432100153643659E-4</v>
      </c>
      <c r="O596" s="1">
        <f t="shared" si="49"/>
        <v>5.5244666496032612E-4</v>
      </c>
    </row>
    <row r="597" spans="4:15" x14ac:dyDescent="0.25">
      <c r="D597" s="5">
        <v>45258</v>
      </c>
      <c r="E597" s="4">
        <v>5.82750582750583E-2</v>
      </c>
      <c r="F597" s="4">
        <v>5.8288645371881602E-2</v>
      </c>
      <c r="G597" s="4">
        <v>5.8281845999999998E-2</v>
      </c>
      <c r="H597" s="4">
        <v>0.20542739168840801</v>
      </c>
      <c r="I597" s="4">
        <v>0.205528722638989</v>
      </c>
      <c r="J597" s="4">
        <v>0.20547804</v>
      </c>
      <c r="K597">
        <f t="shared" si="45"/>
        <v>-8.45191677784074E-4</v>
      </c>
      <c r="L597">
        <f t="shared" si="46"/>
        <v>9.9553905900142681E-3</v>
      </c>
      <c r="M597" s="1">
        <f t="shared" si="47"/>
        <v>4.8061330570783826E-3</v>
      </c>
      <c r="N597" s="1">
        <f t="shared" si="48"/>
        <v>2.3312742742056904E-4</v>
      </c>
      <c r="O597" s="1">
        <f t="shared" si="49"/>
        <v>4.9314734840270825E-4</v>
      </c>
    </row>
    <row r="598" spans="4:15" x14ac:dyDescent="0.25">
      <c r="D598" s="3">
        <v>45257</v>
      </c>
      <c r="E598" s="2">
        <v>5.8324341663993501E-2</v>
      </c>
      <c r="F598" s="2">
        <v>5.8337951754513902E-2</v>
      </c>
      <c r="G598" s="2">
        <v>5.8331147E-2</v>
      </c>
      <c r="H598" s="2">
        <v>0.20336363451487599</v>
      </c>
      <c r="I598" s="2">
        <v>0.20354162426216199</v>
      </c>
      <c r="J598" s="2">
        <v>0.20345258999999999</v>
      </c>
      <c r="K598">
        <f t="shared" si="45"/>
        <v>-1.0207609938217566E-3</v>
      </c>
      <c r="L598">
        <f t="shared" si="46"/>
        <v>-2.4210288637184219E-3</v>
      </c>
      <c r="M598" s="1">
        <f t="shared" si="47"/>
        <v>-1.7534407931482884E-3</v>
      </c>
      <c r="N598" s="1">
        <f t="shared" si="48"/>
        <v>2.3332458249793902E-4</v>
      </c>
      <c r="O598" s="1">
        <f t="shared" si="49"/>
        <v>8.7484630835124968E-4</v>
      </c>
    </row>
    <row r="599" spans="4:15" x14ac:dyDescent="0.25">
      <c r="D599" s="5">
        <v>45254</v>
      </c>
      <c r="E599" s="4">
        <v>5.8383932741709499E-2</v>
      </c>
      <c r="F599" s="4">
        <v>5.8397570661060501E-2</v>
      </c>
      <c r="G599" s="4">
        <v>5.8390749999999998E-2</v>
      </c>
      <c r="H599" s="4">
        <v>0.20391101323382499</v>
      </c>
      <c r="I599" s="4">
        <v>0.203981723237598</v>
      </c>
      <c r="J599" s="4">
        <v>0.20394635</v>
      </c>
      <c r="K599">
        <f t="shared" si="45"/>
        <v>2.7443484343994129E-3</v>
      </c>
      <c r="L599">
        <f t="shared" si="46"/>
        <v>-2.1108949373505048E-3</v>
      </c>
      <c r="M599" s="1">
        <f t="shared" si="47"/>
        <v>2.0387827453084207E-4</v>
      </c>
      <c r="N599" s="1">
        <f t="shared" si="48"/>
        <v>2.3356301042548602E-4</v>
      </c>
      <c r="O599" s="1">
        <f t="shared" si="49"/>
        <v>3.4670884658152151E-4</v>
      </c>
    </row>
    <row r="600" spans="4:15" x14ac:dyDescent="0.25">
      <c r="D600" s="3">
        <v>45253</v>
      </c>
      <c r="E600" s="2">
        <v>5.8221112139684103E-2</v>
      </c>
      <c r="F600" s="2">
        <v>5.8240779028660303E-2</v>
      </c>
      <c r="G600" s="2">
        <v>5.8230944E-2</v>
      </c>
      <c r="H600" s="2">
        <v>0.20431513566525</v>
      </c>
      <c r="I600" s="2">
        <v>0.204440446497935</v>
      </c>
      <c r="J600" s="2">
        <v>0.20437776999999999</v>
      </c>
      <c r="K600">
        <f t="shared" si="45"/>
        <v>-4.3634688873583904E-5</v>
      </c>
      <c r="L600">
        <f t="shared" si="46"/>
        <v>1.8390899998665944E-4</v>
      </c>
      <c r="M600" s="1">
        <f t="shared" si="47"/>
        <v>7.5425862236858278E-5</v>
      </c>
      <c r="N600" s="1">
        <f t="shared" si="48"/>
        <v>3.3773948394516366E-4</v>
      </c>
      <c r="O600" s="1">
        <f t="shared" si="49"/>
        <v>6.1313337886500022E-4</v>
      </c>
    </row>
    <row r="601" spans="4:15" x14ac:dyDescent="0.25">
      <c r="D601" s="5">
        <v>45252</v>
      </c>
      <c r="E601" s="4">
        <v>5.8227214235389298E-2</v>
      </c>
      <c r="F601" s="4">
        <v>5.8239761449937102E-2</v>
      </c>
      <c r="G601" s="4">
        <v>5.8233485000000001E-2</v>
      </c>
      <c r="H601" s="4">
        <v>0.20431096128307299</v>
      </c>
      <c r="I601" s="4">
        <v>0.20436941816026699</v>
      </c>
      <c r="J601" s="4">
        <v>0.20434019</v>
      </c>
      <c r="K601">
        <f t="shared" si="45"/>
        <v>2.7223582838877824E-3</v>
      </c>
      <c r="L601">
        <f t="shared" si="46"/>
        <v>-6.5382434176919357E-4</v>
      </c>
      <c r="M601" s="1">
        <f t="shared" si="47"/>
        <v>9.5579571265730465E-4</v>
      </c>
      <c r="N601" s="1">
        <f t="shared" si="48"/>
        <v>2.154639130356834E-4</v>
      </c>
      <c r="O601" s="1">
        <f t="shared" si="49"/>
        <v>2.8607625936922338E-4</v>
      </c>
    </row>
    <row r="602" spans="4:15" x14ac:dyDescent="0.25">
      <c r="D602" s="3">
        <v>45251</v>
      </c>
      <c r="E602" s="2">
        <v>5.8066614019603301E-2</v>
      </c>
      <c r="F602" s="2">
        <v>5.8084152319880997E-2</v>
      </c>
      <c r="G602" s="2">
        <v>5.8075383000000001E-2</v>
      </c>
      <c r="H602" s="2">
        <v>0.204386126269749</v>
      </c>
      <c r="I602" s="2">
        <v>0.20456172650097201</v>
      </c>
      <c r="J602" s="2">
        <v>0.20447388</v>
      </c>
      <c r="K602">
        <f t="shared" si="45"/>
        <v>-3.4264572185768172E-3</v>
      </c>
      <c r="L602">
        <f t="shared" si="46"/>
        <v>-5.4799461635707258E-3</v>
      </c>
      <c r="M602" s="1">
        <f t="shared" si="47"/>
        <v>-4.5009301108587911E-3</v>
      </c>
      <c r="N602" s="1">
        <f t="shared" si="48"/>
        <v>3.0199198647895336E-4</v>
      </c>
      <c r="O602" s="1">
        <f t="shared" si="49"/>
        <v>8.5879052729380856E-4</v>
      </c>
    </row>
    <row r="603" spans="4:15" x14ac:dyDescent="0.25">
      <c r="D603" s="5">
        <v>45250</v>
      </c>
      <c r="E603" s="4">
        <v>5.8268267101736403E-2</v>
      </c>
      <c r="F603" s="4">
        <v>5.8281851031588797E-2</v>
      </c>
      <c r="G603" s="4">
        <v>5.8275059999999997E-2</v>
      </c>
      <c r="H603" s="4">
        <v>0.205511827205656</v>
      </c>
      <c r="I603" s="4">
        <v>0.205689367916572</v>
      </c>
      <c r="J603" s="4">
        <v>0.20560055999999999</v>
      </c>
      <c r="K603">
        <f t="shared" si="45"/>
        <v>3.0885801439064497E-3</v>
      </c>
      <c r="L603">
        <f t="shared" si="46"/>
        <v>6.0343301429670593E-3</v>
      </c>
      <c r="M603" s="1">
        <f t="shared" si="47"/>
        <v>4.6299220289681507E-3</v>
      </c>
      <c r="N603" s="1">
        <f t="shared" si="48"/>
        <v>2.3310022936731494E-4</v>
      </c>
      <c r="O603" s="1">
        <f t="shared" si="49"/>
        <v>8.6352250653401214E-4</v>
      </c>
    </row>
    <row r="604" spans="4:15" x14ac:dyDescent="0.25">
      <c r="D604" s="3">
        <v>45247</v>
      </c>
      <c r="E604" s="2">
        <v>5.8090563188010098E-2</v>
      </c>
      <c r="F604" s="2">
        <v>5.8100688493158602E-2</v>
      </c>
      <c r="G604" s="2">
        <v>5.8095626999999997E-2</v>
      </c>
      <c r="H604" s="2">
        <v>0.204336010135066</v>
      </c>
      <c r="I604" s="2">
        <v>0.20439865914479599</v>
      </c>
      <c r="J604" s="2">
        <v>0.20436734000000001</v>
      </c>
      <c r="K604">
        <f t="shared" si="45"/>
        <v>2.5562622220547393E-3</v>
      </c>
      <c r="L604">
        <f t="shared" si="46"/>
        <v>-7.6432903902132754E-3</v>
      </c>
      <c r="M604" s="1">
        <f t="shared" si="47"/>
        <v>-2.7805781938639767E-3</v>
      </c>
      <c r="N604" s="1">
        <f t="shared" si="48"/>
        <v>1.742868727194115E-4</v>
      </c>
      <c r="O604" s="1">
        <f t="shared" si="49"/>
        <v>3.0655098671829138E-4</v>
      </c>
    </row>
    <row r="605" spans="4:15" x14ac:dyDescent="0.25">
      <c r="D605" s="5">
        <v>45246</v>
      </c>
      <c r="E605" s="4">
        <v>5.7942463134107801E-2</v>
      </c>
      <c r="F605" s="4">
        <v>5.7952536872301598E-2</v>
      </c>
      <c r="G605" s="4">
        <v>5.7947498E-2</v>
      </c>
      <c r="H605" s="4">
        <v>0.20590536589383501</v>
      </c>
      <c r="I605" s="4">
        <v>0.205977466065212</v>
      </c>
      <c r="J605" s="4">
        <v>0.20594140999999999</v>
      </c>
      <c r="K605">
        <f t="shared" si="45"/>
        <v>2.9842970360232091E-3</v>
      </c>
      <c r="L605">
        <f t="shared" si="46"/>
        <v>1.9769862145666561E-3</v>
      </c>
      <c r="M605" s="1">
        <f t="shared" si="47"/>
        <v>2.4572291039576849E-3</v>
      </c>
      <c r="N605" s="1">
        <f t="shared" si="48"/>
        <v>1.7384250470653777E-4</v>
      </c>
      <c r="O605" s="1">
        <f t="shared" si="49"/>
        <v>3.5010040660102086E-4</v>
      </c>
    </row>
    <row r="606" spans="4:15" x14ac:dyDescent="0.25">
      <c r="D606" s="3">
        <v>45245</v>
      </c>
      <c r="E606" s="2">
        <v>5.7769407632494101E-2</v>
      </c>
      <c r="F606" s="2">
        <v>5.7780756696789698E-2</v>
      </c>
      <c r="G606" s="2">
        <v>5.7775079999999999E-2</v>
      </c>
      <c r="H606" s="2">
        <v>0.205482266880368</v>
      </c>
      <c r="I606" s="2">
        <v>0.20558787853868099</v>
      </c>
      <c r="J606" s="2">
        <v>0.20553506999999999</v>
      </c>
      <c r="K606">
        <f t="shared" si="45"/>
        <v>4.5642537533268079E-3</v>
      </c>
      <c r="L606">
        <f t="shared" si="46"/>
        <v>4.9339516868962541E-4</v>
      </c>
      <c r="M606" s="1">
        <f t="shared" si="47"/>
        <v>2.4342071279630701E-3</v>
      </c>
      <c r="N606" s="1">
        <f t="shared" si="48"/>
        <v>1.9643528482517721E-4</v>
      </c>
      <c r="O606" s="1">
        <f t="shared" si="49"/>
        <v>5.1383765462990286E-4</v>
      </c>
    </row>
    <row r="607" spans="4:15" x14ac:dyDescent="0.25">
      <c r="D607" s="5">
        <v>45244</v>
      </c>
      <c r="E607" s="4">
        <v>5.75059662439978E-2</v>
      </c>
      <c r="F607" s="4">
        <v>5.7519197032009403E-2</v>
      </c>
      <c r="G607" s="4">
        <v>5.7512578000000002E-2</v>
      </c>
      <c r="H607" s="4">
        <v>0.20537676367295801</v>
      </c>
      <c r="I607" s="4">
        <v>0.20549071181982601</v>
      </c>
      <c r="J607" s="4">
        <v>0.20543370999999999</v>
      </c>
      <c r="K607">
        <f t="shared" si="45"/>
        <v>1.2667121322260444E-2</v>
      </c>
      <c r="L607">
        <f t="shared" si="46"/>
        <v>9.6348277277487071E-3</v>
      </c>
      <c r="M607" s="1">
        <f t="shared" si="47"/>
        <v>1.1080496141401341E-2</v>
      </c>
      <c r="N607" s="1">
        <f t="shared" si="48"/>
        <v>2.3005033806002191E-4</v>
      </c>
      <c r="O607" s="1">
        <f t="shared" si="49"/>
        <v>5.5467112416941018E-4</v>
      </c>
    </row>
    <row r="608" spans="4:15" x14ac:dyDescent="0.25">
      <c r="D608" s="3">
        <v>45243</v>
      </c>
      <c r="E608" s="2">
        <v>5.6786562027961701E-2</v>
      </c>
      <c r="F608" s="2">
        <v>5.6799786432803E-2</v>
      </c>
      <c r="G608" s="2">
        <v>5.6793172000000003E-2</v>
      </c>
      <c r="H608" s="2">
        <v>0.20343810395687101</v>
      </c>
      <c r="I608" s="2">
        <v>0.20350848630387899</v>
      </c>
      <c r="J608" s="2">
        <v>0.20347328000000001</v>
      </c>
      <c r="K608">
        <f t="shared" si="45"/>
        <v>9.9530569664045832E-3</v>
      </c>
      <c r="L608">
        <f t="shared" si="46"/>
        <v>7.8332030422689769E-4</v>
      </c>
      <c r="M608" s="1">
        <f t="shared" si="47"/>
        <v>5.1550601245451107E-3</v>
      </c>
      <c r="N608" s="1">
        <f t="shared" si="48"/>
        <v>2.3285202033263E-4</v>
      </c>
      <c r="O608" s="1">
        <f t="shared" si="49"/>
        <v>3.4590461709756496E-4</v>
      </c>
    </row>
    <row r="609" spans="4:15" x14ac:dyDescent="0.25">
      <c r="D609" s="5">
        <v>45240</v>
      </c>
      <c r="E609" s="4">
        <v>5.6225577014984103E-2</v>
      </c>
      <c r="F609" s="4">
        <v>5.6241388037456798E-2</v>
      </c>
      <c r="G609" s="4">
        <v>5.6233476999999997E-2</v>
      </c>
      <c r="H609" s="4">
        <v>0.20326442669268499</v>
      </c>
      <c r="I609" s="4">
        <v>0.20336363451487599</v>
      </c>
      <c r="J609" s="4">
        <v>0.20331402000000001</v>
      </c>
      <c r="K609">
        <f t="shared" si="45"/>
        <v>-1.6673290552960296E-2</v>
      </c>
      <c r="L609">
        <f t="shared" si="46"/>
        <v>-4.3305939049840259E-3</v>
      </c>
      <c r="M609" s="1">
        <f t="shared" si="47"/>
        <v>-1.0215065882094376E-2</v>
      </c>
      <c r="N609" s="1">
        <f t="shared" si="48"/>
        <v>2.8116743470610643E-4</v>
      </c>
      <c r="O609" s="1">
        <f t="shared" si="49"/>
        <v>4.8795366985021383E-4</v>
      </c>
    </row>
    <row r="610" spans="4:15" x14ac:dyDescent="0.25">
      <c r="D610" s="3">
        <v>45239</v>
      </c>
      <c r="E610" s="2">
        <v>5.71820677035682E-2</v>
      </c>
      <c r="F610" s="2">
        <v>5.7191878753216997E-2</v>
      </c>
      <c r="G610" s="2">
        <v>5.7186972000000003E-2</v>
      </c>
      <c r="H610" s="2">
        <v>0.20411079133753801</v>
      </c>
      <c r="I610" s="2">
        <v>0.204285918571633</v>
      </c>
      <c r="J610" s="2">
        <v>0.20419831999999999</v>
      </c>
      <c r="K610">
        <f t="shared" si="45"/>
        <v>-3.4319463635357206E-4</v>
      </c>
      <c r="L610">
        <f t="shared" si="46"/>
        <v>-2.3074151644071339E-3</v>
      </c>
      <c r="M610" s="1">
        <f t="shared" si="47"/>
        <v>-1.370958490160731E-3</v>
      </c>
      <c r="N610" s="1">
        <f t="shared" si="48"/>
        <v>1.7156092210647943E-4</v>
      </c>
      <c r="O610" s="1">
        <f t="shared" si="49"/>
        <v>8.5763307991461703E-4</v>
      </c>
    </row>
    <row r="611" spans="4:15" x14ac:dyDescent="0.25">
      <c r="D611" s="5">
        <v>45238</v>
      </c>
      <c r="E611" s="4">
        <v>5.72016931701178E-2</v>
      </c>
      <c r="F611" s="4">
        <v>5.7211510956004401E-2</v>
      </c>
      <c r="G611" s="4">
        <v>5.7206605000000001E-2</v>
      </c>
      <c r="H611" s="4">
        <v>0.20457846607066099</v>
      </c>
      <c r="I611" s="4">
        <v>0.20476278231668599</v>
      </c>
      <c r="J611" s="4">
        <v>0.20467057999999999</v>
      </c>
      <c r="K611">
        <f t="shared" si="45"/>
        <v>2.202453511277902E-3</v>
      </c>
      <c r="L611">
        <f t="shared" si="46"/>
        <v>-3.5612106324542925E-3</v>
      </c>
      <c r="M611" s="1">
        <f t="shared" si="47"/>
        <v>-8.1334109416917461E-4</v>
      </c>
      <c r="N611" s="1">
        <f t="shared" si="48"/>
        <v>1.7161979611621933E-4</v>
      </c>
      <c r="O611" s="1">
        <f t="shared" si="49"/>
        <v>9.0055075832098518E-4</v>
      </c>
    </row>
    <row r="612" spans="4:15" x14ac:dyDescent="0.25">
      <c r="D612" s="3">
        <v>45237</v>
      </c>
      <c r="E612" s="2">
        <v>5.7074367901375503E-2</v>
      </c>
      <c r="F612" s="2">
        <v>5.7087400810641099E-2</v>
      </c>
      <c r="G612" s="2">
        <v>5.7080886999999997E-2</v>
      </c>
      <c r="H612" s="2">
        <v>0.205359893212856</v>
      </c>
      <c r="I612" s="2">
        <v>0.20544427324088299</v>
      </c>
      <c r="J612" s="2">
        <v>0.20540206</v>
      </c>
      <c r="K612">
        <f t="shared" si="45"/>
        <v>1.5411879167721576E-3</v>
      </c>
      <c r="L612">
        <f t="shared" si="46"/>
        <v>4.9911450110371458E-3</v>
      </c>
      <c r="M612" s="1">
        <f t="shared" si="47"/>
        <v>3.3463524326856394E-3</v>
      </c>
      <c r="N612" s="1">
        <f t="shared" si="48"/>
        <v>2.2832352387229846E-4</v>
      </c>
      <c r="O612" s="1">
        <f t="shared" si="49"/>
        <v>4.1080419557132196E-4</v>
      </c>
    </row>
    <row r="613" spans="4:15" x14ac:dyDescent="0.25">
      <c r="D613" s="5">
        <v>45236</v>
      </c>
      <c r="E613" s="4">
        <v>5.6987200674728497E-2</v>
      </c>
      <c r="F613" s="4">
        <v>5.6998894221452101E-2</v>
      </c>
      <c r="G613" s="4">
        <v>5.6993050000000003E-2</v>
      </c>
      <c r="H613" s="4">
        <v>0.20432348494135899</v>
      </c>
      <c r="I613" s="4">
        <v>0.204440446497935</v>
      </c>
      <c r="J613" s="4">
        <v>0.20438196</v>
      </c>
      <c r="K613">
        <f t="shared" si="45"/>
        <v>-9.7458107139803962E-3</v>
      </c>
      <c r="L613">
        <f t="shared" si="46"/>
        <v>-7.6640745576195268E-4</v>
      </c>
      <c r="M613" s="1">
        <f t="shared" si="47"/>
        <v>-5.0474044170559333E-3</v>
      </c>
      <c r="N613" s="1">
        <f t="shared" si="48"/>
        <v>2.0517495946618068E-4</v>
      </c>
      <c r="O613" s="1">
        <f t="shared" si="49"/>
        <v>5.7226947317662606E-4</v>
      </c>
    </row>
    <row r="614" spans="4:15" x14ac:dyDescent="0.25">
      <c r="D614" s="3">
        <v>45233</v>
      </c>
      <c r="E614" s="2">
        <v>5.7547001513486101E-2</v>
      </c>
      <c r="F614" s="2">
        <v>5.7560913837068101E-2</v>
      </c>
      <c r="G614" s="2">
        <v>5.7553960000000001E-2</v>
      </c>
      <c r="H614" s="2">
        <v>0.20445298603586101</v>
      </c>
      <c r="I614" s="2">
        <v>0.204624514016779</v>
      </c>
      <c r="J614" s="2">
        <v>0.20453872000000001</v>
      </c>
      <c r="K614">
        <f t="shared" si="45"/>
        <v>1.2762676813469209E-2</v>
      </c>
      <c r="L614">
        <f t="shared" si="46"/>
        <v>1.4788196987825408E-2</v>
      </c>
      <c r="M614" s="1">
        <f t="shared" si="47"/>
        <v>1.3822515253516155E-2</v>
      </c>
      <c r="N614" s="1">
        <f t="shared" si="48"/>
        <v>2.4172660894227507E-4</v>
      </c>
      <c r="O614" s="1">
        <f t="shared" si="49"/>
        <v>8.3860885077402644E-4</v>
      </c>
    </row>
    <row r="615" spans="4:15" x14ac:dyDescent="0.25">
      <c r="D615" s="5">
        <v>45232</v>
      </c>
      <c r="E615" s="4">
        <v>5.68210874419715E-2</v>
      </c>
      <c r="F615" s="4">
        <v>5.6836266084663301E-2</v>
      </c>
      <c r="G615" s="4">
        <v>5.6828674000000003E-2</v>
      </c>
      <c r="H615" s="4">
        <v>0.201474795503083</v>
      </c>
      <c r="I615" s="4">
        <v>0.20164136067590199</v>
      </c>
      <c r="J615" s="4">
        <v>0.20155803999999999</v>
      </c>
      <c r="K615">
        <f t="shared" si="45"/>
        <v>2.0245130249008092E-2</v>
      </c>
      <c r="L615">
        <f t="shared" si="46"/>
        <v>1.1206662831040992E-2</v>
      </c>
      <c r="M615" s="1">
        <f t="shared" si="47"/>
        <v>1.5515819067638034E-2</v>
      </c>
      <c r="N615" s="1">
        <f t="shared" si="48"/>
        <v>2.6709478901091715E-4</v>
      </c>
      <c r="O615" s="1">
        <f t="shared" si="49"/>
        <v>8.2638813524376774E-4</v>
      </c>
    </row>
    <row r="616" spans="4:15" x14ac:dyDescent="0.25">
      <c r="D616" s="3">
        <v>45231</v>
      </c>
      <c r="E616" s="2">
        <v>5.5692311119526799E-2</v>
      </c>
      <c r="F616" s="2">
        <v>5.57096856859534E-2</v>
      </c>
      <c r="G616" s="2">
        <v>5.5701000000000001E-2</v>
      </c>
      <c r="H616" s="2">
        <v>0.19927066935017801</v>
      </c>
      <c r="I616" s="2">
        <v>0.19937794082462701</v>
      </c>
      <c r="J616" s="2">
        <v>0.19932427999999999</v>
      </c>
      <c r="K616">
        <f t="shared" si="45"/>
        <v>5.5701629400610742E-3</v>
      </c>
      <c r="L616">
        <f t="shared" si="46"/>
        <v>5.1924245056536034E-3</v>
      </c>
      <c r="M616" s="1">
        <f t="shared" si="47"/>
        <v>5.3725140999573524E-3</v>
      </c>
      <c r="N616" s="1">
        <f t="shared" si="48"/>
        <v>3.1192557452470554E-4</v>
      </c>
      <c r="O616" s="1">
        <f t="shared" si="49"/>
        <v>5.381756525045518E-4</v>
      </c>
    </row>
    <row r="617" spans="4:15" x14ac:dyDescent="0.25">
      <c r="D617" s="5">
        <v>45230</v>
      </c>
      <c r="E617" s="4">
        <v>5.5387239887674702E-2</v>
      </c>
      <c r="F617" s="4">
        <v>5.5397672189814597E-2</v>
      </c>
      <c r="G617" s="4">
        <v>5.5392455E-2</v>
      </c>
      <c r="H617" s="4">
        <v>0.198255352894528</v>
      </c>
      <c r="I617" s="4">
        <v>0.19833399444664801</v>
      </c>
      <c r="J617" s="4">
        <v>0.19829464999999999</v>
      </c>
      <c r="K617">
        <f t="shared" si="45"/>
        <v>-1.4401590817939569E-3</v>
      </c>
      <c r="L617">
        <f t="shared" si="46"/>
        <v>-5.9497199524027877E-4</v>
      </c>
      <c r="M617" s="1">
        <f t="shared" si="47"/>
        <v>-9.9792119411377771E-4</v>
      </c>
      <c r="N617" s="1">
        <f t="shared" si="48"/>
        <v>1.8833435239319429E-4</v>
      </c>
      <c r="O617" s="1">
        <f t="shared" si="49"/>
        <v>3.9658937908817403E-4</v>
      </c>
    </row>
    <row r="618" spans="4:15" x14ac:dyDescent="0.25">
      <c r="D618" s="3">
        <v>45229</v>
      </c>
      <c r="E618" s="2">
        <v>5.5465885706995899E-2</v>
      </c>
      <c r="F618" s="2">
        <v>5.5478809868570698E-2</v>
      </c>
      <c r="G618" s="2">
        <v>5.5472344E-2</v>
      </c>
      <c r="H618" s="2">
        <v>0.19837333862328899</v>
      </c>
      <c r="I618" s="2">
        <v>0.19845207382417099</v>
      </c>
      <c r="J618" s="2">
        <v>0.1984127</v>
      </c>
      <c r="K618">
        <f t="shared" si="45"/>
        <v>2.634864415767213E-3</v>
      </c>
      <c r="L618">
        <f t="shared" si="46"/>
        <v>-1.7807485659496414E-2</v>
      </c>
      <c r="M618" s="1">
        <f t="shared" si="47"/>
        <v>-8.0614439641516732E-3</v>
      </c>
      <c r="N618" s="1">
        <f t="shared" si="48"/>
        <v>2.3298387345592684E-4</v>
      </c>
      <c r="O618" s="1">
        <f t="shared" si="49"/>
        <v>3.9682540927068642E-4</v>
      </c>
    </row>
    <row r="619" spans="4:15" x14ac:dyDescent="0.25">
      <c r="D619" s="5">
        <v>45226</v>
      </c>
      <c r="E619" s="4">
        <v>5.5317689490745399E-2</v>
      </c>
      <c r="F619" s="4">
        <v>5.5335443458243899E-2</v>
      </c>
      <c r="G619" s="4">
        <v>5.5326566000000001E-2</v>
      </c>
      <c r="H619" s="4">
        <v>0.201922300298845</v>
      </c>
      <c r="I619" s="4">
        <v>0.20209777490349801</v>
      </c>
      <c r="J619" s="4">
        <v>0.20200999</v>
      </c>
      <c r="K619">
        <f t="shared" si="45"/>
        <v>6.9157731562050628E-3</v>
      </c>
      <c r="L619">
        <f t="shared" si="46"/>
        <v>1.0464088706756414E-2</v>
      </c>
      <c r="M619" s="1">
        <f t="shared" si="47"/>
        <v>8.772403006404389E-3</v>
      </c>
      <c r="N619" s="1">
        <f t="shared" si="48"/>
        <v>3.2089408004285462E-4</v>
      </c>
      <c r="O619" s="1">
        <f t="shared" si="49"/>
        <v>8.6864320251193083E-4</v>
      </c>
    </row>
    <row r="620" spans="4:15" x14ac:dyDescent="0.25">
      <c r="D620" s="3">
        <v>45225</v>
      </c>
      <c r="E620" s="2">
        <v>5.4940526879652798E-2</v>
      </c>
      <c r="F620" s="2">
        <v>5.4952603379585102E-2</v>
      </c>
      <c r="G620" s="2">
        <v>5.4946568000000001E-2</v>
      </c>
      <c r="H620" s="2">
        <v>0.19986009793144799</v>
      </c>
      <c r="I620" s="2">
        <v>0.199976002879654</v>
      </c>
      <c r="J620" s="2">
        <v>0.19991803</v>
      </c>
      <c r="K620">
        <f t="shared" si="45"/>
        <v>6.9783283628808146E-3</v>
      </c>
      <c r="L620">
        <f t="shared" si="46"/>
        <v>-1.9994197781825207E-4</v>
      </c>
      <c r="M620" s="1">
        <f t="shared" si="47"/>
        <v>3.2223515345878736E-3</v>
      </c>
      <c r="N620" s="1">
        <f t="shared" si="48"/>
        <v>2.197862463821879E-4</v>
      </c>
      <c r="O620" s="1">
        <f t="shared" si="49"/>
        <v>5.7976235663193421E-4</v>
      </c>
    </row>
    <row r="621" spans="4:15" x14ac:dyDescent="0.25">
      <c r="D621" s="5">
        <v>45224</v>
      </c>
      <c r="E621" s="4">
        <v>5.4559540826904403E-2</v>
      </c>
      <c r="F621" s="4">
        <v>5.45720460151492E-2</v>
      </c>
      <c r="G621" s="4">
        <v>5.4565790000000003E-2</v>
      </c>
      <c r="H621" s="4">
        <v>0.199916035265189</v>
      </c>
      <c r="I621" s="4">
        <v>0.2</v>
      </c>
      <c r="J621" s="4">
        <v>0.19995800999999999</v>
      </c>
      <c r="K621">
        <f t="shared" si="45"/>
        <v>-4.6380840586609517E-3</v>
      </c>
      <c r="L621">
        <f t="shared" si="46"/>
        <v>-8.3982057710829672E-4</v>
      </c>
      <c r="M621" s="1">
        <f t="shared" si="47"/>
        <v>-2.6506708034680984E-3</v>
      </c>
      <c r="N621" s="1">
        <f t="shared" si="48"/>
        <v>2.2917634372741018E-4</v>
      </c>
      <c r="O621" s="1">
        <f t="shared" si="49"/>
        <v>4.1991183454471027E-4</v>
      </c>
    </row>
    <row r="622" spans="4:15" x14ac:dyDescent="0.25">
      <c r="D622" s="3">
        <v>45223</v>
      </c>
      <c r="E622" s="2">
        <v>5.4811339369888801E-2</v>
      </c>
      <c r="F622" s="2">
        <v>5.4828769752064299E-2</v>
      </c>
      <c r="G622" s="2">
        <v>5.4820050000000002E-2</v>
      </c>
      <c r="H622" s="2">
        <v>0.20008403529482399</v>
      </c>
      <c r="I622" s="2">
        <v>0.20016814123863999</v>
      </c>
      <c r="J622" s="2">
        <v>0.20012608000000001</v>
      </c>
      <c r="K622">
        <f t="shared" si="45"/>
        <v>-5.6053911303056703E-3</v>
      </c>
      <c r="L622">
        <f t="shared" si="46"/>
        <v>2.7917169876234826E-3</v>
      </c>
      <c r="M622" s="1">
        <f t="shared" si="47"/>
        <v>-1.2116664558820905E-3</v>
      </c>
      <c r="N622" s="1">
        <f t="shared" si="48"/>
        <v>3.1795633487197503E-4</v>
      </c>
      <c r="O622" s="1">
        <f t="shared" si="49"/>
        <v>4.2026478416005828E-4</v>
      </c>
    </row>
    <row r="623" spans="4:15" x14ac:dyDescent="0.25">
      <c r="D623" s="5">
        <v>45222</v>
      </c>
      <c r="E623" s="4">
        <v>5.5121625867476598E-2</v>
      </c>
      <c r="F623" s="4">
        <v>5.5136518018614099E-2</v>
      </c>
      <c r="G623" s="4">
        <v>5.5129070000000002E-2</v>
      </c>
      <c r="H623" s="4">
        <v>0.19952114924181999</v>
      </c>
      <c r="I623" s="4">
        <v>0.19961673586713499</v>
      </c>
      <c r="J623" s="4">
        <v>0.19956894</v>
      </c>
      <c r="K623">
        <f t="shared" si="45"/>
        <v>8.2830763808072749E-3</v>
      </c>
      <c r="L623">
        <f t="shared" si="46"/>
        <v>7.513810034905033E-3</v>
      </c>
      <c r="M623" s="1">
        <f t="shared" si="47"/>
        <v>7.8805634587719338E-3</v>
      </c>
      <c r="N623" s="1">
        <f t="shared" si="48"/>
        <v>2.7013245711383861E-4</v>
      </c>
      <c r="O623" s="1">
        <f t="shared" si="49"/>
        <v>4.7896544078954791E-4</v>
      </c>
    </row>
    <row r="624" spans="4:15" x14ac:dyDescent="0.25">
      <c r="D624" s="3">
        <v>45219</v>
      </c>
      <c r="E624" s="2">
        <v>5.4667213338800098E-2</v>
      </c>
      <c r="F624" s="2">
        <v>5.4685150247450298E-2</v>
      </c>
      <c r="G624" s="2">
        <v>5.4676183000000003E-2</v>
      </c>
      <c r="H624" s="2">
        <v>0.19805117642398801</v>
      </c>
      <c r="I624" s="2">
        <v>0.19811003031083499</v>
      </c>
      <c r="J624" s="2">
        <v>0.1980806</v>
      </c>
      <c r="K624">
        <f t="shared" si="45"/>
        <v>3.3626372501114332E-3</v>
      </c>
      <c r="L624">
        <f t="shared" si="46"/>
        <v>1.9510874535546563E-3</v>
      </c>
      <c r="M624" s="1">
        <f t="shared" si="47"/>
        <v>2.6240542661592637E-3</v>
      </c>
      <c r="N624" s="1">
        <f t="shared" si="48"/>
        <v>3.2805707469008705E-4</v>
      </c>
      <c r="O624" s="1">
        <f t="shared" si="49"/>
        <v>2.9712090354624504E-4</v>
      </c>
    </row>
    <row r="625" spans="4:15" x14ac:dyDescent="0.25">
      <c r="D625" s="5">
        <v>45218</v>
      </c>
      <c r="E625" s="4">
        <v>5.4484036177399997E-2</v>
      </c>
      <c r="F625" s="4">
        <v>5.4501853063004098E-2</v>
      </c>
      <c r="G625" s="4">
        <v>5.4492943000000002E-2</v>
      </c>
      <c r="H625" s="4">
        <v>0.19767143054814301</v>
      </c>
      <c r="I625" s="4">
        <v>0.19771833046641801</v>
      </c>
      <c r="J625" s="4">
        <v>0.19769487999999999</v>
      </c>
      <c r="K625">
        <f t="shared" si="45"/>
        <v>-3.4194819597395121E-3</v>
      </c>
      <c r="L625">
        <f t="shared" si="46"/>
        <v>1.9373825119437527E-3</v>
      </c>
      <c r="M625" s="1">
        <f t="shared" si="47"/>
        <v>-6.1654227190538046E-4</v>
      </c>
      <c r="N625" s="1">
        <f t="shared" si="48"/>
        <v>3.26957668704016E-4</v>
      </c>
      <c r="O625" s="1">
        <f t="shared" si="49"/>
        <v>2.3723385388129794E-4</v>
      </c>
    </row>
    <row r="626" spans="4:15" x14ac:dyDescent="0.25">
      <c r="D626" s="3">
        <v>45217</v>
      </c>
      <c r="E626" s="2">
        <v>5.46713975649359E-2</v>
      </c>
      <c r="F626" s="2">
        <v>5.4688439957561799E-2</v>
      </c>
      <c r="G626" s="2">
        <v>5.467992E-2</v>
      </c>
      <c r="H626" s="2">
        <v>0.19728146146106701</v>
      </c>
      <c r="I626" s="2">
        <v>0.197343753083496</v>
      </c>
      <c r="J626" s="2">
        <v>0.19731261</v>
      </c>
      <c r="K626">
        <f t="shared" si="45"/>
        <v>-1.9315636271026504E-2</v>
      </c>
      <c r="L626">
        <f t="shared" si="46"/>
        <v>-8.8395513750982868E-3</v>
      </c>
      <c r="M626" s="1">
        <f t="shared" si="47"/>
        <v>-1.3834102384340356E-2</v>
      </c>
      <c r="N626" s="1">
        <f t="shared" si="48"/>
        <v>3.1167552231054662E-4</v>
      </c>
      <c r="O626" s="1">
        <f t="shared" si="49"/>
        <v>3.1570015940182098E-4</v>
      </c>
    </row>
    <row r="627" spans="4:15" x14ac:dyDescent="0.25">
      <c r="D627" s="5">
        <v>45216</v>
      </c>
      <c r="E627" s="4">
        <v>5.5749439718130803E-2</v>
      </c>
      <c r="F627" s="4">
        <v>5.5764362111461803E-2</v>
      </c>
      <c r="G627" s="4">
        <v>5.5756899999999998E-2</v>
      </c>
      <c r="H627" s="4">
        <v>0.19903270107278601</v>
      </c>
      <c r="I627" s="4">
        <v>0.19911196065547701</v>
      </c>
      <c r="J627" s="4">
        <v>0.19907232</v>
      </c>
      <c r="K627">
        <f t="shared" si="45"/>
        <v>2.481170968861246E-3</v>
      </c>
      <c r="L627">
        <f t="shared" si="46"/>
        <v>6.061771179736164E-3</v>
      </c>
      <c r="M627" s="1">
        <f t="shared" si="47"/>
        <v>4.3546935286311646E-3</v>
      </c>
      <c r="N627" s="1">
        <f t="shared" si="48"/>
        <v>2.6763312399004E-4</v>
      </c>
      <c r="O627" s="1">
        <f t="shared" si="49"/>
        <v>3.9814466768159807E-4</v>
      </c>
    </row>
    <row r="628" spans="4:15" x14ac:dyDescent="0.25">
      <c r="D628" s="3">
        <v>45215</v>
      </c>
      <c r="E628" s="2">
        <v>5.5611785249530102E-2</v>
      </c>
      <c r="F628" s="2">
        <v>5.5626015174776902E-2</v>
      </c>
      <c r="G628" s="2">
        <v>5.5618899999999999E-2</v>
      </c>
      <c r="H628" s="2">
        <v>0.19784742006964201</v>
      </c>
      <c r="I628" s="2">
        <v>0.197898319843265</v>
      </c>
      <c r="J628" s="2">
        <v>0.19787286000000001</v>
      </c>
      <c r="K628">
        <f t="shared" si="45"/>
        <v>-6.6734892862130302E-4</v>
      </c>
      <c r="L628">
        <f t="shared" si="46"/>
        <v>2.4733431665866501E-3</v>
      </c>
      <c r="M628" s="1">
        <f t="shared" si="47"/>
        <v>9.7599496545319481E-4</v>
      </c>
      <c r="N628" s="1">
        <f t="shared" si="48"/>
        <v>2.5584693776396756E-4</v>
      </c>
      <c r="O628" s="1">
        <f t="shared" si="49"/>
        <v>2.5723473963529985E-4</v>
      </c>
    </row>
    <row r="629" spans="4:15" x14ac:dyDescent="0.25">
      <c r="D629" s="5">
        <v>45212</v>
      </c>
      <c r="E629" s="4">
        <v>5.5648612401849797E-2</v>
      </c>
      <c r="F629" s="4">
        <v>5.5663480860112101E-2</v>
      </c>
      <c r="G629" s="4">
        <v>5.5656042000000003E-2</v>
      </c>
      <c r="H629" s="4">
        <v>0.19737101803971099</v>
      </c>
      <c r="I629" s="4">
        <v>0.19739829053080399</v>
      </c>
      <c r="J629" s="4">
        <v>0.19738465999999999</v>
      </c>
      <c r="K629">
        <f t="shared" si="45"/>
        <v>-9.462247002288704E-4</v>
      </c>
      <c r="L629">
        <f t="shared" si="46"/>
        <v>-3.404944303476376E-3</v>
      </c>
      <c r="M629" s="1">
        <f t="shared" si="47"/>
        <v>-2.2327315352678929E-3</v>
      </c>
      <c r="N629" s="1">
        <f t="shared" si="48"/>
        <v>2.671490412901499E-4</v>
      </c>
      <c r="O629" s="1">
        <f t="shared" si="49"/>
        <v>1.3816925334012511E-4</v>
      </c>
    </row>
    <row r="630" spans="4:15" x14ac:dyDescent="0.25">
      <c r="D630" s="3">
        <v>45211</v>
      </c>
      <c r="E630" s="2">
        <v>5.57000662830789E-2</v>
      </c>
      <c r="F630" s="2">
        <v>5.5717445689419803E-2</v>
      </c>
      <c r="G630" s="2">
        <v>5.5708754999999999E-2</v>
      </c>
      <c r="H630" s="2">
        <v>0.19802764465919401</v>
      </c>
      <c r="I630" s="2">
        <v>0.19809040846242201</v>
      </c>
      <c r="J630" s="2">
        <v>0.19805903999999999</v>
      </c>
      <c r="K630">
        <f t="shared" si="45"/>
        <v>-5.8493448523901925E-3</v>
      </c>
      <c r="L630">
        <f t="shared" si="46"/>
        <v>5.5458656425400044E-4</v>
      </c>
      <c r="M630" s="1">
        <f t="shared" si="47"/>
        <v>-2.4985351351080294E-3</v>
      </c>
      <c r="N630" s="1">
        <f t="shared" si="48"/>
        <v>3.1196903145480978E-4</v>
      </c>
      <c r="O630" s="1">
        <f t="shared" si="49"/>
        <v>3.1689441303969437E-4</v>
      </c>
    </row>
    <row r="631" spans="4:15" x14ac:dyDescent="0.25">
      <c r="D631" s="5">
        <v>45210</v>
      </c>
      <c r="E631" s="4">
        <v>5.6029314537366003E-2</v>
      </c>
      <c r="F631" s="4">
        <v>5.6043758967001402E-2</v>
      </c>
      <c r="G631" s="4">
        <v>5.6036532E-2</v>
      </c>
      <c r="H631" s="4">
        <v>0.197937491340235</v>
      </c>
      <c r="I631" s="4">
        <v>0.197961001682669</v>
      </c>
      <c r="J631" s="4">
        <v>0.19794925999999999</v>
      </c>
      <c r="K631">
        <f t="shared" si="45"/>
        <v>1.1095219397875056E-2</v>
      </c>
      <c r="L631">
        <f t="shared" si="46"/>
        <v>5.0676517906620422E-3</v>
      </c>
      <c r="M631" s="1">
        <f t="shared" si="47"/>
        <v>7.9413392583515784E-3</v>
      </c>
      <c r="N631" s="1">
        <f t="shared" si="48"/>
        <v>2.5776808663675058E-4</v>
      </c>
      <c r="O631" s="1">
        <f t="shared" si="49"/>
        <v>1.187695393961169E-4</v>
      </c>
    </row>
    <row r="632" spans="4:15" x14ac:dyDescent="0.25">
      <c r="D632" s="3">
        <v>45209</v>
      </c>
      <c r="E632" s="2">
        <v>5.5412406837890997E-2</v>
      </c>
      <c r="F632" s="2">
        <v>5.5430836174163702E-2</v>
      </c>
      <c r="G632" s="2">
        <v>5.5421616999999999E-2</v>
      </c>
      <c r="H632" s="2">
        <v>0.19692792437967699</v>
      </c>
      <c r="I632" s="2">
        <v>0.19697447210841501</v>
      </c>
      <c r="J632" s="2">
        <v>0.19695118</v>
      </c>
      <c r="K632">
        <f t="shared" si="45"/>
        <v>1.5836655005781353E-2</v>
      </c>
      <c r="L632">
        <f t="shared" si="46"/>
        <v>1.8542850660688837E-2</v>
      </c>
      <c r="M632" s="1">
        <f t="shared" si="47"/>
        <v>1.7252651853243307E-2</v>
      </c>
      <c r="N632" s="1">
        <f t="shared" si="48"/>
        <v>3.3252974688025591E-4</v>
      </c>
      <c r="O632" s="1">
        <f t="shared" si="49"/>
        <v>2.3634145648694394E-4</v>
      </c>
    </row>
    <row r="633" spans="4:15" x14ac:dyDescent="0.25">
      <c r="D633" s="5">
        <v>45208</v>
      </c>
      <c r="E633" s="4">
        <v>5.4550909636418198E-2</v>
      </c>
      <c r="F633" s="4">
        <v>5.4564304032302099E-2</v>
      </c>
      <c r="G633" s="4">
        <v>5.4557607000000001E-2</v>
      </c>
      <c r="H633" s="4">
        <v>0.19334506293381801</v>
      </c>
      <c r="I633" s="4">
        <v>0.193386192225875</v>
      </c>
      <c r="J633" s="4">
        <v>0.19336563000000001</v>
      </c>
      <c r="K633">
        <f t="shared" si="45"/>
        <v>-8.1851728764070764E-5</v>
      </c>
      <c r="L633">
        <f t="shared" si="46"/>
        <v>3.0262645590448667E-3</v>
      </c>
      <c r="M633" s="1">
        <f t="shared" si="47"/>
        <v>1.5444471151874303E-3</v>
      </c>
      <c r="N633" s="1">
        <f t="shared" si="48"/>
        <v>2.4550922631012676E-4</v>
      </c>
      <c r="O633" s="1">
        <f t="shared" si="49"/>
        <v>2.1270218526938092E-4</v>
      </c>
    </row>
    <row r="634" spans="4:15" x14ac:dyDescent="0.25">
      <c r="D634" s="3">
        <v>45205</v>
      </c>
      <c r="E634" s="2">
        <v>5.4553885600501902E-2</v>
      </c>
      <c r="F634" s="2">
        <v>5.4570259208731202E-2</v>
      </c>
      <c r="G634" s="2">
        <v>5.4562073000000003E-2</v>
      </c>
      <c r="H634" s="2">
        <v>0.19275993677474099</v>
      </c>
      <c r="I634" s="2">
        <v>0.19280453476265799</v>
      </c>
      <c r="J634" s="2">
        <v>0.19278222</v>
      </c>
      <c r="K634">
        <f t="shared" si="45"/>
        <v>-6.3427923744368009E-3</v>
      </c>
      <c r="L634">
        <f t="shared" si="46"/>
        <v>-2.1592201796920563E-3</v>
      </c>
      <c r="M634" s="1">
        <f t="shared" si="47"/>
        <v>-4.1537691867949665E-3</v>
      </c>
      <c r="N634" s="1">
        <f t="shared" si="48"/>
        <v>3.0009138819377958E-4</v>
      </c>
      <c r="O634" s="1">
        <f t="shared" si="49"/>
        <v>2.3133869875035951E-4</v>
      </c>
    </row>
    <row r="635" spans="4:15" x14ac:dyDescent="0.25">
      <c r="D635" s="5">
        <v>45204</v>
      </c>
      <c r="E635" s="4">
        <v>5.4902219147697898E-2</v>
      </c>
      <c r="F635" s="4">
        <v>5.49185009445982E-2</v>
      </c>
      <c r="G635" s="4">
        <v>5.4910357999999999E-2</v>
      </c>
      <c r="H635" s="4">
        <v>0.19316206297083299</v>
      </c>
      <c r="I635" s="4">
        <v>0.19323671497584499</v>
      </c>
      <c r="J635" s="4">
        <v>0.19319938</v>
      </c>
      <c r="K635">
        <f t="shared" si="45"/>
        <v>-5.9303444672391681E-3</v>
      </c>
      <c r="L635">
        <f t="shared" si="46"/>
        <v>-2.3571196016024532E-3</v>
      </c>
      <c r="M635" s="1">
        <f t="shared" si="47"/>
        <v>-4.060681002279078E-3</v>
      </c>
      <c r="N635" s="1">
        <f t="shared" si="48"/>
        <v>2.9651594878151452E-4</v>
      </c>
      <c r="O635" s="1">
        <f t="shared" si="49"/>
        <v>3.8639878146606475E-4</v>
      </c>
    </row>
    <row r="636" spans="4:15" x14ac:dyDescent="0.25">
      <c r="D636" s="3">
        <v>45203</v>
      </c>
      <c r="E636" s="2">
        <v>5.5231225525663202E-2</v>
      </c>
      <c r="F636" s="2">
        <v>5.52446509366731E-2</v>
      </c>
      <c r="G636" s="2">
        <v>5.5237938E-2</v>
      </c>
      <c r="H636" s="2">
        <v>0.19364083497928</v>
      </c>
      <c r="I636" s="2">
        <v>0.19367083704535801</v>
      </c>
      <c r="J636" s="2">
        <v>0.19365584999999999</v>
      </c>
      <c r="K636">
        <f t="shared" si="45"/>
        <v>-1.5521829444018254E-2</v>
      </c>
      <c r="L636">
        <f t="shared" si="46"/>
        <v>-6.6229293022610491E-3</v>
      </c>
      <c r="M636" s="1">
        <f t="shared" si="47"/>
        <v>-1.0865545806966241E-2</v>
      </c>
      <c r="N636" s="1">
        <f t="shared" si="48"/>
        <v>2.430469256455082E-4</v>
      </c>
      <c r="O636" s="1">
        <f t="shared" si="49"/>
        <v>1.5492465669384828E-4</v>
      </c>
    </row>
    <row r="637" spans="4:15" x14ac:dyDescent="0.25">
      <c r="D637" s="5">
        <v>45202</v>
      </c>
      <c r="E637" s="4">
        <v>5.6100352310212501E-2</v>
      </c>
      <c r="F637" s="4">
        <v>5.6117352607773403E-2</v>
      </c>
      <c r="G637" s="4">
        <v>5.6108850000000002E-2</v>
      </c>
      <c r="H637" s="4">
        <v>0.19492417449612101</v>
      </c>
      <c r="I637" s="4">
        <v>0.194969779684149</v>
      </c>
      <c r="J637" s="4">
        <v>0.19494697</v>
      </c>
      <c r="K637">
        <f t="shared" si="45"/>
        <v>-1.4532215498524126E-2</v>
      </c>
      <c r="L637">
        <f t="shared" si="46"/>
        <v>-1.1375218982905166E-2</v>
      </c>
      <c r="M637" s="1">
        <f t="shared" si="47"/>
        <v>-1.2880340437141081E-2</v>
      </c>
      <c r="N637" s="1">
        <f t="shared" si="48"/>
        <v>3.0298780960405812E-4</v>
      </c>
      <c r="O637" s="1">
        <f t="shared" si="49"/>
        <v>2.3393637781590648E-4</v>
      </c>
    </row>
    <row r="638" spans="4:15" x14ac:dyDescent="0.25">
      <c r="D638" s="3">
        <v>45201</v>
      </c>
      <c r="E638" s="2">
        <v>5.6926536304898502E-2</v>
      </c>
      <c r="F638" s="2">
        <v>5.6945986731585102E-2</v>
      </c>
      <c r="G638" s="2">
        <v>5.6936260000000002E-2</v>
      </c>
      <c r="H638" s="2">
        <v>0.197168658070113</v>
      </c>
      <c r="I638" s="2">
        <v>0.197211430374504</v>
      </c>
      <c r="J638" s="2">
        <v>0.19719005000000001</v>
      </c>
      <c r="K638">
        <f t="shared" si="45"/>
        <v>-1.0533195846225585E-2</v>
      </c>
      <c r="L638">
        <f t="shared" si="46"/>
        <v>-1.3024381029451471E-2</v>
      </c>
      <c r="M638" s="1">
        <f t="shared" si="47"/>
        <v>-1.1836690055705566E-2</v>
      </c>
      <c r="N638" s="1">
        <f t="shared" si="48"/>
        <v>3.4161756825263836E-4</v>
      </c>
      <c r="O638" s="1">
        <f t="shared" si="49"/>
        <v>2.1690903973607632E-4</v>
      </c>
    </row>
    <row r="639" spans="4:15" x14ac:dyDescent="0.25">
      <c r="D639" s="5">
        <v>45198</v>
      </c>
      <c r="E639" s="4">
        <v>5.75364061609984E-2</v>
      </c>
      <c r="F639" s="4">
        <v>5.7548326206932301E-2</v>
      </c>
      <c r="G639" s="4">
        <v>5.7542364999999998E-2</v>
      </c>
      <c r="H639" s="4">
        <v>0.19974831712042801</v>
      </c>
      <c r="I639" s="4">
        <v>0.19983613436981701</v>
      </c>
      <c r="J639" s="4">
        <v>0.19979221999999999</v>
      </c>
      <c r="K639">
        <f t="shared" si="45"/>
        <v>1.3925216485457304E-2</v>
      </c>
      <c r="L639">
        <f t="shared" si="46"/>
        <v>8.6610401921638491E-3</v>
      </c>
      <c r="M639" s="1">
        <f t="shared" si="47"/>
        <v>1.1170775200966239E-2</v>
      </c>
      <c r="N639" s="1">
        <f t="shared" si="48"/>
        <v>2.0715252030223494E-4</v>
      </c>
      <c r="O639" s="1">
        <f t="shared" si="49"/>
        <v>4.3954288805139405E-4</v>
      </c>
    </row>
    <row r="640" spans="4:15" x14ac:dyDescent="0.25">
      <c r="D640" s="3">
        <v>45197</v>
      </c>
      <c r="E640" s="2">
        <v>5.6745315674191103E-2</v>
      </c>
      <c r="F640" s="2">
        <v>5.6758843027743699E-2</v>
      </c>
      <c r="G640" s="2">
        <v>5.6752080000000003E-2</v>
      </c>
      <c r="H640" s="2">
        <v>0.19801588087364599</v>
      </c>
      <c r="I640" s="2">
        <v>0.19813750743015701</v>
      </c>
      <c r="J640" s="2">
        <v>0.19807667000000001</v>
      </c>
      <c r="K640">
        <f t="shared" si="45"/>
        <v>2.4970535615869149E-3</v>
      </c>
      <c r="L640">
        <f t="shared" si="46"/>
        <v>-3.8525924483132634E-3</v>
      </c>
      <c r="M640" s="1">
        <f t="shared" si="47"/>
        <v>-8.2535171839104911E-4</v>
      </c>
      <c r="N640" s="1">
        <f t="shared" si="48"/>
        <v>2.3835872716200374E-4</v>
      </c>
      <c r="O640" s="1">
        <f t="shared" si="49"/>
        <v>6.1403776886504347E-4</v>
      </c>
    </row>
    <row r="641" spans="4:15" x14ac:dyDescent="0.25">
      <c r="D641" s="5">
        <v>45196</v>
      </c>
      <c r="E641" s="4">
        <v>5.6604948404589503E-2</v>
      </c>
      <c r="F641" s="4">
        <v>5.6616485588273598E-2</v>
      </c>
      <c r="G641" s="4">
        <v>5.6610720000000003E-2</v>
      </c>
      <c r="H641" s="4">
        <v>0.19882296802926699</v>
      </c>
      <c r="I641" s="4">
        <v>0.198862506463031</v>
      </c>
      <c r="J641" s="4">
        <v>0.19884273</v>
      </c>
      <c r="K641">
        <f t="shared" si="45"/>
        <v>-1.3784713735534249E-2</v>
      </c>
      <c r="L641">
        <f t="shared" si="46"/>
        <v>-1.2755751410703731E-2</v>
      </c>
      <c r="M641" s="1">
        <f t="shared" si="47"/>
        <v>-1.3246316814574388E-2</v>
      </c>
      <c r="N641" s="1">
        <f t="shared" si="48"/>
        <v>2.0379856825870923E-4</v>
      </c>
      <c r="O641" s="1">
        <f t="shared" si="49"/>
        <v>1.9884274252321204E-4</v>
      </c>
    </row>
    <row r="642" spans="4:15" x14ac:dyDescent="0.25">
      <c r="D642" s="3">
        <v>45195</v>
      </c>
      <c r="E642" s="2">
        <v>5.7395067467901802E-2</v>
      </c>
      <c r="F642" s="2">
        <v>5.7408906417741601E-2</v>
      </c>
      <c r="G642" s="2">
        <v>5.740199E-2</v>
      </c>
      <c r="H642" s="2">
        <v>0.201385532463348</v>
      </c>
      <c r="I642" s="2">
        <v>0.201438269242391</v>
      </c>
      <c r="J642" s="2">
        <v>0.20141189000000001</v>
      </c>
      <c r="K642">
        <f t="shared" si="45"/>
        <v>-6.0264705065082858E-4</v>
      </c>
      <c r="L642">
        <f t="shared" si="46"/>
        <v>-2.0138746382147854E-4</v>
      </c>
      <c r="M642" s="1">
        <f t="shared" si="47"/>
        <v>-3.9269094162600954E-4</v>
      </c>
      <c r="N642" s="1">
        <f t="shared" si="48"/>
        <v>2.4108832881576439E-4</v>
      </c>
      <c r="O642" s="1">
        <f t="shared" si="49"/>
        <v>2.6183548073052909E-4</v>
      </c>
    </row>
    <row r="643" spans="4:15" x14ac:dyDescent="0.25">
      <c r="D643" s="5">
        <v>45194</v>
      </c>
      <c r="E643" s="4">
        <v>5.7431656328968503E-2</v>
      </c>
      <c r="F643" s="4">
        <v>5.7441553219599102E-2</v>
      </c>
      <c r="G643" s="4">
        <v>5.7436604000000002E-2</v>
      </c>
      <c r="H643" s="4">
        <v>0.201430154094068</v>
      </c>
      <c r="I643" s="4">
        <v>0.201474795503083</v>
      </c>
      <c r="J643" s="4">
        <v>0.20145246</v>
      </c>
      <c r="K643">
        <f t="shared" si="45"/>
        <v>-1.631206536157026E-2</v>
      </c>
      <c r="L643">
        <f t="shared" si="46"/>
        <v>-9.5589545396799203E-3</v>
      </c>
      <c r="M643" s="1">
        <f t="shared" si="47"/>
        <v>-1.277855010482329E-2</v>
      </c>
      <c r="N643" s="1">
        <f t="shared" si="48"/>
        <v>1.7230981536790269E-4</v>
      </c>
      <c r="O643" s="1">
        <f t="shared" si="49"/>
        <v>2.2159773583802585E-4</v>
      </c>
    </row>
    <row r="644" spans="4:15" x14ac:dyDescent="0.25">
      <c r="D644" s="3">
        <v>45191</v>
      </c>
      <c r="E644" s="2">
        <v>5.83829101545396E-2</v>
      </c>
      <c r="F644" s="2">
        <v>5.8395183565259502E-2</v>
      </c>
      <c r="G644" s="2">
        <v>5.8389049999999998E-2</v>
      </c>
      <c r="H644" s="2">
        <v>0.20335122824141899</v>
      </c>
      <c r="I644" s="2">
        <v>0.20344224274728401</v>
      </c>
      <c r="J644" s="2">
        <v>0.20339672</v>
      </c>
      <c r="K644">
        <f t="shared" si="45"/>
        <v>3.5909684418529153E-3</v>
      </c>
      <c r="L644">
        <f t="shared" si="46"/>
        <v>-1.0226215690467555E-5</v>
      </c>
      <c r="M644" s="1">
        <f t="shared" si="47"/>
        <v>1.7066699902863742E-3</v>
      </c>
      <c r="N644" s="1">
        <f t="shared" si="48"/>
        <v>2.1020055506816224E-4</v>
      </c>
      <c r="O644" s="1">
        <f t="shared" si="49"/>
        <v>4.4747282977334598E-4</v>
      </c>
    </row>
    <row r="645" spans="4:15" x14ac:dyDescent="0.25">
      <c r="D645" s="5">
        <v>45190</v>
      </c>
      <c r="E645" s="4">
        <v>5.8173695018586498E-2</v>
      </c>
      <c r="F645" s="4">
        <v>5.8186557741430597E-2</v>
      </c>
      <c r="G645" s="4">
        <v>5.8180126999999998E-2</v>
      </c>
      <c r="H645" s="4">
        <v>0.20335536349771199</v>
      </c>
      <c r="I645" s="4">
        <v>0.20344224274728401</v>
      </c>
      <c r="J645" s="4">
        <v>0.20339879999999999</v>
      </c>
      <c r="K645">
        <f t="shared" si="45"/>
        <v>-8.6106019748271034E-3</v>
      </c>
      <c r="L645">
        <f t="shared" si="46"/>
        <v>-1.4105690917014635E-2</v>
      </c>
      <c r="M645" s="1">
        <f t="shared" si="47"/>
        <v>-1.1485866593832123E-2</v>
      </c>
      <c r="N645" s="1">
        <f t="shared" si="48"/>
        <v>2.2108447518685289E-4</v>
      </c>
      <c r="O645" s="1">
        <f t="shared" si="49"/>
        <v>4.2713747363314769E-4</v>
      </c>
    </row>
    <row r="646" spans="4:15" x14ac:dyDescent="0.25">
      <c r="D646" s="3">
        <v>45189</v>
      </c>
      <c r="E646" s="2">
        <v>5.8678558854594498E-2</v>
      </c>
      <c r="F646" s="2">
        <v>5.8692334781077597E-2</v>
      </c>
      <c r="G646" s="2">
        <v>5.8685444000000003E-2</v>
      </c>
      <c r="H646" s="2">
        <v>0.206266372393309</v>
      </c>
      <c r="I646" s="2">
        <v>0.20635149914364101</v>
      </c>
      <c r="J646" s="2">
        <v>0.20630893</v>
      </c>
      <c r="K646">
        <f t="shared" si="45"/>
        <v>2.9635610038549753E-3</v>
      </c>
      <c r="L646">
        <f t="shared" si="46"/>
        <v>2.3313032347032081E-3</v>
      </c>
      <c r="M646" s="1">
        <f t="shared" si="47"/>
        <v>2.6327368055828661E-3</v>
      </c>
      <c r="N646" s="1">
        <f t="shared" si="48"/>
        <v>2.3474179530956883E-4</v>
      </c>
      <c r="O646" s="1">
        <f t="shared" si="49"/>
        <v>4.1261786550882536E-4</v>
      </c>
    </row>
    <row r="647" spans="4:15" x14ac:dyDescent="0.25">
      <c r="D647" s="5">
        <v>45188</v>
      </c>
      <c r="E647" s="4">
        <v>5.8503823224847699E-2</v>
      </c>
      <c r="F647" s="4">
        <v>5.8520256786886798E-2</v>
      </c>
      <c r="G647" s="4">
        <v>5.8512040000000001E-2</v>
      </c>
      <c r="H647" s="4">
        <v>0.20576978476480501</v>
      </c>
      <c r="I647" s="4">
        <v>0.20588840848260201</v>
      </c>
      <c r="J647" s="4">
        <v>0.20582908</v>
      </c>
      <c r="K647">
        <f t="shared" si="45"/>
        <v>3.9056418559464401E-3</v>
      </c>
      <c r="L647">
        <f t="shared" si="46"/>
        <v>-1.6877726358112133E-3</v>
      </c>
      <c r="M647" s="1">
        <f t="shared" si="47"/>
        <v>9.7892912085130088E-4</v>
      </c>
      <c r="N647" s="1">
        <f t="shared" si="48"/>
        <v>2.8085778651879191E-4</v>
      </c>
      <c r="O647" s="1">
        <f t="shared" si="49"/>
        <v>5.7632146923554557E-4</v>
      </c>
    </row>
    <row r="648" spans="4:15" x14ac:dyDescent="0.25">
      <c r="D648" s="3">
        <v>45187</v>
      </c>
      <c r="E648" s="2">
        <v>5.8277775187654403E-2</v>
      </c>
      <c r="F648" s="2">
        <v>5.8291023765250402E-2</v>
      </c>
      <c r="G648" s="2">
        <v>5.8284401999999999E-2</v>
      </c>
      <c r="H648" s="2">
        <v>0.20614306328592</v>
      </c>
      <c r="I648" s="2">
        <v>0.206211077659092</v>
      </c>
      <c r="J648" s="2">
        <v>0.20617706</v>
      </c>
      <c r="K648">
        <f t="shared" si="45"/>
        <v>-3.2202208836030755E-3</v>
      </c>
      <c r="L648">
        <f t="shared" si="46"/>
        <v>4.2883793487737965E-3</v>
      </c>
      <c r="M648" s="1">
        <f t="shared" si="47"/>
        <v>7.0859861568817184E-4</v>
      </c>
      <c r="N648" s="1">
        <f t="shared" si="48"/>
        <v>2.273091451808879E-4</v>
      </c>
      <c r="O648" s="1">
        <f t="shared" si="49"/>
        <v>3.2988332054011458E-4</v>
      </c>
    </row>
    <row r="649" spans="4:15" x14ac:dyDescent="0.25">
      <c r="D649" s="5">
        <v>45184</v>
      </c>
      <c r="E649" s="4">
        <v>5.8465514116498397E-2</v>
      </c>
      <c r="F649" s="4">
        <v>5.8479874151310798E-2</v>
      </c>
      <c r="G649" s="4">
        <v>5.8472696999999997E-2</v>
      </c>
      <c r="H649" s="4">
        <v>0.20526294182848201</v>
      </c>
      <c r="I649" s="4">
        <v>0.20533037657591099</v>
      </c>
      <c r="J649" s="4">
        <v>0.20529666999999999</v>
      </c>
      <c r="K649">
        <f t="shared" si="45"/>
        <v>1.4911201534035801E-3</v>
      </c>
      <c r="L649">
        <f t="shared" si="46"/>
        <v>4.7227150752982006E-4</v>
      </c>
      <c r="M649" s="1">
        <f t="shared" si="47"/>
        <v>9.5801514010495758E-4</v>
      </c>
      <c r="N649" s="1">
        <f t="shared" si="48"/>
        <v>2.4558529962113681E-4</v>
      </c>
      <c r="O649" s="1">
        <f t="shared" si="49"/>
        <v>3.2847462858985935E-4</v>
      </c>
    </row>
    <row r="650" spans="4:15" x14ac:dyDescent="0.25">
      <c r="D650" s="3">
        <v>45183</v>
      </c>
      <c r="E650" s="2">
        <v>5.83771161704612E-2</v>
      </c>
      <c r="F650" s="2">
        <v>5.8394160583941597E-2</v>
      </c>
      <c r="G650" s="2">
        <v>5.8385636999999997E-2</v>
      </c>
      <c r="H650" s="2">
        <v>0.205170291341814</v>
      </c>
      <c r="I650" s="2">
        <v>0.205229241062267</v>
      </c>
      <c r="J650" s="2">
        <v>0.20519976000000001</v>
      </c>
      <c r="K650">
        <f t="shared" si="45"/>
        <v>-1.8099210377603425E-3</v>
      </c>
      <c r="L650">
        <f t="shared" si="46"/>
        <v>6.6894889131567936E-3</v>
      </c>
      <c r="M650" s="1">
        <f t="shared" si="47"/>
        <v>2.6373323136226695E-3</v>
      </c>
      <c r="N650" s="1">
        <f t="shared" si="48"/>
        <v>2.9192819255181781E-4</v>
      </c>
      <c r="O650" s="1">
        <f t="shared" si="49"/>
        <v>2.8727967543921783E-4</v>
      </c>
    </row>
    <row r="651" spans="4:15" x14ac:dyDescent="0.25">
      <c r="D651" s="5">
        <v>45182</v>
      </c>
      <c r="E651" s="4">
        <v>5.8484320353713197E-2</v>
      </c>
      <c r="F651" s="4">
        <v>5.8498689629352299E-2</v>
      </c>
      <c r="G651" s="4">
        <v>5.8491502000000001E-2</v>
      </c>
      <c r="H651" s="4">
        <v>0.20380296329508599</v>
      </c>
      <c r="I651" s="4">
        <v>0.20386944200933699</v>
      </c>
      <c r="J651" s="4">
        <v>0.2038362</v>
      </c>
      <c r="K651">
        <f t="shared" si="45"/>
        <v>1.1435061363256338E-2</v>
      </c>
      <c r="L651">
        <f t="shared" si="46"/>
        <v>9.417160164023386E-3</v>
      </c>
      <c r="M651" s="1">
        <f t="shared" si="47"/>
        <v>1.0379209495553429E-2</v>
      </c>
      <c r="N651" s="1">
        <f t="shared" si="48"/>
        <v>2.4566432982182625E-4</v>
      </c>
      <c r="O651" s="1">
        <f t="shared" si="49"/>
        <v>3.2613791981502981E-4</v>
      </c>
    </row>
    <row r="652" spans="4:15" x14ac:dyDescent="0.25">
      <c r="D652" s="3">
        <v>45181</v>
      </c>
      <c r="E652" s="2">
        <v>5.7822853904777302E-2</v>
      </c>
      <c r="F652" s="2">
        <v>5.7837568971300997E-2</v>
      </c>
      <c r="G652" s="2">
        <v>5.783021E-2</v>
      </c>
      <c r="H652" s="2">
        <v>0.201905992569859</v>
      </c>
      <c r="I652" s="2">
        <v>0.20196308114876599</v>
      </c>
      <c r="J652" s="2">
        <v>0.20193454999999999</v>
      </c>
      <c r="K652">
        <f t="shared" si="45"/>
        <v>1.0669665401047634E-2</v>
      </c>
      <c r="L652">
        <f t="shared" si="46"/>
        <v>-2.7865347561037979E-3</v>
      </c>
      <c r="M652" s="1">
        <f t="shared" si="47"/>
        <v>3.6288082602157698E-3</v>
      </c>
      <c r="N652" s="1">
        <f t="shared" si="48"/>
        <v>2.5445293253638113E-4</v>
      </c>
      <c r="O652" s="1">
        <f t="shared" si="49"/>
        <v>2.8270832755954145E-4</v>
      </c>
    </row>
    <row r="653" spans="4:15" x14ac:dyDescent="0.25">
      <c r="D653" s="5">
        <v>45180</v>
      </c>
      <c r="E653" s="4">
        <v>5.7214456948981897E-2</v>
      </c>
      <c r="F653" s="4">
        <v>5.7224934048263502E-2</v>
      </c>
      <c r="G653" s="4">
        <v>5.7219695000000001E-2</v>
      </c>
      <c r="H653" s="4">
        <v>0.20245783815520399</v>
      </c>
      <c r="I653" s="4">
        <v>0.20253984971543201</v>
      </c>
      <c r="J653" s="4">
        <v>0.20249882</v>
      </c>
      <c r="K653">
        <f t="shared" si="45"/>
        <v>4.8063963766369344E-3</v>
      </c>
      <c r="L653">
        <f t="shared" si="46"/>
        <v>1.0772854905381601E-2</v>
      </c>
      <c r="M653" s="1">
        <f t="shared" si="47"/>
        <v>7.9283016431294928E-3</v>
      </c>
      <c r="N653" s="1">
        <f t="shared" si="48"/>
        <v>1.8310302565586136E-4</v>
      </c>
      <c r="O653" s="1">
        <f t="shared" si="49"/>
        <v>4.0499771913744278E-4</v>
      </c>
    </row>
    <row r="654" spans="4:15" x14ac:dyDescent="0.25">
      <c r="D654" s="3">
        <v>45177</v>
      </c>
      <c r="E654" s="2">
        <v>5.6938204966150201E-2</v>
      </c>
      <c r="F654" s="2">
        <v>5.6953770624384198E-2</v>
      </c>
      <c r="G654" s="2">
        <v>5.6945990000000002E-2</v>
      </c>
      <c r="H654" s="2">
        <v>0.20029242694333699</v>
      </c>
      <c r="I654" s="2">
        <v>0.200388754183115</v>
      </c>
      <c r="J654" s="2">
        <v>0.20034057999999999</v>
      </c>
      <c r="K654">
        <f t="shared" si="45"/>
        <v>-7.1174689466191321E-4</v>
      </c>
      <c r="L654">
        <f t="shared" si="46"/>
        <v>-2.2838241811458104E-3</v>
      </c>
      <c r="M654" s="1">
        <f t="shared" si="47"/>
        <v>-1.5343246996299166E-3</v>
      </c>
      <c r="N654" s="1">
        <f t="shared" si="48"/>
        <v>2.7334072572971673E-4</v>
      </c>
      <c r="O654" s="1">
        <f t="shared" si="49"/>
        <v>4.8081741491419347E-4</v>
      </c>
    </row>
    <row r="655" spans="4:15" x14ac:dyDescent="0.25">
      <c r="D655" s="5">
        <v>45176</v>
      </c>
      <c r="E655" s="4">
        <v>5.6978109010518203E-2</v>
      </c>
      <c r="F655" s="4">
        <v>5.6994995839365299E-2</v>
      </c>
      <c r="G655" s="4">
        <v>5.6986549999999997E-2</v>
      </c>
      <c r="H655" s="4">
        <v>0.20069843053827299</v>
      </c>
      <c r="I655" s="4">
        <v>0.20090003214400501</v>
      </c>
      <c r="J655" s="4">
        <v>0.20079917</v>
      </c>
      <c r="K655">
        <f t="shared" si="45"/>
        <v>1.695303633123979E-3</v>
      </c>
      <c r="L655">
        <f t="shared" si="46"/>
        <v>-1.0442811837156896E-3</v>
      </c>
      <c r="M655" s="1">
        <f t="shared" si="47"/>
        <v>2.6183615379930564E-4</v>
      </c>
      <c r="N655" s="1">
        <f t="shared" si="48"/>
        <v>2.9633007871323681E-4</v>
      </c>
      <c r="O655" s="1">
        <f t="shared" si="49"/>
        <v>1.0039962104027413E-3</v>
      </c>
    </row>
    <row r="656" spans="4:15" x14ac:dyDescent="0.25">
      <c r="D656" s="3">
        <v>45175</v>
      </c>
      <c r="E656" s="2">
        <v>5.6882497824244503E-2</v>
      </c>
      <c r="F656" s="2">
        <v>5.68977092982237E-2</v>
      </c>
      <c r="G656" s="2">
        <v>5.6890103999999997E-2</v>
      </c>
      <c r="H656" s="2">
        <v>0.20096059162798199</v>
      </c>
      <c r="I656" s="2">
        <v>0.20105756278022399</v>
      </c>
      <c r="J656" s="2">
        <v>0.20100908000000001</v>
      </c>
      <c r="K656">
        <f t="shared" ref="K656:K719" si="50">G656/G657-1</f>
        <v>-1.0794870338292517E-2</v>
      </c>
      <c r="L656">
        <f t="shared" ref="L656:L719" si="51">J656/J657-1</f>
        <v>1.0060259061139831E-4</v>
      </c>
      <c r="M656" s="1">
        <f t="shared" ref="M656:M719" si="52">SUMPRODUCT(K656:L656,$O$11:$P$11)</f>
        <v>-5.0938947673068802E-3</v>
      </c>
      <c r="N656" s="1">
        <f t="shared" ref="N656:N719" si="53">(F656-E656)/G656</f>
        <v>2.6738347989656086E-4</v>
      </c>
      <c r="O656" s="1">
        <f t="shared" ref="O656:O719" si="54">(I656-H656)/J656</f>
        <v>4.8242175050996718E-4</v>
      </c>
    </row>
    <row r="657" spans="4:15" x14ac:dyDescent="0.25">
      <c r="D657" s="5">
        <v>45174</v>
      </c>
      <c r="E657" s="4">
        <v>5.7502659498001797E-2</v>
      </c>
      <c r="F657" s="4">
        <v>5.7519197032009403E-2</v>
      </c>
      <c r="G657" s="4">
        <v>5.7510927000000003E-2</v>
      </c>
      <c r="H657" s="4">
        <v>0.20093232599260599</v>
      </c>
      <c r="I657" s="4">
        <v>0.201045436268597</v>
      </c>
      <c r="J657" s="4">
        <v>0.20098885999999999</v>
      </c>
      <c r="K657">
        <f t="shared" si="50"/>
        <v>-1.1876007437252811E-2</v>
      </c>
      <c r="L657">
        <f t="shared" si="51"/>
        <v>-1.2280442589722163E-2</v>
      </c>
      <c r="M657" s="1">
        <f t="shared" si="52"/>
        <v>-1.2087625137495912E-2</v>
      </c>
      <c r="N657" s="1">
        <f t="shared" si="53"/>
        <v>2.8755464170497532E-4</v>
      </c>
      <c r="O657" s="1">
        <f t="shared" si="54"/>
        <v>5.6276888177288751E-4</v>
      </c>
    </row>
    <row r="658" spans="4:15" x14ac:dyDescent="0.25">
      <c r="D658" s="3">
        <v>45173</v>
      </c>
      <c r="E658" s="2">
        <v>5.8189605008961198E-2</v>
      </c>
      <c r="F658" s="2">
        <v>5.8214672426038297E-2</v>
      </c>
      <c r="G658" s="2">
        <v>5.8202136000000002E-2</v>
      </c>
      <c r="H658" s="2">
        <v>0.20345052083333301</v>
      </c>
      <c r="I658" s="2">
        <v>0.203525053934139</v>
      </c>
      <c r="J658" s="2">
        <v>0.20348778000000001</v>
      </c>
      <c r="K658">
        <f t="shared" si="50"/>
        <v>-3.113767778222476E-3</v>
      </c>
      <c r="L658">
        <f t="shared" si="51"/>
        <v>4.4767304792041607E-3</v>
      </c>
      <c r="M658" s="1">
        <f t="shared" si="52"/>
        <v>8.5790425653623804E-4</v>
      </c>
      <c r="N658" s="1">
        <f t="shared" si="53"/>
        <v>4.3069582664627111E-4</v>
      </c>
      <c r="O658" s="1">
        <f t="shared" si="54"/>
        <v>3.6627801829667699E-4</v>
      </c>
    </row>
    <row r="659" spans="4:15" x14ac:dyDescent="0.25">
      <c r="D659" s="5">
        <v>45170</v>
      </c>
      <c r="E659" s="4">
        <v>5.8376434600880302E-2</v>
      </c>
      <c r="F659" s="4">
        <v>5.8391432808978301E-2</v>
      </c>
      <c r="G659" s="4">
        <v>5.8383930000000001E-2</v>
      </c>
      <c r="H659" s="4">
        <v>0.20253574755944401</v>
      </c>
      <c r="I659" s="4">
        <v>0.20262603339276999</v>
      </c>
      <c r="J659" s="4">
        <v>0.20258087999999999</v>
      </c>
      <c r="K659">
        <f t="shared" si="50"/>
        <v>-1.7296239790238643E-2</v>
      </c>
      <c r="L659">
        <f t="shared" si="51"/>
        <v>2.9678470936660428E-3</v>
      </c>
      <c r="M659" s="1">
        <f t="shared" si="52"/>
        <v>-6.6932063058451488E-3</v>
      </c>
      <c r="N659" s="1">
        <f t="shared" si="53"/>
        <v>2.5688932036605524E-4</v>
      </c>
      <c r="O659" s="1">
        <f t="shared" si="54"/>
        <v>4.456779599633838E-4</v>
      </c>
    </row>
    <row r="660" spans="4:15" x14ac:dyDescent="0.25">
      <c r="D660" s="3">
        <v>45169</v>
      </c>
      <c r="E660" s="2">
        <v>5.9403940857436499E-2</v>
      </c>
      <c r="F660" s="2">
        <v>5.9419118695631497E-2</v>
      </c>
      <c r="G660" s="2">
        <v>5.9411525999999999E-2</v>
      </c>
      <c r="H660" s="2">
        <v>0.20193861066235899</v>
      </c>
      <c r="I660" s="2">
        <v>0.202024283318855</v>
      </c>
      <c r="J660" s="2">
        <v>0.20198142999999999</v>
      </c>
      <c r="K660">
        <f t="shared" si="50"/>
        <v>-3.8469199690950306E-3</v>
      </c>
      <c r="L660">
        <f t="shared" si="51"/>
        <v>-1.459321595311458E-2</v>
      </c>
      <c r="M660" s="1">
        <f t="shared" si="52"/>
        <v>-9.4698398077513318E-3</v>
      </c>
      <c r="N660" s="1">
        <f t="shared" si="53"/>
        <v>2.5546959010946268E-4</v>
      </c>
      <c r="O660" s="1">
        <f t="shared" si="54"/>
        <v>4.2416105528119742E-4</v>
      </c>
    </row>
    <row r="661" spans="4:15" x14ac:dyDescent="0.25">
      <c r="D661" s="5">
        <v>45168</v>
      </c>
      <c r="E661" s="4">
        <v>5.96338481722226E-2</v>
      </c>
      <c r="F661" s="4">
        <v>5.9648076349537699E-2</v>
      </c>
      <c r="G661" s="4">
        <v>5.964096E-2</v>
      </c>
      <c r="H661" s="4">
        <v>0.20493063098141301</v>
      </c>
      <c r="I661" s="4">
        <v>0.20501465854808601</v>
      </c>
      <c r="J661" s="4">
        <v>0.20497264000000001</v>
      </c>
      <c r="K661">
        <f t="shared" si="50"/>
        <v>6.7990761703660141E-3</v>
      </c>
      <c r="L661">
        <f t="shared" si="51"/>
        <v>-9.9407047392330306E-4</v>
      </c>
      <c r="M661" s="1">
        <f t="shared" si="52"/>
        <v>2.7213698670131405E-3</v>
      </c>
      <c r="N661" s="1">
        <f t="shared" si="53"/>
        <v>2.3856385469144323E-4</v>
      </c>
      <c r="O661" s="1">
        <f t="shared" si="54"/>
        <v>4.0994528183371494E-4</v>
      </c>
    </row>
    <row r="662" spans="4:15" x14ac:dyDescent="0.25">
      <c r="D662" s="3">
        <v>45167</v>
      </c>
      <c r="E662" s="2">
        <v>5.92294251784286E-2</v>
      </c>
      <c r="F662" s="2">
        <v>5.9246970998607699E-2</v>
      </c>
      <c r="G662" s="2">
        <v>5.9238195E-2</v>
      </c>
      <c r="H662" s="2">
        <v>0.20513241297257401</v>
      </c>
      <c r="I662" s="2">
        <v>0.20522081759973701</v>
      </c>
      <c r="J662" s="2">
        <v>0.20517659999999999</v>
      </c>
      <c r="K662">
        <f t="shared" si="50"/>
        <v>-9.344918063020291E-3</v>
      </c>
      <c r="L662">
        <f t="shared" si="51"/>
        <v>5.3140730035330375E-3</v>
      </c>
      <c r="M662" s="1">
        <f t="shared" si="52"/>
        <v>-1.6747094808835625E-3</v>
      </c>
      <c r="N662" s="1">
        <f t="shared" si="53"/>
        <v>2.9619099938981943E-4</v>
      </c>
      <c r="O662" s="1">
        <f t="shared" si="54"/>
        <v>4.3087090420156272E-4</v>
      </c>
    </row>
    <row r="663" spans="4:15" x14ac:dyDescent="0.25">
      <c r="D663" s="5">
        <v>45166</v>
      </c>
      <c r="E663" s="4">
        <v>5.9789659976203703E-2</v>
      </c>
      <c r="F663" s="4">
        <v>5.9804320264095899E-2</v>
      </c>
      <c r="G663" s="4">
        <v>5.9796993E-2</v>
      </c>
      <c r="H663" s="4">
        <v>0.20404831864185399</v>
      </c>
      <c r="I663" s="4">
        <v>0.204135791128259</v>
      </c>
      <c r="J663" s="4">
        <v>0.20409204</v>
      </c>
      <c r="K663">
        <f t="shared" si="50"/>
        <v>5.2172727537873609E-3</v>
      </c>
      <c r="L663">
        <f t="shared" si="51"/>
        <v>-1.6735460613066522E-3</v>
      </c>
      <c r="M663" s="1">
        <f t="shared" si="52"/>
        <v>1.6117028087945123E-3</v>
      </c>
      <c r="N663" s="1">
        <f t="shared" si="53"/>
        <v>2.4516764400169531E-4</v>
      </c>
      <c r="O663" s="1">
        <f t="shared" si="54"/>
        <v>4.2859332683922762E-4</v>
      </c>
    </row>
    <row r="664" spans="4:15" x14ac:dyDescent="0.25">
      <c r="D664" s="3">
        <v>45163</v>
      </c>
      <c r="E664" s="2">
        <v>5.9477785047284799E-2</v>
      </c>
      <c r="F664" s="2">
        <v>5.9495478343645901E-2</v>
      </c>
      <c r="G664" s="2">
        <v>5.9486635000000003E-2</v>
      </c>
      <c r="H664" s="2">
        <v>0.20436941816026699</v>
      </c>
      <c r="I664" s="2">
        <v>0.20449897750511201</v>
      </c>
      <c r="J664" s="2">
        <v>0.20443417</v>
      </c>
      <c r="K664">
        <f t="shared" si="50"/>
        <v>-1.4573940202933233E-3</v>
      </c>
      <c r="L664">
        <f t="shared" si="51"/>
        <v>-3.8842993529010217E-3</v>
      </c>
      <c r="M664" s="1">
        <f t="shared" si="52"/>
        <v>-2.7272542736823547E-3</v>
      </c>
      <c r="N664" s="1">
        <f t="shared" si="53"/>
        <v>2.9743313537740882E-4</v>
      </c>
      <c r="O664" s="1">
        <f t="shared" si="54"/>
        <v>6.3374603592449821E-4</v>
      </c>
    </row>
    <row r="665" spans="4:15" x14ac:dyDescent="0.25">
      <c r="D665" s="5">
        <v>45162</v>
      </c>
      <c r="E665" s="4">
        <v>5.9566002108636502E-2</v>
      </c>
      <c r="F665" s="4">
        <v>5.9580907893874498E-2</v>
      </c>
      <c r="G665" s="4">
        <v>5.9573457000000003E-2</v>
      </c>
      <c r="H665" s="4">
        <v>0.205174500913027</v>
      </c>
      <c r="I665" s="4">
        <v>0.20528822466743299</v>
      </c>
      <c r="J665" s="4">
        <v>0.20523135000000001</v>
      </c>
      <c r="K665">
        <f t="shared" si="50"/>
        <v>3.0085310884127026E-3</v>
      </c>
      <c r="L665">
        <f t="shared" si="51"/>
        <v>3.3247900795134733E-3</v>
      </c>
      <c r="M665" s="1">
        <f t="shared" si="52"/>
        <v>3.1740112648249654E-3</v>
      </c>
      <c r="N665" s="1">
        <f t="shared" si="53"/>
        <v>2.5020849869422955E-4</v>
      </c>
      <c r="O665" s="1">
        <f t="shared" si="54"/>
        <v>5.5412467152797138E-4</v>
      </c>
    </row>
    <row r="666" spans="4:15" x14ac:dyDescent="0.25">
      <c r="D666" s="3">
        <v>45161</v>
      </c>
      <c r="E666" s="2">
        <v>5.9385243954582202E-2</v>
      </c>
      <c r="F666" s="2">
        <v>5.9404293742351698E-2</v>
      </c>
      <c r="G666" s="2">
        <v>5.9394766000000002E-2</v>
      </c>
      <c r="H666" s="2">
        <v>0.20452825557850801</v>
      </c>
      <c r="I666" s="2">
        <v>0.20457428092140301</v>
      </c>
      <c r="J666" s="2">
        <v>0.20455126000000001</v>
      </c>
      <c r="K666">
        <f t="shared" si="50"/>
        <v>4.0387891996747083E-3</v>
      </c>
      <c r="L666">
        <f t="shared" si="51"/>
        <v>8.3354394622152661E-3</v>
      </c>
      <c r="M666" s="1">
        <f t="shared" si="52"/>
        <v>6.2869796493826074E-3</v>
      </c>
      <c r="N666" s="1">
        <f t="shared" si="53"/>
        <v>3.2073175891450805E-4</v>
      </c>
      <c r="O666" s="1">
        <f t="shared" si="54"/>
        <v>2.2500640130496027E-4</v>
      </c>
    </row>
    <row r="667" spans="4:15" x14ac:dyDescent="0.25">
      <c r="D667" s="5">
        <v>45160</v>
      </c>
      <c r="E667" s="4">
        <v>5.9149197936876001E-2</v>
      </c>
      <c r="F667" s="4">
        <v>5.9162495710719097E-2</v>
      </c>
      <c r="G667" s="4">
        <v>5.9155847999999997E-2</v>
      </c>
      <c r="H667" s="4">
        <v>0.202831528132733</v>
      </c>
      <c r="I667" s="4">
        <v>0.202889141373154</v>
      </c>
      <c r="J667" s="4">
        <v>0.20286033000000001</v>
      </c>
      <c r="K667">
        <f t="shared" si="50"/>
        <v>8.3705745814481869E-3</v>
      </c>
      <c r="L667">
        <f t="shared" si="51"/>
        <v>1.1917976015697329E-2</v>
      </c>
      <c r="M667" s="1">
        <f t="shared" si="52"/>
        <v>1.0226726127057897E-2</v>
      </c>
      <c r="N667" s="1">
        <f t="shared" si="53"/>
        <v>2.2479221062127555E-4</v>
      </c>
      <c r="O667" s="1">
        <f t="shared" si="54"/>
        <v>2.8400446958259696E-4</v>
      </c>
    </row>
    <row r="668" spans="4:15" x14ac:dyDescent="0.25">
      <c r="D668" s="3">
        <v>45159</v>
      </c>
      <c r="E668" s="2">
        <v>5.8658595243961102E-2</v>
      </c>
      <c r="F668" s="2">
        <v>5.86709848511517E-2</v>
      </c>
      <c r="G668" s="2">
        <v>5.8664790000000001E-2</v>
      </c>
      <c r="H668" s="2">
        <v>0.20044900577293101</v>
      </c>
      <c r="I668" s="2">
        <v>0.20049321330472999</v>
      </c>
      <c r="J668" s="2">
        <v>0.20047112</v>
      </c>
      <c r="K668">
        <f t="shared" si="50"/>
        <v>6.7469237991635289E-4</v>
      </c>
      <c r="L668">
        <f t="shared" si="51"/>
        <v>-5.5128815300461431E-3</v>
      </c>
      <c r="M668" s="1">
        <f t="shared" si="52"/>
        <v>-2.562909873289645E-3</v>
      </c>
      <c r="N668" s="1">
        <f t="shared" si="53"/>
        <v>2.1119324198719453E-4</v>
      </c>
      <c r="O668" s="1">
        <f t="shared" si="54"/>
        <v>2.2051820630814199E-4</v>
      </c>
    </row>
    <row r="669" spans="4:15" x14ac:dyDescent="0.25">
      <c r="D669" s="5">
        <v>45156</v>
      </c>
      <c r="E669" s="4">
        <v>5.8615959953576199E-2</v>
      </c>
      <c r="F669" s="4">
        <v>5.8634519314210702E-2</v>
      </c>
      <c r="G669" s="4">
        <v>5.8625235999999997E-2</v>
      </c>
      <c r="H669" s="4">
        <v>0.20156820060067299</v>
      </c>
      <c r="I669" s="4">
        <v>0.20159664543181999</v>
      </c>
      <c r="J669" s="4">
        <v>0.20158242000000001</v>
      </c>
      <c r="K669">
        <f t="shared" si="50"/>
        <v>4.5873428844571684E-3</v>
      </c>
      <c r="L669">
        <f t="shared" si="51"/>
        <v>4.999260393638183E-3</v>
      </c>
      <c r="M669" s="1">
        <f t="shared" si="52"/>
        <v>4.80287567247158E-3</v>
      </c>
      <c r="N669" s="1">
        <f t="shared" si="53"/>
        <v>3.1657630571419371E-4</v>
      </c>
      <c r="O669" s="1">
        <f t="shared" si="54"/>
        <v>1.4110769752144513E-4</v>
      </c>
    </row>
    <row r="670" spans="4:15" x14ac:dyDescent="0.25">
      <c r="D670" s="3">
        <v>45155</v>
      </c>
      <c r="E670" s="2">
        <v>5.8349184861887497E-2</v>
      </c>
      <c r="F670" s="2">
        <v>5.8365872307144601E-2</v>
      </c>
      <c r="G670" s="2">
        <v>5.8357529999999998E-2</v>
      </c>
      <c r="H670" s="2">
        <v>0.20054548371570699</v>
      </c>
      <c r="I670" s="2">
        <v>0.20061387846811199</v>
      </c>
      <c r="J670" s="2">
        <v>0.20057966999999999</v>
      </c>
      <c r="K670">
        <f t="shared" si="50"/>
        <v>-5.2958816040641343E-3</v>
      </c>
      <c r="L670">
        <f t="shared" si="51"/>
        <v>-3.2794733323651126E-3</v>
      </c>
      <c r="M670" s="1">
        <f t="shared" si="52"/>
        <v>-4.2408108996439689E-3</v>
      </c>
      <c r="N670" s="1">
        <f t="shared" si="53"/>
        <v>2.8595187728307491E-4</v>
      </c>
      <c r="O670" s="1">
        <f t="shared" si="54"/>
        <v>3.4098546679730212E-4</v>
      </c>
    </row>
    <row r="671" spans="4:15" x14ac:dyDescent="0.25">
      <c r="D671" s="5">
        <v>45154</v>
      </c>
      <c r="E671" s="4">
        <v>5.8661003924421203E-2</v>
      </c>
      <c r="F671" s="4">
        <v>5.86754601622963E-2</v>
      </c>
      <c r="G671" s="4">
        <v>5.8668230000000002E-2</v>
      </c>
      <c r="H671" s="4">
        <v>0.20122343850611701</v>
      </c>
      <c r="I671" s="4">
        <v>0.20125583641925601</v>
      </c>
      <c r="J671" s="4">
        <v>0.20123963</v>
      </c>
      <c r="K671">
        <f t="shared" si="50"/>
        <v>5.5734135302467624E-3</v>
      </c>
      <c r="L671">
        <f t="shared" si="51"/>
        <v>2.163290268883955E-3</v>
      </c>
      <c r="M671" s="1">
        <f t="shared" si="52"/>
        <v>3.7890917725830493E-3</v>
      </c>
      <c r="N671" s="1">
        <f t="shared" si="53"/>
        <v>2.4640657942292767E-4</v>
      </c>
      <c r="O671" s="1">
        <f t="shared" si="54"/>
        <v>1.6099171489730141E-4</v>
      </c>
    </row>
    <row r="672" spans="4:15" x14ac:dyDescent="0.25">
      <c r="D672" s="3">
        <v>45153</v>
      </c>
      <c r="E672" s="2">
        <v>5.8335569530165297E-2</v>
      </c>
      <c r="F672" s="2">
        <v>5.8350546744622998E-2</v>
      </c>
      <c r="G672" s="2">
        <v>5.8343060000000002E-2</v>
      </c>
      <c r="H672" s="2">
        <v>0.20078305391025</v>
      </c>
      <c r="I672" s="2">
        <v>0.20082740892477</v>
      </c>
      <c r="J672" s="2">
        <v>0.20080523</v>
      </c>
      <c r="K672">
        <f t="shared" si="50"/>
        <v>-3.9381135536356027E-3</v>
      </c>
      <c r="L672">
        <f t="shared" si="51"/>
        <v>-5.4016477806867469E-3</v>
      </c>
      <c r="M672" s="1">
        <f t="shared" si="52"/>
        <v>-4.7038970060992186E-3</v>
      </c>
      <c r="N672" s="1">
        <f t="shared" si="53"/>
        <v>2.5670944338025719E-4</v>
      </c>
      <c r="O672" s="1">
        <f t="shared" si="54"/>
        <v>2.2088575342381391E-4</v>
      </c>
    </row>
    <row r="673" spans="4:15" x14ac:dyDescent="0.25">
      <c r="D673" s="5">
        <v>45152</v>
      </c>
      <c r="E673" s="4">
        <v>5.8566868722363802E-2</v>
      </c>
      <c r="F673" s="4">
        <v>5.8580592249787601E-2</v>
      </c>
      <c r="G673" s="4">
        <v>5.8573729999999997E-2</v>
      </c>
      <c r="H673" s="4">
        <v>0.20185708518369</v>
      </c>
      <c r="I673" s="4">
        <v>0.201934532824458</v>
      </c>
      <c r="J673" s="4">
        <v>0.20189579999999999</v>
      </c>
      <c r="K673">
        <f t="shared" si="50"/>
        <v>-5.9451960570596762E-3</v>
      </c>
      <c r="L673">
        <f t="shared" si="51"/>
        <v>-1.4475936311269311E-2</v>
      </c>
      <c r="M673" s="1">
        <f t="shared" si="52"/>
        <v>-1.0408842757760115E-2</v>
      </c>
      <c r="N673" s="1">
        <f t="shared" si="53"/>
        <v>2.342949206717634E-4</v>
      </c>
      <c r="O673" s="1">
        <f t="shared" si="54"/>
        <v>3.8360204010188663E-4</v>
      </c>
    </row>
    <row r="674" spans="4:15" x14ac:dyDescent="0.25">
      <c r="D674" s="3">
        <v>45149</v>
      </c>
      <c r="E674" s="2">
        <v>5.89157151778665E-2</v>
      </c>
      <c r="F674" s="2">
        <v>5.8932380986056597E-2</v>
      </c>
      <c r="G674" s="2">
        <v>5.8924045000000001E-2</v>
      </c>
      <c r="H674" s="2">
        <v>0.20481730296575501</v>
      </c>
      <c r="I674" s="2">
        <v>0.204905436141221</v>
      </c>
      <c r="J674" s="2">
        <v>0.20486135999999999</v>
      </c>
      <c r="K674">
        <f t="shared" si="50"/>
        <v>-1.9445331995637805E-3</v>
      </c>
      <c r="L674">
        <f t="shared" si="51"/>
        <v>-7.0882263090987774E-3</v>
      </c>
      <c r="M674" s="1">
        <f t="shared" si="52"/>
        <v>-4.6359325498677197E-3</v>
      </c>
      <c r="N674" s="1">
        <f t="shared" si="53"/>
        <v>2.8283543993113883E-4</v>
      </c>
      <c r="O674" s="1">
        <f t="shared" si="54"/>
        <v>4.302088762175214E-4</v>
      </c>
    </row>
    <row r="675" spans="4:15" x14ac:dyDescent="0.25">
      <c r="D675" s="5">
        <v>45148</v>
      </c>
      <c r="E675" s="4">
        <v>5.9030483341597599E-2</v>
      </c>
      <c r="F675" s="4">
        <v>5.90472141524363E-2</v>
      </c>
      <c r="G675" s="4">
        <v>5.9038847999999998E-2</v>
      </c>
      <c r="H675" s="4">
        <v>0.20629615876552401</v>
      </c>
      <c r="I675" s="4">
        <v>0.20635149914364101</v>
      </c>
      <c r="J675" s="4">
        <v>0.20632383000000001</v>
      </c>
      <c r="K675">
        <f t="shared" si="50"/>
        <v>9.0034119473529906E-3</v>
      </c>
      <c r="L675">
        <f t="shared" si="51"/>
        <v>1.2059630160681234E-2</v>
      </c>
      <c r="M675" s="1">
        <f t="shared" si="52"/>
        <v>1.0602555507938063E-2</v>
      </c>
      <c r="N675" s="1">
        <f t="shared" si="53"/>
        <v>2.8338647188206077E-4</v>
      </c>
      <c r="O675" s="1">
        <f t="shared" si="54"/>
        <v>2.6822097145539123E-4</v>
      </c>
    </row>
    <row r="676" spans="4:15" x14ac:dyDescent="0.25">
      <c r="D676" s="3">
        <v>45147</v>
      </c>
      <c r="E676" s="2">
        <v>5.8503823224847699E-2</v>
      </c>
      <c r="F676" s="2">
        <v>5.8520256786886798E-2</v>
      </c>
      <c r="G676" s="2">
        <v>5.8512040000000001E-2</v>
      </c>
      <c r="H676" s="2">
        <v>0.20384450740974799</v>
      </c>
      <c r="I676" s="2">
        <v>0.20388606846494201</v>
      </c>
      <c r="J676" s="2">
        <v>0.20386529</v>
      </c>
      <c r="K676">
        <f t="shared" si="50"/>
        <v>6.816725480195851E-3</v>
      </c>
      <c r="L676">
        <f t="shared" si="51"/>
        <v>3.4860711468225336E-3</v>
      </c>
      <c r="M676" s="1">
        <f t="shared" si="52"/>
        <v>5.0739852509409352E-3</v>
      </c>
      <c r="N676" s="1">
        <f t="shared" si="53"/>
        <v>2.8085778651879191E-4</v>
      </c>
      <c r="O676" s="1">
        <f t="shared" si="54"/>
        <v>2.0386528375679618E-4</v>
      </c>
    </row>
    <row r="677" spans="4:15" x14ac:dyDescent="0.25">
      <c r="D677" s="5">
        <v>45146</v>
      </c>
      <c r="E677" s="4">
        <v>5.8106427733035801E-2</v>
      </c>
      <c r="F677" s="4">
        <v>5.8125341486381203E-2</v>
      </c>
      <c r="G677" s="4">
        <v>5.8115880000000002E-2</v>
      </c>
      <c r="H677" s="4">
        <v>0.20311579631547899</v>
      </c>
      <c r="I677" s="4">
        <v>0.20319834190152999</v>
      </c>
      <c r="J677" s="4">
        <v>0.20315707</v>
      </c>
      <c r="K677">
        <f t="shared" si="50"/>
        <v>-8.1653642765807666E-3</v>
      </c>
      <c r="L677">
        <f t="shared" si="51"/>
        <v>-2.295695906578632E-3</v>
      </c>
      <c r="M677" s="1">
        <f t="shared" si="52"/>
        <v>-5.0941037442914523E-3</v>
      </c>
      <c r="N677" s="1">
        <f t="shared" si="53"/>
        <v>3.2544897101106094E-4</v>
      </c>
      <c r="O677" s="1">
        <f t="shared" si="54"/>
        <v>4.0631411966614159E-4</v>
      </c>
    </row>
    <row r="678" spans="4:15" x14ac:dyDescent="0.25">
      <c r="D678" s="3">
        <v>45145</v>
      </c>
      <c r="E678" s="2">
        <v>5.8585397003942802E-2</v>
      </c>
      <c r="F678" s="2">
        <v>5.8603250136252602E-2</v>
      </c>
      <c r="G678" s="2">
        <v>5.8594324000000003E-2</v>
      </c>
      <c r="H678" s="2">
        <v>0.20361207826848299</v>
      </c>
      <c r="I678" s="2">
        <v>0.20363695603478099</v>
      </c>
      <c r="J678" s="2">
        <v>0.20362453</v>
      </c>
      <c r="K678">
        <f t="shared" si="50"/>
        <v>-1.3476125370829317E-3</v>
      </c>
      <c r="L678">
        <f t="shared" si="51"/>
        <v>-1.2441447766846636E-2</v>
      </c>
      <c r="M678" s="1">
        <f t="shared" si="52"/>
        <v>-7.152379713883693E-3</v>
      </c>
      <c r="N678" s="1">
        <f t="shared" si="53"/>
        <v>3.0469047325813048E-4</v>
      </c>
      <c r="O678" s="1">
        <f t="shared" si="54"/>
        <v>1.2217470212456111E-4</v>
      </c>
    </row>
    <row r="679" spans="4:15" x14ac:dyDescent="0.25">
      <c r="D679" s="5">
        <v>45142</v>
      </c>
      <c r="E679" s="4">
        <v>5.8666854400600703E-2</v>
      </c>
      <c r="F679" s="4">
        <v>5.8679936156229497E-2</v>
      </c>
      <c r="G679" s="4">
        <v>5.8673392999999997E-2</v>
      </c>
      <c r="H679" s="4">
        <v>0.20615156262884499</v>
      </c>
      <c r="I679" s="4">
        <v>0.206228088265622</v>
      </c>
      <c r="J679" s="4">
        <v>0.20618982999999999</v>
      </c>
      <c r="K679">
        <f t="shared" si="50"/>
        <v>1.8951506218292558E-2</v>
      </c>
      <c r="L679">
        <f t="shared" si="51"/>
        <v>7.1135420225663104E-3</v>
      </c>
      <c r="M679" s="1">
        <f t="shared" si="52"/>
        <v>1.2757379067464304E-2</v>
      </c>
      <c r="N679" s="1">
        <f t="shared" si="53"/>
        <v>2.2295890794646507E-4</v>
      </c>
      <c r="O679" s="1">
        <f t="shared" si="54"/>
        <v>3.7114166482902654E-4</v>
      </c>
    </row>
    <row r="680" spans="4:15" x14ac:dyDescent="0.25">
      <c r="D680" s="3">
        <v>45141</v>
      </c>
      <c r="E680" s="2">
        <v>5.7573175506068199E-2</v>
      </c>
      <c r="F680" s="2">
        <v>5.7591080293484101E-2</v>
      </c>
      <c r="G680" s="2">
        <v>5.7582124999999998E-2</v>
      </c>
      <c r="H680" s="2">
        <v>0.20470829068577301</v>
      </c>
      <c r="I680" s="2">
        <v>0.204758589622835</v>
      </c>
      <c r="J680" s="2">
        <v>0.20473345000000001</v>
      </c>
      <c r="K680">
        <f t="shared" si="50"/>
        <v>-1.7908070275413746E-2</v>
      </c>
      <c r="L680">
        <f t="shared" si="51"/>
        <v>-1.3880863229126517E-2</v>
      </c>
      <c r="M680" s="1">
        <f t="shared" si="52"/>
        <v>-1.5800863994419899E-2</v>
      </c>
      <c r="N680" s="1">
        <f t="shared" si="53"/>
        <v>3.109434988011029E-4</v>
      </c>
      <c r="O680" s="1">
        <f t="shared" si="54"/>
        <v>2.4568011266350338E-4</v>
      </c>
    </row>
    <row r="681" spans="4:15" x14ac:dyDescent="0.25">
      <c r="D681" s="5">
        <v>45140</v>
      </c>
      <c r="E681" s="4">
        <v>5.8622488759137802E-2</v>
      </c>
      <c r="F681" s="4">
        <v>5.8641740017709797E-2</v>
      </c>
      <c r="G681" s="4">
        <v>5.8632113E-2</v>
      </c>
      <c r="H681" s="4">
        <v>0.20758947106202799</v>
      </c>
      <c r="I681" s="4">
        <v>0.20764119601328901</v>
      </c>
      <c r="J681" s="4">
        <v>0.20761532999999999</v>
      </c>
      <c r="K681">
        <f t="shared" si="50"/>
        <v>-1.5068472532252519E-2</v>
      </c>
      <c r="L681">
        <f t="shared" si="51"/>
        <v>-8.7924976288686896E-3</v>
      </c>
      <c r="M681" s="1">
        <f t="shared" si="52"/>
        <v>-1.1784615113508094E-2</v>
      </c>
      <c r="N681" s="1">
        <f t="shared" si="53"/>
        <v>3.283398395004979E-4</v>
      </c>
      <c r="O681" s="1">
        <f t="shared" si="54"/>
        <v>2.4913840062300502E-4</v>
      </c>
    </row>
    <row r="682" spans="4:15" x14ac:dyDescent="0.25">
      <c r="D682" s="3">
        <v>45139</v>
      </c>
      <c r="E682" s="2">
        <v>5.9520266650794601E-2</v>
      </c>
      <c r="F682" s="2">
        <v>5.9537985234579698E-2</v>
      </c>
      <c r="G682" s="2">
        <v>5.9529126000000002E-2</v>
      </c>
      <c r="H682" s="2">
        <v>0.209441628618104</v>
      </c>
      <c r="I682" s="2">
        <v>0.20947233917761199</v>
      </c>
      <c r="J682" s="2">
        <v>0.20945697999999999</v>
      </c>
      <c r="K682">
        <f t="shared" si="50"/>
        <v>-5.7148268752563736E-3</v>
      </c>
      <c r="L682">
        <f t="shared" si="51"/>
        <v>-3.6027041354748102E-3</v>
      </c>
      <c r="M682" s="1">
        <f t="shared" si="52"/>
        <v>-4.609674283809451E-3</v>
      </c>
      <c r="N682" s="1">
        <f t="shared" si="53"/>
        <v>2.9764562283505645E-4</v>
      </c>
      <c r="O682" s="1">
        <f t="shared" si="54"/>
        <v>1.4661989067151092E-4</v>
      </c>
    </row>
    <row r="683" spans="4:15" x14ac:dyDescent="0.25">
      <c r="D683" s="5">
        <v>45138</v>
      </c>
      <c r="E683" s="4">
        <v>5.9863750104761602E-2</v>
      </c>
      <c r="F683" s="4">
        <v>5.9878805298076702E-2</v>
      </c>
      <c r="G683" s="4">
        <v>5.9871279999999999E-2</v>
      </c>
      <c r="H683" s="4">
        <v>0.21017675865402799</v>
      </c>
      <c r="I683" s="4">
        <v>0.21025188175434201</v>
      </c>
      <c r="J683" s="4">
        <v>0.21021432000000001</v>
      </c>
      <c r="K683">
        <f t="shared" si="50"/>
        <v>-3.7120459554661478E-3</v>
      </c>
      <c r="L683">
        <f t="shared" si="51"/>
        <v>-7.4520072939280313E-3</v>
      </c>
      <c r="M683" s="1">
        <f t="shared" si="52"/>
        <v>-5.6689530457898415E-3</v>
      </c>
      <c r="N683" s="1">
        <f t="shared" si="53"/>
        <v>2.5145935271636029E-4</v>
      </c>
      <c r="O683" s="1">
        <f t="shared" si="54"/>
        <v>3.5736433328622597E-4</v>
      </c>
    </row>
    <row r="684" spans="4:15" x14ac:dyDescent="0.25">
      <c r="D684" s="3">
        <v>45135</v>
      </c>
      <c r="E684" s="2">
        <v>6.0086404249310499E-2</v>
      </c>
      <c r="F684" s="2">
        <v>6.0102294104566002E-2</v>
      </c>
      <c r="G684" s="2">
        <v>6.0094353000000003E-2</v>
      </c>
      <c r="H684" s="2">
        <v>0.21176570242683501</v>
      </c>
      <c r="I684" s="2">
        <v>0.211819529760644</v>
      </c>
      <c r="J684" s="2">
        <v>0.2117926</v>
      </c>
      <c r="K684">
        <f t="shared" si="50"/>
        <v>7.3916977725985156E-3</v>
      </c>
      <c r="L684">
        <f t="shared" si="51"/>
        <v>1.8953892894586488E-3</v>
      </c>
      <c r="M684" s="1">
        <f t="shared" si="52"/>
        <v>4.515795037816195E-3</v>
      </c>
      <c r="N684" s="1">
        <f t="shared" si="53"/>
        <v>2.6441511493606403E-4</v>
      </c>
      <c r="O684" s="1">
        <f t="shared" si="54"/>
        <v>2.5415115452091688E-4</v>
      </c>
    </row>
    <row r="685" spans="4:15" x14ac:dyDescent="0.25">
      <c r="D685" s="5">
        <v>45134</v>
      </c>
      <c r="E685" s="4">
        <v>5.9648076349537699E-2</v>
      </c>
      <c r="F685" s="4">
        <v>5.9658751938909398E-2</v>
      </c>
      <c r="G685" s="4">
        <v>5.9653413000000002E-2</v>
      </c>
      <c r="H685" s="4">
        <v>0.21137627089982899</v>
      </c>
      <c r="I685" s="4">
        <v>0.21140755147773899</v>
      </c>
      <c r="J685" s="4">
        <v>0.21139193000000001</v>
      </c>
      <c r="K685">
        <f t="shared" si="50"/>
        <v>3.6538312154084096E-3</v>
      </c>
      <c r="L685">
        <f t="shared" si="51"/>
        <v>1.9034623331637412E-4</v>
      </c>
      <c r="M685" s="1">
        <f t="shared" si="52"/>
        <v>1.8415883323113934E-3</v>
      </c>
      <c r="N685" s="1">
        <f t="shared" si="53"/>
        <v>1.7896024443226635E-4</v>
      </c>
      <c r="O685" s="1">
        <f t="shared" si="54"/>
        <v>1.4797432385423739E-4</v>
      </c>
    </row>
    <row r="686" spans="4:15" x14ac:dyDescent="0.25">
      <c r="D686" s="3">
        <v>45133</v>
      </c>
      <c r="E686" s="2">
        <v>5.9427946586161601E-2</v>
      </c>
      <c r="F686" s="2">
        <v>5.9444550123644697E-2</v>
      </c>
      <c r="G686" s="2">
        <v>5.9436243E-2</v>
      </c>
      <c r="H686" s="2">
        <v>0.21132713440405701</v>
      </c>
      <c r="I686" s="2">
        <v>0.21137627089982899</v>
      </c>
      <c r="J686" s="2">
        <v>0.2113517</v>
      </c>
      <c r="K686">
        <f t="shared" si="50"/>
        <v>6.3446898315309141E-3</v>
      </c>
      <c r="L686">
        <f t="shared" si="51"/>
        <v>1.4689040128088582E-3</v>
      </c>
      <c r="M686" s="1">
        <f t="shared" si="52"/>
        <v>3.793470988321967E-3</v>
      </c>
      <c r="N686" s="1">
        <f t="shared" si="53"/>
        <v>2.7935038698688735E-4</v>
      </c>
      <c r="O686" s="1">
        <f t="shared" si="54"/>
        <v>2.324868726960048E-4</v>
      </c>
    </row>
    <row r="687" spans="4:15" x14ac:dyDescent="0.25">
      <c r="D687" s="5">
        <v>45132</v>
      </c>
      <c r="E687" s="4">
        <v>5.9053839385367603E-2</v>
      </c>
      <c r="F687" s="4">
        <v>5.9069187739599398E-2</v>
      </c>
      <c r="G687" s="4">
        <v>5.9061516000000001E-2</v>
      </c>
      <c r="H687" s="4">
        <v>0.21102834110621099</v>
      </c>
      <c r="I687" s="4">
        <v>0.211055064266267</v>
      </c>
      <c r="J687" s="4">
        <v>0.2110417</v>
      </c>
      <c r="K687">
        <f t="shared" si="50"/>
        <v>-5.2563760402223325E-3</v>
      </c>
      <c r="L687">
        <f t="shared" si="51"/>
        <v>-8.7583624608056354E-4</v>
      </c>
      <c r="M687" s="1">
        <f t="shared" si="52"/>
        <v>-2.9642910139833661E-3</v>
      </c>
      <c r="N687" s="1">
        <f t="shared" si="53"/>
        <v>2.5987064456312021E-4</v>
      </c>
      <c r="O687" s="1">
        <f t="shared" si="54"/>
        <v>1.2662502271353247E-4</v>
      </c>
    </row>
    <row r="688" spans="4:15" x14ac:dyDescent="0.25">
      <c r="D688" s="3">
        <v>45131</v>
      </c>
      <c r="E688" s="2">
        <v>5.9365853948126102E-2</v>
      </c>
      <c r="F688" s="2">
        <v>5.9381364940054499E-2</v>
      </c>
      <c r="G688" s="2">
        <v>5.9373606000000002E-2</v>
      </c>
      <c r="H688" s="2">
        <v>0.21122000675904001</v>
      </c>
      <c r="I688" s="2">
        <v>0.21123339177457201</v>
      </c>
      <c r="J688" s="2">
        <v>0.21122669999999999</v>
      </c>
      <c r="K688">
        <f t="shared" si="50"/>
        <v>5.6997710660218193E-3</v>
      </c>
      <c r="L688">
        <f t="shared" si="51"/>
        <v>8.5335889235373941E-3</v>
      </c>
      <c r="M688" s="1">
        <f t="shared" si="52"/>
        <v>7.1825452864469983E-3</v>
      </c>
      <c r="N688" s="1">
        <f t="shared" si="53"/>
        <v>2.6124389225065577E-4</v>
      </c>
      <c r="O688" s="1">
        <f t="shared" si="54"/>
        <v>6.3368009498784972E-5</v>
      </c>
    </row>
    <row r="689" spans="4:15" x14ac:dyDescent="0.25">
      <c r="D689" s="5">
        <v>45128</v>
      </c>
      <c r="E689" s="4">
        <v>5.9030831803450902E-2</v>
      </c>
      <c r="F689" s="4">
        <v>5.9043379170676702E-2</v>
      </c>
      <c r="G689" s="4">
        <v>5.9037107999999998E-2</v>
      </c>
      <c r="H689" s="4">
        <v>0.20942408376963301</v>
      </c>
      <c r="I689" s="4">
        <v>0.20945478918375501</v>
      </c>
      <c r="J689" s="4">
        <v>0.20943943000000001</v>
      </c>
      <c r="K689">
        <f t="shared" si="50"/>
        <v>-6.9663612047158319E-3</v>
      </c>
      <c r="L689">
        <f t="shared" si="51"/>
        <v>5.4768005664176389E-3</v>
      </c>
      <c r="M689" s="1">
        <f t="shared" si="52"/>
        <v>-4.5556890171566606E-4</v>
      </c>
      <c r="N689" s="1">
        <f t="shared" si="53"/>
        <v>2.1253356830758076E-4</v>
      </c>
      <c r="O689" s="1">
        <f t="shared" si="54"/>
        <v>1.466076092835358E-4</v>
      </c>
    </row>
    <row r="690" spans="4:15" x14ac:dyDescent="0.25">
      <c r="D690" s="3">
        <v>45127</v>
      </c>
      <c r="E690" s="2">
        <v>5.9444550123644697E-2</v>
      </c>
      <c r="F690" s="2">
        <v>5.9457981044795598E-2</v>
      </c>
      <c r="G690" s="2">
        <v>5.9451267000000002E-2</v>
      </c>
      <c r="H690" s="2">
        <v>0.20826391202932401</v>
      </c>
      <c r="I690" s="2">
        <v>0.20833333333333301</v>
      </c>
      <c r="J690" s="2">
        <v>0.20829861999999999</v>
      </c>
      <c r="K690">
        <f t="shared" si="50"/>
        <v>-3.1805826063161513E-3</v>
      </c>
      <c r="L690">
        <f t="shared" si="51"/>
        <v>-1.2914734083342427E-3</v>
      </c>
      <c r="M690" s="1">
        <f t="shared" si="52"/>
        <v>-2.1921202000585302E-3</v>
      </c>
      <c r="N690" s="1">
        <f t="shared" si="53"/>
        <v>2.25914800956225E-4</v>
      </c>
      <c r="O690" s="1">
        <f t="shared" si="54"/>
        <v>3.332777913218945E-4</v>
      </c>
    </row>
    <row r="691" spans="4:15" x14ac:dyDescent="0.25">
      <c r="D691" s="5">
        <v>45126</v>
      </c>
      <c r="E691" s="4">
        <v>5.9634203793928101E-2</v>
      </c>
      <c r="F691" s="4">
        <v>5.9647720562358703E-2</v>
      </c>
      <c r="G691" s="4">
        <v>5.964096E-2</v>
      </c>
      <c r="H691" s="4">
        <v>0.20855057351407699</v>
      </c>
      <c r="I691" s="4">
        <v>0.20858537399357599</v>
      </c>
      <c r="J691" s="4">
        <v>0.20856797999999999</v>
      </c>
      <c r="K691">
        <f t="shared" si="50"/>
        <v>-3.3100969395678526E-3</v>
      </c>
      <c r="L691">
        <f t="shared" si="51"/>
        <v>1.1158923947189869E-3</v>
      </c>
      <c r="M691" s="1">
        <f t="shared" si="52"/>
        <v>-9.9423077782698362E-4</v>
      </c>
      <c r="N691" s="1">
        <f t="shared" si="53"/>
        <v>2.2663566164263639E-4</v>
      </c>
      <c r="O691" s="1">
        <f t="shared" si="54"/>
        <v>1.6685437284763251E-4</v>
      </c>
    </row>
    <row r="692" spans="4:15" x14ac:dyDescent="0.25">
      <c r="D692" s="3">
        <v>45125</v>
      </c>
      <c r="E692" s="2">
        <v>5.9832588417607503E-2</v>
      </c>
      <c r="F692" s="2">
        <v>5.9845478973290997E-2</v>
      </c>
      <c r="G692" s="2">
        <v>5.9839033E-2</v>
      </c>
      <c r="H692" s="2">
        <v>0.20831163420477</v>
      </c>
      <c r="I692" s="2">
        <v>0.20835937825561501</v>
      </c>
      <c r="J692" s="2">
        <v>0.20833550000000001</v>
      </c>
      <c r="K692">
        <f t="shared" si="50"/>
        <v>6.3428879880726985E-3</v>
      </c>
      <c r="L692">
        <f t="shared" si="51"/>
        <v>7.416718169303449E-3</v>
      </c>
      <c r="M692" s="1">
        <f t="shared" si="52"/>
        <v>6.904761682820104E-3</v>
      </c>
      <c r="N692" s="1">
        <f t="shared" si="53"/>
        <v>2.1542052130912255E-4</v>
      </c>
      <c r="O692" s="1">
        <f t="shared" si="54"/>
        <v>2.29169060697822E-4</v>
      </c>
    </row>
    <row r="693" spans="4:15" x14ac:dyDescent="0.25">
      <c r="D693" s="5">
        <v>45124</v>
      </c>
      <c r="E693" s="4">
        <v>5.9454092522458798E-2</v>
      </c>
      <c r="F693" s="4">
        <v>5.94696496642938E-2</v>
      </c>
      <c r="G693" s="4">
        <v>5.9461872999999998E-2</v>
      </c>
      <c r="H693" s="4">
        <v>0.20677818903662001</v>
      </c>
      <c r="I693" s="4">
        <v>0.20682523267838701</v>
      </c>
      <c r="J693" s="4">
        <v>0.20680171</v>
      </c>
      <c r="K693">
        <f t="shared" si="50"/>
        <v>1.2785011026514859E-3</v>
      </c>
      <c r="L693">
        <f t="shared" si="51"/>
        <v>-7.2483711063083822E-3</v>
      </c>
      <c r="M693" s="1">
        <f t="shared" si="52"/>
        <v>-3.1831216720000092E-3</v>
      </c>
      <c r="N693" s="1">
        <f t="shared" si="53"/>
        <v>2.6163221994371844E-4</v>
      </c>
      <c r="O693" s="1">
        <f t="shared" si="54"/>
        <v>2.2748187994672418E-4</v>
      </c>
    </row>
    <row r="694" spans="4:15" x14ac:dyDescent="0.25">
      <c r="D694" s="3">
        <v>45121</v>
      </c>
      <c r="E694" s="2">
        <v>5.93781915777973E-2</v>
      </c>
      <c r="F694" s="2">
        <v>5.9393709018340797E-2</v>
      </c>
      <c r="G694" s="2">
        <v>5.9385948000000001E-2</v>
      </c>
      <c r="H694" s="2">
        <v>0.20828993959591799</v>
      </c>
      <c r="I694" s="2">
        <v>0.20833333333333301</v>
      </c>
      <c r="J694" s="2">
        <v>0.20831163</v>
      </c>
      <c r="K694">
        <f t="shared" si="50"/>
        <v>5.8495011652153206E-3</v>
      </c>
      <c r="L694">
        <f t="shared" si="51"/>
        <v>1.0102767694151193E-3</v>
      </c>
      <c r="M694" s="1">
        <f t="shared" si="52"/>
        <v>3.3174128159535448E-3</v>
      </c>
      <c r="N694" s="1">
        <f t="shared" si="53"/>
        <v>2.6129818696330533E-4</v>
      </c>
      <c r="O694" s="1">
        <f t="shared" si="54"/>
        <v>2.0831164066557694E-4</v>
      </c>
    </row>
    <row r="695" spans="4:15" x14ac:dyDescent="0.25">
      <c r="D695" s="5">
        <v>45120</v>
      </c>
      <c r="E695" s="4">
        <v>5.9032574174429399E-2</v>
      </c>
      <c r="F695" s="4">
        <v>5.9048608814776297E-2</v>
      </c>
      <c r="G695" s="4">
        <v>5.9040589999999997E-2</v>
      </c>
      <c r="H695" s="4">
        <v>0.20807757131858801</v>
      </c>
      <c r="I695" s="4">
        <v>0.20812520812520799</v>
      </c>
      <c r="J695" s="4">
        <v>0.20810139</v>
      </c>
      <c r="K695">
        <f t="shared" si="50"/>
        <v>-6.9962670564011065E-3</v>
      </c>
      <c r="L695">
        <f t="shared" si="51"/>
        <v>4.9947715717735264E-4</v>
      </c>
      <c r="M695" s="1">
        <f t="shared" si="52"/>
        <v>-3.0741743737967646E-3</v>
      </c>
      <c r="N695" s="1">
        <f t="shared" si="53"/>
        <v>2.7158672274275392E-4</v>
      </c>
      <c r="O695" s="1">
        <f t="shared" si="54"/>
        <v>2.289115253866532E-4</v>
      </c>
    </row>
    <row r="696" spans="4:15" x14ac:dyDescent="0.25">
      <c r="D696" s="3">
        <v>45119</v>
      </c>
      <c r="E696" s="2">
        <v>5.9449851078122999E-2</v>
      </c>
      <c r="F696" s="2">
        <v>5.9463284395050303E-2</v>
      </c>
      <c r="G696" s="2">
        <v>5.9456564000000003E-2</v>
      </c>
      <c r="H696" s="2">
        <v>0.207965061869606</v>
      </c>
      <c r="I696" s="2">
        <v>0.20802995631370899</v>
      </c>
      <c r="J696" s="2">
        <v>0.2079975</v>
      </c>
      <c r="K696">
        <f t="shared" si="50"/>
        <v>1.572619864881486E-2</v>
      </c>
      <c r="L696">
        <f t="shared" si="51"/>
        <v>1.8459805853765943E-2</v>
      </c>
      <c r="M696" s="1">
        <f t="shared" si="52"/>
        <v>1.715653838696005E-2</v>
      </c>
      <c r="N696" s="1">
        <f t="shared" si="53"/>
        <v>2.2593496871605362E-4</v>
      </c>
      <c r="O696" s="1">
        <f t="shared" si="54"/>
        <v>3.1199626968106056E-4</v>
      </c>
    </row>
    <row r="697" spans="4:15" x14ac:dyDescent="0.25">
      <c r="D697" s="5">
        <v>45118</v>
      </c>
      <c r="E697" s="4">
        <v>5.8527791921994199E-2</v>
      </c>
      <c r="F697" s="4">
        <v>5.8544238954165703E-2</v>
      </c>
      <c r="G697" s="4">
        <v>5.8536014999999997E-2</v>
      </c>
      <c r="H697" s="4">
        <v>0.20421499754941999</v>
      </c>
      <c r="I697" s="4">
        <v>0.20424002287488299</v>
      </c>
      <c r="J697" s="4">
        <v>0.20422750000000001</v>
      </c>
      <c r="K697">
        <f t="shared" si="50"/>
        <v>-7.0237275765405727E-4</v>
      </c>
      <c r="L697">
        <f t="shared" si="51"/>
        <v>-4.5645924511410474E-3</v>
      </c>
      <c r="M697" s="1">
        <f t="shared" si="52"/>
        <v>-2.7232506273918342E-3</v>
      </c>
      <c r="N697" s="1">
        <f t="shared" si="53"/>
        <v>2.8097287065927427E-4</v>
      </c>
      <c r="O697" s="1">
        <f t="shared" si="54"/>
        <v>1.2253651179690167E-4</v>
      </c>
    </row>
    <row r="698" spans="4:15" x14ac:dyDescent="0.25">
      <c r="D698" s="3">
        <v>45117</v>
      </c>
      <c r="E698" s="2">
        <v>5.8568583811643399E-2</v>
      </c>
      <c r="F698" s="2">
        <v>5.8585740230827799E-2</v>
      </c>
      <c r="G698" s="2">
        <v>5.8577157999999997E-2</v>
      </c>
      <c r="H698" s="2">
        <v>0.20514082917923199</v>
      </c>
      <c r="I698" s="2">
        <v>0.20518713066316499</v>
      </c>
      <c r="J698" s="2">
        <v>0.20516398999999999</v>
      </c>
      <c r="K698">
        <f t="shared" si="50"/>
        <v>2.738440704761036E-3</v>
      </c>
      <c r="L698">
        <f t="shared" si="51"/>
        <v>-1.5079292579498471E-3</v>
      </c>
      <c r="M698" s="1">
        <f t="shared" si="52"/>
        <v>5.1655904980681588E-4</v>
      </c>
      <c r="N698" s="1">
        <f t="shared" si="53"/>
        <v>2.9288582393157086E-4</v>
      </c>
      <c r="O698" s="1">
        <f t="shared" si="54"/>
        <v>2.256803639517996E-4</v>
      </c>
    </row>
    <row r="699" spans="4:15" x14ac:dyDescent="0.25">
      <c r="D699" s="5">
        <v>45114</v>
      </c>
      <c r="E699" s="4">
        <v>5.8408485584785799E-2</v>
      </c>
      <c r="F699" s="4">
        <v>5.8425889680235099E-2</v>
      </c>
      <c r="G699" s="4">
        <v>5.8417186000000003E-2</v>
      </c>
      <c r="H699" s="4">
        <v>0.20544427324088299</v>
      </c>
      <c r="I699" s="4">
        <v>0.20550338053061001</v>
      </c>
      <c r="J699" s="4">
        <v>0.20547383</v>
      </c>
      <c r="K699">
        <f t="shared" si="50"/>
        <v>5.9147260060734563E-3</v>
      </c>
      <c r="L699">
        <f t="shared" si="51"/>
        <v>7.4073729058701243E-3</v>
      </c>
      <c r="M699" s="1">
        <f t="shared" si="52"/>
        <v>6.6957424490838198E-3</v>
      </c>
      <c r="N699" s="1">
        <f t="shared" si="53"/>
        <v>2.9792765863970036E-4</v>
      </c>
      <c r="O699" s="1">
        <f t="shared" si="54"/>
        <v>2.8766334733246971E-4</v>
      </c>
    </row>
    <row r="700" spans="4:15" x14ac:dyDescent="0.25">
      <c r="D700" s="3">
        <v>45113</v>
      </c>
      <c r="E700" s="2">
        <v>5.8065939681101901E-2</v>
      </c>
      <c r="F700" s="2">
        <v>5.80814534302906E-2</v>
      </c>
      <c r="G700" s="2">
        <v>5.8073696000000001E-2</v>
      </c>
      <c r="H700" s="2">
        <v>0.20394012317983401</v>
      </c>
      <c r="I700" s="2">
        <v>0.20398588417681501</v>
      </c>
      <c r="J700" s="2">
        <v>0.20396300000000001</v>
      </c>
      <c r="K700">
        <f t="shared" si="50"/>
        <v>-1.2108395312625975E-2</v>
      </c>
      <c r="L700">
        <f t="shared" si="51"/>
        <v>-9.2803554492033591E-3</v>
      </c>
      <c r="M700" s="1">
        <f t="shared" si="52"/>
        <v>-1.0628644384846116E-2</v>
      </c>
      <c r="N700" s="1">
        <f t="shared" si="53"/>
        <v>2.6713900194502704E-4</v>
      </c>
      <c r="O700" s="1">
        <f t="shared" si="54"/>
        <v>2.2435930527107148E-4</v>
      </c>
    </row>
    <row r="701" spans="4:15" x14ac:dyDescent="0.25">
      <c r="D701" s="5">
        <v>45112</v>
      </c>
      <c r="E701" s="4">
        <v>5.8779617579808E-2</v>
      </c>
      <c r="F701" s="4">
        <v>5.8791367075658602E-2</v>
      </c>
      <c r="G701" s="4">
        <v>5.8785494000000001E-2</v>
      </c>
      <c r="H701" s="4">
        <v>0.205858739732795</v>
      </c>
      <c r="I701" s="4">
        <v>0.20588840848260201</v>
      </c>
      <c r="J701" s="4">
        <v>0.20587358</v>
      </c>
      <c r="K701">
        <f t="shared" si="50"/>
        <v>5.8790534703478947E-4</v>
      </c>
      <c r="L701">
        <f t="shared" si="51"/>
        <v>-8.0598852169814217E-3</v>
      </c>
      <c r="M701" s="1">
        <f t="shared" si="52"/>
        <v>-3.9369870619646776E-3</v>
      </c>
      <c r="N701" s="1">
        <f t="shared" si="53"/>
        <v>1.9987066623276199E-4</v>
      </c>
      <c r="O701" s="1">
        <f t="shared" si="54"/>
        <v>1.4411149700221241E-4</v>
      </c>
    </row>
    <row r="702" spans="4:15" x14ac:dyDescent="0.25">
      <c r="D702" s="3">
        <v>45111</v>
      </c>
      <c r="E702" s="2">
        <v>5.8741291603519798E-2</v>
      </c>
      <c r="F702" s="2">
        <v>5.8760620982242502E-2</v>
      </c>
      <c r="G702" s="2">
        <v>5.8750954000000001E-2</v>
      </c>
      <c r="H702" s="2">
        <v>0.207533464771194</v>
      </c>
      <c r="I702" s="2">
        <v>0.207559310072853</v>
      </c>
      <c r="J702" s="2">
        <v>0.20754638</v>
      </c>
      <c r="K702">
        <f t="shared" si="50"/>
        <v>2.776048669094644E-3</v>
      </c>
      <c r="L702">
        <f t="shared" si="51"/>
        <v>-6.6622988719305942E-3</v>
      </c>
      <c r="M702" s="1">
        <f t="shared" si="52"/>
        <v>-2.1624968270915687E-3</v>
      </c>
      <c r="N702" s="1">
        <f t="shared" si="53"/>
        <v>3.2900535917603071E-4</v>
      </c>
      <c r="O702" s="1">
        <f t="shared" si="54"/>
        <v>1.2452783642383884E-4</v>
      </c>
    </row>
    <row r="703" spans="4:15" x14ac:dyDescent="0.25">
      <c r="D703" s="5">
        <v>45110</v>
      </c>
      <c r="E703" s="4">
        <v>5.8580592249787601E-2</v>
      </c>
      <c r="F703" s="4">
        <v>5.85960389077698E-2</v>
      </c>
      <c r="G703" s="4">
        <v>5.8588309999999998E-2</v>
      </c>
      <c r="H703" s="4">
        <v>0.208912194204776</v>
      </c>
      <c r="I703" s="4">
        <v>0.208964580503605</v>
      </c>
      <c r="J703" s="4">
        <v>0.20893839</v>
      </c>
      <c r="K703">
        <f t="shared" si="50"/>
        <v>4.8187758179329965E-3</v>
      </c>
      <c r="L703">
        <f t="shared" si="51"/>
        <v>7.918788925157294E-3</v>
      </c>
      <c r="M703" s="1">
        <f t="shared" si="52"/>
        <v>6.4408347326164643E-3</v>
      </c>
      <c r="N703" s="1">
        <f t="shared" si="53"/>
        <v>2.6364744062764054E-4</v>
      </c>
      <c r="O703" s="1">
        <f t="shared" si="54"/>
        <v>2.507260577101446E-4</v>
      </c>
    </row>
    <row r="704" spans="4:15" x14ac:dyDescent="0.25">
      <c r="D704" s="3">
        <v>45107</v>
      </c>
      <c r="E704" s="2">
        <v>5.8301219078490903E-2</v>
      </c>
      <c r="F704" s="2">
        <v>5.8313458163009403E-2</v>
      </c>
      <c r="G704" s="2">
        <v>5.8307339999999999E-2</v>
      </c>
      <c r="H704" s="2">
        <v>0.207283958294468</v>
      </c>
      <c r="I704" s="2">
        <v>0.20730974148475201</v>
      </c>
      <c r="J704" s="2">
        <v>0.20729685</v>
      </c>
      <c r="K704">
        <f t="shared" si="50"/>
        <v>-9.6200559370285266E-4</v>
      </c>
      <c r="L704">
        <f t="shared" si="51"/>
        <v>9.1935865722343468E-3</v>
      </c>
      <c r="M704" s="1">
        <f t="shared" si="52"/>
        <v>4.3518328440312589E-3</v>
      </c>
      <c r="N704" s="1">
        <f t="shared" si="53"/>
        <v>2.0990641175708808E-4</v>
      </c>
      <c r="O704" s="1">
        <f t="shared" si="54"/>
        <v>1.2437810938281123E-4</v>
      </c>
    </row>
    <row r="705" spans="4:15" x14ac:dyDescent="0.25">
      <c r="D705" s="5">
        <v>45106</v>
      </c>
      <c r="E705" s="4">
        <v>5.83573571120111E-2</v>
      </c>
      <c r="F705" s="4">
        <v>5.83696197802967E-2</v>
      </c>
      <c r="G705" s="4">
        <v>5.8363485999999999E-2</v>
      </c>
      <c r="H705" s="4">
        <v>0.20538519994249199</v>
      </c>
      <c r="I705" s="4">
        <v>0.205431611816426</v>
      </c>
      <c r="J705" s="4">
        <v>0.20540841000000001</v>
      </c>
      <c r="K705">
        <f t="shared" si="50"/>
        <v>-1.7217560704341217E-3</v>
      </c>
      <c r="L705">
        <f t="shared" si="51"/>
        <v>-2.464888954460398E-3</v>
      </c>
      <c r="M705" s="1">
        <f t="shared" si="52"/>
        <v>-2.1105948519606157E-3</v>
      </c>
      <c r="N705" s="1">
        <f t="shared" si="53"/>
        <v>2.1010856489277329E-4</v>
      </c>
      <c r="O705" s="1">
        <f t="shared" si="54"/>
        <v>2.2594923905016692E-4</v>
      </c>
    </row>
    <row r="706" spans="4:15" x14ac:dyDescent="0.25">
      <c r="D706" s="3">
        <v>45105</v>
      </c>
      <c r="E706" s="2">
        <v>5.8458336743402999E-2</v>
      </c>
      <c r="F706" s="2">
        <v>5.8469958135510001E-2</v>
      </c>
      <c r="G706" s="2">
        <v>5.8464147000000001E-2</v>
      </c>
      <c r="H706" s="2">
        <v>0.20588840848260201</v>
      </c>
      <c r="I706" s="2">
        <v>0.20594353028399601</v>
      </c>
      <c r="J706" s="2">
        <v>0.20591597</v>
      </c>
      <c r="K706">
        <f t="shared" si="50"/>
        <v>-1.1984938745316365E-3</v>
      </c>
      <c r="L706">
        <f t="shared" si="51"/>
        <v>-1.1644554468656754E-2</v>
      </c>
      <c r="M706" s="1">
        <f t="shared" si="52"/>
        <v>-6.6643177675137655E-3</v>
      </c>
      <c r="N706" s="1">
        <f t="shared" si="53"/>
        <v>1.9877810082481783E-4</v>
      </c>
      <c r="O706" s="1">
        <f t="shared" si="54"/>
        <v>2.676907546024625E-4</v>
      </c>
    </row>
    <row r="707" spans="4:15" x14ac:dyDescent="0.25">
      <c r="D707" s="5">
        <v>45104</v>
      </c>
      <c r="E707" s="4">
        <v>5.85291621550438E-2</v>
      </c>
      <c r="F707" s="4">
        <v>5.8539440948338899E-2</v>
      </c>
      <c r="G707" s="4">
        <v>5.8534299999999997E-2</v>
      </c>
      <c r="H707" s="4">
        <v>0.208320313313751</v>
      </c>
      <c r="I707" s="4">
        <v>0.20836371970912401</v>
      </c>
      <c r="J707" s="4">
        <v>0.20834201999999999</v>
      </c>
      <c r="K707">
        <f t="shared" si="50"/>
        <v>4.0973356339819578E-3</v>
      </c>
      <c r="L707">
        <f t="shared" si="51"/>
        <v>-4.7084087613473713E-3</v>
      </c>
      <c r="M707" s="1">
        <f t="shared" si="52"/>
        <v>-5.1020494821160927E-4</v>
      </c>
      <c r="N707" s="1">
        <f t="shared" si="53"/>
        <v>1.7560290795480139E-4</v>
      </c>
      <c r="O707" s="1">
        <f t="shared" si="54"/>
        <v>2.0834201076195741E-4</v>
      </c>
    </row>
    <row r="708" spans="4:15" x14ac:dyDescent="0.25">
      <c r="D708" s="3">
        <v>45103</v>
      </c>
      <c r="E708" s="2">
        <v>5.8288985130479899E-2</v>
      </c>
      <c r="F708" s="2">
        <v>5.8301898892846898E-2</v>
      </c>
      <c r="G708" s="2">
        <v>5.8295444000000002E-2</v>
      </c>
      <c r="H708" s="2">
        <v>0.209301352086734</v>
      </c>
      <c r="I708" s="2">
        <v>0.209353933760415</v>
      </c>
      <c r="J708" s="2">
        <v>0.20932761999999999</v>
      </c>
      <c r="K708">
        <f t="shared" si="50"/>
        <v>2.5359262234108115E-3</v>
      </c>
      <c r="L708">
        <f t="shared" si="51"/>
        <v>-2.0948411884946783E-4</v>
      </c>
      <c r="M708" s="1">
        <f t="shared" si="52"/>
        <v>1.0994105810254091E-3</v>
      </c>
      <c r="N708" s="1">
        <f t="shared" si="53"/>
        <v>2.2152266937016903E-4</v>
      </c>
      <c r="O708" s="1">
        <f t="shared" si="54"/>
        <v>2.5119319505469877E-4</v>
      </c>
    </row>
    <row r="709" spans="4:15" x14ac:dyDescent="0.25">
      <c r="D709" s="5">
        <v>45100</v>
      </c>
      <c r="E709" s="4">
        <v>5.8135816895431097E-2</v>
      </c>
      <c r="F709" s="4">
        <v>5.8160161452608203E-2</v>
      </c>
      <c r="G709" s="4">
        <v>5.8147984999999999E-2</v>
      </c>
      <c r="H709" s="4">
        <v>0.209336403600586</v>
      </c>
      <c r="I709" s="4">
        <v>0.209406541860368</v>
      </c>
      <c r="J709" s="4">
        <v>0.20937148</v>
      </c>
      <c r="K709">
        <f t="shared" si="50"/>
        <v>-5.8153904432700632E-4</v>
      </c>
      <c r="L709">
        <f t="shared" si="51"/>
        <v>-1.6742552548743017E-4</v>
      </c>
      <c r="M709" s="1">
        <f t="shared" si="52"/>
        <v>-3.6485721051175533E-4</v>
      </c>
      <c r="N709" s="1">
        <f t="shared" si="53"/>
        <v>4.1866553376020848E-4</v>
      </c>
      <c r="O709" s="1">
        <f t="shared" si="54"/>
        <v>3.3499433534117846E-4</v>
      </c>
    </row>
    <row r="710" spans="4:15" x14ac:dyDescent="0.25">
      <c r="D710" s="3">
        <v>45099</v>
      </c>
      <c r="E710" s="2">
        <v>5.8173356602676002E-2</v>
      </c>
      <c r="F710" s="2">
        <v>5.8190282222868803E-2</v>
      </c>
      <c r="G710" s="2">
        <v>5.8181820000000002E-2</v>
      </c>
      <c r="H710" s="2">
        <v>0.209393387356827</v>
      </c>
      <c r="I710" s="2">
        <v>0.209419698016795</v>
      </c>
      <c r="J710" s="2">
        <v>0.20940654</v>
      </c>
      <c r="K710">
        <f t="shared" si="50"/>
        <v>-7.5636495536512971E-4</v>
      </c>
      <c r="L710">
        <f t="shared" si="51"/>
        <v>-1.2250588908249149E-3</v>
      </c>
      <c r="M710" s="1">
        <f t="shared" si="52"/>
        <v>-1.0016055882188849E-3</v>
      </c>
      <c r="N710" s="1">
        <f t="shared" si="53"/>
        <v>2.9090908797285578E-4</v>
      </c>
      <c r="O710" s="1">
        <f t="shared" si="54"/>
        <v>1.2564392672740081E-4</v>
      </c>
    </row>
    <row r="711" spans="4:15" x14ac:dyDescent="0.25">
      <c r="D711" s="5">
        <v>45098</v>
      </c>
      <c r="E711" s="4">
        <v>5.8217383710775998E-2</v>
      </c>
      <c r="F711" s="4">
        <v>5.8234334963894699E-2</v>
      </c>
      <c r="G711" s="4">
        <v>5.8225859999999997E-2</v>
      </c>
      <c r="H711" s="4">
        <v>0.20964800100631001</v>
      </c>
      <c r="I711" s="4">
        <v>0.20967877212111</v>
      </c>
      <c r="J711" s="4">
        <v>0.20966339000000001</v>
      </c>
      <c r="K711">
        <f t="shared" si="50"/>
        <v>-1.1790801733690959E-3</v>
      </c>
      <c r="L711">
        <f t="shared" si="51"/>
        <v>4.1932508633522048E-3</v>
      </c>
      <c r="M711" s="1">
        <f t="shared" si="52"/>
        <v>1.631952280150772E-3</v>
      </c>
      <c r="N711" s="1">
        <f t="shared" si="53"/>
        <v>2.911292872050455E-4</v>
      </c>
      <c r="O711" s="1">
        <f t="shared" si="54"/>
        <v>1.467643673985613E-4</v>
      </c>
    </row>
    <row r="712" spans="4:15" x14ac:dyDescent="0.25">
      <c r="D712" s="3">
        <v>45097</v>
      </c>
      <c r="E712" s="2">
        <v>5.8283889167356398E-2</v>
      </c>
      <c r="F712" s="2">
        <v>5.8305298202447703E-2</v>
      </c>
      <c r="G712" s="2">
        <v>5.8294593999999998E-2</v>
      </c>
      <c r="H712" s="2">
        <v>0.20876390889543001</v>
      </c>
      <c r="I712" s="2">
        <v>0.20881186051367701</v>
      </c>
      <c r="J712" s="2">
        <v>0.20878789</v>
      </c>
      <c r="K712">
        <f t="shared" si="50"/>
        <v>-2.2005657414138069E-3</v>
      </c>
      <c r="L712">
        <f t="shared" si="51"/>
        <v>-4.1130893268883639E-3</v>
      </c>
      <c r="M712" s="1">
        <f t="shared" si="52"/>
        <v>-3.2012795526334889E-3</v>
      </c>
      <c r="N712" s="1">
        <f t="shared" si="53"/>
        <v>3.6725592584631214E-4</v>
      </c>
      <c r="O712" s="1">
        <f t="shared" si="54"/>
        <v>2.296666643213822E-4</v>
      </c>
    </row>
    <row r="713" spans="4:15" x14ac:dyDescent="0.25">
      <c r="D713" s="5">
        <v>45096</v>
      </c>
      <c r="E713" s="4">
        <v>5.8416674455556601E-2</v>
      </c>
      <c r="F713" s="4">
        <v>5.8429644864618498E-2</v>
      </c>
      <c r="G713" s="4">
        <v>5.8423158000000003E-2</v>
      </c>
      <c r="H713" s="4">
        <v>0.20961723892172901</v>
      </c>
      <c r="I713" s="4">
        <v>0.20968316873204601</v>
      </c>
      <c r="J713" s="4">
        <v>0.20965020000000001</v>
      </c>
      <c r="K713">
        <f t="shared" si="50"/>
        <v>1.1392355520729591E-3</v>
      </c>
      <c r="L713">
        <f t="shared" si="51"/>
        <v>1.1530764232595914E-2</v>
      </c>
      <c r="M713" s="1">
        <f t="shared" si="52"/>
        <v>6.5765260248617976E-3</v>
      </c>
      <c r="N713" s="1">
        <f t="shared" si="53"/>
        <v>2.220080102807264E-4</v>
      </c>
      <c r="O713" s="1">
        <f t="shared" si="54"/>
        <v>3.144753037058886E-4</v>
      </c>
    </row>
    <row r="714" spans="4:15" x14ac:dyDescent="0.25">
      <c r="D714" s="3">
        <v>45093</v>
      </c>
      <c r="E714" s="2">
        <v>5.8350206267979203E-2</v>
      </c>
      <c r="F714" s="2">
        <v>5.83631471743482E-2</v>
      </c>
      <c r="G714" s="2">
        <v>5.8356676000000003E-2</v>
      </c>
      <c r="H714" s="2">
        <v>0.207245295531791</v>
      </c>
      <c r="I714" s="2">
        <v>0.207275365322831</v>
      </c>
      <c r="J714" s="2">
        <v>0.20726032999999999</v>
      </c>
      <c r="K714">
        <f t="shared" si="50"/>
        <v>4.7268583297479516E-3</v>
      </c>
      <c r="L714">
        <f t="shared" si="51"/>
        <v>-1.7616763981022077E-3</v>
      </c>
      <c r="M714" s="1">
        <f t="shared" si="52"/>
        <v>1.3317805560393264E-3</v>
      </c>
      <c r="N714" s="1">
        <f t="shared" si="53"/>
        <v>2.2175537155331971E-4</v>
      </c>
      <c r="O714" s="1">
        <f t="shared" si="54"/>
        <v>1.4508223083503223E-4</v>
      </c>
    </row>
    <row r="715" spans="4:15" x14ac:dyDescent="0.25">
      <c r="D715" s="5">
        <v>45092</v>
      </c>
      <c r="E715" s="4">
        <v>5.8071334827702402E-2</v>
      </c>
      <c r="F715" s="4">
        <v>5.80929254435395E-2</v>
      </c>
      <c r="G715" s="4">
        <v>5.8082130000000003E-2</v>
      </c>
      <c r="H715" s="4">
        <v>0.207593780490336</v>
      </c>
      <c r="I715" s="4">
        <v>0.20765844339230799</v>
      </c>
      <c r="J715" s="4">
        <v>0.20762610000000001</v>
      </c>
      <c r="K715">
        <f t="shared" si="50"/>
        <v>-5.8081406743584196E-3</v>
      </c>
      <c r="L715">
        <f t="shared" si="51"/>
        <v>5.1075409751311085E-3</v>
      </c>
      <c r="M715" s="1">
        <f t="shared" si="52"/>
        <v>-9.6591039894196058E-5</v>
      </c>
      <c r="N715" s="1">
        <f t="shared" si="53"/>
        <v>3.7172562089404229E-4</v>
      </c>
      <c r="O715" s="1">
        <f t="shared" si="54"/>
        <v>3.114391782728193E-4</v>
      </c>
    </row>
    <row r="716" spans="4:15" x14ac:dyDescent="0.25">
      <c r="D716" s="3">
        <v>45091</v>
      </c>
      <c r="E716" s="2">
        <v>5.8414285797734701E-2</v>
      </c>
      <c r="F716" s="2">
        <v>5.8428620675551698E-2</v>
      </c>
      <c r="G716" s="2">
        <v>5.842145E-2</v>
      </c>
      <c r="H716" s="2">
        <v>0.206543291473893</v>
      </c>
      <c r="I716" s="2">
        <v>0.206598764539388</v>
      </c>
      <c r="J716" s="2">
        <v>0.20657102999999999</v>
      </c>
      <c r="K716">
        <f t="shared" si="50"/>
        <v>7.2441504739204632E-3</v>
      </c>
      <c r="L716">
        <f t="shared" si="51"/>
        <v>2.3858770905478277E-3</v>
      </c>
      <c r="M716" s="1">
        <f t="shared" si="52"/>
        <v>4.7020948828958844E-3</v>
      </c>
      <c r="N716" s="1">
        <f t="shared" si="53"/>
        <v>2.4537011349422922E-4</v>
      </c>
      <c r="O716" s="1">
        <f t="shared" si="54"/>
        <v>2.6854232897516485E-4</v>
      </c>
    </row>
    <row r="717" spans="4:15" x14ac:dyDescent="0.25">
      <c r="D717" s="5">
        <v>45090</v>
      </c>
      <c r="E717" s="4">
        <v>5.7994548512439799E-2</v>
      </c>
      <c r="F717" s="4">
        <v>5.8008005104704399E-2</v>
      </c>
      <c r="G717" s="4">
        <v>5.8001280000000002E-2</v>
      </c>
      <c r="H717" s="4">
        <v>0.20606660072535399</v>
      </c>
      <c r="I717" s="4">
        <v>0.20609208194221201</v>
      </c>
      <c r="J717" s="4">
        <v>0.20607934999999999</v>
      </c>
      <c r="K717">
        <f t="shared" si="50"/>
        <v>4.6981941970500873E-3</v>
      </c>
      <c r="L717">
        <f t="shared" si="51"/>
        <v>6.5946124745053236E-3</v>
      </c>
      <c r="M717" s="1">
        <f t="shared" si="52"/>
        <v>5.6904810250465098E-3</v>
      </c>
      <c r="N717" s="1">
        <f t="shared" si="53"/>
        <v>2.3200509134626757E-4</v>
      </c>
      <c r="O717" s="1">
        <f t="shared" si="54"/>
        <v>1.2364759913123465E-4</v>
      </c>
    </row>
    <row r="718" spans="4:15" x14ac:dyDescent="0.25">
      <c r="D718" s="3">
        <v>45089</v>
      </c>
      <c r="E718" s="2">
        <v>5.7723056320385997E-2</v>
      </c>
      <c r="F718" s="2">
        <v>5.7737053909087198E-2</v>
      </c>
      <c r="G718" s="2">
        <v>5.7730053000000003E-2</v>
      </c>
      <c r="H718" s="2">
        <v>0.20470410022312699</v>
      </c>
      <c r="I718" s="2">
        <v>0.204754397100678</v>
      </c>
      <c r="J718" s="2">
        <v>0.20472924000000001</v>
      </c>
      <c r="K718">
        <f t="shared" si="50"/>
        <v>4.3299490493620141E-4</v>
      </c>
      <c r="L718">
        <f t="shared" si="51"/>
        <v>-1.4024219288217843E-3</v>
      </c>
      <c r="M718" s="1">
        <f t="shared" si="52"/>
        <v>-5.2737336912665994E-4</v>
      </c>
      <c r="N718" s="1">
        <f t="shared" si="53"/>
        <v>2.4246623680045126E-4</v>
      </c>
      <c r="O718" s="1">
        <f t="shared" si="54"/>
        <v>2.4567510508518133E-4</v>
      </c>
    </row>
    <row r="719" spans="4:15" x14ac:dyDescent="0.25">
      <c r="D719" s="5">
        <v>45086</v>
      </c>
      <c r="E719" s="4">
        <v>5.7696413014002898E-2</v>
      </c>
      <c r="F719" s="4">
        <v>5.7713728364566098E-2</v>
      </c>
      <c r="G719" s="4">
        <v>5.7705066999999999E-2</v>
      </c>
      <c r="H719" s="4">
        <v>0.204993645196999</v>
      </c>
      <c r="I719" s="4">
        <v>0.20503988025670999</v>
      </c>
      <c r="J719" s="4">
        <v>0.20501675999999999</v>
      </c>
      <c r="K719">
        <f t="shared" si="50"/>
        <v>5.842613188799417E-3</v>
      </c>
      <c r="L719">
        <f t="shared" si="51"/>
        <v>9.6870319652109238E-3</v>
      </c>
      <c r="M719" s="1">
        <f t="shared" si="52"/>
        <v>7.8541768604247601E-3</v>
      </c>
      <c r="N719" s="1">
        <f t="shared" si="53"/>
        <v>3.0006638001478075E-4</v>
      </c>
      <c r="O719" s="1">
        <f t="shared" si="54"/>
        <v>2.2551843913147263E-4</v>
      </c>
    </row>
    <row r="720" spans="4:15" x14ac:dyDescent="0.25">
      <c r="D720" s="3">
        <v>45085</v>
      </c>
      <c r="E720" s="2">
        <v>5.7362473469855998E-2</v>
      </c>
      <c r="F720" s="2">
        <v>5.7377284333132501E-2</v>
      </c>
      <c r="G720" s="2">
        <v>5.7369877E-2</v>
      </c>
      <c r="H720" s="2">
        <v>0.203025073596589</v>
      </c>
      <c r="I720" s="2">
        <v>0.20307454866681601</v>
      </c>
      <c r="J720" s="2">
        <v>0.20304981</v>
      </c>
      <c r="K720">
        <f t="shared" ref="K720:K783" si="55">G720/G721-1</f>
        <v>-3.1553666749762899E-3</v>
      </c>
      <c r="L720">
        <f t="shared" ref="L720:L783" si="56">J720/J721-1</f>
        <v>-5.989521168077161E-4</v>
      </c>
      <c r="M720" s="1">
        <f t="shared" ref="M720:M783" si="57">SUMPRODUCT(K720:L720,$O$11:$P$11)</f>
        <v>-1.8177416778301374E-3</v>
      </c>
      <c r="N720" s="1">
        <f t="shared" ref="N720:N783" si="58">(F720-E720)/G720</f>
        <v>2.5816445931203379E-4</v>
      </c>
      <c r="O720" s="1">
        <f t="shared" ref="O720:O783" si="59">(I720-H720)/J720</f>
        <v>2.4365977110252858E-4</v>
      </c>
    </row>
    <row r="721" spans="4:15" x14ac:dyDescent="0.25">
      <c r="D721" s="5">
        <v>45084</v>
      </c>
      <c r="E721" s="4">
        <v>5.7545014587661203E-2</v>
      </c>
      <c r="F721" s="4">
        <v>5.7557932058616999E-2</v>
      </c>
      <c r="G721" s="4">
        <v>5.7551472999999999E-2</v>
      </c>
      <c r="H721" s="4">
        <v>0.20315293352836</v>
      </c>
      <c r="I721" s="4">
        <v>0.203190084323885</v>
      </c>
      <c r="J721" s="4">
        <v>0.2031715</v>
      </c>
      <c r="K721">
        <f t="shared" si="55"/>
        <v>3.8415185690927611E-3</v>
      </c>
      <c r="L721">
        <f t="shared" si="56"/>
        <v>-1.8286622233520955E-4</v>
      </c>
      <c r="M721" s="1">
        <f t="shared" si="57"/>
        <v>1.7357890120660844E-3</v>
      </c>
      <c r="N721" s="1">
        <f t="shared" si="58"/>
        <v>2.2445074439356874E-4</v>
      </c>
      <c r="O721" s="1">
        <f t="shared" si="59"/>
        <v>1.8285436453928226E-4</v>
      </c>
    </row>
    <row r="722" spans="4:15" x14ac:dyDescent="0.25">
      <c r="D722" s="3">
        <v>45083</v>
      </c>
      <c r="E722" s="2">
        <v>5.7322686599675501E-2</v>
      </c>
      <c r="F722" s="2">
        <v>5.7339778324417001E-2</v>
      </c>
      <c r="G722" s="2">
        <v>5.7331234000000002E-2</v>
      </c>
      <c r="H722" s="2">
        <v>0.20318182741735599</v>
      </c>
      <c r="I722" s="2">
        <v>0.20323550930818601</v>
      </c>
      <c r="J722" s="2">
        <v>0.20320866000000001</v>
      </c>
      <c r="K722">
        <f t="shared" si="55"/>
        <v>1.7486279064982124E-3</v>
      </c>
      <c r="L722">
        <f t="shared" si="56"/>
        <v>4.6737362363447055E-4</v>
      </c>
      <c r="M722" s="1">
        <f t="shared" si="57"/>
        <v>1.0782210857488779E-3</v>
      </c>
      <c r="N722" s="1">
        <f t="shared" si="58"/>
        <v>2.9812239418219709E-4</v>
      </c>
      <c r="O722" s="1">
        <f t="shared" si="59"/>
        <v>2.6417127513178189E-4</v>
      </c>
    </row>
    <row r="723" spans="4:15" x14ac:dyDescent="0.25">
      <c r="D723" s="5">
        <v>45082</v>
      </c>
      <c r="E723" s="4">
        <v>5.7224934048263502E-2</v>
      </c>
      <c r="F723" s="4">
        <v>5.72373805885147E-2</v>
      </c>
      <c r="G723" s="4">
        <v>5.7231157999999997E-2</v>
      </c>
      <c r="H723" s="4">
        <v>0.20308692120227501</v>
      </c>
      <c r="I723" s="4">
        <v>0.20314055294858499</v>
      </c>
      <c r="J723" s="4">
        <v>0.20311372999999999</v>
      </c>
      <c r="K723">
        <f t="shared" si="55"/>
        <v>5.7235846724434936E-4</v>
      </c>
      <c r="L723">
        <f t="shared" si="56"/>
        <v>6.7332070185825987E-3</v>
      </c>
      <c r="M723" s="1">
        <f t="shared" si="57"/>
        <v>3.7959768743486806E-3</v>
      </c>
      <c r="N723" s="1">
        <f t="shared" si="58"/>
        <v>2.1747839264753713E-4</v>
      </c>
      <c r="O723" s="1">
        <f t="shared" si="59"/>
        <v>2.6404786279088306E-4</v>
      </c>
    </row>
    <row r="724" spans="4:15" x14ac:dyDescent="0.25">
      <c r="D724" s="3">
        <v>45079</v>
      </c>
      <c r="E724" s="2">
        <v>5.7189916273962603E-2</v>
      </c>
      <c r="F724" s="2">
        <v>5.7206928903228801E-2</v>
      </c>
      <c r="G724" s="2">
        <v>5.719842E-2</v>
      </c>
      <c r="H724" s="2">
        <v>0.201734920314706</v>
      </c>
      <c r="I724" s="2">
        <v>0.201775625504439</v>
      </c>
      <c r="J724" s="2">
        <v>0.20175526999999999</v>
      </c>
      <c r="K724">
        <f t="shared" si="55"/>
        <v>4.1182801850725426E-3</v>
      </c>
      <c r="L724">
        <f t="shared" si="56"/>
        <v>1.612020637353373E-2</v>
      </c>
      <c r="M724" s="1">
        <f t="shared" si="57"/>
        <v>1.039819923509154E-2</v>
      </c>
      <c r="N724" s="1">
        <f t="shared" si="58"/>
        <v>2.9743180434351954E-4</v>
      </c>
      <c r="O724" s="1">
        <f t="shared" si="59"/>
        <v>2.0175527376811061E-4</v>
      </c>
    </row>
    <row r="725" spans="4:15" x14ac:dyDescent="0.25">
      <c r="D725" s="5">
        <v>45078</v>
      </c>
      <c r="E725" s="4">
        <v>5.6956365728215601E-2</v>
      </c>
      <c r="F725" s="4">
        <v>5.6971292165877603E-2</v>
      </c>
      <c r="G725" s="4">
        <v>5.6963827000000002E-2</v>
      </c>
      <c r="H725" s="4">
        <v>0.19853087155052601</v>
      </c>
      <c r="I725" s="4">
        <v>0.19857818022955601</v>
      </c>
      <c r="J725" s="4">
        <v>0.19855453000000001</v>
      </c>
      <c r="K725">
        <f t="shared" si="55"/>
        <v>1.1577845852251079E-2</v>
      </c>
      <c r="L725">
        <f t="shared" si="56"/>
        <v>1.6976434906670113E-2</v>
      </c>
      <c r="M725" s="1">
        <f t="shared" si="57"/>
        <v>1.4402617619191673E-2</v>
      </c>
      <c r="N725" s="1">
        <f t="shared" si="58"/>
        <v>2.620336176149524E-4</v>
      </c>
      <c r="O725" s="1">
        <f t="shared" si="59"/>
        <v>2.3826542275310871E-4</v>
      </c>
    </row>
    <row r="726" spans="4:15" x14ac:dyDescent="0.25">
      <c r="D726" s="3">
        <v>45077</v>
      </c>
      <c r="E726" s="2">
        <v>5.6302502083192603E-2</v>
      </c>
      <c r="F726" s="2">
        <v>5.6321211131324198E-2</v>
      </c>
      <c r="G726" s="2">
        <v>5.6311857E-2</v>
      </c>
      <c r="H726" s="2">
        <v>0.19521717911176201</v>
      </c>
      <c r="I726" s="2">
        <v>0.19526292152383201</v>
      </c>
      <c r="J726" s="2">
        <v>0.19524005</v>
      </c>
      <c r="K726">
        <f t="shared" si="55"/>
        <v>-5.3214343247643958E-3</v>
      </c>
      <c r="L726">
        <f t="shared" si="56"/>
        <v>-1.2417266446151709E-2</v>
      </c>
      <c r="M726" s="1">
        <f t="shared" si="57"/>
        <v>-9.0342759649403442E-3</v>
      </c>
      <c r="N726" s="1">
        <f t="shared" si="58"/>
        <v>3.3223994249727246E-4</v>
      </c>
      <c r="O726" s="1">
        <f t="shared" si="59"/>
        <v>2.3428805754764206E-4</v>
      </c>
    </row>
    <row r="727" spans="4:15" x14ac:dyDescent="0.25">
      <c r="D727" s="5">
        <v>45076</v>
      </c>
      <c r="E727" s="4">
        <v>5.6605909656968198E-2</v>
      </c>
      <c r="F727" s="4">
        <v>5.6620332361351E-2</v>
      </c>
      <c r="G727" s="4">
        <v>5.6613120000000003E-2</v>
      </c>
      <c r="H727" s="4">
        <v>0.19767924565599901</v>
      </c>
      <c r="I727" s="4">
        <v>0.19771051226793701</v>
      </c>
      <c r="J727" s="4">
        <v>0.19769487999999999</v>
      </c>
      <c r="K727">
        <f t="shared" si="55"/>
        <v>-7.0625166236829573E-3</v>
      </c>
      <c r="L727">
        <f t="shared" si="56"/>
        <v>-9.845158711106694E-3</v>
      </c>
      <c r="M727" s="1">
        <f t="shared" si="57"/>
        <v>-8.5185135011672901E-3</v>
      </c>
      <c r="N727" s="1">
        <f t="shared" si="58"/>
        <v>2.5475904494933561E-4</v>
      </c>
      <c r="O727" s="1">
        <f t="shared" si="59"/>
        <v>1.5815590134657148E-4</v>
      </c>
    </row>
    <row r="728" spans="4:15" x14ac:dyDescent="0.25">
      <c r="D728" s="3">
        <v>45075</v>
      </c>
      <c r="E728" s="2">
        <v>5.7005392710150399E-2</v>
      </c>
      <c r="F728" s="2">
        <v>5.7026197835285501E-2</v>
      </c>
      <c r="G728" s="2">
        <v>5.7015795000000001E-2</v>
      </c>
      <c r="H728" s="2">
        <v>0.19964064683569599</v>
      </c>
      <c r="I728" s="2">
        <v>0.199680511182109</v>
      </c>
      <c r="J728" s="2">
        <v>0.19966057000000001</v>
      </c>
      <c r="K728">
        <f t="shared" si="55"/>
        <v>7.0984836556633457E-3</v>
      </c>
      <c r="L728">
        <f t="shared" si="56"/>
        <v>1.4972648492705964E-4</v>
      </c>
      <c r="M728" s="1">
        <f t="shared" si="57"/>
        <v>3.4625978948913182E-3</v>
      </c>
      <c r="N728" s="1">
        <f t="shared" si="58"/>
        <v>3.6490107934305588E-4</v>
      </c>
      <c r="O728" s="1">
        <f t="shared" si="59"/>
        <v>1.9966058602862826E-4</v>
      </c>
    </row>
    <row r="729" spans="4:15" x14ac:dyDescent="0.25">
      <c r="D729" s="5">
        <v>45072</v>
      </c>
      <c r="E729" s="4">
        <v>5.66091140673649E-2</v>
      </c>
      <c r="F729" s="4">
        <v>5.6618729475710602E-2</v>
      </c>
      <c r="G729" s="4">
        <v>5.6613921999999997E-2</v>
      </c>
      <c r="H729" s="4">
        <v>0.199620720630801</v>
      </c>
      <c r="I729" s="4">
        <v>0.19964064683569599</v>
      </c>
      <c r="J729" s="4">
        <v>0.19963068</v>
      </c>
      <c r="K729">
        <f t="shared" si="55"/>
        <v>8.9874935387659338E-3</v>
      </c>
      <c r="L729">
        <f t="shared" si="56"/>
        <v>-1.3973786107679409E-3</v>
      </c>
      <c r="M729" s="1">
        <f t="shared" si="57"/>
        <v>3.5536860465511248E-3</v>
      </c>
      <c r="N729" s="1">
        <f t="shared" si="58"/>
        <v>1.6984176340409724E-4</v>
      </c>
      <c r="O729" s="1">
        <f t="shared" si="59"/>
        <v>9.9815343488251926E-5</v>
      </c>
    </row>
    <row r="730" spans="4:15" x14ac:dyDescent="0.25">
      <c r="D730" s="3">
        <v>45071</v>
      </c>
      <c r="E730" s="2">
        <v>5.6100667036931097E-2</v>
      </c>
      <c r="F730" s="2">
        <v>5.6118612298955102E-2</v>
      </c>
      <c r="G730" s="2">
        <v>5.6109636999999997E-2</v>
      </c>
      <c r="H730" s="2">
        <v>0.19988806268489601</v>
      </c>
      <c r="I730" s="2">
        <v>0.199932023112142</v>
      </c>
      <c r="J730" s="2">
        <v>0.19991002999999999</v>
      </c>
      <c r="K730">
        <f t="shared" si="55"/>
        <v>9.8156766711987586E-5</v>
      </c>
      <c r="L730">
        <f t="shared" si="56"/>
        <v>-9.6856699888336895E-3</v>
      </c>
      <c r="M730" s="1">
        <f t="shared" si="57"/>
        <v>-5.0211581715274827E-3</v>
      </c>
      <c r="N730" s="1">
        <f t="shared" si="58"/>
        <v>3.1982495313603686E-4</v>
      </c>
      <c r="O730" s="1">
        <f t="shared" si="59"/>
        <v>2.1990105872125645E-4</v>
      </c>
    </row>
    <row r="731" spans="4:15" x14ac:dyDescent="0.25">
      <c r="D731" s="5">
        <v>45070</v>
      </c>
      <c r="E731" s="4">
        <v>5.6097834623583503E-2</v>
      </c>
      <c r="F731" s="4">
        <v>5.6110425317023899E-2</v>
      </c>
      <c r="G731" s="4">
        <v>5.6104130000000002E-2</v>
      </c>
      <c r="H731" s="4">
        <v>0.201824493420522</v>
      </c>
      <c r="I731" s="4">
        <v>0.201905992569859</v>
      </c>
      <c r="J731" s="4">
        <v>0.20186523000000001</v>
      </c>
      <c r="K731">
        <f t="shared" si="55"/>
        <v>9.0888652273071191E-3</v>
      </c>
      <c r="L731">
        <f t="shared" si="56"/>
        <v>1.8268747463983104E-3</v>
      </c>
      <c r="M731" s="1">
        <f t="shared" si="57"/>
        <v>5.2890824552750066E-3</v>
      </c>
      <c r="N731" s="1">
        <f t="shared" si="58"/>
        <v>2.2441651693725945E-4</v>
      </c>
      <c r="O731" s="1">
        <f t="shared" si="59"/>
        <v>4.0373049552416661E-4</v>
      </c>
    </row>
    <row r="732" spans="4:15" x14ac:dyDescent="0.25">
      <c r="D732" s="3">
        <v>45069</v>
      </c>
      <c r="E732" s="2">
        <v>5.5592308248230797E-2</v>
      </c>
      <c r="F732" s="2">
        <v>5.5605291399529598E-2</v>
      </c>
      <c r="G732" s="2">
        <v>5.5598799999999997E-2</v>
      </c>
      <c r="H732" s="2">
        <v>0.20147885479418901</v>
      </c>
      <c r="I732" s="2">
        <v>0.20151539577623701</v>
      </c>
      <c r="J732" s="2">
        <v>0.20149712</v>
      </c>
      <c r="K732">
        <f t="shared" si="55"/>
        <v>-5.7267263545133229E-3</v>
      </c>
      <c r="L732">
        <f t="shared" si="56"/>
        <v>3.4250429669380189E-4</v>
      </c>
      <c r="M732" s="1">
        <f t="shared" si="57"/>
        <v>-2.5510463355744952E-3</v>
      </c>
      <c r="N732" s="1">
        <f t="shared" si="58"/>
        <v>2.3351495533718372E-4</v>
      </c>
      <c r="O732" s="1">
        <f t="shared" si="59"/>
        <v>1.813474160226213E-4</v>
      </c>
    </row>
    <row r="733" spans="4:15" x14ac:dyDescent="0.25">
      <c r="D733" s="5">
        <v>45068</v>
      </c>
      <c r="E733" s="4">
        <v>5.5912776069331802E-2</v>
      </c>
      <c r="F733" s="4">
        <v>5.5925283820815401E-2</v>
      </c>
      <c r="G733" s="4">
        <v>5.5919033E-2</v>
      </c>
      <c r="H733" s="4">
        <v>0.201405812571751</v>
      </c>
      <c r="I733" s="4">
        <v>0.20145044319097499</v>
      </c>
      <c r="J733" s="4">
        <v>0.20142813000000001</v>
      </c>
      <c r="K733">
        <f t="shared" si="55"/>
        <v>-9.8416746289143875E-3</v>
      </c>
      <c r="L733">
        <f t="shared" si="56"/>
        <v>5.5493681249423332E-3</v>
      </c>
      <c r="M733" s="1">
        <f t="shared" si="57"/>
        <v>-1.7884254194227801E-3</v>
      </c>
      <c r="N733" s="1">
        <f t="shared" si="58"/>
        <v>2.2367610476381895E-4</v>
      </c>
      <c r="O733" s="1">
        <f t="shared" si="59"/>
        <v>2.2157093561855218E-4</v>
      </c>
    </row>
    <row r="734" spans="4:15" x14ac:dyDescent="0.25">
      <c r="D734" s="3">
        <v>45065</v>
      </c>
      <c r="E734" s="2">
        <v>5.6467505773802502E-2</v>
      </c>
      <c r="F734" s="2">
        <v>5.6482177049032203E-2</v>
      </c>
      <c r="G734" s="2">
        <v>5.6474839999999998E-2</v>
      </c>
      <c r="H734" s="2">
        <v>0.20030045067601401</v>
      </c>
      <c r="I734" s="2">
        <v>0.20033255203638001</v>
      </c>
      <c r="J734" s="2">
        <v>0.20031650000000001</v>
      </c>
      <c r="K734">
        <f t="shared" si="55"/>
        <v>2.3437249857072295E-3</v>
      </c>
      <c r="L734">
        <f t="shared" si="56"/>
        <v>-3.1049007566421594E-3</v>
      </c>
      <c r="M734" s="1">
        <f t="shared" si="57"/>
        <v>-5.0722810786373767E-4</v>
      </c>
      <c r="N734" s="1">
        <f t="shared" si="58"/>
        <v>2.5978427260176326E-4</v>
      </c>
      <c r="O734" s="1">
        <f t="shared" si="59"/>
        <v>1.602532011391655E-4</v>
      </c>
    </row>
    <row r="735" spans="4:15" x14ac:dyDescent="0.25">
      <c r="D735" s="5">
        <v>45064</v>
      </c>
      <c r="E735" s="4">
        <v>5.6336441227007698E-2</v>
      </c>
      <c r="F735" s="4">
        <v>5.6349139266897698E-2</v>
      </c>
      <c r="G735" s="4">
        <v>5.6342787999999998E-2</v>
      </c>
      <c r="H735" s="4">
        <v>0.200916177770634</v>
      </c>
      <c r="I735" s="4">
        <v>0.20096463022507999</v>
      </c>
      <c r="J735" s="4">
        <v>0.20094039999999999</v>
      </c>
      <c r="K735">
        <f t="shared" si="55"/>
        <v>-7.3246268230059419E-3</v>
      </c>
      <c r="L735">
        <f t="shared" si="56"/>
        <v>-3.2451266055738559E-3</v>
      </c>
      <c r="M735" s="1">
        <f t="shared" si="57"/>
        <v>-5.1900585272403182E-3</v>
      </c>
      <c r="N735" s="1">
        <f t="shared" si="58"/>
        <v>2.2537116711369542E-4</v>
      </c>
      <c r="O735" s="1">
        <f t="shared" si="59"/>
        <v>2.4112848608833878E-4</v>
      </c>
    </row>
    <row r="736" spans="4:15" x14ac:dyDescent="0.25">
      <c r="D736" s="3">
        <v>45063</v>
      </c>
      <c r="E736" s="2">
        <v>5.6752722711872101E-2</v>
      </c>
      <c r="F736" s="2">
        <v>5.6764320218883203E-2</v>
      </c>
      <c r="G736" s="2">
        <v>5.6758522999999998E-2</v>
      </c>
      <c r="H736" s="2">
        <v>0.20157226365652101</v>
      </c>
      <c r="I736" s="2">
        <v>0.20161696808403401</v>
      </c>
      <c r="J736" s="2">
        <v>0.20159460000000001</v>
      </c>
      <c r="K736">
        <f t="shared" si="55"/>
        <v>-8.4570022506306186E-3</v>
      </c>
      <c r="L736">
        <f t="shared" si="56"/>
        <v>-8.9105068427811629E-3</v>
      </c>
      <c r="M736" s="1">
        <f t="shared" si="57"/>
        <v>-8.6942951720164682E-3</v>
      </c>
      <c r="N736" s="1">
        <f t="shared" si="58"/>
        <v>2.0433066961770391E-4</v>
      </c>
      <c r="O736" s="1">
        <f t="shared" si="59"/>
        <v>2.2175409218800374E-4</v>
      </c>
    </row>
    <row r="737" spans="4:15" x14ac:dyDescent="0.25">
      <c r="D737" s="5">
        <v>45062</v>
      </c>
      <c r="E737" s="4">
        <v>5.7235087397978501E-2</v>
      </c>
      <c r="F737" s="4">
        <v>5.7250160300448799E-2</v>
      </c>
      <c r="G737" s="4">
        <v>5.7242623999999999E-2</v>
      </c>
      <c r="H737" s="4">
        <v>0.20339258837408</v>
      </c>
      <c r="I737" s="4">
        <v>0.20342155047905799</v>
      </c>
      <c r="J737" s="4">
        <v>0.20340706</v>
      </c>
      <c r="K737">
        <f t="shared" si="55"/>
        <v>6.1535491836863798E-3</v>
      </c>
      <c r="L737">
        <f t="shared" si="56"/>
        <v>-1.4239769320253393E-3</v>
      </c>
      <c r="M737" s="1">
        <f t="shared" si="57"/>
        <v>2.1886647260711892E-3</v>
      </c>
      <c r="N737" s="1">
        <f t="shared" si="58"/>
        <v>2.6331606444697227E-4</v>
      </c>
      <c r="O737" s="1">
        <f t="shared" si="59"/>
        <v>1.4238495447499222E-4</v>
      </c>
    </row>
    <row r="738" spans="4:15" x14ac:dyDescent="0.25">
      <c r="D738" s="3">
        <v>45061</v>
      </c>
      <c r="E738" s="2">
        <v>5.6886057227373603E-2</v>
      </c>
      <c r="F738" s="2">
        <v>5.68990042674253E-2</v>
      </c>
      <c r="G738" s="2">
        <v>5.6892533000000002E-2</v>
      </c>
      <c r="H738" s="2">
        <v>0.20368672980955299</v>
      </c>
      <c r="I738" s="2">
        <v>0.20370747606437201</v>
      </c>
      <c r="J738" s="2">
        <v>0.20369712000000001</v>
      </c>
      <c r="K738">
        <f t="shared" si="55"/>
        <v>2.218840850664705E-3</v>
      </c>
      <c r="L738">
        <f t="shared" si="56"/>
        <v>3.1879369894509679E-3</v>
      </c>
      <c r="M738" s="1">
        <f t="shared" si="57"/>
        <v>2.7259132328557169E-3</v>
      </c>
      <c r="N738" s="1">
        <f t="shared" si="58"/>
        <v>2.2757011103192282E-4</v>
      </c>
      <c r="O738" s="1">
        <f t="shared" si="59"/>
        <v>1.0184854267460999E-4</v>
      </c>
    </row>
    <row r="739" spans="4:15" x14ac:dyDescent="0.25">
      <c r="D739" s="5">
        <v>45058</v>
      </c>
      <c r="E739" s="4">
        <v>5.6758843027743699E-2</v>
      </c>
      <c r="F739" s="4">
        <v>5.67743107598674E-2</v>
      </c>
      <c r="G739" s="4">
        <v>5.6766576999999999E-2</v>
      </c>
      <c r="H739" s="4">
        <v>0.203025073596589</v>
      </c>
      <c r="I739" s="4">
        <v>0.20307454866681601</v>
      </c>
      <c r="J739" s="4">
        <v>0.20304981</v>
      </c>
      <c r="K739">
        <f t="shared" si="55"/>
        <v>1.4617424544471902E-3</v>
      </c>
      <c r="L739">
        <f t="shared" si="56"/>
        <v>1.0182982343547087E-2</v>
      </c>
      <c r="M739" s="1">
        <f t="shared" si="57"/>
        <v>6.0250666791869948E-3</v>
      </c>
      <c r="N739" s="1">
        <f t="shared" si="58"/>
        <v>2.7247956352379881E-4</v>
      </c>
      <c r="O739" s="1">
        <f t="shared" si="59"/>
        <v>2.4365977110252858E-4</v>
      </c>
    </row>
    <row r="740" spans="4:15" x14ac:dyDescent="0.25">
      <c r="D740" s="3">
        <v>45057</v>
      </c>
      <c r="E740" s="2">
        <v>5.66758481540676E-2</v>
      </c>
      <c r="F740" s="2">
        <v>5.6691592069980097E-2</v>
      </c>
      <c r="G740" s="2">
        <v>5.668372E-2</v>
      </c>
      <c r="H740" s="2">
        <v>0.20098078623683599</v>
      </c>
      <c r="I740" s="2">
        <v>0.20102522866619801</v>
      </c>
      <c r="J740" s="2">
        <v>0.20100299999999999</v>
      </c>
      <c r="K740">
        <f t="shared" si="55"/>
        <v>-9.7773680120527562E-4</v>
      </c>
      <c r="L740">
        <f t="shared" si="56"/>
        <v>-3.7989880731242875E-3</v>
      </c>
      <c r="M740" s="1">
        <f t="shared" si="57"/>
        <v>-2.4539356487242774E-3</v>
      </c>
      <c r="N740" s="1">
        <f t="shared" si="58"/>
        <v>2.7775022374144183E-4</v>
      </c>
      <c r="O740" s="1">
        <f t="shared" si="59"/>
        <v>2.211033136919539E-4</v>
      </c>
    </row>
    <row r="741" spans="4:15" x14ac:dyDescent="0.25">
      <c r="D741" s="5">
        <v>45056</v>
      </c>
      <c r="E741" s="4">
        <v>5.67334040609771E-2</v>
      </c>
      <c r="F741" s="4">
        <v>5.6744993672933203E-2</v>
      </c>
      <c r="G741" s="4">
        <v>5.6739195999999999E-2</v>
      </c>
      <c r="H741" s="4">
        <v>0.201734920314706</v>
      </c>
      <c r="I741" s="4">
        <v>0.20180412891247801</v>
      </c>
      <c r="J741" s="4">
        <v>0.20176952000000001</v>
      </c>
      <c r="K741">
        <f t="shared" si="55"/>
        <v>7.9717948654176585E-3</v>
      </c>
      <c r="L741">
        <f t="shared" si="56"/>
        <v>1.0118733414128389E-2</v>
      </c>
      <c r="M741" s="1">
        <f t="shared" si="57"/>
        <v>9.0951645712096345E-3</v>
      </c>
      <c r="N741" s="1">
        <f t="shared" si="58"/>
        <v>2.0426112411080336E-4</v>
      </c>
      <c r="O741" s="1">
        <f t="shared" si="59"/>
        <v>3.4300818960174756E-4</v>
      </c>
    </row>
    <row r="742" spans="4:15" x14ac:dyDescent="0.25">
      <c r="D742" s="3">
        <v>45055</v>
      </c>
      <c r="E742" s="2">
        <v>5.6285706244899099E-2</v>
      </c>
      <c r="F742" s="2">
        <v>5.6295212092211597E-2</v>
      </c>
      <c r="G742" s="2">
        <v>5.629046E-2</v>
      </c>
      <c r="H742" s="2">
        <v>0.19972438035511</v>
      </c>
      <c r="I742" s="2">
        <v>0.199772259624029</v>
      </c>
      <c r="J742" s="2">
        <v>0.19974832000000001</v>
      </c>
      <c r="K742">
        <f t="shared" si="55"/>
        <v>3.0397433208593228E-3</v>
      </c>
      <c r="L742">
        <f t="shared" si="56"/>
        <v>-9.5978829462278759E-3</v>
      </c>
      <c r="M742" s="1">
        <f t="shared" si="57"/>
        <v>-3.5728010903871227E-3</v>
      </c>
      <c r="N742" s="1">
        <f t="shared" si="58"/>
        <v>1.6887137380824162E-4</v>
      </c>
      <c r="O742" s="1">
        <f t="shared" si="59"/>
        <v>2.3969798053369786E-4</v>
      </c>
    </row>
    <row r="743" spans="4:15" x14ac:dyDescent="0.25">
      <c r="D743" s="5">
        <v>45054</v>
      </c>
      <c r="E743" s="4">
        <v>5.6113259001969597E-2</v>
      </c>
      <c r="F743" s="4">
        <v>5.6126486650315201E-2</v>
      </c>
      <c r="G743" s="4">
        <v>5.6119870000000002E-2</v>
      </c>
      <c r="H743" s="4">
        <v>0.20165355918531999</v>
      </c>
      <c r="I743" s="4">
        <v>0.20171457387796299</v>
      </c>
      <c r="J743" s="4">
        <v>0.20168406</v>
      </c>
      <c r="K743">
        <f t="shared" si="55"/>
        <v>2.2439155845721537E-4</v>
      </c>
      <c r="L743">
        <f t="shared" si="56"/>
        <v>1.7546247270661119E-3</v>
      </c>
      <c r="M743" s="1">
        <f t="shared" si="57"/>
        <v>1.0250747384418478E-3</v>
      </c>
      <c r="N743" s="1">
        <f t="shared" si="58"/>
        <v>2.3570347446642286E-4</v>
      </c>
      <c r="O743" s="1">
        <f t="shared" si="59"/>
        <v>3.0252610267264866E-4</v>
      </c>
    </row>
    <row r="744" spans="4:15" x14ac:dyDescent="0.25">
      <c r="D744" s="3">
        <v>45051</v>
      </c>
      <c r="E744" s="2">
        <v>5.6098464024055002E-2</v>
      </c>
      <c r="F744" s="2">
        <v>5.6116092973142802E-2</v>
      </c>
      <c r="G744" s="2">
        <v>5.6107280000000002E-2</v>
      </c>
      <c r="H744" s="2">
        <v>0.201296348484238</v>
      </c>
      <c r="I744" s="2">
        <v>0.20136525643865399</v>
      </c>
      <c r="J744" s="2">
        <v>0.2013308</v>
      </c>
      <c r="K744">
        <f t="shared" si="55"/>
        <v>9.4260241601127337E-3</v>
      </c>
      <c r="L744">
        <f t="shared" si="56"/>
        <v>1.0459136493249366E-2</v>
      </c>
      <c r="M744" s="1">
        <f t="shared" si="57"/>
        <v>9.9665925422039187E-3</v>
      </c>
      <c r="N744" s="1">
        <f t="shared" si="58"/>
        <v>3.1420074342937502E-4</v>
      </c>
      <c r="O744" s="1">
        <f t="shared" si="59"/>
        <v>3.4226235834754356E-4</v>
      </c>
    </row>
    <row r="745" spans="4:15" x14ac:dyDescent="0.25">
      <c r="D745" s="5">
        <v>45050</v>
      </c>
      <c r="E745" s="4">
        <v>5.55777866702237E-2</v>
      </c>
      <c r="F745" s="4">
        <v>5.55889089008961E-2</v>
      </c>
      <c r="G745" s="4">
        <v>5.5583349999999997E-2</v>
      </c>
      <c r="H745" s="4">
        <v>0.19918731575173301</v>
      </c>
      <c r="I745" s="4">
        <v>0.19930641368039201</v>
      </c>
      <c r="J745" s="4">
        <v>0.19924685</v>
      </c>
      <c r="K745">
        <f t="shared" si="55"/>
        <v>-4.5022157356183756E-3</v>
      </c>
      <c r="L745">
        <f t="shared" si="56"/>
        <v>-1.563998930441457E-3</v>
      </c>
      <c r="M745" s="1">
        <f t="shared" si="57"/>
        <v>-2.9648155385019938E-3</v>
      </c>
      <c r="N745" s="1">
        <f t="shared" si="58"/>
        <v>2.0010004205216395E-4</v>
      </c>
      <c r="O745" s="1">
        <f t="shared" si="59"/>
        <v>5.9774058490257432E-4</v>
      </c>
    </row>
    <row r="746" spans="4:15" x14ac:dyDescent="0.25">
      <c r="D746" s="3">
        <v>45049</v>
      </c>
      <c r="E746" s="2">
        <v>5.5827559833187303E-2</v>
      </c>
      <c r="F746" s="2">
        <v>5.5841900411554797E-2</v>
      </c>
      <c r="G746" s="2">
        <v>5.5834729999999999E-2</v>
      </c>
      <c r="H746" s="2">
        <v>0.19953309256340199</v>
      </c>
      <c r="I746" s="2">
        <v>0.19958486348395299</v>
      </c>
      <c r="J746" s="2">
        <v>0.19955896000000001</v>
      </c>
      <c r="K746">
        <f t="shared" si="55"/>
        <v>6.3651756132394599E-3</v>
      </c>
      <c r="L746">
        <f t="shared" si="56"/>
        <v>5.6774507102848037E-3</v>
      </c>
      <c r="M746" s="1">
        <f t="shared" si="57"/>
        <v>6.0053286477257384E-3</v>
      </c>
      <c r="N746" s="1">
        <f t="shared" si="58"/>
        <v>2.5683975488901553E-4</v>
      </c>
      <c r="O746" s="1">
        <f t="shared" si="59"/>
        <v>2.5942669049289029E-4</v>
      </c>
    </row>
    <row r="747" spans="4:15" x14ac:dyDescent="0.25">
      <c r="D747" s="5">
        <v>45048</v>
      </c>
      <c r="E747" s="4">
        <v>5.54769631910349E-2</v>
      </c>
      <c r="F747" s="4">
        <v>5.5486197808295203E-2</v>
      </c>
      <c r="G747" s="4">
        <v>5.5481580000000003E-2</v>
      </c>
      <c r="H747" s="4">
        <v>0.19840876173091801</v>
      </c>
      <c r="I747" s="4">
        <v>0.19845601222489001</v>
      </c>
      <c r="J747" s="4">
        <v>0.19843237</v>
      </c>
      <c r="K747">
        <f t="shared" si="55"/>
        <v>-5.548141292815445E-3</v>
      </c>
      <c r="L747">
        <f t="shared" si="56"/>
        <v>-1.0477305977228069E-2</v>
      </c>
      <c r="M747" s="1">
        <f t="shared" si="57"/>
        <v>-8.1272902324318226E-3</v>
      </c>
      <c r="N747" s="1">
        <f t="shared" si="58"/>
        <v>1.6644474184589235E-4</v>
      </c>
      <c r="O747" s="1">
        <f t="shared" si="59"/>
        <v>2.3811888137001476E-4</v>
      </c>
    </row>
    <row r="748" spans="4:15" x14ac:dyDescent="0.25">
      <c r="D748" s="3">
        <v>45047</v>
      </c>
      <c r="E748" s="2">
        <v>5.5784893450853502E-2</v>
      </c>
      <c r="F748" s="2">
        <v>5.5797344046423399E-2</v>
      </c>
      <c r="G748" s="2">
        <v>5.5791117000000001E-2</v>
      </c>
      <c r="H748" s="2">
        <v>0.20051331408405501</v>
      </c>
      <c r="I748" s="2">
        <v>0.20055352773655299</v>
      </c>
      <c r="J748" s="2">
        <v>0.20053341999999999</v>
      </c>
      <c r="K748">
        <f t="shared" si="55"/>
        <v>6.4159672570500703E-3</v>
      </c>
      <c r="L748">
        <f t="shared" si="56"/>
        <v>3.2385948655651031E-3</v>
      </c>
      <c r="M748" s="1">
        <f t="shared" si="57"/>
        <v>4.7534306694251129E-3</v>
      </c>
      <c r="N748" s="1">
        <f t="shared" si="58"/>
        <v>2.2316447921084172E-4</v>
      </c>
      <c r="O748" s="1">
        <f t="shared" si="59"/>
        <v>2.0053341980595294E-4</v>
      </c>
    </row>
    <row r="749" spans="4:15" x14ac:dyDescent="0.25">
      <c r="D749" s="5">
        <v>45044</v>
      </c>
      <c r="E749" s="4">
        <v>5.5428070992273301E-2</v>
      </c>
      <c r="F749" s="4">
        <v>5.54428218178592E-2</v>
      </c>
      <c r="G749" s="4">
        <v>5.5435445E-2</v>
      </c>
      <c r="H749" s="4">
        <v>0.199864092417156</v>
      </c>
      <c r="I749" s="4">
        <v>0.19990804230054199</v>
      </c>
      <c r="J749" s="4">
        <v>0.19988607</v>
      </c>
      <c r="K749">
        <f t="shared" si="55"/>
        <v>1.7185112444733086E-3</v>
      </c>
      <c r="L749">
        <f t="shared" si="56"/>
        <v>6.6957920688981432E-4</v>
      </c>
      <c r="M749" s="1">
        <f t="shared" si="57"/>
        <v>1.1696653191143557E-3</v>
      </c>
      <c r="N749" s="1">
        <f t="shared" si="58"/>
        <v>2.6609014477829354E-4</v>
      </c>
      <c r="O749" s="1">
        <f t="shared" si="59"/>
        <v>2.1987466853488498E-4</v>
      </c>
    </row>
    <row r="750" spans="4:15" x14ac:dyDescent="0.25">
      <c r="D750" s="3">
        <v>45043</v>
      </c>
      <c r="E750" s="2">
        <v>5.5334218680832201E-2</v>
      </c>
      <c r="F750" s="2">
        <v>5.5346468895284502E-2</v>
      </c>
      <c r="G750" s="2">
        <v>5.5340342000000001E-2</v>
      </c>
      <c r="H750" s="2">
        <v>0.19972836941759201</v>
      </c>
      <c r="I750" s="2">
        <v>0.19977625059932899</v>
      </c>
      <c r="J750" s="2">
        <v>0.19975232000000001</v>
      </c>
      <c r="K750">
        <f t="shared" si="55"/>
        <v>3.0713296036131155E-3</v>
      </c>
      <c r="L750">
        <f t="shared" si="56"/>
        <v>8.9289809122450325E-3</v>
      </c>
      <c r="M750" s="1">
        <f t="shared" si="57"/>
        <v>6.1363022974805738E-3</v>
      </c>
      <c r="N750" s="1">
        <f t="shared" si="58"/>
        <v>2.2136137959359757E-4</v>
      </c>
      <c r="O750" s="1">
        <f t="shared" si="59"/>
        <v>2.3970275657867797E-4</v>
      </c>
    </row>
    <row r="751" spans="4:15" x14ac:dyDescent="0.25">
      <c r="D751" s="5">
        <v>45042</v>
      </c>
      <c r="E751" s="4">
        <v>5.5165413492356798E-2</v>
      </c>
      <c r="F751" s="4">
        <v>5.5176371270767001E-2</v>
      </c>
      <c r="G751" s="4">
        <v>5.5170893999999998E-2</v>
      </c>
      <c r="H751" s="4">
        <v>0.197961001682669</v>
      </c>
      <c r="I751" s="4">
        <v>0.19800803912638901</v>
      </c>
      <c r="J751" s="4">
        <v>0.19798452</v>
      </c>
      <c r="K751">
        <f t="shared" si="55"/>
        <v>-2.3998612025634136E-3</v>
      </c>
      <c r="L751">
        <f t="shared" si="56"/>
        <v>3.6627429509992204E-3</v>
      </c>
      <c r="M751" s="1">
        <f t="shared" si="57"/>
        <v>7.7235155052665758E-4</v>
      </c>
      <c r="N751" s="1">
        <f t="shared" si="58"/>
        <v>1.9861520478901956E-4</v>
      </c>
      <c r="O751" s="1">
        <f t="shared" si="59"/>
        <v>2.3758142161824043E-4</v>
      </c>
    </row>
    <row r="752" spans="4:15" x14ac:dyDescent="0.25">
      <c r="D752" s="3">
        <v>45041</v>
      </c>
      <c r="E752" s="2">
        <v>5.5298112122452101E-2</v>
      </c>
      <c r="F752" s="2">
        <v>5.5309122686695897E-2</v>
      </c>
      <c r="G752" s="2">
        <v>5.5303615E-2</v>
      </c>
      <c r="H752" s="2">
        <v>0.19723865877711999</v>
      </c>
      <c r="I752" s="2">
        <v>0.19728535353535401</v>
      </c>
      <c r="J752" s="2">
        <v>0.19726199999999999</v>
      </c>
      <c r="K752">
        <f t="shared" si="55"/>
        <v>-2.6546227922056298E-3</v>
      </c>
      <c r="L752">
        <f t="shared" si="56"/>
        <v>-8.2851476634970833E-4</v>
      </c>
      <c r="M752" s="1">
        <f t="shared" si="57"/>
        <v>-1.6991252829816109E-3</v>
      </c>
      <c r="N752" s="1">
        <f t="shared" si="58"/>
        <v>1.9909302933987801E-4</v>
      </c>
      <c r="O752" s="1">
        <f t="shared" si="59"/>
        <v>2.3671441146301439E-4</v>
      </c>
    </row>
    <row r="753" spans="4:15" x14ac:dyDescent="0.25">
      <c r="D753" s="5">
        <v>45040</v>
      </c>
      <c r="E753" s="4">
        <v>5.5445281052129702E-2</v>
      </c>
      <c r="F753" s="4">
        <v>5.5456350306673598E-2</v>
      </c>
      <c r="G753" s="4">
        <v>5.5450816E-2</v>
      </c>
      <c r="H753" s="4">
        <v>0.19739829053080399</v>
      </c>
      <c r="I753" s="4">
        <v>0.19745285813012101</v>
      </c>
      <c r="J753" s="4">
        <v>0.19742556999999999</v>
      </c>
      <c r="K753">
        <f t="shared" si="55"/>
        <v>-1.9407242509895672E-3</v>
      </c>
      <c r="L753">
        <f t="shared" si="56"/>
        <v>-2.7442197469056406E-3</v>
      </c>
      <c r="M753" s="1">
        <f t="shared" si="57"/>
        <v>-2.3611473224344651E-3</v>
      </c>
      <c r="N753" s="1">
        <f t="shared" si="58"/>
        <v>1.9962293330174521E-4</v>
      </c>
      <c r="O753" s="1">
        <f t="shared" si="59"/>
        <v>2.763958048444183E-4</v>
      </c>
    </row>
    <row r="754" spans="4:15" x14ac:dyDescent="0.25">
      <c r="D754" s="3">
        <v>45037</v>
      </c>
      <c r="E754" s="2">
        <v>5.5548766261901299E-2</v>
      </c>
      <c r="F754" s="2">
        <v>5.5568521543915797E-2</v>
      </c>
      <c r="G754" s="2">
        <v>5.5558639999999999E-2</v>
      </c>
      <c r="H754" s="2">
        <v>0.19790615290229399</v>
      </c>
      <c r="I754" s="2">
        <v>0.19803156623165699</v>
      </c>
      <c r="J754" s="2">
        <v>0.19796884000000001</v>
      </c>
      <c r="K754">
        <f t="shared" si="55"/>
        <v>3.4723125610658379E-4</v>
      </c>
      <c r="L754">
        <f t="shared" si="56"/>
        <v>-1.4254121647445661E-3</v>
      </c>
      <c r="M754" s="1">
        <f t="shared" si="57"/>
        <v>-5.802912942484157E-4</v>
      </c>
      <c r="N754" s="1">
        <f t="shared" si="58"/>
        <v>3.5557533471838643E-4</v>
      </c>
      <c r="O754" s="1">
        <f t="shared" si="59"/>
        <v>6.3350034966613931E-4</v>
      </c>
    </row>
    <row r="755" spans="4:15" x14ac:dyDescent="0.25">
      <c r="D755" s="5">
        <v>45036</v>
      </c>
      <c r="E755" s="4">
        <v>5.5532725435098899E-2</v>
      </c>
      <c r="F755" s="4">
        <v>5.5545989301842499E-2</v>
      </c>
      <c r="G755" s="4">
        <v>5.5539354999999999E-2</v>
      </c>
      <c r="H755" s="4">
        <v>0.198235702249975</v>
      </c>
      <c r="I755" s="4">
        <v>0.198267145151377</v>
      </c>
      <c r="J755" s="4">
        <v>0.19825143000000001</v>
      </c>
      <c r="K755">
        <f t="shared" si="55"/>
        <v>2.1104286552779961E-3</v>
      </c>
      <c r="L755">
        <f t="shared" si="56"/>
        <v>-1.655402030092068E-3</v>
      </c>
      <c r="M755" s="1">
        <f t="shared" si="57"/>
        <v>1.3998562064759335E-4</v>
      </c>
      <c r="N755" s="1">
        <f t="shared" si="58"/>
        <v>2.3881924346438616E-4</v>
      </c>
      <c r="O755" s="1">
        <f t="shared" si="59"/>
        <v>1.5860113292499948E-4</v>
      </c>
    </row>
    <row r="756" spans="4:15" x14ac:dyDescent="0.25">
      <c r="D756" s="3">
        <v>45035</v>
      </c>
      <c r="E756" s="2">
        <v>5.5416091724714997E-2</v>
      </c>
      <c r="F756" s="2">
        <v>5.5428685453295802E-2</v>
      </c>
      <c r="G756" s="2">
        <v>5.5422390000000002E-2</v>
      </c>
      <c r="H756" s="2">
        <v>0.19855058076044901</v>
      </c>
      <c r="I756" s="2">
        <v>0.19860973187686201</v>
      </c>
      <c r="J756" s="2">
        <v>0.19858016000000001</v>
      </c>
      <c r="K756">
        <f t="shared" si="55"/>
        <v>1.6627028415052703E-3</v>
      </c>
      <c r="L756">
        <f t="shared" si="56"/>
        <v>-1.2669373827148056E-2</v>
      </c>
      <c r="M756" s="1">
        <f t="shared" si="57"/>
        <v>-5.8364502014737942E-3</v>
      </c>
      <c r="N756" s="1">
        <f t="shared" si="58"/>
        <v>2.2723178449729505E-4</v>
      </c>
      <c r="O756" s="1">
        <f t="shared" si="59"/>
        <v>2.9787022234747739E-4</v>
      </c>
    </row>
    <row r="757" spans="4:15" x14ac:dyDescent="0.25">
      <c r="D757" s="5">
        <v>45034</v>
      </c>
      <c r="E757" s="4">
        <v>5.5324422413029997E-2</v>
      </c>
      <c r="F757" s="4">
        <v>5.5336362076884298E-2</v>
      </c>
      <c r="G757" s="4">
        <v>5.5330391999999999E-2</v>
      </c>
      <c r="H757" s="4">
        <v>0.201097995052989</v>
      </c>
      <c r="I757" s="4">
        <v>0.201158673962021</v>
      </c>
      <c r="J757" s="4">
        <v>0.20112832999999999</v>
      </c>
      <c r="K757">
        <f t="shared" si="55"/>
        <v>3.9422917809770475E-3</v>
      </c>
      <c r="L757">
        <f t="shared" si="56"/>
        <v>-4.1935814636372415E-3</v>
      </c>
      <c r="M757" s="1">
        <f t="shared" si="57"/>
        <v>-3.1474367942382398E-4</v>
      </c>
      <c r="N757" s="1">
        <f t="shared" si="58"/>
        <v>2.1578852819803621E-4</v>
      </c>
      <c r="O757" s="1">
        <f t="shared" si="59"/>
        <v>3.016925016580062E-4</v>
      </c>
    </row>
    <row r="758" spans="4:15" x14ac:dyDescent="0.25">
      <c r="D758" s="3">
        <v>45033</v>
      </c>
      <c r="E758" s="2">
        <v>5.5106741758786798E-2</v>
      </c>
      <c r="F758" s="2">
        <v>5.5119499073992398E-2</v>
      </c>
      <c r="G758" s="2">
        <v>5.5113120000000002E-2</v>
      </c>
      <c r="H758" s="2">
        <v>0.201959002322529</v>
      </c>
      <c r="I758" s="2">
        <v>0.201991637546206</v>
      </c>
      <c r="J758" s="2">
        <v>0.20197533000000001</v>
      </c>
      <c r="K758">
        <f t="shared" si="55"/>
        <v>-3.4997040230784204E-3</v>
      </c>
      <c r="L758">
        <f t="shared" si="56"/>
        <v>1.2017871751106579E-3</v>
      </c>
      <c r="M758" s="1">
        <f t="shared" si="57"/>
        <v>-1.0396835500821814E-3</v>
      </c>
      <c r="N758" s="1">
        <f t="shared" si="58"/>
        <v>2.3147510439619208E-4</v>
      </c>
      <c r="O758" s="1">
        <f t="shared" si="59"/>
        <v>1.6158024684003076E-4</v>
      </c>
    </row>
    <row r="759" spans="4:15" x14ac:dyDescent="0.25">
      <c r="D759" s="5">
        <v>45030</v>
      </c>
      <c r="E759" s="4">
        <v>5.5297500552974999E-2</v>
      </c>
      <c r="F759" s="4">
        <v>5.5315853523619903E-2</v>
      </c>
      <c r="G759" s="4">
        <v>5.5306676999999999E-2</v>
      </c>
      <c r="H759" s="4">
        <v>0.20171050508310501</v>
      </c>
      <c r="I759" s="4">
        <v>0.20175527085645101</v>
      </c>
      <c r="J759" s="4">
        <v>0.20173289</v>
      </c>
      <c r="K759">
        <f t="shared" si="55"/>
        <v>-2.6269941670641339E-3</v>
      </c>
      <c r="L759">
        <f t="shared" si="56"/>
        <v>-1.0328678711804207E-2</v>
      </c>
      <c r="M759" s="1">
        <f t="shared" si="57"/>
        <v>-6.6568436037528662E-3</v>
      </c>
      <c r="N759" s="1">
        <f t="shared" si="58"/>
        <v>3.3184005332491747E-4</v>
      </c>
      <c r="O759" s="1">
        <f t="shared" si="59"/>
        <v>2.2190617179975223E-4</v>
      </c>
    </row>
    <row r="760" spans="4:15" x14ac:dyDescent="0.25">
      <c r="D760" s="3">
        <v>45029</v>
      </c>
      <c r="E760" s="2">
        <v>5.5446510751078398E-2</v>
      </c>
      <c r="F760" s="2">
        <v>5.5458195612147598E-2</v>
      </c>
      <c r="G760" s="2">
        <v>5.5452349999999997E-2</v>
      </c>
      <c r="H760" s="2">
        <v>0.20379880981495099</v>
      </c>
      <c r="I760" s="2">
        <v>0.20387775489816301</v>
      </c>
      <c r="J760" s="2">
        <v>0.20383826999999999</v>
      </c>
      <c r="K760">
        <f t="shared" si="55"/>
        <v>2.0239846006011586E-3</v>
      </c>
      <c r="L760">
        <f t="shared" si="56"/>
        <v>6.1151232716194492E-3</v>
      </c>
      <c r="M760" s="1">
        <f t="shared" si="57"/>
        <v>4.1646426310677862E-3</v>
      </c>
      <c r="N760" s="1">
        <f t="shared" si="58"/>
        <v>2.1071895184243716E-4</v>
      </c>
      <c r="O760" s="1">
        <f t="shared" si="59"/>
        <v>3.872927454300782E-4</v>
      </c>
    </row>
    <row r="761" spans="4:15" x14ac:dyDescent="0.25">
      <c r="D761" s="5">
        <v>45028</v>
      </c>
      <c r="E761" s="4">
        <v>5.5334218680832201E-2</v>
      </c>
      <c r="F761" s="4">
        <v>5.5346468895284502E-2</v>
      </c>
      <c r="G761" s="4">
        <v>5.5340342000000001E-2</v>
      </c>
      <c r="H761" s="4">
        <v>0.20257267294642001</v>
      </c>
      <c r="I761" s="4">
        <v>0.20262603339276999</v>
      </c>
      <c r="J761" s="4">
        <v>0.20259935000000001</v>
      </c>
      <c r="K761">
        <f t="shared" si="55"/>
        <v>7.7753741939348142E-3</v>
      </c>
      <c r="L761">
        <f t="shared" si="56"/>
        <v>1.3837525459863942E-2</v>
      </c>
      <c r="M761" s="1">
        <f t="shared" si="57"/>
        <v>1.0947349976922543E-2</v>
      </c>
      <c r="N761" s="1">
        <f t="shared" si="58"/>
        <v>2.2136137959359757E-4</v>
      </c>
      <c r="O761" s="1">
        <f t="shared" si="59"/>
        <v>2.6337915866949741E-4</v>
      </c>
    </row>
    <row r="762" spans="4:15" x14ac:dyDescent="0.25">
      <c r="D762" s="3">
        <v>45027</v>
      </c>
      <c r="E762" s="2">
        <v>5.4905233566863602E-2</v>
      </c>
      <c r="F762" s="2">
        <v>5.4921517151989799E-2</v>
      </c>
      <c r="G762" s="2">
        <v>5.4913370000000003E-2</v>
      </c>
      <c r="H762" s="2">
        <v>0.19980419189194601</v>
      </c>
      <c r="I762" s="2">
        <v>0.199864092417156</v>
      </c>
      <c r="J762" s="2">
        <v>0.19983413999999999</v>
      </c>
      <c r="K762">
        <f t="shared" si="55"/>
        <v>-1.0992471204218646E-4</v>
      </c>
      <c r="L762">
        <f t="shared" si="56"/>
        <v>1.5357220197217858E-2</v>
      </c>
      <c r="M762" s="1">
        <f t="shared" si="57"/>
        <v>7.9831443870205052E-3</v>
      </c>
      <c r="N762" s="1">
        <f t="shared" si="58"/>
        <v>2.9653224936288512E-4</v>
      </c>
      <c r="O762" s="1">
        <f t="shared" si="59"/>
        <v>2.9975120972816876E-4</v>
      </c>
    </row>
    <row r="763" spans="4:15" x14ac:dyDescent="0.25">
      <c r="D763" s="5">
        <v>45026</v>
      </c>
      <c r="E763" s="4">
        <v>5.4908248317062203E-2</v>
      </c>
      <c r="F763" s="4">
        <v>5.4930567762348399E-2</v>
      </c>
      <c r="G763" s="4">
        <v>5.4919407000000003E-2</v>
      </c>
      <c r="H763" s="4">
        <v>0.196788413098237</v>
      </c>
      <c r="I763" s="4">
        <v>0.19683489489016601</v>
      </c>
      <c r="J763" s="4">
        <v>0.19681166</v>
      </c>
      <c r="K763">
        <f t="shared" si="55"/>
        <v>1.7850645477042182E-3</v>
      </c>
      <c r="L763">
        <f t="shared" si="56"/>
        <v>-4.4674406035362102E-3</v>
      </c>
      <c r="M763" s="1">
        <f t="shared" si="57"/>
        <v>-1.4865124969343994E-3</v>
      </c>
      <c r="N763" s="1">
        <f t="shared" si="58"/>
        <v>4.0640361040672951E-4</v>
      </c>
      <c r="O763" s="1">
        <f t="shared" si="59"/>
        <v>2.3617397429100224E-4</v>
      </c>
    </row>
    <row r="764" spans="4:15" x14ac:dyDescent="0.25">
      <c r="D764" s="3">
        <v>45023</v>
      </c>
      <c r="E764" s="2">
        <v>5.4810137683065897E-2</v>
      </c>
      <c r="F764" s="2">
        <v>5.4832978746737399E-2</v>
      </c>
      <c r="G764" s="2">
        <v>5.4821546999999998E-2</v>
      </c>
      <c r="H764" s="2">
        <v>0.19767533802482801</v>
      </c>
      <c r="I764" s="2">
        <v>0.197714421289889</v>
      </c>
      <c r="J764" s="2">
        <v>0.19769485000000001</v>
      </c>
      <c r="K764">
        <f t="shared" si="55"/>
        <v>-2.3713298202832078E-7</v>
      </c>
      <c r="L764">
        <f t="shared" si="56"/>
        <v>-1.517489981450737E-7</v>
      </c>
      <c r="M764" s="1">
        <f t="shared" si="57"/>
        <v>-1.9245644440134944E-7</v>
      </c>
      <c r="N764" s="1">
        <f t="shared" si="58"/>
        <v>4.1664390958360295E-4</v>
      </c>
      <c r="O764" s="1">
        <f t="shared" si="59"/>
        <v>1.9769490738375957E-4</v>
      </c>
    </row>
    <row r="765" spans="4:15" x14ac:dyDescent="0.25">
      <c r="D765" s="5">
        <v>45022</v>
      </c>
      <c r="E765" s="4">
        <v>5.4810137683065897E-2</v>
      </c>
      <c r="F765" s="4">
        <v>5.4832978746737399E-2</v>
      </c>
      <c r="G765" s="4">
        <v>5.4821559999999998E-2</v>
      </c>
      <c r="H765" s="4">
        <v>0.19767533802482801</v>
      </c>
      <c r="I765" s="4">
        <v>0.197714421289889</v>
      </c>
      <c r="J765" s="4">
        <v>0.19769487999999999</v>
      </c>
      <c r="K765">
        <f t="shared" si="55"/>
        <v>6.6334559302829721E-3</v>
      </c>
      <c r="L765">
        <f t="shared" si="56"/>
        <v>-1.2850767919011519E-3</v>
      </c>
      <c r="M765" s="1">
        <f t="shared" si="57"/>
        <v>2.4901422896732011E-3</v>
      </c>
      <c r="N765" s="1">
        <f t="shared" si="58"/>
        <v>4.1664381078359024E-4</v>
      </c>
      <c r="O765" s="1">
        <f t="shared" si="59"/>
        <v>1.9769487738375543E-4</v>
      </c>
    </row>
    <row r="766" spans="4:15" x14ac:dyDescent="0.25">
      <c r="D766" s="3">
        <v>45021</v>
      </c>
      <c r="E766" s="2">
        <v>5.4450216167358199E-2</v>
      </c>
      <c r="F766" s="2">
        <v>5.4470384451973497E-2</v>
      </c>
      <c r="G766" s="2">
        <v>5.4460300000000003E-2</v>
      </c>
      <c r="H766" s="2">
        <v>0.19791006966434499</v>
      </c>
      <c r="I766" s="2">
        <v>0.19798843747525099</v>
      </c>
      <c r="J766" s="2">
        <v>0.19794925999999999</v>
      </c>
      <c r="K766">
        <f t="shared" si="55"/>
        <v>-1.3669459020781649E-2</v>
      </c>
      <c r="L766">
        <f t="shared" si="56"/>
        <v>4.5924688828919979E-3</v>
      </c>
      <c r="M766" s="1">
        <f t="shared" si="57"/>
        <v>-4.1140404045088858E-3</v>
      </c>
      <c r="N766" s="1">
        <f t="shared" si="58"/>
        <v>3.7033003151465508E-4</v>
      </c>
      <c r="O766" s="1">
        <f t="shared" si="59"/>
        <v>3.9589847876170324E-4</v>
      </c>
    </row>
    <row r="767" spans="4:15" x14ac:dyDescent="0.25">
      <c r="D767" s="5">
        <v>45020</v>
      </c>
      <c r="E767" s="4">
        <v>5.5207441963176597E-2</v>
      </c>
      <c r="F767" s="4">
        <v>5.52226854791949E-2</v>
      </c>
      <c r="G767" s="4">
        <v>5.5215060000000003E-2</v>
      </c>
      <c r="H767" s="4">
        <v>0.19702104184726901</v>
      </c>
      <c r="I767" s="4">
        <v>0.197067633611856</v>
      </c>
      <c r="J767" s="4">
        <v>0.19704434000000001</v>
      </c>
      <c r="K767">
        <f t="shared" si="55"/>
        <v>-2.9540265066049232E-3</v>
      </c>
      <c r="L767">
        <f t="shared" si="56"/>
        <v>-2.8078559236862644E-3</v>
      </c>
      <c r="M767" s="1">
        <f t="shared" si="57"/>
        <v>-2.8775438309235988E-3</v>
      </c>
      <c r="N767" s="1">
        <f t="shared" si="58"/>
        <v>2.7607533195295983E-4</v>
      </c>
      <c r="O767" s="1">
        <f t="shared" si="59"/>
        <v>2.3645319924941536E-4</v>
      </c>
    </row>
    <row r="768" spans="4:15" x14ac:dyDescent="0.25">
      <c r="D768" s="3">
        <v>45019</v>
      </c>
      <c r="E768" s="2">
        <v>5.53737450925018E-2</v>
      </c>
      <c r="F768" s="2">
        <v>5.5383558836723697E-2</v>
      </c>
      <c r="G768" s="2">
        <v>5.5378650000000001E-2</v>
      </c>
      <c r="H768" s="2">
        <v>0.197573793811989</v>
      </c>
      <c r="I768" s="2">
        <v>0.19762455287444899</v>
      </c>
      <c r="J768" s="2">
        <v>0.19759916999999999</v>
      </c>
      <c r="K768">
        <f t="shared" si="55"/>
        <v>-8.3129821154881434E-5</v>
      </c>
      <c r="L768">
        <f t="shared" si="56"/>
        <v>1.8771585954879821E-3</v>
      </c>
      <c r="M768" s="1">
        <f t="shared" si="57"/>
        <v>9.4257658445878842E-4</v>
      </c>
      <c r="N768" s="1">
        <f t="shared" si="58"/>
        <v>1.7721169118237428E-4</v>
      </c>
      <c r="O768" s="1">
        <f t="shared" si="59"/>
        <v>2.5687892545294072E-4</v>
      </c>
    </row>
    <row r="769" spans="4:15" x14ac:dyDescent="0.25">
      <c r="D769" s="5">
        <v>45016</v>
      </c>
      <c r="E769" s="4">
        <v>5.5375584904615603E-2</v>
      </c>
      <c r="F769" s="4">
        <v>5.5390921427978003E-2</v>
      </c>
      <c r="G769" s="4">
        <v>5.5383254E-2</v>
      </c>
      <c r="H769" s="4">
        <v>0.19721531968603301</v>
      </c>
      <c r="I769" s="4">
        <v>0.19724254916270501</v>
      </c>
      <c r="J769" s="4">
        <v>0.19722893999999999</v>
      </c>
      <c r="K769">
        <f t="shared" si="55"/>
        <v>3.9876343110325507E-3</v>
      </c>
      <c r="L769">
        <f t="shared" si="56"/>
        <v>1.1636524116604541E-2</v>
      </c>
      <c r="M769" s="1">
        <f t="shared" si="57"/>
        <v>7.989859291193533E-3</v>
      </c>
      <c r="N769" s="1">
        <f t="shared" si="58"/>
        <v>2.7691625635430827E-4</v>
      </c>
      <c r="O769" s="1">
        <f t="shared" si="59"/>
        <v>1.3806024953537323E-4</v>
      </c>
    </row>
    <row r="770" spans="4:15" x14ac:dyDescent="0.25">
      <c r="D770" s="3">
        <v>45015</v>
      </c>
      <c r="E770" s="2">
        <v>5.5155981114592099E-2</v>
      </c>
      <c r="F770" s="2">
        <v>5.5170587456415197E-2</v>
      </c>
      <c r="G770" s="2">
        <v>5.5163283E-2</v>
      </c>
      <c r="H770" s="2">
        <v>0.19494317406476</v>
      </c>
      <c r="I770" s="2">
        <v>0.194977382623616</v>
      </c>
      <c r="J770" s="2">
        <v>0.19496028000000001</v>
      </c>
      <c r="K770">
        <f t="shared" si="55"/>
        <v>-6.3433116423861069E-4</v>
      </c>
      <c r="L770">
        <f t="shared" si="56"/>
        <v>3.528817336604595E-3</v>
      </c>
      <c r="M770" s="1">
        <f t="shared" si="57"/>
        <v>1.5440054767281281E-3</v>
      </c>
      <c r="N770" s="1">
        <f t="shared" si="58"/>
        <v>2.6478376609851057E-4</v>
      </c>
      <c r="O770" s="1">
        <f t="shared" si="59"/>
        <v>1.7546424767135669E-4</v>
      </c>
    </row>
    <row r="771" spans="4:15" x14ac:dyDescent="0.25">
      <c r="D771" s="5">
        <v>45014</v>
      </c>
      <c r="E771" s="4">
        <v>5.5189770024228299E-2</v>
      </c>
      <c r="F771" s="4">
        <v>5.5206832397577503E-2</v>
      </c>
      <c r="G771" s="4">
        <v>5.5198297E-2</v>
      </c>
      <c r="H771" s="4">
        <v>0.194238874968436</v>
      </c>
      <c r="I771" s="4">
        <v>0.19431058604072801</v>
      </c>
      <c r="J771" s="4">
        <v>0.19427472000000001</v>
      </c>
      <c r="K771">
        <f t="shared" si="55"/>
        <v>8.3900826013876273E-3</v>
      </c>
      <c r="L771">
        <f t="shared" si="56"/>
        <v>6.1002049801035518E-3</v>
      </c>
      <c r="M771" s="1">
        <f t="shared" si="57"/>
        <v>7.1919210837856091E-3</v>
      </c>
      <c r="N771" s="1">
        <f t="shared" si="58"/>
        <v>3.0911050297808938E-4</v>
      </c>
      <c r="O771" s="1">
        <f t="shared" si="59"/>
        <v>3.691219953476592E-4</v>
      </c>
    </row>
    <row r="772" spans="4:15" x14ac:dyDescent="0.25">
      <c r="D772" s="3">
        <v>45013</v>
      </c>
      <c r="E772" s="2">
        <v>5.4733638747037502E-2</v>
      </c>
      <c r="F772" s="2">
        <v>5.47444256488583E-2</v>
      </c>
      <c r="G772" s="2">
        <v>5.4739032E-2</v>
      </c>
      <c r="H772" s="2">
        <v>0.19306882903755199</v>
      </c>
      <c r="I772" s="2">
        <v>0.19312475859405201</v>
      </c>
      <c r="J772" s="2">
        <v>0.19309678999999999</v>
      </c>
      <c r="K772">
        <f t="shared" si="55"/>
        <v>6.869698769020216E-3</v>
      </c>
      <c r="L772">
        <f t="shared" si="56"/>
        <v>1.0581661955599619E-2</v>
      </c>
      <c r="M772" s="1">
        <f t="shared" si="57"/>
        <v>8.811956033590012E-3</v>
      </c>
      <c r="N772" s="1">
        <f t="shared" si="58"/>
        <v>1.9706051471274344E-4</v>
      </c>
      <c r="O772" s="1">
        <f t="shared" si="59"/>
        <v>2.8964519037329856E-4</v>
      </c>
    </row>
    <row r="773" spans="4:15" x14ac:dyDescent="0.25">
      <c r="D773" s="5">
        <v>45012</v>
      </c>
      <c r="E773" s="4">
        <v>5.4360234401330698E-2</v>
      </c>
      <c r="F773" s="4">
        <v>5.4370874609889E-2</v>
      </c>
      <c r="G773" s="4">
        <v>5.4365557000000002E-2</v>
      </c>
      <c r="H773" s="4">
        <v>0.19106576483625701</v>
      </c>
      <c r="I773" s="4">
        <v>0.19108401964343699</v>
      </c>
      <c r="J773" s="4">
        <v>0.19107489999999999</v>
      </c>
      <c r="K773">
        <f t="shared" si="55"/>
        <v>5.7356033748712232E-3</v>
      </c>
      <c r="L773">
        <f t="shared" si="56"/>
        <v>2.741975291731924E-3</v>
      </c>
      <c r="M773" s="1">
        <f t="shared" si="57"/>
        <v>4.1692096366683778E-3</v>
      </c>
      <c r="N773" s="1">
        <f t="shared" si="58"/>
        <v>1.9571598536738681E-4</v>
      </c>
      <c r="O773" s="1">
        <f t="shared" si="59"/>
        <v>9.553744201873111E-5</v>
      </c>
    </row>
    <row r="774" spans="4:15" x14ac:dyDescent="0.25">
      <c r="D774" s="3">
        <v>45009</v>
      </c>
      <c r="E774" s="2">
        <v>5.40467504391298E-2</v>
      </c>
      <c r="F774" s="2">
        <v>5.4064282431811397E-2</v>
      </c>
      <c r="G774" s="2">
        <v>5.4055515999999998E-2</v>
      </c>
      <c r="H774" s="2">
        <v>0.19052699767557099</v>
      </c>
      <c r="I774" s="2">
        <v>0.19057783198658301</v>
      </c>
      <c r="J774" s="2">
        <v>0.19055241000000001</v>
      </c>
      <c r="K774">
        <f t="shared" si="55"/>
        <v>-4.7301185477066632E-4</v>
      </c>
      <c r="L774">
        <f t="shared" si="56"/>
        <v>4.0778587587257942E-3</v>
      </c>
      <c r="M774" s="1">
        <f t="shared" si="57"/>
        <v>1.9081975120511688E-3</v>
      </c>
      <c r="N774" s="1">
        <f t="shared" si="58"/>
        <v>3.2433309269673478E-4</v>
      </c>
      <c r="O774" s="1">
        <f t="shared" si="59"/>
        <v>2.6677338277706009E-4</v>
      </c>
    </row>
    <row r="775" spans="4:15" x14ac:dyDescent="0.25">
      <c r="D775" s="5">
        <v>45008</v>
      </c>
      <c r="E775" s="4">
        <v>5.4074222277498099E-2</v>
      </c>
      <c r="F775" s="4">
        <v>5.40879686722485E-2</v>
      </c>
      <c r="G775" s="4">
        <v>5.4081097000000002E-2</v>
      </c>
      <c r="H775" s="4">
        <v>0.18975692138370701</v>
      </c>
      <c r="I775" s="4">
        <v>0.189800140452104</v>
      </c>
      <c r="J775" s="4">
        <v>0.18977852000000001</v>
      </c>
      <c r="K775">
        <f t="shared" si="55"/>
        <v>2.1768180597494524E-3</v>
      </c>
      <c r="L775">
        <f t="shared" si="56"/>
        <v>-1.8504148259557152E-3</v>
      </c>
      <c r="M775" s="1">
        <f t="shared" si="57"/>
        <v>6.9598258471414228E-5</v>
      </c>
      <c r="N775" s="1">
        <f t="shared" si="58"/>
        <v>2.5418113745734512E-4</v>
      </c>
      <c r="O775" s="1">
        <f t="shared" si="59"/>
        <v>2.2773424725302694E-4</v>
      </c>
    </row>
    <row r="776" spans="4:15" x14ac:dyDescent="0.25">
      <c r="D776" s="3">
        <v>45007</v>
      </c>
      <c r="E776" s="2">
        <v>5.3958096142535703E-2</v>
      </c>
      <c r="F776" s="2">
        <v>5.3969162020821297E-2</v>
      </c>
      <c r="G776" s="2">
        <v>5.3963628E-2</v>
      </c>
      <c r="H776" s="2">
        <v>0.19011406844106499</v>
      </c>
      <c r="I776" s="2">
        <v>0.190146603030937</v>
      </c>
      <c r="J776" s="2">
        <v>0.19013034000000001</v>
      </c>
      <c r="K776">
        <f t="shared" si="55"/>
        <v>7.527908196405475E-3</v>
      </c>
      <c r="L776">
        <f t="shared" si="56"/>
        <v>-2.8233794256812272E-3</v>
      </c>
      <c r="M776" s="1">
        <f t="shared" si="57"/>
        <v>2.1116735596131697E-3</v>
      </c>
      <c r="N776" s="1">
        <f t="shared" si="58"/>
        <v>2.0506179246500313E-4</v>
      </c>
      <c r="O776" s="1">
        <f t="shared" si="59"/>
        <v>1.7111729707112013E-4</v>
      </c>
    </row>
    <row r="777" spans="4:15" x14ac:dyDescent="0.25">
      <c r="D777" s="5">
        <v>45006</v>
      </c>
      <c r="E777" s="4">
        <v>5.3552685131632499E-2</v>
      </c>
      <c r="F777" s="4">
        <v>5.35681762178725E-2</v>
      </c>
      <c r="G777" s="4">
        <v>5.3560429999999999E-2</v>
      </c>
      <c r="H777" s="4">
        <v>0.190657769304099</v>
      </c>
      <c r="I777" s="4">
        <v>0.19067958203035601</v>
      </c>
      <c r="J777" s="4">
        <v>0.19066867000000001</v>
      </c>
      <c r="K777">
        <f t="shared" si="55"/>
        <v>7.9002296680577011E-3</v>
      </c>
      <c r="L777">
        <f t="shared" si="56"/>
        <v>4.1943718288073306E-4</v>
      </c>
      <c r="M777" s="1">
        <f t="shared" si="57"/>
        <v>3.9859603666794084E-3</v>
      </c>
      <c r="N777" s="1">
        <f t="shared" si="58"/>
        <v>2.892263232390157E-4</v>
      </c>
      <c r="O777" s="1">
        <f t="shared" si="59"/>
        <v>1.1440120842616103E-4</v>
      </c>
    </row>
    <row r="778" spans="4:15" x14ac:dyDescent="0.25">
      <c r="D778" s="3">
        <v>45005</v>
      </c>
      <c r="E778" s="2">
        <v>5.3127623176394301E-2</v>
      </c>
      <c r="F778" s="2">
        <v>5.3153603282766498E-2</v>
      </c>
      <c r="G778" s="2">
        <v>5.3140606999999999E-2</v>
      </c>
      <c r="H778" s="2">
        <v>0.190556042532109</v>
      </c>
      <c r="I778" s="2">
        <v>0.190621425848265</v>
      </c>
      <c r="J778" s="2">
        <v>0.19058873000000001</v>
      </c>
      <c r="K778">
        <f t="shared" si="55"/>
        <v>8.7681911724870609E-3</v>
      </c>
      <c r="L778">
        <f t="shared" si="56"/>
        <v>6.4037678267696574E-3</v>
      </c>
      <c r="M778" s="1">
        <f t="shared" si="57"/>
        <v>7.5310241562996233E-3</v>
      </c>
      <c r="N778" s="1">
        <f t="shared" si="58"/>
        <v>4.8889366981068934E-4</v>
      </c>
      <c r="O778" s="1">
        <f t="shared" si="59"/>
        <v>3.430597189875417E-4</v>
      </c>
    </row>
    <row r="779" spans="4:15" x14ac:dyDescent="0.25">
      <c r="D779" s="5">
        <v>45002</v>
      </c>
      <c r="E779" s="4">
        <v>5.2669833879343902E-2</v>
      </c>
      <c r="F779" s="4">
        <v>5.26875941790746E-2</v>
      </c>
      <c r="G779" s="4">
        <v>5.2678709999999997E-2</v>
      </c>
      <c r="H779" s="4">
        <v>0.18934731978868799</v>
      </c>
      <c r="I779" s="4">
        <v>0.18940470102467899</v>
      </c>
      <c r="J779" s="4">
        <v>0.18937601000000001</v>
      </c>
      <c r="K779">
        <f t="shared" si="55"/>
        <v>-3.6349301615717922E-3</v>
      </c>
      <c r="L779">
        <f t="shared" si="56"/>
        <v>1.8934176457863217E-4</v>
      </c>
      <c r="M779" s="1">
        <f t="shared" si="57"/>
        <v>-1.6339081802356366E-3</v>
      </c>
      <c r="N779" s="1">
        <f t="shared" si="58"/>
        <v>3.3714378599432684E-4</v>
      </c>
      <c r="O779" s="1">
        <f t="shared" si="59"/>
        <v>3.0300161034652572E-4</v>
      </c>
    </row>
    <row r="780" spans="4:15" x14ac:dyDescent="0.25">
      <c r="D780" s="3">
        <v>45001</v>
      </c>
      <c r="E780" s="2">
        <v>5.2857754496873501E-2</v>
      </c>
      <c r="F780" s="2">
        <v>5.2884030609276898E-2</v>
      </c>
      <c r="G780" s="2">
        <v>5.2870892000000003E-2</v>
      </c>
      <c r="H780" s="2">
        <v>0.189318642206698</v>
      </c>
      <c r="I780" s="2">
        <v>0.18936166183794401</v>
      </c>
      <c r="J780" s="2">
        <v>0.18934016000000001</v>
      </c>
      <c r="K780">
        <f t="shared" si="55"/>
        <v>2.4586081831778905E-3</v>
      </c>
      <c r="L780">
        <f t="shared" si="56"/>
        <v>4.9702834986184996E-3</v>
      </c>
      <c r="M780" s="1">
        <f t="shared" si="57"/>
        <v>3.7728237026886202E-3</v>
      </c>
      <c r="N780" s="1">
        <f t="shared" si="58"/>
        <v>4.9698636450842891E-4</v>
      </c>
      <c r="O780" s="1">
        <f t="shared" si="59"/>
        <v>2.2720816992023859E-4</v>
      </c>
    </row>
    <row r="781" spans="4:15" x14ac:dyDescent="0.25">
      <c r="D781" s="5">
        <v>45000</v>
      </c>
      <c r="E781" s="4">
        <v>5.2732881588314399E-2</v>
      </c>
      <c r="F781" s="4">
        <v>5.2749571409732299E-2</v>
      </c>
      <c r="G781" s="4">
        <v>5.2741221999999997E-2</v>
      </c>
      <c r="H781" s="4">
        <v>0.188362937708376</v>
      </c>
      <c r="I781" s="4">
        <v>0.18844457844947801</v>
      </c>
      <c r="J781" s="4">
        <v>0.18840373999999999</v>
      </c>
      <c r="K781">
        <f t="shared" si="55"/>
        <v>-1.2446943424651025E-2</v>
      </c>
      <c r="L781">
        <f t="shared" si="56"/>
        <v>-9.4672858880385791E-3</v>
      </c>
      <c r="M781" s="1">
        <f t="shared" si="57"/>
        <v>-1.08878596715202E-2</v>
      </c>
      <c r="N781" s="1">
        <f t="shared" si="58"/>
        <v>3.1644737806604605E-4</v>
      </c>
      <c r="O781" s="1">
        <f t="shared" si="59"/>
        <v>4.3332866482378237E-4</v>
      </c>
    </row>
    <row r="782" spans="4:15" x14ac:dyDescent="0.25">
      <c r="D782" s="3">
        <v>44999</v>
      </c>
      <c r="E782" s="2">
        <v>5.3395129296305598E-2</v>
      </c>
      <c r="F782" s="2">
        <v>5.3416805995502303E-2</v>
      </c>
      <c r="G782" s="2">
        <v>5.3405963000000001E-2</v>
      </c>
      <c r="H782" s="2">
        <v>0.19018638265500201</v>
      </c>
      <c r="I782" s="2">
        <v>0.19022256039566299</v>
      </c>
      <c r="J782" s="2">
        <v>0.19020445999999999</v>
      </c>
      <c r="K782">
        <f t="shared" si="55"/>
        <v>2.5634035532435817E-3</v>
      </c>
      <c r="L782">
        <f t="shared" si="56"/>
        <v>-3.7946572487140839E-3</v>
      </c>
      <c r="M782" s="1">
        <f t="shared" si="57"/>
        <v>-7.6340470439929787E-4</v>
      </c>
      <c r="N782" s="1">
        <f t="shared" si="58"/>
        <v>4.0588537270090473E-4</v>
      </c>
      <c r="O782" s="1">
        <f t="shared" si="59"/>
        <v>1.9020448133011888E-4</v>
      </c>
    </row>
    <row r="783" spans="4:15" x14ac:dyDescent="0.25">
      <c r="D783" s="5">
        <v>44998</v>
      </c>
      <c r="E783" s="4">
        <v>5.3259196531761102E-2</v>
      </c>
      <c r="F783" s="4">
        <v>5.3279627468844702E-2</v>
      </c>
      <c r="G783" s="4">
        <v>5.3269412000000002E-2</v>
      </c>
      <c r="H783" s="4">
        <v>0.19090527280363501</v>
      </c>
      <c r="I783" s="4">
        <v>0.19095266283488299</v>
      </c>
      <c r="J783" s="4">
        <v>0.19092897</v>
      </c>
      <c r="K783">
        <f t="shared" si="55"/>
        <v>-2.0322202977061554E-2</v>
      </c>
      <c r="L783">
        <f t="shared" si="56"/>
        <v>-1.437691796947238E-2</v>
      </c>
      <c r="M783" s="1">
        <f t="shared" si="57"/>
        <v>-1.7211376598805131E-2</v>
      </c>
      <c r="N783" s="1">
        <f t="shared" si="58"/>
        <v>3.835397522991253E-4</v>
      </c>
      <c r="O783" s="1">
        <f t="shared" si="59"/>
        <v>2.4820765150508427E-4</v>
      </c>
    </row>
    <row r="784" spans="4:15" x14ac:dyDescent="0.25">
      <c r="D784" s="3">
        <v>44995</v>
      </c>
      <c r="E784" s="2">
        <v>5.43667362560891E-2</v>
      </c>
      <c r="F784" s="2">
        <v>5.4382110460942802E-2</v>
      </c>
      <c r="G784" s="2">
        <v>5.437442E-2</v>
      </c>
      <c r="H784" s="2">
        <v>0.19370084840971599</v>
      </c>
      <c r="I784" s="2">
        <v>0.19372711598442399</v>
      </c>
      <c r="J784" s="2">
        <v>0.19371398000000001</v>
      </c>
      <c r="K784">
        <f t="shared" ref="K784:K847" si="60">G784/G785-1</f>
        <v>-1.8582532521227768E-2</v>
      </c>
      <c r="L784">
        <f t="shared" ref="L784:L847" si="61">J784/J785-1</f>
        <v>-2.9734672145027563E-3</v>
      </c>
      <c r="M784" s="1">
        <f t="shared" ref="M784:M847" si="62">SUMPRODUCT(K784:L784,$O$11:$P$11)</f>
        <v>-1.0415204624566122E-2</v>
      </c>
      <c r="N784" s="1">
        <f t="shared" ref="N784:N847" si="63">(F784-E784)/G784</f>
        <v>2.827470132776037E-4</v>
      </c>
      <c r="O784" s="1">
        <f t="shared" ref="O784:O847" si="64">(I784-H784)/J784</f>
        <v>1.3559978845099303E-4</v>
      </c>
    </row>
    <row r="785" spans="4:15" x14ac:dyDescent="0.25">
      <c r="D785" s="5">
        <v>44994</v>
      </c>
      <c r="E785" s="4">
        <v>5.5398899777850397E-2</v>
      </c>
      <c r="F785" s="4">
        <v>5.5409029455440101E-2</v>
      </c>
      <c r="G785" s="4">
        <v>5.5403965999999999E-2</v>
      </c>
      <c r="H785" s="4">
        <v>0.19426906265177299</v>
      </c>
      <c r="I785" s="4">
        <v>0.194314361774479</v>
      </c>
      <c r="J785" s="4">
        <v>0.19429170000000001</v>
      </c>
      <c r="K785">
        <f t="shared" si="60"/>
        <v>-5.3326511193695358E-3</v>
      </c>
      <c r="L785">
        <f t="shared" si="61"/>
        <v>-5.5276190546386106E-3</v>
      </c>
      <c r="M785" s="1">
        <f t="shared" si="62"/>
        <v>-5.4346666485115382E-3</v>
      </c>
      <c r="N785" s="1">
        <f t="shared" si="63"/>
        <v>1.8283307714296444E-4</v>
      </c>
      <c r="O785" s="1">
        <f t="shared" si="64"/>
        <v>2.3315006614287002E-4</v>
      </c>
    </row>
    <row r="786" spans="4:15" x14ac:dyDescent="0.25">
      <c r="D786" s="3">
        <v>44993</v>
      </c>
      <c r="E786" s="2">
        <v>5.5692000957902402E-2</v>
      </c>
      <c r="F786" s="2">
        <v>5.5709996044590301E-2</v>
      </c>
      <c r="G786" s="2">
        <v>5.5701000000000001E-2</v>
      </c>
      <c r="H786" s="2">
        <v>0.19533920653214301</v>
      </c>
      <c r="I786" s="2">
        <v>0.19540409566984501</v>
      </c>
      <c r="J786" s="2">
        <v>0.19537164000000001</v>
      </c>
      <c r="K786">
        <f t="shared" si="60"/>
        <v>1.205935190917673E-2</v>
      </c>
      <c r="L786">
        <f t="shared" si="61"/>
        <v>1.558092981977266E-2</v>
      </c>
      <c r="M786" s="1">
        <f t="shared" si="62"/>
        <v>1.390199148715875E-2</v>
      </c>
      <c r="N786" s="1">
        <f t="shared" si="63"/>
        <v>3.2306577418537784E-4</v>
      </c>
      <c r="O786" s="1">
        <f t="shared" si="64"/>
        <v>3.3213181658300612E-4</v>
      </c>
    </row>
    <row r="787" spans="4:15" x14ac:dyDescent="0.25">
      <c r="D787" s="5">
        <v>44992</v>
      </c>
      <c r="E787" s="4">
        <v>5.5030018875296502E-2</v>
      </c>
      <c r="F787" s="4">
        <v>5.5044558570162501E-2</v>
      </c>
      <c r="G787" s="4">
        <v>5.5037285999999998E-2</v>
      </c>
      <c r="H787" s="4">
        <v>0.19235948139883799</v>
      </c>
      <c r="I787" s="4">
        <v>0.19238908769094601</v>
      </c>
      <c r="J787" s="4">
        <v>0.19237427000000001</v>
      </c>
      <c r="K787">
        <f t="shared" si="60"/>
        <v>-8.0905879987965834E-3</v>
      </c>
      <c r="L787">
        <f t="shared" si="61"/>
        <v>-4.3669833123768376E-3</v>
      </c>
      <c r="M787" s="1">
        <f t="shared" si="62"/>
        <v>-6.142239405595851E-3</v>
      </c>
      <c r="N787" s="1">
        <f t="shared" si="63"/>
        <v>2.6417899432757254E-4</v>
      </c>
      <c r="O787" s="1">
        <f t="shared" si="64"/>
        <v>1.5389943836054473E-4</v>
      </c>
    </row>
    <row r="788" spans="4:15" x14ac:dyDescent="0.25">
      <c r="D788" s="3">
        <v>44991</v>
      </c>
      <c r="E788" s="2">
        <v>5.5480348860433598E-2</v>
      </c>
      <c r="F788" s="2">
        <v>5.5492047989523098E-2</v>
      </c>
      <c r="G788" s="2">
        <v>5.5486201999999998E-2</v>
      </c>
      <c r="H788" s="2">
        <v>0.193180720564088</v>
      </c>
      <c r="I788" s="2">
        <v>0.19325538699391201</v>
      </c>
      <c r="J788" s="2">
        <v>0.19321805</v>
      </c>
      <c r="K788">
        <f t="shared" si="60"/>
        <v>-2.9123082788939936E-4</v>
      </c>
      <c r="L788">
        <f t="shared" si="61"/>
        <v>7.236096344705345E-3</v>
      </c>
      <c r="M788" s="1">
        <f t="shared" si="62"/>
        <v>3.6473874042698981E-3</v>
      </c>
      <c r="N788" s="1">
        <f t="shared" si="63"/>
        <v>2.1084753808703536E-4</v>
      </c>
      <c r="O788" s="1">
        <f t="shared" si="64"/>
        <v>3.8643610068526583E-4</v>
      </c>
    </row>
    <row r="789" spans="4:15" x14ac:dyDescent="0.25">
      <c r="D789" s="5">
        <v>44988</v>
      </c>
      <c r="E789" s="4">
        <v>5.5497591404533003E-2</v>
      </c>
      <c r="F789" s="4">
        <v>5.5507140993688801E-2</v>
      </c>
      <c r="G789" s="4">
        <v>5.5502365999999997E-2</v>
      </c>
      <c r="H789" s="4">
        <v>0.19180604572656099</v>
      </c>
      <c r="I789" s="4">
        <v>0.191853884081883</v>
      </c>
      <c r="J789" s="4">
        <v>0.19182995</v>
      </c>
      <c r="K789">
        <f t="shared" si="60"/>
        <v>5.647329696173653E-3</v>
      </c>
      <c r="L789">
        <f t="shared" si="61"/>
        <v>-1.9663084590335611E-3</v>
      </c>
      <c r="M789" s="1">
        <f t="shared" si="62"/>
        <v>1.6635498811631781E-3</v>
      </c>
      <c r="N789" s="1">
        <f t="shared" si="63"/>
        <v>1.7205733456116307E-4</v>
      </c>
      <c r="O789" s="1">
        <f t="shared" si="64"/>
        <v>2.4937896987418441E-4</v>
      </c>
    </row>
    <row r="790" spans="4:15" x14ac:dyDescent="0.25">
      <c r="D790" s="3">
        <v>44987</v>
      </c>
      <c r="E790" s="2">
        <v>5.51848969973898E-2</v>
      </c>
      <c r="F790" s="2">
        <v>5.5196471841519899E-2</v>
      </c>
      <c r="G790" s="2">
        <v>5.5190686000000003E-2</v>
      </c>
      <c r="H790" s="2">
        <v>0.19218572828781699</v>
      </c>
      <c r="I790" s="2">
        <v>0.19223006093692899</v>
      </c>
      <c r="J790" s="2">
        <v>0.19220788999999999</v>
      </c>
      <c r="K790">
        <f t="shared" si="60"/>
        <v>9.3828409862717344E-4</v>
      </c>
      <c r="L790">
        <f t="shared" si="61"/>
        <v>-1.6529704305592308E-3</v>
      </c>
      <c r="M790" s="1">
        <f t="shared" si="62"/>
        <v>-4.1757065549809881E-4</v>
      </c>
      <c r="N790" s="1">
        <f t="shared" si="63"/>
        <v>2.0972459248104759E-4</v>
      </c>
      <c r="O790" s="1">
        <f t="shared" si="64"/>
        <v>2.306494760022308E-4</v>
      </c>
    </row>
    <row r="791" spans="4:15" x14ac:dyDescent="0.25">
      <c r="D791" s="5">
        <v>44986</v>
      </c>
      <c r="E791" s="4">
        <v>5.51319583422923E-2</v>
      </c>
      <c r="F791" s="4">
        <v>5.51459437401082E-2</v>
      </c>
      <c r="G791" s="4">
        <v>5.5138949999999999E-2</v>
      </c>
      <c r="H791" s="4">
        <v>0.19250389820393901</v>
      </c>
      <c r="I791" s="4">
        <v>0.19254837777991701</v>
      </c>
      <c r="J791" s="4">
        <v>0.19252612999999999</v>
      </c>
      <c r="K791">
        <f t="shared" si="60"/>
        <v>1.0421281130831295E-2</v>
      </c>
      <c r="L791">
        <f t="shared" si="61"/>
        <v>5.1211411196938617E-3</v>
      </c>
      <c r="M791" s="1">
        <f t="shared" si="62"/>
        <v>7.648022097151352E-3</v>
      </c>
      <c r="N791" s="1">
        <f t="shared" si="63"/>
        <v>2.5363917549934049E-4</v>
      </c>
      <c r="O791" s="1">
        <f t="shared" si="64"/>
        <v>2.3103137209479801E-4</v>
      </c>
    </row>
    <row r="792" spans="4:15" x14ac:dyDescent="0.25">
      <c r="D792" s="3">
        <v>44985</v>
      </c>
      <c r="E792" s="2">
        <v>5.4565494963604799E-2</v>
      </c>
      <c r="F792" s="2">
        <v>5.4575024285885801E-2</v>
      </c>
      <c r="G792" s="2">
        <v>5.4570258000000003E-2</v>
      </c>
      <c r="H792" s="2">
        <v>0.191508512553383</v>
      </c>
      <c r="I792" s="2">
        <v>0.19158189167959799</v>
      </c>
      <c r="J792" s="2">
        <v>0.1915452</v>
      </c>
      <c r="K792">
        <f t="shared" si="60"/>
        <v>2.9467601728914161E-3</v>
      </c>
      <c r="L792">
        <f t="shared" si="61"/>
        <v>-4.6928440480621392E-3</v>
      </c>
      <c r="M792" s="1">
        <f t="shared" si="62"/>
        <v>-1.0506061938420036E-3</v>
      </c>
      <c r="N792" s="1">
        <f t="shared" si="63"/>
        <v>1.7462483466729574E-4</v>
      </c>
      <c r="O792" s="1">
        <f t="shared" si="64"/>
        <v>3.8309039440818774E-4</v>
      </c>
    </row>
    <row r="793" spans="4:15" x14ac:dyDescent="0.25">
      <c r="D793" s="5">
        <v>44984</v>
      </c>
      <c r="E793" s="4">
        <v>5.4404300115881203E-2</v>
      </c>
      <c r="F793" s="4">
        <v>5.4415549787507303E-2</v>
      </c>
      <c r="G793" s="4">
        <v>5.4409924999999998E-2</v>
      </c>
      <c r="H793" s="4">
        <v>0.19241870309794101</v>
      </c>
      <c r="I793" s="4">
        <v>0.192477961273434</v>
      </c>
      <c r="J793" s="4">
        <v>0.19244833</v>
      </c>
      <c r="K793">
        <f t="shared" si="60"/>
        <v>3.319034096556317E-3</v>
      </c>
      <c r="L793">
        <f t="shared" si="61"/>
        <v>-3.175428365961297E-4</v>
      </c>
      <c r="M793" s="1">
        <f t="shared" si="62"/>
        <v>1.4162221311469724E-3</v>
      </c>
      <c r="N793" s="1">
        <f t="shared" si="63"/>
        <v>2.0675771242286873E-4</v>
      </c>
      <c r="O793" s="1">
        <f t="shared" si="64"/>
        <v>3.0791732769511551E-4</v>
      </c>
    </row>
    <row r="794" spans="4:15" x14ac:dyDescent="0.25">
      <c r="D794" s="3">
        <v>44981</v>
      </c>
      <c r="E794" s="2">
        <v>5.4223759767054701E-2</v>
      </c>
      <c r="F794" s="2">
        <v>5.4236111487750802E-2</v>
      </c>
      <c r="G794" s="2">
        <v>5.4229934E-2</v>
      </c>
      <c r="H794" s="2">
        <v>0.19248537111179601</v>
      </c>
      <c r="I794" s="2">
        <v>0.19253354897090799</v>
      </c>
      <c r="J794" s="2">
        <v>0.19250945999999999</v>
      </c>
      <c r="K794">
        <f t="shared" si="60"/>
        <v>-2.074300489208758E-3</v>
      </c>
      <c r="L794">
        <f t="shared" si="61"/>
        <v>-1.2696002907711001E-2</v>
      </c>
      <c r="M794" s="1">
        <f t="shared" si="62"/>
        <v>-7.6320276668441827E-3</v>
      </c>
      <c r="N794" s="1">
        <f t="shared" si="63"/>
        <v>2.277657335172258E-4</v>
      </c>
      <c r="O794" s="1">
        <f t="shared" si="64"/>
        <v>2.5026229418536813E-4</v>
      </c>
    </row>
    <row r="795" spans="4:15" x14ac:dyDescent="0.25">
      <c r="D795" s="5">
        <v>44980</v>
      </c>
      <c r="E795" s="4">
        <v>5.4336899645180001E-2</v>
      </c>
      <c r="F795" s="4">
        <v>5.4348416830617703E-2</v>
      </c>
      <c r="G795" s="4">
        <v>5.4342657000000003E-2</v>
      </c>
      <c r="H795" s="4">
        <v>0.19496217733759699</v>
      </c>
      <c r="I795" s="4">
        <v>0.19500780031201201</v>
      </c>
      <c r="J795" s="4">
        <v>0.19498499</v>
      </c>
      <c r="K795">
        <f t="shared" si="60"/>
        <v>-2.6763634916792123E-3</v>
      </c>
      <c r="L795">
        <f t="shared" si="61"/>
        <v>9.3008278249735454E-3</v>
      </c>
      <c r="M795" s="1">
        <f t="shared" si="62"/>
        <v>3.5906132197325979E-3</v>
      </c>
      <c r="N795" s="1">
        <f t="shared" si="63"/>
        <v>2.119363695761595E-4</v>
      </c>
      <c r="O795" s="1">
        <f t="shared" si="64"/>
        <v>2.3398198197213058E-4</v>
      </c>
    </row>
    <row r="796" spans="4:15" x14ac:dyDescent="0.25">
      <c r="D796" s="3">
        <v>44979</v>
      </c>
      <c r="E796" s="2">
        <v>5.4482551962733897E-2</v>
      </c>
      <c r="F796" s="2">
        <v>5.4494427944742699E-2</v>
      </c>
      <c r="G796" s="2">
        <v>5.4488488000000002E-2</v>
      </c>
      <c r="H796" s="2">
        <v>0.193165794201163</v>
      </c>
      <c r="I796" s="2">
        <v>0.193210580211372</v>
      </c>
      <c r="J796" s="2">
        <v>0.19318817999999999</v>
      </c>
      <c r="K796">
        <f t="shared" si="60"/>
        <v>1.7164038453152397E-3</v>
      </c>
      <c r="L796">
        <f t="shared" si="61"/>
        <v>-2.6660182566651258E-3</v>
      </c>
      <c r="M796" s="1">
        <f t="shared" si="62"/>
        <v>-5.7666608456902353E-4</v>
      </c>
      <c r="N796" s="1">
        <f t="shared" si="63"/>
        <v>2.1795396504307722E-4</v>
      </c>
      <c r="O796" s="1">
        <f t="shared" si="64"/>
        <v>2.3182583017755757E-4</v>
      </c>
    </row>
    <row r="797" spans="4:15" x14ac:dyDescent="0.25">
      <c r="D797" s="5">
        <v>44978</v>
      </c>
      <c r="E797" s="4">
        <v>5.4390392481072102E-2</v>
      </c>
      <c r="F797" s="4">
        <v>5.4399860736356498E-2</v>
      </c>
      <c r="G797" s="4">
        <v>5.4395124000000003E-2</v>
      </c>
      <c r="H797" s="4">
        <v>0.19368209021711799</v>
      </c>
      <c r="I797" s="4">
        <v>0.19372711598442399</v>
      </c>
      <c r="J797" s="4">
        <v>0.1937046</v>
      </c>
      <c r="K797">
        <f t="shared" si="60"/>
        <v>9.7905999640790498E-4</v>
      </c>
      <c r="L797">
        <f t="shared" si="61"/>
        <v>0</v>
      </c>
      <c r="M797" s="1">
        <f t="shared" si="62"/>
        <v>4.6677409946040453E-4</v>
      </c>
      <c r="N797" s="1">
        <f t="shared" si="63"/>
        <v>1.7406441217776019E-4</v>
      </c>
      <c r="O797" s="1">
        <f t="shared" si="64"/>
        <v>2.3244552429834195E-4</v>
      </c>
    </row>
    <row r="798" spans="4:15" x14ac:dyDescent="0.25">
      <c r="D798" s="3">
        <v>44977</v>
      </c>
      <c r="E798" s="2">
        <v>5.4335718671383003E-2</v>
      </c>
      <c r="F798" s="2">
        <v>5.4348121457181799E-2</v>
      </c>
      <c r="G798" s="2">
        <v>5.4341920000000002E-2</v>
      </c>
      <c r="H798" s="2">
        <v>0.19368209021711799</v>
      </c>
      <c r="I798" s="2">
        <v>0.19372711598442399</v>
      </c>
      <c r="J798" s="2">
        <v>0.1937046</v>
      </c>
      <c r="K798">
        <f t="shared" si="60"/>
        <v>4.374567613450564E-3</v>
      </c>
      <c r="L798">
        <f t="shared" si="61"/>
        <v>5.3171554985260716E-3</v>
      </c>
      <c r="M798" s="1">
        <f t="shared" si="62"/>
        <v>4.8677697480790667E-3</v>
      </c>
      <c r="N798" s="1">
        <f t="shared" si="63"/>
        <v>2.2823606156712392E-4</v>
      </c>
      <c r="O798" s="1">
        <f t="shared" si="64"/>
        <v>2.3244552429834195E-4</v>
      </c>
    </row>
    <row r="799" spans="4:15" x14ac:dyDescent="0.25">
      <c r="D799" s="5">
        <v>44974</v>
      </c>
      <c r="E799" s="4">
        <v>5.40985025534493E-2</v>
      </c>
      <c r="F799" s="4">
        <v>5.41119684851896E-2</v>
      </c>
      <c r="G799" s="4">
        <v>5.4105233000000003E-2</v>
      </c>
      <c r="H799" s="4">
        <v>0.19265966669877699</v>
      </c>
      <c r="I799" s="4">
        <v>0.192700504875323</v>
      </c>
      <c r="J799" s="4">
        <v>0.19268009</v>
      </c>
      <c r="K799">
        <f t="shared" si="60"/>
        <v>4.1119883755493802E-3</v>
      </c>
      <c r="L799">
        <f t="shared" si="61"/>
        <v>9.2004912962522223E-3</v>
      </c>
      <c r="M799" s="1">
        <f t="shared" si="62"/>
        <v>6.7745098680179316E-3</v>
      </c>
      <c r="N799" s="1">
        <f t="shared" si="63"/>
        <v>2.4888409112479369E-4</v>
      </c>
      <c r="O799" s="1">
        <f t="shared" si="64"/>
        <v>2.1194808735046415E-4</v>
      </c>
    </row>
    <row r="800" spans="4:15" x14ac:dyDescent="0.25">
      <c r="D800" s="3">
        <v>44973</v>
      </c>
      <c r="E800" s="2">
        <v>5.3876988060859402E-2</v>
      </c>
      <c r="F800" s="2">
        <v>5.3890343928174898E-2</v>
      </c>
      <c r="G800" s="2">
        <v>5.3883663999999998E-2</v>
      </c>
      <c r="H800" s="2">
        <v>0.19090891735553001</v>
      </c>
      <c r="I800" s="2">
        <v>0.19093807878105101</v>
      </c>
      <c r="J800" s="2">
        <v>0.1909235</v>
      </c>
      <c r="K800">
        <f t="shared" si="60"/>
        <v>5.1188745523276236E-3</v>
      </c>
      <c r="L800">
        <f t="shared" si="61"/>
        <v>-1.107279383581794E-3</v>
      </c>
      <c r="M800" s="1">
        <f t="shared" si="62"/>
        <v>1.8610855860815775E-3</v>
      </c>
      <c r="N800" s="1">
        <f t="shared" si="63"/>
        <v>2.4786486894240928E-4</v>
      </c>
      <c r="O800" s="1">
        <f t="shared" si="64"/>
        <v>1.5273879601519503E-4</v>
      </c>
    </row>
    <row r="801" spans="4:15" x14ac:dyDescent="0.25">
      <c r="D801" s="5">
        <v>44972</v>
      </c>
      <c r="E801" s="4">
        <v>5.3601483689068502E-2</v>
      </c>
      <c r="F801" s="4">
        <v>5.3617003023999001E-2</v>
      </c>
      <c r="G801" s="4">
        <v>5.3609245E-2</v>
      </c>
      <c r="H801" s="4">
        <v>0.19110593001700801</v>
      </c>
      <c r="I801" s="4">
        <v>0.19116438225229901</v>
      </c>
      <c r="J801" s="4">
        <v>0.19113514000000001</v>
      </c>
      <c r="K801">
        <f t="shared" si="60"/>
        <v>-3.5382233325155221E-3</v>
      </c>
      <c r="L801">
        <f t="shared" si="61"/>
        <v>-1.4029366309216917E-2</v>
      </c>
      <c r="M801" s="1">
        <f t="shared" si="62"/>
        <v>-9.027636248519072E-3</v>
      </c>
      <c r="N801" s="1">
        <f t="shared" si="63"/>
        <v>2.8948989918620497E-4</v>
      </c>
      <c r="O801" s="1">
        <f t="shared" si="64"/>
        <v>3.0581626848414961E-4</v>
      </c>
    </row>
    <row r="802" spans="4:15" x14ac:dyDescent="0.25">
      <c r="D802" s="3">
        <v>44971</v>
      </c>
      <c r="E802" s="2">
        <v>5.3793808332660897E-2</v>
      </c>
      <c r="F802" s="2">
        <v>5.3805385919130498E-2</v>
      </c>
      <c r="G802" s="2">
        <v>5.3799600000000003E-2</v>
      </c>
      <c r="H802" s="2">
        <v>0.193836014731537</v>
      </c>
      <c r="I802" s="2">
        <v>0.19387359441644</v>
      </c>
      <c r="J802" s="2">
        <v>0.19385479999999999</v>
      </c>
      <c r="K802">
        <f t="shared" si="60"/>
        <v>2.3000348590620501E-3</v>
      </c>
      <c r="L802">
        <f t="shared" si="61"/>
        <v>2.3844628619158481E-3</v>
      </c>
      <c r="M802" s="1">
        <f t="shared" si="62"/>
        <v>2.3442111866907238E-3</v>
      </c>
      <c r="N802" s="1">
        <f t="shared" si="63"/>
        <v>2.1519837451581007E-4</v>
      </c>
      <c r="O802" s="1">
        <f t="shared" si="64"/>
        <v>1.9385480732489073E-4</v>
      </c>
    </row>
    <row r="803" spans="4:15" x14ac:dyDescent="0.25">
      <c r="D803" s="5">
        <v>44970</v>
      </c>
      <c r="E803" s="4">
        <v>5.3670815420698702E-2</v>
      </c>
      <c r="F803" s="4">
        <v>5.3681475596401199E-2</v>
      </c>
      <c r="G803" s="4">
        <v>5.3676143000000003E-2</v>
      </c>
      <c r="H803" s="4">
        <v>0.19336749492410299</v>
      </c>
      <c r="I803" s="4">
        <v>0.19341985648246701</v>
      </c>
      <c r="J803" s="4">
        <v>0.19339366</v>
      </c>
      <c r="K803">
        <f t="shared" si="60"/>
        <v>3.609720785734849E-3</v>
      </c>
      <c r="L803">
        <f t="shared" si="61"/>
        <v>1.4678482234674384E-2</v>
      </c>
      <c r="M803" s="1">
        <f t="shared" si="62"/>
        <v>9.4013682922942533E-3</v>
      </c>
      <c r="N803" s="1">
        <f t="shared" si="63"/>
        <v>1.9860174570473203E-4</v>
      </c>
      <c r="O803" s="1">
        <f t="shared" si="64"/>
        <v>2.7075116301135443E-4</v>
      </c>
    </row>
    <row r="804" spans="4:15" x14ac:dyDescent="0.25">
      <c r="D804" s="3">
        <v>44967</v>
      </c>
      <c r="E804" s="2">
        <v>5.34765077701366E-2</v>
      </c>
      <c r="F804" s="2">
        <v>5.3489665796568102E-2</v>
      </c>
      <c r="G804" s="2">
        <v>5.3483084E-2</v>
      </c>
      <c r="H804" s="2">
        <v>0.19057783198658301</v>
      </c>
      <c r="I804" s="2">
        <v>0.19061415881971699</v>
      </c>
      <c r="J804" s="2">
        <v>0.19059599999999999</v>
      </c>
      <c r="K804">
        <f t="shared" si="60"/>
        <v>1.3263763436788034E-2</v>
      </c>
      <c r="L804">
        <f t="shared" si="61"/>
        <v>2.6302499789581102E-3</v>
      </c>
      <c r="M804" s="1">
        <f t="shared" si="62"/>
        <v>7.699856220239709E-3</v>
      </c>
      <c r="N804" s="1">
        <f t="shared" si="63"/>
        <v>2.4602220828368922E-4</v>
      </c>
      <c r="O804" s="1">
        <f t="shared" si="64"/>
        <v>1.9059598907627477E-4</v>
      </c>
    </row>
    <row r="805" spans="4:15" x14ac:dyDescent="0.25">
      <c r="D805" s="5">
        <v>44966</v>
      </c>
      <c r="E805" s="4">
        <v>5.2777411267977303E-2</v>
      </c>
      <c r="F805" s="4">
        <v>5.2788555441180399E-2</v>
      </c>
      <c r="G805" s="4">
        <v>5.2782982999999999E-2</v>
      </c>
      <c r="H805" s="4">
        <v>0.19007431905875199</v>
      </c>
      <c r="I805" s="4">
        <v>0.19011768284568101</v>
      </c>
      <c r="J805" s="4">
        <v>0.19009599999999999</v>
      </c>
      <c r="K805">
        <f t="shared" si="60"/>
        <v>-2.3750120322707513E-4</v>
      </c>
      <c r="L805">
        <f t="shared" si="61"/>
        <v>-6.0830461492515919E-3</v>
      </c>
      <c r="M805" s="1">
        <f t="shared" si="62"/>
        <v>-3.2961393324612547E-3</v>
      </c>
      <c r="N805" s="1">
        <f t="shared" si="63"/>
        <v>2.1113193248466753E-4</v>
      </c>
      <c r="O805" s="1">
        <f t="shared" si="64"/>
        <v>2.2811519931514952E-4</v>
      </c>
    </row>
    <row r="806" spans="4:15" x14ac:dyDescent="0.25">
      <c r="D806" s="3">
        <v>44965</v>
      </c>
      <c r="E806" s="2">
        <v>5.2789948793749701E-2</v>
      </c>
      <c r="F806" s="2">
        <v>5.2801098262843897E-2</v>
      </c>
      <c r="G806" s="2">
        <v>5.2795521999999998E-2</v>
      </c>
      <c r="H806" s="2">
        <v>0.19124115509657699</v>
      </c>
      <c r="I806" s="2">
        <v>0.19127773527161401</v>
      </c>
      <c r="J806" s="2">
        <v>0.19125944</v>
      </c>
      <c r="K806">
        <f t="shared" si="60"/>
        <v>6.4673873952942884E-3</v>
      </c>
      <c r="L806">
        <f t="shared" si="61"/>
        <v>-7.5834524044690044E-3</v>
      </c>
      <c r="M806" s="1">
        <f t="shared" si="62"/>
        <v>-8.846105375151926E-4</v>
      </c>
      <c r="N806" s="1">
        <f t="shared" si="63"/>
        <v>2.1118209787178557E-4</v>
      </c>
      <c r="O806" s="1">
        <f t="shared" si="64"/>
        <v>1.9125944861608365E-4</v>
      </c>
    </row>
    <row r="807" spans="4:15" x14ac:dyDescent="0.25">
      <c r="D807" s="5">
        <v>44964</v>
      </c>
      <c r="E807" s="4">
        <v>5.2451312069571397E-2</v>
      </c>
      <c r="F807" s="4">
        <v>5.2461218044560602E-2</v>
      </c>
      <c r="G807" s="4">
        <v>5.2456267000000001E-2</v>
      </c>
      <c r="H807" s="4">
        <v>0.19270793185847501</v>
      </c>
      <c r="I807" s="4">
        <v>0.192733930808519</v>
      </c>
      <c r="J807" s="4">
        <v>0.19272093000000001</v>
      </c>
      <c r="K807">
        <f t="shared" si="60"/>
        <v>8.4586402564736929E-3</v>
      </c>
      <c r="L807">
        <f t="shared" si="61"/>
        <v>1.0695788827281838E-3</v>
      </c>
      <c r="M807" s="1">
        <f t="shared" si="62"/>
        <v>4.59236858023591E-3</v>
      </c>
      <c r="N807" s="1">
        <f t="shared" si="63"/>
        <v>1.8884254552854437E-4</v>
      </c>
      <c r="O807" s="1">
        <f t="shared" si="64"/>
        <v>1.3490465225539966E-4</v>
      </c>
    </row>
    <row r="808" spans="4:15" x14ac:dyDescent="0.25">
      <c r="D808" s="3">
        <v>44963</v>
      </c>
      <c r="E808" s="2">
        <v>5.2008030039838199E-2</v>
      </c>
      <c r="F808" s="2">
        <v>5.2024534770597798E-2</v>
      </c>
      <c r="G808" s="2">
        <v>5.2016279999999998E-2</v>
      </c>
      <c r="H808" s="2">
        <v>0.19249278152069299</v>
      </c>
      <c r="I808" s="2">
        <v>0.19253725595902799</v>
      </c>
      <c r="J808" s="2">
        <v>0.19251502000000001</v>
      </c>
      <c r="K808">
        <f t="shared" si="60"/>
        <v>-1.871289124853992E-2</v>
      </c>
      <c r="L808">
        <f t="shared" si="61"/>
        <v>-1.4804465714364778E-2</v>
      </c>
      <c r="M808" s="1">
        <f t="shared" si="62"/>
        <v>-1.6667836514638566E-2</v>
      </c>
      <c r="N808" s="1">
        <f t="shared" si="63"/>
        <v>3.1729932935610131E-4</v>
      </c>
      <c r="O808" s="1">
        <f t="shared" si="64"/>
        <v>2.3101801789281677E-4</v>
      </c>
    </row>
    <row r="809" spans="4:15" x14ac:dyDescent="0.25">
      <c r="D809" s="5">
        <v>44960</v>
      </c>
      <c r="E809" s="4">
        <v>5.30011925268319E-2</v>
      </c>
      <c r="F809" s="4">
        <v>5.3015241882041098E-2</v>
      </c>
      <c r="G809" s="4">
        <v>5.3008217000000003E-2</v>
      </c>
      <c r="H809" s="4">
        <v>0.19538882375928099</v>
      </c>
      <c r="I809" s="4">
        <v>0.19542700801250701</v>
      </c>
      <c r="J809" s="4">
        <v>0.19540793000000001</v>
      </c>
      <c r="K809">
        <f t="shared" si="60"/>
        <v>-1.436522222897807E-2</v>
      </c>
      <c r="L809">
        <f t="shared" si="61"/>
        <v>-2.3820120428932112E-2</v>
      </c>
      <c r="M809" s="1">
        <f t="shared" si="62"/>
        <v>-1.9312427734954819E-2</v>
      </c>
      <c r="N809" s="1">
        <f t="shared" si="63"/>
        <v>2.6504108238912237E-4</v>
      </c>
      <c r="O809" s="1">
        <f t="shared" si="64"/>
        <v>1.954078999046771E-4</v>
      </c>
    </row>
    <row r="810" spans="4:15" x14ac:dyDescent="0.25">
      <c r="D810" s="3">
        <v>44959</v>
      </c>
      <c r="E810" s="2">
        <v>5.3774137866134698E-2</v>
      </c>
      <c r="F810" s="2">
        <v>5.3787442783607697E-2</v>
      </c>
      <c r="G810" s="2">
        <v>5.3780790000000002E-2</v>
      </c>
      <c r="H810" s="2">
        <v>0.20016012810248199</v>
      </c>
      <c r="I810" s="2">
        <v>0.20019218449711701</v>
      </c>
      <c r="J810" s="2">
        <v>0.20017615</v>
      </c>
      <c r="K810">
        <f t="shared" si="60"/>
        <v>8.5646093538587209E-3</v>
      </c>
      <c r="L810">
        <f t="shared" si="61"/>
        <v>1.5873931771624328E-2</v>
      </c>
      <c r="M810" s="1">
        <f t="shared" si="62"/>
        <v>1.2389158211540239E-2</v>
      </c>
      <c r="N810" s="1">
        <f t="shared" si="63"/>
        <v>2.4739163320209792E-4</v>
      </c>
      <c r="O810" s="1">
        <f t="shared" si="64"/>
        <v>1.6014092905184576E-4</v>
      </c>
    </row>
    <row r="811" spans="4:15" x14ac:dyDescent="0.25">
      <c r="D811" s="5">
        <v>44958</v>
      </c>
      <c r="E811" s="4">
        <v>5.3318830611406999E-2</v>
      </c>
      <c r="F811" s="4">
        <v>5.3329351408428198E-2</v>
      </c>
      <c r="G811" s="4">
        <v>5.3324089999999998E-2</v>
      </c>
      <c r="H811" s="4">
        <v>0.197013278694984</v>
      </c>
      <c r="I811" s="4">
        <v>0.19708316909735901</v>
      </c>
      <c r="J811" s="4">
        <v>0.19704822</v>
      </c>
      <c r="K811">
        <f t="shared" si="60"/>
        <v>2.4928799700854043E-3</v>
      </c>
      <c r="L811">
        <f t="shared" si="61"/>
        <v>3.2612266861853367E-3</v>
      </c>
      <c r="M811" s="1">
        <f t="shared" si="62"/>
        <v>2.8949117026330073E-3</v>
      </c>
      <c r="N811" s="1">
        <f t="shared" si="63"/>
        <v>1.9729913855443223E-4</v>
      </c>
      <c r="O811" s="1">
        <f t="shared" si="64"/>
        <v>3.5468679887091251E-4</v>
      </c>
    </row>
    <row r="812" spans="4:15" x14ac:dyDescent="0.25">
      <c r="D812" s="3">
        <v>44957</v>
      </c>
      <c r="E812" s="2">
        <v>5.3187245698481503E-2</v>
      </c>
      <c r="F812" s="2">
        <v>5.3195733702157098E-2</v>
      </c>
      <c r="G812" s="2">
        <v>5.3191490000000001E-2</v>
      </c>
      <c r="H812" s="2">
        <v>0.19638648860958399</v>
      </c>
      <c r="I812" s="2">
        <v>0.196428922194504</v>
      </c>
      <c r="J812" s="2">
        <v>0.19640769</v>
      </c>
      <c r="K812">
        <f t="shared" si="60"/>
        <v>-1.4361345340794252E-3</v>
      </c>
      <c r="L812">
        <f t="shared" si="61"/>
        <v>5.4987334420952827E-4</v>
      </c>
      <c r="M812" s="1">
        <f t="shared" si="62"/>
        <v>-3.9697061051311219E-4</v>
      </c>
      <c r="N812" s="1">
        <f t="shared" si="63"/>
        <v>1.5957446718630161E-4</v>
      </c>
      <c r="O812" s="1">
        <f t="shared" si="64"/>
        <v>2.1604849036211212E-4</v>
      </c>
    </row>
    <row r="813" spans="4:15" x14ac:dyDescent="0.25">
      <c r="D813" s="5">
        <v>44956</v>
      </c>
      <c r="E813" s="4">
        <v>5.3262884291710201E-2</v>
      </c>
      <c r="F813" s="4">
        <v>5.3273099215819998E-2</v>
      </c>
      <c r="G813" s="4">
        <v>5.3267990000000001E-2</v>
      </c>
      <c r="H813" s="4">
        <v>0.19627085377821399</v>
      </c>
      <c r="I813" s="4">
        <v>0.19632865416707601</v>
      </c>
      <c r="J813" s="4">
        <v>0.19629975</v>
      </c>
      <c r="K813">
        <f t="shared" si="60"/>
        <v>1.0386614328303789E-3</v>
      </c>
      <c r="L813">
        <f t="shared" si="61"/>
        <v>-4.9106158396261534E-5</v>
      </c>
      <c r="M813" s="1">
        <f t="shared" si="62"/>
        <v>4.6949509145552838E-4</v>
      </c>
      <c r="N813" s="1">
        <f t="shared" si="63"/>
        <v>1.9176477486379859E-4</v>
      </c>
      <c r="O813" s="1">
        <f t="shared" si="64"/>
        <v>2.9444963053708756E-4</v>
      </c>
    </row>
    <row r="814" spans="4:15" x14ac:dyDescent="0.25">
      <c r="D814" s="3">
        <v>44953</v>
      </c>
      <c r="E814" s="2">
        <v>5.3205639797818602E-2</v>
      </c>
      <c r="F814" s="2">
        <v>5.3219797764768498E-2</v>
      </c>
      <c r="G814" s="2">
        <v>5.3212719999999998E-2</v>
      </c>
      <c r="H814" s="2">
        <v>0.19627855853026599</v>
      </c>
      <c r="I814" s="2">
        <v>0.196340218330323</v>
      </c>
      <c r="J814" s="2">
        <v>0.19630939</v>
      </c>
      <c r="K814">
        <f t="shared" si="60"/>
        <v>2.7138974224296675E-3</v>
      </c>
      <c r="L814">
        <f t="shared" si="61"/>
        <v>-2.0317316361397886E-3</v>
      </c>
      <c r="M814" s="1">
        <f t="shared" si="62"/>
        <v>2.3078214066045845E-4</v>
      </c>
      <c r="N814" s="1">
        <f t="shared" si="63"/>
        <v>2.6606358310373736E-4</v>
      </c>
      <c r="O814" s="1">
        <f t="shared" si="64"/>
        <v>3.1409501123207773E-4</v>
      </c>
    </row>
    <row r="815" spans="4:15" x14ac:dyDescent="0.25">
      <c r="D815" s="5">
        <v>44952</v>
      </c>
      <c r="E815" s="4">
        <v>5.3063628597050702E-2</v>
      </c>
      <c r="F815" s="4">
        <v>5.30737672290717E-2</v>
      </c>
      <c r="G815" s="4">
        <v>5.3068696999999998E-2</v>
      </c>
      <c r="H815" s="4">
        <v>0.19668004090944899</v>
      </c>
      <c r="I815" s="4">
        <v>0.19673808259064701</v>
      </c>
      <c r="J815" s="4">
        <v>0.19670905</v>
      </c>
      <c r="K815">
        <f t="shared" si="60"/>
        <v>-1.0613818711586731E-3</v>
      </c>
      <c r="L815">
        <f t="shared" si="61"/>
        <v>-1.8392814953678283E-3</v>
      </c>
      <c r="M815" s="1">
        <f t="shared" si="62"/>
        <v>-1.4684120921718915E-3</v>
      </c>
      <c r="N815" s="1">
        <f t="shared" si="63"/>
        <v>1.9104731403143084E-4</v>
      </c>
      <c r="O815" s="1">
        <f t="shared" si="64"/>
        <v>2.9506360382515869E-4</v>
      </c>
    </row>
    <row r="816" spans="4:15" x14ac:dyDescent="0.25">
      <c r="D816" s="3">
        <v>44951</v>
      </c>
      <c r="E816" s="2">
        <v>5.31183104127824E-2</v>
      </c>
      <c r="F816" s="2">
        <v>5.31318573303367E-2</v>
      </c>
      <c r="G816" s="2">
        <v>5.3125082999999997E-2</v>
      </c>
      <c r="H816" s="2">
        <v>0.19703656998739</v>
      </c>
      <c r="I816" s="2">
        <v>0.19710647691883201</v>
      </c>
      <c r="J816" s="2">
        <v>0.19707152</v>
      </c>
      <c r="K816">
        <f t="shared" si="60"/>
        <v>7.7024809361803115E-4</v>
      </c>
      <c r="L816">
        <f t="shared" si="61"/>
        <v>1.6514637682407907E-2</v>
      </c>
      <c r="M816" s="1">
        <f t="shared" si="62"/>
        <v>9.0083834193143853E-3</v>
      </c>
      <c r="N816" s="1">
        <f t="shared" si="63"/>
        <v>2.5500040262148104E-4</v>
      </c>
      <c r="O816" s="1">
        <f t="shared" si="64"/>
        <v>3.5472873727271863E-4</v>
      </c>
    </row>
    <row r="817" spans="4:15" x14ac:dyDescent="0.25">
      <c r="D817" s="5">
        <v>44950</v>
      </c>
      <c r="E817" s="4">
        <v>5.3079964967223101E-2</v>
      </c>
      <c r="F817" s="4">
        <v>5.3088418761447202E-2</v>
      </c>
      <c r="G817" s="4">
        <v>5.3084195000000001E-2</v>
      </c>
      <c r="H817" s="4">
        <v>0.19383977204442801</v>
      </c>
      <c r="I817" s="4">
        <v>0.193899908867043</v>
      </c>
      <c r="J817" s="4">
        <v>0.19386982999999999</v>
      </c>
      <c r="K817">
        <f t="shared" si="60"/>
        <v>-1.0882347616931742E-3</v>
      </c>
      <c r="L817">
        <f t="shared" si="61"/>
        <v>2.8304496565947357E-3</v>
      </c>
      <c r="M817" s="1">
        <f t="shared" si="62"/>
        <v>9.6218785739261078E-4</v>
      </c>
      <c r="N817" s="1">
        <f t="shared" si="63"/>
        <v>1.5925256517691747E-4</v>
      </c>
      <c r="O817" s="1">
        <f t="shared" si="64"/>
        <v>3.1019175399799091E-4</v>
      </c>
    </row>
    <row r="818" spans="4:15" x14ac:dyDescent="0.25">
      <c r="D818" s="3">
        <v>44949</v>
      </c>
      <c r="E818" s="2">
        <v>5.3135245139453398E-2</v>
      </c>
      <c r="F818" s="2">
        <v>5.3148800697312301E-2</v>
      </c>
      <c r="G818" s="2">
        <v>5.3142026000000002E-2</v>
      </c>
      <c r="H818" s="2">
        <v>0.19330021456323801</v>
      </c>
      <c r="I818" s="2">
        <v>0.19334506293381801</v>
      </c>
      <c r="J818" s="2">
        <v>0.19332263999999999</v>
      </c>
      <c r="K818">
        <f t="shared" si="60"/>
        <v>5.314228172658586E-3</v>
      </c>
      <c r="L818">
        <f t="shared" si="61"/>
        <v>5.3647322639300832E-3</v>
      </c>
      <c r="M818" s="1">
        <f t="shared" si="62"/>
        <v>5.3406540646278849E-3</v>
      </c>
      <c r="N818" s="1">
        <f t="shared" si="63"/>
        <v>2.5508169106882249E-4</v>
      </c>
      <c r="O818" s="1">
        <f t="shared" si="64"/>
        <v>2.3198716187611216E-4</v>
      </c>
    </row>
    <row r="819" spans="4:15" x14ac:dyDescent="0.25">
      <c r="D819" s="5">
        <v>44946</v>
      </c>
      <c r="E819" s="4">
        <v>5.28546813391262E-2</v>
      </c>
      <c r="F819" s="4">
        <v>5.2867535104043302E-2</v>
      </c>
      <c r="G819" s="4">
        <v>5.2861110000000003E-2</v>
      </c>
      <c r="H819" s="4">
        <v>0.19227071716977501</v>
      </c>
      <c r="I819" s="4">
        <v>0.19231139060366501</v>
      </c>
      <c r="J819" s="4">
        <v>0.19229104999999999</v>
      </c>
      <c r="K819">
        <f t="shared" si="60"/>
        <v>5.9734078435809135E-3</v>
      </c>
      <c r="L819">
        <f t="shared" si="61"/>
        <v>3.3073638726899279E-3</v>
      </c>
      <c r="M819" s="1">
        <f t="shared" si="62"/>
        <v>4.5784200676118273E-3</v>
      </c>
      <c r="N819" s="1">
        <f t="shared" si="63"/>
        <v>2.4316108604420243E-4</v>
      </c>
      <c r="O819" s="1">
        <f t="shared" si="64"/>
        <v>2.115201611827401E-4</v>
      </c>
    </row>
    <row r="820" spans="4:15" x14ac:dyDescent="0.25">
      <c r="D820" s="3">
        <v>44945</v>
      </c>
      <c r="E820" s="2">
        <v>5.2543085329970603E-2</v>
      </c>
      <c r="F820" s="2">
        <v>5.2551368963161503E-2</v>
      </c>
      <c r="G820" s="2">
        <v>5.2547223999999997E-2</v>
      </c>
      <c r="H820" s="2">
        <v>0.191636962937411</v>
      </c>
      <c r="I820" s="2">
        <v>0.19167736865308299</v>
      </c>
      <c r="J820" s="2">
        <v>0.19165716999999999</v>
      </c>
      <c r="K820">
        <f t="shared" si="60"/>
        <v>-1.7156730166746237E-2</v>
      </c>
      <c r="L820">
        <f t="shared" si="61"/>
        <v>-2.2874187203470231E-2</v>
      </c>
      <c r="M820" s="1">
        <f t="shared" si="62"/>
        <v>-2.0148347245437147E-2</v>
      </c>
      <c r="N820" s="1">
        <f t="shared" si="63"/>
        <v>1.5764168989974254E-4</v>
      </c>
      <c r="O820" s="1">
        <f t="shared" si="64"/>
        <v>2.1082287540814286E-4</v>
      </c>
    </row>
    <row r="821" spans="4:15" x14ac:dyDescent="0.25">
      <c r="D821" s="5">
        <v>44944</v>
      </c>
      <c r="E821" s="4">
        <v>5.3458497495469402E-2</v>
      </c>
      <c r="F821" s="4">
        <v>5.3470502997021697E-2</v>
      </c>
      <c r="G821" s="4">
        <v>5.3464499999999998E-2</v>
      </c>
      <c r="H821" s="4">
        <v>0.19612457833215699</v>
      </c>
      <c r="I821" s="4">
        <v>0.19616305072776499</v>
      </c>
      <c r="J821" s="4">
        <v>0.19614380000000001</v>
      </c>
      <c r="K821">
        <f t="shared" si="60"/>
        <v>3.181163847388202E-3</v>
      </c>
      <c r="L821">
        <f t="shared" si="61"/>
        <v>2.4419675591040857E-3</v>
      </c>
      <c r="M821" s="1">
        <f t="shared" si="62"/>
        <v>2.7943848604484447E-3</v>
      </c>
      <c r="N821" s="1">
        <f t="shared" si="63"/>
        <v>2.2455089923772192E-4</v>
      </c>
      <c r="O821" s="1">
        <f t="shared" si="64"/>
        <v>1.9614382717170981E-4</v>
      </c>
    </row>
    <row r="822" spans="4:15" x14ac:dyDescent="0.25">
      <c r="D822" s="3">
        <v>44943</v>
      </c>
      <c r="E822" s="2">
        <v>5.3289564837413497E-2</v>
      </c>
      <c r="F822" s="2">
        <v>5.3300358178406997E-2</v>
      </c>
      <c r="G822" s="2">
        <v>5.3294960000000002E-2</v>
      </c>
      <c r="H822" s="2">
        <v>0.195644943556434</v>
      </c>
      <c r="I822" s="2">
        <v>0.19568705725803301</v>
      </c>
      <c r="J822" s="2">
        <v>0.19566599000000001</v>
      </c>
      <c r="K822">
        <f t="shared" si="60"/>
        <v>1.7054285013160531E-3</v>
      </c>
      <c r="L822">
        <f t="shared" si="61"/>
        <v>6.8488743236283511E-5</v>
      </c>
      <c r="M822" s="1">
        <f t="shared" si="62"/>
        <v>8.4891188814259261E-4</v>
      </c>
      <c r="N822" s="1">
        <f t="shared" si="63"/>
        <v>2.0252085738500081E-4</v>
      </c>
      <c r="O822" s="1">
        <f t="shared" si="64"/>
        <v>2.152326094024383E-4</v>
      </c>
    </row>
    <row r="823" spans="4:15" x14ac:dyDescent="0.25">
      <c r="D823" s="5">
        <v>44942</v>
      </c>
      <c r="E823" s="4">
        <v>5.3198563638781803E-2</v>
      </c>
      <c r="F823" s="4">
        <v>5.3209886396892503E-2</v>
      </c>
      <c r="G823" s="4">
        <v>5.3204224000000001E-2</v>
      </c>
      <c r="H823" s="4">
        <v>0.19562580695645401</v>
      </c>
      <c r="I823" s="4">
        <v>0.19567939887288699</v>
      </c>
      <c r="J823" s="4">
        <v>0.19565258999999999</v>
      </c>
      <c r="K823">
        <f t="shared" si="60"/>
        <v>-5.7192051721177695E-4</v>
      </c>
      <c r="L823">
        <f t="shared" si="61"/>
        <v>-3.6098231516151769E-3</v>
      </c>
      <c r="M823" s="1">
        <f t="shared" si="62"/>
        <v>-2.1614805866808297E-3</v>
      </c>
      <c r="N823" s="1">
        <f t="shared" si="63"/>
        <v>2.1281690173134235E-4</v>
      </c>
      <c r="O823" s="1">
        <f t="shared" si="64"/>
        <v>2.7391365702328184E-4</v>
      </c>
    </row>
    <row r="824" spans="4:15" x14ac:dyDescent="0.25">
      <c r="D824" s="3">
        <v>44939</v>
      </c>
      <c r="E824" s="2">
        <v>5.3227162885763901E-2</v>
      </c>
      <c r="F824" s="2">
        <v>5.3242182716522597E-2</v>
      </c>
      <c r="G824" s="2">
        <v>5.3234669999999998E-2</v>
      </c>
      <c r="H824" s="2">
        <v>0.19634792852935401</v>
      </c>
      <c r="I824" s="2">
        <v>0.19637491899534601</v>
      </c>
      <c r="J824" s="2">
        <v>0.19636142000000001</v>
      </c>
      <c r="K824">
        <f t="shared" si="60"/>
        <v>4.4317725276894482E-3</v>
      </c>
      <c r="L824">
        <f t="shared" si="61"/>
        <v>7.9722968753650481E-3</v>
      </c>
      <c r="M824" s="1">
        <f t="shared" si="62"/>
        <v>6.2843256886479237E-3</v>
      </c>
      <c r="N824" s="1">
        <f t="shared" si="63"/>
        <v>2.821437750754538E-4</v>
      </c>
      <c r="O824" s="1">
        <f t="shared" si="64"/>
        <v>1.3745299861856518E-4</v>
      </c>
    </row>
    <row r="825" spans="4:15" x14ac:dyDescent="0.25">
      <c r="D825" s="5">
        <v>44938</v>
      </c>
      <c r="E825" s="4">
        <v>5.29950131692608E-2</v>
      </c>
      <c r="F825" s="4">
        <v>5.3004563692933999E-2</v>
      </c>
      <c r="G825" s="4">
        <v>5.2999787E-2</v>
      </c>
      <c r="H825" s="4">
        <v>0.194779898714453</v>
      </c>
      <c r="I825" s="4">
        <v>0.194836824159766</v>
      </c>
      <c r="J825" s="4">
        <v>0.19480834999999999</v>
      </c>
      <c r="K825">
        <f t="shared" si="60"/>
        <v>7.5259448953710617E-3</v>
      </c>
      <c r="L825">
        <f t="shared" si="61"/>
        <v>1.3578086340456208E-2</v>
      </c>
      <c r="M825" s="1">
        <f t="shared" si="62"/>
        <v>1.0692683113686393E-2</v>
      </c>
      <c r="N825" s="1">
        <f t="shared" si="63"/>
        <v>1.8019928406880361E-4</v>
      </c>
      <c r="O825" s="1">
        <f t="shared" si="64"/>
        <v>2.9221255307071875E-4</v>
      </c>
    </row>
    <row r="826" spans="4:15" x14ac:dyDescent="0.25">
      <c r="D826" s="3">
        <v>44937</v>
      </c>
      <c r="E826" s="2">
        <v>5.2598912254494597E-2</v>
      </c>
      <c r="F826" s="2">
        <v>5.2608874064877298E-2</v>
      </c>
      <c r="G826" s="2">
        <v>5.2603892999999999E-2</v>
      </c>
      <c r="H826" s="2">
        <v>0.19216726238518</v>
      </c>
      <c r="I826" s="2">
        <v>0.19223006093692899</v>
      </c>
      <c r="J826" s="2">
        <v>0.19219865999999999</v>
      </c>
      <c r="K826">
        <f t="shared" si="60"/>
        <v>5.9310545339503751E-3</v>
      </c>
      <c r="L826">
        <f t="shared" si="61"/>
        <v>4.5166981420909913E-3</v>
      </c>
      <c r="M826" s="1">
        <f t="shared" si="62"/>
        <v>5.1910030197781579E-3</v>
      </c>
      <c r="N826" s="1">
        <f t="shared" si="63"/>
        <v>1.8937401425216227E-4</v>
      </c>
      <c r="O826" s="1">
        <f t="shared" si="64"/>
        <v>3.2673771892573357E-4</v>
      </c>
    </row>
    <row r="827" spans="4:15" x14ac:dyDescent="0.25">
      <c r="D827" s="5">
        <v>44936</v>
      </c>
      <c r="E827" s="4">
        <v>5.2288675318699497E-2</v>
      </c>
      <c r="F827" s="4">
        <v>5.2298793466834699E-2</v>
      </c>
      <c r="G827" s="4">
        <v>5.2293736E-2</v>
      </c>
      <c r="H827" s="4">
        <v>0.191310669396032</v>
      </c>
      <c r="I827" s="4">
        <v>0.19135826093612501</v>
      </c>
      <c r="J827" s="4">
        <v>0.19133446000000001</v>
      </c>
      <c r="K827">
        <f t="shared" si="60"/>
        <v>2.4970726646305064E-3</v>
      </c>
      <c r="L827">
        <f t="shared" si="61"/>
        <v>1.2034910767344531E-2</v>
      </c>
      <c r="M827" s="1">
        <f t="shared" si="62"/>
        <v>7.4876758608754968E-3</v>
      </c>
      <c r="N827" s="1">
        <f t="shared" si="63"/>
        <v>1.9348680949477304E-4</v>
      </c>
      <c r="O827" s="1">
        <f t="shared" si="64"/>
        <v>2.487348075877789E-4</v>
      </c>
    </row>
    <row r="828" spans="4:15" x14ac:dyDescent="0.25">
      <c r="D828" s="3">
        <v>44935</v>
      </c>
      <c r="E828" s="2">
        <v>5.2156950696034501E-2</v>
      </c>
      <c r="F828" s="2">
        <v>5.2170011633912598E-2</v>
      </c>
      <c r="G828" s="2">
        <v>5.2163479999999998E-2</v>
      </c>
      <c r="H828" s="2">
        <v>0.18904663780554701</v>
      </c>
      <c r="I828" s="2">
        <v>0.18907165815844201</v>
      </c>
      <c r="J828" s="2">
        <v>0.18905915000000001</v>
      </c>
      <c r="K828">
        <f t="shared" si="60"/>
        <v>-8.8680703117305359E-4</v>
      </c>
      <c r="L828">
        <f t="shared" si="61"/>
        <v>-7.3071365413008849E-3</v>
      </c>
      <c r="M828" s="1">
        <f t="shared" si="62"/>
        <v>-4.2461969295057292E-3</v>
      </c>
      <c r="N828" s="1">
        <f t="shared" si="63"/>
        <v>2.5038471125961819E-4</v>
      </c>
      <c r="O828" s="1">
        <f t="shared" si="64"/>
        <v>1.3234140159312828E-4</v>
      </c>
    </row>
    <row r="829" spans="4:15" x14ac:dyDescent="0.25">
      <c r="D829" s="5">
        <v>44932</v>
      </c>
      <c r="E829" s="4">
        <v>5.2203510164023401E-2</v>
      </c>
      <c r="F829" s="4">
        <v>5.2216049124858999E-2</v>
      </c>
      <c r="G829" s="4">
        <v>5.2209779999999997E-2</v>
      </c>
      <c r="H829" s="4">
        <v>0.19043266301035999</v>
      </c>
      <c r="I829" s="4">
        <v>0.19046893451677999</v>
      </c>
      <c r="J829" s="4">
        <v>0.1904508</v>
      </c>
      <c r="K829">
        <f t="shared" si="60"/>
        <v>1.1799402026165362E-2</v>
      </c>
      <c r="L829">
        <f t="shared" si="61"/>
        <v>2.8091531665329184E-2</v>
      </c>
      <c r="M829" s="1">
        <f t="shared" si="62"/>
        <v>2.0324138279311905E-2</v>
      </c>
      <c r="N829" s="1">
        <f t="shared" si="63"/>
        <v>2.4016498126592419E-4</v>
      </c>
      <c r="O829" s="1">
        <f t="shared" si="64"/>
        <v>1.9045079579604632E-4</v>
      </c>
    </row>
    <row r="830" spans="4:15" x14ac:dyDescent="0.25">
      <c r="D830" s="3">
        <v>44931</v>
      </c>
      <c r="E830" s="2">
        <v>5.1595593736294902E-2</v>
      </c>
      <c r="F830" s="2">
        <v>5.1606244355567002E-2</v>
      </c>
      <c r="G830" s="2">
        <v>5.1600920000000002E-2</v>
      </c>
      <c r="H830" s="2">
        <v>0.18522977753903699</v>
      </c>
      <c r="I830" s="2">
        <v>0.18526409396594801</v>
      </c>
      <c r="J830" s="2">
        <v>0.18524693</v>
      </c>
      <c r="K830">
        <f t="shared" si="60"/>
        <v>-6.8374478026334007E-4</v>
      </c>
      <c r="L830">
        <f t="shared" si="61"/>
        <v>1.0846218630371052E-2</v>
      </c>
      <c r="M830" s="1">
        <f t="shared" si="62"/>
        <v>5.3492232393265665E-3</v>
      </c>
      <c r="N830" s="1">
        <f t="shared" si="63"/>
        <v>2.0640367016905542E-4</v>
      </c>
      <c r="O830" s="1">
        <f t="shared" si="64"/>
        <v>1.8524693991427008E-4</v>
      </c>
    </row>
    <row r="831" spans="4:15" x14ac:dyDescent="0.25">
      <c r="D831" s="5">
        <v>44930</v>
      </c>
      <c r="E831" s="4">
        <v>5.1628624974830999E-2</v>
      </c>
      <c r="F831" s="4">
        <v>5.1643822882345002E-2</v>
      </c>
      <c r="G831" s="4">
        <v>5.1636226E-2</v>
      </c>
      <c r="H831" s="4">
        <v>0.18324079673098401</v>
      </c>
      <c r="I831" s="4">
        <v>0.18327773908581099</v>
      </c>
      <c r="J831" s="4">
        <v>0.18325926000000001</v>
      </c>
      <c r="K831">
        <f t="shared" si="60"/>
        <v>3.1111540048234243E-3</v>
      </c>
      <c r="L831">
        <f t="shared" si="61"/>
        <v>-1.12887584221667E-2</v>
      </c>
      <c r="M831" s="1">
        <f t="shared" si="62"/>
        <v>-4.4234935966425363E-3</v>
      </c>
      <c r="N831" s="1">
        <f t="shared" si="63"/>
        <v>2.9432645821177871E-4</v>
      </c>
      <c r="O831" s="1">
        <f t="shared" si="64"/>
        <v>2.0158520135345618E-4</v>
      </c>
    </row>
    <row r="832" spans="4:15" x14ac:dyDescent="0.25">
      <c r="D832" s="3">
        <v>44929</v>
      </c>
      <c r="E832" s="2">
        <v>5.1469717791537403E-2</v>
      </c>
      <c r="F832" s="2">
        <v>5.1482436766696997E-2</v>
      </c>
      <c r="G832" s="2">
        <v>5.1476076000000003E-2</v>
      </c>
      <c r="H832" s="2">
        <v>0.18533963488091901</v>
      </c>
      <c r="I832" s="2">
        <v>0.18536368354711899</v>
      </c>
      <c r="J832" s="2">
        <v>0.18535165000000001</v>
      </c>
      <c r="K832">
        <f t="shared" si="60"/>
        <v>3.1265519758256755E-3</v>
      </c>
      <c r="L832">
        <f t="shared" si="61"/>
        <v>-2.1391396398952933E-2</v>
      </c>
      <c r="M832" s="1">
        <f t="shared" si="62"/>
        <v>-9.7022830501874019E-3</v>
      </c>
      <c r="N832" s="1">
        <f t="shared" si="63"/>
        <v>2.470851733064075E-4</v>
      </c>
      <c r="O832" s="1">
        <f t="shared" si="64"/>
        <v>1.2974616735261221E-4</v>
      </c>
    </row>
    <row r="833" spans="4:15" x14ac:dyDescent="0.25">
      <c r="D833" s="5">
        <v>44928</v>
      </c>
      <c r="E833" s="4">
        <v>5.1310732665951701E-2</v>
      </c>
      <c r="F833" s="4">
        <v>5.1320475843452E-2</v>
      </c>
      <c r="G833" s="4">
        <v>5.1315634999999998E-2</v>
      </c>
      <c r="H833" s="4">
        <v>0.18938317898604201</v>
      </c>
      <c r="I833" s="4">
        <v>0.189422639793908</v>
      </c>
      <c r="J833" s="4">
        <v>0.18940325</v>
      </c>
      <c r="K833">
        <f t="shared" si="60"/>
        <v>5.6513022572701743E-7</v>
      </c>
      <c r="L833">
        <f t="shared" si="61"/>
        <v>1.7951149746675554E-6</v>
      </c>
      <c r="M833" s="1">
        <f t="shared" si="62"/>
        <v>1.2087106423047057E-6</v>
      </c>
      <c r="N833" s="1">
        <f t="shared" si="63"/>
        <v>1.8986762027399133E-4</v>
      </c>
      <c r="O833" s="1">
        <f t="shared" si="64"/>
        <v>2.0834282339921565E-4</v>
      </c>
    </row>
    <row r="834" spans="4:15" x14ac:dyDescent="0.25">
      <c r="D834" s="3">
        <v>44925</v>
      </c>
      <c r="E834" s="2">
        <v>5.1310732665951701E-2</v>
      </c>
      <c r="F834" s="2">
        <v>5.1320475843452E-2</v>
      </c>
      <c r="G834" s="2">
        <v>5.1315606E-2</v>
      </c>
      <c r="H834" s="2">
        <v>0.18938317898604201</v>
      </c>
      <c r="I834" s="2">
        <v>0.189422639793908</v>
      </c>
      <c r="J834" s="2">
        <v>0.18940291000000001</v>
      </c>
      <c r="K834">
        <f t="shared" si="60"/>
        <v>-8.5312066116768337E-3</v>
      </c>
      <c r="L834">
        <f t="shared" si="61"/>
        <v>-5.2275173580929035E-3</v>
      </c>
      <c r="M834" s="1">
        <f t="shared" si="62"/>
        <v>-6.8025756608490308E-3</v>
      </c>
      <c r="N834" s="1">
        <f t="shared" si="63"/>
        <v>1.8986772757392242E-4</v>
      </c>
      <c r="O834" s="1">
        <f t="shared" si="64"/>
        <v>2.083431973985378E-4</v>
      </c>
    </row>
    <row r="835" spans="4:15" x14ac:dyDescent="0.25">
      <c r="D835" s="5">
        <v>44924</v>
      </c>
      <c r="E835" s="4">
        <v>5.1751530551516101E-2</v>
      </c>
      <c r="F835" s="4">
        <v>5.1762781524828001E-2</v>
      </c>
      <c r="G835" s="4">
        <v>5.1757156999999998E-2</v>
      </c>
      <c r="H835" s="4">
        <v>0.190381906103644</v>
      </c>
      <c r="I835" s="4">
        <v>0.19041453243711601</v>
      </c>
      <c r="J835" s="4">
        <v>0.19039822000000001</v>
      </c>
      <c r="K835">
        <f t="shared" si="60"/>
        <v>4.9427999640405673E-3</v>
      </c>
      <c r="L835">
        <f t="shared" si="61"/>
        <v>3.5128019967984869E-3</v>
      </c>
      <c r="M835" s="1">
        <f t="shared" si="62"/>
        <v>4.1945641113150488E-3</v>
      </c>
      <c r="N835" s="1">
        <f t="shared" si="63"/>
        <v>2.1738004875153149E-4</v>
      </c>
      <c r="O835" s="1">
        <f t="shared" si="64"/>
        <v>1.7135839543041856E-4</v>
      </c>
    </row>
    <row r="836" spans="4:15" x14ac:dyDescent="0.25">
      <c r="D836" s="3">
        <v>44923</v>
      </c>
      <c r="E836" s="2">
        <v>5.1495162029527301E-2</v>
      </c>
      <c r="F836" s="2">
        <v>5.1510016122634998E-2</v>
      </c>
      <c r="G836" s="2">
        <v>5.1502590000000001E-2</v>
      </c>
      <c r="H836" s="2">
        <v>0.189695728052204</v>
      </c>
      <c r="I836" s="2">
        <v>0.18976772430545</v>
      </c>
      <c r="J836" s="2">
        <v>0.18973172999999999</v>
      </c>
      <c r="K836">
        <f t="shared" si="60"/>
        <v>7.9826651025194373E-4</v>
      </c>
      <c r="L836">
        <f t="shared" si="61"/>
        <v>3.8516696097299352E-3</v>
      </c>
      <c r="M836" s="1">
        <f t="shared" si="62"/>
        <v>2.3959370833499609E-3</v>
      </c>
      <c r="N836" s="1">
        <f t="shared" si="63"/>
        <v>2.8841448765385991E-4</v>
      </c>
      <c r="O836" s="1">
        <f t="shared" si="64"/>
        <v>3.7946343105604082E-4</v>
      </c>
    </row>
    <row r="837" spans="4:15" x14ac:dyDescent="0.25">
      <c r="D837" s="5">
        <v>44922</v>
      </c>
      <c r="E837" s="4">
        <v>5.14538279075272E-2</v>
      </c>
      <c r="F837" s="4">
        <v>5.1469187970621402E-2</v>
      </c>
      <c r="G837" s="4">
        <v>5.1461510000000002E-2</v>
      </c>
      <c r="H837" s="4">
        <v>0.18898233015213101</v>
      </c>
      <c r="I837" s="4">
        <v>0.189025197058768</v>
      </c>
      <c r="J837" s="4">
        <v>0.18900375</v>
      </c>
      <c r="K837">
        <f t="shared" si="60"/>
        <v>-2.6038200371614195E-5</v>
      </c>
      <c r="L837">
        <f t="shared" si="61"/>
        <v>-3.0722114620835961E-2</v>
      </c>
      <c r="M837" s="1">
        <f t="shared" si="62"/>
        <v>-1.6087533001018162E-2</v>
      </c>
      <c r="N837" s="1">
        <f t="shared" si="63"/>
        <v>2.984767274454725E-4</v>
      </c>
      <c r="O837" s="1">
        <f t="shared" si="64"/>
        <v>2.2680452973546938E-4</v>
      </c>
    </row>
    <row r="838" spans="4:15" x14ac:dyDescent="0.25">
      <c r="D838" s="3">
        <v>44921</v>
      </c>
      <c r="E838" s="2">
        <v>5.1456740318414303E-2</v>
      </c>
      <c r="F838" s="2">
        <v>5.1468923064253803E-2</v>
      </c>
      <c r="G838" s="2">
        <v>5.1462849999999997E-2</v>
      </c>
      <c r="H838" s="2">
        <v>0.194969779684149</v>
      </c>
      <c r="I838" s="2">
        <v>0.195019209392125</v>
      </c>
      <c r="J838" s="2">
        <v>0.19499438999999999</v>
      </c>
      <c r="K838">
        <f t="shared" si="60"/>
        <v>3.3033548696437265E-7</v>
      </c>
      <c r="L838">
        <f t="shared" si="61"/>
        <v>-5.6411847515480673E-7</v>
      </c>
      <c r="M838" s="1">
        <f t="shared" si="62"/>
        <v>-1.3768092872376573E-7</v>
      </c>
      <c r="N838" s="1">
        <f t="shared" si="63"/>
        <v>2.3672893824381553E-4</v>
      </c>
      <c r="O838" s="1">
        <f t="shared" si="64"/>
        <v>2.5349297472609792E-4</v>
      </c>
    </row>
    <row r="839" spans="4:15" x14ac:dyDescent="0.25">
      <c r="D839" s="5">
        <v>44918</v>
      </c>
      <c r="E839" s="4">
        <v>5.1456740318414303E-2</v>
      </c>
      <c r="F839" s="4">
        <v>5.1468923064253803E-2</v>
      </c>
      <c r="G839" s="4">
        <v>5.1462832999999999E-2</v>
      </c>
      <c r="H839" s="4">
        <v>0.194969779684149</v>
      </c>
      <c r="I839" s="4">
        <v>0.195019209392125</v>
      </c>
      <c r="J839" s="4">
        <v>0.19499449999999999</v>
      </c>
      <c r="K839">
        <f t="shared" si="60"/>
        <v>6.741687551266029E-3</v>
      </c>
      <c r="L839">
        <f t="shared" si="61"/>
        <v>9.4280129661836742E-3</v>
      </c>
      <c r="M839" s="1">
        <f t="shared" si="62"/>
        <v>8.1472874427159902E-3</v>
      </c>
      <c r="N839" s="1">
        <f t="shared" si="63"/>
        <v>2.3672901644378462E-4</v>
      </c>
      <c r="O839" s="1">
        <f t="shared" si="64"/>
        <v>2.5349283172602759E-4</v>
      </c>
    </row>
    <row r="840" spans="4:15" x14ac:dyDescent="0.25">
      <c r="D840" s="3">
        <v>44917</v>
      </c>
      <c r="E840" s="2">
        <v>5.1112462751792799E-2</v>
      </c>
      <c r="F840" s="2">
        <v>5.1123960266458102E-2</v>
      </c>
      <c r="G840" s="2">
        <v>5.1118209999999997E-2</v>
      </c>
      <c r="H840" s="2">
        <v>0.193143408981168</v>
      </c>
      <c r="I840" s="2">
        <v>0.19320311443420499</v>
      </c>
      <c r="J840" s="2">
        <v>0.19317326000000001</v>
      </c>
      <c r="K840">
        <f t="shared" si="60"/>
        <v>7.5143254553937666E-3</v>
      </c>
      <c r="L840">
        <f t="shared" si="61"/>
        <v>4.7617318789388019E-3</v>
      </c>
      <c r="M840" s="1">
        <f t="shared" si="62"/>
        <v>6.0740512388802103E-3</v>
      </c>
      <c r="N840" s="1">
        <f t="shared" si="63"/>
        <v>2.2492013443551004E-4</v>
      </c>
      <c r="O840" s="1">
        <f t="shared" si="64"/>
        <v>3.0907721408744688E-4</v>
      </c>
    </row>
    <row r="841" spans="4:15" x14ac:dyDescent="0.25">
      <c r="D841" s="5">
        <v>44916</v>
      </c>
      <c r="E841" s="4">
        <v>5.0731806305963502E-2</v>
      </c>
      <c r="F841" s="4">
        <v>5.0742103260180103E-2</v>
      </c>
      <c r="G841" s="4">
        <v>5.0736956E-2</v>
      </c>
      <c r="H841" s="4">
        <v>0.19222636576832899</v>
      </c>
      <c r="I841" s="4">
        <v>0.19228920296125401</v>
      </c>
      <c r="J841" s="4">
        <v>0.19225777999999999</v>
      </c>
      <c r="K841">
        <f t="shared" si="60"/>
        <v>2.5115666228268108E-3</v>
      </c>
      <c r="L841">
        <f t="shared" si="61"/>
        <v>-2.7011828237494262E-3</v>
      </c>
      <c r="M841" s="1">
        <f t="shared" si="62"/>
        <v>-2.1596594473743459E-4</v>
      </c>
      <c r="N841" s="1">
        <f t="shared" si="63"/>
        <v>2.0294781217465005E-4</v>
      </c>
      <c r="O841" s="1">
        <f t="shared" si="64"/>
        <v>3.2683823211221582E-4</v>
      </c>
    </row>
    <row r="842" spans="4:15" x14ac:dyDescent="0.25">
      <c r="D842" s="3">
        <v>44915</v>
      </c>
      <c r="E842" s="2">
        <v>5.0606006933022897E-2</v>
      </c>
      <c r="F842" s="2">
        <v>5.0613691003416401E-2</v>
      </c>
      <c r="G842" s="2">
        <v>5.0609846E-2</v>
      </c>
      <c r="H842" s="2">
        <v>0.192756221207039</v>
      </c>
      <c r="I842" s="2">
        <v>0.19280081747546601</v>
      </c>
      <c r="J842" s="2">
        <v>0.19277850999999999</v>
      </c>
      <c r="K842">
        <f t="shared" si="60"/>
        <v>2.1761605704559983E-3</v>
      </c>
      <c r="L842">
        <f t="shared" si="61"/>
        <v>2.2420120755548778E-2</v>
      </c>
      <c r="M842" s="1">
        <f t="shared" si="62"/>
        <v>1.276866290865694E-2</v>
      </c>
      <c r="N842" s="1">
        <f t="shared" si="63"/>
        <v>1.5182955493491096E-4</v>
      </c>
      <c r="O842" s="1">
        <f t="shared" si="64"/>
        <v>2.3133423132594346E-4</v>
      </c>
    </row>
    <row r="843" spans="4:15" x14ac:dyDescent="0.25">
      <c r="D843" s="5">
        <v>44914</v>
      </c>
      <c r="E843" s="4">
        <v>5.0492299924261602E-2</v>
      </c>
      <c r="F843" s="4">
        <v>5.0507601394009803E-2</v>
      </c>
      <c r="G843" s="4">
        <v>5.0499950000000002E-2</v>
      </c>
      <c r="H843" s="4">
        <v>0.18852984427434899</v>
      </c>
      <c r="I843" s="4">
        <v>0.18857250612860599</v>
      </c>
      <c r="J843" s="4">
        <v>0.18855116999999999</v>
      </c>
      <c r="K843">
        <f t="shared" si="60"/>
        <v>8.332490056168762E-4</v>
      </c>
      <c r="L843">
        <f t="shared" si="61"/>
        <v>-4.440416353053811E-3</v>
      </c>
      <c r="M843" s="1">
        <f t="shared" si="62"/>
        <v>-1.9261573621027978E-3</v>
      </c>
      <c r="N843" s="1">
        <f t="shared" si="63"/>
        <v>3.029997009541783E-4</v>
      </c>
      <c r="O843" s="1">
        <f t="shared" si="64"/>
        <v>2.2626141358336767E-4</v>
      </c>
    </row>
    <row r="844" spans="4:15" x14ac:dyDescent="0.25">
      <c r="D844" s="3">
        <v>44911</v>
      </c>
      <c r="E844" s="2">
        <v>5.0452050371327099E-2</v>
      </c>
      <c r="F844" s="2">
        <v>5.0463761972527499E-2</v>
      </c>
      <c r="G844" s="2">
        <v>5.0457905999999997E-2</v>
      </c>
      <c r="H844" s="2">
        <v>0.18934731978868799</v>
      </c>
      <c r="I844" s="2">
        <v>0.18943699325604299</v>
      </c>
      <c r="J844" s="2">
        <v>0.18939215000000001</v>
      </c>
      <c r="K844">
        <f t="shared" si="60"/>
        <v>-4.2890629963343585E-4</v>
      </c>
      <c r="L844">
        <f t="shared" si="61"/>
        <v>1.0189306868334524E-2</v>
      </c>
      <c r="M844" s="1">
        <f t="shared" si="62"/>
        <v>5.1269951534844036E-3</v>
      </c>
      <c r="N844" s="1">
        <f t="shared" si="63"/>
        <v>2.3210636605489626E-4</v>
      </c>
      <c r="O844" s="1">
        <f t="shared" si="64"/>
        <v>4.7348038107704234E-4</v>
      </c>
    </row>
    <row r="845" spans="4:15" x14ac:dyDescent="0.25">
      <c r="D845" s="5">
        <v>44910</v>
      </c>
      <c r="E845" s="4">
        <v>5.0473186119873802E-2</v>
      </c>
      <c r="F845" s="4">
        <v>5.0485927047835402E-2</v>
      </c>
      <c r="G845" s="4">
        <v>5.0479557000000001E-2</v>
      </c>
      <c r="H845" s="4">
        <v>0.18746250749849999</v>
      </c>
      <c r="I845" s="4">
        <v>0.18750117188232401</v>
      </c>
      <c r="J845" s="4">
        <v>0.18748184000000001</v>
      </c>
      <c r="K845">
        <f t="shared" si="60"/>
        <v>-4.240241853388782E-3</v>
      </c>
      <c r="L845">
        <f t="shared" si="61"/>
        <v>-1.8091632039843875E-3</v>
      </c>
      <c r="M845" s="1">
        <f t="shared" si="62"/>
        <v>-2.9681979428732353E-3</v>
      </c>
      <c r="N845" s="1">
        <f t="shared" si="63"/>
        <v>2.523977768188534E-4</v>
      </c>
      <c r="O845" s="1">
        <f t="shared" si="64"/>
        <v>2.0623002112642977E-4</v>
      </c>
    </row>
    <row r="846" spans="4:15" x14ac:dyDescent="0.25">
      <c r="D846" s="3">
        <v>44909</v>
      </c>
      <c r="E846" s="2">
        <v>5.0688347762616298E-2</v>
      </c>
      <c r="F846" s="2">
        <v>5.0700683445212801E-2</v>
      </c>
      <c r="G846" s="2">
        <v>5.0694514000000003E-2</v>
      </c>
      <c r="H846" s="2">
        <v>0.187786374220687</v>
      </c>
      <c r="I846" s="2">
        <v>0.18785692816351099</v>
      </c>
      <c r="J846" s="2">
        <v>0.18782164000000001</v>
      </c>
      <c r="K846">
        <f t="shared" si="60"/>
        <v>-5.2722352385849991E-3</v>
      </c>
      <c r="L846">
        <f t="shared" si="61"/>
        <v>-1.0611887640373685E-2</v>
      </c>
      <c r="M846" s="1">
        <f t="shared" si="62"/>
        <v>-8.0661688382359566E-3</v>
      </c>
      <c r="N846" s="1">
        <f t="shared" si="63"/>
        <v>2.4333367899537139E-4</v>
      </c>
      <c r="O846" s="1">
        <f t="shared" si="64"/>
        <v>3.7564331151610924E-4</v>
      </c>
    </row>
    <row r="847" spans="4:15" x14ac:dyDescent="0.25">
      <c r="D847" s="5">
        <v>44908</v>
      </c>
      <c r="E847" s="4">
        <v>5.0958270272473898E-2</v>
      </c>
      <c r="F847" s="4">
        <v>5.0968139815801103E-2</v>
      </c>
      <c r="G847" s="4">
        <v>5.0963203999999998E-2</v>
      </c>
      <c r="H847" s="4">
        <v>0.18981094829549799</v>
      </c>
      <c r="I847" s="4">
        <v>0.18986140117714101</v>
      </c>
      <c r="J847" s="4">
        <v>0.18983616</v>
      </c>
      <c r="K847">
        <f t="shared" si="60"/>
        <v>1.088064463788907E-2</v>
      </c>
      <c r="L847">
        <f t="shared" si="61"/>
        <v>1.5215274485879116E-2</v>
      </c>
      <c r="M847" s="1">
        <f t="shared" si="62"/>
        <v>1.3148707624590687E-2</v>
      </c>
      <c r="N847" s="1">
        <f t="shared" si="63"/>
        <v>1.9366018131837431E-4</v>
      </c>
      <c r="O847" s="1">
        <f t="shared" si="64"/>
        <v>2.65770660568645E-4</v>
      </c>
    </row>
    <row r="848" spans="4:15" x14ac:dyDescent="0.25">
      <c r="D848" s="3">
        <v>44907</v>
      </c>
      <c r="E848" s="2">
        <v>5.04083072890412E-2</v>
      </c>
      <c r="F848" s="2">
        <v>5.0421015479251798E-2</v>
      </c>
      <c r="G848" s="2">
        <v>5.041466E-2</v>
      </c>
      <c r="H848" s="2">
        <v>0.186964813222152</v>
      </c>
      <c r="I848" s="2">
        <v>0.187017261693254</v>
      </c>
      <c r="J848" s="2">
        <v>0.18699104</v>
      </c>
      <c r="K848">
        <f t="shared" ref="K848:K911" si="65">G848/G849-1</f>
        <v>-5.2932752011436435E-4</v>
      </c>
      <c r="L848">
        <f t="shared" ref="L848:L911" si="66">J848/J849-1</f>
        <v>-2.2784837116556655E-2</v>
      </c>
      <c r="M848" s="1">
        <f t="shared" ref="M848:M911" si="67">SUMPRODUCT(K848:L848,$O$11:$P$11)</f>
        <v>-1.217435820001876E-2</v>
      </c>
      <c r="N848" s="1">
        <f t="shared" ref="N848:N911" si="68">(F848-E848)/G848</f>
        <v>2.5207330983879363E-4</v>
      </c>
      <c r="O848" s="1">
        <f t="shared" ref="O848:O911" si="69">(I848-H848)/J848</f>
        <v>2.8048654685273284E-4</v>
      </c>
    </row>
    <row r="849" spans="4:15" x14ac:dyDescent="0.25">
      <c r="D849" s="5">
        <v>44904</v>
      </c>
      <c r="E849" s="4">
        <v>5.0434238796033801E-2</v>
      </c>
      <c r="F849" s="4">
        <v>5.0448487049873397E-2</v>
      </c>
      <c r="G849" s="4">
        <v>5.0441359999999998E-2</v>
      </c>
      <c r="H849" s="4">
        <v>0.19132164995790901</v>
      </c>
      <c r="I849" s="4">
        <v>0.19138023424940701</v>
      </c>
      <c r="J849" s="4">
        <v>0.19135094</v>
      </c>
      <c r="K849">
        <f t="shared" si="65"/>
        <v>-7.6166906738650564E-3</v>
      </c>
      <c r="L849">
        <f t="shared" si="66"/>
        <v>-2.6979922717943472E-3</v>
      </c>
      <c r="M849" s="1">
        <f t="shared" si="67"/>
        <v>-5.0430181390215259E-3</v>
      </c>
      <c r="N849" s="1">
        <f t="shared" si="68"/>
        <v>2.8247164310392511E-4</v>
      </c>
      <c r="O849" s="1">
        <f t="shared" si="69"/>
        <v>3.061615035598614E-4</v>
      </c>
    </row>
    <row r="850" spans="4:15" x14ac:dyDescent="0.25">
      <c r="D850" s="3">
        <v>44903</v>
      </c>
      <c r="E850" s="2">
        <v>5.0822304893171501E-2</v>
      </c>
      <c r="F850" s="2">
        <v>5.0834705870391801E-2</v>
      </c>
      <c r="G850" s="2">
        <v>5.0828505000000003E-2</v>
      </c>
      <c r="H850" s="2">
        <v>0.191846522781775</v>
      </c>
      <c r="I850" s="2">
        <v>0.191890699057817</v>
      </c>
      <c r="J850" s="2">
        <v>0.1918686</v>
      </c>
      <c r="K850">
        <f t="shared" si="65"/>
        <v>3.761263123088332E-3</v>
      </c>
      <c r="L850">
        <f t="shared" si="66"/>
        <v>1.1607851846116013E-3</v>
      </c>
      <c r="M850" s="1">
        <f t="shared" si="67"/>
        <v>2.4005822883157607E-3</v>
      </c>
      <c r="N850" s="1">
        <f t="shared" si="68"/>
        <v>2.4397682403408134E-4</v>
      </c>
      <c r="O850" s="1">
        <f t="shared" si="69"/>
        <v>2.3024234315568933E-4</v>
      </c>
    </row>
    <row r="851" spans="4:15" x14ac:dyDescent="0.25">
      <c r="D851" s="5">
        <v>44902</v>
      </c>
      <c r="E851" s="4">
        <v>5.0633167762874701E-2</v>
      </c>
      <c r="F851" s="4">
        <v>5.0642911764854803E-2</v>
      </c>
      <c r="G851" s="4">
        <v>5.0638042000000001E-2</v>
      </c>
      <c r="H851" s="4">
        <v>0.19161860233391501</v>
      </c>
      <c r="I851" s="4">
        <v>0.19167369470213899</v>
      </c>
      <c r="J851" s="4">
        <v>0.19164613999999999</v>
      </c>
      <c r="K851">
        <f t="shared" si="65"/>
        <v>2.1775246429625028E-3</v>
      </c>
      <c r="L851">
        <f t="shared" si="66"/>
        <v>2.9129805666978648E-3</v>
      </c>
      <c r="M851" s="1">
        <f t="shared" si="67"/>
        <v>2.5623465118351342E-3</v>
      </c>
      <c r="N851" s="1">
        <f t="shared" si="68"/>
        <v>1.924245408245171E-4</v>
      </c>
      <c r="O851" s="1">
        <f t="shared" si="69"/>
        <v>2.8746922961237658E-4</v>
      </c>
    </row>
    <row r="852" spans="4:15" x14ac:dyDescent="0.25">
      <c r="D852" s="3">
        <v>44901</v>
      </c>
      <c r="E852" s="2">
        <v>5.0523422658744599E-2</v>
      </c>
      <c r="F852" s="2">
        <v>5.0532613748913498E-2</v>
      </c>
      <c r="G852" s="2">
        <v>5.0528016000000002E-2</v>
      </c>
      <c r="H852" s="2">
        <v>0.191069415518658</v>
      </c>
      <c r="I852" s="2">
        <v>0.19110958223445301</v>
      </c>
      <c r="J852" s="2">
        <v>0.1910895</v>
      </c>
      <c r="K852">
        <f t="shared" si="65"/>
        <v>-1.8695975280634825E-3</v>
      </c>
      <c r="L852">
        <f t="shared" si="66"/>
        <v>4.5478923364081769E-3</v>
      </c>
      <c r="M852" s="1">
        <f t="shared" si="67"/>
        <v>1.4883065466962534E-3</v>
      </c>
      <c r="N852" s="1">
        <f t="shared" si="68"/>
        <v>1.8190087196178051E-4</v>
      </c>
      <c r="O852" s="1">
        <f t="shared" si="69"/>
        <v>2.1019844520507271E-4</v>
      </c>
    </row>
    <row r="853" spans="4:15" x14ac:dyDescent="0.25">
      <c r="D853" s="5">
        <v>44900</v>
      </c>
      <c r="E853" s="4">
        <v>5.0617021491987303E-2</v>
      </c>
      <c r="F853" s="4">
        <v>5.0628297167853102E-2</v>
      </c>
      <c r="G853" s="4">
        <v>5.062266E-2</v>
      </c>
      <c r="H853" s="4">
        <v>0.19019361710221</v>
      </c>
      <c r="I853" s="4">
        <v>0.190255132132189</v>
      </c>
      <c r="J853" s="4">
        <v>0.19022438</v>
      </c>
      <c r="K853">
        <f t="shared" si="65"/>
        <v>-1.9515022450512287E-2</v>
      </c>
      <c r="L853">
        <f t="shared" si="66"/>
        <v>-4.4036668629864328E-3</v>
      </c>
      <c r="M853" s="1">
        <f t="shared" si="67"/>
        <v>-1.1608117480795764E-2</v>
      </c>
      <c r="N853" s="1">
        <f t="shared" si="68"/>
        <v>2.2273969534194603E-4</v>
      </c>
      <c r="O853" s="1">
        <f t="shared" si="69"/>
        <v>3.2338141924291455E-4</v>
      </c>
    </row>
    <row r="854" spans="4:15" x14ac:dyDescent="0.25">
      <c r="D854" s="3">
        <v>44897</v>
      </c>
      <c r="E854" s="2">
        <v>5.16256930749295E-2</v>
      </c>
      <c r="F854" s="2">
        <v>5.1634756387219399E-2</v>
      </c>
      <c r="G854" s="2">
        <v>5.1630225000000002E-2</v>
      </c>
      <c r="H854" s="2">
        <v>0.19104021396504001</v>
      </c>
      <c r="I854" s="2">
        <v>0.19109132254304301</v>
      </c>
      <c r="J854" s="2">
        <v>0.19106577</v>
      </c>
      <c r="K854">
        <f t="shared" si="65"/>
        <v>-1.1487695918627971E-2</v>
      </c>
      <c r="L854">
        <f t="shared" si="66"/>
        <v>-9.0756099775906041E-3</v>
      </c>
      <c r="M854" s="1">
        <f t="shared" si="67"/>
        <v>-1.0225589802197529E-2</v>
      </c>
      <c r="N854" s="1">
        <f t="shared" si="68"/>
        <v>1.7554276182021148E-4</v>
      </c>
      <c r="O854" s="1">
        <f t="shared" si="69"/>
        <v>2.6749206832286454E-4</v>
      </c>
    </row>
    <row r="855" spans="4:15" x14ac:dyDescent="0.25">
      <c r="D855" s="5">
        <v>44896</v>
      </c>
      <c r="E855" s="4">
        <v>5.2223411755490001E-2</v>
      </c>
      <c r="F855" s="4">
        <v>5.2237051740799699E-2</v>
      </c>
      <c r="G855" s="4">
        <v>5.2230230000000002E-2</v>
      </c>
      <c r="H855" s="4">
        <v>0.19279338333108401</v>
      </c>
      <c r="I855" s="4">
        <v>0.19283799679888899</v>
      </c>
      <c r="J855" s="4">
        <v>0.19281569000000001</v>
      </c>
      <c r="K855">
        <f t="shared" si="65"/>
        <v>1.1882427025445397E-2</v>
      </c>
      <c r="L855">
        <f t="shared" si="66"/>
        <v>1.3979205862258093E-2</v>
      </c>
      <c r="M855" s="1">
        <f t="shared" si="67"/>
        <v>1.2979551033226433E-2</v>
      </c>
      <c r="N855" s="1">
        <f t="shared" si="68"/>
        <v>2.6115116302757489E-4</v>
      </c>
      <c r="O855" s="1">
        <f t="shared" si="69"/>
        <v>2.3137882505821019E-4</v>
      </c>
    </row>
    <row r="856" spans="4:15" x14ac:dyDescent="0.25">
      <c r="D856" s="3">
        <v>44895</v>
      </c>
      <c r="E856" s="2">
        <v>5.16129032258065E-2</v>
      </c>
      <c r="F856" s="2">
        <v>5.1620896138756998E-2</v>
      </c>
      <c r="G856" s="2">
        <v>5.1616896000000002E-2</v>
      </c>
      <c r="H856" s="2">
        <v>0.19013214183857799</v>
      </c>
      <c r="I856" s="2">
        <v>0.190182765637778</v>
      </c>
      <c r="J856" s="2">
        <v>0.19015744000000001</v>
      </c>
      <c r="K856">
        <f t="shared" si="65"/>
        <v>-8.5168758289787538E-3</v>
      </c>
      <c r="L856">
        <f t="shared" si="66"/>
        <v>7.5682556409297774E-3</v>
      </c>
      <c r="M856" s="1">
        <f t="shared" si="67"/>
        <v>-1.0044983586989485E-4</v>
      </c>
      <c r="N856" s="1">
        <f t="shared" si="68"/>
        <v>1.5485070916504266E-4</v>
      </c>
      <c r="O856" s="1">
        <f t="shared" si="69"/>
        <v>2.6622044974948842E-4</v>
      </c>
    </row>
    <row r="857" spans="4:15" x14ac:dyDescent="0.25">
      <c r="D857" s="5">
        <v>44894</v>
      </c>
      <c r="E857" s="4">
        <v>5.2055949734774898E-2</v>
      </c>
      <c r="F857" s="4">
        <v>5.2064622609583E-2</v>
      </c>
      <c r="G857" s="4">
        <v>5.2060286999999997E-2</v>
      </c>
      <c r="H857" s="4">
        <v>0.18871129059651601</v>
      </c>
      <c r="I857" s="4">
        <v>0.188746909269361</v>
      </c>
      <c r="J857" s="4">
        <v>0.18872908999999999</v>
      </c>
      <c r="K857">
        <f t="shared" si="65"/>
        <v>4.9456915362648957E-3</v>
      </c>
      <c r="L857">
        <f t="shared" si="66"/>
        <v>1.4069700608621893E-2</v>
      </c>
      <c r="M857" s="1">
        <f t="shared" si="67"/>
        <v>9.7197617551875864E-3</v>
      </c>
      <c r="N857" s="1">
        <f t="shared" si="68"/>
        <v>1.6659291194653217E-4</v>
      </c>
      <c r="O857" s="1">
        <f t="shared" si="69"/>
        <v>1.887291081888288E-4</v>
      </c>
    </row>
    <row r="858" spans="4:15" x14ac:dyDescent="0.25">
      <c r="D858" s="3">
        <v>44893</v>
      </c>
      <c r="E858" s="2">
        <v>5.1800051800051802E-2</v>
      </c>
      <c r="F858" s="2">
        <v>5.1808102787275899E-2</v>
      </c>
      <c r="G858" s="2">
        <v>5.1804080000000002E-2</v>
      </c>
      <c r="H858" s="2">
        <v>0.186063819890222</v>
      </c>
      <c r="I858" s="2">
        <v>0.18615734018392299</v>
      </c>
      <c r="J858" s="2">
        <v>0.18611057</v>
      </c>
      <c r="K858">
        <f t="shared" si="65"/>
        <v>1.5800711317186522E-3</v>
      </c>
      <c r="L858">
        <f t="shared" si="66"/>
        <v>-2.7078614416027325E-3</v>
      </c>
      <c r="M858" s="1">
        <f t="shared" si="67"/>
        <v>-6.6355785162626783E-4</v>
      </c>
      <c r="N858" s="1">
        <f t="shared" si="68"/>
        <v>1.5541222282292513E-4</v>
      </c>
      <c r="O858" s="1">
        <f t="shared" si="69"/>
        <v>5.0249856147876928E-4</v>
      </c>
    </row>
    <row r="859" spans="4:15" x14ac:dyDescent="0.25">
      <c r="D859" s="5">
        <v>44890</v>
      </c>
      <c r="E859" s="4">
        <v>5.1716469626917401E-2</v>
      </c>
      <c r="F859" s="4">
        <v>5.1728240515627098E-2</v>
      </c>
      <c r="G859" s="4">
        <v>5.1722354999999998E-2</v>
      </c>
      <c r="H859" s="4">
        <v>0.18658805090121999</v>
      </c>
      <c r="I859" s="4">
        <v>0.18664377169733801</v>
      </c>
      <c r="J859" s="4">
        <v>0.1866159</v>
      </c>
      <c r="K859">
        <f t="shared" si="65"/>
        <v>1.5775289697756989E-3</v>
      </c>
      <c r="L859">
        <f t="shared" si="66"/>
        <v>-8.8083194369406037E-3</v>
      </c>
      <c r="M859" s="1">
        <f t="shared" si="67"/>
        <v>-3.8567893417843853E-3</v>
      </c>
      <c r="N859" s="1">
        <f t="shared" si="68"/>
        <v>2.2757835968020669E-4</v>
      </c>
      <c r="O859" s="1">
        <f t="shared" si="69"/>
        <v>2.9858546950186959E-4</v>
      </c>
    </row>
    <row r="860" spans="4:15" x14ac:dyDescent="0.25">
      <c r="D860" s="3">
        <v>44889</v>
      </c>
      <c r="E860" s="2">
        <v>5.1635023003402697E-2</v>
      </c>
      <c r="F860" s="2">
        <v>5.1646756841904097E-2</v>
      </c>
      <c r="G860" s="2">
        <v>5.1640890000000002E-2</v>
      </c>
      <c r="H860" s="2">
        <v>0.188253012048193</v>
      </c>
      <c r="I860" s="2">
        <v>0.18829554869322901</v>
      </c>
      <c r="J860" s="2">
        <v>0.18827427999999999</v>
      </c>
      <c r="K860">
        <f t="shared" si="65"/>
        <v>1.8070343022769109E-4</v>
      </c>
      <c r="L860">
        <f t="shared" si="66"/>
        <v>1.4101764444171438E-2</v>
      </c>
      <c r="M860" s="1">
        <f t="shared" si="67"/>
        <v>7.4647955738697588E-3</v>
      </c>
      <c r="N860" s="1">
        <f t="shared" si="68"/>
        <v>2.2721991238726017E-4</v>
      </c>
      <c r="O860" s="1">
        <f t="shared" si="69"/>
        <v>2.259291340060178E-4</v>
      </c>
    </row>
    <row r="861" spans="4:15" x14ac:dyDescent="0.25">
      <c r="D861" s="5">
        <v>44888</v>
      </c>
      <c r="E861" s="4">
        <v>5.1625160037996103E-2</v>
      </c>
      <c r="F861" s="4">
        <v>5.1637955963151197E-2</v>
      </c>
      <c r="G861" s="4">
        <v>5.163156E-2</v>
      </c>
      <c r="H861" s="4">
        <v>0.18563552321372201</v>
      </c>
      <c r="I861" s="4">
        <v>0.185676885084576</v>
      </c>
      <c r="J861" s="4">
        <v>0.18565619999999999</v>
      </c>
      <c r="K861">
        <f t="shared" si="65"/>
        <v>4.3628452764996606E-3</v>
      </c>
      <c r="L861">
        <f t="shared" si="66"/>
        <v>-7.4912794194298415E-3</v>
      </c>
      <c r="M861" s="1">
        <f t="shared" si="67"/>
        <v>-1.8397377364536087E-3</v>
      </c>
      <c r="N861" s="1">
        <f t="shared" si="68"/>
        <v>2.4783146500114209E-4</v>
      </c>
      <c r="O861" s="1">
        <f t="shared" si="69"/>
        <v>2.2278744719535245E-4</v>
      </c>
    </row>
    <row r="862" spans="4:15" x14ac:dyDescent="0.25">
      <c r="D862" s="3">
        <v>44887</v>
      </c>
      <c r="E862" s="2">
        <v>5.14019892569842E-2</v>
      </c>
      <c r="F862" s="2">
        <v>5.14125600884296E-2</v>
      </c>
      <c r="G862" s="2">
        <v>5.1407278000000001E-2</v>
      </c>
      <c r="H862" s="2">
        <v>0.18702775491883</v>
      </c>
      <c r="I862" s="2">
        <v>0.187087238779443</v>
      </c>
      <c r="J862" s="2">
        <v>0.18705749999999999</v>
      </c>
      <c r="K862">
        <f t="shared" si="65"/>
        <v>1.0024964271801995E-3</v>
      </c>
      <c r="L862">
        <f t="shared" si="66"/>
        <v>1.0663163119637442E-3</v>
      </c>
      <c r="M862" s="1">
        <f t="shared" si="67"/>
        <v>1.0358897095524506E-3</v>
      </c>
      <c r="N862" s="1">
        <f t="shared" si="68"/>
        <v>2.056290832088027E-4</v>
      </c>
      <c r="O862" s="1">
        <f t="shared" si="69"/>
        <v>3.1799773124839477E-4</v>
      </c>
    </row>
    <row r="863" spans="4:15" x14ac:dyDescent="0.25">
      <c r="D863" s="5">
        <v>44886</v>
      </c>
      <c r="E863" s="4">
        <v>5.1350518640238298E-2</v>
      </c>
      <c r="F863" s="4">
        <v>5.13610683102209E-2</v>
      </c>
      <c r="G863" s="4">
        <v>5.1355794000000003E-2</v>
      </c>
      <c r="H863" s="4">
        <v>0.186835566018347</v>
      </c>
      <c r="I863" s="4">
        <v>0.18688095683049899</v>
      </c>
      <c r="J863" s="4">
        <v>0.18685825</v>
      </c>
      <c r="K863">
        <f t="shared" si="65"/>
        <v>6.4201430458532549E-4</v>
      </c>
      <c r="L863">
        <f t="shared" si="66"/>
        <v>-2.6534065901923087E-3</v>
      </c>
      <c r="M863" s="1">
        <f t="shared" si="67"/>
        <v>-1.0822902886924721E-3</v>
      </c>
      <c r="N863" s="1">
        <f t="shared" si="68"/>
        <v>2.0542316963501148E-4</v>
      </c>
      <c r="O863" s="1">
        <f t="shared" si="69"/>
        <v>2.4291575112145604E-4</v>
      </c>
    </row>
    <row r="864" spans="4:15" x14ac:dyDescent="0.25">
      <c r="D864" s="3">
        <v>44883</v>
      </c>
      <c r="E864" s="2">
        <v>5.13188956173663E-2</v>
      </c>
      <c r="F864" s="2">
        <v>5.1326797721090202E-2</v>
      </c>
      <c r="G864" s="2">
        <v>5.1322843999999999E-2</v>
      </c>
      <c r="H864" s="2">
        <v>0.18733959047565499</v>
      </c>
      <c r="I864" s="2">
        <v>0.18737118231215999</v>
      </c>
      <c r="J864" s="2">
        <v>0.18735537999999999</v>
      </c>
      <c r="K864">
        <f t="shared" si="65"/>
        <v>-2.1042340031560691E-3</v>
      </c>
      <c r="L864">
        <f t="shared" si="66"/>
        <v>2.3550547085305462E-2</v>
      </c>
      <c r="M864" s="1">
        <f t="shared" si="67"/>
        <v>1.1319440326418625E-2</v>
      </c>
      <c r="N864" s="1">
        <f t="shared" si="68"/>
        <v>1.539685471035393E-4</v>
      </c>
      <c r="O864" s="1">
        <f t="shared" si="69"/>
        <v>1.6861985230956077E-4</v>
      </c>
    </row>
    <row r="865" spans="4:15" x14ac:dyDescent="0.25">
      <c r="D865" s="5">
        <v>44882</v>
      </c>
      <c r="E865" s="4">
        <v>5.1426837609474897E-2</v>
      </c>
      <c r="F865" s="4">
        <v>5.1435302105246897E-2</v>
      </c>
      <c r="G865" s="4">
        <v>5.1431066999999997E-2</v>
      </c>
      <c r="H865" s="4">
        <v>0.18301945496806299</v>
      </c>
      <c r="I865" s="4">
        <v>0.18306971294669</v>
      </c>
      <c r="J865" s="4">
        <v>0.18304458000000001</v>
      </c>
      <c r="K865">
        <f t="shared" si="65"/>
        <v>-6.9945865626739323E-3</v>
      </c>
      <c r="L865">
        <f t="shared" si="66"/>
        <v>-2.2093435929035676E-2</v>
      </c>
      <c r="M865" s="1">
        <f t="shared" si="67"/>
        <v>-1.4894947744726789E-2</v>
      </c>
      <c r="N865" s="1">
        <f t="shared" si="68"/>
        <v>1.6457943157196286E-4</v>
      </c>
      <c r="O865" s="1">
        <f t="shared" si="69"/>
        <v>2.7456687669752774E-4</v>
      </c>
    </row>
    <row r="866" spans="4:15" x14ac:dyDescent="0.25">
      <c r="D866" s="3">
        <v>44881</v>
      </c>
      <c r="E866" s="2">
        <v>5.1788248210716002E-2</v>
      </c>
      <c r="F866" s="2">
        <v>5.1798441902867601E-2</v>
      </c>
      <c r="G866" s="2">
        <v>5.179334E-2</v>
      </c>
      <c r="H866" s="2">
        <v>0.18715376553376301</v>
      </c>
      <c r="I866" s="2">
        <v>0.187206320085366</v>
      </c>
      <c r="J866" s="2">
        <v>0.18718003</v>
      </c>
      <c r="K866">
        <f t="shared" si="65"/>
        <v>3.6125007290690458E-3</v>
      </c>
      <c r="L866">
        <f t="shared" si="66"/>
        <v>-3.2101442283012371E-3</v>
      </c>
      <c r="M866" s="1">
        <f t="shared" si="67"/>
        <v>4.2602250564980097E-5</v>
      </c>
      <c r="N866" s="1">
        <f t="shared" si="68"/>
        <v>1.9681472852684426E-4</v>
      </c>
      <c r="O866" s="1">
        <f t="shared" si="69"/>
        <v>2.8077007789236764E-4</v>
      </c>
    </row>
    <row r="867" spans="4:15" x14ac:dyDescent="0.25">
      <c r="D867" s="5">
        <v>44880</v>
      </c>
      <c r="E867" s="4">
        <v>5.1601983580248798E-2</v>
      </c>
      <c r="F867" s="4">
        <v>5.1611837691092802E-2</v>
      </c>
      <c r="G867" s="4">
        <v>5.1606909999999999E-2</v>
      </c>
      <c r="H867" s="4">
        <v>0.18776874401487101</v>
      </c>
      <c r="I867" s="4">
        <v>0.18779695393340701</v>
      </c>
      <c r="J867" s="4">
        <v>0.18778284000000001</v>
      </c>
      <c r="K867">
        <f t="shared" si="65"/>
        <v>1.1482564117288874E-3</v>
      </c>
      <c r="L867">
        <f t="shared" si="66"/>
        <v>-1.323925136484938E-3</v>
      </c>
      <c r="M867" s="1">
        <f t="shared" si="67"/>
        <v>-1.4529428637984629E-4</v>
      </c>
      <c r="N867" s="1">
        <f t="shared" si="68"/>
        <v>1.9094556996348411E-4</v>
      </c>
      <c r="O867" s="1">
        <f t="shared" si="69"/>
        <v>1.5022628551149042E-4</v>
      </c>
    </row>
    <row r="868" spans="4:15" x14ac:dyDescent="0.25">
      <c r="D868" s="3">
        <v>44879</v>
      </c>
      <c r="E868" s="2">
        <v>5.1543734859027898E-2</v>
      </c>
      <c r="F868" s="2">
        <v>5.1551706361480598E-2</v>
      </c>
      <c r="G868" s="2">
        <v>5.1547719999999998E-2</v>
      </c>
      <c r="H868" s="2">
        <v>0.187998195217326</v>
      </c>
      <c r="I868" s="2">
        <v>0.18806537152314101</v>
      </c>
      <c r="J868" s="2">
        <v>0.18803178000000001</v>
      </c>
      <c r="K868">
        <f t="shared" si="65"/>
        <v>6.4563270595496824E-3</v>
      </c>
      <c r="L868">
        <f t="shared" si="66"/>
        <v>-9.279427923955974E-3</v>
      </c>
      <c r="M868" s="1">
        <f t="shared" si="67"/>
        <v>-1.7772902728377411E-3</v>
      </c>
      <c r="N868" s="1">
        <f t="shared" si="68"/>
        <v>1.5464316273736166E-4</v>
      </c>
      <c r="O868" s="1">
        <f t="shared" si="69"/>
        <v>3.5726038340441345E-4</v>
      </c>
    </row>
    <row r="869" spans="4:15" x14ac:dyDescent="0.25">
      <c r="D869" s="5">
        <v>44876</v>
      </c>
      <c r="E869" s="4">
        <v>5.12129794175036E-2</v>
      </c>
      <c r="F869" s="4">
        <v>5.1221111293230599E-2</v>
      </c>
      <c r="G869" s="4">
        <v>5.1217046000000002E-2</v>
      </c>
      <c r="H869" s="4">
        <v>0.18977132555270901</v>
      </c>
      <c r="I869" s="4">
        <v>0.189814551183494</v>
      </c>
      <c r="J869" s="4">
        <v>0.18979294999999999</v>
      </c>
      <c r="K869">
        <f t="shared" si="65"/>
        <v>-8.2202793510047778E-3</v>
      </c>
      <c r="L869">
        <f t="shared" si="66"/>
        <v>1.0600033311636725E-2</v>
      </c>
      <c r="M869" s="1">
        <f t="shared" si="67"/>
        <v>1.6273099577068222E-3</v>
      </c>
      <c r="N869" s="1">
        <f t="shared" si="68"/>
        <v>1.5877283760175001E-4</v>
      </c>
      <c r="O869" s="1">
        <f t="shared" si="69"/>
        <v>2.2775150913133312E-4</v>
      </c>
    </row>
    <row r="870" spans="4:15" x14ac:dyDescent="0.25">
      <c r="D870" s="3">
        <v>44875</v>
      </c>
      <c r="E870" s="2">
        <v>5.1637422672959503E-2</v>
      </c>
      <c r="F870" s="2">
        <v>5.1645689908948599E-2</v>
      </c>
      <c r="G870" s="2">
        <v>5.1641553999999999E-2</v>
      </c>
      <c r="H870" s="2">
        <v>0.187786374220687</v>
      </c>
      <c r="I870" s="2">
        <v>0.18781811693556</v>
      </c>
      <c r="J870" s="2">
        <v>0.18780224000000001</v>
      </c>
      <c r="K870">
        <f t="shared" si="65"/>
        <v>1.1787161653683764E-2</v>
      </c>
      <c r="L870">
        <f t="shared" si="66"/>
        <v>-3.050847107640664E-2</v>
      </c>
      <c r="M870" s="1">
        <f t="shared" si="67"/>
        <v>-1.0343715135882382E-2</v>
      </c>
      <c r="N870" s="1">
        <f t="shared" si="68"/>
        <v>1.6008883057809652E-4</v>
      </c>
      <c r="O870" s="1">
        <f t="shared" si="69"/>
        <v>1.6902202483311916E-4</v>
      </c>
    </row>
    <row r="871" spans="4:15" x14ac:dyDescent="0.25">
      <c r="D871" s="5">
        <v>44874</v>
      </c>
      <c r="E871" s="4">
        <v>5.1034729133175097E-2</v>
      </c>
      <c r="F871" s="4">
        <v>5.1045149434675002E-2</v>
      </c>
      <c r="G871" s="4">
        <v>5.1039938E-2</v>
      </c>
      <c r="H871" s="4">
        <v>0.19368959305816499</v>
      </c>
      <c r="I871" s="4">
        <v>0.19373462231435401</v>
      </c>
      <c r="J871" s="4">
        <v>0.1937121</v>
      </c>
      <c r="K871">
        <f t="shared" si="65"/>
        <v>-6.4565801240111798E-3</v>
      </c>
      <c r="L871">
        <f t="shared" si="66"/>
        <v>-2.6441921914852617E-3</v>
      </c>
      <c r="M871" s="1">
        <f t="shared" si="67"/>
        <v>-4.4617763543837903E-3</v>
      </c>
      <c r="N871" s="1">
        <f t="shared" si="68"/>
        <v>2.04159760145192E-4</v>
      </c>
      <c r="O871" s="1">
        <f t="shared" si="69"/>
        <v>2.3245453530789471E-4</v>
      </c>
    </row>
    <row r="872" spans="4:15" x14ac:dyDescent="0.25">
      <c r="D872" s="3">
        <v>44873</v>
      </c>
      <c r="E872" s="2">
        <v>5.13658170760522E-2</v>
      </c>
      <c r="F872" s="2">
        <v>5.1377428867949701E-2</v>
      </c>
      <c r="G872" s="2">
        <v>5.1371622999999998E-2</v>
      </c>
      <c r="H872" s="2">
        <v>0.19420115355485201</v>
      </c>
      <c r="I872" s="2">
        <v>0.19425019425019399</v>
      </c>
      <c r="J872" s="2">
        <v>0.19422566999999999</v>
      </c>
      <c r="K872">
        <f t="shared" si="65"/>
        <v>-7.9624511986964297E-4</v>
      </c>
      <c r="L872">
        <f t="shared" si="66"/>
        <v>-6.2734639015659122E-3</v>
      </c>
      <c r="M872" s="1">
        <f t="shared" si="67"/>
        <v>-3.6621593096574034E-3</v>
      </c>
      <c r="N872" s="1">
        <f t="shared" si="68"/>
        <v>2.2603513806641095E-4</v>
      </c>
      <c r="O872" s="1">
        <f t="shared" si="69"/>
        <v>2.5249337712146205E-4</v>
      </c>
    </row>
    <row r="873" spans="4:15" x14ac:dyDescent="0.25">
      <c r="D873" s="5">
        <v>44872</v>
      </c>
      <c r="E873" s="4">
        <v>5.1408595517170502E-2</v>
      </c>
      <c r="F873" s="4">
        <v>5.1416525271222202E-2</v>
      </c>
      <c r="G873" s="4">
        <v>5.1412560000000003E-2</v>
      </c>
      <c r="H873" s="4">
        <v>0.19542700801250701</v>
      </c>
      <c r="I873" s="4">
        <v>0.195476669859452</v>
      </c>
      <c r="J873" s="4">
        <v>0.19545182999999999</v>
      </c>
      <c r="K873">
        <f t="shared" si="65"/>
        <v>4.0615107332562239E-3</v>
      </c>
      <c r="L873">
        <f t="shared" si="66"/>
        <v>-1.4199529695113955E-2</v>
      </c>
      <c r="M873" s="1">
        <f t="shared" si="67"/>
        <v>-5.4934435181323397E-3</v>
      </c>
      <c r="N873" s="1">
        <f t="shared" si="68"/>
        <v>1.542376814478762E-4</v>
      </c>
      <c r="O873" s="1">
        <f t="shared" si="69"/>
        <v>2.5408739813279193E-4</v>
      </c>
    </row>
    <row r="874" spans="4:15" x14ac:dyDescent="0.25">
      <c r="D874" s="3">
        <v>44869</v>
      </c>
      <c r="E874" s="2">
        <v>5.1199606787019902E-2</v>
      </c>
      <c r="F874" s="2">
        <v>5.1209570044449898E-2</v>
      </c>
      <c r="G874" s="2">
        <v>5.1204592E-2</v>
      </c>
      <c r="H874" s="2">
        <v>0.19824356204032301</v>
      </c>
      <c r="I874" s="2">
        <v>0.198290733874006</v>
      </c>
      <c r="J874" s="2">
        <v>0.19826713000000001</v>
      </c>
      <c r="K874">
        <f t="shared" si="65"/>
        <v>7.5271664584302123E-3</v>
      </c>
      <c r="L874">
        <f t="shared" si="66"/>
        <v>1.1429982316170983E-2</v>
      </c>
      <c r="M874" s="1">
        <f t="shared" si="67"/>
        <v>9.5692859706553515E-3</v>
      </c>
      <c r="N874" s="1">
        <f t="shared" si="68"/>
        <v>1.9457742051720106E-4</v>
      </c>
      <c r="O874" s="1">
        <f t="shared" si="69"/>
        <v>2.3792059572858227E-4</v>
      </c>
    </row>
    <row r="875" spans="4:15" x14ac:dyDescent="0.25">
      <c r="D875" s="5">
        <v>44868</v>
      </c>
      <c r="E875" s="4">
        <v>5.0815332001971601E-2</v>
      </c>
      <c r="F875" s="4">
        <v>5.0828762980395299E-2</v>
      </c>
      <c r="G875" s="4">
        <v>5.0822046000000003E-2</v>
      </c>
      <c r="H875" s="4">
        <v>0.19599388499078799</v>
      </c>
      <c r="I875" s="4">
        <v>0.19605920988138401</v>
      </c>
      <c r="J875" s="4">
        <v>0.19602654999999999</v>
      </c>
      <c r="K875">
        <f t="shared" si="65"/>
        <v>-4.3206659489936072E-4</v>
      </c>
      <c r="L875">
        <f t="shared" si="66"/>
        <v>8.5174224283754985E-3</v>
      </c>
      <c r="M875" s="1">
        <f t="shared" si="67"/>
        <v>4.2506872999907045E-3</v>
      </c>
      <c r="N875" s="1">
        <f t="shared" si="68"/>
        <v>2.6427465009374088E-4</v>
      </c>
      <c r="O875" s="1">
        <f t="shared" si="69"/>
        <v>3.3324511703143833E-4</v>
      </c>
    </row>
    <row r="876" spans="4:15" x14ac:dyDescent="0.25">
      <c r="D876" s="3">
        <v>44867</v>
      </c>
      <c r="E876" s="2">
        <v>5.0838582416967898E-2</v>
      </c>
      <c r="F876" s="2">
        <v>5.0849439893419598E-2</v>
      </c>
      <c r="G876" s="2">
        <v>5.0844014E-2</v>
      </c>
      <c r="H876" s="2">
        <v>0.19433324264448701</v>
      </c>
      <c r="I876" s="2">
        <v>0.194408802830592</v>
      </c>
      <c r="J876" s="2">
        <v>0.19437101000000001</v>
      </c>
      <c r="K876">
        <f t="shared" si="65"/>
        <v>3.3812700162114684E-3</v>
      </c>
      <c r="L876">
        <f t="shared" si="66"/>
        <v>-6.5794793107207816E-3</v>
      </c>
      <c r="M876" s="1">
        <f t="shared" si="67"/>
        <v>-1.8306183480749868E-3</v>
      </c>
      <c r="N876" s="1">
        <f t="shared" si="68"/>
        <v>2.1354483246937471E-4</v>
      </c>
      <c r="O876" s="1">
        <f t="shared" si="69"/>
        <v>3.887420562613469E-4</v>
      </c>
    </row>
    <row r="877" spans="4:15" x14ac:dyDescent="0.25">
      <c r="D877" s="5">
        <v>44866</v>
      </c>
      <c r="E877" s="4">
        <v>5.0665234529370599E-2</v>
      </c>
      <c r="F877" s="4">
        <v>5.0680127308479803E-2</v>
      </c>
      <c r="G877" s="4">
        <v>5.0672676E-2</v>
      </c>
      <c r="H877" s="4">
        <v>0.19563728846718201</v>
      </c>
      <c r="I877" s="4">
        <v>0.19567939887288699</v>
      </c>
      <c r="J877" s="4">
        <v>0.19565833999999999</v>
      </c>
      <c r="K877">
        <f t="shared" si="65"/>
        <v>5.8020219304470988E-3</v>
      </c>
      <c r="L877">
        <f t="shared" si="66"/>
        <v>2.6668203061434248E-2</v>
      </c>
      <c r="M877" s="1">
        <f t="shared" si="67"/>
        <v>1.6720096773434782E-2</v>
      </c>
      <c r="N877" s="1">
        <f t="shared" si="68"/>
        <v>2.9390157151367385E-4</v>
      </c>
      <c r="O877" s="1">
        <f t="shared" si="69"/>
        <v>2.1522417958253905E-4</v>
      </c>
    </row>
    <row r="878" spans="4:15" x14ac:dyDescent="0.25">
      <c r="D878" s="3">
        <v>44865</v>
      </c>
      <c r="E878" s="2">
        <v>5.0376564822044799E-2</v>
      </c>
      <c r="F878" s="2">
        <v>5.03841793676785E-2</v>
      </c>
      <c r="G878" s="2">
        <v>5.0380368000000002E-2</v>
      </c>
      <c r="H878" s="2">
        <v>0.190563305129964</v>
      </c>
      <c r="I878" s="2">
        <v>0.19058872858259199</v>
      </c>
      <c r="J878" s="2">
        <v>0.19057602000000001</v>
      </c>
      <c r="K878">
        <f t="shared" si="65"/>
        <v>-1.5366868375392695E-3</v>
      </c>
      <c r="L878">
        <f t="shared" si="66"/>
        <v>1.7370992896992288E-2</v>
      </c>
      <c r="M878" s="1">
        <f t="shared" si="67"/>
        <v>8.3566166449217244E-3</v>
      </c>
      <c r="N878" s="1">
        <f t="shared" si="68"/>
        <v>1.5114112770476295E-4</v>
      </c>
      <c r="O878" s="1">
        <f t="shared" si="69"/>
        <v>1.3340320900807607E-4</v>
      </c>
    </row>
    <row r="879" spans="4:15" x14ac:dyDescent="0.25">
      <c r="D879" s="5">
        <v>44862</v>
      </c>
      <c r="E879" s="4">
        <v>5.04517958316726E-2</v>
      </c>
      <c r="F879" s="4">
        <v>5.0464016632939902E-2</v>
      </c>
      <c r="G879" s="4">
        <v>5.0457905999999997E-2</v>
      </c>
      <c r="H879" s="4">
        <v>0.18730099269526099</v>
      </c>
      <c r="I879" s="4">
        <v>0.18734310015362099</v>
      </c>
      <c r="J879" s="4">
        <v>0.18732204999999999</v>
      </c>
      <c r="K879">
        <f t="shared" si="65"/>
        <v>1.2110076269609138E-3</v>
      </c>
      <c r="L879">
        <f t="shared" si="66"/>
        <v>-8.3264304636754272E-3</v>
      </c>
      <c r="M879" s="1">
        <f t="shared" si="67"/>
        <v>-3.7793862659249791E-3</v>
      </c>
      <c r="N879" s="1">
        <f t="shared" si="68"/>
        <v>2.4219794747928691E-4</v>
      </c>
      <c r="O879" s="1">
        <f t="shared" si="69"/>
        <v>2.247864485788101E-4</v>
      </c>
    </row>
    <row r="880" spans="4:15" x14ac:dyDescent="0.25">
      <c r="D880" s="3">
        <v>44861</v>
      </c>
      <c r="E880" s="2">
        <v>5.0392050150168302E-2</v>
      </c>
      <c r="F880" s="2">
        <v>5.0401701561444703E-2</v>
      </c>
      <c r="G880" s="2">
        <v>5.0396875000000001E-2</v>
      </c>
      <c r="H880" s="2">
        <v>0.188875247898763</v>
      </c>
      <c r="I880" s="2">
        <v>0.188914497298523</v>
      </c>
      <c r="J880" s="2">
        <v>0.18889486999999999</v>
      </c>
      <c r="K880">
        <f t="shared" si="65"/>
        <v>1.259897491648676E-3</v>
      </c>
      <c r="L880">
        <f t="shared" si="66"/>
        <v>6.1769436574614645E-3</v>
      </c>
      <c r="M880" s="1">
        <f t="shared" si="67"/>
        <v>3.8327055060987025E-3</v>
      </c>
      <c r="N880" s="1">
        <f t="shared" si="68"/>
        <v>1.9150812974814873E-4</v>
      </c>
      <c r="O880" s="1">
        <f t="shared" si="69"/>
        <v>2.0778436047518966E-4</v>
      </c>
    </row>
    <row r="881" spans="4:15" x14ac:dyDescent="0.25">
      <c r="D881" s="5">
        <v>44860</v>
      </c>
      <c r="E881" s="4">
        <v>5.0329405962021401E-2</v>
      </c>
      <c r="F881" s="4">
        <v>5.0337513024831498E-2</v>
      </c>
      <c r="G881" s="4">
        <v>5.0333459999999997E-2</v>
      </c>
      <c r="H881" s="4">
        <v>0.18770530267480101</v>
      </c>
      <c r="I881" s="4">
        <v>0.18776521837094901</v>
      </c>
      <c r="J881" s="4">
        <v>0.18773524</v>
      </c>
      <c r="K881">
        <f t="shared" si="65"/>
        <v>1.4093375110963979E-3</v>
      </c>
      <c r="L881">
        <f t="shared" si="66"/>
        <v>-2.9287784495016789E-3</v>
      </c>
      <c r="M881" s="1">
        <f t="shared" si="67"/>
        <v>-8.6054955822611871E-4</v>
      </c>
      <c r="N881" s="1">
        <f t="shared" si="68"/>
        <v>1.6106706771395517E-4</v>
      </c>
      <c r="O881" s="1">
        <f t="shared" si="69"/>
        <v>3.191499696487142E-4</v>
      </c>
    </row>
    <row r="882" spans="4:15" x14ac:dyDescent="0.25">
      <c r="D882" s="3">
        <v>44859</v>
      </c>
      <c r="E882" s="2">
        <v>5.0258327804917298E-2</v>
      </c>
      <c r="F882" s="2">
        <v>5.0266917331027797E-2</v>
      </c>
      <c r="G882" s="2">
        <v>5.0262622999999999E-2</v>
      </c>
      <c r="H882" s="2">
        <v>0.18825655603456401</v>
      </c>
      <c r="I882" s="2">
        <v>0.18831682422507601</v>
      </c>
      <c r="J882" s="2">
        <v>0.18828669000000001</v>
      </c>
      <c r="K882">
        <f t="shared" si="65"/>
        <v>2.7644609852710555E-3</v>
      </c>
      <c r="L882">
        <f t="shared" si="66"/>
        <v>-4.8671934953986584E-3</v>
      </c>
      <c r="M882" s="1">
        <f t="shared" si="67"/>
        <v>-1.2287457386960892E-3</v>
      </c>
      <c r="N882" s="1">
        <f t="shared" si="68"/>
        <v>1.7089291401482839E-4</v>
      </c>
      <c r="O882" s="1">
        <f t="shared" si="69"/>
        <v>3.2008736524072562E-4</v>
      </c>
    </row>
    <row r="883" spans="4:15" x14ac:dyDescent="0.25">
      <c r="D883" s="5">
        <v>44858</v>
      </c>
      <c r="E883" s="4">
        <v>5.0117525597526198E-2</v>
      </c>
      <c r="F883" s="4">
        <v>5.0130590187438297E-2</v>
      </c>
      <c r="G883" s="4">
        <v>5.0124057E-2</v>
      </c>
      <c r="H883" s="4">
        <v>0.189182542235003</v>
      </c>
      <c r="I883" s="4">
        <v>0.189232661557385</v>
      </c>
      <c r="J883" s="4">
        <v>0.1892076</v>
      </c>
      <c r="K883">
        <f t="shared" si="65"/>
        <v>1.4285784783045763E-3</v>
      </c>
      <c r="L883">
        <f t="shared" si="66"/>
        <v>-1.8201766584666657E-2</v>
      </c>
      <c r="M883" s="1">
        <f t="shared" si="67"/>
        <v>-8.8428542887057354E-3</v>
      </c>
      <c r="N883" s="1">
        <f t="shared" si="68"/>
        <v>2.6064510125544044E-4</v>
      </c>
      <c r="O883" s="1">
        <f t="shared" si="69"/>
        <v>2.6489064066135474E-4</v>
      </c>
    </row>
    <row r="884" spans="4:15" x14ac:dyDescent="0.25">
      <c r="D884" s="3">
        <v>44855</v>
      </c>
      <c r="E884" s="2">
        <v>5.0047044221568297E-2</v>
      </c>
      <c r="F884" s="2">
        <v>5.0058067358135401E-2</v>
      </c>
      <c r="G884" s="2">
        <v>5.0052553E-2</v>
      </c>
      <c r="H884" s="2">
        <v>0.19269679159841999</v>
      </c>
      <c r="I884" s="2">
        <v>0.192733930808519</v>
      </c>
      <c r="J884" s="2">
        <v>0.19271536</v>
      </c>
      <c r="K884">
        <f t="shared" si="65"/>
        <v>2.8780229519720368E-3</v>
      </c>
      <c r="L884">
        <f t="shared" si="66"/>
        <v>2.7943314114207141E-3</v>
      </c>
      <c r="M884" s="1">
        <f t="shared" si="67"/>
        <v>2.8342319727924625E-3</v>
      </c>
      <c r="N884" s="1">
        <f t="shared" si="68"/>
        <v>2.2023125507911138E-4</v>
      </c>
      <c r="O884" s="1">
        <f t="shared" si="69"/>
        <v>1.9271536061792432E-4</v>
      </c>
    </row>
    <row r="885" spans="4:15" x14ac:dyDescent="0.25">
      <c r="D885" s="5">
        <v>44854</v>
      </c>
      <c r="E885" s="4">
        <v>4.9904433010784399E-2</v>
      </c>
      <c r="F885" s="4">
        <v>4.9913400250565301E-2</v>
      </c>
      <c r="G885" s="4">
        <v>4.9908913999999999E-2</v>
      </c>
      <c r="H885" s="4">
        <v>0.192148800030744</v>
      </c>
      <c r="I885" s="4">
        <v>0.19220789205604799</v>
      </c>
      <c r="J885" s="4">
        <v>0.19217835</v>
      </c>
      <c r="K885">
        <f t="shared" si="65"/>
        <v>4.0426117633785008E-3</v>
      </c>
      <c r="L885">
        <f t="shared" si="66"/>
        <v>1.4740100377655718E-2</v>
      </c>
      <c r="M885" s="1">
        <f t="shared" si="67"/>
        <v>9.639993507047943E-3</v>
      </c>
      <c r="N885" s="1">
        <f t="shared" si="68"/>
        <v>1.7967210789042776E-4</v>
      </c>
      <c r="O885" s="1">
        <f t="shared" si="69"/>
        <v>3.0748534007078173E-4</v>
      </c>
    </row>
    <row r="886" spans="4:15" x14ac:dyDescent="0.25">
      <c r="D886" s="3">
        <v>44853</v>
      </c>
      <c r="E886" s="2">
        <v>4.9704259655052402E-2</v>
      </c>
      <c r="F886" s="2">
        <v>4.97116723006562E-2</v>
      </c>
      <c r="G886" s="2">
        <v>4.9707964E-2</v>
      </c>
      <c r="H886" s="2">
        <v>0.18937241980078001</v>
      </c>
      <c r="I886" s="2">
        <v>0.18940111367854801</v>
      </c>
      <c r="J886" s="2">
        <v>0.18938677000000001</v>
      </c>
      <c r="K886">
        <f t="shared" si="65"/>
        <v>-5.4430961498406205E-3</v>
      </c>
      <c r="L886">
        <f t="shared" si="66"/>
        <v>-2.6798400763871078E-3</v>
      </c>
      <c r="M886" s="1">
        <f t="shared" si="67"/>
        <v>-3.9972428606873476E-3</v>
      </c>
      <c r="N886" s="1">
        <f t="shared" si="68"/>
        <v>1.4912390303891538E-4</v>
      </c>
      <c r="O886" s="1">
        <f t="shared" si="69"/>
        <v>1.5150940991281217E-4</v>
      </c>
    </row>
    <row r="887" spans="4:15" x14ac:dyDescent="0.25">
      <c r="D887" s="5">
        <v>44852</v>
      </c>
      <c r="E887" s="4">
        <v>4.9975761755548603E-2</v>
      </c>
      <c r="F887" s="4">
        <v>4.9984254959687703E-2</v>
      </c>
      <c r="G887" s="4">
        <v>4.9980009999999998E-2</v>
      </c>
      <c r="H887" s="4">
        <v>0.18987942656413201</v>
      </c>
      <c r="I887" s="4">
        <v>0.18991188088726799</v>
      </c>
      <c r="J887" s="4">
        <v>0.18989565999999999</v>
      </c>
      <c r="K887">
        <f t="shared" si="65"/>
        <v>-9.9950000014992213E-4</v>
      </c>
      <c r="L887">
        <f t="shared" si="66"/>
        <v>9.9696093750689663E-4</v>
      </c>
      <c r="M887" s="1">
        <f t="shared" si="67"/>
        <v>4.5133409365933394E-5</v>
      </c>
      <c r="N887" s="1">
        <f t="shared" si="68"/>
        <v>1.6993202160423264E-4</v>
      </c>
      <c r="O887" s="1">
        <f t="shared" si="69"/>
        <v>1.7090608145535035E-4</v>
      </c>
    </row>
    <row r="888" spans="4:15" x14ac:dyDescent="0.25">
      <c r="D888" s="3">
        <v>44851</v>
      </c>
      <c r="E888" s="2">
        <v>5.0024261766956998E-2</v>
      </c>
      <c r="F888" s="2">
        <v>5.00357755795394E-2</v>
      </c>
      <c r="G888" s="2">
        <v>5.0030014999999997E-2</v>
      </c>
      <c r="H888" s="2">
        <v>0.18968133535660101</v>
      </c>
      <c r="I888" s="2">
        <v>0.189731719348841</v>
      </c>
      <c r="J888" s="2">
        <v>0.18970653000000001</v>
      </c>
      <c r="K888">
        <f t="shared" si="65"/>
        <v>3.1518568740334096E-3</v>
      </c>
      <c r="L888">
        <f t="shared" si="66"/>
        <v>3.6044400429149359E-3</v>
      </c>
      <c r="M888" s="1">
        <f t="shared" si="67"/>
        <v>3.3886676675133403E-3</v>
      </c>
      <c r="N888" s="1">
        <f t="shared" si="68"/>
        <v>2.3013809974675926E-4</v>
      </c>
      <c r="O888" s="1">
        <f t="shared" si="69"/>
        <v>2.6558912990501464E-4</v>
      </c>
    </row>
    <row r="889" spans="4:15" x14ac:dyDescent="0.25">
      <c r="D889" s="5">
        <v>44848</v>
      </c>
      <c r="E889" s="4">
        <v>4.9867352841441802E-2</v>
      </c>
      <c r="F889" s="4">
        <v>4.9878296955428801E-2</v>
      </c>
      <c r="G889" s="4">
        <v>4.9872822999999997E-2</v>
      </c>
      <c r="H889" s="4">
        <v>0.189010905929272</v>
      </c>
      <c r="I889" s="4">
        <v>0.18903949034953399</v>
      </c>
      <c r="J889" s="4">
        <v>0.1890252</v>
      </c>
      <c r="K889">
        <f t="shared" si="65"/>
        <v>3.7407098551067719E-4</v>
      </c>
      <c r="L889">
        <f t="shared" si="66"/>
        <v>1.1625708334017659E-3</v>
      </c>
      <c r="M889" s="1">
        <f t="shared" si="67"/>
        <v>7.8664769511158897E-4</v>
      </c>
      <c r="N889" s="1">
        <f t="shared" si="68"/>
        <v>2.1944043526469793E-4</v>
      </c>
      <c r="O889" s="1">
        <f t="shared" si="69"/>
        <v>1.5122015615902026E-4</v>
      </c>
    </row>
    <row r="890" spans="4:15" x14ac:dyDescent="0.25">
      <c r="D890" s="3">
        <v>44847</v>
      </c>
      <c r="E890" s="2">
        <v>4.9848957658295397E-2</v>
      </c>
      <c r="F890" s="2">
        <v>4.9859396501864703E-2</v>
      </c>
      <c r="G890" s="2">
        <v>4.9854174000000001E-2</v>
      </c>
      <c r="H890" s="2">
        <v>0.18879323365050599</v>
      </c>
      <c r="I890" s="2">
        <v>0.188818186967769</v>
      </c>
      <c r="J890" s="2">
        <v>0.18880569999999999</v>
      </c>
      <c r="K890">
        <f t="shared" si="65"/>
        <v>-1.1467518148656763E-3</v>
      </c>
      <c r="L890">
        <f t="shared" si="66"/>
        <v>6.5130469490037868E-4</v>
      </c>
      <c r="M890" s="1">
        <f t="shared" si="67"/>
        <v>-2.059320538221146E-4</v>
      </c>
      <c r="N890" s="1">
        <f t="shared" si="68"/>
        <v>2.0938755437621307E-4</v>
      </c>
      <c r="O890" s="1">
        <f t="shared" si="69"/>
        <v>1.3216400385695793E-4</v>
      </c>
    </row>
    <row r="891" spans="4:15" x14ac:dyDescent="0.25">
      <c r="D891" s="5">
        <v>44846</v>
      </c>
      <c r="E891" s="4">
        <v>4.9905927326988599E-2</v>
      </c>
      <c r="F891" s="4">
        <v>4.9916888380845903E-2</v>
      </c>
      <c r="G891" s="4">
        <v>4.9911410000000003E-2</v>
      </c>
      <c r="H891" s="4">
        <v>0.18866500641461001</v>
      </c>
      <c r="I891" s="4">
        <v>0.188700607615957</v>
      </c>
      <c r="J891" s="4">
        <v>0.18868281000000001</v>
      </c>
      <c r="K891">
        <f t="shared" si="65"/>
        <v>-1.3600607530483977E-3</v>
      </c>
      <c r="L891">
        <f t="shared" si="66"/>
        <v>-1.5736145680566027E-2</v>
      </c>
      <c r="M891" s="1">
        <f t="shared" si="67"/>
        <v>-8.8822407917663465E-3</v>
      </c>
      <c r="N891" s="1">
        <f t="shared" si="68"/>
        <v>2.1961018246738242E-4</v>
      </c>
      <c r="O891" s="1">
        <f t="shared" si="69"/>
        <v>1.8868280235486662E-4</v>
      </c>
    </row>
    <row r="892" spans="4:15" x14ac:dyDescent="0.25">
      <c r="D892" s="3">
        <v>44845</v>
      </c>
      <c r="E892" s="2">
        <v>4.9974512998370801E-2</v>
      </c>
      <c r="F892" s="2">
        <v>4.9984254959687703E-2</v>
      </c>
      <c r="G892" s="2">
        <v>4.9979385000000001E-2</v>
      </c>
      <c r="H892" s="2">
        <v>0.19168104274487299</v>
      </c>
      <c r="I892" s="2">
        <v>0.191717791411043</v>
      </c>
      <c r="J892" s="2">
        <v>0.19169942000000001</v>
      </c>
      <c r="K892">
        <f t="shared" si="65"/>
        <v>-1.6368124168345544E-3</v>
      </c>
      <c r="L892">
        <f t="shared" si="66"/>
        <v>-1.4472547425669058E-3</v>
      </c>
      <c r="M892" s="1">
        <f t="shared" si="67"/>
        <v>-1.5376277667193772E-3</v>
      </c>
      <c r="N892" s="1">
        <f t="shared" si="68"/>
        <v>1.9491959168568585E-4</v>
      </c>
      <c r="O892" s="1">
        <f t="shared" si="69"/>
        <v>1.9169941239264654E-4</v>
      </c>
    </row>
    <row r="893" spans="4:15" x14ac:dyDescent="0.25">
      <c r="D893" s="5">
        <v>44844</v>
      </c>
      <c r="E893" s="4">
        <v>5.0054058383053698E-2</v>
      </c>
      <c r="F893" s="4">
        <v>5.0068593973743997E-2</v>
      </c>
      <c r="G893" s="4">
        <v>5.0061326000000003E-2</v>
      </c>
      <c r="H893" s="4">
        <v>0.191942263767059</v>
      </c>
      <c r="I893" s="4">
        <v>0.19201228878648199</v>
      </c>
      <c r="J893" s="4">
        <v>0.19197726000000001</v>
      </c>
      <c r="K893">
        <f t="shared" si="65"/>
        <v>3.0036418526344644E-3</v>
      </c>
      <c r="L893">
        <f t="shared" si="66"/>
        <v>7.7741465758962569E-4</v>
      </c>
      <c r="M893" s="1">
        <f t="shared" si="67"/>
        <v>1.8387849494755774E-3</v>
      </c>
      <c r="N893" s="1">
        <f t="shared" si="68"/>
        <v>2.9035568674905466E-4</v>
      </c>
      <c r="O893" s="1">
        <f t="shared" si="69"/>
        <v>3.6475684371676273E-4</v>
      </c>
    </row>
    <row r="894" spans="4:15" x14ac:dyDescent="0.25">
      <c r="D894" s="3">
        <v>44841</v>
      </c>
      <c r="E894" s="2">
        <v>4.9905180157700402E-2</v>
      </c>
      <c r="F894" s="2">
        <v>4.9917635900763702E-2</v>
      </c>
      <c r="G894" s="2">
        <v>4.9911410000000003E-2</v>
      </c>
      <c r="H894" s="2">
        <v>0.19180604572656099</v>
      </c>
      <c r="I894" s="2">
        <v>0.191850203361216</v>
      </c>
      <c r="J894" s="2">
        <v>0.19182813000000001</v>
      </c>
      <c r="K894">
        <f t="shared" si="65"/>
        <v>2.4207647031251334E-3</v>
      </c>
      <c r="L894">
        <f t="shared" si="66"/>
        <v>-5.160169322010244E-3</v>
      </c>
      <c r="M894" s="1">
        <f t="shared" si="67"/>
        <v>-1.545902917873527E-3</v>
      </c>
      <c r="N894" s="1">
        <f t="shared" si="68"/>
        <v>2.4955702640538273E-4</v>
      </c>
      <c r="O894" s="1">
        <f t="shared" si="69"/>
        <v>2.3019373985980107E-4</v>
      </c>
    </row>
    <row r="895" spans="4:15" x14ac:dyDescent="0.25">
      <c r="D895" s="5">
        <v>44840</v>
      </c>
      <c r="E895" s="4">
        <v>4.9786168406693303E-2</v>
      </c>
      <c r="F895" s="4">
        <v>4.97955891067169E-2</v>
      </c>
      <c r="G895" s="4">
        <v>4.9790877999999997E-2</v>
      </c>
      <c r="H895" s="4">
        <v>0.192808252193194</v>
      </c>
      <c r="I895" s="4">
        <v>0.19283799679888899</v>
      </c>
      <c r="J895" s="4">
        <v>0.19282313000000001</v>
      </c>
      <c r="K895">
        <f t="shared" si="65"/>
        <v>2.663808645258392E-3</v>
      </c>
      <c r="L895">
        <f t="shared" si="66"/>
        <v>8.908408855039518E-3</v>
      </c>
      <c r="M895" s="1">
        <f t="shared" si="67"/>
        <v>5.9312494877841113E-3</v>
      </c>
      <c r="N895" s="1">
        <f t="shared" si="68"/>
        <v>1.8920534045609085E-4</v>
      </c>
      <c r="O895" s="1">
        <f t="shared" si="69"/>
        <v>1.5425849427396171E-4</v>
      </c>
    </row>
    <row r="896" spans="4:15" x14ac:dyDescent="0.25">
      <c r="D896" s="3">
        <v>44839</v>
      </c>
      <c r="E896" s="2">
        <v>4.9652432969215503E-2</v>
      </c>
      <c r="F896" s="2">
        <v>4.9664762850757403E-2</v>
      </c>
      <c r="G896" s="2">
        <v>4.9658596999999999E-2</v>
      </c>
      <c r="H896" s="2">
        <v>0.191073066340569</v>
      </c>
      <c r="I896" s="2">
        <v>0.19116803670426299</v>
      </c>
      <c r="J896" s="2">
        <v>0.19112055</v>
      </c>
      <c r="K896">
        <f t="shared" si="65"/>
        <v>-7.36190076976595E-3</v>
      </c>
      <c r="L896">
        <f t="shared" si="66"/>
        <v>-1.764997075625574E-2</v>
      </c>
      <c r="M896" s="1">
        <f t="shared" si="67"/>
        <v>-1.2745057246615571E-2</v>
      </c>
      <c r="N896" s="1">
        <f t="shared" si="68"/>
        <v>2.4829299027317265E-4</v>
      </c>
      <c r="O896" s="1">
        <f t="shared" si="69"/>
        <v>4.969134072395217E-4</v>
      </c>
    </row>
    <row r="897" spans="4:15" x14ac:dyDescent="0.25">
      <c r="D897" s="5">
        <v>44838</v>
      </c>
      <c r="E897" s="4">
        <v>5.0022760355962002E-2</v>
      </c>
      <c r="F897" s="4">
        <v>5.0031019231923803E-2</v>
      </c>
      <c r="G897" s="4">
        <v>5.0026889999999997E-2</v>
      </c>
      <c r="H897" s="4">
        <v>0.19453739008637499</v>
      </c>
      <c r="I897" s="4">
        <v>0.19457145636735099</v>
      </c>
      <c r="J897" s="4">
        <v>0.19455443</v>
      </c>
      <c r="K897">
        <f t="shared" si="65"/>
        <v>8.7500601978929282E-5</v>
      </c>
      <c r="L897">
        <f t="shared" si="66"/>
        <v>8.6284893448123068E-3</v>
      </c>
      <c r="M897" s="1">
        <f t="shared" si="67"/>
        <v>4.5565097485011094E-3</v>
      </c>
      <c r="N897" s="1">
        <f t="shared" si="68"/>
        <v>1.6508873451458194E-4</v>
      </c>
      <c r="O897" s="1">
        <f t="shared" si="69"/>
        <v>1.7509897346460699E-4</v>
      </c>
    </row>
    <row r="898" spans="4:15" x14ac:dyDescent="0.25">
      <c r="D898" s="3">
        <v>44837</v>
      </c>
      <c r="E898" s="2">
        <v>5.0016255282967E-2</v>
      </c>
      <c r="F898" s="2">
        <v>5.0028766540760897E-2</v>
      </c>
      <c r="G898" s="2">
        <v>5.0022512999999998E-2</v>
      </c>
      <c r="H898" s="2">
        <v>0.19286403085824499</v>
      </c>
      <c r="I898" s="2">
        <v>0.19291612007099301</v>
      </c>
      <c r="J898" s="2">
        <v>0.19289007999999999</v>
      </c>
      <c r="K898">
        <f t="shared" si="65"/>
        <v>5.8277167219102921E-3</v>
      </c>
      <c r="L898">
        <f t="shared" si="66"/>
        <v>4.3313530811893264E-2</v>
      </c>
      <c r="M898" s="1">
        <f t="shared" si="67"/>
        <v>2.5441891506244402E-2</v>
      </c>
      <c r="N898" s="1">
        <f t="shared" si="68"/>
        <v>2.5011254020558928E-4</v>
      </c>
      <c r="O898" s="1">
        <f t="shared" si="69"/>
        <v>2.7004609437674977E-4</v>
      </c>
    </row>
    <row r="899" spans="4:15" x14ac:dyDescent="0.25">
      <c r="D899" s="5">
        <v>44834</v>
      </c>
      <c r="E899" s="4">
        <v>4.9727740620104897E-2</v>
      </c>
      <c r="F899" s="4">
        <v>4.9737633980751497E-2</v>
      </c>
      <c r="G899" s="4">
        <v>4.9732684999999999E-2</v>
      </c>
      <c r="H899" s="4">
        <v>0.18485313418488999</v>
      </c>
      <c r="I899" s="4">
        <v>0.18491124260354999</v>
      </c>
      <c r="J899" s="4">
        <v>0.18488218000000001</v>
      </c>
      <c r="K899">
        <f t="shared" si="65"/>
        <v>5.1597300140802105E-3</v>
      </c>
      <c r="L899">
        <f t="shared" si="66"/>
        <v>-9.2438262631877599E-4</v>
      </c>
      <c r="M899" s="1">
        <f t="shared" si="67"/>
        <v>1.9762631044406218E-3</v>
      </c>
      <c r="N899" s="1">
        <f t="shared" si="68"/>
        <v>1.9893075643512495E-4</v>
      </c>
      <c r="O899" s="1">
        <f t="shared" si="69"/>
        <v>3.142997267773277E-4</v>
      </c>
    </row>
    <row r="900" spans="4:15" x14ac:dyDescent="0.25">
      <c r="D900" s="3">
        <v>44833</v>
      </c>
      <c r="E900" s="2">
        <v>4.94726218510676E-2</v>
      </c>
      <c r="F900" s="2">
        <v>4.9482169100364702E-2</v>
      </c>
      <c r="G900" s="2">
        <v>4.9477395E-2</v>
      </c>
      <c r="H900" s="2">
        <v>0.18504126420191699</v>
      </c>
      <c r="I900" s="2">
        <v>0.18506523549551199</v>
      </c>
      <c r="J900" s="2">
        <v>0.18505324000000001</v>
      </c>
      <c r="K900">
        <f t="shared" si="65"/>
        <v>5.0095702342254356E-3</v>
      </c>
      <c r="L900">
        <f t="shared" si="66"/>
        <v>-7.2356527543322446E-3</v>
      </c>
      <c r="M900" s="1">
        <f t="shared" si="67"/>
        <v>-1.3976520657671835E-3</v>
      </c>
      <c r="N900" s="1">
        <f t="shared" si="68"/>
        <v>1.9296184241515612E-4</v>
      </c>
      <c r="O900" s="1">
        <f t="shared" si="69"/>
        <v>1.2953728124399859E-4</v>
      </c>
    </row>
    <row r="901" spans="4:15" x14ac:dyDescent="0.25">
      <c r="D901" s="5">
        <v>44832</v>
      </c>
      <c r="E901" s="4">
        <v>4.9224710804823997E-2</v>
      </c>
      <c r="F901" s="4">
        <v>4.9236829148202897E-2</v>
      </c>
      <c r="G901" s="4">
        <v>4.923077E-2</v>
      </c>
      <c r="H901" s="4">
        <v>0.186393289841566</v>
      </c>
      <c r="I901" s="4">
        <v>0.186410662689906</v>
      </c>
      <c r="J901" s="4">
        <v>0.18640197999999999</v>
      </c>
      <c r="K901">
        <f t="shared" si="65"/>
        <v>4.4311031536636847E-4</v>
      </c>
      <c r="L901">
        <f t="shared" si="66"/>
        <v>-2.6935014882661923E-3</v>
      </c>
      <c r="M901" s="1">
        <f t="shared" si="67"/>
        <v>-1.1980985963401681E-3</v>
      </c>
      <c r="N901" s="1">
        <f t="shared" si="68"/>
        <v>2.4615384603775574E-4</v>
      </c>
      <c r="O901" s="1">
        <f t="shared" si="69"/>
        <v>9.3200986062471451E-5</v>
      </c>
    </row>
    <row r="902" spans="4:15" x14ac:dyDescent="0.25">
      <c r="D902" s="3">
        <v>44831</v>
      </c>
      <c r="E902" s="2">
        <v>4.9204123305532997E-2</v>
      </c>
      <c r="F902" s="2">
        <v>4.9213809394916201E-2</v>
      </c>
      <c r="G902" s="2">
        <v>4.9208965E-2</v>
      </c>
      <c r="H902" s="2">
        <v>0.18689143476554501</v>
      </c>
      <c r="I902" s="2">
        <v>0.186919381670685</v>
      </c>
      <c r="J902" s="2">
        <v>0.18690540999999999</v>
      </c>
      <c r="K902">
        <f t="shared" si="65"/>
        <v>7.6267814118113897E-4</v>
      </c>
      <c r="L902">
        <f t="shared" si="66"/>
        <v>1.1868193204713773E-3</v>
      </c>
      <c r="M902" s="1">
        <f t="shared" si="67"/>
        <v>9.846068741109484E-4</v>
      </c>
      <c r="N902" s="1">
        <f t="shared" si="68"/>
        <v>1.968358688951095E-4</v>
      </c>
      <c r="O902" s="1">
        <f t="shared" si="69"/>
        <v>1.4952432430924097E-4</v>
      </c>
    </row>
    <row r="903" spans="4:15" x14ac:dyDescent="0.25">
      <c r="D903" s="5">
        <v>44830</v>
      </c>
      <c r="E903" s="4">
        <v>4.9165175323015203E-2</v>
      </c>
      <c r="F903" s="4">
        <v>4.9177748052561199E-2</v>
      </c>
      <c r="G903" s="4">
        <v>4.9171462999999999E-2</v>
      </c>
      <c r="H903" s="4">
        <v>0.186668160011947</v>
      </c>
      <c r="I903" s="4">
        <v>0.18669952578320501</v>
      </c>
      <c r="J903" s="4">
        <v>0.18668385000000001</v>
      </c>
      <c r="K903">
        <f t="shared" si="65"/>
        <v>-8.924533309958349E-3</v>
      </c>
      <c r="L903">
        <f t="shared" si="66"/>
        <v>-2.2019304085845515E-2</v>
      </c>
      <c r="M903" s="1">
        <f t="shared" si="67"/>
        <v>-1.5776275202037872E-2</v>
      </c>
      <c r="N903" s="1">
        <f t="shared" si="68"/>
        <v>2.5569158977424409E-4</v>
      </c>
      <c r="O903" s="1">
        <f t="shared" si="69"/>
        <v>1.6801545103128804E-4</v>
      </c>
    </row>
    <row r="904" spans="4:15" x14ac:dyDescent="0.25">
      <c r="D904" s="3">
        <v>44827</v>
      </c>
      <c r="E904" s="2">
        <v>4.9609818775332E-2</v>
      </c>
      <c r="F904" s="2">
        <v>4.9618680440812399E-2</v>
      </c>
      <c r="G904" s="2">
        <v>4.9614247E-2</v>
      </c>
      <c r="H904" s="2">
        <v>0.19086883493663201</v>
      </c>
      <c r="I904" s="2">
        <v>0.19090527280363501</v>
      </c>
      <c r="J904" s="2">
        <v>0.19088705</v>
      </c>
      <c r="K904">
        <f t="shared" si="65"/>
        <v>-8.9306264080980524E-3</v>
      </c>
      <c r="L904">
        <f t="shared" si="66"/>
        <v>-1.0727878486131659E-2</v>
      </c>
      <c r="M904" s="1">
        <f t="shared" si="67"/>
        <v>-9.8710252561913306E-3</v>
      </c>
      <c r="N904" s="1">
        <f t="shared" si="68"/>
        <v>1.7861130655472511E-4</v>
      </c>
      <c r="O904" s="1">
        <f t="shared" si="69"/>
        <v>1.9088705599985671E-4</v>
      </c>
    </row>
    <row r="905" spans="4:15" x14ac:dyDescent="0.25">
      <c r="D905" s="5">
        <v>44826</v>
      </c>
      <c r="E905" s="4">
        <v>5.0055060566623302E-2</v>
      </c>
      <c r="F905" s="4">
        <v>5.0067591248185099E-2</v>
      </c>
      <c r="G905" s="4">
        <v>5.0061326000000003E-2</v>
      </c>
      <c r="H905" s="4">
        <v>0.19293845263361001</v>
      </c>
      <c r="I905" s="4">
        <v>0.19297568506368201</v>
      </c>
      <c r="J905" s="4">
        <v>0.19295707000000001</v>
      </c>
      <c r="K905">
        <f t="shared" si="65"/>
        <v>1.5019330315837465E-3</v>
      </c>
      <c r="L905">
        <f t="shared" si="66"/>
        <v>-6.752341424909325E-5</v>
      </c>
      <c r="M905" s="1">
        <f t="shared" si="67"/>
        <v>6.8072656208916578E-4</v>
      </c>
      <c r="N905" s="1">
        <f t="shared" si="68"/>
        <v>2.503066251540513E-4</v>
      </c>
      <c r="O905" s="1">
        <f t="shared" si="69"/>
        <v>1.9295706590074125E-4</v>
      </c>
    </row>
    <row r="906" spans="4:15" x14ac:dyDescent="0.25">
      <c r="D906" s="3">
        <v>44825</v>
      </c>
      <c r="E906" s="2">
        <v>4.9978759027413298E-2</v>
      </c>
      <c r="F906" s="2">
        <v>4.9993750781152403E-2</v>
      </c>
      <c r="G906" s="2">
        <v>4.9986250000000003E-2</v>
      </c>
      <c r="H906" s="2">
        <v>0.192949620853995</v>
      </c>
      <c r="I906" s="2">
        <v>0.19299058205959499</v>
      </c>
      <c r="J906" s="2">
        <v>0.19297010000000001</v>
      </c>
      <c r="K906">
        <f t="shared" si="65"/>
        <v>-1.574550564984567E-3</v>
      </c>
      <c r="L906">
        <f t="shared" si="66"/>
        <v>-2.7402020451334774E-3</v>
      </c>
      <c r="M906" s="1">
        <f t="shared" si="67"/>
        <v>-2.1844690748074082E-3</v>
      </c>
      <c r="N906" s="1">
        <f t="shared" si="68"/>
        <v>2.9991755210892544E-4</v>
      </c>
      <c r="O906" s="1">
        <f t="shared" si="69"/>
        <v>2.1226711081140292E-4</v>
      </c>
    </row>
    <row r="907" spans="4:15" x14ac:dyDescent="0.25">
      <c r="D907" s="5">
        <v>44824</v>
      </c>
      <c r="E907" s="4">
        <v>5.0058819112457097E-2</v>
      </c>
      <c r="F907" s="4">
        <v>5.0071351676138499E-2</v>
      </c>
      <c r="G907" s="4">
        <v>5.0065079999999998E-2</v>
      </c>
      <c r="H907" s="4">
        <v>0.193479732997968</v>
      </c>
      <c r="I907" s="4">
        <v>0.19352091961140999</v>
      </c>
      <c r="J907" s="4">
        <v>0.19350033</v>
      </c>
      <c r="K907">
        <f t="shared" si="65"/>
        <v>1.1513672258340879E-3</v>
      </c>
      <c r="L907">
        <f t="shared" si="66"/>
        <v>1.0023329150225857E-2</v>
      </c>
      <c r="M907" s="1">
        <f t="shared" si="67"/>
        <v>5.7935556400235044E-3</v>
      </c>
      <c r="N907" s="1">
        <f t="shared" si="68"/>
        <v>2.5032545002230628E-4</v>
      </c>
      <c r="O907" s="1">
        <f t="shared" si="69"/>
        <v>2.1285035246188086E-4</v>
      </c>
    </row>
    <row r="908" spans="4:15" x14ac:dyDescent="0.25">
      <c r="D908" s="3">
        <v>44823</v>
      </c>
      <c r="E908" s="2">
        <v>5.00022501012546E-2</v>
      </c>
      <c r="F908" s="2">
        <v>5.0012753252079302E-2</v>
      </c>
      <c r="G908" s="2">
        <v>5.0007503000000002E-2</v>
      </c>
      <c r="H908" s="2">
        <v>0.19155987203800501</v>
      </c>
      <c r="I908" s="2">
        <v>0.19160024524831401</v>
      </c>
      <c r="J908" s="2">
        <v>0.19158006</v>
      </c>
      <c r="K908">
        <f t="shared" si="65"/>
        <v>1.8753293922266767E-3</v>
      </c>
      <c r="L908">
        <f t="shared" si="66"/>
        <v>9.8088685099915196E-3</v>
      </c>
      <c r="M908" s="1">
        <f t="shared" si="67"/>
        <v>6.0264950182594267E-3</v>
      </c>
      <c r="N908" s="1">
        <f t="shared" si="68"/>
        <v>2.1003149916727363E-4</v>
      </c>
      <c r="O908" s="1">
        <f t="shared" si="69"/>
        <v>2.1073806067814496E-4</v>
      </c>
    </row>
    <row r="909" spans="4:15" x14ac:dyDescent="0.25">
      <c r="D909" s="5">
        <v>44820</v>
      </c>
      <c r="E909" s="4">
        <v>4.9905927326988599E-2</v>
      </c>
      <c r="F909" s="4">
        <v>4.9921872269897603E-2</v>
      </c>
      <c r="G909" s="4">
        <v>4.9913897999999998E-2</v>
      </c>
      <c r="H909" s="4">
        <v>0.18968133535660101</v>
      </c>
      <c r="I909" s="4">
        <v>0.18975692138370701</v>
      </c>
      <c r="J909" s="4">
        <v>0.18971913000000001</v>
      </c>
      <c r="K909">
        <f t="shared" si="65"/>
        <v>2.1213358320364417E-3</v>
      </c>
      <c r="L909">
        <f t="shared" si="66"/>
        <v>-7.9017339208695692E-3</v>
      </c>
      <c r="M909" s="1">
        <f t="shared" si="67"/>
        <v>-3.1231612338977694E-3</v>
      </c>
      <c r="N909" s="1">
        <f t="shared" si="68"/>
        <v>3.1944896207073873E-4</v>
      </c>
      <c r="O909" s="1">
        <f t="shared" si="69"/>
        <v>3.9841015034172082E-4</v>
      </c>
    </row>
    <row r="910" spans="4:15" x14ac:dyDescent="0.25">
      <c r="D910" s="3">
        <v>44819</v>
      </c>
      <c r="E910" s="2">
        <v>4.9804517269716402E-2</v>
      </c>
      <c r="F910" s="2">
        <v>4.9811959851560401E-2</v>
      </c>
      <c r="G910" s="2">
        <v>4.9808237999999998E-2</v>
      </c>
      <c r="H910" s="2">
        <v>0.19121190102871999</v>
      </c>
      <c r="I910" s="2">
        <v>0.19124847001223999</v>
      </c>
      <c r="J910" s="2">
        <v>0.19123018</v>
      </c>
      <c r="K910">
        <f t="shared" si="65"/>
        <v>-3.57371795801531E-3</v>
      </c>
      <c r="L910">
        <f t="shared" si="66"/>
        <v>-1.0632419118125291E-2</v>
      </c>
      <c r="M910" s="1">
        <f t="shared" si="67"/>
        <v>-7.2671310975148231E-3</v>
      </c>
      <c r="N910" s="1">
        <f t="shared" si="68"/>
        <v>1.4942471652982243E-4</v>
      </c>
      <c r="O910" s="1">
        <f t="shared" si="69"/>
        <v>1.9123018929335453E-4</v>
      </c>
    </row>
    <row r="911" spans="4:15" x14ac:dyDescent="0.25">
      <c r="D911" s="5">
        <v>44818</v>
      </c>
      <c r="E911" s="4">
        <v>4.9982755949197502E-2</v>
      </c>
      <c r="F911" s="4">
        <v>4.99910016197085E-2</v>
      </c>
      <c r="G911" s="4">
        <v>4.9986876999999999E-2</v>
      </c>
      <c r="H911" s="4">
        <v>0.19326285681154901</v>
      </c>
      <c r="I911" s="4">
        <v>0.19330768784674601</v>
      </c>
      <c r="J911" s="4">
        <v>0.19328527000000001</v>
      </c>
      <c r="K911">
        <f t="shared" si="65"/>
        <v>2.4117741310267782E-3</v>
      </c>
      <c r="L911">
        <f t="shared" si="66"/>
        <v>-1.7686000744108199E-3</v>
      </c>
      <c r="M911" s="1">
        <f t="shared" si="67"/>
        <v>2.2442426762110028E-4</v>
      </c>
      <c r="N911" s="1">
        <f t="shared" si="68"/>
        <v>1.6495670475668832E-4</v>
      </c>
      <c r="O911" s="1">
        <f t="shared" si="69"/>
        <v>2.3194232647426858E-4</v>
      </c>
    </row>
    <row r="912" spans="4:15" x14ac:dyDescent="0.25">
      <c r="D912" s="3">
        <v>44817</v>
      </c>
      <c r="E912" s="2">
        <v>4.9862379831664597E-2</v>
      </c>
      <c r="F912" s="2">
        <v>4.9870834538545197E-2</v>
      </c>
      <c r="G912" s="2">
        <v>4.9866609999999999E-2</v>
      </c>
      <c r="H912" s="2">
        <v>0.19360709376391599</v>
      </c>
      <c r="I912" s="2">
        <v>0.19364833462432199</v>
      </c>
      <c r="J912" s="2">
        <v>0.19362772</v>
      </c>
      <c r="K912">
        <f t="shared" ref="K912:K975" si="70">G912/G913-1</f>
        <v>-1.2977741006318544E-2</v>
      </c>
      <c r="L912">
        <f t="shared" ref="L912:L975" si="71">J912/J913-1</f>
        <v>-7.8515564893077983E-3</v>
      </c>
      <c r="M912" s="1">
        <f t="shared" ref="M912:M975" si="72">SUMPRODUCT(K912:L912,$O$11:$P$11)</f>
        <v>-1.0295502897469142E-2</v>
      </c>
      <c r="N912" s="1">
        <f t="shared" ref="N912:N975" si="73">(F912-E912)/G912</f>
        <v>1.6954645364103722E-4</v>
      </c>
      <c r="O912" s="1">
        <f t="shared" ref="O912:O975" si="74">(I912-H912)/J912</f>
        <v>2.129904768077339E-4</v>
      </c>
    </row>
    <row r="913" spans="4:15" x14ac:dyDescent="0.25">
      <c r="D913" s="5">
        <v>44816</v>
      </c>
      <c r="E913" s="4">
        <v>5.0518062733330302E-2</v>
      </c>
      <c r="F913" s="4">
        <v>5.0526485983952797E-2</v>
      </c>
      <c r="G913" s="4">
        <v>5.0522274999999998E-2</v>
      </c>
      <c r="H913" s="4">
        <v>0.19513718143855099</v>
      </c>
      <c r="I913" s="4">
        <v>0.19518288636452399</v>
      </c>
      <c r="J913" s="4">
        <v>0.19516003000000001</v>
      </c>
      <c r="K913">
        <f t="shared" si="70"/>
        <v>4.888067034074739E-3</v>
      </c>
      <c r="L913">
        <f t="shared" si="71"/>
        <v>4.908221039817251E-3</v>
      </c>
      <c r="M913" s="1">
        <f t="shared" si="72"/>
        <v>4.898612468416625E-3</v>
      </c>
      <c r="N913" s="1">
        <f t="shared" si="73"/>
        <v>1.6672350210863301E-4</v>
      </c>
      <c r="O913" s="1">
        <f t="shared" si="74"/>
        <v>2.3419204215637925E-4</v>
      </c>
    </row>
    <row r="914" spans="4:15" x14ac:dyDescent="0.25">
      <c r="D914" s="3">
        <v>44813</v>
      </c>
      <c r="E914" s="2">
        <v>5.02704550481591E-2</v>
      </c>
      <c r="F914" s="2">
        <v>5.0282588145376998E-2</v>
      </c>
      <c r="G914" s="2">
        <v>5.0276519999999998E-2</v>
      </c>
      <c r="H914" s="2">
        <v>0.19418606909140301</v>
      </c>
      <c r="I914" s="2">
        <v>0.194227557005788</v>
      </c>
      <c r="J914" s="2">
        <v>0.19420682</v>
      </c>
      <c r="K914">
        <f t="shared" si="70"/>
        <v>7.2398471790382501E-3</v>
      </c>
      <c r="L914">
        <f t="shared" si="71"/>
        <v>1.3944113488418619E-2</v>
      </c>
      <c r="M914" s="1">
        <f t="shared" si="72"/>
        <v>1.0747804906120092E-2</v>
      </c>
      <c r="N914" s="1">
        <f t="shared" si="73"/>
        <v>2.4132730781481899E-4</v>
      </c>
      <c r="O914" s="1">
        <f t="shared" si="74"/>
        <v>2.1362748427161882E-4</v>
      </c>
    </row>
    <row r="915" spans="4:15" x14ac:dyDescent="0.25">
      <c r="D915" s="5">
        <v>44812</v>
      </c>
      <c r="E915" s="4">
        <v>4.9908667139135401E-2</v>
      </c>
      <c r="F915" s="4">
        <v>4.9921623051808701E-2</v>
      </c>
      <c r="G915" s="4">
        <v>4.9915142000000003E-2</v>
      </c>
      <c r="H915" s="4">
        <v>0.19150484507258</v>
      </c>
      <c r="I915" s="4">
        <v>0.19156721135610399</v>
      </c>
      <c r="J915" s="4">
        <v>0.19153602</v>
      </c>
      <c r="K915">
        <f t="shared" si="70"/>
        <v>2.8688903867046811E-4</v>
      </c>
      <c r="L915">
        <f t="shared" si="71"/>
        <v>5.267186770547605E-3</v>
      </c>
      <c r="M915" s="1">
        <f t="shared" si="72"/>
        <v>2.89279296692914E-3</v>
      </c>
      <c r="N915" s="1">
        <f t="shared" si="73"/>
        <v>2.595587662216816E-4</v>
      </c>
      <c r="O915" s="1">
        <f t="shared" si="74"/>
        <v>3.2561125329841459E-4</v>
      </c>
    </row>
    <row r="916" spans="4:15" x14ac:dyDescent="0.25">
      <c r="D916" s="3">
        <v>44811</v>
      </c>
      <c r="E916" s="2">
        <v>4.9896962771876101E-2</v>
      </c>
      <c r="F916" s="2">
        <v>4.9904682057270597E-2</v>
      </c>
      <c r="G916" s="2">
        <v>4.9900826000000002E-2</v>
      </c>
      <c r="H916" s="2">
        <v>0.190516108136943</v>
      </c>
      <c r="I916" s="2">
        <v>0.19054878048780499</v>
      </c>
      <c r="J916" s="2">
        <v>0.19053244999999999</v>
      </c>
      <c r="K916">
        <f t="shared" si="70"/>
        <v>4.5286178520944631E-3</v>
      </c>
      <c r="L916">
        <f t="shared" si="71"/>
        <v>-3.810651063299475E-3</v>
      </c>
      <c r="M916" s="1">
        <f t="shared" si="72"/>
        <v>1.6515711232064148E-4</v>
      </c>
      <c r="N916" s="1">
        <f t="shared" si="73"/>
        <v>1.5469253744408983E-4</v>
      </c>
      <c r="O916" s="1">
        <f t="shared" si="74"/>
        <v>1.7147919350215526E-4</v>
      </c>
    </row>
    <row r="917" spans="4:15" x14ac:dyDescent="0.25">
      <c r="D917" s="5">
        <v>44810</v>
      </c>
      <c r="E917" s="4">
        <v>4.9671670259584098E-2</v>
      </c>
      <c r="F917" s="4">
        <v>4.9680060410953499E-2</v>
      </c>
      <c r="G917" s="4">
        <v>4.9675863000000001E-2</v>
      </c>
      <c r="H917" s="4">
        <v>0.19123749784857799</v>
      </c>
      <c r="I917" s="4">
        <v>0.19128505298595999</v>
      </c>
      <c r="J917" s="4">
        <v>0.19126128000000001</v>
      </c>
      <c r="K917">
        <f t="shared" si="70"/>
        <v>-7.8240031995148174E-3</v>
      </c>
      <c r="L917">
        <f t="shared" si="71"/>
        <v>-1.1112219863968154E-2</v>
      </c>
      <c r="M917" s="1">
        <f t="shared" si="72"/>
        <v>-9.544538232595037E-3</v>
      </c>
      <c r="N917" s="1">
        <f t="shared" si="73"/>
        <v>1.6889794887710625E-4</v>
      </c>
      <c r="O917" s="1">
        <f t="shared" si="74"/>
        <v>2.486396482445341E-4</v>
      </c>
    </row>
    <row r="918" spans="4:15" x14ac:dyDescent="0.25">
      <c r="D918" s="3">
        <v>44809</v>
      </c>
      <c r="E918" s="2">
        <v>5.0061325123275997E-2</v>
      </c>
      <c r="F918" s="2">
        <v>5.00738589419394E-2</v>
      </c>
      <c r="G918" s="2">
        <v>5.0067592000000001E-2</v>
      </c>
      <c r="H918" s="2">
        <v>0.19337497341094101</v>
      </c>
      <c r="I918" s="2">
        <v>0.19344604789724101</v>
      </c>
      <c r="J918" s="2">
        <v>0.19341050000000001</v>
      </c>
      <c r="K918">
        <f t="shared" si="70"/>
        <v>-1.2891908122484308E-3</v>
      </c>
      <c r="L918">
        <f t="shared" si="71"/>
        <v>1.7116738288962541E-3</v>
      </c>
      <c r="M918" s="1">
        <f t="shared" si="72"/>
        <v>2.8098940137185843E-4</v>
      </c>
      <c r="N918" s="1">
        <f t="shared" si="73"/>
        <v>2.5033795640507395E-4</v>
      </c>
      <c r="O918" s="1">
        <f t="shared" si="74"/>
        <v>3.6747997807773912E-4</v>
      </c>
    </row>
    <row r="919" spans="4:15" x14ac:dyDescent="0.25">
      <c r="D919" s="5">
        <v>44806</v>
      </c>
      <c r="E919" s="4">
        <v>5.0126318322171903E-2</v>
      </c>
      <c r="F919" s="4">
        <v>5.0138130549664303E-2</v>
      </c>
      <c r="G919" s="4">
        <v>5.0132221999999997E-2</v>
      </c>
      <c r="H919" s="4">
        <v>0.193053919959845</v>
      </c>
      <c r="I919" s="4">
        <v>0.19310611180843901</v>
      </c>
      <c r="J919" s="4">
        <v>0.19308001</v>
      </c>
      <c r="K919">
        <f t="shared" si="70"/>
        <v>1.5378011334300279E-2</v>
      </c>
      <c r="L919">
        <f t="shared" si="71"/>
        <v>6.806004063412141E-3</v>
      </c>
      <c r="M919" s="1">
        <f t="shared" si="72"/>
        <v>1.0892771972546319E-2</v>
      </c>
      <c r="N919" s="1">
        <f t="shared" si="73"/>
        <v>2.3562146302631175E-4</v>
      </c>
      <c r="O919" s="1">
        <f t="shared" si="74"/>
        <v>2.7031202553805343E-4</v>
      </c>
    </row>
    <row r="920" spans="4:15" x14ac:dyDescent="0.25">
      <c r="D920" s="3">
        <v>44805</v>
      </c>
      <c r="E920" s="2">
        <v>4.9369063370129702E-2</v>
      </c>
      <c r="F920" s="2">
        <v>4.9376863976615101E-2</v>
      </c>
      <c r="G920" s="2">
        <v>4.9372963999999998E-2</v>
      </c>
      <c r="H920" s="2">
        <v>0.19175455417066201</v>
      </c>
      <c r="I920" s="2">
        <v>0.191795009493853</v>
      </c>
      <c r="J920" s="2">
        <v>0.19177479</v>
      </c>
      <c r="K920">
        <f t="shared" si="70"/>
        <v>-7.0109626487986354E-3</v>
      </c>
      <c r="L920">
        <f t="shared" si="71"/>
        <v>-6.4147519243790141E-3</v>
      </c>
      <c r="M920" s="1">
        <f t="shared" si="72"/>
        <v>-6.6989997998929242E-3</v>
      </c>
      <c r="N920" s="1">
        <f t="shared" si="73"/>
        <v>1.5799348172410463E-4</v>
      </c>
      <c r="O920" s="1">
        <f t="shared" si="74"/>
        <v>2.109522486818864E-4</v>
      </c>
    </row>
    <row r="921" spans="4:15" x14ac:dyDescent="0.25">
      <c r="D921" s="5">
        <v>44804</v>
      </c>
      <c r="E921" s="4">
        <v>4.9714885133757901E-2</v>
      </c>
      <c r="F921" s="4">
        <v>4.9728235194661199E-2</v>
      </c>
      <c r="G921" s="4">
        <v>4.9721559999999998E-2</v>
      </c>
      <c r="H921" s="4">
        <v>0.19300175631598199</v>
      </c>
      <c r="I921" s="4">
        <v>0.19302410871117801</v>
      </c>
      <c r="J921" s="4">
        <v>0.19301292</v>
      </c>
      <c r="K921">
        <f t="shared" si="70"/>
        <v>5.2207825579775324E-4</v>
      </c>
      <c r="L921">
        <f t="shared" si="71"/>
        <v>-2.2370217696994099E-2</v>
      </c>
      <c r="M921" s="1">
        <f t="shared" si="72"/>
        <v>-1.1456146172113229E-2</v>
      </c>
      <c r="N921" s="1">
        <f t="shared" si="73"/>
        <v>2.6849642093487302E-4</v>
      </c>
      <c r="O921" s="1">
        <f t="shared" si="74"/>
        <v>1.1580776663043106E-4</v>
      </c>
    </row>
    <row r="922" spans="4:15" x14ac:dyDescent="0.25">
      <c r="D922" s="3">
        <v>44803</v>
      </c>
      <c r="E922" s="2">
        <v>4.9690181716994498E-2</v>
      </c>
      <c r="F922" s="2">
        <v>4.9701048195106401E-2</v>
      </c>
      <c r="G922" s="2">
        <v>4.9695614999999999E-2</v>
      </c>
      <c r="H922" s="2">
        <v>0.19739439399920999</v>
      </c>
      <c r="I922" s="2">
        <v>0.197464555112357</v>
      </c>
      <c r="J922" s="2">
        <v>0.19742946</v>
      </c>
      <c r="K922">
        <f t="shared" si="70"/>
        <v>-4.5099079334800507E-3</v>
      </c>
      <c r="L922">
        <f t="shared" si="71"/>
        <v>-4.4126078833308657E-3</v>
      </c>
      <c r="M922" s="1">
        <f t="shared" si="72"/>
        <v>-4.4589964023720573E-3</v>
      </c>
      <c r="N922" s="1">
        <f t="shared" si="73"/>
        <v>2.1866070299970128E-4</v>
      </c>
      <c r="O922" s="1">
        <f t="shared" si="74"/>
        <v>3.5537306918129034E-4</v>
      </c>
    </row>
    <row r="923" spans="4:15" x14ac:dyDescent="0.25">
      <c r="D923" s="5">
        <v>44802</v>
      </c>
      <c r="E923" s="4">
        <v>4.9915144254766897E-2</v>
      </c>
      <c r="F923" s="4">
        <v>4.9926358621033999E-2</v>
      </c>
      <c r="G923" s="4">
        <v>4.9920752999999998E-2</v>
      </c>
      <c r="H923" s="4">
        <v>0.19828287034283101</v>
      </c>
      <c r="I923" s="4">
        <v>0.198326127484035</v>
      </c>
      <c r="J923" s="4">
        <v>0.19830449999999999</v>
      </c>
      <c r="K923">
        <f t="shared" si="70"/>
        <v>-4.655061555732587E-3</v>
      </c>
      <c r="L923">
        <f t="shared" si="71"/>
        <v>7.1489190535756197E-3</v>
      </c>
      <c r="M923" s="1">
        <f t="shared" si="72"/>
        <v>1.5212839350201525E-3</v>
      </c>
      <c r="N923" s="1">
        <f t="shared" si="73"/>
        <v>2.2464337160744405E-4</v>
      </c>
      <c r="O923" s="1">
        <f t="shared" si="74"/>
        <v>2.1813494501629534E-4</v>
      </c>
    </row>
    <row r="924" spans="4:15" x14ac:dyDescent="0.25">
      <c r="D924" s="3">
        <v>44799</v>
      </c>
      <c r="E924" s="2">
        <v>5.0148690868424897E-2</v>
      </c>
      <c r="F924" s="2">
        <v>5.0159758831879502E-2</v>
      </c>
      <c r="G924" s="2">
        <v>5.0154223999999997E-2</v>
      </c>
      <c r="H924" s="2">
        <v>0.19686977064671701</v>
      </c>
      <c r="I924" s="2">
        <v>0.196924046395305</v>
      </c>
      <c r="J924" s="2">
        <v>0.19689690000000001</v>
      </c>
      <c r="K924">
        <f t="shared" si="70"/>
        <v>-8.7769934282422302E-4</v>
      </c>
      <c r="L924">
        <f t="shared" si="71"/>
        <v>4.725447687755624E-3</v>
      </c>
      <c r="M924" s="1">
        <f t="shared" si="72"/>
        <v>2.0541058711776184E-3</v>
      </c>
      <c r="N924" s="1">
        <f t="shared" si="73"/>
        <v>2.2067859039358906E-4</v>
      </c>
      <c r="O924" s="1">
        <f t="shared" si="74"/>
        <v>2.7565567862160181E-4</v>
      </c>
    </row>
    <row r="925" spans="4:15" x14ac:dyDescent="0.25">
      <c r="D925" s="5">
        <v>44798</v>
      </c>
      <c r="E925" s="4">
        <v>5.0190724754065399E-2</v>
      </c>
      <c r="F925" s="4">
        <v>5.0205843960237001E-2</v>
      </c>
      <c r="G925" s="4">
        <v>5.0198283000000003E-2</v>
      </c>
      <c r="H925" s="4">
        <v>0.19595931884540799</v>
      </c>
      <c r="I925" s="4">
        <v>0.19598236158745699</v>
      </c>
      <c r="J925" s="4">
        <v>0.19597085</v>
      </c>
      <c r="K925">
        <f t="shared" si="70"/>
        <v>-6.5256434355298598E-4</v>
      </c>
      <c r="L925">
        <f t="shared" si="71"/>
        <v>-8.8117585902547368E-5</v>
      </c>
      <c r="M925" s="1">
        <f t="shared" si="72"/>
        <v>-3.5722175516926893E-4</v>
      </c>
      <c r="N925" s="1">
        <f t="shared" si="73"/>
        <v>3.0118970745675826E-4</v>
      </c>
      <c r="O925" s="1">
        <f t="shared" si="74"/>
        <v>1.1758249785111648E-4</v>
      </c>
    </row>
    <row r="926" spans="4:15" x14ac:dyDescent="0.25">
      <c r="D926" s="3">
        <v>44797</v>
      </c>
      <c r="E926" s="2">
        <v>5.0225764812833702E-2</v>
      </c>
      <c r="F926" s="2">
        <v>5.0236362083603402E-2</v>
      </c>
      <c r="G926" s="2">
        <v>5.0231062E-2</v>
      </c>
      <c r="H926" s="2">
        <v>0.19595163913546099</v>
      </c>
      <c r="I926" s="2">
        <v>0.19602462069235899</v>
      </c>
      <c r="J926" s="2">
        <v>0.19598811999999999</v>
      </c>
      <c r="K926">
        <f t="shared" si="70"/>
        <v>6.2285895489455623E-3</v>
      </c>
      <c r="L926">
        <f t="shared" si="71"/>
        <v>-2.4791930504010073E-3</v>
      </c>
      <c r="M926" s="1">
        <f t="shared" si="72"/>
        <v>1.6723067514697232E-3</v>
      </c>
      <c r="N926" s="1">
        <f t="shared" si="73"/>
        <v>2.10970470218197E-4</v>
      </c>
      <c r="O926" s="1">
        <f t="shared" si="74"/>
        <v>3.7237745276601296E-4</v>
      </c>
    </row>
    <row r="927" spans="4:15" x14ac:dyDescent="0.25">
      <c r="D927" s="5">
        <v>44796</v>
      </c>
      <c r="E927" s="4">
        <v>4.9913898525044298E-2</v>
      </c>
      <c r="F927" s="4">
        <v>4.9926358621033999E-2</v>
      </c>
      <c r="G927" s="4">
        <v>4.992013E-2</v>
      </c>
      <c r="H927" s="4">
        <v>0.196440498173103</v>
      </c>
      <c r="I927" s="4">
        <v>0.196509982707122</v>
      </c>
      <c r="J927" s="4">
        <v>0.19647522000000001</v>
      </c>
      <c r="K927">
        <f t="shared" si="70"/>
        <v>7.1136496549635275E-3</v>
      </c>
      <c r="L927">
        <f t="shared" si="71"/>
        <v>1.9126779851900366E-2</v>
      </c>
      <c r="M927" s="1">
        <f t="shared" si="72"/>
        <v>1.3399431119494827E-2</v>
      </c>
      <c r="N927" s="1">
        <f t="shared" si="73"/>
        <v>2.4960063184332971E-4</v>
      </c>
      <c r="O927" s="1">
        <f t="shared" si="74"/>
        <v>3.5365545853061888E-4</v>
      </c>
    </row>
    <row r="928" spans="4:15" x14ac:dyDescent="0.25">
      <c r="D928" s="3">
        <v>44795</v>
      </c>
      <c r="E928" s="2">
        <v>4.9559416784783303E-2</v>
      </c>
      <c r="F928" s="2">
        <v>4.9575632585071798E-2</v>
      </c>
      <c r="G928" s="2">
        <v>4.9567524000000002E-2</v>
      </c>
      <c r="H928" s="2">
        <v>0.192763652485687</v>
      </c>
      <c r="I928" s="2">
        <v>0.19281196976708301</v>
      </c>
      <c r="J928" s="2">
        <v>0.19278781</v>
      </c>
      <c r="K928">
        <f t="shared" si="70"/>
        <v>1.1772347949594586E-3</v>
      </c>
      <c r="L928">
        <f t="shared" si="71"/>
        <v>4.0967968849365821E-3</v>
      </c>
      <c r="M928" s="1">
        <f t="shared" si="72"/>
        <v>2.7048740504139503E-3</v>
      </c>
      <c r="N928" s="1">
        <f t="shared" si="73"/>
        <v>3.2714565868763535E-4</v>
      </c>
      <c r="O928" s="1">
        <f t="shared" si="74"/>
        <v>2.5062415199389302E-4</v>
      </c>
    </row>
    <row r="929" spans="4:15" x14ac:dyDescent="0.25">
      <c r="D929" s="5">
        <v>44792</v>
      </c>
      <c r="E929" s="4">
        <v>4.9503725155317903E-2</v>
      </c>
      <c r="F929" s="4">
        <v>4.9514755397108298E-2</v>
      </c>
      <c r="G929" s="4">
        <v>4.9509240000000003E-2</v>
      </c>
      <c r="H929" s="4">
        <v>0.191982798341269</v>
      </c>
      <c r="I929" s="4">
        <v>0.19201966281347199</v>
      </c>
      <c r="J929" s="4">
        <v>0.19200122</v>
      </c>
      <c r="K929">
        <f t="shared" si="70"/>
        <v>-7.2778020620705153E-3</v>
      </c>
      <c r="L929">
        <f t="shared" si="71"/>
        <v>-6.5952858175356566E-3</v>
      </c>
      <c r="M929" s="1">
        <f t="shared" si="72"/>
        <v>-6.9206804885248753E-3</v>
      </c>
      <c r="N929" s="1">
        <f t="shared" si="73"/>
        <v>2.2279157972118763E-4</v>
      </c>
      <c r="O929" s="1">
        <f t="shared" si="74"/>
        <v>1.9200123938273149E-4</v>
      </c>
    </row>
    <row r="930" spans="4:15" x14ac:dyDescent="0.25">
      <c r="D930" s="3">
        <v>44791</v>
      </c>
      <c r="E930" s="2">
        <v>4.9866358160130901E-2</v>
      </c>
      <c r="F930" s="2">
        <v>4.98780481722189E-2</v>
      </c>
      <c r="G930" s="2">
        <v>4.9872199999999998E-2</v>
      </c>
      <c r="H930" s="2">
        <v>0.19325538699391201</v>
      </c>
      <c r="I930" s="2">
        <v>0.193296478138168</v>
      </c>
      <c r="J930" s="2">
        <v>0.19327593000000001</v>
      </c>
      <c r="K930">
        <f t="shared" si="70"/>
        <v>8.6025633013675495E-4</v>
      </c>
      <c r="L930">
        <f t="shared" si="71"/>
        <v>-7.8277455503439342E-4</v>
      </c>
      <c r="M930" s="1">
        <f t="shared" si="72"/>
        <v>5.5257979409480563E-7</v>
      </c>
      <c r="N930" s="1">
        <f t="shared" si="73"/>
        <v>2.3439936654085782E-4</v>
      </c>
      <c r="O930" s="1">
        <f t="shared" si="74"/>
        <v>2.1260352624348589E-4</v>
      </c>
    </row>
    <row r="931" spans="4:15" x14ac:dyDescent="0.25">
      <c r="D931" s="5">
        <v>44790</v>
      </c>
      <c r="E931" s="4">
        <v>4.9823624369731201E-2</v>
      </c>
      <c r="F931" s="4">
        <v>4.9835045997747497E-2</v>
      </c>
      <c r="G931" s="4">
        <v>4.9829334000000003E-2</v>
      </c>
      <c r="H931" s="4">
        <v>0.19341237452372201</v>
      </c>
      <c r="I931" s="4">
        <v>0.193442305832285</v>
      </c>
      <c r="J931" s="4">
        <v>0.19342734</v>
      </c>
      <c r="K931">
        <f t="shared" si="70"/>
        <v>-6.203740888184428E-3</v>
      </c>
      <c r="L931">
        <f t="shared" si="71"/>
        <v>-3.9071805669262938E-3</v>
      </c>
      <c r="M931" s="1">
        <f t="shared" si="72"/>
        <v>-5.0020826972806695E-3</v>
      </c>
      <c r="N931" s="1">
        <f t="shared" si="73"/>
        <v>2.2921494427953338E-4</v>
      </c>
      <c r="O931" s="1">
        <f t="shared" si="74"/>
        <v>1.5474187135588761E-4</v>
      </c>
    </row>
    <row r="932" spans="4:15" x14ac:dyDescent="0.25">
      <c r="D932" s="3">
        <v>44789</v>
      </c>
      <c r="E932" s="2">
        <v>5.0133354723564699E-2</v>
      </c>
      <c r="F932" s="2">
        <v>5.0147433454355801E-2</v>
      </c>
      <c r="G932" s="2">
        <v>5.0140391999999999E-2</v>
      </c>
      <c r="H932" s="2">
        <v>0.194163446789507</v>
      </c>
      <c r="I932" s="2">
        <v>0.194208696665437</v>
      </c>
      <c r="J932" s="2">
        <v>0.19418605999999999</v>
      </c>
      <c r="K932">
        <f t="shared" si="70"/>
        <v>-4.6881323625009852E-3</v>
      </c>
      <c r="L932">
        <f t="shared" si="71"/>
        <v>-1.1282272596927823E-2</v>
      </c>
      <c r="M932" s="1">
        <f t="shared" si="72"/>
        <v>-8.1384674359233321E-3</v>
      </c>
      <c r="N932" s="1">
        <f t="shared" si="73"/>
        <v>2.8078621306155618E-4</v>
      </c>
      <c r="O932" s="1">
        <f t="shared" si="74"/>
        <v>2.3302329698636666E-4</v>
      </c>
    </row>
    <row r="933" spans="4:15" x14ac:dyDescent="0.25">
      <c r="D933" s="5">
        <v>44788</v>
      </c>
      <c r="E933" s="4">
        <v>5.0370982284525502E-2</v>
      </c>
      <c r="F933" s="4">
        <v>5.03821485971091E-2</v>
      </c>
      <c r="G933" s="4">
        <v>5.0376563999999999E-2</v>
      </c>
      <c r="H933" s="4">
        <v>0.196378775381957</v>
      </c>
      <c r="I933" s="4">
        <v>0.19642506383814601</v>
      </c>
      <c r="J933" s="4">
        <v>0.19640192000000001</v>
      </c>
      <c r="K933">
        <f t="shared" si="70"/>
        <v>2.5061776841113215E-3</v>
      </c>
      <c r="L933">
        <f t="shared" si="71"/>
        <v>2.8480335733860329E-4</v>
      </c>
      <c r="M933" s="1">
        <f t="shared" si="72"/>
        <v>1.3438600083590002E-3</v>
      </c>
      <c r="N933" s="1">
        <f t="shared" si="73"/>
        <v>2.2165689155770625E-4</v>
      </c>
      <c r="O933" s="1">
        <f t="shared" si="74"/>
        <v>2.356822997912071E-4</v>
      </c>
    </row>
    <row r="934" spans="4:15" x14ac:dyDescent="0.25">
      <c r="D934" s="3">
        <v>44785</v>
      </c>
      <c r="E934" s="2">
        <v>5.0243934301031502E-2</v>
      </c>
      <c r="F934" s="2">
        <v>5.0257317465423001E-2</v>
      </c>
      <c r="G934" s="2">
        <v>5.0250626999999999E-2</v>
      </c>
      <c r="H934" s="2">
        <v>0.19632865416707601</v>
      </c>
      <c r="I934" s="2">
        <v>0.19636335074421701</v>
      </c>
      <c r="J934" s="2">
        <v>0.19634599999999999</v>
      </c>
      <c r="K934">
        <f t="shared" si="70"/>
        <v>3.9698570652462184E-3</v>
      </c>
      <c r="L934">
        <f t="shared" si="71"/>
        <v>9.0614381127211985E-3</v>
      </c>
      <c r="M934" s="1">
        <f t="shared" si="72"/>
        <v>6.6339891647666039E-3</v>
      </c>
      <c r="N934" s="1">
        <f t="shared" si="73"/>
        <v>2.6632830654031779E-4</v>
      </c>
      <c r="O934" s="1">
        <f t="shared" si="74"/>
        <v>1.7671140303852578E-4</v>
      </c>
    </row>
    <row r="935" spans="4:15" x14ac:dyDescent="0.25">
      <c r="D935" s="5">
        <v>44784</v>
      </c>
      <c r="E935" s="4">
        <v>5.0046292820859303E-2</v>
      </c>
      <c r="F935" s="4">
        <v>5.0057566201131297E-2</v>
      </c>
      <c r="G935" s="4">
        <v>5.0051928000000002E-2</v>
      </c>
      <c r="H935" s="4">
        <v>0.194556314325181</v>
      </c>
      <c r="I935" s="4">
        <v>0.19460932178651399</v>
      </c>
      <c r="J935" s="4">
        <v>0.1945828</v>
      </c>
      <c r="K935">
        <f t="shared" si="70"/>
        <v>-1.7017686450692127E-3</v>
      </c>
      <c r="L935">
        <f t="shared" si="71"/>
        <v>-1.759032278292294E-2</v>
      </c>
      <c r="M935" s="1">
        <f t="shared" si="72"/>
        <v>-1.0015337004079328E-2</v>
      </c>
      <c r="N935" s="1">
        <f t="shared" si="73"/>
        <v>2.2523368674216891E-4</v>
      </c>
      <c r="O935" s="1">
        <f t="shared" si="74"/>
        <v>2.7241596550668093E-4</v>
      </c>
    </row>
    <row r="936" spans="4:15" x14ac:dyDescent="0.25">
      <c r="D936" s="3">
        <v>44783</v>
      </c>
      <c r="E936" s="2">
        <v>5.0130590187438297E-2</v>
      </c>
      <c r="F936" s="2">
        <v>5.0143913030397197E-2</v>
      </c>
      <c r="G936" s="2">
        <v>5.0137250000000001E-2</v>
      </c>
      <c r="H936" s="2">
        <v>0.19805509892852199</v>
      </c>
      <c r="I936" s="2">
        <v>0.19807863721897601</v>
      </c>
      <c r="J936" s="2">
        <v>0.19806686000000001</v>
      </c>
      <c r="K936">
        <f t="shared" si="70"/>
        <v>1.6382330243691401E-2</v>
      </c>
      <c r="L936">
        <f t="shared" si="71"/>
        <v>1.6399874788963098E-2</v>
      </c>
      <c r="M936" s="1">
        <f t="shared" si="72"/>
        <v>1.6391510297154948E-2</v>
      </c>
      <c r="N936" s="1">
        <f t="shared" si="73"/>
        <v>2.6572743736244487E-4</v>
      </c>
      <c r="O936" s="1">
        <f t="shared" si="74"/>
        <v>1.1884012526886914E-4</v>
      </c>
    </row>
    <row r="937" spans="4:15" x14ac:dyDescent="0.25">
      <c r="D937" s="5">
        <v>44782</v>
      </c>
      <c r="E937" s="4">
        <v>4.9322068172962599E-2</v>
      </c>
      <c r="F937" s="4">
        <v>4.9336181675555403E-2</v>
      </c>
      <c r="G937" s="4">
        <v>4.9329124000000002E-2</v>
      </c>
      <c r="H937" s="4">
        <v>0.194852009898482</v>
      </c>
      <c r="I937" s="4">
        <v>0.194889984603691</v>
      </c>
      <c r="J937" s="4">
        <v>0.19487099999999999</v>
      </c>
      <c r="K937">
        <f t="shared" si="70"/>
        <v>-6.4866812342656566E-4</v>
      </c>
      <c r="L937">
        <f t="shared" si="71"/>
        <v>-7.697627826155351E-4</v>
      </c>
      <c r="M937" s="1">
        <f t="shared" si="72"/>
        <v>-7.1203000760708055E-4</v>
      </c>
      <c r="N937" s="1">
        <f t="shared" si="73"/>
        <v>2.8610892406692251E-4</v>
      </c>
      <c r="O937" s="1">
        <f t="shared" si="74"/>
        <v>1.9487099265154119E-4</v>
      </c>
    </row>
    <row r="938" spans="4:15" x14ac:dyDescent="0.25">
      <c r="D938" s="3">
        <v>44781</v>
      </c>
      <c r="E938" s="2">
        <v>4.93573670806104E-2</v>
      </c>
      <c r="F938" s="2">
        <v>4.93649203003362E-2</v>
      </c>
      <c r="G938" s="2">
        <v>4.9361143000000003E-2</v>
      </c>
      <c r="H938" s="2">
        <v>0.195000195000195</v>
      </c>
      <c r="I938" s="2">
        <v>0.195042031557801</v>
      </c>
      <c r="J938" s="2">
        <v>0.19502111999999999</v>
      </c>
      <c r="K938">
        <f t="shared" si="70"/>
        <v>4.8448236727491878E-3</v>
      </c>
      <c r="L938">
        <f t="shared" si="71"/>
        <v>1.1993837988199862E-2</v>
      </c>
      <c r="M938" s="1">
        <f t="shared" si="72"/>
        <v>8.585492502359229E-3</v>
      </c>
      <c r="N938" s="1">
        <f t="shared" si="73"/>
        <v>1.5301954668676279E-4</v>
      </c>
      <c r="O938" s="1">
        <f t="shared" si="74"/>
        <v>2.1452321474723591E-4</v>
      </c>
    </row>
    <row r="939" spans="4:15" x14ac:dyDescent="0.25">
      <c r="D939" s="5">
        <v>44778</v>
      </c>
      <c r="E939" s="4">
        <v>4.9115431086138597E-2</v>
      </c>
      <c r="F939" s="4">
        <v>4.9130874824357101E-2</v>
      </c>
      <c r="G939" s="4">
        <v>4.9123149999999997E-2</v>
      </c>
      <c r="H939" s="4">
        <v>0.19268936547391899</v>
      </c>
      <c r="I939" s="4">
        <v>0.192730216243303</v>
      </c>
      <c r="J939" s="4">
        <v>0.19270978999999999</v>
      </c>
      <c r="K939">
        <f t="shared" si="70"/>
        <v>1.7188333889706087E-4</v>
      </c>
      <c r="L939">
        <f t="shared" si="71"/>
        <v>1.1736014050813592E-2</v>
      </c>
      <c r="M939" s="1">
        <f t="shared" si="72"/>
        <v>6.2227291460054193E-3</v>
      </c>
      <c r="N939" s="1">
        <f t="shared" si="73"/>
        <v>3.1438819005914906E-4</v>
      </c>
      <c r="O939" s="1">
        <f t="shared" si="74"/>
        <v>2.1198076851212328E-4</v>
      </c>
    </row>
    <row r="940" spans="4:15" x14ac:dyDescent="0.25">
      <c r="D940" s="3">
        <v>44777</v>
      </c>
      <c r="E940" s="2">
        <v>4.9108436338278598E-2</v>
      </c>
      <c r="F940" s="2">
        <v>4.9120980061794203E-2</v>
      </c>
      <c r="G940" s="2">
        <v>4.9114708E-2</v>
      </c>
      <c r="H940" s="2">
        <v>0.19044716995505401</v>
      </c>
      <c r="I940" s="2">
        <v>0.19050159068828201</v>
      </c>
      <c r="J940" s="2">
        <v>0.19047438</v>
      </c>
      <c r="K940">
        <f t="shared" si="70"/>
        <v>1.6109617435919876E-2</v>
      </c>
      <c r="L940">
        <f t="shared" si="71"/>
        <v>9.5237126086118451E-3</v>
      </c>
      <c r="M940" s="1">
        <f t="shared" si="72"/>
        <v>1.2663591478320933E-2</v>
      </c>
      <c r="N940" s="1">
        <f t="shared" si="73"/>
        <v>2.5539647951496204E-4</v>
      </c>
      <c r="O940" s="1">
        <f t="shared" si="74"/>
        <v>2.8571156513545581E-4</v>
      </c>
    </row>
    <row r="941" spans="4:15" x14ac:dyDescent="0.25">
      <c r="D941" s="5">
        <v>44776</v>
      </c>
      <c r="E941" s="4">
        <v>4.8330191870861697E-2</v>
      </c>
      <c r="F941" s="4">
        <v>4.8341873731025803E-2</v>
      </c>
      <c r="G941" s="4">
        <v>4.8336033E-2</v>
      </c>
      <c r="H941" s="4">
        <v>0.18864365214110501</v>
      </c>
      <c r="I941" s="4">
        <v>0.18871129059651601</v>
      </c>
      <c r="J941" s="4">
        <v>0.18867747000000001</v>
      </c>
      <c r="K941">
        <f t="shared" si="70"/>
        <v>-9.9571987436444243E-3</v>
      </c>
      <c r="L941">
        <f t="shared" si="71"/>
        <v>-1.1716874773032959E-2</v>
      </c>
      <c r="M941" s="1">
        <f t="shared" si="72"/>
        <v>-1.0877936202390259E-2</v>
      </c>
      <c r="N941" s="1">
        <f t="shared" si="73"/>
        <v>2.4168015948073575E-4</v>
      </c>
      <c r="O941" s="1">
        <f t="shared" si="74"/>
        <v>3.5848718668421534E-4</v>
      </c>
    </row>
    <row r="942" spans="4:15" x14ac:dyDescent="0.25">
      <c r="D942" s="3">
        <v>44775</v>
      </c>
      <c r="E942" s="2">
        <v>4.8815730380958003E-2</v>
      </c>
      <c r="F942" s="2">
        <v>4.8828601841814902E-2</v>
      </c>
      <c r="G942" s="2">
        <v>4.8822165000000001E-2</v>
      </c>
      <c r="H942" s="2">
        <v>0.19089433998281999</v>
      </c>
      <c r="I942" s="2">
        <v>0.19093443311566799</v>
      </c>
      <c r="J942" s="2">
        <v>0.19091438999999999</v>
      </c>
      <c r="K942">
        <f t="shared" si="70"/>
        <v>-1.0228195333122692E-2</v>
      </c>
      <c r="L942">
        <f t="shared" si="71"/>
        <v>-1.9072288049779118E-2</v>
      </c>
      <c r="M942" s="1">
        <f t="shared" si="72"/>
        <v>-1.4855801390628863E-2</v>
      </c>
      <c r="N942" s="1">
        <f t="shared" si="73"/>
        <v>2.6363969842179032E-4</v>
      </c>
      <c r="O942" s="1">
        <f t="shared" si="74"/>
        <v>2.1000581908991472E-4</v>
      </c>
    </row>
    <row r="943" spans="4:15" x14ac:dyDescent="0.25">
      <c r="D943" s="5">
        <v>44774</v>
      </c>
      <c r="E943" s="4">
        <v>4.93193923850858E-2</v>
      </c>
      <c r="F943" s="4">
        <v>4.9333991119881598E-2</v>
      </c>
      <c r="G943" s="4">
        <v>4.9326688E-2</v>
      </c>
      <c r="H943" s="4">
        <v>0.19459417385043501</v>
      </c>
      <c r="I943" s="4">
        <v>0.194658568870202</v>
      </c>
      <c r="J943" s="4">
        <v>0.19462636</v>
      </c>
      <c r="K943">
        <f t="shared" si="70"/>
        <v>4.3160187371977798E-3</v>
      </c>
      <c r="L943">
        <f t="shared" si="71"/>
        <v>1.1677575554568165E-2</v>
      </c>
      <c r="M943" s="1">
        <f t="shared" si="72"/>
        <v>8.1678988578777097E-3</v>
      </c>
      <c r="N943" s="1">
        <f t="shared" si="73"/>
        <v>2.9596016654915506E-4</v>
      </c>
      <c r="O943" s="1">
        <f t="shared" si="74"/>
        <v>3.3086484157124693E-4</v>
      </c>
    </row>
    <row r="944" spans="4:15" x14ac:dyDescent="0.25">
      <c r="D944" s="3">
        <v>44771</v>
      </c>
      <c r="E944" s="2">
        <v>4.9110848095235797E-2</v>
      </c>
      <c r="F944" s="2">
        <v>4.91185673096287E-2</v>
      </c>
      <c r="G944" s="2">
        <v>4.9114708E-2</v>
      </c>
      <c r="H944" s="2">
        <v>0.19235948139883799</v>
      </c>
      <c r="I944" s="2">
        <v>0.19240019240019199</v>
      </c>
      <c r="J944" s="2">
        <v>0.19237983</v>
      </c>
      <c r="K944">
        <f t="shared" si="70"/>
        <v>7.2442161492847212E-4</v>
      </c>
      <c r="L944">
        <f t="shared" si="71"/>
        <v>4.0976070586484781E-3</v>
      </c>
      <c r="M944" s="1">
        <f t="shared" si="72"/>
        <v>2.4894159328930324E-3</v>
      </c>
      <c r="N944" s="1">
        <f t="shared" si="73"/>
        <v>1.5716706272390988E-4</v>
      </c>
      <c r="O944" s="1">
        <f t="shared" si="74"/>
        <v>2.1161782580844923E-4</v>
      </c>
    </row>
    <row r="945" spans="4:15" x14ac:dyDescent="0.25">
      <c r="D945" s="5">
        <v>44770</v>
      </c>
      <c r="E945" s="4">
        <v>4.9072288388024403E-2</v>
      </c>
      <c r="F945" s="4">
        <v>4.90860183385365E-2</v>
      </c>
      <c r="G945" s="4">
        <v>4.9079154E-2</v>
      </c>
      <c r="H945" s="4">
        <v>0.19157455123661399</v>
      </c>
      <c r="I945" s="4">
        <v>0.191614930635395</v>
      </c>
      <c r="J945" s="4">
        <v>0.19159475000000001</v>
      </c>
      <c r="K945">
        <f t="shared" si="70"/>
        <v>8.2699074132186468E-3</v>
      </c>
      <c r="L945">
        <f t="shared" si="71"/>
        <v>1.7329806705757234E-2</v>
      </c>
      <c r="M945" s="1">
        <f t="shared" si="72"/>
        <v>1.3010432664337648E-2</v>
      </c>
      <c r="N945" s="1">
        <f t="shared" si="73"/>
        <v>2.7975116506891363E-4</v>
      </c>
      <c r="O945" s="1">
        <f t="shared" si="74"/>
        <v>2.1075420271701213E-4</v>
      </c>
    </row>
    <row r="946" spans="4:15" x14ac:dyDescent="0.25">
      <c r="D946" s="3">
        <v>44769</v>
      </c>
      <c r="E946" s="2">
        <v>4.8671511104405298E-2</v>
      </c>
      <c r="F946" s="2">
        <v>4.8681699575495598E-2</v>
      </c>
      <c r="G946" s="2">
        <v>4.8676602999999999E-2</v>
      </c>
      <c r="H946" s="2">
        <v>0.18830618585820499</v>
      </c>
      <c r="I946" s="2">
        <v>0.188355841856435</v>
      </c>
      <c r="J946" s="2">
        <v>0.18833100999999999</v>
      </c>
      <c r="K946">
        <f t="shared" si="70"/>
        <v>-5.8533955416807393E-3</v>
      </c>
      <c r="L946">
        <f t="shared" si="71"/>
        <v>8.1830319096540816E-3</v>
      </c>
      <c r="M946" s="1">
        <f t="shared" si="72"/>
        <v>1.4910612364815415E-3</v>
      </c>
      <c r="N946" s="1">
        <f t="shared" si="73"/>
        <v>2.0930941073065364E-4</v>
      </c>
      <c r="O946" s="1">
        <f t="shared" si="74"/>
        <v>2.6366342021958154E-4</v>
      </c>
    </row>
    <row r="947" spans="4:15" x14ac:dyDescent="0.25">
      <c r="D947" s="5">
        <v>44768</v>
      </c>
      <c r="E947" s="4">
        <v>4.8958170139432898E-2</v>
      </c>
      <c r="F947" s="4">
        <v>4.89682392000549E-2</v>
      </c>
      <c r="G947" s="4">
        <v>4.8963204000000003E-2</v>
      </c>
      <c r="H947" s="4">
        <v>0.18675880100849801</v>
      </c>
      <c r="I947" s="4">
        <v>0.18684603886397599</v>
      </c>
      <c r="J947" s="4">
        <v>0.18680240000000001</v>
      </c>
      <c r="K947">
        <f t="shared" si="70"/>
        <v>3.2804879263217401E-3</v>
      </c>
      <c r="L947">
        <f t="shared" si="71"/>
        <v>1.1478947321683641E-2</v>
      </c>
      <c r="M947" s="1">
        <f t="shared" si="72"/>
        <v>7.5702711268916152E-3</v>
      </c>
      <c r="N947" s="1">
        <f t="shared" si="73"/>
        <v>2.0564546025219087E-4</v>
      </c>
      <c r="O947" s="1">
        <f t="shared" si="74"/>
        <v>4.6700607421523498E-4</v>
      </c>
    </row>
    <row r="948" spans="4:15" x14ac:dyDescent="0.25">
      <c r="D948" s="3">
        <v>44767</v>
      </c>
      <c r="E948" s="2">
        <v>4.87971502464256E-2</v>
      </c>
      <c r="F948" s="2">
        <v>4.8809058961343202E-2</v>
      </c>
      <c r="G948" s="2">
        <v>4.8803105999999999E-2</v>
      </c>
      <c r="H948" s="2">
        <v>0.184658566310891</v>
      </c>
      <c r="I948" s="2">
        <v>0.18470631695604001</v>
      </c>
      <c r="J948" s="2">
        <v>0.18468244</v>
      </c>
      <c r="K948">
        <f t="shared" si="70"/>
        <v>1.0248775771160012E-3</v>
      </c>
      <c r="L948">
        <f t="shared" si="71"/>
        <v>5.7251733801981786E-3</v>
      </c>
      <c r="M948" s="1">
        <f t="shared" si="72"/>
        <v>3.4842725684698559E-3</v>
      </c>
      <c r="N948" s="1">
        <f t="shared" si="73"/>
        <v>2.4401551240616241E-4</v>
      </c>
      <c r="O948" s="1">
        <f t="shared" si="74"/>
        <v>2.5855541625399172E-4</v>
      </c>
    </row>
    <row r="949" spans="4:15" x14ac:dyDescent="0.25">
      <c r="D949" s="5">
        <v>44764</v>
      </c>
      <c r="E949" s="4">
        <v>4.8747197036170399E-2</v>
      </c>
      <c r="F949" s="4">
        <v>4.8759081378906798E-2</v>
      </c>
      <c r="G949" s="4">
        <v>4.875314E-2</v>
      </c>
      <c r="H949" s="4">
        <v>0.183607520564042</v>
      </c>
      <c r="I949" s="4">
        <v>0.18365472910927499</v>
      </c>
      <c r="J949" s="4">
        <v>0.18363112000000001</v>
      </c>
      <c r="K949">
        <f t="shared" si="70"/>
        <v>8.3490056871358131E-3</v>
      </c>
      <c r="L949">
        <f t="shared" si="71"/>
        <v>7.2809794333930089E-3</v>
      </c>
      <c r="M949" s="1">
        <f t="shared" si="72"/>
        <v>7.7901688544907179E-3</v>
      </c>
      <c r="N949" s="1">
        <f t="shared" si="73"/>
        <v>2.4376568845408707E-4</v>
      </c>
      <c r="O949" s="1">
        <f t="shared" si="74"/>
        <v>2.5708357729882969E-4</v>
      </c>
    </row>
    <row r="950" spans="4:15" x14ac:dyDescent="0.25">
      <c r="D950" s="3">
        <v>44763</v>
      </c>
      <c r="E950" s="2">
        <v>4.8343042227647397E-2</v>
      </c>
      <c r="F950" s="2">
        <v>4.8355899419729197E-2</v>
      </c>
      <c r="G950" s="2">
        <v>4.8349469999999999E-2</v>
      </c>
      <c r="H950" s="2">
        <v>0.18228549554312001</v>
      </c>
      <c r="I950" s="2">
        <v>0.18232205367561299</v>
      </c>
      <c r="J950" s="2">
        <v>0.18230377</v>
      </c>
      <c r="K950">
        <f t="shared" si="70"/>
        <v>-1.0068745183373751E-2</v>
      </c>
      <c r="L950">
        <f t="shared" si="71"/>
        <v>-8.9967427489199281E-3</v>
      </c>
      <c r="M950" s="1">
        <f t="shared" si="72"/>
        <v>-9.5078278435999364E-3</v>
      </c>
      <c r="N950" s="1">
        <f t="shared" si="73"/>
        <v>2.659220893589923E-4</v>
      </c>
      <c r="O950" s="1">
        <f t="shared" si="74"/>
        <v>2.0053415512460821E-4</v>
      </c>
    </row>
    <row r="951" spans="4:15" x14ac:dyDescent="0.25">
      <c r="D951" s="5">
        <v>44762</v>
      </c>
      <c r="E951" s="4">
        <v>4.8835278605264397E-2</v>
      </c>
      <c r="F951" s="4">
        <v>4.8847205939820199E-2</v>
      </c>
      <c r="G951" s="4">
        <v>4.8841240000000001E-2</v>
      </c>
      <c r="H951" s="4">
        <v>0.18393849096862</v>
      </c>
      <c r="I951" s="4">
        <v>0.183979099974243</v>
      </c>
      <c r="J951" s="4">
        <v>0.18395880000000001</v>
      </c>
      <c r="K951">
        <f t="shared" si="70"/>
        <v>-3.0281943572093573E-3</v>
      </c>
      <c r="L951">
        <f t="shared" si="71"/>
        <v>-8.1401406405635646E-3</v>
      </c>
      <c r="M951" s="1">
        <f t="shared" si="72"/>
        <v>-5.7029824156773195E-3</v>
      </c>
      <c r="N951" s="1">
        <f t="shared" si="73"/>
        <v>2.4420621908456013E-4</v>
      </c>
      <c r="O951" s="1">
        <f t="shared" si="74"/>
        <v>2.2075054644300285E-4</v>
      </c>
    </row>
    <row r="952" spans="4:15" x14ac:dyDescent="0.25">
      <c r="D952" s="3">
        <v>44761</v>
      </c>
      <c r="E952" s="2">
        <v>4.8982870690119702E-2</v>
      </c>
      <c r="F952" s="2">
        <v>4.89963105778135E-2</v>
      </c>
      <c r="G952" s="2">
        <v>4.898959E-2</v>
      </c>
      <c r="H952" s="2">
        <v>0.18544962261001799</v>
      </c>
      <c r="I952" s="2">
        <v>0.185487461047633</v>
      </c>
      <c r="J952" s="2">
        <v>0.18546853999999999</v>
      </c>
      <c r="K952">
        <f t="shared" si="70"/>
        <v>-7.9606564492340492E-4</v>
      </c>
      <c r="L952">
        <f t="shared" si="71"/>
        <v>-6.5377157076049741E-3</v>
      </c>
      <c r="M952" s="1">
        <f t="shared" si="72"/>
        <v>-3.8003415453903263E-3</v>
      </c>
      <c r="N952" s="1">
        <f t="shared" si="73"/>
        <v>2.7434170593788291E-4</v>
      </c>
      <c r="O952" s="1">
        <f t="shared" si="74"/>
        <v>2.0401539589955282E-4</v>
      </c>
    </row>
    <row r="953" spans="4:15" x14ac:dyDescent="0.25">
      <c r="D953" s="5">
        <v>44760</v>
      </c>
      <c r="E953" s="4">
        <v>4.9022972164756401E-2</v>
      </c>
      <c r="F953" s="4">
        <v>4.9034270051338903E-2</v>
      </c>
      <c r="G953" s="4">
        <v>4.9028620000000002E-2</v>
      </c>
      <c r="H953" s="4">
        <v>0.186668160011947</v>
      </c>
      <c r="I953" s="4">
        <v>0.186709983382811</v>
      </c>
      <c r="J953" s="4">
        <v>0.18668905999999999</v>
      </c>
      <c r="K953">
        <f t="shared" si="70"/>
        <v>1.0823100772189287E-2</v>
      </c>
      <c r="L953">
        <f t="shared" si="71"/>
        <v>4.9005092888767532E-3</v>
      </c>
      <c r="M953" s="1">
        <f t="shared" si="72"/>
        <v>7.7241486125523701E-3</v>
      </c>
      <c r="N953" s="1">
        <f t="shared" si="73"/>
        <v>2.3043452135716337E-4</v>
      </c>
      <c r="O953" s="1">
        <f t="shared" si="74"/>
        <v>2.2402689725901757E-4</v>
      </c>
    </row>
    <row r="954" spans="4:15" x14ac:dyDescent="0.25">
      <c r="D954" s="3">
        <v>44757</v>
      </c>
      <c r="E954" s="2">
        <v>4.8498486847210399E-2</v>
      </c>
      <c r="F954" s="2">
        <v>4.8508838310340099E-2</v>
      </c>
      <c r="G954" s="2">
        <v>4.8503659999999997E-2</v>
      </c>
      <c r="H954" s="2">
        <v>0.18576656573349901</v>
      </c>
      <c r="I954" s="2">
        <v>0.18579072532699201</v>
      </c>
      <c r="J954" s="2">
        <v>0.18577864999999999</v>
      </c>
      <c r="K954">
        <f t="shared" si="70"/>
        <v>1.5860682183797215E-2</v>
      </c>
      <c r="L954">
        <f t="shared" si="71"/>
        <v>1.1443968983321007E-2</v>
      </c>
      <c r="M954" s="1">
        <f t="shared" si="72"/>
        <v>1.354966969041867E-2</v>
      </c>
      <c r="N954" s="1">
        <f t="shared" si="73"/>
        <v>2.1341612426155012E-4</v>
      </c>
      <c r="O954" s="1">
        <f t="shared" si="74"/>
        <v>1.300450481957995E-4</v>
      </c>
    </row>
    <row r="955" spans="4:15" x14ac:dyDescent="0.25">
      <c r="D955" s="5">
        <v>44756</v>
      </c>
      <c r="E955" s="4">
        <v>4.7739761014756403E-2</v>
      </c>
      <c r="F955" s="4">
        <v>4.77529833676359E-2</v>
      </c>
      <c r="G955" s="4">
        <v>4.7746370000000003E-2</v>
      </c>
      <c r="H955" s="4">
        <v>0.18364123847651201</v>
      </c>
      <c r="I955" s="4">
        <v>0.183712086418165</v>
      </c>
      <c r="J955" s="4">
        <v>0.18367665999999999</v>
      </c>
      <c r="K955">
        <f t="shared" si="70"/>
        <v>-9.5374173559495956E-3</v>
      </c>
      <c r="L955">
        <f t="shared" si="71"/>
        <v>-1.2242064679638953E-2</v>
      </c>
      <c r="M955" s="1">
        <f t="shared" si="72"/>
        <v>-1.0952604050561103E-2</v>
      </c>
      <c r="N955" s="1">
        <f t="shared" si="73"/>
        <v>2.7692896610772064E-4</v>
      </c>
      <c r="O955" s="1">
        <f t="shared" si="74"/>
        <v>3.8572098193091368E-4</v>
      </c>
    </row>
    <row r="956" spans="4:15" x14ac:dyDescent="0.25">
      <c r="D956" s="3">
        <v>44755</v>
      </c>
      <c r="E956" s="2">
        <v>4.8199275082902802E-2</v>
      </c>
      <c r="F956" s="2">
        <v>4.8212985685564501E-2</v>
      </c>
      <c r="G956" s="2">
        <v>4.8206131999999999E-2</v>
      </c>
      <c r="H956" s="2">
        <v>0.18592890078833901</v>
      </c>
      <c r="I956" s="2">
        <v>0.18597731076808599</v>
      </c>
      <c r="J956" s="2">
        <v>0.18595311</v>
      </c>
      <c r="K956">
        <f t="shared" si="70"/>
        <v>5.4835266223383083E-3</v>
      </c>
      <c r="L956">
        <f t="shared" si="71"/>
        <v>8.563124500710062E-3</v>
      </c>
      <c r="M956" s="1">
        <f t="shared" si="72"/>
        <v>7.0949034196209175E-3</v>
      </c>
      <c r="N956" s="1">
        <f t="shared" si="73"/>
        <v>2.8441615398012922E-4</v>
      </c>
      <c r="O956" s="1">
        <f t="shared" si="74"/>
        <v>2.6033433776384405E-4</v>
      </c>
    </row>
    <row r="957" spans="4:15" x14ac:dyDescent="0.25">
      <c r="D957" s="5">
        <v>44754</v>
      </c>
      <c r="E957" s="4">
        <v>4.7938178924459E-2</v>
      </c>
      <c r="F957" s="4">
        <v>4.7948292561301897E-2</v>
      </c>
      <c r="G957" s="4">
        <v>4.7943234000000001E-2</v>
      </c>
      <c r="H957" s="4">
        <v>0.18435558505244901</v>
      </c>
      <c r="I957" s="4">
        <v>0.18439297831538601</v>
      </c>
      <c r="J957" s="4">
        <v>0.18437429</v>
      </c>
      <c r="K957">
        <f t="shared" si="70"/>
        <v>-3.595750026061828E-3</v>
      </c>
      <c r="L957">
        <f t="shared" si="71"/>
        <v>-1.2712509932485072E-2</v>
      </c>
      <c r="M957" s="1">
        <f t="shared" si="72"/>
        <v>-8.3660271725618691E-3</v>
      </c>
      <c r="N957" s="1">
        <f t="shared" si="73"/>
        <v>2.1095024259099743E-4</v>
      </c>
      <c r="O957" s="1">
        <f t="shared" si="74"/>
        <v>2.0281169862133261E-4</v>
      </c>
    </row>
    <row r="958" spans="4:15" x14ac:dyDescent="0.25">
      <c r="D958" s="3">
        <v>44753</v>
      </c>
      <c r="E958" s="2">
        <v>4.8110693082644498E-2</v>
      </c>
      <c r="F958" s="2">
        <v>4.8121805915132397E-2</v>
      </c>
      <c r="G958" s="2">
        <v>4.8116248E-2</v>
      </c>
      <c r="H958" s="2">
        <v>0.18673090209698801</v>
      </c>
      <c r="I958" s="2">
        <v>0.18676577703901501</v>
      </c>
      <c r="J958" s="2">
        <v>0.18674832999999999</v>
      </c>
      <c r="K958">
        <f t="shared" si="70"/>
        <v>-1.7947370365373638E-2</v>
      </c>
      <c r="L958">
        <f t="shared" si="71"/>
        <v>-1.2801658529189797E-2</v>
      </c>
      <c r="M958" s="1">
        <f t="shared" si="72"/>
        <v>-1.5254914731291595E-2</v>
      </c>
      <c r="N958" s="1">
        <f t="shared" si="73"/>
        <v>2.3095800171074609E-4</v>
      </c>
      <c r="O958" s="1">
        <f t="shared" si="74"/>
        <v>1.8674834750598442E-4</v>
      </c>
    </row>
    <row r="959" spans="4:15" x14ac:dyDescent="0.25">
      <c r="D959" s="5">
        <v>44750</v>
      </c>
      <c r="E959" s="4">
        <v>4.8990309716737998E-2</v>
      </c>
      <c r="F959" s="4">
        <v>4.9000872215525397E-2</v>
      </c>
      <c r="G959" s="4">
        <v>4.8995589999999999E-2</v>
      </c>
      <c r="H959" s="4">
        <v>0.18914318138831099</v>
      </c>
      <c r="I959" s="4">
        <v>0.18919685933213501</v>
      </c>
      <c r="J959" s="4">
        <v>0.18917001999999999</v>
      </c>
      <c r="K959">
        <f t="shared" si="70"/>
        <v>1.0338070368874464E-2</v>
      </c>
      <c r="L959">
        <f t="shared" si="71"/>
        <v>9.6004091984689399E-3</v>
      </c>
      <c r="M959" s="1">
        <f t="shared" si="72"/>
        <v>9.9520946210030371E-3</v>
      </c>
      <c r="N959" s="1">
        <f t="shared" si="73"/>
        <v>2.1558060199701554E-4</v>
      </c>
      <c r="O959" s="1">
        <f t="shared" si="74"/>
        <v>2.837550253682952E-4</v>
      </c>
    </row>
    <row r="960" spans="4:15" x14ac:dyDescent="0.25">
      <c r="D960" s="3">
        <v>44749</v>
      </c>
      <c r="E960" s="2">
        <v>4.8487199379363799E-2</v>
      </c>
      <c r="F960" s="2">
        <v>4.8501309535357501E-2</v>
      </c>
      <c r="G960" s="2">
        <v>4.8494253000000001E-2</v>
      </c>
      <c r="H960" s="2">
        <v>0.187353629976581</v>
      </c>
      <c r="I960" s="2">
        <v>0.18738873793685001</v>
      </c>
      <c r="J960" s="2">
        <v>0.18737118</v>
      </c>
      <c r="K960">
        <f t="shared" si="70"/>
        <v>6.0617528743167615E-3</v>
      </c>
      <c r="L960">
        <f t="shared" si="71"/>
        <v>1.8090678777542557E-2</v>
      </c>
      <c r="M960" s="1">
        <f t="shared" si="72"/>
        <v>1.2355799325257317E-2</v>
      </c>
      <c r="N960" s="1">
        <f t="shared" si="73"/>
        <v>2.9096552933193551E-4</v>
      </c>
      <c r="O960" s="1">
        <f t="shared" si="74"/>
        <v>1.8737118626786491E-4</v>
      </c>
    </row>
    <row r="961" spans="4:15" x14ac:dyDescent="0.25">
      <c r="D961" s="5">
        <v>44748</v>
      </c>
      <c r="E961" s="4">
        <v>4.8195790579650802E-2</v>
      </c>
      <c r="F961" s="4">
        <v>4.8208337149826697E-2</v>
      </c>
      <c r="G961" s="4">
        <v>4.8202064000000003E-2</v>
      </c>
      <c r="H961" s="4">
        <v>0.18401634065104999</v>
      </c>
      <c r="I961" s="4">
        <v>0.18406714769547899</v>
      </c>
      <c r="J961" s="4">
        <v>0.18404174000000001</v>
      </c>
      <c r="K961">
        <f t="shared" si="70"/>
        <v>-8.0015245663972445E-3</v>
      </c>
      <c r="L961">
        <f t="shared" si="71"/>
        <v>-6.8647853037234752E-3</v>
      </c>
      <c r="M961" s="1">
        <f t="shared" si="72"/>
        <v>-7.4067341603845215E-3</v>
      </c>
      <c r="N961" s="1">
        <f t="shared" si="73"/>
        <v>2.6029113972992479E-4</v>
      </c>
      <c r="O961" s="1">
        <f t="shared" si="74"/>
        <v>2.7606261725737909E-4</v>
      </c>
    </row>
    <row r="962" spans="4:15" x14ac:dyDescent="0.25">
      <c r="D962" s="3">
        <v>44747</v>
      </c>
      <c r="E962" s="2">
        <v>4.8585671113875101E-2</v>
      </c>
      <c r="F962" s="2">
        <v>4.8596059831468898E-2</v>
      </c>
      <c r="G962" s="2">
        <v>4.8590864999999997E-2</v>
      </c>
      <c r="H962" s="2">
        <v>0.18528812303131401</v>
      </c>
      <c r="I962" s="2">
        <v>0.18533963488091901</v>
      </c>
      <c r="J962" s="2">
        <v>0.18531387999999999</v>
      </c>
      <c r="K962">
        <f t="shared" si="70"/>
        <v>-1.4066998626028782E-2</v>
      </c>
      <c r="L962">
        <f t="shared" si="71"/>
        <v>-1.9152147271346065E-2</v>
      </c>
      <c r="M962" s="1">
        <f t="shared" si="72"/>
        <v>-1.6727765018727345E-2</v>
      </c>
      <c r="N962" s="1">
        <f t="shared" si="73"/>
        <v>2.1379980771688153E-4</v>
      </c>
      <c r="O962" s="1">
        <f t="shared" si="74"/>
        <v>2.7797081149561788E-4</v>
      </c>
    </row>
    <row r="963" spans="4:15" x14ac:dyDescent="0.25">
      <c r="D963" s="5">
        <v>44746</v>
      </c>
      <c r="E963" s="4">
        <v>4.9275405167018997E-2</v>
      </c>
      <c r="F963" s="4">
        <v>4.9292893443552199E-2</v>
      </c>
      <c r="G963" s="4">
        <v>4.9284145000000001E-2</v>
      </c>
      <c r="H963" s="4">
        <v>0.188910928497214</v>
      </c>
      <c r="I963" s="4">
        <v>0.18895376301419001</v>
      </c>
      <c r="J963" s="4">
        <v>0.18893234</v>
      </c>
      <c r="K963">
        <f t="shared" si="70"/>
        <v>5.5444132505244603E-3</v>
      </c>
      <c r="L963">
        <f t="shared" si="71"/>
        <v>6.4237088819241173E-3</v>
      </c>
      <c r="M963" s="1">
        <f t="shared" si="72"/>
        <v>6.0044981818527347E-3</v>
      </c>
      <c r="N963" s="1">
        <f t="shared" si="73"/>
        <v>3.5484589482483907E-4</v>
      </c>
      <c r="O963" s="1">
        <f t="shared" si="74"/>
        <v>2.2671881889574412E-4</v>
      </c>
    </row>
    <row r="964" spans="4:15" x14ac:dyDescent="0.25">
      <c r="D964" s="3">
        <v>44743</v>
      </c>
      <c r="E964" s="2">
        <v>4.9003993825496799E-2</v>
      </c>
      <c r="F964" s="2">
        <v>4.90208093335621E-2</v>
      </c>
      <c r="G964" s="2">
        <v>4.9012399999999998E-2</v>
      </c>
      <c r="H964" s="2">
        <v>0.18769473328578401</v>
      </c>
      <c r="I964" s="2">
        <v>0.18775816748028501</v>
      </c>
      <c r="J964" s="2">
        <v>0.18772643999999999</v>
      </c>
      <c r="K964">
        <f t="shared" si="70"/>
        <v>-1.1138023321150659E-2</v>
      </c>
      <c r="L964">
        <f t="shared" si="71"/>
        <v>-1.8293975621350156E-2</v>
      </c>
      <c r="M964" s="1">
        <f t="shared" si="72"/>
        <v>-1.4882322399931433E-2</v>
      </c>
      <c r="N964" s="1">
        <f t="shared" si="73"/>
        <v>3.4308681201699004E-4</v>
      </c>
      <c r="O964" s="1">
        <f t="shared" si="74"/>
        <v>3.3790761973113509E-4</v>
      </c>
    </row>
    <row r="965" spans="4:15" x14ac:dyDescent="0.25">
      <c r="D965" s="5">
        <v>44742</v>
      </c>
      <c r="E965" s="4">
        <v>4.9559908016810698E-2</v>
      </c>
      <c r="F965" s="4">
        <v>4.9568997566162197E-2</v>
      </c>
      <c r="G965" s="4">
        <v>4.9564450000000003E-2</v>
      </c>
      <c r="H965" s="4">
        <v>0.19121190102871999</v>
      </c>
      <c r="I965" s="4">
        <v>0.19123749784857799</v>
      </c>
      <c r="J965" s="4">
        <v>0.1912247</v>
      </c>
      <c r="K965">
        <f t="shared" si="70"/>
        <v>-1.028509650617071E-3</v>
      </c>
      <c r="L965">
        <f t="shared" si="71"/>
        <v>1.3389184363310491E-4</v>
      </c>
      <c r="M965" s="1">
        <f t="shared" si="72"/>
        <v>-4.2029167186209899E-4</v>
      </c>
      <c r="N965" s="1">
        <f t="shared" si="73"/>
        <v>1.8338848411509939E-4</v>
      </c>
      <c r="O965" s="1">
        <f t="shared" si="74"/>
        <v>1.3385728861388545E-4</v>
      </c>
    </row>
    <row r="966" spans="4:15" x14ac:dyDescent="0.25">
      <c r="D966" s="3">
        <v>44741</v>
      </c>
      <c r="E966" s="2">
        <v>4.9608096041273898E-2</v>
      </c>
      <c r="F966" s="2">
        <v>4.9622866216752701E-2</v>
      </c>
      <c r="G966" s="2">
        <v>4.9615480000000003E-2</v>
      </c>
      <c r="H966" s="2">
        <v>0.19117169129595299</v>
      </c>
      <c r="I966" s="2">
        <v>0.191226526943818</v>
      </c>
      <c r="J966" s="2">
        <v>0.19119910000000001</v>
      </c>
      <c r="K966">
        <f t="shared" si="70"/>
        <v>-8.657949840955137E-3</v>
      </c>
      <c r="L966">
        <f t="shared" si="71"/>
        <v>-2.0171666382371445E-3</v>
      </c>
      <c r="M966" s="1">
        <f t="shared" si="72"/>
        <v>-5.1832091795861908E-3</v>
      </c>
      <c r="N966" s="1">
        <f t="shared" si="73"/>
        <v>2.9769288695387776E-4</v>
      </c>
      <c r="O966" s="1">
        <f t="shared" si="74"/>
        <v>2.8679867146348865E-4</v>
      </c>
    </row>
    <row r="967" spans="4:15" x14ac:dyDescent="0.25">
      <c r="D967" s="5">
        <v>44740</v>
      </c>
      <c r="E967" s="4">
        <v>5.0042536155732398E-2</v>
      </c>
      <c r="F967" s="4">
        <v>5.0055060566623302E-2</v>
      </c>
      <c r="G967" s="4">
        <v>5.0048799999999997E-2</v>
      </c>
      <c r="H967" s="4">
        <v>0.19156721135610399</v>
      </c>
      <c r="I967" s="4">
        <v>0.191603916384051</v>
      </c>
      <c r="J967" s="4">
        <v>0.19158555999999999</v>
      </c>
      <c r="K967">
        <f t="shared" si="70"/>
        <v>-4.4792941845558376E-3</v>
      </c>
      <c r="L967">
        <f t="shared" si="71"/>
        <v>-9.8673032049734211E-4</v>
      </c>
      <c r="M967" s="1">
        <f t="shared" si="72"/>
        <v>-2.6518359916871286E-3</v>
      </c>
      <c r="N967" s="1">
        <f t="shared" si="73"/>
        <v>2.5024397969390883E-4</v>
      </c>
      <c r="O967" s="1">
        <f t="shared" si="74"/>
        <v>1.9158556598422038E-4</v>
      </c>
    </row>
    <row r="968" spans="4:15" x14ac:dyDescent="0.25">
      <c r="D968" s="3">
        <v>44739</v>
      </c>
      <c r="E968" s="2">
        <v>5.0269191520592803E-2</v>
      </c>
      <c r="F968" s="2">
        <v>5.0278795923395202E-2</v>
      </c>
      <c r="G968" s="2">
        <v>5.0273992000000003E-2</v>
      </c>
      <c r="H968" s="2">
        <v>0.191758231222075</v>
      </c>
      <c r="I968" s="2">
        <v>0.19179133103183699</v>
      </c>
      <c r="J968" s="2">
        <v>0.19177479</v>
      </c>
      <c r="K968">
        <f t="shared" si="70"/>
        <v>9.0490386541208778E-4</v>
      </c>
      <c r="L968">
        <f t="shared" si="71"/>
        <v>5.5423257098696777E-3</v>
      </c>
      <c r="M968" s="1">
        <f t="shared" si="72"/>
        <v>3.3314005232554216E-3</v>
      </c>
      <c r="N968" s="1">
        <f t="shared" si="73"/>
        <v>1.9104118094300003E-4</v>
      </c>
      <c r="O968" s="1">
        <f t="shared" si="74"/>
        <v>1.7259729374225017E-4</v>
      </c>
    </row>
    <row r="969" spans="4:15" x14ac:dyDescent="0.25">
      <c r="D969" s="5">
        <v>44736</v>
      </c>
      <c r="E969" s="4">
        <v>5.0223242312077199E-2</v>
      </c>
      <c r="F969" s="4">
        <v>5.0233838518302702E-2</v>
      </c>
      <c r="G969" s="4">
        <v>5.0228540000000002E-2</v>
      </c>
      <c r="H969" s="4">
        <v>0.190705036520014</v>
      </c>
      <c r="I969" s="4">
        <v>0.19073049780659901</v>
      </c>
      <c r="J969" s="4">
        <v>0.19071777000000001</v>
      </c>
      <c r="K969">
        <f t="shared" si="70"/>
        <v>5.726097682930309E-3</v>
      </c>
      <c r="L969">
        <f t="shared" si="71"/>
        <v>-1.2530120332212458E-2</v>
      </c>
      <c r="M969" s="1">
        <f t="shared" si="72"/>
        <v>-3.8263332764284304E-3</v>
      </c>
      <c r="N969" s="1">
        <f t="shared" si="73"/>
        <v>2.1095986914020508E-4</v>
      </c>
      <c r="O969" s="1">
        <f t="shared" si="74"/>
        <v>1.3350243443497752E-4</v>
      </c>
    </row>
    <row r="970" spans="4:15" x14ac:dyDescent="0.25">
      <c r="D970" s="3">
        <v>44735</v>
      </c>
      <c r="E970" s="2">
        <v>4.9933588327524397E-2</v>
      </c>
      <c r="F970" s="2">
        <v>4.9951546999410602E-2</v>
      </c>
      <c r="G970" s="2">
        <v>4.9942564000000002E-2</v>
      </c>
      <c r="H970" s="2">
        <v>0.19308746862328599</v>
      </c>
      <c r="I970" s="2">
        <v>0.193188184610629</v>
      </c>
      <c r="J970" s="2">
        <v>0.19313780999999999</v>
      </c>
      <c r="K970">
        <f t="shared" si="70"/>
        <v>7.9899497205482284E-4</v>
      </c>
      <c r="L970">
        <f t="shared" si="71"/>
        <v>-7.3585508442328695E-3</v>
      </c>
      <c r="M970" s="1">
        <f t="shared" si="72"/>
        <v>-3.4693805010721354E-3</v>
      </c>
      <c r="N970" s="1">
        <f t="shared" si="73"/>
        <v>3.5958650193059508E-4</v>
      </c>
      <c r="O970" s="1">
        <f t="shared" si="74"/>
        <v>5.2147214128095442E-4</v>
      </c>
    </row>
    <row r="971" spans="4:15" x14ac:dyDescent="0.25">
      <c r="D971" s="5">
        <v>44734</v>
      </c>
      <c r="E971" s="4">
        <v>4.9898207656380998E-2</v>
      </c>
      <c r="F971" s="4">
        <v>4.9907172658854498E-2</v>
      </c>
      <c r="G971" s="4">
        <v>4.9902691999999998E-2</v>
      </c>
      <c r="H971" s="4">
        <v>0.19454495934010299</v>
      </c>
      <c r="I971" s="4">
        <v>0.19459417385043501</v>
      </c>
      <c r="J971" s="4">
        <v>0.19456956</v>
      </c>
      <c r="K971">
        <f t="shared" si="70"/>
        <v>7.4355431986155018E-3</v>
      </c>
      <c r="L971">
        <f t="shared" si="71"/>
        <v>-3.2298663068852651E-3</v>
      </c>
      <c r="M971" s="1">
        <f t="shared" si="72"/>
        <v>1.8549466111909411E-3</v>
      </c>
      <c r="N971" s="1">
        <f t="shared" si="73"/>
        <v>1.7964967648439163E-4</v>
      </c>
      <c r="O971" s="1">
        <f t="shared" si="74"/>
        <v>2.5294044110506551E-4</v>
      </c>
    </row>
    <row r="972" spans="4:15" x14ac:dyDescent="0.25">
      <c r="D972" s="3">
        <v>44733</v>
      </c>
      <c r="E972" s="2">
        <v>4.9526526407543903E-2</v>
      </c>
      <c r="F972" s="2">
        <v>4.9542229796678702E-2</v>
      </c>
      <c r="G972" s="2">
        <v>4.9534376999999997E-2</v>
      </c>
      <c r="H972" s="2">
        <v>0.19517526739011601</v>
      </c>
      <c r="I972" s="2">
        <v>0.19522480135876499</v>
      </c>
      <c r="J972" s="2">
        <v>0.19520003</v>
      </c>
      <c r="K972">
        <f t="shared" si="70"/>
        <v>2.6501590475966896E-3</v>
      </c>
      <c r="L972">
        <f t="shared" si="71"/>
        <v>5.5338868988845658E-3</v>
      </c>
      <c r="M972" s="1">
        <f t="shared" si="72"/>
        <v>4.1590483028717193E-3</v>
      </c>
      <c r="N972" s="1">
        <f t="shared" si="73"/>
        <v>3.1702001894158533E-4</v>
      </c>
      <c r="O972" s="1">
        <f t="shared" si="74"/>
        <v>2.5376004629192348E-4</v>
      </c>
    </row>
    <row r="973" spans="4:15" x14ac:dyDescent="0.25">
      <c r="D973" s="5">
        <v>44732</v>
      </c>
      <c r="E973" s="4">
        <v>4.9395400300324001E-2</v>
      </c>
      <c r="F973" s="4">
        <v>4.9411508928659698E-2</v>
      </c>
      <c r="G973" s="4">
        <v>4.9403450000000002E-2</v>
      </c>
      <c r="H973" s="4">
        <v>0.194099378881988</v>
      </c>
      <c r="I973" s="4">
        <v>0.194152137615035</v>
      </c>
      <c r="J973" s="4">
        <v>0.19412576000000001</v>
      </c>
      <c r="K973">
        <f t="shared" si="70"/>
        <v>1.4771577518225332E-2</v>
      </c>
      <c r="L973">
        <f t="shared" si="71"/>
        <v>-4.0183884806128667E-3</v>
      </c>
      <c r="M973" s="1">
        <f t="shared" si="72"/>
        <v>4.9398668767485056E-3</v>
      </c>
      <c r="N973" s="1">
        <f t="shared" si="73"/>
        <v>3.2606282224615409E-4</v>
      </c>
      <c r="O973" s="1">
        <f t="shared" si="74"/>
        <v>2.7177605407442099E-4</v>
      </c>
    </row>
    <row r="974" spans="4:15" x14ac:dyDescent="0.25">
      <c r="D974" s="3">
        <v>44729</v>
      </c>
      <c r="E974" s="2">
        <v>4.8678855852172E-2</v>
      </c>
      <c r="F974" s="2">
        <v>4.8689758596176899E-2</v>
      </c>
      <c r="G974" s="2">
        <v>4.8684305999999997E-2</v>
      </c>
      <c r="H974" s="2">
        <v>0.19489758132101601</v>
      </c>
      <c r="I974" s="2">
        <v>0.19492037502680201</v>
      </c>
      <c r="J974" s="2">
        <v>0.19490898000000001</v>
      </c>
      <c r="K974">
        <f t="shared" si="70"/>
        <v>6.8644377773723342E-3</v>
      </c>
      <c r="L974">
        <f t="shared" si="71"/>
        <v>-1.4569442806910748E-2</v>
      </c>
      <c r="M974" s="1">
        <f t="shared" si="72"/>
        <v>-4.3506816029218742E-3</v>
      </c>
      <c r="N974" s="1">
        <f t="shared" si="73"/>
        <v>2.2394781605594811E-4</v>
      </c>
      <c r="O974" s="1">
        <f t="shared" si="74"/>
        <v>1.1694538541018554E-4</v>
      </c>
    </row>
    <row r="975" spans="4:15" x14ac:dyDescent="0.25">
      <c r="D975" s="5">
        <v>44728</v>
      </c>
      <c r="E975" s="4">
        <v>4.8348184283939201E-2</v>
      </c>
      <c r="F975" s="4">
        <v>4.8356600917808301E-2</v>
      </c>
      <c r="G975" s="4">
        <v>4.8352394E-2</v>
      </c>
      <c r="H975" s="4">
        <v>0.19772223979753201</v>
      </c>
      <c r="I975" s="4">
        <v>0.197859163847174</v>
      </c>
      <c r="J975" s="4">
        <v>0.19779068</v>
      </c>
      <c r="K975">
        <f t="shared" si="70"/>
        <v>-3.8678051232365895E-4</v>
      </c>
      <c r="L975">
        <f t="shared" si="71"/>
        <v>1.2520212964841848E-2</v>
      </c>
      <c r="M975" s="1">
        <f t="shared" si="72"/>
        <v>6.3667082979682963E-3</v>
      </c>
      <c r="N975" s="1">
        <f t="shared" si="73"/>
        <v>1.7406860700837777E-4</v>
      </c>
      <c r="O975" s="1">
        <f t="shared" si="74"/>
        <v>6.9226744982117184E-4</v>
      </c>
    </row>
    <row r="976" spans="4:15" x14ac:dyDescent="0.25">
      <c r="D976" s="3">
        <v>44727</v>
      </c>
      <c r="E976" s="2">
        <v>4.8363850923265901E-2</v>
      </c>
      <c r="F976" s="2">
        <v>4.8378357458007601E-2</v>
      </c>
      <c r="G976" s="2">
        <v>4.8371102999999999E-2</v>
      </c>
      <c r="H976" s="2">
        <v>0.19532394476238801</v>
      </c>
      <c r="I976" s="2">
        <v>0.195365920368851</v>
      </c>
      <c r="J976" s="2">
        <v>0.19534492000000001</v>
      </c>
      <c r="K976">
        <f t="shared" ref="K976:K1039" si="75">G976/G977-1</f>
        <v>-2.5878306860414035E-3</v>
      </c>
      <c r="L976">
        <f t="shared" ref="L976:L1039" si="76">J976/J977-1</f>
        <v>5.8566508926105598E-5</v>
      </c>
      <c r="M976" s="1">
        <f t="shared" ref="M976:M1039" si="77">SUMPRODUCT(K976:L976,$O$11:$P$11)</f>
        <v>-1.2031229401654802E-3</v>
      </c>
      <c r="N976" s="1">
        <f t="shared" ref="N976:N1039" si="78">(F976-E976)/G976</f>
        <v>2.9990084662116908E-4</v>
      </c>
      <c r="O976" s="1">
        <f t="shared" ref="O976:O1039" si="79">(I976-H976)/J976</f>
        <v>2.1487943716678472E-4</v>
      </c>
    </row>
    <row r="977" spans="4:15" x14ac:dyDescent="0.25">
      <c r="D977" s="5">
        <v>44726</v>
      </c>
      <c r="E977" s="4">
        <v>4.8490726148624097E-2</v>
      </c>
      <c r="F977" s="4">
        <v>4.8502485752394797E-2</v>
      </c>
      <c r="G977" s="4">
        <v>4.8496603999999999E-2</v>
      </c>
      <c r="H977" s="4">
        <v>0.19532012969256601</v>
      </c>
      <c r="I977" s="4">
        <v>0.19534683831142199</v>
      </c>
      <c r="J977" s="4">
        <v>0.19533348</v>
      </c>
      <c r="K977">
        <f t="shared" si="75"/>
        <v>-6.9593273044104009E-3</v>
      </c>
      <c r="L977">
        <f t="shared" si="76"/>
        <v>2.4612286436145325E-3</v>
      </c>
      <c r="M977" s="1">
        <f t="shared" si="77"/>
        <v>-2.0300911275832932E-3</v>
      </c>
      <c r="N977" s="1">
        <f t="shared" si="78"/>
        <v>2.4248303594000476E-4</v>
      </c>
      <c r="O977" s="1">
        <f t="shared" si="79"/>
        <v>1.3673344096455271E-4</v>
      </c>
    </row>
    <row r="978" spans="4:15" x14ac:dyDescent="0.25">
      <c r="D978" s="3">
        <v>44725</v>
      </c>
      <c r="E978" s="2">
        <v>4.8832178452312899E-2</v>
      </c>
      <c r="F978" s="2">
        <v>4.8840764455645301E-2</v>
      </c>
      <c r="G978" s="2">
        <v>4.8836472999999998E-2</v>
      </c>
      <c r="H978" s="2">
        <v>0.194829232177996</v>
      </c>
      <c r="I978" s="2">
        <v>0.19487859063803301</v>
      </c>
      <c r="J978" s="2">
        <v>0.1948539</v>
      </c>
      <c r="K978">
        <f t="shared" si="75"/>
        <v>-2.7702466616667976E-2</v>
      </c>
      <c r="L978">
        <f t="shared" si="76"/>
        <v>-2.5233612834142161E-2</v>
      </c>
      <c r="M978" s="1">
        <f t="shared" si="77"/>
        <v>-2.641065714732619E-2</v>
      </c>
      <c r="N978" s="1">
        <f t="shared" si="78"/>
        <v>1.7581129031168417E-4</v>
      </c>
      <c r="O978" s="1">
        <f t="shared" si="79"/>
        <v>2.5331009559987169E-4</v>
      </c>
    </row>
    <row r="979" spans="4:15" x14ac:dyDescent="0.25">
      <c r="D979" s="5">
        <v>44722</v>
      </c>
      <c r="E979" s="4">
        <v>5.0223242312077199E-2</v>
      </c>
      <c r="F979" s="4">
        <v>5.0232576830726301E-2</v>
      </c>
      <c r="G979" s="4">
        <v>5.0227910000000001E-2</v>
      </c>
      <c r="H979" s="4">
        <v>0.19988806268489601</v>
      </c>
      <c r="I979" s="4">
        <v>0.19990804230054199</v>
      </c>
      <c r="J979" s="4">
        <v>0.19989804999999999</v>
      </c>
      <c r="K979">
        <f t="shared" si="75"/>
        <v>-1.472935953076171E-2</v>
      </c>
      <c r="L979">
        <f t="shared" si="76"/>
        <v>-1.8820376948444628E-2</v>
      </c>
      <c r="M979" s="1">
        <f t="shared" si="77"/>
        <v>-1.6869954116318017E-2</v>
      </c>
      <c r="N979" s="1">
        <f t="shared" si="78"/>
        <v>1.85843262224181E-4</v>
      </c>
      <c r="O979" s="1">
        <f t="shared" si="79"/>
        <v>9.9949027246548633E-5</v>
      </c>
    </row>
    <row r="980" spans="4:15" x14ac:dyDescent="0.25">
      <c r="D980" s="3">
        <v>44721</v>
      </c>
      <c r="E980" s="2">
        <v>5.0973855509509197E-2</v>
      </c>
      <c r="F980" s="2">
        <v>5.0983731091408697E-2</v>
      </c>
      <c r="G980" s="2">
        <v>5.0978795E-2</v>
      </c>
      <c r="H980" s="2">
        <v>0.20370332647532099</v>
      </c>
      <c r="I980" s="2">
        <v>0.20376143611060199</v>
      </c>
      <c r="J980" s="2">
        <v>0.20373237</v>
      </c>
      <c r="K980">
        <f t="shared" si="75"/>
        <v>-3.5684456924733876E-4</v>
      </c>
      <c r="L980">
        <f t="shared" si="76"/>
        <v>-7.6094567537228208E-3</v>
      </c>
      <c r="M980" s="1">
        <f t="shared" si="77"/>
        <v>-4.1517202170809203E-3</v>
      </c>
      <c r="N980" s="1">
        <f t="shared" si="78"/>
        <v>1.9371940626490433E-4</v>
      </c>
      <c r="O980" s="1">
        <f t="shared" si="79"/>
        <v>2.8522534382236414E-4</v>
      </c>
    </row>
    <row r="981" spans="4:15" x14ac:dyDescent="0.25">
      <c r="D981" s="5">
        <v>44720</v>
      </c>
      <c r="E981" s="4">
        <v>5.0990750277899601E-2</v>
      </c>
      <c r="F981" s="4">
        <v>5.1003233605010599E-2</v>
      </c>
      <c r="G981" s="4">
        <v>5.0996992999999997E-2</v>
      </c>
      <c r="H981" s="4">
        <v>0.20526294182848201</v>
      </c>
      <c r="I981" s="4">
        <v>0.20532616060612299</v>
      </c>
      <c r="J981" s="4">
        <v>0.20529454999999999</v>
      </c>
      <c r="K981">
        <f t="shared" si="75"/>
        <v>-1.2876511297552629E-3</v>
      </c>
      <c r="L981">
        <f t="shared" si="76"/>
        <v>6.4565435531240833E-3</v>
      </c>
      <c r="M981" s="1">
        <f t="shared" si="77"/>
        <v>2.764441422090804E-3</v>
      </c>
      <c r="N981" s="1">
        <f t="shared" si="78"/>
        <v>2.4478555257167111E-4</v>
      </c>
      <c r="O981" s="1">
        <f t="shared" si="79"/>
        <v>3.0794182135367528E-4</v>
      </c>
    </row>
    <row r="982" spans="4:15" x14ac:dyDescent="0.25">
      <c r="D982" s="3">
        <v>44719</v>
      </c>
      <c r="E982" s="2">
        <v>5.1055834660784997E-2</v>
      </c>
      <c r="F982" s="2">
        <v>5.1069653900955497E-2</v>
      </c>
      <c r="G982" s="2">
        <v>5.1062744E-2</v>
      </c>
      <c r="H982" s="2">
        <v>0.20395260141543101</v>
      </c>
      <c r="I982" s="2">
        <v>0.204002529631367</v>
      </c>
      <c r="J982" s="2">
        <v>0.20397756</v>
      </c>
      <c r="K982">
        <f t="shared" si="75"/>
        <v>-1.3786726598979948E-3</v>
      </c>
      <c r="L982">
        <f t="shared" si="76"/>
        <v>-2.255992977758059E-2</v>
      </c>
      <c r="M982" s="1">
        <f t="shared" si="77"/>
        <v>-1.2461608680998451E-2</v>
      </c>
      <c r="N982" s="1">
        <f t="shared" si="78"/>
        <v>2.7063254122222245E-4</v>
      </c>
      <c r="O982" s="1">
        <f t="shared" si="79"/>
        <v>2.4477308158797438E-4</v>
      </c>
    </row>
    <row r="983" spans="4:15" x14ac:dyDescent="0.25">
      <c r="D983" s="5">
        <v>44718</v>
      </c>
      <c r="E983" s="4">
        <v>5.1128403873487903E-2</v>
      </c>
      <c r="F983" s="4">
        <v>5.11380779242031E-2</v>
      </c>
      <c r="G983" s="4">
        <v>5.1133240000000003E-2</v>
      </c>
      <c r="H983" s="4">
        <v>0.20865936358894099</v>
      </c>
      <c r="I983" s="4">
        <v>0.20871162315029301</v>
      </c>
      <c r="J983" s="4">
        <v>0.20868549</v>
      </c>
      <c r="K983">
        <f t="shared" si="75"/>
        <v>8.5645805308987022E-4</v>
      </c>
      <c r="L983">
        <f t="shared" si="76"/>
        <v>-7.6171480062903196E-4</v>
      </c>
      <c r="M983" s="1">
        <f t="shared" si="77"/>
        <v>9.7610837265011048E-6</v>
      </c>
      <c r="N983" s="1">
        <f t="shared" si="78"/>
        <v>1.8919299295716666E-4</v>
      </c>
      <c r="O983" s="1">
        <f t="shared" si="79"/>
        <v>2.5042259216018979E-4</v>
      </c>
    </row>
    <row r="984" spans="4:15" x14ac:dyDescent="0.25">
      <c r="D984" s="3">
        <v>44715</v>
      </c>
      <c r="E984" s="2">
        <v>5.1084785418358897E-2</v>
      </c>
      <c r="F984" s="2">
        <v>5.1094181905506401E-2</v>
      </c>
      <c r="G984" s="2">
        <v>5.1089483999999998E-2</v>
      </c>
      <c r="H984" s="2">
        <v>0.20882930292778701</v>
      </c>
      <c r="I984" s="2">
        <v>0.208859834165292</v>
      </c>
      <c r="J984" s="2">
        <v>0.20884457000000001</v>
      </c>
      <c r="K984">
        <f t="shared" si="75"/>
        <v>-1.1749851181585003E-3</v>
      </c>
      <c r="L984">
        <f t="shared" si="76"/>
        <v>-9.5018637296029329E-4</v>
      </c>
      <c r="M984" s="1">
        <f t="shared" si="77"/>
        <v>-1.05736083850347E-3</v>
      </c>
      <c r="N984" s="1">
        <f t="shared" si="78"/>
        <v>1.8392213840924063E-4</v>
      </c>
      <c r="O984" s="1">
        <f t="shared" si="79"/>
        <v>1.4619119618474257E-4</v>
      </c>
    </row>
    <row r="985" spans="4:15" x14ac:dyDescent="0.25">
      <c r="D985" s="5">
        <v>44714</v>
      </c>
      <c r="E985" s="4">
        <v>5.1142523985843701E-2</v>
      </c>
      <c r="F985" s="4">
        <v>5.1156651899446501E-2</v>
      </c>
      <c r="G985" s="4">
        <v>5.1149583999999998E-2</v>
      </c>
      <c r="H985" s="4">
        <v>0.20901699308153801</v>
      </c>
      <c r="I985" s="4">
        <v>0.20906943195835301</v>
      </c>
      <c r="J985" s="4">
        <v>0.20904320000000001</v>
      </c>
      <c r="K985">
        <f t="shared" si="75"/>
        <v>9.8462089443092093E-3</v>
      </c>
      <c r="L985">
        <f t="shared" si="76"/>
        <v>2.2367795131057466E-3</v>
      </c>
      <c r="M985" s="1">
        <f t="shared" si="77"/>
        <v>5.8646313129842864E-3</v>
      </c>
      <c r="N985" s="1">
        <f t="shared" si="78"/>
        <v>2.7620779091380775E-4</v>
      </c>
      <c r="O985" s="1">
        <f t="shared" si="79"/>
        <v>2.5085186609752184E-4</v>
      </c>
    </row>
    <row r="986" spans="4:15" x14ac:dyDescent="0.25">
      <c r="D986" s="3">
        <v>44713</v>
      </c>
      <c r="E986" s="2">
        <v>5.06436811878982E-2</v>
      </c>
      <c r="F986" s="2">
        <v>5.0658048044092803E-2</v>
      </c>
      <c r="G986" s="2">
        <v>5.0650865000000003E-2</v>
      </c>
      <c r="H986" s="2">
        <v>0.20852882911062501</v>
      </c>
      <c r="I986" s="2">
        <v>0.20862453841820899</v>
      </c>
      <c r="J986" s="2">
        <v>0.20857666</v>
      </c>
      <c r="K986">
        <f t="shared" si="75"/>
        <v>-1.5195764859411431E-3</v>
      </c>
      <c r="L986">
        <f t="shared" si="76"/>
        <v>-1.163871153495033E-2</v>
      </c>
      <c r="M986" s="1">
        <f t="shared" si="77"/>
        <v>-6.8143390070673753E-3</v>
      </c>
      <c r="N986" s="1">
        <f t="shared" si="78"/>
        <v>2.8364483399450518E-4</v>
      </c>
      <c r="O986" s="1">
        <f t="shared" si="79"/>
        <v>4.5886873240747763E-4</v>
      </c>
    </row>
    <row r="987" spans="4:15" x14ac:dyDescent="0.25">
      <c r="D987" s="5">
        <v>44712</v>
      </c>
      <c r="E987" s="4">
        <v>5.0724086332394898E-2</v>
      </c>
      <c r="F987" s="4">
        <v>5.0731806305963502E-2</v>
      </c>
      <c r="G987" s="4">
        <v>5.0727950000000001E-2</v>
      </c>
      <c r="H987" s="4">
        <v>0.21100162471250999</v>
      </c>
      <c r="I987" s="4">
        <v>0.21106397349036499</v>
      </c>
      <c r="J987" s="4">
        <v>0.21103280999999999</v>
      </c>
      <c r="K987">
        <f t="shared" si="75"/>
        <v>-1.1362944947041931E-2</v>
      </c>
      <c r="L987">
        <f t="shared" si="76"/>
        <v>-2.1101269274037548E-4</v>
      </c>
      <c r="M987" s="1">
        <f t="shared" si="77"/>
        <v>-5.5277789321367121E-3</v>
      </c>
      <c r="N987" s="1">
        <f t="shared" si="78"/>
        <v>1.5218382703428756E-4</v>
      </c>
      <c r="O987" s="1">
        <f t="shared" si="79"/>
        <v>2.9544589703843916E-4</v>
      </c>
    </row>
    <row r="988" spans="4:15" x14ac:dyDescent="0.25">
      <c r="D988" s="3">
        <v>44711</v>
      </c>
      <c r="E988" s="2">
        <v>5.1305730850135997E-2</v>
      </c>
      <c r="F988" s="2">
        <v>5.1316262123466898E-2</v>
      </c>
      <c r="G988" s="2">
        <v>5.1310993999999999E-2</v>
      </c>
      <c r="H988" s="2">
        <v>0.21102834110621099</v>
      </c>
      <c r="I988" s="2">
        <v>0.211126359125937</v>
      </c>
      <c r="J988" s="2">
        <v>0.21107735</v>
      </c>
      <c r="K988">
        <f t="shared" si="75"/>
        <v>5.0283939994602012E-3</v>
      </c>
      <c r="L988">
        <f t="shared" si="76"/>
        <v>-1.4142078761155696E-3</v>
      </c>
      <c r="M988" s="1">
        <f t="shared" si="77"/>
        <v>1.6573502507480774E-3</v>
      </c>
      <c r="N988" s="1">
        <f t="shared" si="78"/>
        <v>2.0524399373164949E-4</v>
      </c>
      <c r="O988" s="1">
        <f t="shared" si="79"/>
        <v>4.6437014547512503E-4</v>
      </c>
    </row>
    <row r="989" spans="4:15" x14ac:dyDescent="0.25">
      <c r="D989" s="5">
        <v>44708</v>
      </c>
      <c r="E989" s="4">
        <v>5.1048536948931002E-2</v>
      </c>
      <c r="F989" s="4">
        <v>5.1060005718720602E-2</v>
      </c>
      <c r="G989" s="4">
        <v>5.1054272999999997E-2</v>
      </c>
      <c r="H989" s="4">
        <v>0.21134946634259699</v>
      </c>
      <c r="I989" s="4">
        <v>0.21140308225693899</v>
      </c>
      <c r="J989" s="4">
        <v>0.21137628</v>
      </c>
      <c r="K989">
        <f t="shared" si="75"/>
        <v>1.0172565771965347E-2</v>
      </c>
      <c r="L989">
        <f t="shared" si="76"/>
        <v>1.0124938855255561E-2</v>
      </c>
      <c r="M989" s="1">
        <f t="shared" si="77"/>
        <v>1.0147645340291053E-2</v>
      </c>
      <c r="N989" s="1">
        <f t="shared" si="78"/>
        <v>2.2463878370377948E-4</v>
      </c>
      <c r="O989" s="1">
        <f t="shared" si="79"/>
        <v>2.5365151824035252E-4</v>
      </c>
    </row>
    <row r="990" spans="4:15" x14ac:dyDescent="0.25">
      <c r="D990" s="3">
        <v>44707</v>
      </c>
      <c r="E990" s="2">
        <v>5.0534401293680697E-2</v>
      </c>
      <c r="F990" s="2">
        <v>5.05458956732713E-2</v>
      </c>
      <c r="G990" s="2">
        <v>5.0540149999999999E-2</v>
      </c>
      <c r="H990" s="2">
        <v>0.209235662126253</v>
      </c>
      <c r="I990" s="2">
        <v>0.209279450850721</v>
      </c>
      <c r="J990" s="2">
        <v>0.20925756000000001</v>
      </c>
      <c r="K990">
        <f t="shared" si="75"/>
        <v>1.8574151402130923E-3</v>
      </c>
      <c r="L990">
        <f t="shared" si="76"/>
        <v>1.1216193255786822E-2</v>
      </c>
      <c r="M990" s="1">
        <f t="shared" si="77"/>
        <v>6.7543265234373028E-3</v>
      </c>
      <c r="N990" s="1">
        <f t="shared" si="78"/>
        <v>2.2743065840926053E-4</v>
      </c>
      <c r="O990" s="1">
        <f t="shared" si="79"/>
        <v>2.0925755068539658E-4</v>
      </c>
    </row>
    <row r="991" spans="4:15" x14ac:dyDescent="0.25">
      <c r="D991" s="5">
        <v>44706</v>
      </c>
      <c r="E991" s="4">
        <v>5.0441870788103797E-2</v>
      </c>
      <c r="F991" s="4">
        <v>5.0451032228119398E-2</v>
      </c>
      <c r="G991" s="4">
        <v>5.0446449999999997E-2</v>
      </c>
      <c r="H991" s="4">
        <v>0.20690654031573899</v>
      </c>
      <c r="I991" s="4">
        <v>0.20696649212492499</v>
      </c>
      <c r="J991" s="4">
        <v>0.20693652000000001</v>
      </c>
      <c r="K991">
        <f t="shared" si="75"/>
        <v>4.9942465260013336E-3</v>
      </c>
      <c r="L991">
        <f t="shared" si="76"/>
        <v>-2.793313092521732E-4</v>
      </c>
      <c r="M991" s="1">
        <f t="shared" si="77"/>
        <v>2.2348859542619245E-3</v>
      </c>
      <c r="N991" s="1">
        <f t="shared" si="78"/>
        <v>1.8160722936105377E-4</v>
      </c>
      <c r="O991" s="1">
        <f t="shared" si="79"/>
        <v>2.8971111133983753E-4</v>
      </c>
    </row>
    <row r="992" spans="4:15" x14ac:dyDescent="0.25">
      <c r="D992" s="3">
        <v>44705</v>
      </c>
      <c r="E992" s="2">
        <v>5.0190220937352599E-2</v>
      </c>
      <c r="F992" s="2">
        <v>5.0201307242040603E-2</v>
      </c>
      <c r="G992" s="2">
        <v>5.0195759999999999E-2</v>
      </c>
      <c r="H992" s="2">
        <v>0.20696220870069101</v>
      </c>
      <c r="I992" s="2">
        <v>0.20702647868662399</v>
      </c>
      <c r="J992" s="2">
        <v>0.20699434</v>
      </c>
      <c r="K992">
        <f t="shared" si="75"/>
        <v>-4.4423866967671088E-3</v>
      </c>
      <c r="L992">
        <f t="shared" si="76"/>
        <v>-7.0274159551647619E-3</v>
      </c>
      <c r="M992" s="1">
        <f t="shared" si="77"/>
        <v>-5.7949841240263486E-3</v>
      </c>
      <c r="N992" s="1">
        <f t="shared" si="78"/>
        <v>2.2086137729570034E-4</v>
      </c>
      <c r="O992" s="1">
        <f t="shared" si="79"/>
        <v>3.1049151359877682E-4</v>
      </c>
    </row>
    <row r="993" spans="4:15" x14ac:dyDescent="0.25">
      <c r="D993" s="5">
        <v>44704</v>
      </c>
      <c r="E993" s="4">
        <v>5.0415931434333199E-2</v>
      </c>
      <c r="F993" s="4">
        <v>5.0423557886244502E-2</v>
      </c>
      <c r="G993" s="4">
        <v>5.0419744000000002E-2</v>
      </c>
      <c r="H993" s="4">
        <v>0.208437552109388</v>
      </c>
      <c r="I993" s="4">
        <v>0.20848100738022801</v>
      </c>
      <c r="J993" s="4">
        <v>0.20845927</v>
      </c>
      <c r="K993">
        <f t="shared" si="75"/>
        <v>2.4957140207590989E-3</v>
      </c>
      <c r="L993">
        <f t="shared" si="76"/>
        <v>1.3977184022862188E-2</v>
      </c>
      <c r="M993" s="1">
        <f t="shared" si="77"/>
        <v>8.5033082232421429E-3</v>
      </c>
      <c r="N993" s="1">
        <f t="shared" si="78"/>
        <v>1.5125923509852962E-4</v>
      </c>
      <c r="O993" s="1">
        <f t="shared" si="79"/>
        <v>2.0845928722677999E-4</v>
      </c>
    </row>
    <row r="994" spans="4:15" x14ac:dyDescent="0.25">
      <c r="D994" s="3">
        <v>44701</v>
      </c>
      <c r="E994" s="2">
        <v>5.0289921396852899E-2</v>
      </c>
      <c r="F994" s="2">
        <v>5.0298521726446499E-2</v>
      </c>
      <c r="G994" s="2">
        <v>5.0294223999999998E-2</v>
      </c>
      <c r="H994" s="2">
        <v>0.20554984583761601</v>
      </c>
      <c r="I994" s="2">
        <v>0.20562169720148901</v>
      </c>
      <c r="J994" s="2">
        <v>0.20558576000000001</v>
      </c>
      <c r="K994">
        <f t="shared" si="75"/>
        <v>2.89195070828141E-3</v>
      </c>
      <c r="L994">
        <f t="shared" si="76"/>
        <v>1.4709569610936502E-2</v>
      </c>
      <c r="M994" s="1">
        <f t="shared" si="77"/>
        <v>9.0754323350888087E-3</v>
      </c>
      <c r="N994" s="1">
        <f t="shared" si="78"/>
        <v>1.7100034376909583E-4</v>
      </c>
      <c r="O994" s="1">
        <f t="shared" si="79"/>
        <v>3.4949582049359327E-4</v>
      </c>
    </row>
    <row r="995" spans="4:15" x14ac:dyDescent="0.25">
      <c r="D995" s="5">
        <v>44700</v>
      </c>
      <c r="E995" s="4">
        <v>5.01434101530377E-2</v>
      </c>
      <c r="F995" s="4">
        <v>5.0154978884753898E-2</v>
      </c>
      <c r="G995" s="4">
        <v>5.0149195000000001E-2</v>
      </c>
      <c r="H995" s="4">
        <v>0.20257677659833101</v>
      </c>
      <c r="I995" s="4">
        <v>0.202634245187437</v>
      </c>
      <c r="J995" s="4">
        <v>0.20260552000000001</v>
      </c>
      <c r="K995">
        <f t="shared" si="75"/>
        <v>2.3570259159921836E-3</v>
      </c>
      <c r="L995">
        <f t="shared" si="76"/>
        <v>4.4168349159490194E-3</v>
      </c>
      <c r="M995" s="1">
        <f t="shared" si="77"/>
        <v>3.4348057302578143E-3</v>
      </c>
      <c r="N995" s="1">
        <f t="shared" si="78"/>
        <v>2.3068628950470777E-4</v>
      </c>
      <c r="O995" s="1">
        <f t="shared" si="79"/>
        <v>2.8364769679518686E-4</v>
      </c>
    </row>
    <row r="996" spans="4:15" x14ac:dyDescent="0.25">
      <c r="D996" s="3">
        <v>44699</v>
      </c>
      <c r="E996" s="2">
        <v>5.0025262757692597E-2</v>
      </c>
      <c r="F996" s="2">
        <v>5.00372777719401E-2</v>
      </c>
      <c r="G996" s="2">
        <v>5.0031270000000003E-2</v>
      </c>
      <c r="H996" s="2">
        <v>0.201682028114475</v>
      </c>
      <c r="I996" s="2">
        <v>0.20174713014707399</v>
      </c>
      <c r="J996" s="2">
        <v>0.20171458</v>
      </c>
      <c r="K996">
        <f t="shared" si="75"/>
        <v>-7.5067413775276037E-5</v>
      </c>
      <c r="L996">
        <f t="shared" si="76"/>
        <v>3.8830095501340978E-3</v>
      </c>
      <c r="M996" s="1">
        <f t="shared" si="77"/>
        <v>1.9959670632566781E-3</v>
      </c>
      <c r="N996" s="1">
        <f t="shared" si="78"/>
        <v>2.4015009508059898E-4</v>
      </c>
      <c r="O996" s="1">
        <f t="shared" si="79"/>
        <v>3.2274331681423518E-4</v>
      </c>
    </row>
    <row r="997" spans="4:15" x14ac:dyDescent="0.25">
      <c r="D997" s="5">
        <v>44698</v>
      </c>
      <c r="E997" s="4">
        <v>5.0030018010806497E-2</v>
      </c>
      <c r="F997" s="4">
        <v>5.0040032025620497E-2</v>
      </c>
      <c r="G997" s="4">
        <v>5.0035026000000003E-2</v>
      </c>
      <c r="H997" s="4">
        <v>0.20089599614279699</v>
      </c>
      <c r="I997" s="4">
        <v>0.20097270790626601</v>
      </c>
      <c r="J997" s="4">
        <v>0.20093435000000001</v>
      </c>
      <c r="K997">
        <f t="shared" si="75"/>
        <v>5.3036849368839345E-3</v>
      </c>
      <c r="L997">
        <f t="shared" si="76"/>
        <v>1.5984380482135574E-2</v>
      </c>
      <c r="M997" s="1">
        <f t="shared" si="77"/>
        <v>1.0892279831473818E-2</v>
      </c>
      <c r="N997" s="1">
        <f t="shared" si="78"/>
        <v>2.0014009414124983E-4</v>
      </c>
      <c r="O997" s="1">
        <f t="shared" si="79"/>
        <v>3.8177525877988163E-4</v>
      </c>
    </row>
    <row r="998" spans="4:15" x14ac:dyDescent="0.25">
      <c r="D998" s="3">
        <v>44697</v>
      </c>
      <c r="E998" s="2">
        <v>4.9763870434786903E-2</v>
      </c>
      <c r="F998" s="2">
        <v>4.97782379499331E-2</v>
      </c>
      <c r="G998" s="2">
        <v>4.9771056000000001E-2</v>
      </c>
      <c r="H998" s="2">
        <v>0.197749609444521</v>
      </c>
      <c r="I998" s="2">
        <v>0.197796546472299</v>
      </c>
      <c r="J998" s="2">
        <v>0.19777307</v>
      </c>
      <c r="K998">
        <f t="shared" si="75"/>
        <v>4.603862340339937E-3</v>
      </c>
      <c r="L998">
        <f t="shared" si="76"/>
        <v>7.2681388976603145E-3</v>
      </c>
      <c r="M998" s="1">
        <f t="shared" si="77"/>
        <v>5.9979253302390994E-3</v>
      </c>
      <c r="N998" s="1">
        <f t="shared" si="78"/>
        <v>2.8867209781921791E-4</v>
      </c>
      <c r="O998" s="1">
        <f t="shared" si="79"/>
        <v>2.3732769976215175E-4</v>
      </c>
    </row>
    <row r="999" spans="4:15" x14ac:dyDescent="0.25">
      <c r="D999" s="5">
        <v>44694</v>
      </c>
      <c r="E999" s="4">
        <v>4.9537566813793198E-2</v>
      </c>
      <c r="F999" s="4">
        <v>4.9548366638093803E-2</v>
      </c>
      <c r="G999" s="4">
        <v>4.9542967E-2</v>
      </c>
      <c r="H999" s="4">
        <v>0.19631323740159801</v>
      </c>
      <c r="I999" s="4">
        <v>0.196378775381957</v>
      </c>
      <c r="J999" s="4">
        <v>0.19634599999999999</v>
      </c>
      <c r="K999">
        <f t="shared" si="75"/>
        <v>5.3506655635662259E-3</v>
      </c>
      <c r="L999">
        <f t="shared" si="76"/>
        <v>5.4190811383327819E-3</v>
      </c>
      <c r="M999" s="1">
        <f t="shared" si="77"/>
        <v>5.3864635067086821E-3</v>
      </c>
      <c r="N999" s="1">
        <f t="shared" si="78"/>
        <v>2.1798904980006094E-4</v>
      </c>
      <c r="O999" s="1">
        <f t="shared" si="79"/>
        <v>3.3378821243617305E-4</v>
      </c>
    </row>
    <row r="1000" spans="4:15" x14ac:dyDescent="0.25">
      <c r="D1000" s="3">
        <v>44693</v>
      </c>
      <c r="E1000" s="2">
        <v>4.9274191164151999E-2</v>
      </c>
      <c r="F1000" s="2">
        <v>4.9284390647794003E-2</v>
      </c>
      <c r="G1000" s="2">
        <v>4.9279290000000003E-2</v>
      </c>
      <c r="H1000" s="2">
        <v>0.19527054734334401</v>
      </c>
      <c r="I1000" s="2">
        <v>0.19530487090348</v>
      </c>
      <c r="J1000" s="2">
        <v>0.19528772</v>
      </c>
      <c r="K1000">
        <f t="shared" si="75"/>
        <v>-3.2037678078356002E-4</v>
      </c>
      <c r="L1000">
        <f t="shared" si="76"/>
        <v>4.1012734848622223E-4</v>
      </c>
      <c r="M1000" s="1">
        <f t="shared" si="77"/>
        <v>6.1854098283946405E-5</v>
      </c>
      <c r="N1000" s="1">
        <f t="shared" si="78"/>
        <v>2.0697302339388104E-4</v>
      </c>
      <c r="O1000" s="1">
        <f t="shared" si="79"/>
        <v>1.7575892706410783E-4</v>
      </c>
    </row>
    <row r="1001" spans="4:15" x14ac:dyDescent="0.25">
      <c r="D1001" s="5">
        <v>44692</v>
      </c>
      <c r="E1001" s="4">
        <v>4.9289249029001801E-2</v>
      </c>
      <c r="F1001" s="4">
        <v>4.9300913052909699E-2</v>
      </c>
      <c r="G1001" s="4">
        <v>4.9295083000000003E-2</v>
      </c>
      <c r="H1001" s="4">
        <v>0.195190505933791</v>
      </c>
      <c r="I1001" s="4">
        <v>0.19522480135876499</v>
      </c>
      <c r="J1001" s="4">
        <v>0.19520766000000001</v>
      </c>
      <c r="K1001">
        <f t="shared" si="75"/>
        <v>5.4964121003024946E-3</v>
      </c>
      <c r="L1001">
        <f t="shared" si="76"/>
        <v>5.9636047167535011E-3</v>
      </c>
      <c r="M1001" s="1">
        <f t="shared" si="77"/>
        <v>5.7408671790963976E-3</v>
      </c>
      <c r="N1001" s="1">
        <f t="shared" si="78"/>
        <v>2.3661637628032804E-4</v>
      </c>
      <c r="O1001" s="1">
        <f t="shared" si="79"/>
        <v>1.7568688121147595E-4</v>
      </c>
    </row>
    <row r="1002" spans="4:15" x14ac:dyDescent="0.25">
      <c r="D1002" s="3">
        <v>44691</v>
      </c>
      <c r="E1002" s="2">
        <v>4.9018886977152301E-2</v>
      </c>
      <c r="F1002" s="2">
        <v>4.9032346639077802E-2</v>
      </c>
      <c r="G1002" s="2">
        <v>4.9025618E-2</v>
      </c>
      <c r="H1002" s="2">
        <v>0.194020294522807</v>
      </c>
      <c r="I1002" s="2">
        <v>0.194080543425522</v>
      </c>
      <c r="J1002" s="2">
        <v>0.19405042</v>
      </c>
      <c r="K1002">
        <f t="shared" si="75"/>
        <v>-3.4807506007498157E-3</v>
      </c>
      <c r="L1002">
        <f t="shared" si="76"/>
        <v>-2.5420344993773991E-3</v>
      </c>
      <c r="M1002" s="1">
        <f t="shared" si="77"/>
        <v>-2.9895743482882902E-3</v>
      </c>
      <c r="N1002" s="1">
        <f t="shared" si="78"/>
        <v>2.7454344227748257E-4</v>
      </c>
      <c r="O1002" s="1">
        <f t="shared" si="79"/>
        <v>3.1048066123741874E-4</v>
      </c>
    </row>
    <row r="1003" spans="4:15" x14ac:dyDescent="0.25">
      <c r="D1003" s="5">
        <v>44690</v>
      </c>
      <c r="E1003" s="4">
        <v>4.9190569184076001E-2</v>
      </c>
      <c r="F1003" s="4">
        <v>4.9203154906292602E-2</v>
      </c>
      <c r="G1003" s="4">
        <v>4.9196860000000002E-2</v>
      </c>
      <c r="H1003" s="4">
        <v>0.19451846952868199</v>
      </c>
      <c r="I1003" s="4">
        <v>0.19457145636735099</v>
      </c>
      <c r="J1003" s="4">
        <v>0.19454495999999999</v>
      </c>
      <c r="K1003">
        <f t="shared" si="75"/>
        <v>-1.1118550975911301E-2</v>
      </c>
      <c r="L1003">
        <f t="shared" si="76"/>
        <v>-1.6263947240648835E-2</v>
      </c>
      <c r="M1003" s="1">
        <f t="shared" si="77"/>
        <v>-1.3810841489569655E-2</v>
      </c>
      <c r="N1003" s="1">
        <f t="shared" si="78"/>
        <v>2.5582368908506518E-4</v>
      </c>
      <c r="O1003" s="1">
        <f t="shared" si="79"/>
        <v>2.7236294720253988E-4</v>
      </c>
    </row>
    <row r="1004" spans="4:15" x14ac:dyDescent="0.25">
      <c r="D1004" s="3">
        <v>44687</v>
      </c>
      <c r="E1004" s="2">
        <v>4.9744066776435197E-2</v>
      </c>
      <c r="F1004" s="2">
        <v>4.9755947079574703E-2</v>
      </c>
      <c r="G1004" s="2">
        <v>4.9750007999999998E-2</v>
      </c>
      <c r="H1004" s="2">
        <v>0.19773787866803799</v>
      </c>
      <c r="I1004" s="2">
        <v>0.197784810126582</v>
      </c>
      <c r="J1004" s="2">
        <v>0.19776134000000001</v>
      </c>
      <c r="K1004">
        <f t="shared" si="75"/>
        <v>5.049610856974418E-3</v>
      </c>
      <c r="L1004">
        <f t="shared" si="76"/>
        <v>-6.9810127580182124E-3</v>
      </c>
      <c r="M1004" s="1">
        <f t="shared" si="77"/>
        <v>-1.2453239090831096E-3</v>
      </c>
      <c r="N1004" s="1">
        <f t="shared" si="78"/>
        <v>2.3880002470563197E-4</v>
      </c>
      <c r="O1004" s="1">
        <f t="shared" si="79"/>
        <v>2.3731361520916259E-4</v>
      </c>
    </row>
    <row r="1005" spans="4:15" x14ac:dyDescent="0.25">
      <c r="D1005" s="5">
        <v>44686</v>
      </c>
      <c r="E1005" s="4">
        <v>4.9494904499581799E-2</v>
      </c>
      <c r="F1005" s="4">
        <v>4.95051955702751E-2</v>
      </c>
      <c r="G1005" s="4">
        <v>4.9500052000000003E-2</v>
      </c>
      <c r="H1005" s="4">
        <v>0.19911989008582101</v>
      </c>
      <c r="I1005" s="4">
        <v>0.199183348272084</v>
      </c>
      <c r="J1005" s="4">
        <v>0.19915162</v>
      </c>
      <c r="K1005">
        <f t="shared" si="75"/>
        <v>1.8316093650958543E-3</v>
      </c>
      <c r="L1005">
        <f t="shared" si="76"/>
        <v>-1.264669981213995E-3</v>
      </c>
      <c r="M1005" s="1">
        <f t="shared" si="77"/>
        <v>2.1150411317673442E-4</v>
      </c>
      <c r="N1005" s="1">
        <f t="shared" si="78"/>
        <v>2.0790019964627481E-4</v>
      </c>
      <c r="O1005" s="1">
        <f t="shared" si="79"/>
        <v>3.1864258128050122E-4</v>
      </c>
    </row>
    <row r="1006" spans="4:15" x14ac:dyDescent="0.25">
      <c r="D1006" s="3">
        <v>44685</v>
      </c>
      <c r="E1006" s="2">
        <v>4.9404185522597503E-2</v>
      </c>
      <c r="F1006" s="2">
        <v>4.94149272612271E-2</v>
      </c>
      <c r="G1006" s="2">
        <v>4.9409553000000002E-2</v>
      </c>
      <c r="H1006" s="2">
        <v>0.19938191606021299</v>
      </c>
      <c r="I1006" s="2">
        <v>0.19942565411614499</v>
      </c>
      <c r="J1006" s="2">
        <v>0.19940379999999999</v>
      </c>
      <c r="K1006">
        <f t="shared" si="75"/>
        <v>4.9902764633054097E-3</v>
      </c>
      <c r="L1006">
        <f t="shared" si="76"/>
        <v>-1.3159940252388536E-3</v>
      </c>
      <c r="M1006" s="1">
        <f t="shared" si="77"/>
        <v>1.6905671038480534E-3</v>
      </c>
      <c r="N1006" s="1">
        <f t="shared" si="78"/>
        <v>2.1740206048001683E-4</v>
      </c>
      <c r="O1006" s="1">
        <f t="shared" si="79"/>
        <v>2.1934414455490139E-4</v>
      </c>
    </row>
    <row r="1007" spans="4:15" x14ac:dyDescent="0.25">
      <c r="D1007" s="5">
        <v>44684</v>
      </c>
      <c r="E1007" s="4">
        <v>4.9159374692753902E-2</v>
      </c>
      <c r="F1007" s="4">
        <v>4.9169043170419903E-2</v>
      </c>
      <c r="G1007" s="4">
        <v>4.916421E-2</v>
      </c>
      <c r="H1007" s="4">
        <v>0.19964064683569599</v>
      </c>
      <c r="I1007" s="4">
        <v>0.19969247359066999</v>
      </c>
      <c r="J1007" s="4">
        <v>0.19966655999999999</v>
      </c>
      <c r="K1007">
        <f t="shared" si="75"/>
        <v>3.589013641803751E-3</v>
      </c>
      <c r="L1007">
        <f t="shared" si="76"/>
        <v>4.0731868163477181E-3</v>
      </c>
      <c r="M1007" s="1">
        <f t="shared" si="77"/>
        <v>3.8423536719440856E-3</v>
      </c>
      <c r="N1007" s="1">
        <f t="shared" si="78"/>
        <v>1.9665682955144348E-4</v>
      </c>
      <c r="O1007" s="1">
        <f t="shared" si="79"/>
        <v>2.5956652417913546E-4</v>
      </c>
    </row>
    <row r="1008" spans="4:15" x14ac:dyDescent="0.25">
      <c r="D1008" s="3">
        <v>44683</v>
      </c>
      <c r="E1008" s="2">
        <v>4.8981431139455002E-2</v>
      </c>
      <c r="F1008" s="2">
        <v>4.8995350341252603E-2</v>
      </c>
      <c r="G1008" s="2">
        <v>4.898839E-2</v>
      </c>
      <c r="H1008" s="2">
        <v>0.19883087445818601</v>
      </c>
      <c r="I1008" s="2">
        <v>0.19888228157753399</v>
      </c>
      <c r="J1008" s="2">
        <v>0.19885658000000001</v>
      </c>
      <c r="K1008">
        <f t="shared" si="75"/>
        <v>-2.2041180680743011E-4</v>
      </c>
      <c r="L1008">
        <f t="shared" si="76"/>
        <v>-1.5222468170478121E-2</v>
      </c>
      <c r="M1008" s="1">
        <f t="shared" si="77"/>
        <v>-8.0701267665820274E-3</v>
      </c>
      <c r="N1008" s="1">
        <f t="shared" si="78"/>
        <v>2.8413266485386823E-4</v>
      </c>
      <c r="O1008" s="1">
        <f t="shared" si="79"/>
        <v>2.5851354452530189E-4</v>
      </c>
    </row>
    <row r="1009" spans="4:15" x14ac:dyDescent="0.25">
      <c r="D1009" s="5">
        <v>44680</v>
      </c>
      <c r="E1009" s="4">
        <v>4.8994150098478198E-2</v>
      </c>
      <c r="F1009" s="4">
        <v>4.9004233965814603E-2</v>
      </c>
      <c r="G1009" s="4">
        <v>4.8999189999999998E-2</v>
      </c>
      <c r="H1009" s="4">
        <v>0.20191006925515401</v>
      </c>
      <c r="I1009" s="4">
        <v>0.20195084516428699</v>
      </c>
      <c r="J1009" s="4">
        <v>0.20193046000000001</v>
      </c>
      <c r="K1009">
        <f t="shared" si="75"/>
        <v>8.8197420969402529E-3</v>
      </c>
      <c r="L1009">
        <f t="shared" si="76"/>
        <v>1.4730773840377687E-2</v>
      </c>
      <c r="M1009" s="1">
        <f t="shared" si="77"/>
        <v>1.1912645708242926E-2</v>
      </c>
      <c r="N1009" s="1">
        <f t="shared" si="78"/>
        <v>2.0579661289105177E-4</v>
      </c>
      <c r="O1009" s="1">
        <f t="shared" si="79"/>
        <v>2.0193045235960939E-4</v>
      </c>
    </row>
    <row r="1010" spans="4:15" x14ac:dyDescent="0.25">
      <c r="D1010" s="3">
        <v>44679</v>
      </c>
      <c r="E1010" s="2">
        <v>4.85632560691929E-2</v>
      </c>
      <c r="F1010" s="2">
        <v>4.8578354456821099E-2</v>
      </c>
      <c r="G1010" s="2">
        <v>4.8570808E-2</v>
      </c>
      <c r="H1010" s="2">
        <v>0.198973297783437</v>
      </c>
      <c r="I1010" s="2">
        <v>0.199024778584934</v>
      </c>
      <c r="J1010" s="2">
        <v>0.19899905000000001</v>
      </c>
      <c r="K1010">
        <f t="shared" si="75"/>
        <v>-5.6826838006028835E-3</v>
      </c>
      <c r="L1010">
        <f t="shared" si="76"/>
        <v>8.6572784007321602E-4</v>
      </c>
      <c r="M1010" s="1">
        <f t="shared" si="77"/>
        <v>-2.2562758754162845E-3</v>
      </c>
      <c r="N1010" s="1">
        <f t="shared" si="78"/>
        <v>3.1085312865700078E-4</v>
      </c>
      <c r="O1010" s="1">
        <f t="shared" si="79"/>
        <v>2.5869872995373745E-4</v>
      </c>
    </row>
    <row r="1011" spans="4:15" x14ac:dyDescent="0.25">
      <c r="D1011" s="5">
        <v>44678</v>
      </c>
      <c r="E1011" s="4">
        <v>4.8841718642395601E-2</v>
      </c>
      <c r="F1011" s="4">
        <v>4.8855081172717398E-2</v>
      </c>
      <c r="G1011" s="4">
        <v>4.8848398000000001E-2</v>
      </c>
      <c r="H1011" s="4">
        <v>0.198807157057654</v>
      </c>
      <c r="I1011" s="4">
        <v>0.19884668920262499</v>
      </c>
      <c r="J1011" s="4">
        <v>0.19882691999999999</v>
      </c>
      <c r="K1011">
        <f t="shared" si="75"/>
        <v>-4.9336538889710457E-3</v>
      </c>
      <c r="L1011">
        <f t="shared" si="76"/>
        <v>-7.1577331366626806E-3</v>
      </c>
      <c r="M1011" s="1">
        <f t="shared" si="77"/>
        <v>-6.0973868945746554E-3</v>
      </c>
      <c r="N1011" s="1">
        <f t="shared" si="78"/>
        <v>2.7355104504750178E-4</v>
      </c>
      <c r="O1011" s="1">
        <f t="shared" si="79"/>
        <v>1.9882692429671218E-4</v>
      </c>
    </row>
    <row r="1012" spans="4:15" x14ac:dyDescent="0.25">
      <c r="D1012" s="3">
        <v>44677</v>
      </c>
      <c r="E1012" s="2">
        <v>4.9085536455827902E-2</v>
      </c>
      <c r="F1012" s="2">
        <v>4.90956579800082E-2</v>
      </c>
      <c r="G1012" s="2">
        <v>4.9090594000000001E-2</v>
      </c>
      <c r="H1012" s="2">
        <v>0.20024028834601501</v>
      </c>
      <c r="I1012" s="2">
        <v>0.200280392549569</v>
      </c>
      <c r="J1012" s="2">
        <v>0.20026032999999999</v>
      </c>
      <c r="K1012">
        <f t="shared" si="75"/>
        <v>-1.8164524725706732E-3</v>
      </c>
      <c r="L1012">
        <f t="shared" si="76"/>
        <v>-1.2456217452186724E-2</v>
      </c>
      <c r="M1012" s="1">
        <f t="shared" si="77"/>
        <v>-7.3836307516251176E-3</v>
      </c>
      <c r="N1012" s="1">
        <f t="shared" si="78"/>
        <v>2.0618051963881744E-4</v>
      </c>
      <c r="O1012" s="1">
        <f t="shared" si="79"/>
        <v>2.0026034888683271E-4</v>
      </c>
    </row>
    <row r="1013" spans="4:15" x14ac:dyDescent="0.25">
      <c r="D1013" s="5">
        <v>44676</v>
      </c>
      <c r="E1013" s="4">
        <v>4.9175329720585803E-2</v>
      </c>
      <c r="F1013" s="4">
        <v>4.9184520647661802E-2</v>
      </c>
      <c r="G1013" s="4">
        <v>4.9179926999999998E-2</v>
      </c>
      <c r="H1013" s="4">
        <v>0.20277394760321199</v>
      </c>
      <c r="I1013" s="4">
        <v>0.20279862096937701</v>
      </c>
      <c r="J1013" s="4">
        <v>0.20278628000000001</v>
      </c>
      <c r="K1013">
        <f t="shared" si="75"/>
        <v>-2.9509429967333745E-4</v>
      </c>
      <c r="L1013">
        <f t="shared" si="76"/>
        <v>-3.7434420189916273E-2</v>
      </c>
      <c r="M1013" s="1">
        <f t="shared" si="77"/>
        <v>-1.9727971697905692E-2</v>
      </c>
      <c r="N1013" s="1">
        <f t="shared" si="78"/>
        <v>1.868837071677333E-4</v>
      </c>
      <c r="O1013" s="1">
        <f t="shared" si="79"/>
        <v>1.2167177269102134E-4</v>
      </c>
    </row>
    <row r="1014" spans="4:15" x14ac:dyDescent="0.25">
      <c r="D1014" s="3">
        <v>44673</v>
      </c>
      <c r="E1014" s="2">
        <v>4.9187423759493198E-2</v>
      </c>
      <c r="F1014" s="2">
        <v>4.92014602993417E-2</v>
      </c>
      <c r="G1014" s="2">
        <v>4.9194443999999997E-2</v>
      </c>
      <c r="H1014" s="2">
        <v>0.210646051439766</v>
      </c>
      <c r="I1014" s="2">
        <v>0.21069931101325301</v>
      </c>
      <c r="J1014" s="2">
        <v>0.21067269</v>
      </c>
      <c r="K1014">
        <f t="shared" si="75"/>
        <v>-7.3052825314346981E-3</v>
      </c>
      <c r="L1014">
        <f t="shared" si="76"/>
        <v>-2.6133874812071967E-2</v>
      </c>
      <c r="M1014" s="1">
        <f t="shared" si="77"/>
        <v>-1.7157204088983861E-2</v>
      </c>
      <c r="N1014" s="1">
        <f t="shared" si="78"/>
        <v>2.8532774653375955E-4</v>
      </c>
      <c r="O1014" s="1">
        <f t="shared" si="79"/>
        <v>2.528072029032706E-4</v>
      </c>
    </row>
    <row r="1015" spans="4:15" x14ac:dyDescent="0.25">
      <c r="D1015" s="5">
        <v>44672</v>
      </c>
      <c r="E1015" s="4">
        <v>4.9549594188823598E-2</v>
      </c>
      <c r="F1015" s="4">
        <v>4.9563346913690402E-2</v>
      </c>
      <c r="G1015" s="4">
        <v>4.9556467999999999E-2</v>
      </c>
      <c r="H1015" s="4">
        <v>0.21628636314480401</v>
      </c>
      <c r="I1015" s="4">
        <v>0.21636591804058999</v>
      </c>
      <c r="J1015" s="4">
        <v>0.21632613000000001</v>
      </c>
      <c r="K1015">
        <f t="shared" si="75"/>
        <v>-8.7467333416677562E-3</v>
      </c>
      <c r="L1015">
        <f t="shared" si="76"/>
        <v>-9.8425569571081173E-4</v>
      </c>
      <c r="M1015" s="1">
        <f t="shared" si="77"/>
        <v>-4.6850743647063441E-3</v>
      </c>
      <c r="N1015" s="1">
        <f t="shared" si="78"/>
        <v>2.7751624403103724E-4</v>
      </c>
      <c r="O1015" s="1">
        <f t="shared" si="79"/>
        <v>3.6775444457857505E-4</v>
      </c>
    </row>
    <row r="1016" spans="4:15" x14ac:dyDescent="0.25">
      <c r="D1016" s="3">
        <v>44671</v>
      </c>
      <c r="E1016" s="2">
        <v>4.9988752530680601E-2</v>
      </c>
      <c r="F1016" s="2">
        <v>4.9998750031249199E-2</v>
      </c>
      <c r="G1016" s="2">
        <v>4.9993750000000003E-2</v>
      </c>
      <c r="H1016" s="2">
        <v>0.216511139498127</v>
      </c>
      <c r="I1016" s="2">
        <v>0.21656740660530599</v>
      </c>
      <c r="J1016" s="2">
        <v>0.21653926000000001</v>
      </c>
      <c r="K1016">
        <f t="shared" si="75"/>
        <v>1.9997404496234772E-3</v>
      </c>
      <c r="L1016">
        <f t="shared" si="76"/>
        <v>1.3566076435051144E-2</v>
      </c>
      <c r="M1016" s="1">
        <f t="shared" si="77"/>
        <v>8.0517401497749701E-3</v>
      </c>
      <c r="N1016" s="1">
        <f t="shared" si="78"/>
        <v>1.9997500824799422E-4</v>
      </c>
      <c r="O1016" s="1">
        <f t="shared" si="79"/>
        <v>2.5984713893908496E-4</v>
      </c>
    </row>
    <row r="1017" spans="4:15" x14ac:dyDescent="0.25">
      <c r="D1017" s="5">
        <v>44670</v>
      </c>
      <c r="E1017" s="4">
        <v>4.9887005931564997E-2</v>
      </c>
      <c r="F1017" s="4">
        <v>4.9900946620957398E-2</v>
      </c>
      <c r="G1017" s="4">
        <v>4.9893975E-2</v>
      </c>
      <c r="H1017" s="4">
        <v>0.21362500267031301</v>
      </c>
      <c r="I1017" s="4">
        <v>0.21365695239723101</v>
      </c>
      <c r="J1017" s="4">
        <v>0.21364099</v>
      </c>
      <c r="K1017">
        <f t="shared" si="75"/>
        <v>-5.3636114086409448E-3</v>
      </c>
      <c r="L1017">
        <f t="shared" si="76"/>
        <v>-1.3352241373596474E-3</v>
      </c>
      <c r="M1017" s="1">
        <f t="shared" si="77"/>
        <v>-3.2557875836539806E-3</v>
      </c>
      <c r="N1017" s="1">
        <f t="shared" si="78"/>
        <v>2.7940626884110324E-4</v>
      </c>
      <c r="O1017" s="1">
        <f t="shared" si="79"/>
        <v>1.495486747089187E-4</v>
      </c>
    </row>
    <row r="1018" spans="4:15" x14ac:dyDescent="0.25">
      <c r="D1018" s="3">
        <v>44669</v>
      </c>
      <c r="E1018" s="2">
        <v>5.0155481994182002E-2</v>
      </c>
      <c r="F1018" s="2">
        <v>5.0170579971904501E-2</v>
      </c>
      <c r="G1018" s="2">
        <v>5.0163029999999997E-2</v>
      </c>
      <c r="H1018" s="2">
        <v>0.21389916793223701</v>
      </c>
      <c r="I1018" s="2">
        <v>0.213954085453262</v>
      </c>
      <c r="J1018" s="2">
        <v>0.21392663000000001</v>
      </c>
      <c r="K1018">
        <f t="shared" si="75"/>
        <v>1.7802893021039434E-3</v>
      </c>
      <c r="L1018">
        <f t="shared" si="76"/>
        <v>8.9095573532358419E-3</v>
      </c>
      <c r="M1018" s="1">
        <f t="shared" si="77"/>
        <v>5.5106260450543103E-3</v>
      </c>
      <c r="N1018" s="1">
        <f t="shared" si="78"/>
        <v>3.0097818498003062E-4</v>
      </c>
      <c r="O1018" s="1">
        <f t="shared" si="79"/>
        <v>2.5671194383321326E-4</v>
      </c>
    </row>
    <row r="1019" spans="4:15" x14ac:dyDescent="0.25">
      <c r="D1019" s="5">
        <v>44666</v>
      </c>
      <c r="E1019" s="4">
        <v>5.0065836575096299E-2</v>
      </c>
      <c r="F1019" s="4">
        <v>5.0081883880144E-2</v>
      </c>
      <c r="G1019" s="4">
        <v>5.0073883999999999E-2</v>
      </c>
      <c r="H1019" s="4">
        <v>0.21202612161818299</v>
      </c>
      <c r="I1019" s="4">
        <v>0.212048601539473</v>
      </c>
      <c r="J1019" s="4">
        <v>0.21203747000000001</v>
      </c>
      <c r="K1019">
        <f t="shared" si="75"/>
        <v>4.7929198987439747E-7</v>
      </c>
      <c r="L1019">
        <f t="shared" si="76"/>
        <v>4.7161497995773516E-7</v>
      </c>
      <c r="M1019" s="1">
        <f t="shared" si="77"/>
        <v>4.7527505125422969E-7</v>
      </c>
      <c r="N1019" s="1">
        <f t="shared" si="78"/>
        <v>3.2047254508359244E-4</v>
      </c>
      <c r="O1019" s="1">
        <f t="shared" si="79"/>
        <v>1.0601862628340368E-4</v>
      </c>
    </row>
    <row r="1020" spans="4:15" x14ac:dyDescent="0.25">
      <c r="D1020" s="3">
        <v>44665</v>
      </c>
      <c r="E1020" s="2">
        <v>5.0065836575096299E-2</v>
      </c>
      <c r="F1020" s="2">
        <v>5.0081883880144E-2</v>
      </c>
      <c r="G1020" s="2">
        <v>5.0073859999999998E-2</v>
      </c>
      <c r="H1020" s="2">
        <v>0.21202612161818299</v>
      </c>
      <c r="I1020" s="2">
        <v>0.212048601539473</v>
      </c>
      <c r="J1020" s="2">
        <v>0.21203737</v>
      </c>
      <c r="K1020">
        <f t="shared" si="75"/>
        <v>-7.8490585358012011E-3</v>
      </c>
      <c r="L1020">
        <f t="shared" si="76"/>
        <v>-5.4492712564754298E-3</v>
      </c>
      <c r="M1020" s="1">
        <f t="shared" si="77"/>
        <v>-6.5933876030870725E-3</v>
      </c>
      <c r="N1020" s="1">
        <f t="shared" si="78"/>
        <v>3.2047269868351629E-4</v>
      </c>
      <c r="O1020" s="1">
        <f t="shared" si="79"/>
        <v>1.0601867628337599E-4</v>
      </c>
    </row>
    <row r="1021" spans="4:15" x14ac:dyDescent="0.25">
      <c r="D1021" s="5">
        <v>44664</v>
      </c>
      <c r="E1021" s="4">
        <v>5.0464780629598603E-2</v>
      </c>
      <c r="F1021" s="4">
        <v>5.0475224236183697E-2</v>
      </c>
      <c r="G1021" s="4">
        <v>5.0470002E-2</v>
      </c>
      <c r="H1021" s="4">
        <v>0.213160531196044</v>
      </c>
      <c r="I1021" s="4">
        <v>0.21323780279768001</v>
      </c>
      <c r="J1021" s="4">
        <v>0.21319915</v>
      </c>
      <c r="K1021">
        <f t="shared" si="75"/>
        <v>1.5015180079569479E-3</v>
      </c>
      <c r="L1021">
        <f t="shared" si="76"/>
        <v>-6.9716272683884029E-3</v>
      </c>
      <c r="M1021" s="1">
        <f t="shared" si="77"/>
        <v>-2.9319925468452553E-3</v>
      </c>
      <c r="N1021" s="1">
        <f t="shared" si="78"/>
        <v>2.0692700953515959E-4</v>
      </c>
      <c r="O1021" s="1">
        <f t="shared" si="79"/>
        <v>3.6243860088564449E-4</v>
      </c>
    </row>
    <row r="1022" spans="4:15" x14ac:dyDescent="0.25">
      <c r="D1022" s="3">
        <v>44663</v>
      </c>
      <c r="E1022" s="2">
        <v>5.0388749200078603E-2</v>
      </c>
      <c r="F1022" s="2">
        <v>5.0399923392116401E-2</v>
      </c>
      <c r="G1022" s="2">
        <v>5.0394333999999999E-2</v>
      </c>
      <c r="H1022" s="2">
        <v>0.214679805070737</v>
      </c>
      <c r="I1022" s="2">
        <v>0.21471207111263799</v>
      </c>
      <c r="J1022" s="2">
        <v>0.21469593000000001</v>
      </c>
      <c r="K1022">
        <f t="shared" si="75"/>
        <v>9.3103324100709539E-3</v>
      </c>
      <c r="L1022">
        <f t="shared" si="76"/>
        <v>1.1164227675359628E-2</v>
      </c>
      <c r="M1022" s="1">
        <f t="shared" si="77"/>
        <v>1.0280369386670546E-2</v>
      </c>
      <c r="N1022" s="1">
        <f t="shared" si="78"/>
        <v>2.2173508707939407E-4</v>
      </c>
      <c r="O1022" s="1">
        <f t="shared" si="79"/>
        <v>1.5028716147989251E-4</v>
      </c>
    </row>
    <row r="1023" spans="4:15" x14ac:dyDescent="0.25">
      <c r="D1023" s="5">
        <v>44662</v>
      </c>
      <c r="E1023" s="4">
        <v>4.9925112331502701E-2</v>
      </c>
      <c r="F1023" s="4">
        <v>4.9933837665093801E-2</v>
      </c>
      <c r="G1023" s="4">
        <v>4.9929474000000001E-2</v>
      </c>
      <c r="H1023" s="4">
        <v>0.212296195652174</v>
      </c>
      <c r="I1023" s="4">
        <v>0.21235480240385601</v>
      </c>
      <c r="J1023" s="4">
        <v>0.21232548000000001</v>
      </c>
      <c r="K1023">
        <f t="shared" si="75"/>
        <v>3.956934961384162E-3</v>
      </c>
      <c r="L1023">
        <f t="shared" si="76"/>
        <v>8.6310021187734343E-3</v>
      </c>
      <c r="M1023" s="1">
        <f t="shared" si="77"/>
        <v>6.4026060080014258E-3</v>
      </c>
      <c r="N1023" s="1">
        <f t="shared" si="78"/>
        <v>1.7475316465581596E-4</v>
      </c>
      <c r="O1023" s="1">
        <f t="shared" si="79"/>
        <v>2.7602316821330637E-4</v>
      </c>
    </row>
    <row r="1024" spans="4:15" x14ac:dyDescent="0.25">
      <c r="D1024" s="3">
        <v>44659</v>
      </c>
      <c r="E1024" s="2">
        <v>4.9725020635883597E-2</v>
      </c>
      <c r="F1024" s="2">
        <v>4.9740355345098602E-2</v>
      </c>
      <c r="G1024" s="2">
        <v>4.9732684999999999E-2</v>
      </c>
      <c r="H1024" s="2">
        <v>0.21048200378867599</v>
      </c>
      <c r="I1024" s="2">
        <v>0.21053518042864999</v>
      </c>
      <c r="J1024" s="2">
        <v>0.21050858</v>
      </c>
      <c r="K1024">
        <f t="shared" si="75"/>
        <v>3.2823293453012603E-3</v>
      </c>
      <c r="L1024">
        <f t="shared" si="76"/>
        <v>2.8417614500091393E-3</v>
      </c>
      <c r="M1024" s="1">
        <f t="shared" si="77"/>
        <v>3.0518054548001054E-3</v>
      </c>
      <c r="N1024" s="1">
        <f t="shared" si="78"/>
        <v>3.083426767528228E-4</v>
      </c>
      <c r="O1024" s="1">
        <f t="shared" si="79"/>
        <v>2.5261032103302558E-4</v>
      </c>
    </row>
    <row r="1025" spans="4:15" x14ac:dyDescent="0.25">
      <c r="D1025" s="5">
        <v>44658</v>
      </c>
      <c r="E1025" s="4">
        <v>4.9562609967040899E-2</v>
      </c>
      <c r="F1025" s="4">
        <v>4.95773530651199E-2</v>
      </c>
      <c r="G1025" s="4">
        <v>4.956998E-2</v>
      </c>
      <c r="H1025" s="4">
        <v>0.209898828764535</v>
      </c>
      <c r="I1025" s="4">
        <v>0.20992526660508901</v>
      </c>
      <c r="J1025" s="4">
        <v>0.20991206000000001</v>
      </c>
      <c r="K1025">
        <f t="shared" si="75"/>
        <v>-7.237217568187293E-3</v>
      </c>
      <c r="L1025">
        <f t="shared" si="76"/>
        <v>-1.455733022065886E-2</v>
      </c>
      <c r="M1025" s="1">
        <f t="shared" si="77"/>
        <v>-1.1067412336318526E-2</v>
      </c>
      <c r="N1025" s="1">
        <f t="shared" si="78"/>
        <v>2.9741989161587054E-4</v>
      </c>
      <c r="O1025" s="1">
        <f t="shared" si="79"/>
        <v>1.2594722072664882E-4</v>
      </c>
    </row>
    <row r="1026" spans="4:15" x14ac:dyDescent="0.25">
      <c r="D1026" s="3">
        <v>44657</v>
      </c>
      <c r="E1026" s="2">
        <v>4.9926109358149902E-2</v>
      </c>
      <c r="F1026" s="2">
        <v>4.9936580542710801E-2</v>
      </c>
      <c r="G1026" s="2">
        <v>4.9931344000000003E-2</v>
      </c>
      <c r="H1026" s="2">
        <v>0.21300161881230301</v>
      </c>
      <c r="I1026" s="2">
        <v>0.21302430607332301</v>
      </c>
      <c r="J1026" s="2">
        <v>0.21301296</v>
      </c>
      <c r="K1026">
        <f t="shared" si="75"/>
        <v>-7.5146195343215316E-3</v>
      </c>
      <c r="L1026">
        <f t="shared" si="76"/>
        <v>-6.2518815335838029E-3</v>
      </c>
      <c r="M1026" s="1">
        <f t="shared" si="77"/>
        <v>-6.8539012211527939E-3</v>
      </c>
      <c r="N1026" s="1">
        <f t="shared" si="78"/>
        <v>2.0971165047949228E-4</v>
      </c>
      <c r="O1026" s="1">
        <f t="shared" si="79"/>
        <v>1.0650648214082665E-4</v>
      </c>
    </row>
    <row r="1027" spans="4:15" x14ac:dyDescent="0.25">
      <c r="D1027" s="5">
        <v>44656</v>
      </c>
      <c r="E1027" s="4">
        <v>5.0302063893681602E-2</v>
      </c>
      <c r="F1027" s="4">
        <v>5.0316743902868603E-2</v>
      </c>
      <c r="G1027" s="4">
        <v>5.0309399999999997E-2</v>
      </c>
      <c r="H1027" s="4">
        <v>0.214307145000214</v>
      </c>
      <c r="I1027" s="4">
        <v>0.21439903949230299</v>
      </c>
      <c r="J1027" s="4">
        <v>0.21435307000000001</v>
      </c>
      <c r="K1027">
        <f t="shared" si="75"/>
        <v>-6.7918009418830305E-3</v>
      </c>
      <c r="L1027">
        <f t="shared" si="76"/>
        <v>-1.1832348683434635E-2</v>
      </c>
      <c r="M1027" s="1">
        <f t="shared" si="77"/>
        <v>-9.4292302417843202E-3</v>
      </c>
      <c r="N1027" s="1">
        <f t="shared" si="78"/>
        <v>2.9179455900888124E-4</v>
      </c>
      <c r="O1027" s="1">
        <f t="shared" si="79"/>
        <v>4.2870620928820704E-4</v>
      </c>
    </row>
    <row r="1028" spans="4:15" x14ac:dyDescent="0.25">
      <c r="D1028" s="3">
        <v>44655</v>
      </c>
      <c r="E1028" s="2">
        <v>5.0646759113884297E-2</v>
      </c>
      <c r="F1028" s="2">
        <v>5.06601011175618E-2</v>
      </c>
      <c r="G1028" s="2">
        <v>5.0653428E-2</v>
      </c>
      <c r="H1028" s="2">
        <v>0.21689621516104499</v>
      </c>
      <c r="I1028" s="2">
        <v>0.21694326933506899</v>
      </c>
      <c r="J1028" s="2">
        <v>0.21691974</v>
      </c>
      <c r="K1028">
        <f t="shared" si="75"/>
        <v>4.128204121781387E-3</v>
      </c>
      <c r="L1028">
        <f t="shared" si="76"/>
        <v>1.9175721149204294E-2</v>
      </c>
      <c r="M1028" s="1">
        <f t="shared" si="77"/>
        <v>1.2001706037402998E-2</v>
      </c>
      <c r="N1028" s="1">
        <f t="shared" si="78"/>
        <v>2.6339784303447866E-4</v>
      </c>
      <c r="O1028" s="1">
        <f t="shared" si="79"/>
        <v>2.1691974194699038E-4</v>
      </c>
    </row>
    <row r="1029" spans="4:15" x14ac:dyDescent="0.25">
      <c r="D1029" s="5">
        <v>44652</v>
      </c>
      <c r="E1029" s="4">
        <v>5.0441361916771801E-2</v>
      </c>
      <c r="F1029" s="4">
        <v>5.0448996064978303E-2</v>
      </c>
      <c r="G1029" s="4">
        <v>5.0445179999999999E-2</v>
      </c>
      <c r="H1029" s="4">
        <v>0.21281123643328401</v>
      </c>
      <c r="I1029" s="4">
        <v>0.21286559666226701</v>
      </c>
      <c r="J1029" s="4">
        <v>0.21283841000000001</v>
      </c>
      <c r="K1029">
        <f t="shared" si="75"/>
        <v>5.9777138193564117E-3</v>
      </c>
      <c r="L1029">
        <f t="shared" si="76"/>
        <v>1.1397408685822619E-2</v>
      </c>
      <c r="M1029" s="1">
        <f t="shared" si="77"/>
        <v>8.8135290462433465E-3</v>
      </c>
      <c r="N1029" s="1">
        <f t="shared" si="78"/>
        <v>1.5133553307773002E-4</v>
      </c>
      <c r="O1029" s="1">
        <f t="shared" si="79"/>
        <v>2.554061035458897E-4</v>
      </c>
    </row>
    <row r="1030" spans="4:15" x14ac:dyDescent="0.25">
      <c r="D1030" s="3">
        <v>44651</v>
      </c>
      <c r="E1030" s="2">
        <v>5.0141650161706797E-2</v>
      </c>
      <c r="F1030" s="2">
        <v>5.0149193851708802E-2</v>
      </c>
      <c r="G1030" s="2">
        <v>5.0145425E-2</v>
      </c>
      <c r="H1030" s="2">
        <v>0.21042442606737799</v>
      </c>
      <c r="I1030" s="2">
        <v>0.21045542554086999</v>
      </c>
      <c r="J1030" s="2">
        <v>0.21043993999999999</v>
      </c>
      <c r="K1030">
        <f t="shared" si="75"/>
        <v>-4.889129077893406E-3</v>
      </c>
      <c r="L1030">
        <f t="shared" si="76"/>
        <v>1.325934063591383E-3</v>
      </c>
      <c r="M1030" s="1">
        <f t="shared" si="77"/>
        <v>-1.6371432877453794E-3</v>
      </c>
      <c r="N1030" s="1">
        <f t="shared" si="78"/>
        <v>1.5043625618898763E-4</v>
      </c>
      <c r="O1030" s="1">
        <f t="shared" si="79"/>
        <v>1.4730793732406209E-4</v>
      </c>
    </row>
    <row r="1031" spans="4:15" x14ac:dyDescent="0.25">
      <c r="D1031" s="5">
        <v>44650</v>
      </c>
      <c r="E1031" s="4">
        <v>5.03872258305074E-2</v>
      </c>
      <c r="F1031" s="4">
        <v>5.0396367429835699E-2</v>
      </c>
      <c r="G1031" s="4">
        <v>5.0391797000000002E-2</v>
      </c>
      <c r="H1031" s="4">
        <v>0.210128178188695</v>
      </c>
      <c r="I1031" s="4">
        <v>0.210194429847609</v>
      </c>
      <c r="J1031" s="4">
        <v>0.21016128000000001</v>
      </c>
      <c r="K1031">
        <f t="shared" si="75"/>
        <v>7.4958094147417054E-3</v>
      </c>
      <c r="L1031">
        <f t="shared" si="76"/>
        <v>-2.0596876355682969E-3</v>
      </c>
      <c r="M1031" s="1">
        <f t="shared" si="77"/>
        <v>2.4959663048636938E-3</v>
      </c>
      <c r="N1031" s="1">
        <f t="shared" si="78"/>
        <v>1.8141046504651338E-4</v>
      </c>
      <c r="O1031" s="1">
        <f t="shared" si="79"/>
        <v>3.1524198422276499E-4</v>
      </c>
    </row>
    <row r="1032" spans="4:15" x14ac:dyDescent="0.25">
      <c r="D1032" s="3">
        <v>44649</v>
      </c>
      <c r="E1032" s="2">
        <v>5.00105022054632E-2</v>
      </c>
      <c r="F1032" s="2">
        <v>5.0023260816279599E-2</v>
      </c>
      <c r="G1032" s="2">
        <v>5.001688E-2</v>
      </c>
      <c r="H1032" s="2">
        <v>0.21056177882590801</v>
      </c>
      <c r="I1032" s="2">
        <v>0.21062830423152301</v>
      </c>
      <c r="J1032" s="2">
        <v>0.21059504000000001</v>
      </c>
      <c r="K1032">
        <f t="shared" si="75"/>
        <v>7.3774964535664456E-3</v>
      </c>
      <c r="L1032">
        <f t="shared" si="76"/>
        <v>1.2351410737225121E-2</v>
      </c>
      <c r="M1032" s="1">
        <f t="shared" si="77"/>
        <v>9.9800602897896842E-3</v>
      </c>
      <c r="N1032" s="1">
        <f t="shared" si="78"/>
        <v>2.5508609926087081E-4</v>
      </c>
      <c r="O1032" s="1">
        <f t="shared" si="79"/>
        <v>3.1589255670502856E-4</v>
      </c>
    </row>
    <row r="1033" spans="4:15" x14ac:dyDescent="0.25">
      <c r="D1033" s="5">
        <v>44648</v>
      </c>
      <c r="E1033" s="4">
        <v>4.9646763279268001E-2</v>
      </c>
      <c r="F1033" s="4">
        <v>4.9654405338841703E-2</v>
      </c>
      <c r="G1033" s="4">
        <v>4.9650582999999998E-2</v>
      </c>
      <c r="H1033" s="4">
        <v>0.20798668885191299</v>
      </c>
      <c r="I1033" s="4">
        <v>0.20806458324664001</v>
      </c>
      <c r="J1033" s="4">
        <v>0.20802562999999999</v>
      </c>
      <c r="K1033">
        <f t="shared" si="75"/>
        <v>-9.8432786777229442E-3</v>
      </c>
      <c r="L1033">
        <f t="shared" si="76"/>
        <v>-1.0671729627829696E-2</v>
      </c>
      <c r="M1033" s="1">
        <f t="shared" si="77"/>
        <v>-1.0276759505873976E-2</v>
      </c>
      <c r="N1033" s="1">
        <f t="shared" si="78"/>
        <v>1.539168145055273E-4</v>
      </c>
      <c r="O1033" s="1">
        <f t="shared" si="79"/>
        <v>3.7444614265570963E-4</v>
      </c>
    </row>
    <row r="1034" spans="4:15" x14ac:dyDescent="0.25">
      <c r="D1034" s="3">
        <v>44645</v>
      </c>
      <c r="E1034" s="2">
        <v>5.0137376411367097E-2</v>
      </c>
      <c r="F1034" s="2">
        <v>5.0150954372661698E-2</v>
      </c>
      <c r="G1034" s="2">
        <v>5.0144165999999997E-2</v>
      </c>
      <c r="H1034" s="2">
        <v>0.210220942210263</v>
      </c>
      <c r="I1034" s="2">
        <v>0.21031821145393001</v>
      </c>
      <c r="J1034" s="2">
        <v>0.21026956999999999</v>
      </c>
      <c r="K1034">
        <f t="shared" si="75"/>
        <v>8.9507868095894949E-3</v>
      </c>
      <c r="L1034">
        <f t="shared" si="76"/>
        <v>1.3331112003412748E-2</v>
      </c>
      <c r="M1034" s="1">
        <f t="shared" si="77"/>
        <v>1.1242759547800086E-2</v>
      </c>
      <c r="N1034" s="1">
        <f t="shared" si="78"/>
        <v>2.7077848487100587E-4</v>
      </c>
      <c r="O1034" s="1">
        <f t="shared" si="79"/>
        <v>4.6259305931435624E-4</v>
      </c>
    </row>
    <row r="1035" spans="4:15" x14ac:dyDescent="0.25">
      <c r="D1035" s="5">
        <v>44644</v>
      </c>
      <c r="E1035" s="4">
        <v>4.9693638717307802E-2</v>
      </c>
      <c r="F1035" s="4">
        <v>4.9705000820132503E-2</v>
      </c>
      <c r="G1035" s="4">
        <v>4.9699317999999999E-2</v>
      </c>
      <c r="H1035" s="4">
        <v>0.20748179347262299</v>
      </c>
      <c r="I1035" s="4">
        <v>0.20752485110091901</v>
      </c>
      <c r="J1035" s="4">
        <v>0.20750331999999999</v>
      </c>
      <c r="K1035">
        <f t="shared" si="75"/>
        <v>2.4849057387017481E-3</v>
      </c>
      <c r="L1035">
        <f t="shared" si="76"/>
        <v>6.1835902179958602E-3</v>
      </c>
      <c r="M1035" s="1">
        <f t="shared" si="77"/>
        <v>4.4202150179622601E-3</v>
      </c>
      <c r="N1035" s="1">
        <f t="shared" si="78"/>
        <v>2.286168760847184E-4</v>
      </c>
      <c r="O1035" s="1">
        <f t="shared" si="79"/>
        <v>2.0750332233725977E-4</v>
      </c>
    </row>
    <row r="1036" spans="4:15" x14ac:dyDescent="0.25">
      <c r="D1036" s="3">
        <v>44643</v>
      </c>
      <c r="E1036" s="2">
        <v>4.95702261393716E-2</v>
      </c>
      <c r="F1036" s="2">
        <v>4.9582023541544798E-2</v>
      </c>
      <c r="G1036" s="2">
        <v>4.9576125999999998E-2</v>
      </c>
      <c r="H1036" s="2">
        <v>0.20620257340811601</v>
      </c>
      <c r="I1036" s="2">
        <v>0.20625360943816501</v>
      </c>
      <c r="J1036" s="2">
        <v>0.20622809</v>
      </c>
      <c r="K1036">
        <f t="shared" si="75"/>
        <v>4.9080968314136886E-3</v>
      </c>
      <c r="L1036">
        <f t="shared" si="76"/>
        <v>1.8478068639923961E-2</v>
      </c>
      <c r="M1036" s="1">
        <f t="shared" si="77"/>
        <v>1.2008484146777652E-2</v>
      </c>
      <c r="N1036" s="1">
        <f t="shared" si="78"/>
        <v>2.3796539030093665E-4</v>
      </c>
      <c r="O1036" s="1">
        <f t="shared" si="79"/>
        <v>2.4747370762632468E-4</v>
      </c>
    </row>
    <row r="1037" spans="4:15" x14ac:dyDescent="0.25">
      <c r="D1037" s="5">
        <v>44642</v>
      </c>
      <c r="E1037" s="4">
        <v>4.9329123914759299E-2</v>
      </c>
      <c r="F1037" s="4">
        <v>4.93388592855733E-2</v>
      </c>
      <c r="G1037" s="4">
        <v>4.9333990000000001E-2</v>
      </c>
      <c r="H1037" s="4">
        <v>0.20246193715581501</v>
      </c>
      <c r="I1037" s="4">
        <v>0.202511138112596</v>
      </c>
      <c r="J1037" s="4">
        <v>0.20248653</v>
      </c>
      <c r="K1037">
        <f t="shared" si="75"/>
        <v>9.6196575059459555E-4</v>
      </c>
      <c r="L1037">
        <f t="shared" si="76"/>
        <v>1.9843579094633856E-3</v>
      </c>
      <c r="M1037" s="1">
        <f t="shared" si="77"/>
        <v>1.4969248808417851E-3</v>
      </c>
      <c r="N1037" s="1">
        <f t="shared" si="78"/>
        <v>1.9733597087933353E-4</v>
      </c>
      <c r="O1037" s="1">
        <f t="shared" si="79"/>
        <v>2.4298385073311799E-4</v>
      </c>
    </row>
    <row r="1038" spans="4:15" x14ac:dyDescent="0.25">
      <c r="D1038" s="3">
        <v>44641</v>
      </c>
      <c r="E1038" s="2">
        <v>4.9279776072697498E-2</v>
      </c>
      <c r="F1038" s="2">
        <v>4.9293379406212E-2</v>
      </c>
      <c r="G1038" s="2">
        <v>4.9286577999999998E-2</v>
      </c>
      <c r="H1038" s="2">
        <v>0.202052857027398</v>
      </c>
      <c r="I1038" s="2">
        <v>0.202118198722613</v>
      </c>
      <c r="J1038" s="2">
        <v>0.20208551999999999</v>
      </c>
      <c r="K1038">
        <f t="shared" si="75"/>
        <v>5.6926482517658528E-3</v>
      </c>
      <c r="L1038">
        <f t="shared" si="76"/>
        <v>1.3761964477362332E-2</v>
      </c>
      <c r="M1038" s="1">
        <f t="shared" si="77"/>
        <v>9.9148582445643431E-3</v>
      </c>
      <c r="N1038" s="1">
        <f t="shared" si="78"/>
        <v>2.7600482862700793E-4</v>
      </c>
      <c r="O1038" s="1">
        <f t="shared" si="79"/>
        <v>3.2333684875093094E-4</v>
      </c>
    </row>
    <row r="1039" spans="4:15" x14ac:dyDescent="0.25">
      <c r="D1039" s="5">
        <v>44638</v>
      </c>
      <c r="E1039" s="4">
        <v>4.9003033287760497E-2</v>
      </c>
      <c r="F1039" s="4">
        <v>4.9012159916875402E-2</v>
      </c>
      <c r="G1039" s="4">
        <v>4.9007595000000001E-2</v>
      </c>
      <c r="H1039" s="4">
        <v>0.19931435860639399</v>
      </c>
      <c r="I1039" s="4">
        <v>0.19936999082897999</v>
      </c>
      <c r="J1039" s="4">
        <v>0.19934218000000001</v>
      </c>
      <c r="K1039">
        <f t="shared" si="75"/>
        <v>7.4981606243036403E-3</v>
      </c>
      <c r="L1039">
        <f t="shared" si="76"/>
        <v>5.3822718253804247E-3</v>
      </c>
      <c r="M1039" s="1">
        <f t="shared" si="77"/>
        <v>6.3910374702840283E-3</v>
      </c>
      <c r="N1039" s="1">
        <f t="shared" si="78"/>
        <v>1.8622887156376873E-4</v>
      </c>
      <c r="O1039" s="1">
        <f t="shared" si="79"/>
        <v>2.7907903177343144E-4</v>
      </c>
    </row>
    <row r="1040" spans="4:15" x14ac:dyDescent="0.25">
      <c r="D1040" s="3">
        <v>44637</v>
      </c>
      <c r="E1040" s="2">
        <v>4.8638368863661803E-2</v>
      </c>
      <c r="F1040" s="2">
        <v>4.8647360151001399E-2</v>
      </c>
      <c r="G1040" s="2">
        <v>4.8642863000000001E-2</v>
      </c>
      <c r="H1040" s="2">
        <v>0.198255352894528</v>
      </c>
      <c r="I1040" s="2">
        <v>0.19829466587348801</v>
      </c>
      <c r="J1040" s="2">
        <v>0.19827501</v>
      </c>
      <c r="K1040">
        <f t="shared" ref="K1040:K1103" si="80">G1040/G1041-1</f>
        <v>8.4639017502163849E-3</v>
      </c>
      <c r="L1040">
        <f t="shared" ref="L1040:L1103" si="81">J1040/J1041-1</f>
        <v>1.339350674819606E-2</v>
      </c>
      <c r="M1040" s="1">
        <f t="shared" ref="M1040:M1103" si="82">SUMPRODUCT(K1040:L1040,$O$11:$P$11)</f>
        <v>1.1043281080647893E-2</v>
      </c>
      <c r="N1040" s="1">
        <f t="shared" ref="N1040:N1103" si="83">(F1040-E1040)/G1040</f>
        <v>1.8484288927640672E-4</v>
      </c>
      <c r="O1040" s="1">
        <f t="shared" ref="O1040:O1103" si="84">(I1040-H1040)/J1040</f>
        <v>1.9827500682012301E-4</v>
      </c>
    </row>
    <row r="1041" spans="4:15" x14ac:dyDescent="0.25">
      <c r="D1041" s="5">
        <v>44636</v>
      </c>
      <c r="E1041" s="4">
        <v>4.8227867026124999E-2</v>
      </c>
      <c r="F1041" s="4">
        <v>4.8241361178246997E-2</v>
      </c>
      <c r="G1041" s="4">
        <v>4.8234609999999997E-2</v>
      </c>
      <c r="H1041" s="4">
        <v>0.19560667409971999</v>
      </c>
      <c r="I1041" s="4">
        <v>0.19570237582684299</v>
      </c>
      <c r="J1041" s="4">
        <v>0.19565451</v>
      </c>
      <c r="K1041">
        <f t="shared" si="80"/>
        <v>7.5245680486779598E-3</v>
      </c>
      <c r="L1041">
        <f t="shared" si="81"/>
        <v>5.9674888468206344E-3</v>
      </c>
      <c r="M1041" s="1">
        <f t="shared" si="82"/>
        <v>6.7098378804876894E-3</v>
      </c>
      <c r="N1041" s="1">
        <f t="shared" si="83"/>
        <v>2.7976078011200542E-4</v>
      </c>
      <c r="O1041" s="1">
        <f t="shared" si="84"/>
        <v>4.8913632056324331E-4</v>
      </c>
    </row>
    <row r="1042" spans="4:15" x14ac:dyDescent="0.25">
      <c r="D1042" s="3">
        <v>44635</v>
      </c>
      <c r="E1042" s="2">
        <v>4.7869335860834299E-2</v>
      </c>
      <c r="F1042" s="2">
        <v>4.7879420467494702E-2</v>
      </c>
      <c r="G1042" s="2">
        <v>4.7874376000000003E-2</v>
      </c>
      <c r="H1042" s="2">
        <v>0.19447307520273799</v>
      </c>
      <c r="I1042" s="2">
        <v>0.19451468585878201</v>
      </c>
      <c r="J1042" s="2">
        <v>0.19449387000000001</v>
      </c>
      <c r="K1042">
        <f t="shared" si="80"/>
        <v>1.0532158043554674E-3</v>
      </c>
      <c r="L1042">
        <f t="shared" si="81"/>
        <v>-1.1339002817798094E-2</v>
      </c>
      <c r="M1042" s="1">
        <f t="shared" si="82"/>
        <v>-5.4309208729790056E-3</v>
      </c>
      <c r="N1042" s="1">
        <f t="shared" si="83"/>
        <v>2.1064727110809653E-4</v>
      </c>
      <c r="O1042" s="1">
        <f t="shared" si="84"/>
        <v>2.1394327771884092E-4</v>
      </c>
    </row>
    <row r="1043" spans="4:15" x14ac:dyDescent="0.25">
      <c r="D1043" s="5">
        <v>44634</v>
      </c>
      <c r="E1043" s="4">
        <v>4.7820577194366699E-2</v>
      </c>
      <c r="F1043" s="4">
        <v>4.7827438601525697E-2</v>
      </c>
      <c r="G1043" s="4">
        <v>4.7824007000000002E-2</v>
      </c>
      <c r="H1043" s="4">
        <v>0.196691646505773</v>
      </c>
      <c r="I1043" s="4">
        <v>0.196757437431135</v>
      </c>
      <c r="J1043" s="4">
        <v>0.19672453000000001</v>
      </c>
      <c r="K1043">
        <f t="shared" si="80"/>
        <v>5.8588579915586081E-4</v>
      </c>
      <c r="L1043">
        <f t="shared" si="81"/>
        <v>-8.3608398655570237E-3</v>
      </c>
      <c r="M1043" s="1">
        <f t="shared" si="82"/>
        <v>-4.0954221888186912E-3</v>
      </c>
      <c r="N1043" s="1">
        <f t="shared" si="83"/>
        <v>1.4347202565016888E-4</v>
      </c>
      <c r="O1043" s="1">
        <f t="shared" si="84"/>
        <v>3.3443173234162251E-4</v>
      </c>
    </row>
    <row r="1044" spans="4:15" x14ac:dyDescent="0.25">
      <c r="D1044" s="3">
        <v>44631</v>
      </c>
      <c r="E1044" s="2">
        <v>4.7788583307447903E-2</v>
      </c>
      <c r="F1044" s="2">
        <v>4.7803432286438199E-2</v>
      </c>
      <c r="G1044" s="2">
        <v>4.7796004000000003E-2</v>
      </c>
      <c r="H1044" s="2">
        <v>0.19836153373137899</v>
      </c>
      <c r="I1044" s="2">
        <v>0.19840482520534899</v>
      </c>
      <c r="J1044" s="2">
        <v>0.19838317999999999</v>
      </c>
      <c r="K1044">
        <f t="shared" si="80"/>
        <v>1.8998699727097446E-3</v>
      </c>
      <c r="L1044">
        <f t="shared" si="81"/>
        <v>1.9640969462251245E-3</v>
      </c>
      <c r="M1044" s="1">
        <f t="shared" si="82"/>
        <v>1.9334762612480021E-3</v>
      </c>
      <c r="N1044" s="1">
        <f t="shared" si="83"/>
        <v>3.106740678634225E-4</v>
      </c>
      <c r="O1044" s="1">
        <f t="shared" si="84"/>
        <v>2.1822149423153211E-4</v>
      </c>
    </row>
    <row r="1045" spans="4:15" x14ac:dyDescent="0.25">
      <c r="D1045" s="5">
        <v>44630</v>
      </c>
      <c r="E1045" s="4">
        <v>4.7696725142851698E-2</v>
      </c>
      <c r="F1045" s="4">
        <v>4.7714021242282301E-2</v>
      </c>
      <c r="G1045" s="4">
        <v>4.7705369999999997E-2</v>
      </c>
      <c r="H1045" s="4">
        <v>0.19796492061606699</v>
      </c>
      <c r="I1045" s="4">
        <v>0.19802372324204401</v>
      </c>
      <c r="J1045" s="4">
        <v>0.19799430000000001</v>
      </c>
      <c r="K1045">
        <f t="shared" si="80"/>
        <v>1.9079060060667175E-4</v>
      </c>
      <c r="L1045">
        <f t="shared" si="81"/>
        <v>-1.1612440483503184E-2</v>
      </c>
      <c r="M1045" s="1">
        <f t="shared" si="82"/>
        <v>-5.9851627066333807E-3</v>
      </c>
      <c r="N1045" s="1">
        <f t="shared" si="83"/>
        <v>3.6256084861311462E-4</v>
      </c>
      <c r="O1045" s="1">
        <f t="shared" si="84"/>
        <v>2.9699150923545228E-4</v>
      </c>
    </row>
    <row r="1046" spans="4:15" x14ac:dyDescent="0.25">
      <c r="D1046" s="3">
        <v>44629</v>
      </c>
      <c r="E1046" s="2">
        <v>4.7690356056198299E-2</v>
      </c>
      <c r="F1046" s="2">
        <v>4.77021857141494E-2</v>
      </c>
      <c r="G1046" s="2">
        <v>4.7696269999999999E-2</v>
      </c>
      <c r="H1046" s="2">
        <v>0.200280392549569</v>
      </c>
      <c r="I1046" s="2">
        <v>0.20036064916850299</v>
      </c>
      <c r="J1046" s="2">
        <v>0.20032051000000001</v>
      </c>
      <c r="K1046">
        <f t="shared" si="80"/>
        <v>2.2894183529673873E-2</v>
      </c>
      <c r="L1046">
        <f t="shared" si="81"/>
        <v>1.9941869774956045E-2</v>
      </c>
      <c r="M1046" s="1">
        <f t="shared" si="82"/>
        <v>2.1349407208043888E-2</v>
      </c>
      <c r="N1046" s="1">
        <f t="shared" si="83"/>
        <v>2.480206093914943E-4</v>
      </c>
      <c r="O1046" s="1">
        <f t="shared" si="84"/>
        <v>4.0064104735949488E-4</v>
      </c>
    </row>
    <row r="1047" spans="4:15" x14ac:dyDescent="0.25">
      <c r="D1047" s="5">
        <v>44628</v>
      </c>
      <c r="E1047" s="4">
        <v>4.6621568069820499E-2</v>
      </c>
      <c r="F1047" s="4">
        <v>4.66359180513648E-2</v>
      </c>
      <c r="G1047" s="4">
        <v>4.6628743E-2</v>
      </c>
      <c r="H1047" s="4">
        <v>0.19635949496337901</v>
      </c>
      <c r="I1047" s="4">
        <v>0.19644821625019601</v>
      </c>
      <c r="J1047" s="4">
        <v>0.19640384999999999</v>
      </c>
      <c r="K1047">
        <f t="shared" si="80"/>
        <v>-1.1540611555514002E-2</v>
      </c>
      <c r="L1047">
        <f t="shared" si="81"/>
        <v>-4.9002634733307238E-3</v>
      </c>
      <c r="M1047" s="1">
        <f t="shared" si="82"/>
        <v>-8.0660985677444511E-3</v>
      </c>
      <c r="N1047" s="1">
        <f t="shared" si="83"/>
        <v>3.0774969731225661E-4</v>
      </c>
      <c r="O1047" s="1">
        <f t="shared" si="84"/>
        <v>4.5172885774388155E-4</v>
      </c>
    </row>
    <row r="1048" spans="4:15" x14ac:dyDescent="0.25">
      <c r="D1048" s="3">
        <v>44627</v>
      </c>
      <c r="E1048" s="2">
        <v>4.7165361758324698E-2</v>
      </c>
      <c r="F1048" s="2">
        <v>4.7180938900684102E-2</v>
      </c>
      <c r="G1048" s="2">
        <v>4.7173149999999997E-2</v>
      </c>
      <c r="H1048" s="2">
        <v>0.19733207040808301</v>
      </c>
      <c r="I1048" s="2">
        <v>0.19740998104864199</v>
      </c>
      <c r="J1048" s="2">
        <v>0.19737102000000001</v>
      </c>
      <c r="K1048">
        <f t="shared" si="80"/>
        <v>-1.1793292944067835E-2</v>
      </c>
      <c r="L1048">
        <f t="shared" si="81"/>
        <v>3.1776531172222899E-3</v>
      </c>
      <c r="M1048" s="1">
        <f t="shared" si="82"/>
        <v>-3.959856219761756E-3</v>
      </c>
      <c r="N1048" s="1">
        <f t="shared" si="83"/>
        <v>3.3021204561079284E-4</v>
      </c>
      <c r="O1048" s="1">
        <f t="shared" si="84"/>
        <v>3.9474204753555683E-4</v>
      </c>
    </row>
    <row r="1049" spans="4:15" x14ac:dyDescent="0.25">
      <c r="D1049" s="5">
        <v>44624</v>
      </c>
      <c r="E1049" s="4">
        <v>4.7729051719200402E-2</v>
      </c>
      <c r="F1049" s="4">
        <v>4.7743179886753202E-2</v>
      </c>
      <c r="G1049" s="4">
        <v>4.7736116000000002E-2</v>
      </c>
      <c r="H1049" s="4">
        <v>0.19671873155761899</v>
      </c>
      <c r="I1049" s="4">
        <v>0.196772924045651</v>
      </c>
      <c r="J1049" s="4">
        <v>0.19674583000000001</v>
      </c>
      <c r="K1049">
        <f t="shared" si="80"/>
        <v>-1.1217996219579307E-2</v>
      </c>
      <c r="L1049">
        <f t="shared" si="81"/>
        <v>-8.2337248712981426E-3</v>
      </c>
      <c r="M1049" s="1">
        <f t="shared" si="82"/>
        <v>-9.6564983236403536E-3</v>
      </c>
      <c r="N1049" s="1">
        <f t="shared" si="83"/>
        <v>2.9596391027707751E-4</v>
      </c>
      <c r="O1049" s="1">
        <f t="shared" si="84"/>
        <v>2.7544415061814601E-4</v>
      </c>
    </row>
    <row r="1050" spans="4:15" x14ac:dyDescent="0.25">
      <c r="D1050" s="3">
        <v>44623</v>
      </c>
      <c r="E1050" s="2">
        <v>4.82690711099956E-2</v>
      </c>
      <c r="F1050" s="2">
        <v>4.8286318554500801E-2</v>
      </c>
      <c r="G1050" s="2">
        <v>4.8277695000000002E-2</v>
      </c>
      <c r="H1050" s="2">
        <v>0.198357599079621</v>
      </c>
      <c r="I1050" s="2">
        <v>0.198400888835982</v>
      </c>
      <c r="J1050" s="2">
        <v>0.19837922999999999</v>
      </c>
      <c r="K1050">
        <f t="shared" si="80"/>
        <v>3.0656879619077593E-3</v>
      </c>
      <c r="L1050">
        <f t="shared" si="81"/>
        <v>3.3238286986563725E-2</v>
      </c>
      <c r="M1050" s="1">
        <f t="shared" si="82"/>
        <v>1.8853277089533927E-2</v>
      </c>
      <c r="N1050" s="1">
        <f t="shared" si="83"/>
        <v>3.5725492911791855E-4</v>
      </c>
      <c r="O1050" s="1">
        <f t="shared" si="84"/>
        <v>2.1821718110814081E-4</v>
      </c>
    </row>
    <row r="1051" spans="4:15" x14ac:dyDescent="0.25">
      <c r="D1051" s="5">
        <v>44622</v>
      </c>
      <c r="E1051" s="4">
        <v>4.8122963797094298E-2</v>
      </c>
      <c r="F1051" s="4">
        <v>4.8137326164080903E-2</v>
      </c>
      <c r="G1051" s="4">
        <v>4.8130143E-2</v>
      </c>
      <c r="H1051" s="4">
        <v>0.19196437141266601</v>
      </c>
      <c r="I1051" s="4">
        <v>0.19203072491598699</v>
      </c>
      <c r="J1051" s="4">
        <v>0.19199756000000001</v>
      </c>
      <c r="K1051">
        <f t="shared" si="80"/>
        <v>-1.2513872056400421E-2</v>
      </c>
      <c r="L1051">
        <f t="shared" si="81"/>
        <v>-1.0886160411163304E-2</v>
      </c>
      <c r="M1051" s="1">
        <f t="shared" si="82"/>
        <v>-1.1662183984973202E-2</v>
      </c>
      <c r="N1051" s="1">
        <f t="shared" si="83"/>
        <v>2.9840690451729394E-4</v>
      </c>
      <c r="O1051" s="1">
        <f t="shared" si="84"/>
        <v>3.4559555507365411E-4</v>
      </c>
    </row>
    <row r="1052" spans="4:15" x14ac:dyDescent="0.25">
      <c r="D1052" s="3">
        <v>44621</v>
      </c>
      <c r="E1052" s="2">
        <v>4.87315185715817E-2</v>
      </c>
      <c r="F1052" s="2">
        <v>4.8748622851404397E-2</v>
      </c>
      <c r="G1052" s="2">
        <v>4.8740070000000003E-2</v>
      </c>
      <c r="H1052" s="2">
        <v>0.194091844260704</v>
      </c>
      <c r="I1052" s="2">
        <v>0.19412952321789101</v>
      </c>
      <c r="J1052" s="2">
        <v>0.19411068000000001</v>
      </c>
      <c r="K1052">
        <f t="shared" si="80"/>
        <v>-4.1184770390281233E-3</v>
      </c>
      <c r="L1052">
        <f t="shared" si="81"/>
        <v>0</v>
      </c>
      <c r="M1052" s="1">
        <f t="shared" si="82"/>
        <v>-1.9635144098357976E-3</v>
      </c>
      <c r="N1052" s="1">
        <f t="shared" si="83"/>
        <v>3.5092850344073547E-4</v>
      </c>
      <c r="O1052" s="1">
        <f t="shared" si="84"/>
        <v>1.9411068565114258E-4</v>
      </c>
    </row>
    <row r="1053" spans="4:15" x14ac:dyDescent="0.25">
      <c r="D1053" s="5">
        <v>44620</v>
      </c>
      <c r="E1053" s="4">
        <v>4.8932297273492402E-2</v>
      </c>
      <c r="F1053" s="4">
        <v>4.8950980488139201E-2</v>
      </c>
      <c r="G1053" s="4">
        <v>4.8941634999999997E-2</v>
      </c>
      <c r="H1053" s="4">
        <v>0.194091844260704</v>
      </c>
      <c r="I1053" s="4">
        <v>0.19412952321789101</v>
      </c>
      <c r="J1053" s="4">
        <v>0.19411068000000001</v>
      </c>
      <c r="K1053">
        <f t="shared" si="80"/>
        <v>4.8929119725560355E-4</v>
      </c>
      <c r="L1053">
        <f t="shared" si="81"/>
        <v>7.2789798024430752E-4</v>
      </c>
      <c r="M1053" s="1">
        <f t="shared" si="82"/>
        <v>6.141404304891092E-4</v>
      </c>
      <c r="N1053" s="1">
        <f t="shared" si="83"/>
        <v>3.8174479963325381E-4</v>
      </c>
      <c r="O1053" s="1">
        <f t="shared" si="84"/>
        <v>1.9411068565114258E-4</v>
      </c>
    </row>
    <row r="1054" spans="4:15" x14ac:dyDescent="0.25">
      <c r="D1054" s="3">
        <v>44617</v>
      </c>
      <c r="E1054" s="2">
        <v>4.8911235889108402E-2</v>
      </c>
      <c r="F1054" s="2">
        <v>4.8924157770623998E-2</v>
      </c>
      <c r="G1054" s="2">
        <v>4.8917700000000001E-2</v>
      </c>
      <c r="H1054" s="2">
        <v>0.19395255920401899</v>
      </c>
      <c r="I1054" s="2">
        <v>0.19398642095053301</v>
      </c>
      <c r="J1054" s="2">
        <v>0.19396948999999999</v>
      </c>
      <c r="K1054">
        <f t="shared" si="80"/>
        <v>1.1226715368797269E-2</v>
      </c>
      <c r="L1054">
        <f t="shared" si="81"/>
        <v>-3.627162128835737E-3</v>
      </c>
      <c r="M1054" s="1">
        <f t="shared" si="82"/>
        <v>3.4545339039824142E-3</v>
      </c>
      <c r="N1054" s="1">
        <f t="shared" si="83"/>
        <v>2.6415554115577185E-4</v>
      </c>
      <c r="O1054" s="1">
        <f t="shared" si="84"/>
        <v>1.7457253980516943E-4</v>
      </c>
    </row>
    <row r="1055" spans="4:15" x14ac:dyDescent="0.25">
      <c r="D1055" s="5">
        <v>44616</v>
      </c>
      <c r="E1055" s="4">
        <v>4.8367359770932199E-2</v>
      </c>
      <c r="F1055" s="4">
        <v>4.8381868410994303E-2</v>
      </c>
      <c r="G1055" s="4">
        <v>4.8374611999999997E-2</v>
      </c>
      <c r="H1055" s="4">
        <v>0.194647201946472</v>
      </c>
      <c r="I1055" s="4">
        <v>0.194704049844237</v>
      </c>
      <c r="J1055" s="4">
        <v>0.19467561</v>
      </c>
      <c r="K1055">
        <f t="shared" si="80"/>
        <v>-2.1103458670059694E-2</v>
      </c>
      <c r="L1055">
        <f t="shared" si="81"/>
        <v>-2.1073689349124014E-2</v>
      </c>
      <c r="M1055" s="1">
        <f t="shared" si="82"/>
        <v>-2.1087882093207399E-2</v>
      </c>
      <c r="N1055" s="1">
        <f t="shared" si="83"/>
        <v>2.9992261358300704E-4</v>
      </c>
      <c r="O1055" s="1">
        <f t="shared" si="84"/>
        <v>2.9201345646226554E-4</v>
      </c>
    </row>
    <row r="1056" spans="4:15" x14ac:dyDescent="0.25">
      <c r="D1056" s="3">
        <v>44615</v>
      </c>
      <c r="E1056" s="2">
        <v>4.9412729707427203E-2</v>
      </c>
      <c r="F1056" s="2">
        <v>4.9422253852464702E-2</v>
      </c>
      <c r="G1056" s="2">
        <v>4.9417492E-2</v>
      </c>
      <c r="H1056" s="2">
        <v>0.198834827908456</v>
      </c>
      <c r="I1056" s="2">
        <v>0.19889810450106399</v>
      </c>
      <c r="J1056" s="2">
        <v>0.19886645999999999</v>
      </c>
      <c r="K1056">
        <f t="shared" si="80"/>
        <v>2.1373254951482235E-3</v>
      </c>
      <c r="L1056">
        <f t="shared" si="81"/>
        <v>4.5242025591651913E-3</v>
      </c>
      <c r="M1056" s="1">
        <f t="shared" si="82"/>
        <v>3.3862412532524996E-3</v>
      </c>
      <c r="N1056" s="1">
        <f t="shared" si="83"/>
        <v>1.927282152946918E-4</v>
      </c>
      <c r="O1056" s="1">
        <f t="shared" si="84"/>
        <v>3.1818634780340265E-4</v>
      </c>
    </row>
    <row r="1057" spans="4:15" x14ac:dyDescent="0.25">
      <c r="D1057" s="5">
        <v>44614</v>
      </c>
      <c r="E1057" s="4">
        <v>4.9306747135278002E-2</v>
      </c>
      <c r="F1057" s="4">
        <v>4.9317446539887899E-2</v>
      </c>
      <c r="G1057" s="4">
        <v>4.9312096E-2</v>
      </c>
      <c r="H1057" s="4">
        <v>0.197945327500544</v>
      </c>
      <c r="I1057" s="4">
        <v>0.19799627766997999</v>
      </c>
      <c r="J1057" s="4">
        <v>0.1979708</v>
      </c>
      <c r="K1057">
        <f t="shared" si="80"/>
        <v>-4.6846868467642633E-4</v>
      </c>
      <c r="L1057">
        <f t="shared" si="81"/>
        <v>5.1868181682936942E-3</v>
      </c>
      <c r="M1057" s="1">
        <f t="shared" si="82"/>
        <v>2.490618305496317E-3</v>
      </c>
      <c r="N1057" s="1">
        <f t="shared" si="83"/>
        <v>2.1697322721583566E-4</v>
      </c>
      <c r="O1057" s="1">
        <f t="shared" si="84"/>
        <v>2.5736204246276255E-4</v>
      </c>
    </row>
    <row r="1058" spans="4:15" x14ac:dyDescent="0.25">
      <c r="D1058" s="3">
        <v>44613</v>
      </c>
      <c r="E1058" s="2">
        <v>4.9327177301606101E-2</v>
      </c>
      <c r="F1058" s="2">
        <v>4.9343241456217699E-2</v>
      </c>
      <c r="G1058" s="2">
        <v>4.9335207999999998E-2</v>
      </c>
      <c r="H1058" s="2">
        <v>0.196935680806649</v>
      </c>
      <c r="I1058" s="2">
        <v>0.19696283311339199</v>
      </c>
      <c r="J1058" s="2">
        <v>0.19694925999999999</v>
      </c>
      <c r="K1058">
        <f t="shared" si="80"/>
        <v>1.9734335485328547E-3</v>
      </c>
      <c r="L1058">
        <f t="shared" si="81"/>
        <v>9.4732462188049649E-3</v>
      </c>
      <c r="M1058" s="1">
        <f t="shared" si="82"/>
        <v>5.8976550209908774E-3</v>
      </c>
      <c r="N1058" s="1">
        <f t="shared" si="83"/>
        <v>3.2561238236995967E-4</v>
      </c>
      <c r="O1058" s="1">
        <f t="shared" si="84"/>
        <v>1.3786447708914786E-4</v>
      </c>
    </row>
    <row r="1059" spans="4:15" x14ac:dyDescent="0.25">
      <c r="D1059" s="5">
        <v>44610</v>
      </c>
      <c r="E1059" s="4">
        <v>4.9231011598826299E-2</v>
      </c>
      <c r="F1059" s="4">
        <v>4.9245073030443301E-2</v>
      </c>
      <c r="G1059" s="4">
        <v>4.9238039999999997E-2</v>
      </c>
      <c r="H1059" s="4">
        <v>0.19506105410993599</v>
      </c>
      <c r="I1059" s="4">
        <v>0.195140989364816</v>
      </c>
      <c r="J1059" s="4">
        <v>0.19510102000000001</v>
      </c>
      <c r="K1059">
        <f t="shared" si="80"/>
        <v>-3.2009709056801672E-4</v>
      </c>
      <c r="L1059">
        <f t="shared" si="81"/>
        <v>8.0479627849858737E-3</v>
      </c>
      <c r="M1059" s="1">
        <f t="shared" si="82"/>
        <v>4.0584283060231957E-3</v>
      </c>
      <c r="N1059" s="1">
        <f t="shared" si="83"/>
        <v>2.8558065302765497E-4</v>
      </c>
      <c r="O1059" s="1">
        <f t="shared" si="84"/>
        <v>4.0971213210473824E-4</v>
      </c>
    </row>
    <row r="1060" spans="4:15" x14ac:dyDescent="0.25">
      <c r="D1060" s="3">
        <v>44609</v>
      </c>
      <c r="E1060" s="2">
        <v>4.92414356832988E-2</v>
      </c>
      <c r="F1060" s="2">
        <v>4.92661802452471E-2</v>
      </c>
      <c r="G1060" s="2">
        <v>4.9253805999999997E-2</v>
      </c>
      <c r="H1060" s="2">
        <v>0.19352840997058399</v>
      </c>
      <c r="I1060" s="2">
        <v>0.19355837720656499</v>
      </c>
      <c r="J1060" s="2">
        <v>0.19354339000000001</v>
      </c>
      <c r="K1060">
        <f t="shared" si="80"/>
        <v>1.8100953623070293E-3</v>
      </c>
      <c r="L1060">
        <f t="shared" si="81"/>
        <v>-1.4805729360161113E-3</v>
      </c>
      <c r="M1060" s="1">
        <f t="shared" si="82"/>
        <v>8.8277529949351216E-5</v>
      </c>
      <c r="N1060" s="1">
        <f t="shared" si="83"/>
        <v>5.0238882957188221E-4</v>
      </c>
      <c r="O1060" s="1">
        <f t="shared" si="84"/>
        <v>1.5483471680951939E-4</v>
      </c>
    </row>
    <row r="1061" spans="4:15" x14ac:dyDescent="0.25">
      <c r="D1061" s="5">
        <v>44608</v>
      </c>
      <c r="E1061" s="4">
        <v>4.9159374692753902E-2</v>
      </c>
      <c r="F1061" s="4">
        <v>4.9170251997541499E-2</v>
      </c>
      <c r="G1061" s="4">
        <v>4.9164813000000002E-2</v>
      </c>
      <c r="H1061" s="4">
        <v>0.193817230351778</v>
      </c>
      <c r="I1061" s="4">
        <v>0.193843529502985</v>
      </c>
      <c r="J1061" s="4">
        <v>0.19383037</v>
      </c>
      <c r="K1061">
        <f t="shared" si="80"/>
        <v>2.5811081311239992E-3</v>
      </c>
      <c r="L1061">
        <f t="shared" si="81"/>
        <v>3.0139520770027239E-3</v>
      </c>
      <c r="M1061" s="1">
        <f t="shared" si="82"/>
        <v>2.8075905222607264E-3</v>
      </c>
      <c r="N1061" s="1">
        <f t="shared" si="83"/>
        <v>2.2124165889937083E-4</v>
      </c>
      <c r="O1061" s="1">
        <f t="shared" si="84"/>
        <v>1.3568127227430238E-4</v>
      </c>
    </row>
    <row r="1062" spans="4:15" x14ac:dyDescent="0.25">
      <c r="D1062" s="3">
        <v>44607</v>
      </c>
      <c r="E1062" s="2">
        <v>4.9032106223154903E-2</v>
      </c>
      <c r="F1062" s="2">
        <v>4.9044370441938802E-2</v>
      </c>
      <c r="G1062" s="2">
        <v>4.9038239999999997E-2</v>
      </c>
      <c r="H1062" s="2">
        <v>0.19323298100519801</v>
      </c>
      <c r="I1062" s="2">
        <v>0.19326285681154901</v>
      </c>
      <c r="J1062" s="2">
        <v>0.19324793000000001</v>
      </c>
      <c r="K1062">
        <f t="shared" si="80"/>
        <v>3.1883247342401333E-4</v>
      </c>
      <c r="L1062">
        <f t="shared" si="81"/>
        <v>9.5754753649452962E-3</v>
      </c>
      <c r="M1062" s="1">
        <f t="shared" si="82"/>
        <v>5.162302356581213E-3</v>
      </c>
      <c r="N1062" s="1">
        <f t="shared" si="83"/>
        <v>2.5009500308124157E-4</v>
      </c>
      <c r="O1062" s="1">
        <f t="shared" si="84"/>
        <v>1.5459832532746152E-4</v>
      </c>
    </row>
    <row r="1063" spans="4:15" x14ac:dyDescent="0.25">
      <c r="D1063" s="5">
        <v>44606</v>
      </c>
      <c r="E1063" s="4">
        <v>4.9015523216202603E-2</v>
      </c>
      <c r="F1063" s="4">
        <v>4.9029702193588903E-2</v>
      </c>
      <c r="G1063" s="4">
        <v>4.9022610000000001E-2</v>
      </c>
      <c r="H1063" s="4">
        <v>0.191387559808612</v>
      </c>
      <c r="I1063" s="4">
        <v>0.191442519383555</v>
      </c>
      <c r="J1063" s="4">
        <v>0.19141504000000001</v>
      </c>
      <c r="K1063">
        <f t="shared" si="80"/>
        <v>1.102470018385926E-4</v>
      </c>
      <c r="L1063">
        <f t="shared" si="81"/>
        <v>-5.7137359983652214E-3</v>
      </c>
      <c r="M1063" s="1">
        <f t="shared" si="82"/>
        <v>-2.9371089988281668E-3</v>
      </c>
      <c r="N1063" s="1">
        <f t="shared" si="83"/>
        <v>2.8923342486865698E-4</v>
      </c>
      <c r="O1063" s="1">
        <f t="shared" si="84"/>
        <v>2.8712255287255997E-4</v>
      </c>
    </row>
    <row r="1064" spans="4:15" x14ac:dyDescent="0.25">
      <c r="D1064" s="3">
        <v>44603</v>
      </c>
      <c r="E1064" s="2">
        <v>4.9012159916875402E-2</v>
      </c>
      <c r="F1064" s="2">
        <v>4.9022251199819601E-2</v>
      </c>
      <c r="G1064" s="2">
        <v>4.9017206000000001E-2</v>
      </c>
      <c r="H1064" s="2">
        <v>0.19249278152069299</v>
      </c>
      <c r="I1064" s="2">
        <v>0.19253725595902799</v>
      </c>
      <c r="J1064" s="2">
        <v>0.19251502000000001</v>
      </c>
      <c r="K1064">
        <f t="shared" si="80"/>
        <v>-3.0632914769146424E-4</v>
      </c>
      <c r="L1064">
        <f t="shared" si="81"/>
        <v>-4.6198417478338083E-4</v>
      </c>
      <c r="M1064" s="1">
        <f t="shared" si="82"/>
        <v>-3.8777448859062192E-4</v>
      </c>
      <c r="N1064" s="1">
        <f t="shared" si="83"/>
        <v>2.0587225930828425E-4</v>
      </c>
      <c r="O1064" s="1">
        <f t="shared" si="84"/>
        <v>2.3101801789281677E-4</v>
      </c>
    </row>
    <row r="1065" spans="4:15" x14ac:dyDescent="0.25">
      <c r="D1065" s="5">
        <v>44602</v>
      </c>
      <c r="E1065" s="4">
        <v>4.9024654498747398E-2</v>
      </c>
      <c r="F1065" s="4">
        <v>4.9039800702249899E-2</v>
      </c>
      <c r="G1065" s="4">
        <v>4.9032225999999998E-2</v>
      </c>
      <c r="H1065" s="4">
        <v>0.19258175095328001</v>
      </c>
      <c r="I1065" s="4">
        <v>0.19262626651770201</v>
      </c>
      <c r="J1065" s="4">
        <v>0.192604</v>
      </c>
      <c r="K1065">
        <f t="shared" si="80"/>
        <v>4.7439054177889073E-3</v>
      </c>
      <c r="L1065">
        <f t="shared" si="81"/>
        <v>1.4185239667109828E-2</v>
      </c>
      <c r="M1065" s="1">
        <f t="shared" si="82"/>
        <v>9.6840136869857495E-3</v>
      </c>
      <c r="N1065" s="1">
        <f t="shared" si="83"/>
        <v>3.0890303659679202E-4</v>
      </c>
      <c r="O1065" s="1">
        <f t="shared" si="84"/>
        <v>2.3112481787503948E-4</v>
      </c>
    </row>
    <row r="1066" spans="4:15" x14ac:dyDescent="0.25">
      <c r="D1066" s="3">
        <v>44601</v>
      </c>
      <c r="E1066" s="2">
        <v>4.8796435908321299E-2</v>
      </c>
      <c r="F1066" s="2">
        <v>4.8805009346159299E-2</v>
      </c>
      <c r="G1066" s="2">
        <v>4.8800719999999999E-2</v>
      </c>
      <c r="H1066" s="2">
        <v>0.18988663767730701</v>
      </c>
      <c r="I1066" s="2">
        <v>0.189933523266857</v>
      </c>
      <c r="J1066" s="2">
        <v>0.18991008000000001</v>
      </c>
      <c r="K1066">
        <f t="shared" si="80"/>
        <v>8.2228866937408274E-3</v>
      </c>
      <c r="L1066">
        <f t="shared" si="81"/>
        <v>1.5382473430849419E-3</v>
      </c>
      <c r="M1066" s="1">
        <f t="shared" si="82"/>
        <v>4.7251986275494446E-3</v>
      </c>
      <c r="N1066" s="1">
        <f t="shared" si="83"/>
        <v>1.7568260955985482E-4</v>
      </c>
      <c r="O1066" s="1">
        <f t="shared" si="84"/>
        <v>2.4688310146564452E-4</v>
      </c>
    </row>
    <row r="1067" spans="4:15" x14ac:dyDescent="0.25">
      <c r="D1067" s="5">
        <v>44600</v>
      </c>
      <c r="E1067" s="4">
        <v>4.83977911248131E-2</v>
      </c>
      <c r="F1067" s="4">
        <v>4.84076309789475E-2</v>
      </c>
      <c r="G1067" s="4">
        <v>4.8402710000000002E-2</v>
      </c>
      <c r="H1067" s="4">
        <v>0.18958064760749199</v>
      </c>
      <c r="I1067" s="4">
        <v>0.18965615339389699</v>
      </c>
      <c r="J1067" s="4">
        <v>0.18961839999999999</v>
      </c>
      <c r="K1067">
        <f t="shared" si="80"/>
        <v>-2.3959705649090335E-3</v>
      </c>
      <c r="L1067">
        <f t="shared" si="81"/>
        <v>2.607266188077384E-3</v>
      </c>
      <c r="M1067" s="1">
        <f t="shared" si="82"/>
        <v>2.2193603636986225E-4</v>
      </c>
      <c r="N1067" s="1">
        <f t="shared" si="83"/>
        <v>2.0329138873421951E-4</v>
      </c>
      <c r="O1067" s="1">
        <f t="shared" si="84"/>
        <v>3.9819862632002048E-4</v>
      </c>
    </row>
    <row r="1068" spans="4:15" x14ac:dyDescent="0.25">
      <c r="D1068" s="3">
        <v>44599</v>
      </c>
      <c r="E1068" s="2">
        <v>4.8512603574408598E-2</v>
      </c>
      <c r="F1068" s="2">
        <v>4.8525315657178297E-2</v>
      </c>
      <c r="G1068" s="2">
        <v>4.851896E-2</v>
      </c>
      <c r="H1068" s="2">
        <v>0.189089533894299</v>
      </c>
      <c r="I1068" s="2">
        <v>0.18916107065165999</v>
      </c>
      <c r="J1068" s="2">
        <v>0.1891253</v>
      </c>
      <c r="K1068">
        <f t="shared" si="80"/>
        <v>7.5932459070320313E-3</v>
      </c>
      <c r="L1068">
        <f t="shared" si="81"/>
        <v>1.0884124667938755E-2</v>
      </c>
      <c r="M1068" s="1">
        <f t="shared" si="82"/>
        <v>9.3151738623789022E-3</v>
      </c>
      <c r="N1068" s="1">
        <f t="shared" si="83"/>
        <v>2.6200237535385905E-4</v>
      </c>
      <c r="O1068" s="1">
        <f t="shared" si="84"/>
        <v>3.7825059556278518E-4</v>
      </c>
    </row>
    <row r="1069" spans="4:15" x14ac:dyDescent="0.25">
      <c r="D1069" s="5">
        <v>44596</v>
      </c>
      <c r="E1069" s="4">
        <v>4.8147292196286898E-2</v>
      </c>
      <c r="F1069" s="4">
        <v>4.81593496561422E-2</v>
      </c>
      <c r="G1069" s="4">
        <v>4.8153319999999999E-2</v>
      </c>
      <c r="H1069" s="4">
        <v>0.18705574261129801</v>
      </c>
      <c r="I1069" s="4">
        <v>0.187122246963942</v>
      </c>
      <c r="J1069" s="4">
        <v>0.18708900000000001</v>
      </c>
      <c r="K1069">
        <f t="shared" si="80"/>
        <v>-1.1075255105996273E-2</v>
      </c>
      <c r="L1069">
        <f t="shared" si="81"/>
        <v>-1.1318766928396284E-2</v>
      </c>
      <c r="M1069" s="1">
        <f t="shared" si="82"/>
        <v>-1.1202670864798796E-2</v>
      </c>
      <c r="N1069" s="1">
        <f t="shared" si="83"/>
        <v>2.5039726970648107E-4</v>
      </c>
      <c r="O1069" s="1">
        <f t="shared" si="84"/>
        <v>3.5546906896713514E-4</v>
      </c>
    </row>
    <row r="1070" spans="4:15" x14ac:dyDescent="0.25">
      <c r="D1070" s="3">
        <v>44595</v>
      </c>
      <c r="E1070" s="2">
        <v>4.8686439852772198E-2</v>
      </c>
      <c r="F1070" s="2">
        <v>4.8698768895122299E-2</v>
      </c>
      <c r="G1070" s="2">
        <v>4.8692603000000001E-2</v>
      </c>
      <c r="H1070" s="2">
        <v>0.18920043894501801</v>
      </c>
      <c r="I1070" s="2">
        <v>0.18926131309499</v>
      </c>
      <c r="J1070" s="2">
        <v>0.18923086</v>
      </c>
      <c r="K1070">
        <f t="shared" si="80"/>
        <v>3.7006519871458643E-3</v>
      </c>
      <c r="L1070">
        <f t="shared" si="81"/>
        <v>3.0466017266337353E-3</v>
      </c>
      <c r="M1070" s="1">
        <f t="shared" si="82"/>
        <v>3.3584250290590112E-3</v>
      </c>
      <c r="N1070" s="1">
        <f t="shared" si="83"/>
        <v>2.5320154583029821E-4</v>
      </c>
      <c r="O1070" s="1">
        <f t="shared" si="84"/>
        <v>3.2169250814584674E-4</v>
      </c>
    </row>
    <row r="1071" spans="4:15" x14ac:dyDescent="0.25">
      <c r="D1071" s="5">
        <v>44594</v>
      </c>
      <c r="E1071" s="4">
        <v>4.8506955897475702E-2</v>
      </c>
      <c r="F1071" s="4">
        <v>4.85191941932228E-2</v>
      </c>
      <c r="G1071" s="4">
        <v>4.8513072999999997E-2</v>
      </c>
      <c r="H1071" s="4">
        <v>0.188632976817007</v>
      </c>
      <c r="I1071" s="4">
        <v>0.18867924528301899</v>
      </c>
      <c r="J1071" s="4">
        <v>0.18865609999999999</v>
      </c>
      <c r="K1071">
        <f t="shared" si="80"/>
        <v>-2.5469730318204986E-3</v>
      </c>
      <c r="L1071">
        <f t="shared" si="81"/>
        <v>-3.8957951875335795E-3</v>
      </c>
      <c r="M1071" s="1">
        <f t="shared" si="82"/>
        <v>-3.252734241958077E-3</v>
      </c>
      <c r="N1071" s="1">
        <f t="shared" si="83"/>
        <v>2.522679968572218E-4</v>
      </c>
      <c r="O1071" s="1">
        <f t="shared" si="84"/>
        <v>2.4525295504356854E-4</v>
      </c>
    </row>
    <row r="1072" spans="4:15" x14ac:dyDescent="0.25">
      <c r="D1072" s="3">
        <v>44593</v>
      </c>
      <c r="E1072" s="2">
        <v>4.8631272826303702E-2</v>
      </c>
      <c r="F1072" s="2">
        <v>4.8642627480165998E-2</v>
      </c>
      <c r="G1072" s="2">
        <v>4.8636949999999998E-2</v>
      </c>
      <c r="H1072" s="2">
        <v>0.18937241980078001</v>
      </c>
      <c r="I1072" s="2">
        <v>0.189415463878471</v>
      </c>
      <c r="J1072" s="2">
        <v>0.18939394000000001</v>
      </c>
      <c r="K1072">
        <f t="shared" si="80"/>
        <v>4.3044080619147884E-3</v>
      </c>
      <c r="L1072">
        <f t="shared" si="81"/>
        <v>5.6818061136365561E-3</v>
      </c>
      <c r="M1072" s="1">
        <f t="shared" si="82"/>
        <v>5.0251213981443305E-3</v>
      </c>
      <c r="N1072" s="1">
        <f t="shared" si="83"/>
        <v>2.3345735829026661E-4</v>
      </c>
      <c r="O1072" s="1">
        <f t="shared" si="84"/>
        <v>2.2727272948112602E-4</v>
      </c>
    </row>
    <row r="1073" spans="4:15" x14ac:dyDescent="0.25">
      <c r="D1073" s="5">
        <v>44592</v>
      </c>
      <c r="E1073" s="4">
        <v>4.8419350309157602E-2</v>
      </c>
      <c r="F1073" s="4">
        <v>4.8437643799254998E-2</v>
      </c>
      <c r="G1073" s="4">
        <v>4.8428494000000002E-2</v>
      </c>
      <c r="H1073" s="4">
        <v>0.18828845791752999</v>
      </c>
      <c r="I1073" s="4">
        <v>0.188359389715577</v>
      </c>
      <c r="J1073" s="4">
        <v>0.18832392000000001</v>
      </c>
      <c r="K1073">
        <f t="shared" si="80"/>
        <v>1.1477525348189577E-2</v>
      </c>
      <c r="L1073">
        <f t="shared" si="81"/>
        <v>1.8116770783771052E-2</v>
      </c>
      <c r="M1073" s="1">
        <f t="shared" si="82"/>
        <v>1.4951461384285589E-2</v>
      </c>
      <c r="N1073" s="1">
        <f t="shared" si="83"/>
        <v>3.7774228736899771E-4</v>
      </c>
      <c r="O1073" s="1">
        <f t="shared" si="84"/>
        <v>3.7664784190459533E-4</v>
      </c>
    </row>
    <row r="1074" spans="4:15" x14ac:dyDescent="0.25">
      <c r="D1074" s="3">
        <v>44589</v>
      </c>
      <c r="E1074" s="2">
        <v>4.7874148438584598E-2</v>
      </c>
      <c r="F1074" s="2">
        <v>4.7883776497684799E-2</v>
      </c>
      <c r="G1074" s="2">
        <v>4.7878961999999997E-2</v>
      </c>
      <c r="H1074" s="2">
        <v>0.184938600384672</v>
      </c>
      <c r="I1074" s="2">
        <v>0.18500703026715001</v>
      </c>
      <c r="J1074" s="2">
        <v>0.18497280999999999</v>
      </c>
      <c r="K1074">
        <f t="shared" si="80"/>
        <v>-7.3613587751220066E-3</v>
      </c>
      <c r="L1074">
        <f t="shared" si="81"/>
        <v>4.0692800884278846E-4</v>
      </c>
      <c r="M1074" s="1">
        <f t="shared" si="82"/>
        <v>-3.2966602096923068E-3</v>
      </c>
      <c r="N1074" s="1">
        <f t="shared" si="83"/>
        <v>2.0109164230004687E-4</v>
      </c>
      <c r="O1074" s="1">
        <f t="shared" si="84"/>
        <v>3.6994562864680529E-4</v>
      </c>
    </row>
    <row r="1075" spans="4:15" x14ac:dyDescent="0.25">
      <c r="D1075" s="5">
        <v>44588</v>
      </c>
      <c r="E1075" s="4">
        <v>4.8227169258073202E-2</v>
      </c>
      <c r="F1075" s="4">
        <v>4.8240895736951998E-2</v>
      </c>
      <c r="G1075" s="4">
        <v>4.8234029999999997E-2</v>
      </c>
      <c r="H1075" s="4">
        <v>0.184866803468101</v>
      </c>
      <c r="I1075" s="4">
        <v>0.184928340268146</v>
      </c>
      <c r="J1075" s="4">
        <v>0.18489757000000001</v>
      </c>
      <c r="K1075">
        <f t="shared" si="80"/>
        <v>-3.9431716417094309E-3</v>
      </c>
      <c r="L1075">
        <f t="shared" si="81"/>
        <v>5.186373190430249E-3</v>
      </c>
      <c r="M1075" s="1">
        <f t="shared" si="82"/>
        <v>8.337951225485423E-4</v>
      </c>
      <c r="N1075" s="1">
        <f t="shared" si="83"/>
        <v>2.8458080070846984E-4</v>
      </c>
      <c r="O1075" s="1">
        <f t="shared" si="84"/>
        <v>3.3281562350983516E-4</v>
      </c>
    </row>
    <row r="1076" spans="4:15" x14ac:dyDescent="0.25">
      <c r="D1076" s="3">
        <v>44587</v>
      </c>
      <c r="E1076" s="2">
        <v>4.8419819200395099E-2</v>
      </c>
      <c r="F1076" s="2">
        <v>4.8430137105718099E-2</v>
      </c>
      <c r="G1076" s="2">
        <v>4.8424978E-2</v>
      </c>
      <c r="H1076" s="2">
        <v>0.18392834151814499</v>
      </c>
      <c r="I1076" s="2">
        <v>0.183958793230316</v>
      </c>
      <c r="J1076" s="2">
        <v>0.18394357</v>
      </c>
      <c r="K1076">
        <f t="shared" si="80"/>
        <v>1.2832973629339772E-3</v>
      </c>
      <c r="L1076">
        <f t="shared" si="81"/>
        <v>8.3511054918492533E-3</v>
      </c>
      <c r="M1076" s="1">
        <f t="shared" si="82"/>
        <v>4.9814756564587909E-3</v>
      </c>
      <c r="N1076" s="1">
        <f t="shared" si="83"/>
        <v>2.1306990212777927E-4</v>
      </c>
      <c r="O1076" s="1">
        <f t="shared" si="84"/>
        <v>1.6554920713457671E-4</v>
      </c>
    </row>
    <row r="1077" spans="4:15" x14ac:dyDescent="0.25">
      <c r="D1077" s="5">
        <v>44586</v>
      </c>
      <c r="E1077" s="4">
        <v>4.8355899419729197E-2</v>
      </c>
      <c r="F1077" s="4">
        <v>4.8369933249492097E-2</v>
      </c>
      <c r="G1077" s="4">
        <v>4.8362914E-2</v>
      </c>
      <c r="H1077" s="4">
        <v>0.18239188720885699</v>
      </c>
      <c r="I1077" s="4">
        <v>0.182448458310527</v>
      </c>
      <c r="J1077" s="4">
        <v>0.18242016</v>
      </c>
      <c r="K1077">
        <f t="shared" si="80"/>
        <v>-1.982933822103794E-3</v>
      </c>
      <c r="L1077">
        <f t="shared" si="81"/>
        <v>2.3623244850932146E-3</v>
      </c>
      <c r="M1077" s="1">
        <f t="shared" si="82"/>
        <v>2.9069042721501296E-4</v>
      </c>
      <c r="N1077" s="1">
        <f t="shared" si="83"/>
        <v>2.9017750590671298E-4</v>
      </c>
      <c r="O1077" s="1">
        <f t="shared" si="84"/>
        <v>3.1011430792523702E-4</v>
      </c>
    </row>
    <row r="1078" spans="4:15" x14ac:dyDescent="0.25">
      <c r="D1078" s="3">
        <v>44585</v>
      </c>
      <c r="E1078" s="2">
        <v>4.8453368478176599E-2</v>
      </c>
      <c r="F1078" s="2">
        <v>4.8464640198511197E-2</v>
      </c>
      <c r="G1078" s="2">
        <v>4.8459004999999999E-2</v>
      </c>
      <c r="H1078" s="2">
        <v>0.181963752820438</v>
      </c>
      <c r="I1078" s="2">
        <v>0.18201674554059</v>
      </c>
      <c r="J1078" s="2">
        <v>0.18199024</v>
      </c>
      <c r="K1078">
        <f t="shared" si="80"/>
        <v>-8.0441980038475913E-3</v>
      </c>
      <c r="L1078">
        <f t="shared" si="81"/>
        <v>-1.3167010160803794E-2</v>
      </c>
      <c r="M1078" s="1">
        <f t="shared" si="82"/>
        <v>-1.0724671550257803E-2</v>
      </c>
      <c r="N1078" s="1">
        <f t="shared" si="83"/>
        <v>2.3260321450260324E-4</v>
      </c>
      <c r="O1078" s="1">
        <f t="shared" si="84"/>
        <v>2.9118440720774533E-4</v>
      </c>
    </row>
    <row r="1079" spans="4:15" x14ac:dyDescent="0.25">
      <c r="D1079" s="5">
        <v>44582</v>
      </c>
      <c r="E1079" s="4">
        <v>4.8842195749752099E-2</v>
      </c>
      <c r="F1079" s="4">
        <v>4.8861765180128899E-2</v>
      </c>
      <c r="G1079" s="4">
        <v>4.8851980000000003E-2</v>
      </c>
      <c r="H1079" s="4">
        <v>0.184399778720266</v>
      </c>
      <c r="I1079" s="4">
        <v>0.18443718991497399</v>
      </c>
      <c r="J1079" s="4">
        <v>0.18441848</v>
      </c>
      <c r="K1079">
        <f t="shared" si="80"/>
        <v>-1.4533017953898275E-3</v>
      </c>
      <c r="L1079">
        <f t="shared" si="81"/>
        <v>-2.5726072227060248E-3</v>
      </c>
      <c r="M1079" s="1">
        <f t="shared" si="82"/>
        <v>-2.038970076082185E-3</v>
      </c>
      <c r="N1079" s="1">
        <f t="shared" si="83"/>
        <v>4.0058622755517173E-4</v>
      </c>
      <c r="O1079" s="1">
        <f t="shared" si="84"/>
        <v>2.0286033540666278E-4</v>
      </c>
    </row>
    <row r="1080" spans="4:15" x14ac:dyDescent="0.25">
      <c r="D1080" s="3">
        <v>44581</v>
      </c>
      <c r="E1080" s="2">
        <v>4.8917695976519501E-2</v>
      </c>
      <c r="F1080" s="2">
        <v>4.8928466581857302E-2</v>
      </c>
      <c r="G1080" s="2">
        <v>4.8923080000000001E-2</v>
      </c>
      <c r="H1080" s="2">
        <v>0.18485996857380499</v>
      </c>
      <c r="I1080" s="2">
        <v>0.184928340268146</v>
      </c>
      <c r="J1080" s="2">
        <v>0.18489414000000001</v>
      </c>
      <c r="K1080">
        <f t="shared" si="80"/>
        <v>1.3698581349650407E-3</v>
      </c>
      <c r="L1080">
        <f t="shared" si="81"/>
        <v>1.2165974642166955E-2</v>
      </c>
      <c r="M1080" s="1">
        <f t="shared" si="82"/>
        <v>7.0188461936471942E-3</v>
      </c>
      <c r="N1080" s="1">
        <f t="shared" si="83"/>
        <v>2.201538688447445E-4</v>
      </c>
      <c r="O1080" s="1">
        <f t="shared" si="84"/>
        <v>3.6978832504379458E-4</v>
      </c>
    </row>
    <row r="1081" spans="4:15" x14ac:dyDescent="0.25">
      <c r="D1081" s="5">
        <v>44580</v>
      </c>
      <c r="E1081" s="4">
        <v>4.8851023917461302E-2</v>
      </c>
      <c r="F1081" s="4">
        <v>4.8861287690375801E-2</v>
      </c>
      <c r="G1081" s="4">
        <v>4.8856153999999999E-2</v>
      </c>
      <c r="H1081" s="4">
        <v>0.18265841050651199</v>
      </c>
      <c r="I1081" s="4">
        <v>0.18268510568333399</v>
      </c>
      <c r="J1081" s="4">
        <v>0.18267175999999999</v>
      </c>
      <c r="K1081">
        <f t="shared" si="80"/>
        <v>-4.3360644579094609E-3</v>
      </c>
      <c r="L1081">
        <f t="shared" si="81"/>
        <v>8.7225748081762866E-3</v>
      </c>
      <c r="M1081" s="1">
        <f t="shared" si="82"/>
        <v>2.4967718890813086E-3</v>
      </c>
      <c r="N1081" s="1">
        <f t="shared" si="83"/>
        <v>2.1008147539611289E-4</v>
      </c>
      <c r="O1081" s="1">
        <f t="shared" si="84"/>
        <v>1.461374041723512E-4</v>
      </c>
    </row>
    <row r="1082" spans="4:15" x14ac:dyDescent="0.25">
      <c r="D1082" s="3">
        <v>44579</v>
      </c>
      <c r="E1082" s="2">
        <v>4.9061935787738403E-2</v>
      </c>
      <c r="F1082" s="2">
        <v>4.9075900788159002E-2</v>
      </c>
      <c r="G1082" s="2">
        <v>4.9068920000000002E-2</v>
      </c>
      <c r="H1082" s="2">
        <v>0.18107085302478901</v>
      </c>
      <c r="I1082" s="2">
        <v>0.18111348571014599</v>
      </c>
      <c r="J1082" s="2">
        <v>0.18109217</v>
      </c>
      <c r="K1082">
        <f t="shared" si="80"/>
        <v>-3.7046273101231098E-3</v>
      </c>
      <c r="L1082">
        <f t="shared" si="81"/>
        <v>-2.5986430459036258E-3</v>
      </c>
      <c r="M1082" s="1">
        <f t="shared" si="82"/>
        <v>-3.1259292294291393E-3</v>
      </c>
      <c r="N1082" s="1">
        <f t="shared" si="83"/>
        <v>2.8459971037876484E-4</v>
      </c>
      <c r="O1082" s="1">
        <f t="shared" si="84"/>
        <v>2.3541981609133229E-4</v>
      </c>
    </row>
    <row r="1083" spans="4:15" x14ac:dyDescent="0.25">
      <c r="D1083" s="5">
        <v>44578</v>
      </c>
      <c r="E1083" s="4">
        <v>4.9242163109741097E-2</v>
      </c>
      <c r="F1083" s="4">
        <v>4.9260598417749601E-2</v>
      </c>
      <c r="G1083" s="4">
        <v>4.9251377999999998E-2</v>
      </c>
      <c r="H1083" s="4">
        <v>0.18153103273004501</v>
      </c>
      <c r="I1083" s="4">
        <v>0.18159696369876699</v>
      </c>
      <c r="J1083" s="4">
        <v>0.18156399000000001</v>
      </c>
      <c r="K1083">
        <f t="shared" si="80"/>
        <v>3.6942558465113962E-4</v>
      </c>
      <c r="L1083">
        <f t="shared" si="81"/>
        <v>5.2925641046794869E-3</v>
      </c>
      <c r="M1083" s="1">
        <f t="shared" si="82"/>
        <v>2.9454213783540106E-3</v>
      </c>
      <c r="N1083" s="1">
        <f t="shared" si="83"/>
        <v>3.7431050169814113E-4</v>
      </c>
      <c r="O1083" s="1">
        <f t="shared" si="84"/>
        <v>3.6312800088819007E-4</v>
      </c>
    </row>
    <row r="1084" spans="4:15" x14ac:dyDescent="0.25">
      <c r="D1084" s="3">
        <v>44575</v>
      </c>
      <c r="E1084" s="2">
        <v>4.9226891666379502E-2</v>
      </c>
      <c r="F1084" s="2">
        <v>4.9239495984519099E-2</v>
      </c>
      <c r="G1084" s="2">
        <v>4.9233190000000003E-2</v>
      </c>
      <c r="H1084" s="2">
        <v>0.18059016867121799</v>
      </c>
      <c r="I1084" s="2">
        <v>0.18062604988891501</v>
      </c>
      <c r="J1084" s="2">
        <v>0.18060810999999999</v>
      </c>
      <c r="K1084">
        <f t="shared" si="80"/>
        <v>2.781657881947952E-3</v>
      </c>
      <c r="L1084">
        <f t="shared" si="81"/>
        <v>-3.8559962556375948E-3</v>
      </c>
      <c r="M1084" s="1">
        <f t="shared" si="82"/>
        <v>-6.9144551924913149E-4</v>
      </c>
      <c r="N1084" s="1">
        <f t="shared" si="83"/>
        <v>2.5601262358984644E-4</v>
      </c>
      <c r="O1084" s="1">
        <f t="shared" si="84"/>
        <v>1.9866891745345594E-4</v>
      </c>
    </row>
    <row r="1085" spans="4:15" x14ac:dyDescent="0.25">
      <c r="D1085" s="5">
        <v>44574</v>
      </c>
      <c r="E1085" s="4">
        <v>4.9091560669805301E-2</v>
      </c>
      <c r="F1085" s="4">
        <v>4.9101684678801299E-2</v>
      </c>
      <c r="G1085" s="4">
        <v>4.9096620000000001E-2</v>
      </c>
      <c r="H1085" s="4">
        <v>0.18129079042784599</v>
      </c>
      <c r="I1085" s="4">
        <v>0.181323662737987</v>
      </c>
      <c r="J1085" s="4">
        <v>0.18130723000000001</v>
      </c>
      <c r="K1085">
        <f t="shared" si="80"/>
        <v>3.4366513621209016E-4</v>
      </c>
      <c r="L1085">
        <f t="shared" si="81"/>
        <v>7.116357017121544E-3</v>
      </c>
      <c r="M1085" s="1">
        <f t="shared" si="82"/>
        <v>3.8874260371683936E-3</v>
      </c>
      <c r="N1085" s="1">
        <f t="shared" si="83"/>
        <v>2.0620582427056353E-4</v>
      </c>
      <c r="O1085" s="1">
        <f t="shared" si="84"/>
        <v>1.8130722167567905E-4</v>
      </c>
    </row>
    <row r="1086" spans="4:15" x14ac:dyDescent="0.25">
      <c r="D1086" s="3">
        <v>44573</v>
      </c>
      <c r="E1086" s="2">
        <v>4.9073010825506198E-2</v>
      </c>
      <c r="F1086" s="2">
        <v>4.9086500230706501E-2</v>
      </c>
      <c r="G1086" s="2">
        <v>4.9079752999999997E-2</v>
      </c>
      <c r="H1086" s="2">
        <v>0.18000180001800001</v>
      </c>
      <c r="I1086" s="2">
        <v>0.18005041411595199</v>
      </c>
      <c r="J1086" s="2">
        <v>0.18002609999999999</v>
      </c>
      <c r="K1086">
        <f t="shared" si="80"/>
        <v>-4.9121713541433465E-5</v>
      </c>
      <c r="L1086">
        <f t="shared" si="81"/>
        <v>1.0117440549460177E-2</v>
      </c>
      <c r="M1086" s="1">
        <f t="shared" si="82"/>
        <v>5.2704567462902628E-3</v>
      </c>
      <c r="N1086" s="1">
        <f t="shared" si="83"/>
        <v>2.748466399230318E-4</v>
      </c>
      <c r="O1086" s="1">
        <f t="shared" si="84"/>
        <v>2.7003916627634682E-4</v>
      </c>
    </row>
    <row r="1087" spans="4:15" x14ac:dyDescent="0.25">
      <c r="D1087" s="5">
        <v>44572</v>
      </c>
      <c r="E1087" s="4">
        <v>4.90751782655851E-2</v>
      </c>
      <c r="F1087" s="4">
        <v>4.9089150806780203E-2</v>
      </c>
      <c r="G1087" s="4">
        <v>4.9082163999999998E-2</v>
      </c>
      <c r="H1087" s="4">
        <v>0.178211822572309</v>
      </c>
      <c r="I1087" s="4">
        <v>0.178234056963605</v>
      </c>
      <c r="J1087" s="4">
        <v>0.17822294</v>
      </c>
      <c r="K1087">
        <f t="shared" si="80"/>
        <v>5.1291271858240339E-3</v>
      </c>
      <c r="L1087">
        <f t="shared" si="81"/>
        <v>1.2475593218991055E-2</v>
      </c>
      <c r="M1087" s="1">
        <f t="shared" si="82"/>
        <v>8.9731111653587586E-3</v>
      </c>
      <c r="N1087" s="1">
        <f t="shared" si="83"/>
        <v>2.8467655165130058E-4</v>
      </c>
      <c r="O1087" s="1">
        <f t="shared" si="84"/>
        <v>1.2475605719446364E-4</v>
      </c>
    </row>
    <row r="1088" spans="4:15" x14ac:dyDescent="0.25">
      <c r="D1088" s="3">
        <v>44571</v>
      </c>
      <c r="E1088" s="2">
        <v>4.8824787368051001E-2</v>
      </c>
      <c r="F1088" s="2">
        <v>4.8838617671765401E-2</v>
      </c>
      <c r="G1088" s="2">
        <v>4.8831699999999999E-2</v>
      </c>
      <c r="H1088" s="2">
        <v>0.176016052664003</v>
      </c>
      <c r="I1088" s="2">
        <v>0.17603774249199</v>
      </c>
      <c r="J1088" s="2">
        <v>0.17602689999999999</v>
      </c>
      <c r="K1088">
        <f t="shared" si="80"/>
        <v>-1.8190055262305993E-3</v>
      </c>
      <c r="L1088">
        <f t="shared" si="81"/>
        <v>-4.4975132076207069E-3</v>
      </c>
      <c r="M1088" s="1">
        <f t="shared" si="82"/>
        <v>-3.2205148464725204E-3</v>
      </c>
      <c r="N1088" s="1">
        <f t="shared" si="83"/>
        <v>2.8322388355105907E-4</v>
      </c>
      <c r="O1088" s="1">
        <f t="shared" si="84"/>
        <v>1.2321882613966216E-4</v>
      </c>
    </row>
    <row r="1089" spans="4:15" x14ac:dyDescent="0.25">
      <c r="D1089" s="5">
        <v>44568</v>
      </c>
      <c r="E1089" s="4">
        <v>4.8914824615896302E-2</v>
      </c>
      <c r="F1089" s="4">
        <v>4.89265514609468E-2</v>
      </c>
      <c r="G1089" s="4">
        <v>4.8920686999999997E-2</v>
      </c>
      <c r="H1089" s="4">
        <v>0.17679089173325799</v>
      </c>
      <c r="I1089" s="4">
        <v>0.176853423882286</v>
      </c>
      <c r="J1089" s="4">
        <v>0.17682216000000001</v>
      </c>
      <c r="K1089">
        <f t="shared" si="80"/>
        <v>2.0786939087957812E-4</v>
      </c>
      <c r="L1089">
        <f t="shared" si="81"/>
        <v>7.8862918422741846E-3</v>
      </c>
      <c r="M1089" s="1">
        <f t="shared" si="82"/>
        <v>4.2255471093916109E-3</v>
      </c>
      <c r="N1089" s="1">
        <f t="shared" si="83"/>
        <v>2.3971137303322059E-4</v>
      </c>
      <c r="O1089" s="1">
        <f t="shared" si="84"/>
        <v>3.5364430017151798E-4</v>
      </c>
    </row>
    <row r="1090" spans="4:15" x14ac:dyDescent="0.25">
      <c r="D1090" s="3">
        <v>44567</v>
      </c>
      <c r="E1090" s="2">
        <v>4.8903342543462798E-2</v>
      </c>
      <c r="F1090" s="2">
        <v>4.8917695976519501E-2</v>
      </c>
      <c r="G1090" s="2">
        <v>4.8910519999999999E-2</v>
      </c>
      <c r="H1090" s="2">
        <v>0.17542320849048301</v>
      </c>
      <c r="I1090" s="2">
        <v>0.17545398719185901</v>
      </c>
      <c r="J1090" s="2">
        <v>0.1754386</v>
      </c>
      <c r="K1090">
        <f t="shared" si="80"/>
        <v>-1.6017884834940155E-3</v>
      </c>
      <c r="L1090">
        <f t="shared" si="81"/>
        <v>-7.1929849679420732E-3</v>
      </c>
      <c r="M1090" s="1">
        <f t="shared" si="82"/>
        <v>-4.5273406626802201E-3</v>
      </c>
      <c r="N1090" s="1">
        <f t="shared" si="83"/>
        <v>2.9346310480246948E-4</v>
      </c>
      <c r="O1090" s="1">
        <f t="shared" si="84"/>
        <v>1.7543859433439472E-4</v>
      </c>
    </row>
    <row r="1091" spans="4:15" x14ac:dyDescent="0.25">
      <c r="D1091" s="5">
        <v>44566</v>
      </c>
      <c r="E1091" s="4">
        <v>4.89816710586898E-2</v>
      </c>
      <c r="F1091" s="4">
        <v>4.89963105778135E-2</v>
      </c>
      <c r="G1091" s="4">
        <v>4.8988990000000003E-2</v>
      </c>
      <c r="H1091" s="4">
        <v>0.176697176379121</v>
      </c>
      <c r="I1091" s="4">
        <v>0.176722157424098</v>
      </c>
      <c r="J1091" s="4">
        <v>0.17670967000000001</v>
      </c>
      <c r="K1091">
        <f t="shared" si="80"/>
        <v>2.7556186073522948E-3</v>
      </c>
      <c r="L1091">
        <f t="shared" si="81"/>
        <v>1.6787262110071755E-3</v>
      </c>
      <c r="M1091" s="1">
        <f t="shared" si="82"/>
        <v>2.1921426312102176E-3</v>
      </c>
      <c r="N1091" s="1">
        <f t="shared" si="83"/>
        <v>2.9883284231210333E-4</v>
      </c>
      <c r="O1091" s="1">
        <f t="shared" si="84"/>
        <v>1.4136773033983707E-4</v>
      </c>
    </row>
    <row r="1092" spans="4:15" x14ac:dyDescent="0.25">
      <c r="D1092" s="3">
        <v>44565</v>
      </c>
      <c r="E1092" s="2">
        <v>4.8847205939820199E-2</v>
      </c>
      <c r="F1092" s="2">
        <v>4.8861526434085797E-2</v>
      </c>
      <c r="G1092" s="2">
        <v>4.8854366000000003E-2</v>
      </c>
      <c r="H1092" s="2">
        <v>0.176394842214814</v>
      </c>
      <c r="I1092" s="2">
        <v>0.17643218828843099</v>
      </c>
      <c r="J1092" s="2">
        <v>0.17641351999999999</v>
      </c>
      <c r="K1092">
        <f t="shared" si="80"/>
        <v>7.1082916339806346E-3</v>
      </c>
      <c r="L1092">
        <f t="shared" si="81"/>
        <v>-8.1152354369828927E-4</v>
      </c>
      <c r="M1092" s="1">
        <f t="shared" si="82"/>
        <v>2.9643069580248585E-3</v>
      </c>
      <c r="N1092" s="1">
        <f t="shared" si="83"/>
        <v>2.9312619194769396E-4</v>
      </c>
      <c r="O1092" s="1">
        <f t="shared" si="84"/>
        <v>2.116962102280769E-4</v>
      </c>
    </row>
    <row r="1093" spans="4:15" x14ac:dyDescent="0.25">
      <c r="D1093" s="5">
        <v>44564</v>
      </c>
      <c r="E1093" s="4">
        <v>4.8501309535357501E-2</v>
      </c>
      <c r="F1093" s="4">
        <v>4.8517781767017598E-2</v>
      </c>
      <c r="G1093" s="4">
        <v>4.8509546000000001E-2</v>
      </c>
      <c r="H1093" s="4">
        <v>0.17653497157786999</v>
      </c>
      <c r="I1093" s="4">
        <v>0.17657861279841799</v>
      </c>
      <c r="J1093" s="4">
        <v>0.17655680000000001</v>
      </c>
      <c r="K1093">
        <f t="shared" si="80"/>
        <v>-7.2521411199274466E-3</v>
      </c>
      <c r="L1093">
        <f t="shared" si="81"/>
        <v>-1.6578604036545541E-2</v>
      </c>
      <c r="M1093" s="1">
        <f t="shared" si="82"/>
        <v>-1.2132143814467856E-2</v>
      </c>
      <c r="N1093" s="1">
        <f t="shared" si="83"/>
        <v>3.3956680732689953E-4</v>
      </c>
      <c r="O1093" s="1">
        <f t="shared" si="84"/>
        <v>2.4717949434973588E-4</v>
      </c>
    </row>
    <row r="1094" spans="4:15" x14ac:dyDescent="0.25">
      <c r="D1094" s="3">
        <v>44561</v>
      </c>
      <c r="E1094" s="2">
        <v>4.88548424919878E-2</v>
      </c>
      <c r="F1094" s="2">
        <v>4.8872988876507699E-2</v>
      </c>
      <c r="G1094" s="2">
        <v>4.8863914000000001E-2</v>
      </c>
      <c r="H1094" s="2">
        <v>0.17950098725543001</v>
      </c>
      <c r="I1094" s="2">
        <v>0.17956545160711099</v>
      </c>
      <c r="J1094" s="2">
        <v>0.17953321</v>
      </c>
      <c r="K1094">
        <f t="shared" si="80"/>
        <v>1.4170371127888437E-3</v>
      </c>
      <c r="L1094">
        <f t="shared" si="81"/>
        <v>1.1310409312688119E-3</v>
      </c>
      <c r="M1094" s="1">
        <f t="shared" si="82"/>
        <v>1.2673917275100148E-3</v>
      </c>
      <c r="N1094" s="1">
        <f t="shared" si="83"/>
        <v>3.7136575919601315E-4</v>
      </c>
      <c r="O1094" s="1">
        <f t="shared" si="84"/>
        <v>3.5906644615208626E-4</v>
      </c>
    </row>
    <row r="1095" spans="4:15" x14ac:dyDescent="0.25">
      <c r="D1095" s="5">
        <v>44560</v>
      </c>
      <c r="E1095" s="4">
        <v>4.8790483904019397E-2</v>
      </c>
      <c r="F1095" s="4">
        <v>4.87990552502904E-2</v>
      </c>
      <c r="G1095" s="4">
        <v>4.8794770000000001E-2</v>
      </c>
      <c r="H1095" s="4">
        <v>0.179307871615564</v>
      </c>
      <c r="I1095" s="4">
        <v>0.179352894755721</v>
      </c>
      <c r="J1095" s="4">
        <v>0.17933038000000001</v>
      </c>
      <c r="K1095">
        <f t="shared" si="80"/>
        <v>2.9521607960545371E-3</v>
      </c>
      <c r="L1095">
        <f t="shared" si="81"/>
        <v>1.8453083618154675E-2</v>
      </c>
      <c r="M1095" s="1">
        <f t="shared" si="82"/>
        <v>1.1062903938015303E-2</v>
      </c>
      <c r="N1095" s="1">
        <f t="shared" si="83"/>
        <v>1.7566116760062215E-4</v>
      </c>
      <c r="O1095" s="1">
        <f t="shared" si="84"/>
        <v>2.5106253696112316E-4</v>
      </c>
    </row>
    <row r="1096" spans="4:15" x14ac:dyDescent="0.25">
      <c r="D1096" s="3">
        <v>44559</v>
      </c>
      <c r="E1096" s="2">
        <v>4.86442838102095E-2</v>
      </c>
      <c r="F1096" s="2">
        <v>4.8658012028260603E-2</v>
      </c>
      <c r="G1096" s="2">
        <v>4.8651144E-2</v>
      </c>
      <c r="H1096" s="2">
        <v>0.176059437666156</v>
      </c>
      <c r="I1096" s="2">
        <v>0.17610284406093199</v>
      </c>
      <c r="J1096" s="2">
        <v>0.17608114</v>
      </c>
      <c r="K1096">
        <f t="shared" si="80"/>
        <v>1.5811021880420828E-3</v>
      </c>
      <c r="L1096">
        <f t="shared" si="81"/>
        <v>-7.104838404088043E-3</v>
      </c>
      <c r="M1096" s="1">
        <f t="shared" si="82"/>
        <v>-2.9637519408137912E-3</v>
      </c>
      <c r="N1096" s="1">
        <f t="shared" si="83"/>
        <v>2.8217667504596653E-4</v>
      </c>
      <c r="O1096" s="1">
        <f t="shared" si="84"/>
        <v>2.4651359467564506E-4</v>
      </c>
    </row>
    <row r="1097" spans="4:15" x14ac:dyDescent="0.25">
      <c r="D1097" s="5">
        <v>44558</v>
      </c>
      <c r="E1097" s="4">
        <v>4.85651428543677E-2</v>
      </c>
      <c r="F1097" s="4">
        <v>4.8583546696075897E-2</v>
      </c>
      <c r="G1097" s="4">
        <v>4.8574342999999999E-2</v>
      </c>
      <c r="H1097" s="4">
        <v>0.177326973205894</v>
      </c>
      <c r="I1097" s="4">
        <v>0.177355278093076</v>
      </c>
      <c r="J1097" s="4">
        <v>0.17734111999999999</v>
      </c>
      <c r="K1097">
        <f t="shared" si="80"/>
        <v>6.9824892549938955E-3</v>
      </c>
      <c r="L1097">
        <f t="shared" si="81"/>
        <v>2.1368877341965131E-3</v>
      </c>
      <c r="M1097" s="1">
        <f t="shared" si="82"/>
        <v>4.447064122275423E-3</v>
      </c>
      <c r="N1097" s="1">
        <f t="shared" si="83"/>
        <v>3.7887988949632045E-4</v>
      </c>
      <c r="O1097" s="1">
        <f t="shared" si="84"/>
        <v>1.5960701715429172E-4</v>
      </c>
    </row>
    <row r="1098" spans="4:15" x14ac:dyDescent="0.25">
      <c r="D1098" s="3">
        <v>44557</v>
      </c>
      <c r="E1098" s="2">
        <v>4.8231821426504402E-2</v>
      </c>
      <c r="F1098" s="2">
        <v>4.8243223033244402E-2</v>
      </c>
      <c r="G1098" s="2">
        <v>4.8237525000000003E-2</v>
      </c>
      <c r="H1098" s="2">
        <v>0.176941043244391</v>
      </c>
      <c r="I1098" s="2">
        <v>0.17698488549077901</v>
      </c>
      <c r="J1098" s="2">
        <v>0.17696297</v>
      </c>
      <c r="K1098">
        <f t="shared" si="80"/>
        <v>-5.4146446104810231E-3</v>
      </c>
      <c r="L1098">
        <f t="shared" si="81"/>
        <v>4.4064072515836994E-3</v>
      </c>
      <c r="M1098" s="1">
        <f t="shared" si="82"/>
        <v>-2.7585191076417515E-4</v>
      </c>
      <c r="N1098" s="1">
        <f t="shared" si="83"/>
        <v>2.3636384205034732E-4</v>
      </c>
      <c r="O1098" s="1">
        <f t="shared" si="84"/>
        <v>2.4774813842697989E-4</v>
      </c>
    </row>
    <row r="1099" spans="4:15" x14ac:dyDescent="0.25">
      <c r="D1099" s="5">
        <v>44554</v>
      </c>
      <c r="E1099" s="4">
        <v>4.8472157592678797E-2</v>
      </c>
      <c r="F1099" s="4">
        <v>4.8528141469237999E-2</v>
      </c>
      <c r="G1099" s="4">
        <v>4.8500135999999999E-2</v>
      </c>
      <c r="H1099" s="4">
        <v>0.176171097369765</v>
      </c>
      <c r="I1099" s="4">
        <v>0.17620213909396901</v>
      </c>
      <c r="J1099" s="4">
        <v>0.17618661999999999</v>
      </c>
      <c r="K1099">
        <f t="shared" si="80"/>
        <v>2.4371763015422765E-3</v>
      </c>
      <c r="L1099">
        <f t="shared" si="81"/>
        <v>6.7832170549457782E-3</v>
      </c>
      <c r="M1099" s="1">
        <f t="shared" si="82"/>
        <v>4.7112099600476265E-3</v>
      </c>
      <c r="N1099" s="1">
        <f t="shared" si="83"/>
        <v>1.1543034963696335E-3</v>
      </c>
      <c r="O1099" s="1">
        <f t="shared" si="84"/>
        <v>1.7618661510171286E-4</v>
      </c>
    </row>
    <row r="1100" spans="4:15" x14ac:dyDescent="0.25">
      <c r="D1100" s="3">
        <v>44553</v>
      </c>
      <c r="E1100" s="2">
        <v>4.8374613003095999E-2</v>
      </c>
      <c r="F1100" s="2">
        <v>4.8389828458058101E-2</v>
      </c>
      <c r="G1100" s="2">
        <v>4.8382219999999997E-2</v>
      </c>
      <c r="H1100" s="2">
        <v>0.17497200447928299</v>
      </c>
      <c r="I1100" s="2">
        <v>0.175027129205027</v>
      </c>
      <c r="J1100" s="2">
        <v>0.17499956</v>
      </c>
      <c r="K1100">
        <f t="shared" si="80"/>
        <v>4.8019771136631473E-3</v>
      </c>
      <c r="L1100">
        <f t="shared" si="81"/>
        <v>2.9746063276570034E-4</v>
      </c>
      <c r="M1100" s="1">
        <f t="shared" si="82"/>
        <v>2.4450222036497132E-3</v>
      </c>
      <c r="N1100" s="1">
        <f t="shared" si="83"/>
        <v>3.1448443172102673E-4</v>
      </c>
      <c r="O1100" s="1">
        <f t="shared" si="84"/>
        <v>3.1499922482096626E-4</v>
      </c>
    </row>
    <row r="1101" spans="4:15" x14ac:dyDescent="0.25">
      <c r="D1101" s="5">
        <v>44552</v>
      </c>
      <c r="E1101" s="4">
        <v>4.8144974146148899E-2</v>
      </c>
      <c r="F1101" s="4">
        <v>4.8157030444874599E-2</v>
      </c>
      <c r="G1101" s="4">
        <v>4.8150999999999999E-2</v>
      </c>
      <c r="H1101" s="4">
        <v>0.17491691446562899</v>
      </c>
      <c r="I1101" s="4">
        <v>0.17497812773403301</v>
      </c>
      <c r="J1101" s="4">
        <v>0.17494752</v>
      </c>
      <c r="K1101">
        <f t="shared" si="80"/>
        <v>-9.3891118338418345E-4</v>
      </c>
      <c r="L1101">
        <f t="shared" si="81"/>
        <v>5.0123222748814644E-3</v>
      </c>
      <c r="M1101" s="1">
        <f t="shared" si="82"/>
        <v>2.1750276776633069E-3</v>
      </c>
      <c r="N1101" s="1">
        <f t="shared" si="83"/>
        <v>2.5038521994767086E-4</v>
      </c>
      <c r="O1101" s="1">
        <f t="shared" si="84"/>
        <v>3.498950336879633E-4</v>
      </c>
    </row>
    <row r="1102" spans="4:15" x14ac:dyDescent="0.25">
      <c r="D1102" s="3">
        <v>44551</v>
      </c>
      <c r="E1102" s="2">
        <v>4.8187894237209698E-2</v>
      </c>
      <c r="F1102" s="2">
        <v>4.8204618966589403E-2</v>
      </c>
      <c r="G1102" s="2">
        <v>4.8196252000000002E-2</v>
      </c>
      <c r="H1102" s="2">
        <v>0.17403713952557501</v>
      </c>
      <c r="I1102" s="2">
        <v>0.17411289480098899</v>
      </c>
      <c r="J1102" s="2">
        <v>0.17407500000000001</v>
      </c>
      <c r="K1102">
        <f t="shared" si="80"/>
        <v>-1.3252386176354491E-4</v>
      </c>
      <c r="L1102">
        <f t="shared" si="81"/>
        <v>-3.5860028203538175E-3</v>
      </c>
      <c r="M1102" s="1">
        <f t="shared" si="82"/>
        <v>-1.9395311671193752E-3</v>
      </c>
      <c r="N1102" s="1">
        <f t="shared" si="83"/>
        <v>3.4701307022183282E-4</v>
      </c>
      <c r="O1102" s="1">
        <f t="shared" si="84"/>
        <v>4.3518756521028338E-4</v>
      </c>
    </row>
    <row r="1103" spans="4:15" x14ac:dyDescent="0.25">
      <c r="D1103" s="5">
        <v>44550</v>
      </c>
      <c r="E1103" s="4">
        <v>4.8194396919414101E-2</v>
      </c>
      <c r="F1103" s="4">
        <v>4.8210893733547998E-2</v>
      </c>
      <c r="G1103" s="4">
        <v>4.8202639999999998E-2</v>
      </c>
      <c r="H1103" s="4">
        <v>0.17466943808841801</v>
      </c>
      <c r="I1103" s="4">
        <v>0.17473353136466899</v>
      </c>
      <c r="J1103" s="4">
        <v>0.17470147999999999</v>
      </c>
      <c r="K1103">
        <f t="shared" si="80"/>
        <v>-6.6280208340030455E-4</v>
      </c>
      <c r="L1103">
        <f t="shared" si="81"/>
        <v>-8.682719590947463E-3</v>
      </c>
      <c r="M1103" s="1">
        <f t="shared" si="82"/>
        <v>-4.8591645625869631E-3</v>
      </c>
      <c r="N1103" s="1">
        <f t="shared" si="83"/>
        <v>3.4223880961492932E-4</v>
      </c>
      <c r="O1103" s="1">
        <f t="shared" si="84"/>
        <v>3.6687311550526994E-4</v>
      </c>
    </row>
    <row r="1104" spans="4:15" x14ac:dyDescent="0.25">
      <c r="D1104" s="3">
        <v>44547</v>
      </c>
      <c r="E1104" s="2">
        <v>4.8230193065462799E-2</v>
      </c>
      <c r="F1104" s="2">
        <v>4.8239034061581899E-2</v>
      </c>
      <c r="G1104" s="2">
        <v>4.8234609999999997E-2</v>
      </c>
      <c r="H1104" s="2">
        <v>0.176214558846852</v>
      </c>
      <c r="I1104" s="2">
        <v>0.17624872219676399</v>
      </c>
      <c r="J1104" s="2">
        <v>0.17623164999999999</v>
      </c>
      <c r="K1104">
        <f t="shared" ref="K1104:K1167" si="85">G1104/G1105-1</f>
        <v>9.2609622403407865E-3</v>
      </c>
      <c r="L1104">
        <f t="shared" ref="L1104:L1167" si="86">J1104/J1105-1</f>
        <v>6.4326058907204775E-4</v>
      </c>
      <c r="M1104" s="1">
        <f t="shared" ref="M1104:M1167" si="87">SUMPRODUCT(K1104:L1104,$O$11:$P$11)</f>
        <v>4.7518136322437831E-3</v>
      </c>
      <c r="N1104" s="1">
        <f t="shared" ref="N1104:N1167" si="88">(F1104-E1104)/G1104</f>
        <v>1.8329154354311029E-4</v>
      </c>
      <c r="O1104" s="1">
        <f t="shared" ref="O1104:O1167" si="89">(I1104-H1104)/J1104</f>
        <v>1.9385479232585063E-4</v>
      </c>
    </row>
    <row r="1105" spans="4:15" x14ac:dyDescent="0.25">
      <c r="D1105" s="5">
        <v>44546</v>
      </c>
      <c r="E1105" s="4">
        <v>4.7785386273169903E-2</v>
      </c>
      <c r="F1105" s="4">
        <v>4.7798633915042701E-2</v>
      </c>
      <c r="G1105" s="4">
        <v>4.7792010000000003E-2</v>
      </c>
      <c r="H1105" s="4">
        <v>0.17608733932030299</v>
      </c>
      <c r="I1105" s="4">
        <v>0.17614937466972</v>
      </c>
      <c r="J1105" s="4">
        <v>0.17611836</v>
      </c>
      <c r="K1105">
        <f t="shared" si="85"/>
        <v>1.5305420088053356E-2</v>
      </c>
      <c r="L1105">
        <f t="shared" si="86"/>
        <v>8.4185294221383877E-3</v>
      </c>
      <c r="M1105" s="1">
        <f t="shared" si="87"/>
        <v>1.1701905518045608E-2</v>
      </c>
      <c r="N1105" s="1">
        <f t="shared" si="88"/>
        <v>2.7719365376762599E-4</v>
      </c>
      <c r="O1105" s="1">
        <f t="shared" si="89"/>
        <v>3.5223669705424898E-4</v>
      </c>
    </row>
    <row r="1106" spans="4:15" x14ac:dyDescent="0.25">
      <c r="D1106" s="3">
        <v>44545</v>
      </c>
      <c r="E1106" s="2">
        <v>4.7063696006174799E-2</v>
      </c>
      <c r="F1106" s="2">
        <v>4.7079427702476799E-2</v>
      </c>
      <c r="G1106" s="2">
        <v>4.7071559999999998E-2</v>
      </c>
      <c r="H1106" s="2">
        <v>0.17462063666684099</v>
      </c>
      <c r="I1106" s="2">
        <v>0.174675540184108</v>
      </c>
      <c r="J1106" s="2">
        <v>0.17464808000000001</v>
      </c>
      <c r="K1106">
        <f t="shared" si="85"/>
        <v>-1.9652597041190933E-3</v>
      </c>
      <c r="L1106">
        <f t="shared" si="86"/>
        <v>-1.1177469296482223E-2</v>
      </c>
      <c r="M1106" s="1">
        <f t="shared" si="87"/>
        <v>-6.7854801923494384E-3</v>
      </c>
      <c r="N1106" s="1">
        <f t="shared" si="88"/>
        <v>3.3420809299713382E-4</v>
      </c>
      <c r="O1106" s="1">
        <f t="shared" si="89"/>
        <v>3.1436656656633178E-4</v>
      </c>
    </row>
    <row r="1107" spans="4:15" x14ac:dyDescent="0.25">
      <c r="D1107" s="5">
        <v>44544</v>
      </c>
      <c r="E1107" s="4">
        <v>4.71586889884461E-2</v>
      </c>
      <c r="F1107" s="4">
        <v>4.71698113207547E-2</v>
      </c>
      <c r="G1107" s="4">
        <v>4.7164249999999998E-2</v>
      </c>
      <c r="H1107" s="4">
        <v>0.17660356032777599</v>
      </c>
      <c r="I1107" s="4">
        <v>0.17664099484208301</v>
      </c>
      <c r="J1107" s="4">
        <v>0.17662227</v>
      </c>
      <c r="K1107">
        <f t="shared" si="85"/>
        <v>-1.2616435758503797E-2</v>
      </c>
      <c r="L1107">
        <f t="shared" si="86"/>
        <v>2.1460015245904351E-3</v>
      </c>
      <c r="M1107" s="1">
        <f t="shared" si="87"/>
        <v>-4.8920997091833262E-3</v>
      </c>
      <c r="N1107" s="1">
        <f t="shared" si="88"/>
        <v>2.3582124826748233E-4</v>
      </c>
      <c r="O1107" s="1">
        <f t="shared" si="89"/>
        <v>2.1194673982514491E-4</v>
      </c>
    </row>
    <row r="1108" spans="4:15" x14ac:dyDescent="0.25">
      <c r="D1108" s="3">
        <v>44543</v>
      </c>
      <c r="E1108" s="2">
        <v>4.7760965917774699E-2</v>
      </c>
      <c r="F1108" s="2">
        <v>4.77728306357608E-2</v>
      </c>
      <c r="G1108" s="2">
        <v>4.7766898000000002E-2</v>
      </c>
      <c r="H1108" s="2">
        <v>0.17623319175933599</v>
      </c>
      <c r="I1108" s="2">
        <v>0.17625493513818399</v>
      </c>
      <c r="J1108" s="2">
        <v>0.17624405000000001</v>
      </c>
      <c r="K1108">
        <f t="shared" si="85"/>
        <v>7.1686577906904247E-5</v>
      </c>
      <c r="L1108">
        <f t="shared" si="86"/>
        <v>-1.2363663058099883E-2</v>
      </c>
      <c r="M1108" s="1">
        <f t="shared" si="87"/>
        <v>-6.4350180832070322E-3</v>
      </c>
      <c r="N1108" s="1">
        <f t="shared" si="88"/>
        <v>2.4838786864705861E-4</v>
      </c>
      <c r="O1108" s="1">
        <f t="shared" si="89"/>
        <v>1.2337085335930071E-4</v>
      </c>
    </row>
    <row r="1109" spans="4:15" x14ac:dyDescent="0.25">
      <c r="D1109" s="5">
        <v>44540</v>
      </c>
      <c r="E1109" s="4">
        <v>4.7757544498092101E-2</v>
      </c>
      <c r="F1109" s="4">
        <v>4.7769407516038601E-2</v>
      </c>
      <c r="G1109" s="4">
        <v>4.7763474E-2</v>
      </c>
      <c r="H1109" s="4">
        <v>0.17842804888928501</v>
      </c>
      <c r="I1109" s="4">
        <v>0.17847263122200199</v>
      </c>
      <c r="J1109" s="4">
        <v>0.17845035000000001</v>
      </c>
      <c r="K1109">
        <f t="shared" si="85"/>
        <v>5.3733676895111326E-3</v>
      </c>
      <c r="L1109">
        <f t="shared" si="86"/>
        <v>-5.246346677518221E-3</v>
      </c>
      <c r="M1109" s="1">
        <f t="shared" si="87"/>
        <v>-1.8331925490497726E-4</v>
      </c>
      <c r="N1109" s="1">
        <f t="shared" si="88"/>
        <v>2.4837008184327839E-4</v>
      </c>
      <c r="O1109" s="1">
        <f t="shared" si="89"/>
        <v>2.4983045825900766E-4</v>
      </c>
    </row>
    <row r="1110" spans="4:15" x14ac:dyDescent="0.25">
      <c r="D1110" s="3">
        <v>44539</v>
      </c>
      <c r="E1110" s="2">
        <v>4.7500973769962297E-2</v>
      </c>
      <c r="F1110" s="2">
        <v>4.7515418753385497E-2</v>
      </c>
      <c r="G1110" s="2">
        <v>4.7508195000000003E-2</v>
      </c>
      <c r="H1110" s="2">
        <v>0.17936576266322299</v>
      </c>
      <c r="I1110" s="2">
        <v>0.179417252763026</v>
      </c>
      <c r="J1110" s="2">
        <v>0.17939150000000001</v>
      </c>
      <c r="K1110">
        <f t="shared" si="85"/>
        <v>-5.7485238017066509E-3</v>
      </c>
      <c r="L1110">
        <f t="shared" si="86"/>
        <v>-4.3413661372330159E-3</v>
      </c>
      <c r="M1110" s="1">
        <f t="shared" si="87"/>
        <v>-5.0122389683601434E-3</v>
      </c>
      <c r="N1110" s="1">
        <f t="shared" si="88"/>
        <v>3.0405245712238456E-4</v>
      </c>
      <c r="O1110" s="1">
        <f t="shared" si="89"/>
        <v>2.8702641877131484E-4</v>
      </c>
    </row>
    <row r="1111" spans="4:15" x14ac:dyDescent="0.25">
      <c r="D1111" s="5">
        <v>44538</v>
      </c>
      <c r="E1111" s="4">
        <v>4.7776939027070399E-2</v>
      </c>
      <c r="F1111" s="4">
        <v>4.7788811683408698E-2</v>
      </c>
      <c r="G1111" s="4">
        <v>4.7782876000000002E-2</v>
      </c>
      <c r="H1111" s="4">
        <v>0.18015421200547699</v>
      </c>
      <c r="I1111" s="4">
        <v>0.18019316707510499</v>
      </c>
      <c r="J1111" s="4">
        <v>0.18017369999999999</v>
      </c>
      <c r="K1111">
        <f t="shared" si="85"/>
        <v>9.2221895550734789E-3</v>
      </c>
      <c r="L1111">
        <f t="shared" si="86"/>
        <v>1.5918358762534446E-2</v>
      </c>
      <c r="M1111" s="1">
        <f t="shared" si="87"/>
        <v>1.2725910533503883E-2</v>
      </c>
      <c r="N1111" s="1">
        <f t="shared" si="88"/>
        <v>2.4847094466015938E-4</v>
      </c>
      <c r="O1111" s="1">
        <f t="shared" si="89"/>
        <v>2.1620841237097863E-4</v>
      </c>
    </row>
    <row r="1112" spans="4:15" x14ac:dyDescent="0.25">
      <c r="D1112" s="3">
        <v>44537</v>
      </c>
      <c r="E1112" s="2">
        <v>4.7340191349053401E-2</v>
      </c>
      <c r="F1112" s="2">
        <v>4.7352296349611502E-2</v>
      </c>
      <c r="G1112" s="2">
        <v>4.7346239999999998E-2</v>
      </c>
      <c r="H1112" s="2">
        <v>0.17733011774719801</v>
      </c>
      <c r="I1112" s="2">
        <v>0.17737100693520599</v>
      </c>
      <c r="J1112" s="2">
        <v>0.17735057000000001</v>
      </c>
      <c r="K1112">
        <f t="shared" si="85"/>
        <v>3.3851839630842928E-3</v>
      </c>
      <c r="L1112">
        <f t="shared" si="86"/>
        <v>7.856653523182322E-3</v>
      </c>
      <c r="M1112" s="1">
        <f t="shared" si="87"/>
        <v>5.7248473163747518E-3</v>
      </c>
      <c r="N1112" s="1">
        <f t="shared" si="88"/>
        <v>2.5566973339594747E-4</v>
      </c>
      <c r="O1112" s="1">
        <f t="shared" si="89"/>
        <v>2.3055571802214374E-4</v>
      </c>
    </row>
    <row r="1113" spans="4:15" x14ac:dyDescent="0.25">
      <c r="D1113" s="5">
        <v>44536</v>
      </c>
      <c r="E1113" s="4">
        <v>4.7179158135102199E-2</v>
      </c>
      <c r="F1113" s="4">
        <v>4.7193853472523702E-2</v>
      </c>
      <c r="G1113" s="4">
        <v>4.7186504999999997E-2</v>
      </c>
      <c r="H1113" s="4">
        <v>0.175929346774335</v>
      </c>
      <c r="I1113" s="4">
        <v>0.176006758659533</v>
      </c>
      <c r="J1113" s="4">
        <v>0.17596804999999999</v>
      </c>
      <c r="K1113">
        <f t="shared" si="85"/>
        <v>1.151356617546484E-2</v>
      </c>
      <c r="L1113">
        <f t="shared" si="86"/>
        <v>-2.4635687120991845E-3</v>
      </c>
      <c r="M1113" s="1">
        <f t="shared" si="87"/>
        <v>4.200133792462285E-3</v>
      </c>
      <c r="N1113" s="1">
        <f t="shared" si="88"/>
        <v>3.1143093605899677E-4</v>
      </c>
      <c r="O1113" s="1">
        <f t="shared" si="89"/>
        <v>4.3992011730537272E-4</v>
      </c>
    </row>
    <row r="1114" spans="4:15" x14ac:dyDescent="0.25">
      <c r="D1114" s="3">
        <v>44533</v>
      </c>
      <c r="E1114" s="2">
        <v>4.6645054458101097E-2</v>
      </c>
      <c r="F1114" s="2">
        <v>4.6653759126641603E-2</v>
      </c>
      <c r="G1114" s="2">
        <v>4.6649403999999998E-2</v>
      </c>
      <c r="H1114" s="2">
        <v>0.176385508166649</v>
      </c>
      <c r="I1114" s="2">
        <v>0.17641973784027001</v>
      </c>
      <c r="J1114" s="2">
        <v>0.17640263</v>
      </c>
      <c r="K1114">
        <f t="shared" si="85"/>
        <v>-7.4172517979488317E-3</v>
      </c>
      <c r="L1114">
        <f t="shared" si="86"/>
        <v>-6.5444877275718794E-3</v>
      </c>
      <c r="M1114" s="1">
        <f t="shared" si="87"/>
        <v>-6.9605844575846027E-3</v>
      </c>
      <c r="N1114" s="1">
        <f t="shared" si="88"/>
        <v>1.8659763671377119E-4</v>
      </c>
      <c r="O1114" s="1">
        <f t="shared" si="89"/>
        <v>1.9404287578374997E-4</v>
      </c>
    </row>
    <row r="1115" spans="4:15" x14ac:dyDescent="0.25">
      <c r="D1115" s="5">
        <v>44532</v>
      </c>
      <c r="E1115" s="4">
        <v>4.6989610597096998E-2</v>
      </c>
      <c r="F1115" s="4">
        <v>4.7006397570709402E-2</v>
      </c>
      <c r="G1115" s="4">
        <v>4.6997999999999998E-2</v>
      </c>
      <c r="H1115" s="4">
        <v>0.17755681818181801</v>
      </c>
      <c r="I1115" s="4">
        <v>0.177572582793217</v>
      </c>
      <c r="J1115" s="4">
        <v>0.17756469999999999</v>
      </c>
      <c r="K1115">
        <f t="shared" si="85"/>
        <v>-8.9302705900906609E-4</v>
      </c>
      <c r="L1115">
        <f t="shared" si="86"/>
        <v>-1.9442910122111634E-3</v>
      </c>
      <c r="M1115" s="1">
        <f t="shared" si="87"/>
        <v>-1.4430931419565883E-3</v>
      </c>
      <c r="N1115" s="1">
        <f t="shared" si="88"/>
        <v>3.5718485068308818E-4</v>
      </c>
      <c r="O1115" s="1">
        <f t="shared" si="89"/>
        <v>8.8782350315059463E-5</v>
      </c>
    </row>
    <row r="1116" spans="4:15" x14ac:dyDescent="0.25">
      <c r="D1116" s="3">
        <v>44531</v>
      </c>
      <c r="E1116" s="2">
        <v>4.7032706544130803E-2</v>
      </c>
      <c r="F1116" s="2">
        <v>4.7047310775716097E-2</v>
      </c>
      <c r="G1116" s="2">
        <v>4.7040008000000001E-2</v>
      </c>
      <c r="H1116" s="2">
        <v>0.17790112255608301</v>
      </c>
      <c r="I1116" s="2">
        <v>0.17792011386887299</v>
      </c>
      <c r="J1116" s="2">
        <v>0.17791061</v>
      </c>
      <c r="K1116">
        <f t="shared" si="85"/>
        <v>1.0866208183906156E-2</v>
      </c>
      <c r="L1116">
        <f t="shared" si="86"/>
        <v>4.954826613548402E-3</v>
      </c>
      <c r="M1116" s="1">
        <f t="shared" si="87"/>
        <v>7.7731215282565453E-3</v>
      </c>
      <c r="N1116" s="1">
        <f t="shared" si="88"/>
        <v>3.1046405403022044E-4</v>
      </c>
      <c r="O1116" s="1">
        <f t="shared" si="89"/>
        <v>1.0674637555334299E-4</v>
      </c>
    </row>
    <row r="1117" spans="4:15" x14ac:dyDescent="0.25">
      <c r="D1117" s="5">
        <v>44530</v>
      </c>
      <c r="E1117" s="4">
        <v>4.6523529274930801E-2</v>
      </c>
      <c r="F1117" s="4">
        <v>4.6545183737112798E-2</v>
      </c>
      <c r="G1117" s="4">
        <v>4.6534355999999999E-2</v>
      </c>
      <c r="H1117" s="4">
        <v>0.17701621468526499</v>
      </c>
      <c r="I1117" s="4">
        <v>0.177050689612436</v>
      </c>
      <c r="J1117" s="4">
        <v>0.17703343999999999</v>
      </c>
      <c r="K1117">
        <f t="shared" si="85"/>
        <v>1.2157102702774258E-2</v>
      </c>
      <c r="L1117">
        <f t="shared" si="86"/>
        <v>-4.0098752051943576E-3</v>
      </c>
      <c r="M1117" s="1">
        <f t="shared" si="87"/>
        <v>3.6978511667084793E-3</v>
      </c>
      <c r="N1117" s="1">
        <f t="shared" si="88"/>
        <v>4.653435449283312E-4</v>
      </c>
      <c r="O1117" s="1">
        <f t="shared" si="89"/>
        <v>1.9473680888205751E-4</v>
      </c>
    </row>
    <row r="1118" spans="4:15" x14ac:dyDescent="0.25">
      <c r="D1118" s="3">
        <v>44529</v>
      </c>
      <c r="E1118" s="2">
        <v>4.5968557506665397E-2</v>
      </c>
      <c r="F1118" s="2">
        <v>4.5982296815726E-2</v>
      </c>
      <c r="G1118" s="2">
        <v>4.5975427999999999E-2</v>
      </c>
      <c r="H1118" s="2">
        <v>0.17772722425621201</v>
      </c>
      <c r="I1118" s="2">
        <v>0.17776513670138999</v>
      </c>
      <c r="J1118" s="2">
        <v>0.17774618</v>
      </c>
      <c r="K1118">
        <f t="shared" si="85"/>
        <v>3.0114716392011243E-3</v>
      </c>
      <c r="L1118">
        <f t="shared" si="86"/>
        <v>-7.003194138539337E-3</v>
      </c>
      <c r="M1118" s="1">
        <f t="shared" si="87"/>
        <v>-2.2286281089268197E-3</v>
      </c>
      <c r="N1118" s="1">
        <f t="shared" si="88"/>
        <v>2.9884026442564542E-4</v>
      </c>
      <c r="O1118" s="1">
        <f t="shared" si="89"/>
        <v>2.1329541471990491E-4</v>
      </c>
    </row>
    <row r="1119" spans="4:15" x14ac:dyDescent="0.25">
      <c r="D1119" s="5">
        <v>44526</v>
      </c>
      <c r="E1119" s="4">
        <v>4.5829934279874203E-2</v>
      </c>
      <c r="F1119" s="4">
        <v>4.5844851852361201E-2</v>
      </c>
      <c r="G1119" s="4">
        <v>4.5837389999999999E-2</v>
      </c>
      <c r="H1119" s="4">
        <v>0.17896771422435401</v>
      </c>
      <c r="I1119" s="4">
        <v>0.179031796046978</v>
      </c>
      <c r="J1119" s="4">
        <v>0.17899975000000001</v>
      </c>
      <c r="K1119">
        <f t="shared" si="85"/>
        <v>-1.1528084746022182E-2</v>
      </c>
      <c r="L1119">
        <f t="shared" si="86"/>
        <v>-5.7995293592807418E-3</v>
      </c>
      <c r="M1119" s="1">
        <f t="shared" si="87"/>
        <v>-8.5306605378252312E-3</v>
      </c>
      <c r="N1119" s="1">
        <f t="shared" si="88"/>
        <v>3.2544550392154718E-4</v>
      </c>
      <c r="O1119" s="1">
        <f t="shared" si="89"/>
        <v>3.579995090718859E-4</v>
      </c>
    </row>
    <row r="1120" spans="4:15" x14ac:dyDescent="0.25">
      <c r="D1120" s="3">
        <v>44525</v>
      </c>
      <c r="E1120" s="2">
        <v>4.6360686138154798E-2</v>
      </c>
      <c r="F1120" s="2">
        <v>4.63832649180176E-2</v>
      </c>
      <c r="G1120" s="2">
        <v>4.6371969999999998E-2</v>
      </c>
      <c r="H1120" s="2">
        <v>0.180027724269538</v>
      </c>
      <c r="I1120" s="2">
        <v>0.180060140086789</v>
      </c>
      <c r="J1120" s="2">
        <v>0.18004392</v>
      </c>
      <c r="K1120">
        <f t="shared" si="85"/>
        <v>-6.2718575545117616E-3</v>
      </c>
      <c r="L1120">
        <f t="shared" si="86"/>
        <v>7.6697422573035468E-3</v>
      </c>
      <c r="M1120" s="1">
        <f t="shared" si="87"/>
        <v>1.0229813631058124E-3</v>
      </c>
      <c r="N1120" s="1">
        <f t="shared" si="88"/>
        <v>4.8690577223270008E-4</v>
      </c>
      <c r="O1120" s="1">
        <f t="shared" si="89"/>
        <v>1.8004394289458349E-4</v>
      </c>
    </row>
    <row r="1121" spans="4:15" x14ac:dyDescent="0.25">
      <c r="D1121" s="5">
        <v>44524</v>
      </c>
      <c r="E1121" s="4">
        <v>4.6656371160763897E-2</v>
      </c>
      <c r="F1121" s="4">
        <v>4.6672920838058997E-2</v>
      </c>
      <c r="G1121" s="4">
        <v>4.6664643999999998E-2</v>
      </c>
      <c r="H1121" s="4">
        <v>0.17865437524565</v>
      </c>
      <c r="I1121" s="4">
        <v>0.17869268432150401</v>
      </c>
      <c r="J1121" s="4">
        <v>0.17867353999999999</v>
      </c>
      <c r="K1121">
        <f t="shared" si="85"/>
        <v>-6.9063999215137617E-3</v>
      </c>
      <c r="L1121">
        <f t="shared" si="86"/>
        <v>1.0943800061717912E-2</v>
      </c>
      <c r="M1121" s="1">
        <f t="shared" si="87"/>
        <v>2.4335851076491173E-3</v>
      </c>
      <c r="N1121" s="1">
        <f t="shared" si="88"/>
        <v>3.5465131363907108E-4</v>
      </c>
      <c r="O1121" s="1">
        <f t="shared" si="89"/>
        <v>2.1440822101584766E-4</v>
      </c>
    </row>
    <row r="1122" spans="4:15" x14ac:dyDescent="0.25">
      <c r="D1122" s="3">
        <v>44523</v>
      </c>
      <c r="E1122" s="2">
        <v>4.6980338728242199E-2</v>
      </c>
      <c r="F1122" s="2">
        <v>4.6998002584890099E-2</v>
      </c>
      <c r="G1122" s="2">
        <v>4.6989169999999997E-2</v>
      </c>
      <c r="H1122" s="2">
        <v>0.176722157424098</v>
      </c>
      <c r="I1122" s="2">
        <v>0.17675651789659699</v>
      </c>
      <c r="J1122" s="2">
        <v>0.17673933999999999</v>
      </c>
      <c r="K1122">
        <f t="shared" si="85"/>
        <v>-1.5482899605976819E-2</v>
      </c>
      <c r="L1122">
        <f t="shared" si="86"/>
        <v>-1.4245197299778023E-2</v>
      </c>
      <c r="M1122" s="1">
        <f t="shared" si="87"/>
        <v>-1.4835281034682568E-2</v>
      </c>
      <c r="N1122" s="1">
        <f t="shared" si="88"/>
        <v>3.7591335722464447E-4</v>
      </c>
      <c r="O1122" s="1">
        <f t="shared" si="89"/>
        <v>1.944132670122873E-4</v>
      </c>
    </row>
    <row r="1123" spans="4:15" x14ac:dyDescent="0.25">
      <c r="D1123" s="5">
        <v>44522</v>
      </c>
      <c r="E1123" s="4">
        <v>4.7721535297233601E-2</v>
      </c>
      <c r="F1123" s="4">
        <v>4.7734747554787599E-2</v>
      </c>
      <c r="G1123" s="4">
        <v>4.7728140000000002E-2</v>
      </c>
      <c r="H1123" s="4">
        <v>0.17927251214571299</v>
      </c>
      <c r="I1123" s="4">
        <v>0.179314302108736</v>
      </c>
      <c r="J1123" s="4">
        <v>0.17929340999999999</v>
      </c>
      <c r="K1123">
        <f t="shared" si="85"/>
        <v>-5.345564190377905E-3</v>
      </c>
      <c r="L1123">
        <f t="shared" si="86"/>
        <v>-3.065921283239792E-3</v>
      </c>
      <c r="M1123" s="1">
        <f t="shared" si="87"/>
        <v>-4.1527579112040757E-3</v>
      </c>
      <c r="N1123" s="1">
        <f t="shared" si="88"/>
        <v>2.7682322323890099E-4</v>
      </c>
      <c r="O1123" s="1">
        <f t="shared" si="89"/>
        <v>2.3308142236242243E-4</v>
      </c>
    </row>
    <row r="1124" spans="4:15" x14ac:dyDescent="0.25">
      <c r="D1124" s="3">
        <v>44519</v>
      </c>
      <c r="E1124" s="2">
        <v>4.7976587425336399E-2</v>
      </c>
      <c r="F1124" s="2">
        <v>4.7992705108823502E-2</v>
      </c>
      <c r="G1124" s="2">
        <v>4.7984644999999999E-2</v>
      </c>
      <c r="H1124" s="2">
        <v>0.17982700641982399</v>
      </c>
      <c r="I1124" s="2">
        <v>0.17986258498507099</v>
      </c>
      <c r="J1124" s="2">
        <v>0.1798448</v>
      </c>
      <c r="K1124">
        <f t="shared" si="85"/>
        <v>-3.0349639481811463E-3</v>
      </c>
      <c r="L1124">
        <f t="shared" si="86"/>
        <v>-3.4170180621411195E-3</v>
      </c>
      <c r="M1124" s="1">
        <f t="shared" si="87"/>
        <v>-3.2348709356697087E-3</v>
      </c>
      <c r="N1124" s="1">
        <f t="shared" si="88"/>
        <v>3.3589252326662498E-4</v>
      </c>
      <c r="O1124" s="1">
        <f t="shared" si="89"/>
        <v>1.9782926860824684E-4</v>
      </c>
    </row>
    <row r="1125" spans="4:15" x14ac:dyDescent="0.25">
      <c r="D1125" s="5">
        <v>44518</v>
      </c>
      <c r="E1125" s="4">
        <v>4.81238901427836E-2</v>
      </c>
      <c r="F1125" s="4">
        <v>4.81375578854134E-2</v>
      </c>
      <c r="G1125" s="4">
        <v>4.8130720000000002E-2</v>
      </c>
      <c r="H1125" s="4">
        <v>0.18045004240576001</v>
      </c>
      <c r="I1125" s="4">
        <v>0.180472838837755</v>
      </c>
      <c r="J1125" s="4">
        <v>0.18046144</v>
      </c>
      <c r="K1125">
        <f t="shared" si="85"/>
        <v>-3.3812678444731237E-3</v>
      </c>
      <c r="L1125">
        <f t="shared" si="86"/>
        <v>-7.2816732984886112E-3</v>
      </c>
      <c r="M1125" s="1">
        <f t="shared" si="87"/>
        <v>-5.4221261307887758E-3</v>
      </c>
      <c r="N1125" s="1">
        <f t="shared" si="88"/>
        <v>2.8397128964203865E-4</v>
      </c>
      <c r="O1125" s="1">
        <f t="shared" si="89"/>
        <v>1.2632300836670112E-4</v>
      </c>
    </row>
    <row r="1126" spans="4:15" x14ac:dyDescent="0.25">
      <c r="D1126" s="3">
        <v>44517</v>
      </c>
      <c r="E1126" s="2">
        <v>4.8287950707659899E-2</v>
      </c>
      <c r="F1126" s="2">
        <v>4.8300078729128303E-2</v>
      </c>
      <c r="G1126" s="2">
        <v>4.8294015000000003E-2</v>
      </c>
      <c r="H1126" s="2">
        <v>0.181768608561301</v>
      </c>
      <c r="I1126" s="2">
        <v>0.181801654395055</v>
      </c>
      <c r="J1126" s="2">
        <v>0.18178514000000001</v>
      </c>
      <c r="K1126">
        <f t="shared" si="85"/>
        <v>6.6887016373351482E-3</v>
      </c>
      <c r="L1126">
        <f t="shared" si="86"/>
        <v>7.7260675780443933E-4</v>
      </c>
      <c r="M1126" s="1">
        <f t="shared" si="87"/>
        <v>3.5931487775447126E-3</v>
      </c>
      <c r="N1126" s="1">
        <f t="shared" si="88"/>
        <v>2.51128871111743E-4</v>
      </c>
      <c r="O1126" s="1">
        <f t="shared" si="89"/>
        <v>1.817851214570775E-4</v>
      </c>
    </row>
    <row r="1127" spans="4:15" x14ac:dyDescent="0.25">
      <c r="D1127" s="5">
        <v>44516</v>
      </c>
      <c r="E1127" s="4">
        <v>4.7965771625368102E-2</v>
      </c>
      <c r="F1127" s="4">
        <v>4.7980500724505597E-2</v>
      </c>
      <c r="G1127" s="4">
        <v>4.7973136999999999E-2</v>
      </c>
      <c r="H1127" s="4">
        <v>0.181623349497811</v>
      </c>
      <c r="I1127" s="4">
        <v>0.181666242778767</v>
      </c>
      <c r="J1127" s="4">
        <v>0.1816448</v>
      </c>
      <c r="K1127">
        <f t="shared" si="85"/>
        <v>-8.6951197679180359E-3</v>
      </c>
      <c r="L1127">
        <f t="shared" si="86"/>
        <v>-9.2275113297108913E-3</v>
      </c>
      <c r="M1127" s="1">
        <f t="shared" si="87"/>
        <v>-8.9736897123146829E-3</v>
      </c>
      <c r="N1127" s="1">
        <f t="shared" si="88"/>
        <v>3.0702805900508179E-4</v>
      </c>
      <c r="O1127" s="1">
        <f t="shared" si="89"/>
        <v>2.361382266709356E-4</v>
      </c>
    </row>
    <row r="1128" spans="4:15" x14ac:dyDescent="0.25">
      <c r="D1128" s="3">
        <v>44515</v>
      </c>
      <c r="E1128" s="2">
        <v>4.8387486995862899E-2</v>
      </c>
      <c r="F1128" s="2">
        <v>4.8400367842795597E-2</v>
      </c>
      <c r="G1128" s="2">
        <v>4.8393928000000003E-2</v>
      </c>
      <c r="H1128" s="2">
        <v>0.18332141744120001</v>
      </c>
      <c r="I1128" s="2">
        <v>0.183351668500183</v>
      </c>
      <c r="J1128" s="2">
        <v>0.18333653999999999</v>
      </c>
      <c r="K1128">
        <f t="shared" si="85"/>
        <v>-8.4809893454265151E-3</v>
      </c>
      <c r="L1128">
        <f t="shared" si="86"/>
        <v>-5.7110057026538152E-3</v>
      </c>
      <c r="M1128" s="1">
        <f t="shared" si="87"/>
        <v>-7.0316159054187484E-3</v>
      </c>
      <c r="N1128" s="1">
        <f t="shared" si="88"/>
        <v>2.6616659289771684E-4</v>
      </c>
      <c r="O1128" s="1">
        <f t="shared" si="89"/>
        <v>1.6500289022032419E-4</v>
      </c>
    </row>
    <row r="1129" spans="4:15" x14ac:dyDescent="0.25">
      <c r="D1129" s="5">
        <v>44512</v>
      </c>
      <c r="E1129" s="4">
        <v>4.8802151198824799E-2</v>
      </c>
      <c r="F1129" s="4">
        <v>4.8813585797199098E-2</v>
      </c>
      <c r="G1129" s="4">
        <v>4.8807866999999998E-2</v>
      </c>
      <c r="H1129" s="4">
        <v>0.184365781710914</v>
      </c>
      <c r="I1129" s="4">
        <v>0.18441338103492799</v>
      </c>
      <c r="J1129" s="4">
        <v>0.18438958999999999</v>
      </c>
      <c r="K1129">
        <f t="shared" si="85"/>
        <v>-1.4398634811868538E-3</v>
      </c>
      <c r="L1129">
        <f t="shared" si="86"/>
        <v>-4.7664339933982669E-3</v>
      </c>
      <c r="M1129" s="1">
        <f t="shared" si="87"/>
        <v>-3.1804668812437879E-3</v>
      </c>
      <c r="N1129" s="1">
        <f t="shared" si="88"/>
        <v>2.342777727676394E-4</v>
      </c>
      <c r="O1129" s="1">
        <f t="shared" si="89"/>
        <v>2.5814539754652954E-4</v>
      </c>
    </row>
    <row r="1130" spans="4:15" x14ac:dyDescent="0.25">
      <c r="D1130" s="3">
        <v>44511</v>
      </c>
      <c r="E1130" s="2">
        <v>4.8871794621170299E-2</v>
      </c>
      <c r="F1130" s="2">
        <v>4.8884695668327101E-2</v>
      </c>
      <c r="G1130" s="2">
        <v>4.8878245000000001E-2</v>
      </c>
      <c r="H1130" s="2">
        <v>0.18526409396594801</v>
      </c>
      <c r="I1130" s="2">
        <v>0.18528125694804701</v>
      </c>
      <c r="J1130" s="2">
        <v>0.18527268</v>
      </c>
      <c r="K1130">
        <f t="shared" si="85"/>
        <v>2.4444248899557763E-4</v>
      </c>
      <c r="L1130">
        <f t="shared" si="86"/>
        <v>1.5146042593108033E-2</v>
      </c>
      <c r="M1130" s="1">
        <f t="shared" si="87"/>
        <v>8.0415944544484867E-3</v>
      </c>
      <c r="N1130" s="1">
        <f t="shared" si="88"/>
        <v>2.6394251996572215E-4</v>
      </c>
      <c r="O1130" s="1">
        <f t="shared" si="89"/>
        <v>9.2636335260009559E-5</v>
      </c>
    </row>
    <row r="1131" spans="4:15" x14ac:dyDescent="0.25">
      <c r="D1131" s="5">
        <v>44510</v>
      </c>
      <c r="E1131" s="4">
        <v>4.8859377824682797E-2</v>
      </c>
      <c r="F1131" s="4">
        <v>4.8873227734579298E-2</v>
      </c>
      <c r="G1131" s="4">
        <v>4.8866300000000001E-2</v>
      </c>
      <c r="H1131" s="4">
        <v>0.18248841198583901</v>
      </c>
      <c r="I1131" s="4">
        <v>0.182528383163582</v>
      </c>
      <c r="J1131" s="4">
        <v>0.18250839999999999</v>
      </c>
      <c r="K1131">
        <f t="shared" si="85"/>
        <v>-9.871098635753528E-3</v>
      </c>
      <c r="L1131">
        <f t="shared" si="86"/>
        <v>1.8524359593246054E-3</v>
      </c>
      <c r="M1131" s="1">
        <f t="shared" si="87"/>
        <v>-3.7368459265534055E-3</v>
      </c>
      <c r="N1131" s="1">
        <f t="shared" si="88"/>
        <v>2.8342456655203484E-4</v>
      </c>
      <c r="O1131" s="1">
        <f t="shared" si="89"/>
        <v>2.1901007155279841E-4</v>
      </c>
    </row>
    <row r="1132" spans="4:15" x14ac:dyDescent="0.25">
      <c r="D1132" s="3">
        <v>44509</v>
      </c>
      <c r="E1132" s="2">
        <v>4.9348354972587001E-2</v>
      </c>
      <c r="F1132" s="2">
        <v>4.9358585185514198E-2</v>
      </c>
      <c r="G1132" s="2">
        <v>4.9353473000000002E-2</v>
      </c>
      <c r="H1132" s="2">
        <v>0.18214936247723101</v>
      </c>
      <c r="I1132" s="2">
        <v>0.18219250460036099</v>
      </c>
      <c r="J1132" s="2">
        <v>0.18217094</v>
      </c>
      <c r="K1132">
        <f t="shared" si="85"/>
        <v>3.9482802243755444E-3</v>
      </c>
      <c r="L1132">
        <f t="shared" si="86"/>
        <v>1.0465757579438684E-2</v>
      </c>
      <c r="M1132" s="1">
        <f t="shared" si="87"/>
        <v>7.3585020135645447E-3</v>
      </c>
      <c r="N1132" s="1">
        <f t="shared" si="88"/>
        <v>2.0728455983627878E-4</v>
      </c>
      <c r="O1132" s="1">
        <f t="shared" si="89"/>
        <v>2.3682220188343131E-4</v>
      </c>
    </row>
    <row r="1133" spans="4:15" x14ac:dyDescent="0.25">
      <c r="D1133" s="5">
        <v>44508</v>
      </c>
      <c r="E1133" s="4">
        <v>4.9152850619571697E-2</v>
      </c>
      <c r="F1133" s="4">
        <v>4.9165900498050599E-2</v>
      </c>
      <c r="G1133" s="4">
        <v>4.9159377999999997E-2</v>
      </c>
      <c r="H1133" s="4">
        <v>0.18027437760271101</v>
      </c>
      <c r="I1133" s="4">
        <v>0.180293879022807</v>
      </c>
      <c r="J1133" s="4">
        <v>0.18028412999999999</v>
      </c>
      <c r="K1133">
        <f t="shared" si="85"/>
        <v>3.9819539108449931E-3</v>
      </c>
      <c r="L1133">
        <f t="shared" si="86"/>
        <v>-2.262622613375731E-3</v>
      </c>
      <c r="M1133" s="1">
        <f t="shared" si="87"/>
        <v>7.145254616134529E-4</v>
      </c>
      <c r="N1133" s="1">
        <f t="shared" si="88"/>
        <v>2.6546061015869285E-4</v>
      </c>
      <c r="O1133" s="1">
        <f t="shared" si="89"/>
        <v>1.0817047565967606E-4</v>
      </c>
    </row>
    <row r="1134" spans="4:15" x14ac:dyDescent="0.25">
      <c r="D1134" s="3">
        <v>44505</v>
      </c>
      <c r="E1134" s="2">
        <v>4.8959608323133397E-2</v>
      </c>
      <c r="F1134" s="2">
        <v>4.8969198374222603E-2</v>
      </c>
      <c r="G1134" s="2">
        <v>4.8964404000000003E-2</v>
      </c>
      <c r="H1134" s="2">
        <v>0.18067500180675</v>
      </c>
      <c r="I1134" s="2">
        <v>0.18071091674648099</v>
      </c>
      <c r="J1134" s="2">
        <v>0.18069297000000001</v>
      </c>
      <c r="K1134">
        <f t="shared" si="85"/>
        <v>9.9887900502610982E-3</v>
      </c>
      <c r="L1134">
        <f t="shared" si="86"/>
        <v>9.8569110656456793E-3</v>
      </c>
      <c r="M1134" s="1">
        <f t="shared" si="87"/>
        <v>9.9197853476176365E-3</v>
      </c>
      <c r="N1134" s="1">
        <f t="shared" si="88"/>
        <v>1.9585760891128328E-4</v>
      </c>
      <c r="O1134" s="1">
        <f t="shared" si="89"/>
        <v>1.987622414473871E-4</v>
      </c>
    </row>
    <row r="1135" spans="4:15" x14ac:dyDescent="0.25">
      <c r="D1135" s="5">
        <v>44504</v>
      </c>
      <c r="E1135" s="4">
        <v>4.8474977216760702E-2</v>
      </c>
      <c r="F1135" s="4">
        <v>4.84853186455141E-2</v>
      </c>
      <c r="G1135" s="4">
        <v>4.8480146000000002E-2</v>
      </c>
      <c r="H1135" s="4">
        <v>0.178910079793896</v>
      </c>
      <c r="I1135" s="4">
        <v>0.178948498622097</v>
      </c>
      <c r="J1135" s="4">
        <v>0.17892928</v>
      </c>
      <c r="K1135">
        <f t="shared" si="85"/>
        <v>9.7202148273258793E-3</v>
      </c>
      <c r="L1135">
        <f t="shared" si="86"/>
        <v>5.5647128708642413E-3</v>
      </c>
      <c r="M1135" s="1">
        <f t="shared" si="87"/>
        <v>7.5458791841135492E-3</v>
      </c>
      <c r="N1135" s="1">
        <f t="shared" si="88"/>
        <v>2.1331265696678976E-4</v>
      </c>
      <c r="O1135" s="1">
        <f t="shared" si="89"/>
        <v>2.147151556245702E-4</v>
      </c>
    </row>
    <row r="1136" spans="4:15" x14ac:dyDescent="0.25">
      <c r="D1136" s="3">
        <v>44503</v>
      </c>
      <c r="E1136" s="2">
        <v>4.8007911703848799E-2</v>
      </c>
      <c r="F1136" s="2">
        <v>4.8018977099749803E-2</v>
      </c>
      <c r="G1136" s="2">
        <v>4.8013445000000002E-2</v>
      </c>
      <c r="H1136" s="2">
        <v>0.17792644520755099</v>
      </c>
      <c r="I1136" s="2">
        <v>0.17795177506895599</v>
      </c>
      <c r="J1136" s="2">
        <v>0.17793909999999999</v>
      </c>
      <c r="K1136">
        <f t="shared" si="85"/>
        <v>-3.6610391354033878E-3</v>
      </c>
      <c r="L1136">
        <f t="shared" si="86"/>
        <v>1.145035347509471E-2</v>
      </c>
      <c r="M1136" s="1">
        <f t="shared" si="87"/>
        <v>4.2458852063093477E-3</v>
      </c>
      <c r="N1136" s="1">
        <f t="shared" si="88"/>
        <v>2.304645271965806E-4</v>
      </c>
      <c r="O1136" s="1">
        <f t="shared" si="89"/>
        <v>1.4235129549937869E-4</v>
      </c>
    </row>
    <row r="1137" spans="4:15" x14ac:dyDescent="0.25">
      <c r="D1137" s="5">
        <v>44502</v>
      </c>
      <c r="E1137" s="4">
        <v>4.8185107910549203E-2</v>
      </c>
      <c r="F1137" s="4">
        <v>4.8194629190523003E-2</v>
      </c>
      <c r="G1137" s="4">
        <v>4.8189870000000003E-2</v>
      </c>
      <c r="H1137" s="4">
        <v>0.17588602585524599</v>
      </c>
      <c r="I1137" s="4">
        <v>0.17596339961288099</v>
      </c>
      <c r="J1137" s="4">
        <v>0.17592469999999999</v>
      </c>
      <c r="K1137">
        <f t="shared" si="85"/>
        <v>5.023818753361331E-3</v>
      </c>
      <c r="L1137">
        <f t="shared" si="86"/>
        <v>-6.8612947710278149E-4</v>
      </c>
      <c r="M1137" s="1">
        <f t="shared" si="87"/>
        <v>2.0361306019720795E-3</v>
      </c>
      <c r="N1137" s="1">
        <f t="shared" si="88"/>
        <v>1.9757845318527597E-4</v>
      </c>
      <c r="O1137" s="1">
        <f t="shared" si="89"/>
        <v>4.3981179240323837E-4</v>
      </c>
    </row>
    <row r="1138" spans="4:15" x14ac:dyDescent="0.25">
      <c r="D1138" s="3">
        <v>44501</v>
      </c>
      <c r="E1138" s="2">
        <v>4.7944844251173499E-2</v>
      </c>
      <c r="F1138" s="2">
        <v>4.7953121028882197E-2</v>
      </c>
      <c r="G1138" s="2">
        <v>4.7948983000000001E-2</v>
      </c>
      <c r="H1138" s="2">
        <v>0.176034643617864</v>
      </c>
      <c r="I1138" s="2">
        <v>0.176056338028169</v>
      </c>
      <c r="J1138" s="2">
        <v>0.17604549</v>
      </c>
      <c r="K1138">
        <f t="shared" si="85"/>
        <v>-1.4984063870815079E-2</v>
      </c>
      <c r="L1138">
        <f t="shared" si="86"/>
        <v>-7.631539963061873E-3</v>
      </c>
      <c r="M1138" s="1">
        <f t="shared" si="87"/>
        <v>-1.1136910153238387E-2</v>
      </c>
      <c r="N1138" s="1">
        <f t="shared" si="88"/>
        <v>1.7261633492200571E-4</v>
      </c>
      <c r="O1138" s="1">
        <f t="shared" si="89"/>
        <v>1.2323184368427141E-4</v>
      </c>
    </row>
    <row r="1139" spans="4:15" x14ac:dyDescent="0.25">
      <c r="D1139" s="5">
        <v>44498</v>
      </c>
      <c r="E1139" s="4">
        <v>4.86719848922159E-2</v>
      </c>
      <c r="F1139" s="4">
        <v>4.8684780650720801E-2</v>
      </c>
      <c r="G1139" s="4">
        <v>4.8678382999999999E-2</v>
      </c>
      <c r="H1139" s="4">
        <v>0.17736786094359699</v>
      </c>
      <c r="I1139" s="4">
        <v>0.177430801987225</v>
      </c>
      <c r="J1139" s="4">
        <v>0.17739932</v>
      </c>
      <c r="K1139">
        <f t="shared" si="85"/>
        <v>-1.0198144458408831E-2</v>
      </c>
      <c r="L1139">
        <f t="shared" si="86"/>
        <v>-3.5391347462349065E-3</v>
      </c>
      <c r="M1139" s="1">
        <f t="shared" si="87"/>
        <v>-6.7138669108642553E-3</v>
      </c>
      <c r="N1139" s="1">
        <f t="shared" si="88"/>
        <v>2.6286326119133257E-4</v>
      </c>
      <c r="O1139" s="1">
        <f t="shared" si="89"/>
        <v>3.5479867469616512E-4</v>
      </c>
    </row>
    <row r="1140" spans="4:15" x14ac:dyDescent="0.25">
      <c r="D1140" s="3">
        <v>44497</v>
      </c>
      <c r="E1140" s="2">
        <v>4.9175087900469601E-2</v>
      </c>
      <c r="F1140" s="2">
        <v>4.9184762560558697E-2</v>
      </c>
      <c r="G1140" s="2">
        <v>4.9179926999999998E-2</v>
      </c>
      <c r="H1140" s="2">
        <v>0.17801196240387401</v>
      </c>
      <c r="I1140" s="2">
        <v>0.17804682631532101</v>
      </c>
      <c r="J1140" s="2">
        <v>0.17802939000000001</v>
      </c>
      <c r="K1140">
        <f t="shared" si="85"/>
        <v>-7.0326141207521786E-3</v>
      </c>
      <c r="L1140">
        <f t="shared" si="86"/>
        <v>-5.7860401561506958E-3</v>
      </c>
      <c r="M1140" s="1">
        <f t="shared" si="87"/>
        <v>-6.3803535198592252E-3</v>
      </c>
      <c r="N1140" s="1">
        <f t="shared" si="88"/>
        <v>1.9671969194048777E-4</v>
      </c>
      <c r="O1140" s="1">
        <f t="shared" si="89"/>
        <v>1.958323367113559E-4</v>
      </c>
    </row>
    <row r="1141" spans="4:15" x14ac:dyDescent="0.25">
      <c r="D1141" s="5">
        <v>44496</v>
      </c>
      <c r="E1141" s="4">
        <v>4.9521375901908103E-2</v>
      </c>
      <c r="F1141" s="4">
        <v>4.9535112964825101E-2</v>
      </c>
      <c r="G1141" s="4">
        <v>4.9528240000000001E-2</v>
      </c>
      <c r="H1141" s="4">
        <v>0.179054235527941</v>
      </c>
      <c r="I1141" s="4">
        <v>0.17907668063464799</v>
      </c>
      <c r="J1141" s="4">
        <v>0.17906547</v>
      </c>
      <c r="K1141">
        <f t="shared" si="85"/>
        <v>-5.2009914918493827E-4</v>
      </c>
      <c r="L1141">
        <f t="shared" si="86"/>
        <v>-1.656254421909864E-3</v>
      </c>
      <c r="M1141" s="1">
        <f t="shared" si="87"/>
        <v>-1.1145839867791271E-3</v>
      </c>
      <c r="N1141" s="1">
        <f t="shared" si="88"/>
        <v>2.7735818831837712E-4</v>
      </c>
      <c r="O1141" s="1">
        <f t="shared" si="89"/>
        <v>1.2534581182506267E-4</v>
      </c>
    </row>
    <row r="1142" spans="4:15" x14ac:dyDescent="0.25">
      <c r="D1142" s="3">
        <v>44495</v>
      </c>
      <c r="E1142" s="2">
        <v>4.9548612143373902E-2</v>
      </c>
      <c r="F1142" s="2">
        <v>4.9559416784783303E-2</v>
      </c>
      <c r="G1142" s="2">
        <v>4.9554013000000001E-2</v>
      </c>
      <c r="H1142" s="2">
        <v>0.17934646149431499</v>
      </c>
      <c r="I1142" s="2">
        <v>0.17937863241730601</v>
      </c>
      <c r="J1142" s="2">
        <v>0.17936253999999999</v>
      </c>
      <c r="K1142">
        <f t="shared" si="85"/>
        <v>5.6986471089115476E-4</v>
      </c>
      <c r="L1142">
        <f t="shared" si="86"/>
        <v>2.9504868988372568E-3</v>
      </c>
      <c r="M1142" s="1">
        <f t="shared" si="87"/>
        <v>1.8155076513846457E-3</v>
      </c>
      <c r="N1142" s="1">
        <f t="shared" si="88"/>
        <v>2.1803766749225659E-4</v>
      </c>
      <c r="O1142" s="1">
        <f t="shared" si="89"/>
        <v>1.7936255246505197E-4</v>
      </c>
    </row>
    <row r="1143" spans="4:15" x14ac:dyDescent="0.25">
      <c r="D1143" s="5">
        <v>44494</v>
      </c>
      <c r="E1143" s="4">
        <v>4.9519414086292499E-2</v>
      </c>
      <c r="F1143" s="4">
        <v>4.9532168666940699E-2</v>
      </c>
      <c r="G1143" s="4">
        <v>4.952579E-2</v>
      </c>
      <c r="H1143" s="4">
        <v>0.17882369771642101</v>
      </c>
      <c r="I1143" s="4">
        <v>0.178846085059198</v>
      </c>
      <c r="J1143" s="4">
        <v>0.17883489</v>
      </c>
      <c r="K1143">
        <f t="shared" si="85"/>
        <v>-1.6466872192132387E-3</v>
      </c>
      <c r="L1143">
        <f t="shared" si="86"/>
        <v>2.4223251311042082E-2</v>
      </c>
      <c r="M1143" s="1">
        <f t="shared" si="87"/>
        <v>1.1889566649366886E-2</v>
      </c>
      <c r="N1143" s="1">
        <f t="shared" si="88"/>
        <v>2.5753411804637337E-4</v>
      </c>
      <c r="O1143" s="1">
        <f t="shared" si="89"/>
        <v>1.2518442445423296E-4</v>
      </c>
    </row>
    <row r="1144" spans="4:15" x14ac:dyDescent="0.25">
      <c r="D1144" s="3">
        <v>44491</v>
      </c>
      <c r="E1144" s="2">
        <v>4.9599976192011397E-2</v>
      </c>
      <c r="F1144" s="2">
        <v>4.9614987695483101E-2</v>
      </c>
      <c r="G1144" s="2">
        <v>4.9607478000000003E-2</v>
      </c>
      <c r="H1144" s="2">
        <v>0.17459319784901201</v>
      </c>
      <c r="I1144" s="2">
        <v>0.174617587483411</v>
      </c>
      <c r="J1144" s="2">
        <v>0.17460538</v>
      </c>
      <c r="K1144">
        <f t="shared" si="85"/>
        <v>5.0722971622090274E-3</v>
      </c>
      <c r="L1144">
        <f t="shared" si="86"/>
        <v>-1.6683594468255292E-2</v>
      </c>
      <c r="M1144" s="1">
        <f t="shared" si="87"/>
        <v>-6.3113121147464566E-3</v>
      </c>
      <c r="N1144" s="1">
        <f t="shared" si="88"/>
        <v>3.0260565698792631E-4</v>
      </c>
      <c r="O1144" s="1">
        <f t="shared" si="89"/>
        <v>1.3968432358150323E-4</v>
      </c>
    </row>
    <row r="1145" spans="4:15" x14ac:dyDescent="0.25">
      <c r="D1145" s="5">
        <v>44490</v>
      </c>
      <c r="E1145" s="4">
        <v>4.93507903529075E-2</v>
      </c>
      <c r="F1145" s="4">
        <v>4.9363458206428103E-2</v>
      </c>
      <c r="G1145" s="4">
        <v>4.9357124000000002E-2</v>
      </c>
      <c r="H1145" s="4">
        <v>0.17755051312098299</v>
      </c>
      <c r="I1145" s="4">
        <v>0.17758519649801999</v>
      </c>
      <c r="J1145" s="4">
        <v>0.17756785</v>
      </c>
      <c r="K1145">
        <f t="shared" si="85"/>
        <v>-3.7017784555799516E-3</v>
      </c>
      <c r="L1145">
        <f t="shared" si="86"/>
        <v>-1.4240968012989574E-2</v>
      </c>
      <c r="M1145" s="1">
        <f t="shared" si="87"/>
        <v>-9.2163313893389824E-3</v>
      </c>
      <c r="N1145" s="1">
        <f t="shared" si="88"/>
        <v>2.5665704348175442E-4</v>
      </c>
      <c r="O1145" s="1">
        <f t="shared" si="89"/>
        <v>1.953246437178382E-4</v>
      </c>
    </row>
    <row r="1146" spans="4:15" x14ac:dyDescent="0.25">
      <c r="D1146" s="3">
        <v>44489</v>
      </c>
      <c r="E1146" s="2">
        <v>4.9533640772130398E-2</v>
      </c>
      <c r="F1146" s="2">
        <v>4.9547384641301699E-2</v>
      </c>
      <c r="G1146" s="2">
        <v>4.9540512000000002E-2</v>
      </c>
      <c r="H1146" s="2">
        <v>0.180105541847523</v>
      </c>
      <c r="I1146" s="2">
        <v>0.18016070334738599</v>
      </c>
      <c r="J1146" s="2">
        <v>0.18013312000000001</v>
      </c>
      <c r="K1146">
        <f t="shared" si="85"/>
        <v>3.3440134155875434E-3</v>
      </c>
      <c r="L1146">
        <f t="shared" si="86"/>
        <v>-5.044277391865748E-4</v>
      </c>
      <c r="M1146" s="1">
        <f t="shared" si="87"/>
        <v>1.3303450642542017E-3</v>
      </c>
      <c r="N1146" s="1">
        <f t="shared" si="88"/>
        <v>2.7742686977682006E-4</v>
      </c>
      <c r="O1146" s="1">
        <f t="shared" si="89"/>
        <v>3.062263056509672E-4</v>
      </c>
    </row>
    <row r="1147" spans="4:15" x14ac:dyDescent="0.25">
      <c r="D1147" s="5">
        <v>44488</v>
      </c>
      <c r="E1147" s="4">
        <v>4.9370282052421402E-2</v>
      </c>
      <c r="F1147" s="4">
        <v>4.9380521359544502E-2</v>
      </c>
      <c r="G1147" s="4">
        <v>4.93754E-2</v>
      </c>
      <c r="H1147" s="4">
        <v>0.180206155842284</v>
      </c>
      <c r="I1147" s="4">
        <v>0.180241884609145</v>
      </c>
      <c r="J1147" s="4">
        <v>0.18022403000000001</v>
      </c>
      <c r="K1147">
        <f t="shared" si="85"/>
        <v>5.0362339343079654E-3</v>
      </c>
      <c r="L1147">
        <f t="shared" si="86"/>
        <v>-2.5861783185723297E-3</v>
      </c>
      <c r="M1147" s="1">
        <f t="shared" si="87"/>
        <v>1.0478631376284911E-3</v>
      </c>
      <c r="N1147" s="1">
        <f t="shared" si="88"/>
        <v>2.0737669209970857E-4</v>
      </c>
      <c r="O1147" s="1">
        <f t="shared" si="89"/>
        <v>1.9824640954374404E-4</v>
      </c>
    </row>
    <row r="1148" spans="4:15" x14ac:dyDescent="0.25">
      <c r="D1148" s="3">
        <v>44487</v>
      </c>
      <c r="E1148" s="2">
        <v>4.9121462640671597E-2</v>
      </c>
      <c r="F1148" s="2">
        <v>4.9134495855505299E-2</v>
      </c>
      <c r="G1148" s="2">
        <v>4.9127980000000002E-2</v>
      </c>
      <c r="H1148" s="2">
        <v>0.18067826621135699</v>
      </c>
      <c r="I1148" s="2">
        <v>0.18070438569544101</v>
      </c>
      <c r="J1148" s="2">
        <v>0.18069133000000001</v>
      </c>
      <c r="K1148">
        <f t="shared" si="85"/>
        <v>5.0111470199674102E-3</v>
      </c>
      <c r="L1148">
        <f t="shared" si="86"/>
        <v>-1.6542259007955362E-2</v>
      </c>
      <c r="M1148" s="1">
        <f t="shared" si="87"/>
        <v>-6.2665131640851565E-3</v>
      </c>
      <c r="N1148" s="1">
        <f t="shared" si="88"/>
        <v>2.6529107921192794E-4</v>
      </c>
      <c r="O1148" s="1">
        <f t="shared" si="89"/>
        <v>1.4455305677374774E-4</v>
      </c>
    </row>
    <row r="1149" spans="4:15" x14ac:dyDescent="0.25">
      <c r="D1149" s="5">
        <v>44484</v>
      </c>
      <c r="E1149" s="4">
        <v>4.8877766481582902E-2</v>
      </c>
      <c r="F1149" s="4">
        <v>4.88882805013982E-2</v>
      </c>
      <c r="G1149" s="4">
        <v>4.8883019999999999E-2</v>
      </c>
      <c r="H1149" s="4">
        <v>0.183705336640029</v>
      </c>
      <c r="I1149" s="4">
        <v>0.183755972069092</v>
      </c>
      <c r="J1149" s="4">
        <v>0.18373065</v>
      </c>
      <c r="K1149">
        <f t="shared" si="85"/>
        <v>8.7744333578287925E-3</v>
      </c>
      <c r="L1149">
        <f t="shared" si="86"/>
        <v>1.09135692589164E-2</v>
      </c>
      <c r="M1149" s="1">
        <f t="shared" si="87"/>
        <v>9.8937203860005579E-3</v>
      </c>
      <c r="N1149" s="1">
        <f t="shared" si="88"/>
        <v>2.1508531623656577E-4</v>
      </c>
      <c r="O1149" s="1">
        <f t="shared" si="89"/>
        <v>2.7559598283139299E-4</v>
      </c>
    </row>
    <row r="1150" spans="4:15" x14ac:dyDescent="0.25">
      <c r="D1150" s="3">
        <v>44483</v>
      </c>
      <c r="E1150" s="2">
        <v>4.8451725123673003E-2</v>
      </c>
      <c r="F1150" s="2">
        <v>4.8463935562351297E-2</v>
      </c>
      <c r="G1150" s="2">
        <v>4.845783E-2</v>
      </c>
      <c r="H1150" s="2">
        <v>0.18173557473875501</v>
      </c>
      <c r="I1150" s="2">
        <v>0.181758697153659</v>
      </c>
      <c r="J1150" s="2">
        <v>0.18174714</v>
      </c>
      <c r="K1150">
        <f t="shared" si="85"/>
        <v>2.8832425234253112E-3</v>
      </c>
      <c r="L1150">
        <f t="shared" si="86"/>
        <v>9.0873703524410043E-3</v>
      </c>
      <c r="M1150" s="1">
        <f t="shared" si="87"/>
        <v>6.1295064922578047E-3</v>
      </c>
      <c r="N1150" s="1">
        <f t="shared" si="88"/>
        <v>2.519807155684373E-4</v>
      </c>
      <c r="O1150" s="1">
        <f t="shared" si="89"/>
        <v>1.2722299181151675E-4</v>
      </c>
    </row>
    <row r="1151" spans="4:15" x14ac:dyDescent="0.25">
      <c r="D1151" s="5">
        <v>44482</v>
      </c>
      <c r="E1151" s="4">
        <v>4.8312913075406798E-2</v>
      </c>
      <c r="F1151" s="4">
        <v>4.8324119534542097E-2</v>
      </c>
      <c r="G1151" s="4">
        <v>4.8318515999999999E-2</v>
      </c>
      <c r="H1151" s="4">
        <v>0.18007959518107</v>
      </c>
      <c r="I1151" s="4">
        <v>0.180141230724888</v>
      </c>
      <c r="J1151" s="4">
        <v>0.18011041</v>
      </c>
      <c r="K1151">
        <f t="shared" si="85"/>
        <v>5.0614050640842567E-3</v>
      </c>
      <c r="L1151">
        <f t="shared" si="86"/>
        <v>-2.6476209398447192E-3</v>
      </c>
      <c r="M1151" s="1">
        <f t="shared" si="87"/>
        <v>1.0277142632101929E-3</v>
      </c>
      <c r="N1151" s="1">
        <f t="shared" si="88"/>
        <v>2.3192887660910242E-4</v>
      </c>
      <c r="O1151" s="1">
        <f t="shared" si="89"/>
        <v>3.4220978020090546E-4</v>
      </c>
    </row>
    <row r="1152" spans="4:15" x14ac:dyDescent="0.25">
      <c r="D1152" s="3">
        <v>44481</v>
      </c>
      <c r="E1152" s="2">
        <v>4.8069065633502203E-2</v>
      </c>
      <c r="F1152" s="2">
        <v>4.8081315120131203E-2</v>
      </c>
      <c r="G1152" s="2">
        <v>4.8075187999999998E-2</v>
      </c>
      <c r="H1152" s="2">
        <v>0.18055756175068599</v>
      </c>
      <c r="I1152" s="2">
        <v>0.18061952497064901</v>
      </c>
      <c r="J1152" s="2">
        <v>0.18058853999999999</v>
      </c>
      <c r="K1152">
        <f t="shared" si="85"/>
        <v>1.3214382807191782E-4</v>
      </c>
      <c r="L1152">
        <f t="shared" si="86"/>
        <v>-2.546374594889933E-3</v>
      </c>
      <c r="M1152" s="1">
        <f t="shared" si="87"/>
        <v>-1.2693711126179181E-3</v>
      </c>
      <c r="N1152" s="1">
        <f t="shared" si="88"/>
        <v>2.5479851745977331E-4</v>
      </c>
      <c r="O1152" s="1">
        <f t="shared" si="89"/>
        <v>3.4311822867064677E-4</v>
      </c>
    </row>
    <row r="1153" spans="4:15" x14ac:dyDescent="0.25">
      <c r="D1153" s="5">
        <v>44480</v>
      </c>
      <c r="E1153" s="4">
        <v>4.8063058733057801E-2</v>
      </c>
      <c r="F1153" s="4">
        <v>4.80746117975097E-2</v>
      </c>
      <c r="G1153" s="4">
        <v>4.8068835999999997E-2</v>
      </c>
      <c r="H1153" s="4">
        <v>0.18104134984430401</v>
      </c>
      <c r="I1153" s="4">
        <v>0.18105773931306701</v>
      </c>
      <c r="J1153" s="4">
        <v>0.18104956</v>
      </c>
      <c r="K1153">
        <f t="shared" si="85"/>
        <v>-4.0858125470492057E-3</v>
      </c>
      <c r="L1153">
        <f t="shared" si="86"/>
        <v>-1.683660049990432E-3</v>
      </c>
      <c r="M1153" s="1">
        <f t="shared" si="87"/>
        <v>-2.8289040316616227E-3</v>
      </c>
      <c r="N1153" s="1">
        <f t="shared" si="88"/>
        <v>2.4034416918062321E-4</v>
      </c>
      <c r="O1153" s="1">
        <f t="shared" si="89"/>
        <v>9.0524764396037071E-5</v>
      </c>
    </row>
    <row r="1154" spans="4:15" x14ac:dyDescent="0.25">
      <c r="D1154" s="3">
        <v>44477</v>
      </c>
      <c r="E1154" s="2">
        <v>4.8260684915640298E-2</v>
      </c>
      <c r="F1154" s="2">
        <v>4.8271401125689103E-2</v>
      </c>
      <c r="G1154" s="2">
        <v>4.8266042000000002E-2</v>
      </c>
      <c r="H1154" s="2">
        <v>0.181317087322309</v>
      </c>
      <c r="I1154" s="2">
        <v>0.18139273340709999</v>
      </c>
      <c r="J1154" s="2">
        <v>0.18135490000000001</v>
      </c>
      <c r="K1154">
        <f t="shared" si="85"/>
        <v>-4.9473448840924306E-3</v>
      </c>
      <c r="L1154">
        <f t="shared" si="86"/>
        <v>2.0858487242358947E-4</v>
      </c>
      <c r="M1154" s="1">
        <f t="shared" si="87"/>
        <v>-2.2495427988209675E-3</v>
      </c>
      <c r="N1154" s="1">
        <f t="shared" si="88"/>
        <v>2.2202379985509542E-4</v>
      </c>
      <c r="O1154" s="1">
        <f t="shared" si="89"/>
        <v>4.1711629953749429E-4</v>
      </c>
    </row>
    <row r="1155" spans="4:15" x14ac:dyDescent="0.25">
      <c r="D1155" s="5">
        <v>44476</v>
      </c>
      <c r="E1155" s="4">
        <v>4.8501309535357501E-2</v>
      </c>
      <c r="F1155" s="4">
        <v>4.8510720869312102E-2</v>
      </c>
      <c r="G1155" s="4">
        <v>4.8506017999999998E-2</v>
      </c>
      <c r="H1155" s="4">
        <v>0.18128421739603301</v>
      </c>
      <c r="I1155" s="4">
        <v>0.181349969170505</v>
      </c>
      <c r="J1155" s="4">
        <v>0.18131707999999999</v>
      </c>
      <c r="K1155">
        <f t="shared" si="85"/>
        <v>3.0802530492648472E-3</v>
      </c>
      <c r="L1155">
        <f t="shared" si="86"/>
        <v>-2.5566361610509514E-3</v>
      </c>
      <c r="M1155" s="1">
        <f t="shared" si="87"/>
        <v>1.3079248944720717E-4</v>
      </c>
      <c r="N1155" s="1">
        <f t="shared" si="88"/>
        <v>1.9402404779136727E-4</v>
      </c>
      <c r="O1155" s="1">
        <f t="shared" si="89"/>
        <v>3.626342012125351E-4</v>
      </c>
    </row>
    <row r="1156" spans="4:15" x14ac:dyDescent="0.25">
      <c r="D1156" s="3">
        <v>44475</v>
      </c>
      <c r="E1156" s="2">
        <v>4.8351223285949103E-2</v>
      </c>
      <c r="F1156" s="2">
        <v>4.8362915316535297E-2</v>
      </c>
      <c r="G1156" s="2">
        <v>4.8357065999999997E-2</v>
      </c>
      <c r="H1156" s="2">
        <v>0.181748786826848</v>
      </c>
      <c r="I1156" s="2">
        <v>0.18181487609316199</v>
      </c>
      <c r="J1156" s="2">
        <v>0.18178183000000001</v>
      </c>
      <c r="K1156">
        <f t="shared" si="85"/>
        <v>-3.6752110478271982E-3</v>
      </c>
      <c r="L1156">
        <f t="shared" si="86"/>
        <v>-5.6352421465502012E-3</v>
      </c>
      <c r="M1156" s="1">
        <f t="shared" si="87"/>
        <v>-4.70078281374375E-3</v>
      </c>
      <c r="N1156" s="1">
        <f t="shared" si="88"/>
        <v>2.4178535947970761E-4</v>
      </c>
      <c r="O1156" s="1">
        <f t="shared" si="89"/>
        <v>3.6356365382607289E-4</v>
      </c>
    </row>
    <row r="1157" spans="4:15" x14ac:dyDescent="0.25">
      <c r="D1157" s="5">
        <v>44474</v>
      </c>
      <c r="E1157" s="4">
        <v>4.8530025526793398E-2</v>
      </c>
      <c r="F1157" s="4">
        <v>4.8540861697376897E-2</v>
      </c>
      <c r="G1157" s="4">
        <v>4.8535443999999997E-2</v>
      </c>
      <c r="H1157" s="4">
        <v>0.18278528212908299</v>
      </c>
      <c r="I1157" s="4">
        <v>0.182838754502404</v>
      </c>
      <c r="J1157" s="4">
        <v>0.18281201999999999</v>
      </c>
      <c r="K1157">
        <f t="shared" si="85"/>
        <v>-5.3388114874031167E-4</v>
      </c>
      <c r="L1157">
        <f t="shared" si="86"/>
        <v>-6.1606918362937524E-3</v>
      </c>
      <c r="M1157" s="1">
        <f t="shared" si="87"/>
        <v>-3.4780681961152377E-3</v>
      </c>
      <c r="N1157" s="1">
        <f t="shared" si="88"/>
        <v>2.2326303605049735E-4</v>
      </c>
      <c r="O1157" s="1">
        <f t="shared" si="89"/>
        <v>2.9249922035220577E-4</v>
      </c>
    </row>
    <row r="1158" spans="4:15" x14ac:dyDescent="0.25">
      <c r="D1158" s="3">
        <v>44473</v>
      </c>
      <c r="E1158" s="2">
        <v>4.85550031075202E-2</v>
      </c>
      <c r="F1158" s="2">
        <v>4.8567737423384397E-2</v>
      </c>
      <c r="G1158" s="2">
        <v>4.856137E-2</v>
      </c>
      <c r="H1158" s="2">
        <v>0.183921575840062</v>
      </c>
      <c r="I1158" s="2">
        <v>0.183968946041908</v>
      </c>
      <c r="J1158" s="2">
        <v>0.18394525</v>
      </c>
      <c r="K1158">
        <f t="shared" si="85"/>
        <v>-3.6056720650181617E-3</v>
      </c>
      <c r="L1158">
        <f t="shared" si="86"/>
        <v>-8.8110059036407007E-3</v>
      </c>
      <c r="M1158" s="1">
        <f t="shared" si="87"/>
        <v>-6.3293244706046844E-3</v>
      </c>
      <c r="N1158" s="1">
        <f t="shared" si="88"/>
        <v>2.6223139635879852E-4</v>
      </c>
      <c r="O1158" s="1">
        <f t="shared" si="89"/>
        <v>2.5752337636336442E-4</v>
      </c>
    </row>
    <row r="1159" spans="4:15" x14ac:dyDescent="0.25">
      <c r="D1159" s="5">
        <v>44470</v>
      </c>
      <c r="E1159" s="4">
        <v>4.8731043624030197E-2</v>
      </c>
      <c r="F1159" s="4">
        <v>4.8743157679240798E-2</v>
      </c>
      <c r="G1159" s="4">
        <v>4.8737099999999998E-2</v>
      </c>
      <c r="H1159" s="4">
        <v>0.185559740958602</v>
      </c>
      <c r="I1159" s="4">
        <v>0.18560106906215801</v>
      </c>
      <c r="J1159" s="4">
        <v>0.18558040000000001</v>
      </c>
      <c r="K1159">
        <f t="shared" si="85"/>
        <v>1.279388240648327E-3</v>
      </c>
      <c r="L1159">
        <f t="shared" si="86"/>
        <v>1.1209096263378626E-2</v>
      </c>
      <c r="M1159" s="1">
        <f t="shared" si="87"/>
        <v>6.4750344722525558E-3</v>
      </c>
      <c r="N1159" s="1">
        <f t="shared" si="88"/>
        <v>2.4855921280914436E-4</v>
      </c>
      <c r="O1159" s="1">
        <f t="shared" si="89"/>
        <v>2.2269648926289762E-4</v>
      </c>
    </row>
    <row r="1160" spans="4:15" x14ac:dyDescent="0.25">
      <c r="D1160" s="3">
        <v>44469</v>
      </c>
      <c r="E1160" s="2">
        <v>4.8670089796315701E-2</v>
      </c>
      <c r="F1160" s="2">
        <v>4.8679566751855897E-2</v>
      </c>
      <c r="G1160" s="2">
        <v>4.8674825999999997E-2</v>
      </c>
      <c r="H1160" s="2">
        <v>0.18349633924803199</v>
      </c>
      <c r="I1160" s="2">
        <v>0.183550228520034</v>
      </c>
      <c r="J1160" s="2">
        <v>0.18352326999999999</v>
      </c>
      <c r="K1160">
        <f t="shared" si="85"/>
        <v>-4.9161305358447205E-3</v>
      </c>
      <c r="L1160">
        <f t="shared" si="86"/>
        <v>-4.7074351889091481E-3</v>
      </c>
      <c r="M1160" s="1">
        <f t="shared" si="87"/>
        <v>-4.806932240146897E-3</v>
      </c>
      <c r="N1160" s="1">
        <f t="shared" si="88"/>
        <v>1.9469932034676192E-4</v>
      </c>
      <c r="O1160" s="1">
        <f t="shared" si="89"/>
        <v>2.9363727009662407E-4</v>
      </c>
    </row>
    <row r="1161" spans="4:15" x14ac:dyDescent="0.25">
      <c r="D1161" s="5">
        <v>44468</v>
      </c>
      <c r="E1161" s="4">
        <v>4.8909800545833403E-2</v>
      </c>
      <c r="F1161" s="4">
        <v>4.8920806997632203E-2</v>
      </c>
      <c r="G1161" s="4">
        <v>4.8915300000000002E-2</v>
      </c>
      <c r="H1161" s="4">
        <v>0.18436918084772899</v>
      </c>
      <c r="I1161" s="4">
        <v>0.18441338103492799</v>
      </c>
      <c r="J1161" s="4">
        <v>0.18439127999999999</v>
      </c>
      <c r="K1161">
        <f t="shared" si="85"/>
        <v>-7.2151059712980414E-3</v>
      </c>
      <c r="L1161">
        <f t="shared" si="86"/>
        <v>2.111272219770477E-3</v>
      </c>
      <c r="M1161" s="1">
        <f t="shared" si="87"/>
        <v>-2.3351476087743791E-3</v>
      </c>
      <c r="N1161" s="1">
        <f t="shared" si="88"/>
        <v>2.2501041185070243E-4</v>
      </c>
      <c r="O1161" s="1">
        <f t="shared" si="89"/>
        <v>2.3970866300727746E-4</v>
      </c>
    </row>
    <row r="1162" spans="4:15" x14ac:dyDescent="0.25">
      <c r="D1162" s="3">
        <v>44467</v>
      </c>
      <c r="E1162" s="2">
        <v>4.9263510517759498E-2</v>
      </c>
      <c r="F1162" s="2">
        <v>4.9278076183905797E-2</v>
      </c>
      <c r="G1162" s="2">
        <v>4.9270794E-2</v>
      </c>
      <c r="H1162" s="2">
        <v>0.183985869885193</v>
      </c>
      <c r="I1162" s="2">
        <v>0.18401972691472501</v>
      </c>
      <c r="J1162" s="2">
        <v>0.18400279999999999</v>
      </c>
      <c r="K1162">
        <f t="shared" si="85"/>
        <v>-9.6570449575089645E-3</v>
      </c>
      <c r="L1162">
        <f t="shared" si="86"/>
        <v>-1.587939999507948E-2</v>
      </c>
      <c r="M1162" s="1">
        <f t="shared" si="87"/>
        <v>-1.2912846178315406E-2</v>
      </c>
      <c r="N1162" s="1">
        <f t="shared" si="88"/>
        <v>2.9562474975132225E-4</v>
      </c>
      <c r="O1162" s="1">
        <f t="shared" si="89"/>
        <v>1.8400279524014837E-4</v>
      </c>
    </row>
    <row r="1163" spans="4:15" x14ac:dyDescent="0.25">
      <c r="D1163" s="5">
        <v>44466</v>
      </c>
      <c r="E1163" s="4">
        <v>4.9747283798304599E-2</v>
      </c>
      <c r="F1163" s="4">
        <v>4.97552043943797E-2</v>
      </c>
      <c r="G1163" s="4">
        <v>4.9751244E-2</v>
      </c>
      <c r="H1163" s="4">
        <v>0.18695083193120199</v>
      </c>
      <c r="I1163" s="4">
        <v>0.186992782078612</v>
      </c>
      <c r="J1163" s="4">
        <v>0.18697179999999999</v>
      </c>
      <c r="K1163">
        <f t="shared" si="85"/>
        <v>1.9403322898845499E-3</v>
      </c>
      <c r="L1163">
        <f t="shared" si="86"/>
        <v>3.4584014866001489E-4</v>
      </c>
      <c r="M1163" s="1">
        <f t="shared" si="87"/>
        <v>1.1060260780692793E-3</v>
      </c>
      <c r="N1163" s="1">
        <f t="shared" si="88"/>
        <v>1.5920398040902332E-4</v>
      </c>
      <c r="O1163" s="1">
        <f t="shared" si="89"/>
        <v>2.243661739899476E-4</v>
      </c>
    </row>
    <row r="1164" spans="4:15" x14ac:dyDescent="0.25">
      <c r="D1164" s="3">
        <v>44463</v>
      </c>
      <c r="E1164" s="2">
        <v>4.96492282027476E-2</v>
      </c>
      <c r="F1164" s="2">
        <v>4.9660570004022499E-2</v>
      </c>
      <c r="G1164" s="2">
        <v>4.9654897000000003E-2</v>
      </c>
      <c r="H1164" s="2">
        <v>0.18688095683049899</v>
      </c>
      <c r="I1164" s="2">
        <v>0.18693335825778101</v>
      </c>
      <c r="J1164" s="2">
        <v>0.18690715999999999</v>
      </c>
      <c r="K1164">
        <f t="shared" si="85"/>
        <v>-5.4247776392185587E-3</v>
      </c>
      <c r="L1164">
        <f t="shared" si="86"/>
        <v>-1.1775128607067753E-2</v>
      </c>
      <c r="M1164" s="1">
        <f t="shared" si="87"/>
        <v>-8.7475517832258428E-3</v>
      </c>
      <c r="N1164" s="1">
        <f t="shared" si="88"/>
        <v>2.2841254257155428E-4</v>
      </c>
      <c r="O1164" s="1">
        <f t="shared" si="89"/>
        <v>2.8036072712261424E-4</v>
      </c>
    </row>
    <row r="1165" spans="4:15" x14ac:dyDescent="0.25">
      <c r="D1165" s="5">
        <v>44462</v>
      </c>
      <c r="E1165" s="4">
        <v>4.9920127795527201E-2</v>
      </c>
      <c r="F1165" s="4">
        <v>4.9931344401448002E-2</v>
      </c>
      <c r="G1165" s="4">
        <v>4.9925733E-2</v>
      </c>
      <c r="H1165" s="4">
        <v>0.18911456560384299</v>
      </c>
      <c r="I1165" s="4">
        <v>0.18915391454026101</v>
      </c>
      <c r="J1165" s="4">
        <v>0.18913424000000001</v>
      </c>
      <c r="K1165">
        <f t="shared" si="85"/>
        <v>7.1142171294424905E-4</v>
      </c>
      <c r="L1165">
        <f t="shared" si="86"/>
        <v>-7.471114218864372E-4</v>
      </c>
      <c r="M1165" s="1">
        <f t="shared" si="87"/>
        <v>-5.1744955028862794E-5</v>
      </c>
      <c r="N1165" s="1">
        <f t="shared" si="88"/>
        <v>2.2466582355037306E-4</v>
      </c>
      <c r="O1165" s="1">
        <f t="shared" si="89"/>
        <v>2.0804766190416426E-4</v>
      </c>
    </row>
    <row r="1166" spans="4:15" x14ac:dyDescent="0.25">
      <c r="D1166" s="3">
        <v>44461</v>
      </c>
      <c r="E1166" s="2">
        <v>4.9885512748242801E-2</v>
      </c>
      <c r="F1166" s="2">
        <v>4.9894971085864201E-2</v>
      </c>
      <c r="G1166" s="2">
        <v>4.9890240000000002E-2</v>
      </c>
      <c r="H1166" s="2">
        <v>0.18926489514724801</v>
      </c>
      <c r="I1166" s="2">
        <v>0.189286390308537</v>
      </c>
      <c r="J1166" s="2">
        <v>0.18927564999999999</v>
      </c>
      <c r="K1166">
        <f t="shared" si="85"/>
        <v>5.6375094334755183E-3</v>
      </c>
      <c r="L1166">
        <f t="shared" si="86"/>
        <v>6.54899394636832E-3</v>
      </c>
      <c r="M1166" s="1">
        <f t="shared" si="87"/>
        <v>6.1144369588102404E-3</v>
      </c>
      <c r="N1166" s="1">
        <f t="shared" si="88"/>
        <v>1.895829248646623E-4</v>
      </c>
      <c r="O1166" s="1">
        <f t="shared" si="89"/>
        <v>1.135653809087034E-4</v>
      </c>
    </row>
    <row r="1167" spans="4:15" x14ac:dyDescent="0.25">
      <c r="D1167" s="5">
        <v>44460</v>
      </c>
      <c r="E1167" s="4">
        <v>4.96048969954314E-2</v>
      </c>
      <c r="F1167" s="4">
        <v>4.9616218549519503E-2</v>
      </c>
      <c r="G1167" s="4">
        <v>4.9610559999999998E-2</v>
      </c>
      <c r="H1167" s="4">
        <v>0.18801940360245201</v>
      </c>
      <c r="I1167" s="4">
        <v>0.18806890844805499</v>
      </c>
      <c r="J1167" s="4">
        <v>0.18804414999999999</v>
      </c>
      <c r="K1167">
        <f t="shared" si="85"/>
        <v>1.5875619613008318E-3</v>
      </c>
      <c r="L1167">
        <f t="shared" si="86"/>
        <v>2.4069175851950675E-3</v>
      </c>
      <c r="M1167" s="1">
        <f t="shared" si="87"/>
        <v>2.0162837273270677E-3</v>
      </c>
      <c r="N1167" s="1">
        <f t="shared" si="88"/>
        <v>2.2820855253606137E-4</v>
      </c>
      <c r="O1167" s="1">
        <f t="shared" si="89"/>
        <v>2.6326182230599726E-4</v>
      </c>
    </row>
    <row r="1168" spans="4:15" x14ac:dyDescent="0.25">
      <c r="D1168" s="3">
        <v>44459</v>
      </c>
      <c r="E1168" s="2">
        <v>4.9527998177369699E-2</v>
      </c>
      <c r="F1168" s="2">
        <v>4.9535849093989302E-2</v>
      </c>
      <c r="G1168" s="2">
        <v>4.9531924999999997E-2</v>
      </c>
      <c r="H1168" s="2">
        <v>0.18757503001200501</v>
      </c>
      <c r="I1168" s="2">
        <v>0.18761022100484001</v>
      </c>
      <c r="J1168" s="2">
        <v>0.18759263000000001</v>
      </c>
      <c r="K1168">
        <f t="shared" ref="K1168:K1231" si="90">G1168/G1169-1</f>
        <v>-8.8414192695190907E-3</v>
      </c>
      <c r="L1168">
        <f t="shared" ref="L1168:L1231" si="91">J1168/J1169-1</f>
        <v>-2.6451145899984985E-3</v>
      </c>
      <c r="M1168" s="1">
        <f t="shared" ref="M1168:M1231" si="92">SUMPRODUCT(K1168:L1168,$O$11:$P$11)</f>
        <v>-5.5992487057595804E-3</v>
      </c>
      <c r="N1168" s="1">
        <f t="shared" ref="N1168:N1231" si="93">(F1168-E1168)/G1168</f>
        <v>1.5850215027183689E-4</v>
      </c>
      <c r="O1168" s="1">
        <f t="shared" ref="O1168:O1231" si="94">(I1168-H1168)/J1168</f>
        <v>1.8759261936356005E-4</v>
      </c>
    </row>
    <row r="1169" spans="4:15" x14ac:dyDescent="0.25">
      <c r="D1169" s="5">
        <v>44456</v>
      </c>
      <c r="E1169" s="4">
        <v>4.9966772096555798E-2</v>
      </c>
      <c r="F1169" s="4">
        <v>4.9980757408397802E-2</v>
      </c>
      <c r="G1169" s="4">
        <v>4.9973763999999997E-2</v>
      </c>
      <c r="H1169" s="4">
        <v>0.18806890844805499</v>
      </c>
      <c r="I1169" s="4">
        <v>0.18811136192625999</v>
      </c>
      <c r="J1169" s="4">
        <v>0.18809015000000001</v>
      </c>
      <c r="K1169">
        <f t="shared" si="90"/>
        <v>-2.6735595485967156E-3</v>
      </c>
      <c r="L1169">
        <f t="shared" si="91"/>
        <v>-1.144518410366846E-2</v>
      </c>
      <c r="M1169" s="1">
        <f t="shared" si="92"/>
        <v>-7.2632471769016622E-3</v>
      </c>
      <c r="N1169" s="1">
        <f t="shared" si="93"/>
        <v>2.7985308134893919E-4</v>
      </c>
      <c r="O1169" s="1">
        <f t="shared" si="94"/>
        <v>2.2570814157467164E-4</v>
      </c>
    </row>
    <row r="1170" spans="4:15" x14ac:dyDescent="0.25">
      <c r="D1170" s="3">
        <v>44455</v>
      </c>
      <c r="E1170" s="2">
        <v>5.0101706464122202E-2</v>
      </c>
      <c r="F1170" s="2">
        <v>5.0113758231184802E-2</v>
      </c>
      <c r="G1170" s="2">
        <v>5.0107730000000003E-2</v>
      </c>
      <c r="H1170" s="2">
        <v>0.19024427364736299</v>
      </c>
      <c r="I1170" s="2">
        <v>0.19029133603546999</v>
      </c>
      <c r="J1170" s="2">
        <v>0.19026779999999999</v>
      </c>
      <c r="K1170">
        <f t="shared" si="90"/>
        <v>-2.8311247161540987E-3</v>
      </c>
      <c r="L1170">
        <f t="shared" si="91"/>
        <v>-3.1393248113598116E-4</v>
      </c>
      <c r="M1170" s="1">
        <f t="shared" si="92"/>
        <v>-1.5140225093060035E-3</v>
      </c>
      <c r="N1170" s="1">
        <f t="shared" si="93"/>
        <v>2.4051712305865725E-4</v>
      </c>
      <c r="O1170" s="1">
        <f t="shared" si="94"/>
        <v>2.4734814880397716E-4</v>
      </c>
    </row>
    <row r="1171" spans="4:15" x14ac:dyDescent="0.25">
      <c r="D1171" s="5">
        <v>44454</v>
      </c>
      <c r="E1171" s="4">
        <v>5.0242924540151598E-2</v>
      </c>
      <c r="F1171" s="4">
        <v>5.0257064886896498E-2</v>
      </c>
      <c r="G1171" s="4">
        <v>5.0249993999999999E-2</v>
      </c>
      <c r="H1171" s="4">
        <v>0.190313064991912</v>
      </c>
      <c r="I1171" s="4">
        <v>0.19034204465424401</v>
      </c>
      <c r="J1171" s="4">
        <v>0.19032755000000001</v>
      </c>
      <c r="K1171">
        <f t="shared" si="90"/>
        <v>4.5228412442099852E-4</v>
      </c>
      <c r="L1171">
        <f t="shared" si="91"/>
        <v>-4.0159610681557156E-3</v>
      </c>
      <c r="M1171" s="1">
        <f t="shared" si="92"/>
        <v>-1.88569210242797E-3</v>
      </c>
      <c r="N1171" s="1">
        <f t="shared" si="93"/>
        <v>2.813999688218758E-4</v>
      </c>
      <c r="O1171" s="1">
        <f t="shared" si="94"/>
        <v>1.5226204683456022E-4</v>
      </c>
    </row>
    <row r="1172" spans="4:15" x14ac:dyDescent="0.25">
      <c r="D1172" s="3">
        <v>44453</v>
      </c>
      <c r="E1172" s="2">
        <v>5.02204678538785E-2</v>
      </c>
      <c r="F1172" s="2">
        <v>5.0234090863423599E-2</v>
      </c>
      <c r="G1172" s="2">
        <v>5.0227277000000001E-2</v>
      </c>
      <c r="H1172" s="2">
        <v>0.19105846388994999</v>
      </c>
      <c r="I1172" s="2">
        <v>0.19113149847094801</v>
      </c>
      <c r="J1172" s="2">
        <v>0.19109498</v>
      </c>
      <c r="K1172">
        <f t="shared" si="90"/>
        <v>-2.8378474423974565E-3</v>
      </c>
      <c r="L1172">
        <f t="shared" si="91"/>
        <v>-4.547996398359011E-3</v>
      </c>
      <c r="M1172" s="1">
        <f t="shared" si="92"/>
        <v>-3.7326702265300781E-3</v>
      </c>
      <c r="N1172" s="1">
        <f t="shared" si="93"/>
        <v>2.7122731628668925E-4</v>
      </c>
      <c r="O1172" s="1">
        <f t="shared" si="94"/>
        <v>3.8218995076703255E-4</v>
      </c>
    </row>
    <row r="1173" spans="4:15" x14ac:dyDescent="0.25">
      <c r="D1173" s="5">
        <v>44452</v>
      </c>
      <c r="E1173" s="4">
        <v>5.0365908323973703E-2</v>
      </c>
      <c r="F1173" s="4">
        <v>5.0374534665235997E-2</v>
      </c>
      <c r="G1173" s="4">
        <v>5.037022E-2</v>
      </c>
      <c r="H1173" s="4">
        <v>0.191938579654511</v>
      </c>
      <c r="I1173" s="4">
        <v>0.191997542431457</v>
      </c>
      <c r="J1173" s="4">
        <v>0.19196805</v>
      </c>
      <c r="K1173">
        <f t="shared" si="90"/>
        <v>6.2953765237083736E-4</v>
      </c>
      <c r="L1173">
        <f t="shared" si="91"/>
        <v>3.7241750288541375E-3</v>
      </c>
      <c r="M1173" s="1">
        <f t="shared" si="92"/>
        <v>2.2487837557306854E-3</v>
      </c>
      <c r="N1173" s="1">
        <f t="shared" si="93"/>
        <v>1.7125875690624125E-4</v>
      </c>
      <c r="O1173" s="1">
        <f t="shared" si="94"/>
        <v>3.0714890809175417E-4</v>
      </c>
    </row>
    <row r="1174" spans="4:15" x14ac:dyDescent="0.25">
      <c r="D1174" s="3">
        <v>44449</v>
      </c>
      <c r="E1174" s="2">
        <v>5.0332699141324197E-2</v>
      </c>
      <c r="F1174" s="2">
        <v>5.0344355390873598E-2</v>
      </c>
      <c r="G1174" s="2">
        <v>5.0338529999999999E-2</v>
      </c>
      <c r="H1174" s="2">
        <v>0.19121921370659301</v>
      </c>
      <c r="I1174" s="2">
        <v>0.19129237126023399</v>
      </c>
      <c r="J1174" s="2">
        <v>0.19125577999999999</v>
      </c>
      <c r="K1174">
        <f t="shared" si="90"/>
        <v>3.8761039519532581E-3</v>
      </c>
      <c r="L1174">
        <f t="shared" si="91"/>
        <v>8.3960870669002041E-3</v>
      </c>
      <c r="M1174" s="1">
        <f t="shared" si="92"/>
        <v>6.2411516637621654E-3</v>
      </c>
      <c r="N1174" s="1">
        <f t="shared" si="93"/>
        <v>2.3155720974372423E-4</v>
      </c>
      <c r="O1174" s="1">
        <f t="shared" si="94"/>
        <v>3.8251159594227446E-4</v>
      </c>
    </row>
    <row r="1175" spans="4:15" x14ac:dyDescent="0.25">
      <c r="D1175" s="5">
        <v>44448</v>
      </c>
      <c r="E1175" s="4">
        <v>5.0135114132587297E-2</v>
      </c>
      <c r="F1175" s="4">
        <v>5.0153218081238203E-2</v>
      </c>
      <c r="G1175" s="4">
        <v>5.0144165999999997E-2</v>
      </c>
      <c r="H1175" s="4">
        <v>0.18964536317087</v>
      </c>
      <c r="I1175" s="4">
        <v>0.18968133535660101</v>
      </c>
      <c r="J1175" s="4">
        <v>0.18966335000000001</v>
      </c>
      <c r="K1175">
        <f t="shared" si="90"/>
        <v>3.2594670421270955E-4</v>
      </c>
      <c r="L1175">
        <f t="shared" si="91"/>
        <v>1.8207927122231293E-3</v>
      </c>
      <c r="M1175" s="1">
        <f t="shared" si="92"/>
        <v>1.1081138143199825E-3</v>
      </c>
      <c r="N1175" s="1">
        <f t="shared" si="93"/>
        <v>3.6103798497528729E-4</v>
      </c>
      <c r="O1175" s="1">
        <f t="shared" si="94"/>
        <v>1.8966334682483005E-4</v>
      </c>
    </row>
    <row r="1176" spans="4:15" x14ac:dyDescent="0.25">
      <c r="D1176" s="3">
        <v>44447</v>
      </c>
      <c r="E1176" s="2">
        <v>5.0121042317196003E-2</v>
      </c>
      <c r="F1176" s="2">
        <v>5.01346114316941E-2</v>
      </c>
      <c r="G1176" s="2">
        <v>5.0127827E-2</v>
      </c>
      <c r="H1176" s="2">
        <v>0.18930430667297701</v>
      </c>
      <c r="I1176" s="2">
        <v>0.189332979911771</v>
      </c>
      <c r="J1176" s="2">
        <v>0.18931864000000001</v>
      </c>
      <c r="K1176">
        <f t="shared" si="90"/>
        <v>-9.2734623240608993E-4</v>
      </c>
      <c r="L1176">
        <f t="shared" si="91"/>
        <v>-2.119430456317406E-2</v>
      </c>
      <c r="M1176" s="1">
        <f t="shared" si="92"/>
        <v>-1.1531882180118778E-2</v>
      </c>
      <c r="N1176" s="1">
        <f t="shared" si="93"/>
        <v>2.7069025948594383E-4</v>
      </c>
      <c r="O1176" s="1">
        <f t="shared" si="94"/>
        <v>1.5145491639910057E-4</v>
      </c>
    </row>
    <row r="1177" spans="4:15" x14ac:dyDescent="0.25">
      <c r="D1177" s="5">
        <v>44446</v>
      </c>
      <c r="E1177" s="4">
        <v>5.0169824857141401E-2</v>
      </c>
      <c r="F1177" s="4">
        <v>5.0178887734774497E-2</v>
      </c>
      <c r="G1177" s="4">
        <v>5.0174356000000003E-2</v>
      </c>
      <c r="H1177" s="4">
        <v>0.19337497341094101</v>
      </c>
      <c r="I1177" s="4">
        <v>0.19346101760495299</v>
      </c>
      <c r="J1177" s="4">
        <v>0.19341800000000001</v>
      </c>
      <c r="K1177">
        <f t="shared" si="90"/>
        <v>-2.2327999828821721E-3</v>
      </c>
      <c r="L1177">
        <f t="shared" si="91"/>
        <v>-9.1861478015220488E-4</v>
      </c>
      <c r="M1177" s="1">
        <f t="shared" si="92"/>
        <v>-1.545162302039615E-3</v>
      </c>
      <c r="N1177" s="1">
        <f t="shared" si="93"/>
        <v>1.8062768225854902E-4</v>
      </c>
      <c r="O1177" s="1">
        <f t="shared" si="94"/>
        <v>4.4486135732962022E-4</v>
      </c>
    </row>
    <row r="1178" spans="4:15" x14ac:dyDescent="0.25">
      <c r="D1178" s="3">
        <v>44445</v>
      </c>
      <c r="E1178" s="2">
        <v>5.0279554322030497E-2</v>
      </c>
      <c r="F1178" s="2">
        <v>5.0293715297336401E-2</v>
      </c>
      <c r="G1178" s="2">
        <v>5.0286636000000003E-2</v>
      </c>
      <c r="H1178" s="2">
        <v>0.19356587046571899</v>
      </c>
      <c r="I1178" s="2">
        <v>0.19362583743174699</v>
      </c>
      <c r="J1178" s="2">
        <v>0.19359583999999999</v>
      </c>
      <c r="K1178">
        <f t="shared" si="90"/>
        <v>6.5376174075826299E-4</v>
      </c>
      <c r="L1178">
        <f t="shared" si="91"/>
        <v>1.3938087497422647E-3</v>
      </c>
      <c r="M1178" s="1">
        <f t="shared" si="92"/>
        <v>1.0409858610079207E-3</v>
      </c>
      <c r="N1178" s="1">
        <f t="shared" si="93"/>
        <v>2.8160514268452266E-4</v>
      </c>
      <c r="O1178" s="1">
        <f t="shared" si="94"/>
        <v>3.097533812090292E-4</v>
      </c>
    </row>
    <row r="1179" spans="4:15" x14ac:dyDescent="0.25">
      <c r="D1179" s="5">
        <v>44442</v>
      </c>
      <c r="E1179" s="4">
        <v>5.0245701480238401E-2</v>
      </c>
      <c r="F1179" s="4">
        <v>5.02618643130711E-2</v>
      </c>
      <c r="G1179" s="4">
        <v>5.0253781999999997E-2</v>
      </c>
      <c r="H1179" s="4">
        <v>0.19331142470519999</v>
      </c>
      <c r="I1179" s="4">
        <v>0.19334132477475699</v>
      </c>
      <c r="J1179" s="4">
        <v>0.19332637999999999</v>
      </c>
      <c r="K1179">
        <f t="shared" si="90"/>
        <v>2.8393083423963184E-3</v>
      </c>
      <c r="L1179">
        <f t="shared" si="91"/>
        <v>-5.1425004515615047E-3</v>
      </c>
      <c r="M1179" s="1">
        <f t="shared" si="92"/>
        <v>-1.3371140344531451E-3</v>
      </c>
      <c r="N1179" s="1">
        <f t="shared" si="93"/>
        <v>3.2162420795908974E-4</v>
      </c>
      <c r="O1179" s="1">
        <f t="shared" si="94"/>
        <v>1.5466109465763763E-4</v>
      </c>
    </row>
    <row r="1180" spans="4:15" x14ac:dyDescent="0.25">
      <c r="D1180" s="3">
        <v>44441</v>
      </c>
      <c r="E1180" s="2">
        <v>5.0104969911965599E-2</v>
      </c>
      <c r="F1180" s="2">
        <v>5.0118027955836003E-2</v>
      </c>
      <c r="G1180" s="2">
        <v>5.0111500000000003E-2</v>
      </c>
      <c r="H1180" s="2">
        <v>0.19428793471925401</v>
      </c>
      <c r="I1180" s="2">
        <v>0.19436345966958199</v>
      </c>
      <c r="J1180" s="2">
        <v>0.19432569999999999</v>
      </c>
      <c r="K1180">
        <f t="shared" si="90"/>
        <v>-9.2703062032095662E-4</v>
      </c>
      <c r="L1180">
        <f t="shared" si="91"/>
        <v>1.7586452116933327E-3</v>
      </c>
      <c r="M1180" s="1">
        <f t="shared" si="92"/>
        <v>4.7822938168248758E-4</v>
      </c>
      <c r="N1180" s="1">
        <f t="shared" si="93"/>
        <v>2.6057978448866342E-4</v>
      </c>
      <c r="O1180" s="1">
        <f t="shared" si="94"/>
        <v>3.8865137410016513E-4</v>
      </c>
    </row>
    <row r="1181" spans="4:15" x14ac:dyDescent="0.25">
      <c r="D1181" s="5">
        <v>44440</v>
      </c>
      <c r="E1181" s="4">
        <v>5.0153721155341099E-2</v>
      </c>
      <c r="F1181" s="4">
        <v>5.0162274959493998E-2</v>
      </c>
      <c r="G1181" s="4">
        <v>5.0157998000000002E-2</v>
      </c>
      <c r="H1181" s="4">
        <v>0.19397136982581401</v>
      </c>
      <c r="I1181" s="4">
        <v>0.193997710827012</v>
      </c>
      <c r="J1181" s="4">
        <v>0.19398455000000001</v>
      </c>
      <c r="K1181">
        <f t="shared" si="90"/>
        <v>5.1410930944892907E-3</v>
      </c>
      <c r="L1181">
        <f t="shared" si="91"/>
        <v>-6.8864090130291711E-3</v>
      </c>
      <c r="M1181" s="1">
        <f t="shared" si="92"/>
        <v>-1.152208365885133E-3</v>
      </c>
      <c r="N1181" s="1">
        <f t="shared" si="93"/>
        <v>1.7053719235162596E-4</v>
      </c>
      <c r="O1181" s="1">
        <f t="shared" si="94"/>
        <v>1.3578917082829125E-4</v>
      </c>
    </row>
    <row r="1182" spans="4:15" x14ac:dyDescent="0.25">
      <c r="D1182" s="3">
        <v>44439</v>
      </c>
      <c r="E1182" s="2">
        <v>4.9894473189204799E-2</v>
      </c>
      <c r="F1182" s="2">
        <v>4.9908418052873001E-2</v>
      </c>
      <c r="G1182" s="2">
        <v>4.990145E-2</v>
      </c>
      <c r="H1182" s="2">
        <v>0.195316314771773</v>
      </c>
      <c r="I1182" s="2">
        <v>0.19534302234724199</v>
      </c>
      <c r="J1182" s="2">
        <v>0.19532967000000001</v>
      </c>
      <c r="K1182">
        <f t="shared" si="90"/>
        <v>4.5161653961280912E-3</v>
      </c>
      <c r="L1182">
        <f t="shared" si="91"/>
        <v>1.2657330758716112E-2</v>
      </c>
      <c r="M1182" s="1">
        <f t="shared" si="92"/>
        <v>8.7759699180909416E-3</v>
      </c>
      <c r="N1182" s="1">
        <f t="shared" si="93"/>
        <v>2.7944806550112878E-4</v>
      </c>
      <c r="O1182" s="1">
        <f t="shared" si="94"/>
        <v>1.3673076634488103E-4</v>
      </c>
    </row>
    <row r="1183" spans="4:15" x14ac:dyDescent="0.25">
      <c r="D1183" s="5">
        <v>44438</v>
      </c>
      <c r="E1183" s="4">
        <v>4.96729039276365E-2</v>
      </c>
      <c r="F1183" s="4">
        <v>4.9681294495809401E-2</v>
      </c>
      <c r="G1183" s="4">
        <v>4.9677100000000002E-2</v>
      </c>
      <c r="H1183" s="4">
        <v>0.19286775058342501</v>
      </c>
      <c r="I1183" s="4">
        <v>0.192908677032293</v>
      </c>
      <c r="J1183" s="4">
        <v>0.19288822</v>
      </c>
      <c r="K1183">
        <f t="shared" si="90"/>
        <v>7.0292841872192646E-3</v>
      </c>
      <c r="L1183">
        <f t="shared" si="91"/>
        <v>4.5618957287523187E-3</v>
      </c>
      <c r="M1183" s="1">
        <f t="shared" si="92"/>
        <v>5.738241437846194E-3</v>
      </c>
      <c r="N1183" s="1">
        <f t="shared" si="93"/>
        <v>1.689021334357595E-4</v>
      </c>
      <c r="O1183" s="1">
        <f t="shared" si="94"/>
        <v>2.1217702598943063E-4</v>
      </c>
    </row>
    <row r="1184" spans="4:15" x14ac:dyDescent="0.25">
      <c r="D1184" s="3">
        <v>44435</v>
      </c>
      <c r="E1184" s="2">
        <v>4.93254741411202E-2</v>
      </c>
      <c r="F1184" s="2">
        <v>4.9335208071239998E-2</v>
      </c>
      <c r="G1184" s="2">
        <v>4.9330342999999999E-2</v>
      </c>
      <c r="H1184" s="2">
        <v>0.191993856196602</v>
      </c>
      <c r="I1184" s="2">
        <v>0.19203072491598699</v>
      </c>
      <c r="J1184" s="2">
        <v>0.19201228000000001</v>
      </c>
      <c r="K1184">
        <f t="shared" si="90"/>
        <v>5.2044081075437454E-3</v>
      </c>
      <c r="L1184">
        <f t="shared" si="91"/>
        <v>8.1124763161222191E-3</v>
      </c>
      <c r="M1184" s="1">
        <f t="shared" si="92"/>
        <v>6.7260332746243694E-3</v>
      </c>
      <c r="N1184" s="1">
        <f t="shared" si="93"/>
        <v>1.9732135492750387E-4</v>
      </c>
      <c r="O1184" s="1">
        <f t="shared" si="94"/>
        <v>1.9201229934351843E-4</v>
      </c>
    </row>
    <row r="1185" spans="4:15" x14ac:dyDescent="0.25">
      <c r="D1185" s="5">
        <v>44434</v>
      </c>
      <c r="E1185" s="4">
        <v>4.9067954209785103E-2</v>
      </c>
      <c r="F1185" s="4">
        <v>4.9081922637073498E-2</v>
      </c>
      <c r="G1185" s="4">
        <v>4.9074936999999999E-2</v>
      </c>
      <c r="H1185" s="4">
        <v>0.190436289539335</v>
      </c>
      <c r="I1185" s="4">
        <v>0.19049796167180999</v>
      </c>
      <c r="J1185" s="4">
        <v>0.19046711999999999</v>
      </c>
      <c r="K1185">
        <f t="shared" si="90"/>
        <v>-3.0180910751201884E-3</v>
      </c>
      <c r="L1185">
        <f t="shared" si="91"/>
        <v>-8.0956265989817755E-4</v>
      </c>
      <c r="M1185" s="1">
        <f t="shared" si="92"/>
        <v>-1.8624949275122167E-3</v>
      </c>
      <c r="N1185" s="1">
        <f t="shared" si="93"/>
        <v>2.8463464534646797E-4</v>
      </c>
      <c r="O1185" s="1">
        <f t="shared" si="94"/>
        <v>3.2379411456942304E-4</v>
      </c>
    </row>
    <row r="1186" spans="4:15" x14ac:dyDescent="0.25">
      <c r="D1186" s="3">
        <v>44433</v>
      </c>
      <c r="E1186" s="2">
        <v>4.9216231513152998E-2</v>
      </c>
      <c r="F1186" s="2">
        <v>4.9230769230769203E-2</v>
      </c>
      <c r="G1186" s="2">
        <v>4.9223497999999997E-2</v>
      </c>
      <c r="H1186" s="2">
        <v>0.190610525513219</v>
      </c>
      <c r="I1186" s="2">
        <v>0.19063232743008601</v>
      </c>
      <c r="J1186" s="2">
        <v>0.19062144</v>
      </c>
      <c r="K1186">
        <f t="shared" si="90"/>
        <v>-1.5505495544214654E-3</v>
      </c>
      <c r="L1186">
        <f t="shared" si="91"/>
        <v>5.5852765955830552E-3</v>
      </c>
      <c r="M1186" s="1">
        <f t="shared" si="92"/>
        <v>2.1832186652265078E-3</v>
      </c>
      <c r="N1186" s="1">
        <f t="shared" si="93"/>
        <v>2.9534101002339446E-4</v>
      </c>
      <c r="O1186" s="1">
        <f t="shared" si="94"/>
        <v>1.14372847393319E-4</v>
      </c>
    </row>
    <row r="1187" spans="4:15" x14ac:dyDescent="0.25">
      <c r="D1187" s="5">
        <v>44432</v>
      </c>
      <c r="E1187" s="4">
        <v>4.92911926496973E-2</v>
      </c>
      <c r="F1187" s="4">
        <v>4.9308692136249797E-2</v>
      </c>
      <c r="G1187" s="4">
        <v>4.929994E-2</v>
      </c>
      <c r="H1187" s="4">
        <v>0.18953752843062899</v>
      </c>
      <c r="I1187" s="4">
        <v>0.18958783604443899</v>
      </c>
      <c r="J1187" s="4">
        <v>0.18956268000000001</v>
      </c>
      <c r="K1187">
        <f t="shared" si="90"/>
        <v>4.3137057737800966E-3</v>
      </c>
      <c r="L1187">
        <f t="shared" si="91"/>
        <v>1.8956318805186889E-2</v>
      </c>
      <c r="M1187" s="1">
        <f t="shared" si="92"/>
        <v>1.1975344670242746E-2</v>
      </c>
      <c r="N1187" s="1">
        <f t="shared" si="93"/>
        <v>3.5495959127935833E-4</v>
      </c>
      <c r="O1187" s="1">
        <f t="shared" si="94"/>
        <v>2.6538775359159441E-4</v>
      </c>
    </row>
    <row r="1188" spans="4:15" x14ac:dyDescent="0.25">
      <c r="D1188" s="3">
        <v>44431</v>
      </c>
      <c r="E1188" s="2">
        <v>4.9084090864469E-2</v>
      </c>
      <c r="F1188" s="2">
        <v>4.9092283674852001E-2</v>
      </c>
      <c r="G1188" s="2">
        <v>4.9088187999999998E-2</v>
      </c>
      <c r="H1188" s="2">
        <v>0.18602228546979899</v>
      </c>
      <c r="I1188" s="2">
        <v>0.186049973022754</v>
      </c>
      <c r="J1188" s="2">
        <v>0.18603612</v>
      </c>
      <c r="K1188">
        <f t="shared" si="90"/>
        <v>1.6690270728951795E-3</v>
      </c>
      <c r="L1188">
        <f t="shared" si="91"/>
        <v>7.515854597764271E-3</v>
      </c>
      <c r="M1188" s="1">
        <f t="shared" si="92"/>
        <v>4.7283363020172208E-3</v>
      </c>
      <c r="N1188" s="1">
        <f t="shared" si="93"/>
        <v>1.6689983307187676E-4</v>
      </c>
      <c r="O1188" s="1">
        <f t="shared" si="94"/>
        <v>1.4882890997196444E-4</v>
      </c>
    </row>
    <row r="1189" spans="4:15" x14ac:dyDescent="0.25">
      <c r="D1189" s="5">
        <v>44428</v>
      </c>
      <c r="E1189" s="4">
        <v>4.90018326685418E-2</v>
      </c>
      <c r="F1189" s="4">
        <v>4.9010958850398897E-2</v>
      </c>
      <c r="G1189" s="4">
        <v>4.9006395000000001E-2</v>
      </c>
      <c r="H1189" s="4">
        <v>0.18462447382024999</v>
      </c>
      <c r="I1189" s="4">
        <v>0.184672206832872</v>
      </c>
      <c r="J1189" s="4">
        <v>0.18464833</v>
      </c>
      <c r="K1189">
        <f t="shared" si="90"/>
        <v>-1.1957563913366442E-2</v>
      </c>
      <c r="L1189">
        <f t="shared" si="91"/>
        <v>7.4781712787386212E-4</v>
      </c>
      <c r="M1189" s="1">
        <f t="shared" si="92"/>
        <v>-5.3095673180078417E-3</v>
      </c>
      <c r="N1189" s="1">
        <f t="shared" si="93"/>
        <v>1.8622430515643958E-4</v>
      </c>
      <c r="O1189" s="1">
        <f t="shared" si="94"/>
        <v>2.5850768659542602E-4</v>
      </c>
    </row>
    <row r="1190" spans="4:15" x14ac:dyDescent="0.25">
      <c r="D1190" s="3">
        <v>44427</v>
      </c>
      <c r="E1190" s="2">
        <v>4.9594318474875498E-2</v>
      </c>
      <c r="F1190" s="2">
        <v>4.9604650932071399E-2</v>
      </c>
      <c r="G1190" s="2">
        <v>4.9599483999999999E-2</v>
      </c>
      <c r="H1190" s="2">
        <v>0.18449163330443</v>
      </c>
      <c r="I1190" s="2">
        <v>0.184529081783289</v>
      </c>
      <c r="J1190" s="2">
        <v>0.18451034999999999</v>
      </c>
      <c r="K1190">
        <f t="shared" si="90"/>
        <v>-8.4815688799426692E-3</v>
      </c>
      <c r="L1190">
        <f t="shared" si="91"/>
        <v>-2.0314614817013799E-2</v>
      </c>
      <c r="M1190" s="1">
        <f t="shared" si="92"/>
        <v>-1.4673122588330416E-2</v>
      </c>
      <c r="N1190" s="1">
        <f t="shared" si="93"/>
        <v>2.0831783644968926E-4</v>
      </c>
      <c r="O1190" s="1">
        <f t="shared" si="94"/>
        <v>2.0296139950416598E-4</v>
      </c>
    </row>
    <row r="1191" spans="4:15" x14ac:dyDescent="0.25">
      <c r="D1191" s="5">
        <v>44426</v>
      </c>
      <c r="E1191" s="4">
        <v>5.0019007222744598E-2</v>
      </c>
      <c r="F1191" s="4">
        <v>5.0028516254264903E-2</v>
      </c>
      <c r="G1191" s="4">
        <v>5.0023763999999998E-2</v>
      </c>
      <c r="H1191" s="4">
        <v>0.18831682422507601</v>
      </c>
      <c r="I1191" s="4">
        <v>0.188355841856435</v>
      </c>
      <c r="J1191" s="4">
        <v>0.18833633</v>
      </c>
      <c r="K1191">
        <f t="shared" si="90"/>
        <v>2.5022369966753999E-4</v>
      </c>
      <c r="L1191">
        <f t="shared" si="91"/>
        <v>-1.0019425212406619E-2</v>
      </c>
      <c r="M1191" s="1">
        <f t="shared" si="92"/>
        <v>-5.1232940863312933E-3</v>
      </c>
      <c r="N1191" s="1">
        <f t="shared" si="93"/>
        <v>1.9009028429578035E-4</v>
      </c>
      <c r="O1191" s="1">
        <f t="shared" si="94"/>
        <v>2.0716996746721763E-4</v>
      </c>
    </row>
    <row r="1192" spans="4:15" x14ac:dyDescent="0.25">
      <c r="D1192" s="3">
        <v>44425</v>
      </c>
      <c r="E1192" s="2">
        <v>5.0004750451292899E-2</v>
      </c>
      <c r="F1192" s="2">
        <v>5.0017756303487697E-2</v>
      </c>
      <c r="G1192" s="2">
        <v>5.001125E-2</v>
      </c>
      <c r="H1192" s="2">
        <v>0.19022979759549499</v>
      </c>
      <c r="I1192" s="2">
        <v>0.190255132132189</v>
      </c>
      <c r="J1192" s="2">
        <v>0.19024245000000001</v>
      </c>
      <c r="K1192">
        <f t="shared" si="90"/>
        <v>-5.5387976825118646E-3</v>
      </c>
      <c r="L1192">
        <f t="shared" si="91"/>
        <v>-4.1759269330824411E-3</v>
      </c>
      <c r="M1192" s="1">
        <f t="shared" si="92"/>
        <v>-4.8256856496880019E-3</v>
      </c>
      <c r="N1192" s="1">
        <f t="shared" si="93"/>
        <v>2.6005853072653311E-4</v>
      </c>
      <c r="O1192" s="1">
        <f t="shared" si="94"/>
        <v>1.3316973521950822E-4</v>
      </c>
    </row>
    <row r="1193" spans="4:15" x14ac:dyDescent="0.25">
      <c r="D1193" s="5">
        <v>44424</v>
      </c>
      <c r="E1193" s="4">
        <v>5.0283852346496002E-2</v>
      </c>
      <c r="F1193" s="4">
        <v>5.0295738944996601E-2</v>
      </c>
      <c r="G1193" s="4">
        <v>5.0289794999999998E-2</v>
      </c>
      <c r="H1193" s="4">
        <v>0.19102926568350301</v>
      </c>
      <c r="I1193" s="4">
        <v>0.19105116350158599</v>
      </c>
      <c r="J1193" s="4">
        <v>0.19104022000000001</v>
      </c>
      <c r="K1193">
        <f t="shared" si="90"/>
        <v>-1.2195339932316029E-3</v>
      </c>
      <c r="L1193">
        <f t="shared" si="91"/>
        <v>2.8942895304813199E-3</v>
      </c>
      <c r="M1193" s="1">
        <f t="shared" si="92"/>
        <v>9.3299371851342336E-4</v>
      </c>
      <c r="N1193" s="1">
        <f t="shared" si="93"/>
        <v>2.3636203926858166E-4</v>
      </c>
      <c r="O1193" s="1">
        <f t="shared" si="94"/>
        <v>1.1462412513439939E-4</v>
      </c>
    </row>
    <row r="1194" spans="4:15" x14ac:dyDescent="0.25">
      <c r="D1194" s="3">
        <v>44421</v>
      </c>
      <c r="E1194" s="2">
        <v>5.0346636592942397E-2</v>
      </c>
      <c r="F1194" s="2">
        <v>5.0355763468907799E-2</v>
      </c>
      <c r="G1194" s="2">
        <v>5.0351199999999999E-2</v>
      </c>
      <c r="H1194" s="2">
        <v>0.19046530674437701</v>
      </c>
      <c r="I1194" s="2">
        <v>0.19051247856734599</v>
      </c>
      <c r="J1194" s="2">
        <v>0.19048888999999999</v>
      </c>
      <c r="K1194">
        <f t="shared" si="90"/>
        <v>2.6811872418182059E-3</v>
      </c>
      <c r="L1194">
        <f t="shared" si="91"/>
        <v>-1.0857598751184971E-3</v>
      </c>
      <c r="M1194" s="1">
        <f t="shared" si="92"/>
        <v>7.1016004263344012E-4</v>
      </c>
      <c r="N1194" s="1">
        <f t="shared" si="93"/>
        <v>1.8126431873326894E-4</v>
      </c>
      <c r="O1194" s="1">
        <f t="shared" si="94"/>
        <v>2.4763556010528101E-4</v>
      </c>
    </row>
    <row r="1195" spans="4:15" x14ac:dyDescent="0.25">
      <c r="D1195" s="5">
        <v>44420</v>
      </c>
      <c r="E1195" s="4">
        <v>5.02106336079855E-2</v>
      </c>
      <c r="F1195" s="4">
        <v>5.0222485611257903E-2</v>
      </c>
      <c r="G1195" s="4">
        <v>5.021656E-2</v>
      </c>
      <c r="H1195" s="4">
        <v>0.19066867504337701</v>
      </c>
      <c r="I1195" s="4">
        <v>0.19072322245956699</v>
      </c>
      <c r="J1195" s="4">
        <v>0.19069594000000001</v>
      </c>
      <c r="K1195">
        <f t="shared" si="90"/>
        <v>1.8580732718056492E-3</v>
      </c>
      <c r="L1195">
        <f t="shared" si="91"/>
        <v>-5.2918349151981348E-3</v>
      </c>
      <c r="M1195" s="1">
        <f t="shared" si="92"/>
        <v>-1.8830632694788762E-3</v>
      </c>
      <c r="N1195" s="1">
        <f t="shared" si="93"/>
        <v>2.3601782504422601E-4</v>
      </c>
      <c r="O1195" s="1">
        <f t="shared" si="94"/>
        <v>2.8604393040558313E-4</v>
      </c>
    </row>
    <row r="1196" spans="4:15" x14ac:dyDescent="0.25">
      <c r="D1196" s="3">
        <v>44419</v>
      </c>
      <c r="E1196" s="2">
        <v>5.0118530324216801E-2</v>
      </c>
      <c r="F1196" s="2">
        <v>5.0128328521013801E-2</v>
      </c>
      <c r="G1196" s="2">
        <v>5.0123426999999998E-2</v>
      </c>
      <c r="H1196" s="2">
        <v>0.19168104274487299</v>
      </c>
      <c r="I1196" s="2">
        <v>0.19173984737508101</v>
      </c>
      <c r="J1196" s="2">
        <v>0.19171044000000001</v>
      </c>
      <c r="K1196">
        <f t="shared" si="90"/>
        <v>9.3480544696542545E-3</v>
      </c>
      <c r="L1196">
        <f t="shared" si="91"/>
        <v>1.0639837733075197E-3</v>
      </c>
      <c r="M1196" s="1">
        <f t="shared" si="92"/>
        <v>5.0134757894664105E-3</v>
      </c>
      <c r="N1196" s="1">
        <f t="shared" si="93"/>
        <v>1.9548138232848024E-4</v>
      </c>
      <c r="O1196" s="1">
        <f t="shared" si="94"/>
        <v>3.0673671297202327E-4</v>
      </c>
    </row>
    <row r="1197" spans="4:15" x14ac:dyDescent="0.25">
      <c r="D1197" s="5">
        <v>44418</v>
      </c>
      <c r="E1197" s="4">
        <v>4.9653172589462599E-2</v>
      </c>
      <c r="F1197" s="4">
        <v>4.9665256173391299E-2</v>
      </c>
      <c r="G1197" s="4">
        <v>4.9659210000000002E-2</v>
      </c>
      <c r="H1197" s="4">
        <v>0.19147917663954001</v>
      </c>
      <c r="I1197" s="4">
        <v>0.19153418885271001</v>
      </c>
      <c r="J1197" s="4">
        <v>0.19150668000000001</v>
      </c>
      <c r="K1197">
        <f t="shared" si="90"/>
        <v>-1.1422078318614748E-3</v>
      </c>
      <c r="L1197">
        <f t="shared" si="91"/>
        <v>1.4142746706904852E-2</v>
      </c>
      <c r="M1197" s="1">
        <f t="shared" si="92"/>
        <v>6.8555315042592062E-3</v>
      </c>
      <c r="N1197" s="1">
        <f t="shared" si="93"/>
        <v>2.4333016833534142E-4</v>
      </c>
      <c r="O1197" s="1">
        <f t="shared" si="94"/>
        <v>2.8726002231359554E-4</v>
      </c>
    </row>
    <row r="1198" spans="4:15" x14ac:dyDescent="0.25">
      <c r="D1198" s="3">
        <v>44417</v>
      </c>
      <c r="E1198" s="2">
        <v>4.9709695378986701E-2</v>
      </c>
      <c r="F1198" s="2">
        <v>4.9722300949198703E-2</v>
      </c>
      <c r="G1198" s="2">
        <v>4.9715995999999998E-2</v>
      </c>
      <c r="H1198" s="2">
        <v>0.18880036249669599</v>
      </c>
      <c r="I1198" s="2">
        <v>0.188871680580214</v>
      </c>
      <c r="J1198" s="2">
        <v>0.18883601999999999</v>
      </c>
      <c r="K1198">
        <f t="shared" si="90"/>
        <v>-4.1388853389505709E-3</v>
      </c>
      <c r="L1198">
        <f t="shared" si="91"/>
        <v>-9.7722291784807513E-3</v>
      </c>
      <c r="M1198" s="1">
        <f t="shared" si="92"/>
        <v>-7.0864908097444676E-3</v>
      </c>
      <c r="N1198" s="1">
        <f t="shared" si="93"/>
        <v>2.5355159759851703E-4</v>
      </c>
      <c r="O1198" s="1">
        <f t="shared" si="94"/>
        <v>3.7767203268747519E-4</v>
      </c>
    </row>
    <row r="1199" spans="4:15" x14ac:dyDescent="0.25">
      <c r="D1199" s="5">
        <v>44414</v>
      </c>
      <c r="E1199" s="4">
        <v>4.9915144254766897E-2</v>
      </c>
      <c r="F1199" s="4">
        <v>4.9930097862991803E-2</v>
      </c>
      <c r="G1199" s="4">
        <v>4.9922620000000001E-2</v>
      </c>
      <c r="H1199" s="4">
        <v>0.19067231056705899</v>
      </c>
      <c r="I1199" s="4">
        <v>0.19072686006370301</v>
      </c>
      <c r="J1199" s="4">
        <v>0.19069958000000001</v>
      </c>
      <c r="K1199">
        <f t="shared" si="90"/>
        <v>-5.4165693286487571E-3</v>
      </c>
      <c r="L1199">
        <f t="shared" si="91"/>
        <v>-2.0242744000425028E-2</v>
      </c>
      <c r="M1199" s="1">
        <f t="shared" si="92"/>
        <v>-1.3174255494866928E-2</v>
      </c>
      <c r="N1199" s="1">
        <f t="shared" si="93"/>
        <v>2.9953572598765939E-4</v>
      </c>
      <c r="O1199" s="1">
        <f t="shared" si="94"/>
        <v>2.8604938009836486E-4</v>
      </c>
    </row>
    <row r="1200" spans="4:15" x14ac:dyDescent="0.25">
      <c r="D1200" s="3">
        <v>44413</v>
      </c>
      <c r="E1200" s="2">
        <v>5.01882057716437E-2</v>
      </c>
      <c r="F1200" s="2">
        <v>5.0200803212851398E-2</v>
      </c>
      <c r="G1200" s="2">
        <v>5.0194502000000002E-2</v>
      </c>
      <c r="H1200" s="2">
        <v>0.19460932178651399</v>
      </c>
      <c r="I1200" s="2">
        <v>0.19466993712160999</v>
      </c>
      <c r="J1200" s="2">
        <v>0.19463962000000001</v>
      </c>
      <c r="K1200">
        <f t="shared" si="90"/>
        <v>7.4030994846818743E-4</v>
      </c>
      <c r="L1200">
        <f t="shared" si="91"/>
        <v>1.6145382997866609E-2</v>
      </c>
      <c r="M1200" s="1">
        <f t="shared" si="92"/>
        <v>8.800900406261622E-3</v>
      </c>
      <c r="N1200" s="1">
        <f t="shared" si="93"/>
        <v>2.5097253096959617E-4</v>
      </c>
      <c r="O1200" s="1">
        <f t="shared" si="94"/>
        <v>3.1142341469836713E-4</v>
      </c>
    </row>
    <row r="1201" spans="4:15" x14ac:dyDescent="0.25">
      <c r="D1201" s="5">
        <v>44412</v>
      </c>
      <c r="E1201" s="4">
        <v>5.0150199848546399E-2</v>
      </c>
      <c r="F1201" s="4">
        <v>5.01645396901838E-2</v>
      </c>
      <c r="G1201" s="4">
        <v>5.015737E-2</v>
      </c>
      <c r="H1201" s="4">
        <v>0.191530520388424</v>
      </c>
      <c r="I1201" s="4">
        <v>0.19156354162675801</v>
      </c>
      <c r="J1201" s="4">
        <v>0.19154702000000001</v>
      </c>
      <c r="K1201">
        <f t="shared" si="90"/>
        <v>-1.4670603619728606E-3</v>
      </c>
      <c r="L1201">
        <f t="shared" si="91"/>
        <v>6.8094597514627431E-3</v>
      </c>
      <c r="M1201" s="1">
        <f t="shared" si="92"/>
        <v>2.8635675315897531E-3</v>
      </c>
      <c r="N1201" s="1">
        <f t="shared" si="93"/>
        <v>2.8589700052855172E-4</v>
      </c>
      <c r="O1201" s="1">
        <f t="shared" si="94"/>
        <v>1.723923365344623E-4</v>
      </c>
    </row>
    <row r="1202" spans="4:15" x14ac:dyDescent="0.25">
      <c r="D1202" s="3">
        <v>44411</v>
      </c>
      <c r="E1202" s="2">
        <v>5.0223999035699199E-2</v>
      </c>
      <c r="F1202" s="2">
        <v>5.0238128730181103E-2</v>
      </c>
      <c r="G1202" s="2">
        <v>5.0231062E-2</v>
      </c>
      <c r="H1202" s="2">
        <v>0.19022979759549499</v>
      </c>
      <c r="I1202" s="2">
        <v>0.19027323236167101</v>
      </c>
      <c r="J1202" s="2">
        <v>0.19025151000000001</v>
      </c>
      <c r="K1202">
        <f t="shared" si="90"/>
        <v>-3.4533786541171008E-3</v>
      </c>
      <c r="L1202">
        <f t="shared" si="91"/>
        <v>-2.364830762003467E-2</v>
      </c>
      <c r="M1202" s="1">
        <f t="shared" si="92"/>
        <v>-1.4020225769772174E-2</v>
      </c>
      <c r="N1202" s="1">
        <f t="shared" si="93"/>
        <v>2.8129396272577622E-4</v>
      </c>
      <c r="O1202" s="1">
        <f t="shared" si="94"/>
        <v>2.2830182097382761E-4</v>
      </c>
    </row>
    <row r="1203" spans="4:15" x14ac:dyDescent="0.25">
      <c r="D1203" s="5">
        <v>44410</v>
      </c>
      <c r="E1203" s="4">
        <v>5.0398907351688602E-2</v>
      </c>
      <c r="F1203" s="4">
        <v>5.0411356670430701E-2</v>
      </c>
      <c r="G1203" s="4">
        <v>5.0405129999999999E-2</v>
      </c>
      <c r="H1203" s="4">
        <v>0.194829232177996</v>
      </c>
      <c r="I1203" s="4">
        <v>0.194889984603691</v>
      </c>
      <c r="J1203" s="4">
        <v>0.19485960999999999</v>
      </c>
      <c r="K1203">
        <f t="shared" si="90"/>
        <v>1.0207386415768127E-3</v>
      </c>
      <c r="L1203">
        <f t="shared" si="91"/>
        <v>2.9618986951893689E-3</v>
      </c>
      <c r="M1203" s="1">
        <f t="shared" si="92"/>
        <v>2.0364362728068175E-3</v>
      </c>
      <c r="N1203" s="1">
        <f t="shared" si="93"/>
        <v>2.4698515294177136E-4</v>
      </c>
      <c r="O1203" s="1">
        <f t="shared" si="94"/>
        <v>3.1177536327309843E-4</v>
      </c>
    </row>
    <row r="1204" spans="4:15" x14ac:dyDescent="0.25">
      <c r="D1204" s="3">
        <v>44407</v>
      </c>
      <c r="E1204" s="2">
        <v>5.0348411004148698E-2</v>
      </c>
      <c r="F1204" s="2">
        <v>5.0359060098502301E-2</v>
      </c>
      <c r="G1204" s="2">
        <v>5.0353731999999998E-2</v>
      </c>
      <c r="H1204" s="2">
        <v>0.19425019425019399</v>
      </c>
      <c r="I1204" s="2">
        <v>0.194318137654969</v>
      </c>
      <c r="J1204" s="2">
        <v>0.19428416000000001</v>
      </c>
      <c r="K1204">
        <f t="shared" si="90"/>
        <v>-3.5248115665120761E-4</v>
      </c>
      <c r="L1204">
        <f t="shared" si="91"/>
        <v>-1.6776436864587962E-2</v>
      </c>
      <c r="M1204" s="1">
        <f t="shared" si="92"/>
        <v>-8.9461944246182722E-3</v>
      </c>
      <c r="N1204" s="1">
        <f t="shared" si="93"/>
        <v>2.1148570186620497E-4</v>
      </c>
      <c r="O1204" s="1">
        <f t="shared" si="94"/>
        <v>3.4971149873981513E-4</v>
      </c>
    </row>
    <row r="1205" spans="4:15" x14ac:dyDescent="0.25">
      <c r="D1205" s="5">
        <v>44406</v>
      </c>
      <c r="E1205" s="4">
        <v>5.0365400984139899E-2</v>
      </c>
      <c r="F1205" s="4">
        <v>5.0377579961813801E-2</v>
      </c>
      <c r="G1205" s="4">
        <v>5.0371487E-2</v>
      </c>
      <c r="H1205" s="4">
        <v>0.197569890348711</v>
      </c>
      <c r="I1205" s="4">
        <v>0.19762845849802399</v>
      </c>
      <c r="J1205" s="4">
        <v>0.19759916999999999</v>
      </c>
      <c r="K1205">
        <f t="shared" si="90"/>
        <v>4.9489832369202791E-3</v>
      </c>
      <c r="L1205">
        <f t="shared" si="91"/>
        <v>2.1182599533551061E-2</v>
      </c>
      <c r="M1205" s="1">
        <f t="shared" si="92"/>
        <v>1.3443102816652617E-2</v>
      </c>
      <c r="N1205" s="1">
        <f t="shared" si="93"/>
        <v>2.4178316740781837E-4</v>
      </c>
      <c r="O1205" s="1">
        <f t="shared" si="94"/>
        <v>2.9639876176092991E-4</v>
      </c>
    </row>
    <row r="1206" spans="4:15" x14ac:dyDescent="0.25">
      <c r="D1206" s="3">
        <v>44405</v>
      </c>
      <c r="E1206" s="2">
        <v>5.0116520911118401E-2</v>
      </c>
      <c r="F1206" s="2">
        <v>5.0130338881090801E-2</v>
      </c>
      <c r="G1206" s="2">
        <v>5.0123426999999998E-2</v>
      </c>
      <c r="H1206" s="2">
        <v>0.193479732997968</v>
      </c>
      <c r="I1206" s="2">
        <v>0.19352091961140999</v>
      </c>
      <c r="J1206" s="2">
        <v>0.19350033</v>
      </c>
      <c r="K1206">
        <f t="shared" si="90"/>
        <v>1.250927721518913E-5</v>
      </c>
      <c r="L1206">
        <f t="shared" si="91"/>
        <v>-1.0352045435010337E-3</v>
      </c>
      <c r="M1206" s="1">
        <f t="shared" si="92"/>
        <v>-5.3569922518417344E-4</v>
      </c>
      <c r="N1206" s="1">
        <f t="shared" si="93"/>
        <v>2.756788751176234E-4</v>
      </c>
      <c r="O1206" s="1">
        <f t="shared" si="94"/>
        <v>2.1285035246188086E-4</v>
      </c>
    </row>
    <row r="1207" spans="4:15" x14ac:dyDescent="0.25">
      <c r="D1207" s="5">
        <v>44404</v>
      </c>
      <c r="E1207" s="4">
        <v>5.0118279138767499E-2</v>
      </c>
      <c r="F1207" s="4">
        <v>5.0127323401439702E-2</v>
      </c>
      <c r="G1207" s="4">
        <v>5.0122800000000002E-2</v>
      </c>
      <c r="H1207" s="4">
        <v>0.19367833901456499</v>
      </c>
      <c r="I1207" s="4">
        <v>0.193723363037582</v>
      </c>
      <c r="J1207" s="4">
        <v>0.19370085000000001</v>
      </c>
      <c r="K1207">
        <f t="shared" si="90"/>
        <v>3.4835671727848627E-3</v>
      </c>
      <c r="L1207">
        <f t="shared" si="91"/>
        <v>2.4503256215553382E-3</v>
      </c>
      <c r="M1207" s="1">
        <f t="shared" si="92"/>
        <v>2.9429311782829324E-3</v>
      </c>
      <c r="N1207" s="1">
        <f t="shared" si="93"/>
        <v>1.8044208767672897E-4</v>
      </c>
      <c r="O1207" s="1">
        <f t="shared" si="94"/>
        <v>2.3244101931927291E-4</v>
      </c>
    </row>
    <row r="1208" spans="4:15" x14ac:dyDescent="0.25">
      <c r="D1208" s="3">
        <v>44403</v>
      </c>
      <c r="E1208" s="2">
        <v>4.9943314338226102E-2</v>
      </c>
      <c r="F1208" s="2">
        <v>4.9954291822982E-2</v>
      </c>
      <c r="G1208" s="2">
        <v>4.9948800000000002E-2</v>
      </c>
      <c r="H1208" s="2">
        <v>0.193206847250667</v>
      </c>
      <c r="I1208" s="2">
        <v>0.19324791775368599</v>
      </c>
      <c r="J1208" s="2">
        <v>0.19322738</v>
      </c>
      <c r="K1208">
        <f t="shared" si="90"/>
        <v>9.4887022320988557E-4</v>
      </c>
      <c r="L1208">
        <f t="shared" si="91"/>
        <v>-1.6327604884879277E-3</v>
      </c>
      <c r="M1208" s="1">
        <f t="shared" si="92"/>
        <v>-4.0194893964182817E-4</v>
      </c>
      <c r="N1208" s="1">
        <f t="shared" si="93"/>
        <v>2.1977474445627196E-4</v>
      </c>
      <c r="O1208" s="1">
        <f t="shared" si="94"/>
        <v>2.125501211008074E-4</v>
      </c>
    </row>
    <row r="1209" spans="4:15" x14ac:dyDescent="0.25">
      <c r="D1209" s="5">
        <v>44400</v>
      </c>
      <c r="E1209" s="4">
        <v>4.9892481701932299E-2</v>
      </c>
      <c r="F1209" s="4">
        <v>4.9910410812591399E-2</v>
      </c>
      <c r="G1209" s="4">
        <v>4.990145E-2</v>
      </c>
      <c r="H1209" s="4">
        <v>0.19351342983202999</v>
      </c>
      <c r="I1209" s="4">
        <v>0.19357336430507199</v>
      </c>
      <c r="J1209" s="4">
        <v>0.19354339000000001</v>
      </c>
      <c r="K1209">
        <f t="shared" si="90"/>
        <v>6.3874909226082632E-3</v>
      </c>
      <c r="L1209">
        <f t="shared" si="91"/>
        <v>7.7514378846983423E-3</v>
      </c>
      <c r="M1209" s="1">
        <f t="shared" si="92"/>
        <v>7.1011660757415978E-3</v>
      </c>
      <c r="N1209" s="1">
        <f t="shared" si="93"/>
        <v>3.5929037451015554E-4</v>
      </c>
      <c r="O1209" s="1">
        <f t="shared" si="94"/>
        <v>3.096694391991684E-4</v>
      </c>
    </row>
    <row r="1210" spans="4:15" x14ac:dyDescent="0.25">
      <c r="D1210" s="3">
        <v>44399</v>
      </c>
      <c r="E1210" s="2">
        <v>4.9579811100919698E-2</v>
      </c>
      <c r="F1210" s="2">
        <v>4.9589645681981598E-2</v>
      </c>
      <c r="G1210" s="2">
        <v>4.9584728000000002E-2</v>
      </c>
      <c r="H1210" s="2">
        <v>0.19202335003936499</v>
      </c>
      <c r="I1210" s="2">
        <v>0.19208605455243899</v>
      </c>
      <c r="J1210" s="2">
        <v>0.19205469</v>
      </c>
      <c r="K1210">
        <f t="shared" si="90"/>
        <v>9.4212415315353404E-4</v>
      </c>
      <c r="L1210">
        <f t="shared" si="91"/>
        <v>9.4394076782589043E-3</v>
      </c>
      <c r="M1210" s="1">
        <f t="shared" si="92"/>
        <v>5.3882648679685419E-3</v>
      </c>
      <c r="N1210" s="1">
        <f t="shared" si="93"/>
        <v>1.9833891318109511E-4</v>
      </c>
      <c r="O1210" s="1">
        <f t="shared" si="94"/>
        <v>3.2649300610152615E-4</v>
      </c>
    </row>
    <row r="1211" spans="4:15" x14ac:dyDescent="0.25">
      <c r="D1211" s="5">
        <v>44398</v>
      </c>
      <c r="E1211" s="4">
        <v>4.95319233245827E-2</v>
      </c>
      <c r="F1211" s="4">
        <v>4.9544193420531103E-2</v>
      </c>
      <c r="G1211" s="4">
        <v>4.9538057000000003E-2</v>
      </c>
      <c r="H1211" s="4">
        <v>0.19023341640192501</v>
      </c>
      <c r="I1211" s="4">
        <v>0.19028409415257</v>
      </c>
      <c r="J1211" s="4">
        <v>0.19025876</v>
      </c>
      <c r="K1211">
        <f t="shared" si="90"/>
        <v>-2.5388536321784283E-3</v>
      </c>
      <c r="L1211">
        <f t="shared" si="91"/>
        <v>-1.3982929394578125E-3</v>
      </c>
      <c r="M1211" s="1">
        <f t="shared" si="92"/>
        <v>-1.9420636911766822E-3</v>
      </c>
      <c r="N1211" s="1">
        <f t="shared" si="93"/>
        <v>2.4769029492625687E-4</v>
      </c>
      <c r="O1211" s="1">
        <f t="shared" si="94"/>
        <v>2.6636224605368808E-4</v>
      </c>
    </row>
    <row r="1212" spans="4:15" x14ac:dyDescent="0.25">
      <c r="D1212" s="3">
        <v>44397</v>
      </c>
      <c r="E1212" s="2">
        <v>4.9655884718898001E-2</v>
      </c>
      <c r="F1212" s="2">
        <v>4.9672410453062102E-2</v>
      </c>
      <c r="G1212" s="2">
        <v>4.9664146999999999E-2</v>
      </c>
      <c r="H1212" s="2">
        <v>0.19050521984302399</v>
      </c>
      <c r="I1212" s="2">
        <v>0.19054514967321501</v>
      </c>
      <c r="J1212" s="2">
        <v>0.19052516999999999</v>
      </c>
      <c r="K1212">
        <f t="shared" si="90"/>
        <v>-7.660635807835825E-3</v>
      </c>
      <c r="L1212">
        <f t="shared" si="91"/>
        <v>-7.9830414064724353E-3</v>
      </c>
      <c r="M1212" s="1">
        <f t="shared" si="92"/>
        <v>-7.8293321511492316E-3</v>
      </c>
      <c r="N1212" s="1">
        <f t="shared" si="93"/>
        <v>3.3274978354306406E-4</v>
      </c>
      <c r="O1212" s="1">
        <f t="shared" si="94"/>
        <v>2.0957771716472497E-4</v>
      </c>
    </row>
    <row r="1213" spans="4:15" x14ac:dyDescent="0.25">
      <c r="D1213" s="5">
        <v>44396</v>
      </c>
      <c r="E1213" s="4">
        <v>5.0041033647591E-2</v>
      </c>
      <c r="F1213" s="4">
        <v>5.0054058383053698E-2</v>
      </c>
      <c r="G1213" s="4">
        <v>5.0047543E-2</v>
      </c>
      <c r="H1213" s="4">
        <v>0.19204178829313301</v>
      </c>
      <c r="I1213" s="4">
        <v>0.192074986074564</v>
      </c>
      <c r="J1213" s="4">
        <v>0.19205838</v>
      </c>
      <c r="K1213">
        <f t="shared" si="90"/>
        <v>-7.3070154230806539E-3</v>
      </c>
      <c r="L1213">
        <f t="shared" si="91"/>
        <v>-2.4314614098086884E-2</v>
      </c>
      <c r="M1213" s="1">
        <f t="shared" si="92"/>
        <v>-1.6206115553935859E-2</v>
      </c>
      <c r="N1213" s="1">
        <f t="shared" si="93"/>
        <v>2.6024725055330002E-4</v>
      </c>
      <c r="O1213" s="1">
        <f t="shared" si="94"/>
        <v>1.7285255364013827E-4</v>
      </c>
    </row>
    <row r="1214" spans="4:15" x14ac:dyDescent="0.25">
      <c r="D1214" s="3">
        <v>44393</v>
      </c>
      <c r="E1214" s="2">
        <v>5.0410848414578803E-2</v>
      </c>
      <c r="F1214" s="2">
        <v>5.0421015479251798E-2</v>
      </c>
      <c r="G1214" s="2">
        <v>5.0415933000000003E-2</v>
      </c>
      <c r="H1214" s="2">
        <v>0.19681552480859699</v>
      </c>
      <c r="I1214" s="2">
        <v>0.19687364649368</v>
      </c>
      <c r="J1214" s="2">
        <v>0.19684457999999999</v>
      </c>
      <c r="K1214">
        <f t="shared" si="90"/>
        <v>5.3063600228278052E-3</v>
      </c>
      <c r="L1214">
        <f t="shared" si="91"/>
        <v>5.137602199037028E-3</v>
      </c>
      <c r="M1214" s="1">
        <f t="shared" si="92"/>
        <v>5.2180587405317724E-3</v>
      </c>
      <c r="N1214" s="1">
        <f t="shared" si="93"/>
        <v>2.0166372152618007E-4</v>
      </c>
      <c r="O1214" s="1">
        <f t="shared" si="94"/>
        <v>2.9526688051564545E-4</v>
      </c>
    </row>
    <row r="1215" spans="4:15" x14ac:dyDescent="0.25">
      <c r="D1215" s="5">
        <v>44392</v>
      </c>
      <c r="E1215" s="4">
        <v>5.0143158718140297E-2</v>
      </c>
      <c r="F1215" s="4">
        <v>5.0156488243319197E-2</v>
      </c>
      <c r="G1215" s="4">
        <v>5.0149819999999998E-2</v>
      </c>
      <c r="H1215" s="4">
        <v>0.19581734158377101</v>
      </c>
      <c r="I1215" s="4">
        <v>0.19585952954541</v>
      </c>
      <c r="J1215" s="4">
        <v>0.19583844</v>
      </c>
      <c r="K1215">
        <f t="shared" si="90"/>
        <v>-2.2693231929844515E-3</v>
      </c>
      <c r="L1215">
        <f t="shared" si="91"/>
        <v>-5.1603653220035905E-3</v>
      </c>
      <c r="M1215" s="1">
        <f t="shared" si="92"/>
        <v>-3.7820395899482752E-3</v>
      </c>
      <c r="N1215" s="1">
        <f t="shared" si="93"/>
        <v>2.657940782020712E-4</v>
      </c>
      <c r="O1215" s="1">
        <f t="shared" si="94"/>
        <v>2.1542227174087858E-4</v>
      </c>
    </row>
    <row r="1216" spans="4:15" x14ac:dyDescent="0.25">
      <c r="D1216" s="3">
        <v>44391</v>
      </c>
      <c r="E1216" s="2">
        <v>5.0256054598177703E-2</v>
      </c>
      <c r="F1216" s="2">
        <v>5.0271718639245101E-2</v>
      </c>
      <c r="G1216" s="2">
        <v>5.0263885000000001E-2</v>
      </c>
      <c r="H1216" s="2">
        <v>0.19682714640003199</v>
      </c>
      <c r="I1216" s="2">
        <v>0.19688139864545601</v>
      </c>
      <c r="J1216" s="2">
        <v>0.19685427999999999</v>
      </c>
      <c r="K1216">
        <f t="shared" si="90"/>
        <v>4.3980883301639739E-3</v>
      </c>
      <c r="L1216">
        <f t="shared" si="91"/>
        <v>1.7214922479418471E-2</v>
      </c>
      <c r="M1216" s="1">
        <f t="shared" si="92"/>
        <v>1.1104401939409484E-2</v>
      </c>
      <c r="N1216" s="1">
        <f t="shared" si="93"/>
        <v>3.1163609950560027E-4</v>
      </c>
      <c r="O1216" s="1">
        <f t="shared" si="94"/>
        <v>2.7559596582822112E-4</v>
      </c>
    </row>
    <row r="1217" spans="4:15" x14ac:dyDescent="0.25">
      <c r="D1217" s="5">
        <v>44390</v>
      </c>
      <c r="E1217" s="4">
        <v>5.00372777719401E-2</v>
      </c>
      <c r="F1217" s="4">
        <v>5.0050300552054797E-2</v>
      </c>
      <c r="G1217" s="4">
        <v>5.0043787999999999E-2</v>
      </c>
      <c r="H1217" s="4">
        <v>0.193498452012384</v>
      </c>
      <c r="I1217" s="4">
        <v>0.19354713840555901</v>
      </c>
      <c r="J1217" s="4">
        <v>0.19352279999999999</v>
      </c>
      <c r="K1217">
        <f t="shared" si="90"/>
        <v>-6.3055308115990139E-3</v>
      </c>
      <c r="L1217">
        <f t="shared" si="91"/>
        <v>9.0569265786659692E-3</v>
      </c>
      <c r="M1217" s="1">
        <f t="shared" si="92"/>
        <v>1.7327613179578694E-3</v>
      </c>
      <c r="N1217" s="1">
        <f t="shared" si="93"/>
        <v>2.602277052787548E-4</v>
      </c>
      <c r="O1217" s="1">
        <f t="shared" si="94"/>
        <v>2.5157962356380003E-4</v>
      </c>
    </row>
    <row r="1218" spans="4:15" x14ac:dyDescent="0.25">
      <c r="D1218" s="3">
        <v>44389</v>
      </c>
      <c r="E1218" s="2">
        <v>5.0354242093125098E-2</v>
      </c>
      <c r="F1218" s="2">
        <v>5.0368445176465798E-2</v>
      </c>
      <c r="G1218" s="2">
        <v>5.0361343000000003E-2</v>
      </c>
      <c r="H1218" s="2">
        <v>0.191758231222075</v>
      </c>
      <c r="I1218" s="2">
        <v>0.19181340392066601</v>
      </c>
      <c r="J1218" s="2">
        <v>0.19178581</v>
      </c>
      <c r="K1218">
        <f t="shared" si="90"/>
        <v>1.1457007842960998E-3</v>
      </c>
      <c r="L1218">
        <f t="shared" si="91"/>
        <v>8.8509284587605652E-3</v>
      </c>
      <c r="M1218" s="1">
        <f t="shared" si="92"/>
        <v>5.1774041373898756E-3</v>
      </c>
      <c r="N1218" s="1">
        <f t="shared" si="93"/>
        <v>2.8202352230161435E-4</v>
      </c>
      <c r="O1218" s="1">
        <f t="shared" si="94"/>
        <v>2.8767873176336971E-4</v>
      </c>
    </row>
    <row r="1219" spans="4:15" x14ac:dyDescent="0.25">
      <c r="D1219" s="5">
        <v>44386</v>
      </c>
      <c r="E1219" s="4">
        <v>5.0297003807483198E-2</v>
      </c>
      <c r="F1219" s="4">
        <v>5.0310415262167597E-2</v>
      </c>
      <c r="G1219" s="4">
        <v>5.0303710000000001E-2</v>
      </c>
      <c r="H1219" s="4">
        <v>0.19007431905875199</v>
      </c>
      <c r="I1219" s="4">
        <v>0.19013214183857799</v>
      </c>
      <c r="J1219" s="4">
        <v>0.19010321999999999</v>
      </c>
      <c r="K1219">
        <f t="shared" si="90"/>
        <v>7.797129973402539E-3</v>
      </c>
      <c r="L1219">
        <f t="shared" si="91"/>
        <v>4.3628020328254635E-3</v>
      </c>
      <c r="M1219" s="1">
        <f t="shared" si="92"/>
        <v>6.000143296482496E-3</v>
      </c>
      <c r="N1219" s="1">
        <f t="shared" si="93"/>
        <v>2.6660965333171523E-4</v>
      </c>
      <c r="O1219" s="1">
        <f t="shared" si="94"/>
        <v>3.0416517840147308E-4</v>
      </c>
    </row>
    <row r="1220" spans="4:15" x14ac:dyDescent="0.25">
      <c r="D1220" s="3">
        <v>44385</v>
      </c>
      <c r="E1220" s="2">
        <v>4.9909165319119202E-2</v>
      </c>
      <c r="F1220" s="2">
        <v>4.9919878594855298E-2</v>
      </c>
      <c r="G1220" s="2">
        <v>4.9914519999999997E-2</v>
      </c>
      <c r="H1220" s="2">
        <v>0.18925773117831901</v>
      </c>
      <c r="I1220" s="2">
        <v>0.189297139720219</v>
      </c>
      <c r="J1220" s="2">
        <v>0.18927743999999999</v>
      </c>
      <c r="K1220">
        <f t="shared" si="90"/>
        <v>8.7356962990892129E-5</v>
      </c>
      <c r="L1220">
        <f t="shared" si="91"/>
        <v>-4.6466926509559636E-3</v>
      </c>
      <c r="M1220" s="1">
        <f t="shared" si="92"/>
        <v>-2.3896994600807833E-3</v>
      </c>
      <c r="N1220" s="1">
        <f t="shared" si="93"/>
        <v>2.1463245035905688E-4</v>
      </c>
      <c r="O1220" s="1">
        <f t="shared" si="94"/>
        <v>2.0820517173091458E-4</v>
      </c>
    </row>
    <row r="1221" spans="4:15" x14ac:dyDescent="0.25">
      <c r="D1221" s="5">
        <v>44384</v>
      </c>
      <c r="E1221" s="4">
        <v>4.9900697611752601E-2</v>
      </c>
      <c r="F1221" s="4">
        <v>4.9919629396671397E-2</v>
      </c>
      <c r="G1221" s="4">
        <v>4.9910160000000002E-2</v>
      </c>
      <c r="H1221" s="4">
        <v>0.19013214183857799</v>
      </c>
      <c r="I1221" s="4">
        <v>0.19018999980981</v>
      </c>
      <c r="J1221" s="4">
        <v>0.19016105999999999</v>
      </c>
      <c r="K1221">
        <f t="shared" si="90"/>
        <v>-2.0962908611866782E-3</v>
      </c>
      <c r="L1221">
        <f t="shared" si="91"/>
        <v>-1.2103842393829112E-2</v>
      </c>
      <c r="M1221" s="1">
        <f t="shared" si="92"/>
        <v>-7.3326681332206963E-3</v>
      </c>
      <c r="N1221" s="1">
        <f t="shared" si="93"/>
        <v>3.7931725562082816E-4</v>
      </c>
      <c r="O1221" s="1">
        <f t="shared" si="94"/>
        <v>3.0425772359496725E-4</v>
      </c>
    </row>
    <row r="1222" spans="4:15" x14ac:dyDescent="0.25">
      <c r="D1222" s="3">
        <v>44383</v>
      </c>
      <c r="E1222" s="2">
        <v>5.0006000720086402E-2</v>
      </c>
      <c r="F1222" s="2">
        <v>5.0024011525532201E-2</v>
      </c>
      <c r="G1222" s="2">
        <v>5.0015006000000001E-2</v>
      </c>
      <c r="H1222" s="2">
        <v>0.192477961273434</v>
      </c>
      <c r="I1222" s="2">
        <v>0.19250389820393901</v>
      </c>
      <c r="J1222" s="2">
        <v>0.19249094</v>
      </c>
      <c r="K1222">
        <f t="shared" si="90"/>
        <v>-6.9521087498001233E-3</v>
      </c>
      <c r="L1222">
        <f t="shared" si="91"/>
        <v>-2.2059365568620537E-2</v>
      </c>
      <c r="M1222" s="1">
        <f t="shared" si="92"/>
        <v>-1.4856869069127136E-2</v>
      </c>
      <c r="N1222" s="1">
        <f t="shared" si="93"/>
        <v>3.6010803329303195E-4</v>
      </c>
      <c r="O1222" s="1">
        <f t="shared" si="94"/>
        <v>1.3474364302553957E-4</v>
      </c>
    </row>
    <row r="1223" spans="4:15" x14ac:dyDescent="0.25">
      <c r="D1223" s="5">
        <v>44382</v>
      </c>
      <c r="E1223" s="4">
        <v>5.0356270614598297E-2</v>
      </c>
      <c r="F1223" s="4">
        <v>5.0374027151600602E-2</v>
      </c>
      <c r="G1223" s="4">
        <v>5.0365149999999997E-2</v>
      </c>
      <c r="H1223" s="4">
        <v>0.19680003148800501</v>
      </c>
      <c r="I1223" s="4">
        <v>0.19686589495235801</v>
      </c>
      <c r="J1223" s="4">
        <v>0.19683295000000001</v>
      </c>
      <c r="K1223">
        <f t="shared" si="90"/>
        <v>9.318684708097269E-4</v>
      </c>
      <c r="L1223">
        <f t="shared" si="91"/>
        <v>-5.1964226220896359E-3</v>
      </c>
      <c r="M1223" s="1">
        <f t="shared" si="92"/>
        <v>-2.2747144871291922E-3</v>
      </c>
      <c r="N1223" s="1">
        <f t="shared" si="93"/>
        <v>3.5255602340714663E-4</v>
      </c>
      <c r="O1223" s="1">
        <f t="shared" si="94"/>
        <v>3.3461605057994522E-4</v>
      </c>
    </row>
    <row r="1224" spans="4:15" x14ac:dyDescent="0.25">
      <c r="D1224" s="3">
        <v>44379</v>
      </c>
      <c r="E1224" s="2">
        <v>5.0310415262167597E-2</v>
      </c>
      <c r="F1224" s="2">
        <v>5.0326113213624298E-2</v>
      </c>
      <c r="G1224" s="2">
        <v>5.0318259999999997E-2</v>
      </c>
      <c r="H1224" s="2">
        <v>0.19783176386800699</v>
      </c>
      <c r="I1224" s="2">
        <v>0.19789048740427001</v>
      </c>
      <c r="J1224" s="2">
        <v>0.19786112</v>
      </c>
      <c r="K1224">
        <f t="shared" si="90"/>
        <v>7.4973045712005693E-3</v>
      </c>
      <c r="L1224">
        <f t="shared" si="91"/>
        <v>-8.1123179861816164E-3</v>
      </c>
      <c r="M1224" s="1">
        <f t="shared" si="92"/>
        <v>-6.7031490274314584E-4</v>
      </c>
      <c r="N1224" s="1">
        <f t="shared" si="93"/>
        <v>3.1197325695880911E-4</v>
      </c>
      <c r="O1224" s="1">
        <f t="shared" si="94"/>
        <v>2.9679169036856123E-4</v>
      </c>
    </row>
    <row r="1225" spans="4:15" x14ac:dyDescent="0.25">
      <c r="D1225" s="5">
        <v>44378</v>
      </c>
      <c r="E1225" s="4">
        <v>4.9936829910163599E-2</v>
      </c>
      <c r="F1225" s="4">
        <v>4.9950798463513399E-2</v>
      </c>
      <c r="G1225" s="4">
        <v>4.9943816000000002E-2</v>
      </c>
      <c r="H1225" s="4">
        <v>0.19945349741707699</v>
      </c>
      <c r="I1225" s="4">
        <v>0.19950522703694801</v>
      </c>
      <c r="J1225" s="4">
        <v>0.19947935999999999</v>
      </c>
      <c r="K1225">
        <f t="shared" si="90"/>
        <v>-5.593735042238146E-3</v>
      </c>
      <c r="L1225">
        <f t="shared" si="91"/>
        <v>9.5745591003582042E-4</v>
      </c>
      <c r="M1225" s="1">
        <f t="shared" si="92"/>
        <v>-2.1658728628280739E-3</v>
      </c>
      <c r="N1225" s="1">
        <f t="shared" si="93"/>
        <v>2.7968534382313972E-4</v>
      </c>
      <c r="O1225" s="1">
        <f t="shared" si="94"/>
        <v>2.5932316942973944E-4</v>
      </c>
    </row>
    <row r="1226" spans="4:15" x14ac:dyDescent="0.25">
      <c r="D1226" s="3">
        <v>44377</v>
      </c>
      <c r="E1226" s="2">
        <v>5.0218450258625001E-2</v>
      </c>
      <c r="F1226" s="2">
        <v>5.0231062889290697E-2</v>
      </c>
      <c r="G1226" s="2">
        <v>5.022476E-2</v>
      </c>
      <c r="H1226" s="2">
        <v>0.19925478709625999</v>
      </c>
      <c r="I1226" s="2">
        <v>0.19932230416583599</v>
      </c>
      <c r="J1226" s="2">
        <v>0.19928855000000001</v>
      </c>
      <c r="K1226">
        <f t="shared" si="90"/>
        <v>-5.5748856969939364E-3</v>
      </c>
      <c r="L1226">
        <f t="shared" si="91"/>
        <v>-1.3631280326208306E-2</v>
      </c>
      <c r="M1226" s="1">
        <f t="shared" si="92"/>
        <v>-9.7903345601202015E-3</v>
      </c>
      <c r="N1226" s="1">
        <f t="shared" si="93"/>
        <v>2.5112376177995478E-4</v>
      </c>
      <c r="O1226" s="1">
        <f t="shared" si="94"/>
        <v>3.387905104232069E-4</v>
      </c>
    </row>
    <row r="1227" spans="4:15" x14ac:dyDescent="0.25">
      <c r="D1227" s="5">
        <v>44376</v>
      </c>
      <c r="E1227" s="4">
        <v>5.0497654383953899E-2</v>
      </c>
      <c r="F1227" s="4">
        <v>5.0515000429377503E-2</v>
      </c>
      <c r="G1227" s="4">
        <v>5.0506326999999997E-2</v>
      </c>
      <c r="H1227" s="4">
        <v>0.20202020202020199</v>
      </c>
      <c r="I1227" s="4">
        <v>0.20206510537695199</v>
      </c>
      <c r="J1227" s="4">
        <v>0.20204264999999999</v>
      </c>
      <c r="K1227">
        <f t="shared" si="90"/>
        <v>-8.8391903544560169E-4</v>
      </c>
      <c r="L1227">
        <f t="shared" si="91"/>
        <v>-2.2123985582741534E-3</v>
      </c>
      <c r="M1227" s="1">
        <f t="shared" si="92"/>
        <v>-1.5790361134852913E-3</v>
      </c>
      <c r="N1227" s="1">
        <f t="shared" si="93"/>
        <v>3.434430190024271E-4</v>
      </c>
      <c r="O1227" s="1">
        <f t="shared" si="94"/>
        <v>2.2224692039034063E-4</v>
      </c>
    </row>
    <row r="1228" spans="4:15" x14ac:dyDescent="0.25">
      <c r="D1228" s="3">
        <v>44375</v>
      </c>
      <c r="E1228" s="2">
        <v>5.05438518458615E-2</v>
      </c>
      <c r="F1228" s="2">
        <v>5.0558162109691003E-2</v>
      </c>
      <c r="G1228" s="2">
        <v>5.055101E-2</v>
      </c>
      <c r="H1228" s="2">
        <v>0.20245783815520399</v>
      </c>
      <c r="I1228" s="2">
        <v>0.20252344208842199</v>
      </c>
      <c r="J1228" s="2">
        <v>0.20249064</v>
      </c>
      <c r="K1228">
        <f t="shared" si="90"/>
        <v>5.6875902757758112E-4</v>
      </c>
      <c r="L1228">
        <f t="shared" si="91"/>
        <v>-1.6806066433855404E-3</v>
      </c>
      <c r="M1228" s="1">
        <f t="shared" si="92"/>
        <v>-6.0820491185414427E-4</v>
      </c>
      <c r="N1228" s="1">
        <f t="shared" si="93"/>
        <v>2.8308561647934238E-4</v>
      </c>
      <c r="O1228" s="1">
        <f t="shared" si="94"/>
        <v>3.2398501589011859E-4</v>
      </c>
    </row>
    <row r="1229" spans="4:15" x14ac:dyDescent="0.25">
      <c r="D1229" s="5">
        <v>44372</v>
      </c>
      <c r="E1229" s="4">
        <v>5.05139797438941E-2</v>
      </c>
      <c r="F1229" s="4">
        <v>5.0530570995452301E-2</v>
      </c>
      <c r="G1229" s="4">
        <v>5.0522274999999998E-2</v>
      </c>
      <c r="H1229" s="4">
        <v>0.20281507321624101</v>
      </c>
      <c r="I1229" s="4">
        <v>0.20284798571950199</v>
      </c>
      <c r="J1229" s="4">
        <v>0.20283151999999999</v>
      </c>
      <c r="K1229">
        <f t="shared" si="90"/>
        <v>1.4133579305187549E-2</v>
      </c>
      <c r="L1229">
        <f t="shared" si="91"/>
        <v>-4.7672019658573372E-4</v>
      </c>
      <c r="M1229" s="1">
        <f t="shared" si="92"/>
        <v>6.4888482239482525E-3</v>
      </c>
      <c r="N1229" s="1">
        <f t="shared" si="93"/>
        <v>3.283947834534605E-4</v>
      </c>
      <c r="O1229" s="1">
        <f t="shared" si="94"/>
        <v>1.6226523008349244E-4</v>
      </c>
    </row>
    <row r="1230" spans="4:15" x14ac:dyDescent="0.25">
      <c r="D1230" s="3">
        <v>44371</v>
      </c>
      <c r="E1230" s="2">
        <v>4.9810719266786201E-2</v>
      </c>
      <c r="F1230" s="2">
        <v>4.9825610363726999E-2</v>
      </c>
      <c r="G1230" s="2">
        <v>4.9818165999999997E-2</v>
      </c>
      <c r="H1230" s="2">
        <v>0.202901491325961</v>
      </c>
      <c r="I1230" s="2">
        <v>0.202955025166423</v>
      </c>
      <c r="J1230" s="2">
        <v>0.20292826</v>
      </c>
      <c r="K1230">
        <f t="shared" si="90"/>
        <v>1.1831799822973554E-2</v>
      </c>
      <c r="L1230">
        <f t="shared" si="91"/>
        <v>8.0968862291332933E-3</v>
      </c>
      <c r="M1230" s="1">
        <f t="shared" si="92"/>
        <v>9.8775339276639916E-3</v>
      </c>
      <c r="N1230" s="1">
        <f t="shared" si="93"/>
        <v>2.989089751075673E-4</v>
      </c>
      <c r="O1230" s="1">
        <f t="shared" si="94"/>
        <v>2.6380672885087592E-4</v>
      </c>
    </row>
    <row r="1231" spans="4:15" x14ac:dyDescent="0.25">
      <c r="D1231" s="5">
        <v>44370</v>
      </c>
      <c r="E1231" s="4">
        <v>4.9228830372219201E-2</v>
      </c>
      <c r="F1231" s="4">
        <v>4.9242405589997901E-2</v>
      </c>
      <c r="G1231" s="4">
        <v>4.9235620000000001E-2</v>
      </c>
      <c r="H1231" s="4">
        <v>0.20127609041322</v>
      </c>
      <c r="I1231" s="4">
        <v>0.20132066355290701</v>
      </c>
      <c r="J1231" s="4">
        <v>0.20129837</v>
      </c>
      <c r="K1231">
        <f t="shared" si="90"/>
        <v>1.5558506932659366E-2</v>
      </c>
      <c r="L1231">
        <f t="shared" si="91"/>
        <v>9.330136811219969E-3</v>
      </c>
      <c r="M1231" s="1">
        <f t="shared" si="92"/>
        <v>1.2299558363737084E-2</v>
      </c>
      <c r="N1231" s="1">
        <f t="shared" si="93"/>
        <v>2.7571944414835504E-4</v>
      </c>
      <c r="O1231" s="1">
        <f t="shared" si="94"/>
        <v>2.2142821964730346E-4</v>
      </c>
    </row>
    <row r="1232" spans="4:15" x14ac:dyDescent="0.25">
      <c r="D1232" s="3">
        <v>44369</v>
      </c>
      <c r="E1232" s="2">
        <v>4.8474742235558199E-2</v>
      </c>
      <c r="F1232" s="2">
        <v>4.8487904692174497E-2</v>
      </c>
      <c r="G1232" s="2">
        <v>4.8481323E-2</v>
      </c>
      <c r="H1232" s="2">
        <v>0.19940179461615201</v>
      </c>
      <c r="I1232" s="2">
        <v>0.19947339024974101</v>
      </c>
      <c r="J1232" s="2">
        <v>0.19943759</v>
      </c>
      <c r="K1232">
        <f t="shared" ref="K1232:K1295" si="95">G1232/G1233-1</f>
        <v>-2.4276800907552243E-5</v>
      </c>
      <c r="L1232">
        <f t="shared" ref="L1232:L1295" si="96">J1232/J1233-1</f>
        <v>5.0458000833717431E-3</v>
      </c>
      <c r="M1232" s="1">
        <f t="shared" ref="M1232:M1295" si="97">SUMPRODUCT(K1232:L1232,$O$11:$P$11)</f>
        <v>2.6286034043762961E-3</v>
      </c>
      <c r="N1232" s="1">
        <f t="shared" ref="N1232:N1295" si="98">(F1232-E1232)/G1232</f>
        <v>2.7149540899074569E-4</v>
      </c>
      <c r="O1232" s="1">
        <f t="shared" ref="O1232:O1295" si="99">(I1232-H1232)/J1232</f>
        <v>3.5898765919200313E-4</v>
      </c>
    </row>
    <row r="1233" spans="4:15" x14ac:dyDescent="0.25">
      <c r="D1233" s="5">
        <v>44368</v>
      </c>
      <c r="E1233" s="4">
        <v>4.8473567363716601E-2</v>
      </c>
      <c r="F1233" s="4">
        <v>4.8491431564042599E-2</v>
      </c>
      <c r="G1233" s="4">
        <v>4.8482499999999998E-2</v>
      </c>
      <c r="H1233" s="4">
        <v>0.19839695262280799</v>
      </c>
      <c r="I1233" s="4">
        <v>0.19847570657351499</v>
      </c>
      <c r="J1233" s="4">
        <v>0.19843632</v>
      </c>
      <c r="K1233">
        <f t="shared" si="95"/>
        <v>4.0240692417823354E-3</v>
      </c>
      <c r="L1233">
        <f t="shared" si="96"/>
        <v>-8.2346483023698624E-4</v>
      </c>
      <c r="M1233" s="1">
        <f t="shared" si="97"/>
        <v>1.4876329159400912E-3</v>
      </c>
      <c r="N1233" s="1">
        <f t="shared" si="98"/>
        <v>3.6846697934302531E-4</v>
      </c>
      <c r="O1233" s="1">
        <f t="shared" si="99"/>
        <v>3.9687266276153521E-4</v>
      </c>
    </row>
    <row r="1234" spans="4:15" x14ac:dyDescent="0.25">
      <c r="D1234" s="3">
        <v>44365</v>
      </c>
      <c r="E1234" s="2">
        <v>4.8281189648512898E-2</v>
      </c>
      <c r="F1234" s="2">
        <v>4.8295180141021903E-2</v>
      </c>
      <c r="G1234" s="2">
        <v>4.8288184999999997E-2</v>
      </c>
      <c r="H1234" s="2">
        <v>0.198574236978494</v>
      </c>
      <c r="I1234" s="2">
        <v>0.19862551146069199</v>
      </c>
      <c r="J1234" s="2">
        <v>0.19859985999999999</v>
      </c>
      <c r="K1234">
        <f t="shared" si="95"/>
        <v>-1.2892973154851495E-2</v>
      </c>
      <c r="L1234">
        <f t="shared" si="96"/>
        <v>-2.4527323748066987E-3</v>
      </c>
      <c r="M1234" s="1">
        <f t="shared" si="97"/>
        <v>-7.4301944365135573E-3</v>
      </c>
      <c r="N1234" s="1">
        <f t="shared" si="98"/>
        <v>2.8972910265739432E-4</v>
      </c>
      <c r="O1234" s="1">
        <f t="shared" si="99"/>
        <v>2.5817985067055839E-4</v>
      </c>
    </row>
    <row r="1235" spans="4:15" x14ac:dyDescent="0.25">
      <c r="D1235" s="5">
        <v>44364</v>
      </c>
      <c r="E1235" s="4">
        <v>4.8911953592338402E-2</v>
      </c>
      <c r="F1235" s="4">
        <v>4.8925833329256201E-2</v>
      </c>
      <c r="G1235" s="4">
        <v>4.8918894999999997E-2</v>
      </c>
      <c r="H1235" s="4">
        <v>0.199064397332537</v>
      </c>
      <c r="I1235" s="4">
        <v>0.19911196065547701</v>
      </c>
      <c r="J1235" s="4">
        <v>0.19908817000000001</v>
      </c>
      <c r="K1235">
        <f t="shared" si="95"/>
        <v>-1.5482847943204203E-2</v>
      </c>
      <c r="L1235">
        <f t="shared" si="96"/>
        <v>-1.3737820212021967E-3</v>
      </c>
      <c r="M1235" s="1">
        <f t="shared" si="97"/>
        <v>-8.1003836228737587E-3</v>
      </c>
      <c r="N1235" s="1">
        <f t="shared" si="98"/>
        <v>2.8372956743603835E-4</v>
      </c>
      <c r="O1235" s="1">
        <f t="shared" si="99"/>
        <v>2.3890582217923111E-4</v>
      </c>
    </row>
    <row r="1236" spans="4:15" x14ac:dyDescent="0.25">
      <c r="D1236" s="3">
        <v>44363</v>
      </c>
      <c r="E1236" s="2">
        <v>4.96808008545098E-2</v>
      </c>
      <c r="F1236" s="2">
        <v>4.9695614362032597E-2</v>
      </c>
      <c r="G1236" s="2">
        <v>4.9688209999999997E-2</v>
      </c>
      <c r="H1236" s="2">
        <v>0.19933422369286599</v>
      </c>
      <c r="I1236" s="2">
        <v>0.19938986700695899</v>
      </c>
      <c r="J1236" s="2">
        <v>0.19936205000000001</v>
      </c>
      <c r="K1236">
        <f t="shared" si="95"/>
        <v>-9.6880765081597264E-4</v>
      </c>
      <c r="L1236">
        <f t="shared" si="96"/>
        <v>1.2400354925551804E-2</v>
      </c>
      <c r="M1236" s="1">
        <f t="shared" si="97"/>
        <v>6.0265077200493053E-3</v>
      </c>
      <c r="N1236" s="1">
        <f t="shared" si="98"/>
        <v>2.9812922467517007E-4</v>
      </c>
      <c r="O1236" s="1">
        <f t="shared" si="99"/>
        <v>2.7910685154469326E-4</v>
      </c>
    </row>
    <row r="1237" spans="4:15" x14ac:dyDescent="0.25">
      <c r="D1237" s="5">
        <v>44362</v>
      </c>
      <c r="E1237" s="4">
        <v>4.9729966283082898E-2</v>
      </c>
      <c r="F1237" s="4">
        <v>4.9742829571117302E-2</v>
      </c>
      <c r="G1237" s="4">
        <v>4.9736395000000003E-2</v>
      </c>
      <c r="H1237" s="4">
        <v>0.19689690478065699</v>
      </c>
      <c r="I1237" s="4">
        <v>0.19694343784465099</v>
      </c>
      <c r="J1237" s="4">
        <v>0.19692017000000001</v>
      </c>
      <c r="K1237">
        <f t="shared" si="95"/>
        <v>-9.5991612644356072E-3</v>
      </c>
      <c r="L1237">
        <f t="shared" si="96"/>
        <v>-3.1211918472676681E-3</v>
      </c>
      <c r="M1237" s="1">
        <f t="shared" si="97"/>
        <v>-6.2096117113459711E-3</v>
      </c>
      <c r="N1237" s="1">
        <f t="shared" si="98"/>
        <v>2.5862928011577294E-4</v>
      </c>
      <c r="O1237" s="1">
        <f t="shared" si="99"/>
        <v>2.363042038506875E-4</v>
      </c>
    </row>
    <row r="1238" spans="4:15" x14ac:dyDescent="0.25">
      <c r="D1238" s="3">
        <v>44361</v>
      </c>
      <c r="E1238" s="2">
        <v>5.0212146318194401E-2</v>
      </c>
      <c r="F1238" s="2">
        <v>5.0224755782125E-2</v>
      </c>
      <c r="G1238" s="2">
        <v>5.0218449999999998E-2</v>
      </c>
      <c r="H1238" s="2">
        <v>0.19750745590645999</v>
      </c>
      <c r="I1238" s="2">
        <v>0.19756598703967099</v>
      </c>
      <c r="J1238" s="2">
        <v>0.19753672</v>
      </c>
      <c r="K1238">
        <f t="shared" si="95"/>
        <v>-2.4732355824925722E-3</v>
      </c>
      <c r="L1238">
        <f t="shared" si="96"/>
        <v>1.3076982410303639E-2</v>
      </c>
      <c r="M1238" s="1">
        <f t="shared" si="97"/>
        <v>5.6633008926938091E-3</v>
      </c>
      <c r="N1238" s="1">
        <f t="shared" si="98"/>
        <v>2.5109225654314362E-4</v>
      </c>
      <c r="O1238" s="1">
        <f t="shared" si="99"/>
        <v>2.9630507791664429E-4</v>
      </c>
    </row>
    <row r="1239" spans="4:15" x14ac:dyDescent="0.25">
      <c r="D1239" s="5">
        <v>44358</v>
      </c>
      <c r="E1239" s="4">
        <v>5.0336246124109099E-2</v>
      </c>
      <c r="F1239" s="4">
        <v>5.0349678517302703E-2</v>
      </c>
      <c r="G1239" s="4">
        <v>5.0342959999999999E-2</v>
      </c>
      <c r="H1239" s="4">
        <v>0.194965978436763</v>
      </c>
      <c r="I1239" s="4">
        <v>0.19500780031201201</v>
      </c>
      <c r="J1239" s="4">
        <v>0.19498688</v>
      </c>
      <c r="K1239">
        <f t="shared" si="95"/>
        <v>-6.7334540283133792E-3</v>
      </c>
      <c r="L1239">
        <f t="shared" si="96"/>
        <v>-1.0587728107856575E-2</v>
      </c>
      <c r="M1239" s="1">
        <f t="shared" si="97"/>
        <v>-8.75017441436177E-3</v>
      </c>
      <c r="N1239" s="1">
        <f t="shared" si="98"/>
        <v>2.6681770785038061E-4</v>
      </c>
      <c r="O1239" s="1">
        <f t="shared" si="99"/>
        <v>2.1448558615333297E-4</v>
      </c>
    </row>
    <row r="1240" spans="4:15" x14ac:dyDescent="0.25">
      <c r="D1240" s="3">
        <v>44357</v>
      </c>
      <c r="E1240" s="2">
        <v>5.06757612766238E-2</v>
      </c>
      <c r="F1240" s="2">
        <v>5.0692715963643199E-2</v>
      </c>
      <c r="G1240" s="2">
        <v>5.0684239999999998E-2</v>
      </c>
      <c r="H1240" s="2">
        <v>0.19705210057539199</v>
      </c>
      <c r="I1240" s="2">
        <v>0.19709482231901801</v>
      </c>
      <c r="J1240" s="2">
        <v>0.19707343999999999</v>
      </c>
      <c r="K1240">
        <f t="shared" si="95"/>
        <v>-4.2320526761971955E-3</v>
      </c>
      <c r="L1240">
        <f t="shared" si="96"/>
        <v>-3.3602563474305347E-3</v>
      </c>
      <c r="M1240" s="1">
        <f t="shared" si="97"/>
        <v>-3.7758916994681483E-3</v>
      </c>
      <c r="N1240" s="1">
        <f t="shared" si="98"/>
        <v>3.3451595642746708E-4</v>
      </c>
      <c r="O1240" s="1">
        <f t="shared" si="99"/>
        <v>2.1678082863940185E-4</v>
      </c>
    </row>
    <row r="1241" spans="4:15" x14ac:dyDescent="0.25">
      <c r="D1241" s="5">
        <v>44356</v>
      </c>
      <c r="E1241" s="4">
        <v>5.0893434238048901E-2</v>
      </c>
      <c r="F1241" s="4">
        <v>5.0905869955864602E-2</v>
      </c>
      <c r="G1241" s="4">
        <v>5.0899649999999998E-2</v>
      </c>
      <c r="H1241" s="4">
        <v>0.19771833046641801</v>
      </c>
      <c r="I1241" s="4">
        <v>0.19775743073546001</v>
      </c>
      <c r="J1241" s="4">
        <v>0.19773789</v>
      </c>
      <c r="K1241">
        <f t="shared" si="95"/>
        <v>5.7262375388378306E-3</v>
      </c>
      <c r="L1241">
        <f t="shared" si="96"/>
        <v>-4.468861805874691E-3</v>
      </c>
      <c r="M1241" s="1">
        <f t="shared" si="97"/>
        <v>3.9172726220821101E-4</v>
      </c>
      <c r="N1241" s="1">
        <f t="shared" si="98"/>
        <v>2.4431833648563112E-4</v>
      </c>
      <c r="O1241" s="1">
        <f t="shared" si="99"/>
        <v>1.9773786926722674E-4</v>
      </c>
    </row>
    <row r="1242" spans="4:15" x14ac:dyDescent="0.25">
      <c r="D1242" s="3">
        <v>44355</v>
      </c>
      <c r="E1242" s="2">
        <v>5.0602933958110899E-2</v>
      </c>
      <c r="F1242" s="2">
        <v>5.06167652849977E-2</v>
      </c>
      <c r="G1242" s="2">
        <v>5.0609846E-2</v>
      </c>
      <c r="H1242" s="2">
        <v>0.198601843025103</v>
      </c>
      <c r="I1242" s="2">
        <v>0.19864918553833899</v>
      </c>
      <c r="J1242" s="2">
        <v>0.19862552</v>
      </c>
      <c r="K1242">
        <f t="shared" si="95"/>
        <v>1.1133933990010725E-3</v>
      </c>
      <c r="L1242">
        <f t="shared" si="96"/>
        <v>3.6150764645315192E-3</v>
      </c>
      <c r="M1242" s="1">
        <f t="shared" si="97"/>
        <v>2.4223805477004813E-3</v>
      </c>
      <c r="N1242" s="1">
        <f t="shared" si="98"/>
        <v>2.7329320240968962E-4</v>
      </c>
      <c r="O1242" s="1">
        <f t="shared" si="99"/>
        <v>2.3835060689073216E-4</v>
      </c>
    </row>
    <row r="1243" spans="4:15" x14ac:dyDescent="0.25">
      <c r="D1243" s="5">
        <v>44354</v>
      </c>
      <c r="E1243" s="4">
        <v>5.05481951766912E-2</v>
      </c>
      <c r="F1243" s="4">
        <v>5.0558928959648898E-2</v>
      </c>
      <c r="G1243" s="4">
        <v>5.0553559999999997E-2</v>
      </c>
      <c r="H1243" s="4">
        <v>0.19789048740427001</v>
      </c>
      <c r="I1243" s="4">
        <v>0.19792965580032901</v>
      </c>
      <c r="J1243" s="4">
        <v>0.19791006</v>
      </c>
      <c r="K1243">
        <f t="shared" si="95"/>
        <v>8.4424527207946909E-3</v>
      </c>
      <c r="L1243">
        <f t="shared" si="96"/>
        <v>2.5133489847142254E-3</v>
      </c>
      <c r="M1243" s="1">
        <f t="shared" si="97"/>
        <v>5.3400930730951339E-3</v>
      </c>
      <c r="N1243" s="1">
        <f t="shared" si="98"/>
        <v>2.1232496697952741E-4</v>
      </c>
      <c r="O1243" s="1">
        <f t="shared" si="99"/>
        <v>1.9791008127124639E-4</v>
      </c>
    </row>
    <row r="1244" spans="4:15" x14ac:dyDescent="0.25">
      <c r="D1244" s="3">
        <v>44351</v>
      </c>
      <c r="E1244" s="2">
        <v>5.0123554561995298E-2</v>
      </c>
      <c r="F1244" s="2">
        <v>5.01371250369761E-2</v>
      </c>
      <c r="G1244" s="2">
        <v>5.0130336999999997E-2</v>
      </c>
      <c r="H1244" s="2">
        <v>0.197390497621445</v>
      </c>
      <c r="I1244" s="2">
        <v>0.197437264309266</v>
      </c>
      <c r="J1244" s="2">
        <v>0.19741389000000001</v>
      </c>
      <c r="K1244">
        <f t="shared" si="95"/>
        <v>4.8625760943257212E-3</v>
      </c>
      <c r="L1244">
        <f t="shared" si="96"/>
        <v>2.0531507633645418E-3</v>
      </c>
      <c r="M1244" s="1">
        <f t="shared" si="97"/>
        <v>3.3925650828873057E-3</v>
      </c>
      <c r="N1244" s="1">
        <f t="shared" si="98"/>
        <v>2.7070384507493263E-4</v>
      </c>
      <c r="O1244" s="1">
        <f t="shared" si="99"/>
        <v>2.3689664299203183E-4</v>
      </c>
    </row>
    <row r="1245" spans="4:15" x14ac:dyDescent="0.25">
      <c r="D1245" s="5">
        <v>44350</v>
      </c>
      <c r="E1245" s="4">
        <v>4.9880536116002197E-2</v>
      </c>
      <c r="F1245" s="4">
        <v>4.9894971085864201E-2</v>
      </c>
      <c r="G1245" s="4">
        <v>4.9887753999999999E-2</v>
      </c>
      <c r="H1245" s="4">
        <v>0.19697059229057101</v>
      </c>
      <c r="I1245" s="4">
        <v>0.19704821769887099</v>
      </c>
      <c r="J1245" s="4">
        <v>0.1970094</v>
      </c>
      <c r="K1245">
        <f t="shared" si="95"/>
        <v>-5.9614908204310701E-3</v>
      </c>
      <c r="L1245">
        <f t="shared" si="96"/>
        <v>3.3984553697947728E-3</v>
      </c>
      <c r="M1245" s="1">
        <f t="shared" si="97"/>
        <v>-1.0639682507902395E-3</v>
      </c>
      <c r="N1245" s="1">
        <f t="shared" si="98"/>
        <v>2.8934896251300222E-4</v>
      </c>
      <c r="O1245" s="1">
        <f t="shared" si="99"/>
        <v>3.9401880468634999E-4</v>
      </c>
    </row>
    <row r="1246" spans="4:15" x14ac:dyDescent="0.25">
      <c r="D1246" s="3">
        <v>44349</v>
      </c>
      <c r="E1246" s="2">
        <v>5.0181405781901597E-2</v>
      </c>
      <c r="F1246" s="2">
        <v>5.0192488192217201E-2</v>
      </c>
      <c r="G1246" s="2">
        <v>5.0186942999999998E-2</v>
      </c>
      <c r="H1246" s="2">
        <v>0.196309383588536</v>
      </c>
      <c r="I1246" s="2">
        <v>0.19637491899534601</v>
      </c>
      <c r="J1246" s="2">
        <v>0.19634214</v>
      </c>
      <c r="K1246">
        <f t="shared" si="95"/>
        <v>-2.8481654745814433E-3</v>
      </c>
      <c r="L1246">
        <f t="shared" si="96"/>
        <v>1.2045550934603577E-2</v>
      </c>
      <c r="M1246" s="1">
        <f t="shared" si="97"/>
        <v>4.9448614058491182E-3</v>
      </c>
      <c r="N1246" s="1">
        <f t="shared" si="98"/>
        <v>2.2082258159464855E-4</v>
      </c>
      <c r="O1246" s="1">
        <f t="shared" si="99"/>
        <v>3.3378166709402169E-4</v>
      </c>
    </row>
    <row r="1247" spans="4:15" x14ac:dyDescent="0.25">
      <c r="D1247" s="5">
        <v>44348</v>
      </c>
      <c r="E1247" s="4">
        <v>5.03245936289064E-2</v>
      </c>
      <c r="F1247" s="4">
        <v>5.0335992751617001E-2</v>
      </c>
      <c r="G1247" s="4">
        <v>5.0330291999999999E-2</v>
      </c>
      <c r="H1247" s="4">
        <v>0.19398642095053301</v>
      </c>
      <c r="I1247" s="4">
        <v>0.19402405898331401</v>
      </c>
      <c r="J1247" s="4">
        <v>0.19400524</v>
      </c>
      <c r="K1247">
        <f t="shared" si="95"/>
        <v>1.988077744904837E-3</v>
      </c>
      <c r="L1247">
        <f t="shared" si="96"/>
        <v>1.8149226836261301E-2</v>
      </c>
      <c r="M1247" s="1">
        <f t="shared" si="97"/>
        <v>1.044427939581827E-2</v>
      </c>
      <c r="N1247" s="1">
        <f t="shared" si="98"/>
        <v>2.2648632180796488E-4</v>
      </c>
      <c r="O1247" s="1">
        <f t="shared" si="99"/>
        <v>1.9400523811112852E-4</v>
      </c>
    </row>
    <row r="1248" spans="4:15" x14ac:dyDescent="0.25">
      <c r="D1248" s="3">
        <v>44347</v>
      </c>
      <c r="E1248" s="2">
        <v>5.0223242312077199E-2</v>
      </c>
      <c r="F1248" s="2">
        <v>5.0237623961337102E-2</v>
      </c>
      <c r="G1248" s="2">
        <v>5.023043E-2</v>
      </c>
      <c r="H1248" s="2">
        <v>0.190519737844841</v>
      </c>
      <c r="I1248" s="2">
        <v>0.190574200064795</v>
      </c>
      <c r="J1248" s="2">
        <v>0.19054695999999999</v>
      </c>
      <c r="K1248">
        <f t="shared" si="95"/>
        <v>2.323102860856574E-3</v>
      </c>
      <c r="L1248">
        <f t="shared" si="96"/>
        <v>-5.0114178784783636E-3</v>
      </c>
      <c r="M1248" s="1">
        <f t="shared" si="97"/>
        <v>-1.5146308320894621E-3</v>
      </c>
      <c r="N1248" s="1">
        <f t="shared" si="98"/>
        <v>2.8631348089004204E-4</v>
      </c>
      <c r="O1248" s="1">
        <f t="shared" si="99"/>
        <v>2.8582046102443504E-4</v>
      </c>
    </row>
    <row r="1249" spans="4:15" x14ac:dyDescent="0.25">
      <c r="D1249" s="5">
        <v>44344</v>
      </c>
      <c r="E1249" s="4">
        <v>5.0108233784975503E-2</v>
      </c>
      <c r="F1249" s="4">
        <v>5.0119786289231298E-2</v>
      </c>
      <c r="G1249" s="4">
        <v>5.011401E-2</v>
      </c>
      <c r="H1249" s="4">
        <v>0.19147917663954001</v>
      </c>
      <c r="I1249" s="4">
        <v>0.19153418885271001</v>
      </c>
      <c r="J1249" s="4">
        <v>0.19150668000000001</v>
      </c>
      <c r="K1249">
        <f t="shared" si="95"/>
        <v>7.0163320168958876E-4</v>
      </c>
      <c r="L1249">
        <f t="shared" si="96"/>
        <v>7.803866211256949E-3</v>
      </c>
      <c r="M1249" s="1">
        <f t="shared" si="97"/>
        <v>4.417824059231793E-3</v>
      </c>
      <c r="N1249" s="1">
        <f t="shared" si="98"/>
        <v>2.3052444328032915E-4</v>
      </c>
      <c r="O1249" s="1">
        <f t="shared" si="99"/>
        <v>2.8726002231359554E-4</v>
      </c>
    </row>
    <row r="1250" spans="4:15" x14ac:dyDescent="0.25">
      <c r="D1250" s="3">
        <v>44343</v>
      </c>
      <c r="E1250" s="2">
        <v>5.0074109682329802E-2</v>
      </c>
      <c r="F1250" s="2">
        <v>5.0083639678262702E-2</v>
      </c>
      <c r="G1250" s="2">
        <v>5.0078873000000003E-2</v>
      </c>
      <c r="H1250" s="2">
        <v>0.19001292087862001</v>
      </c>
      <c r="I1250" s="2">
        <v>0.19003458629470599</v>
      </c>
      <c r="J1250" s="2">
        <v>0.19002376000000001</v>
      </c>
      <c r="K1250">
        <f t="shared" si="95"/>
        <v>-5.0079150143192974E-3</v>
      </c>
      <c r="L1250">
        <f t="shared" si="96"/>
        <v>8.342031849117415E-3</v>
      </c>
      <c r="M1250" s="1">
        <f t="shared" si="97"/>
        <v>1.9773458769732351E-3</v>
      </c>
      <c r="N1250" s="1">
        <f t="shared" si="98"/>
        <v>1.9029972844835836E-4</v>
      </c>
      <c r="O1250" s="1">
        <f t="shared" si="99"/>
        <v>1.1401424793391771E-4</v>
      </c>
    </row>
    <row r="1251" spans="4:15" x14ac:dyDescent="0.25">
      <c r="D1251" s="5">
        <v>44342</v>
      </c>
      <c r="E1251" s="4">
        <v>5.0323833870959601E-2</v>
      </c>
      <c r="F1251" s="4">
        <v>5.0338019802977002E-2</v>
      </c>
      <c r="G1251" s="4">
        <v>5.0330925999999998E-2</v>
      </c>
      <c r="H1251" s="4">
        <v>0.18841972377668501</v>
      </c>
      <c r="I1251" s="4">
        <v>0.188483649043445</v>
      </c>
      <c r="J1251" s="4">
        <v>0.18845169000000001</v>
      </c>
      <c r="K1251">
        <f t="shared" si="95"/>
        <v>7.0461590321202472E-4</v>
      </c>
      <c r="L1251">
        <f t="shared" si="96"/>
        <v>5.8425738544820582E-4</v>
      </c>
      <c r="M1251" s="1">
        <f t="shared" si="97"/>
        <v>6.4163919958392431E-4</v>
      </c>
      <c r="N1251" s="1">
        <f t="shared" si="98"/>
        <v>2.8185318937705715E-4</v>
      </c>
      <c r="O1251" s="1">
        <f t="shared" si="99"/>
        <v>3.3921301931543005E-4</v>
      </c>
    </row>
    <row r="1252" spans="4:15" x14ac:dyDescent="0.25">
      <c r="D1252" s="3">
        <v>44341</v>
      </c>
      <c r="E1252" s="2">
        <v>5.0289668490505299E-2</v>
      </c>
      <c r="F1252" s="2">
        <v>5.0301304815846902E-2</v>
      </c>
      <c r="G1252" s="2">
        <v>5.0295487E-2</v>
      </c>
      <c r="H1252" s="2">
        <v>0.188327463794045</v>
      </c>
      <c r="I1252" s="2">
        <v>0.188355841856435</v>
      </c>
      <c r="J1252" s="2">
        <v>0.18834165</v>
      </c>
      <c r="K1252">
        <f t="shared" si="95"/>
        <v>-1.6094190147625254E-3</v>
      </c>
      <c r="L1252">
        <f t="shared" si="96"/>
        <v>9.6997679730037589E-4</v>
      </c>
      <c r="M1252" s="1">
        <f t="shared" si="97"/>
        <v>-2.5976924660394481E-4</v>
      </c>
      <c r="N1252" s="1">
        <f t="shared" si="98"/>
        <v>2.3135923391303973E-4</v>
      </c>
      <c r="O1252" s="1">
        <f t="shared" si="99"/>
        <v>1.506733236647624E-4</v>
      </c>
    </row>
    <row r="1253" spans="4:15" x14ac:dyDescent="0.25">
      <c r="D1253" s="5">
        <v>44340</v>
      </c>
      <c r="E1253" s="4">
        <v>5.0370474842466303E-2</v>
      </c>
      <c r="F1253" s="4">
        <v>5.0382656274404101E-2</v>
      </c>
      <c r="G1253" s="4">
        <v>5.0376563999999999E-2</v>
      </c>
      <c r="H1253" s="4">
        <v>0.188136135307509</v>
      </c>
      <c r="I1253" s="4">
        <v>0.188182160331201</v>
      </c>
      <c r="J1253" s="4">
        <v>0.18815914</v>
      </c>
      <c r="K1253">
        <f t="shared" si="95"/>
        <v>4.6345969738534887E-3</v>
      </c>
      <c r="L1253">
        <f t="shared" si="96"/>
        <v>-6.0210598998799991E-4</v>
      </c>
      <c r="M1253" s="1">
        <f t="shared" si="97"/>
        <v>1.8945309056638488E-3</v>
      </c>
      <c r="N1253" s="1">
        <f t="shared" si="98"/>
        <v>2.4180751862707482E-4</v>
      </c>
      <c r="O1253" s="1">
        <f t="shared" si="99"/>
        <v>2.4460689867097555E-4</v>
      </c>
    </row>
    <row r="1254" spans="4:15" x14ac:dyDescent="0.25">
      <c r="D1254" s="3">
        <v>44337</v>
      </c>
      <c r="E1254" s="2">
        <v>5.01346114316941E-2</v>
      </c>
      <c r="F1254" s="2">
        <v>5.0153721155341099E-2</v>
      </c>
      <c r="G1254" s="2">
        <v>5.0144165999999997E-2</v>
      </c>
      <c r="H1254" s="2">
        <v>0.188253012048193</v>
      </c>
      <c r="I1254" s="2">
        <v>0.188292003238622</v>
      </c>
      <c r="J1254" s="2">
        <v>0.18827250000000001</v>
      </c>
      <c r="K1254">
        <f t="shared" si="95"/>
        <v>-2.620062912061405E-3</v>
      </c>
      <c r="L1254">
        <f t="shared" si="96"/>
        <v>-3.5583402837748856E-3</v>
      </c>
      <c r="M1254" s="1">
        <f t="shared" si="97"/>
        <v>-3.1110096024759967E-3</v>
      </c>
      <c r="N1254" s="1">
        <f t="shared" si="98"/>
        <v>3.8109565222402454E-4</v>
      </c>
      <c r="O1254" s="1">
        <f t="shared" si="99"/>
        <v>2.0709976459118632E-4</v>
      </c>
    </row>
    <row r="1255" spans="4:15" x14ac:dyDescent="0.25">
      <c r="D1255" s="5">
        <v>44336</v>
      </c>
      <c r="E1255" s="4">
        <v>5.0269191520592803E-2</v>
      </c>
      <c r="F1255" s="4">
        <v>5.0282588145376998E-2</v>
      </c>
      <c r="G1255" s="4">
        <v>5.0275892000000003E-2</v>
      </c>
      <c r="H1255" s="4">
        <v>0.188910928497214</v>
      </c>
      <c r="I1255" s="4">
        <v>0.188978758787512</v>
      </c>
      <c r="J1255" s="4">
        <v>0.18894483000000001</v>
      </c>
      <c r="K1255">
        <f t="shared" si="95"/>
        <v>-4.4619116558440863E-3</v>
      </c>
      <c r="L1255">
        <f t="shared" si="96"/>
        <v>1.9835119182243233E-4</v>
      </c>
      <c r="M1255" s="1">
        <f t="shared" si="97"/>
        <v>-2.0234636121214417E-3</v>
      </c>
      <c r="N1255" s="1">
        <f t="shared" si="98"/>
        <v>2.6646219989881936E-4</v>
      </c>
      <c r="O1255" s="1">
        <f t="shared" si="99"/>
        <v>3.5899521727055883E-4</v>
      </c>
    </row>
    <row r="1256" spans="4:15" x14ac:dyDescent="0.25">
      <c r="D1256" s="3">
        <v>44335</v>
      </c>
      <c r="E1256" s="2">
        <v>5.0493319733799197E-2</v>
      </c>
      <c r="F1256" s="2">
        <v>5.0509132051074802E-2</v>
      </c>
      <c r="G1256" s="2">
        <v>5.0501223999999997E-2</v>
      </c>
      <c r="H1256" s="2">
        <v>0.18887881535206999</v>
      </c>
      <c r="I1256" s="2">
        <v>0.18893591293833101</v>
      </c>
      <c r="J1256" s="2">
        <v>0.18890736</v>
      </c>
      <c r="K1256">
        <f t="shared" si="95"/>
        <v>-6.0607319937833193E-4</v>
      </c>
      <c r="L1256">
        <f t="shared" si="96"/>
        <v>-5.8183411949039865E-3</v>
      </c>
      <c r="M1256" s="1">
        <f t="shared" si="97"/>
        <v>-3.3333538512436527E-3</v>
      </c>
      <c r="N1256" s="1">
        <f t="shared" si="98"/>
        <v>3.1310760459203049E-4</v>
      </c>
      <c r="O1256" s="1">
        <f t="shared" si="99"/>
        <v>3.022517823605068E-4</v>
      </c>
    </row>
    <row r="1257" spans="4:15" x14ac:dyDescent="0.25">
      <c r="D1257" s="5">
        <v>44334</v>
      </c>
      <c r="E1257" s="4">
        <v>5.0524698999105701E-2</v>
      </c>
      <c r="F1257" s="4">
        <v>5.0538998418129401E-2</v>
      </c>
      <c r="G1257" s="4">
        <v>5.0531850000000003E-2</v>
      </c>
      <c r="H1257" s="4">
        <v>0.18998404134052699</v>
      </c>
      <c r="I1257" s="4">
        <v>0.19004180919802399</v>
      </c>
      <c r="J1257" s="4">
        <v>0.19001292</v>
      </c>
      <c r="K1257">
        <f t="shared" si="95"/>
        <v>7.074403943891916E-4</v>
      </c>
      <c r="L1257">
        <f t="shared" si="96"/>
        <v>-1.2825813344838899E-3</v>
      </c>
      <c r="M1257" s="1">
        <f t="shared" si="97"/>
        <v>-3.338237467881435E-4</v>
      </c>
      <c r="N1257" s="1">
        <f t="shared" si="98"/>
        <v>2.8297833987277372E-4</v>
      </c>
      <c r="O1257" s="1">
        <f t="shared" si="99"/>
        <v>3.0402068184102532E-4</v>
      </c>
    </row>
    <row r="1258" spans="4:15" x14ac:dyDescent="0.25">
      <c r="D1258" s="3">
        <v>44333</v>
      </c>
      <c r="E1258" s="2">
        <v>5.0487966193257801E-2</v>
      </c>
      <c r="F1258" s="2">
        <v>5.0504285288606697E-2</v>
      </c>
      <c r="G1258" s="2">
        <v>5.0496127000000002E-2</v>
      </c>
      <c r="H1258" s="2">
        <v>0.19022979759549499</v>
      </c>
      <c r="I1258" s="2">
        <v>0.19028409415257</v>
      </c>
      <c r="J1258" s="2">
        <v>0.19025694000000001</v>
      </c>
      <c r="K1258">
        <f t="shared" si="95"/>
        <v>2.600548196521002E-3</v>
      </c>
      <c r="L1258">
        <f t="shared" si="96"/>
        <v>1.5125050791018335E-3</v>
      </c>
      <c r="M1258" s="1">
        <f t="shared" si="97"/>
        <v>2.0312376881051223E-3</v>
      </c>
      <c r="N1258" s="1">
        <f t="shared" si="98"/>
        <v>3.2317518824554988E-4</v>
      </c>
      <c r="O1258" s="1">
        <f t="shared" si="99"/>
        <v>2.8538542181434466E-4</v>
      </c>
    </row>
    <row r="1259" spans="4:15" x14ac:dyDescent="0.25">
      <c r="D1259" s="5">
        <v>44330</v>
      </c>
      <c r="E1259" s="4">
        <v>5.0358552896623998E-2</v>
      </c>
      <c r="F1259" s="4">
        <v>5.0371743466784899E-2</v>
      </c>
      <c r="G1259" s="4">
        <v>5.0365149999999997E-2</v>
      </c>
      <c r="H1259" s="4">
        <v>0.18994434630653201</v>
      </c>
      <c r="I1259" s="4">
        <v>0.18999487013850599</v>
      </c>
      <c r="J1259" s="4">
        <v>0.18996961000000001</v>
      </c>
      <c r="K1259">
        <f t="shared" si="95"/>
        <v>1.1407696997494554E-2</v>
      </c>
      <c r="L1259">
        <f t="shared" si="96"/>
        <v>3.0584978031618082E-3</v>
      </c>
      <c r="M1259" s="1">
        <f t="shared" si="97"/>
        <v>7.0390403127615154E-3</v>
      </c>
      <c r="N1259" s="1">
        <f t="shared" si="98"/>
        <v>2.6189875659857783E-4</v>
      </c>
      <c r="O1259" s="1">
        <f t="shared" si="99"/>
        <v>2.6595744431957542E-4</v>
      </c>
    </row>
    <row r="1260" spans="4:15" x14ac:dyDescent="0.25">
      <c r="D1260" s="3">
        <v>44329</v>
      </c>
      <c r="E1260" s="2">
        <v>4.9787655648658502E-2</v>
      </c>
      <c r="F1260" s="2">
        <v>4.9806501740737197E-2</v>
      </c>
      <c r="G1260" s="2">
        <v>4.9797080000000001E-2</v>
      </c>
      <c r="H1260" s="2">
        <v>0.18935807612194699</v>
      </c>
      <c r="I1260" s="2">
        <v>0.189422639793908</v>
      </c>
      <c r="J1260" s="2">
        <v>0.18939036000000001</v>
      </c>
      <c r="K1260">
        <f t="shared" si="95"/>
        <v>-1.7054196741720373E-3</v>
      </c>
      <c r="L1260">
        <f t="shared" si="96"/>
        <v>-8.3710518828452596E-3</v>
      </c>
      <c r="M1260" s="1">
        <f t="shared" si="97"/>
        <v>-5.1931623939957582E-3</v>
      </c>
      <c r="N1260" s="1">
        <f t="shared" si="98"/>
        <v>3.7845777460635861E-4</v>
      </c>
      <c r="O1260" s="1">
        <f t="shared" si="99"/>
        <v>3.4090263074110168E-4</v>
      </c>
    </row>
    <row r="1261" spans="4:15" x14ac:dyDescent="0.25">
      <c r="D1261" s="5">
        <v>44328</v>
      </c>
      <c r="E1261" s="4">
        <v>4.9874565467848402E-2</v>
      </c>
      <c r="F1261" s="4">
        <v>4.9889743666496997E-2</v>
      </c>
      <c r="G1261" s="4">
        <v>4.988215E-2</v>
      </c>
      <c r="H1261" s="4">
        <v>0.19095266283488299</v>
      </c>
      <c r="I1261" s="4">
        <v>0.191025616535177</v>
      </c>
      <c r="J1261" s="4">
        <v>0.19098914</v>
      </c>
      <c r="K1261">
        <f t="shared" si="95"/>
        <v>-8.717012172919314E-3</v>
      </c>
      <c r="L1261">
        <f t="shared" si="96"/>
        <v>4.29790218896553E-4</v>
      </c>
      <c r="M1261" s="1">
        <f t="shared" si="97"/>
        <v>-3.9310155182866163E-3</v>
      </c>
      <c r="N1261" s="1">
        <f t="shared" si="98"/>
        <v>3.042811636746854E-4</v>
      </c>
      <c r="O1261" s="1">
        <f t="shared" si="99"/>
        <v>3.8197826480607192E-4</v>
      </c>
    </row>
    <row r="1262" spans="4:15" x14ac:dyDescent="0.25">
      <c r="D1262" s="3">
        <v>44327</v>
      </c>
      <c r="E1262" s="2">
        <v>5.0314212255535798E-2</v>
      </c>
      <c r="F1262" s="2">
        <v>5.0327379604326102E-2</v>
      </c>
      <c r="G1262" s="2">
        <v>5.0320797E-2</v>
      </c>
      <c r="H1262" s="2">
        <v>0.19088705213125401</v>
      </c>
      <c r="I1262" s="2">
        <v>0.19092714220253601</v>
      </c>
      <c r="J1262" s="2">
        <v>0.19090709</v>
      </c>
      <c r="K1262">
        <f t="shared" si="95"/>
        <v>-1.2575723080232581E-4</v>
      </c>
      <c r="L1262">
        <f t="shared" si="96"/>
        <v>-3.8849132728527858E-3</v>
      </c>
      <c r="M1262" s="1">
        <f t="shared" si="97"/>
        <v>-2.0927078077158023E-3</v>
      </c>
      <c r="N1262" s="1">
        <f t="shared" si="98"/>
        <v>2.616681287918318E-4</v>
      </c>
      <c r="O1262" s="1">
        <f t="shared" si="99"/>
        <v>2.0999781245421899E-4</v>
      </c>
    </row>
    <row r="1263" spans="4:15" x14ac:dyDescent="0.25">
      <c r="D1263" s="5">
        <v>44326</v>
      </c>
      <c r="E1263" s="4">
        <v>5.0318516207594102E-2</v>
      </c>
      <c r="F1263" s="4">
        <v>5.0335739381675799E-2</v>
      </c>
      <c r="G1263" s="4">
        <v>5.0327126E-2</v>
      </c>
      <c r="H1263" s="4">
        <v>0.191614930635395</v>
      </c>
      <c r="I1263" s="4">
        <v>0.19168839135102</v>
      </c>
      <c r="J1263" s="4">
        <v>0.19165164000000001</v>
      </c>
      <c r="K1263">
        <f t="shared" si="95"/>
        <v>1.534965357408824E-3</v>
      </c>
      <c r="L1263">
        <f t="shared" si="96"/>
        <v>-2.0029028891260792E-3</v>
      </c>
      <c r="M1263" s="1">
        <f t="shared" si="97"/>
        <v>-3.1619801828599366E-4</v>
      </c>
      <c r="N1263" s="1">
        <f t="shared" si="98"/>
        <v>3.4222447118671575E-4</v>
      </c>
      <c r="O1263" s="1">
        <f t="shared" si="99"/>
        <v>3.833033498956811E-4</v>
      </c>
    </row>
    <row r="1264" spans="4:15" x14ac:dyDescent="0.25">
      <c r="D1264" s="3">
        <v>44323</v>
      </c>
      <c r="E1264" s="2">
        <v>5.02451965592089E-2</v>
      </c>
      <c r="F1264" s="2">
        <v>5.0254791794397603E-2</v>
      </c>
      <c r="G1264" s="2">
        <v>5.0249993999999999E-2</v>
      </c>
      <c r="H1264" s="2">
        <v>0.19200860198536901</v>
      </c>
      <c r="I1264" s="2">
        <v>0.19206391887220101</v>
      </c>
      <c r="J1264" s="2">
        <v>0.19203627000000001</v>
      </c>
      <c r="K1264">
        <f t="shared" si="95"/>
        <v>1.4622765229994394E-2</v>
      </c>
      <c r="L1264">
        <f t="shared" si="96"/>
        <v>1.010120827893024E-2</v>
      </c>
      <c r="M1264" s="1">
        <f t="shared" si="97"/>
        <v>1.2256894020085358E-2</v>
      </c>
      <c r="N1264" s="1">
        <f t="shared" si="98"/>
        <v>1.9094997680403657E-4</v>
      </c>
      <c r="O1264" s="1">
        <f t="shared" si="99"/>
        <v>2.8805437031242286E-4</v>
      </c>
    </row>
    <row r="1265" spans="4:15" x14ac:dyDescent="0.25">
      <c r="D1265" s="5">
        <v>44322</v>
      </c>
      <c r="E1265" s="4">
        <v>4.9518678445509598E-2</v>
      </c>
      <c r="F1265" s="4">
        <v>4.9532904708597898E-2</v>
      </c>
      <c r="G1265" s="4">
        <v>4.952579E-2</v>
      </c>
      <c r="H1265" s="4">
        <v>0.190092384899061</v>
      </c>
      <c r="I1265" s="4">
        <v>0.19013937215979301</v>
      </c>
      <c r="J1265" s="4">
        <v>0.19011586999999999</v>
      </c>
      <c r="K1265">
        <f t="shared" si="95"/>
        <v>2.4768989386858564E-4</v>
      </c>
      <c r="L1265">
        <f t="shared" si="96"/>
        <v>2.4201680962003147E-2</v>
      </c>
      <c r="M1265" s="1">
        <f t="shared" si="97"/>
        <v>1.2781438433114536E-2</v>
      </c>
      <c r="N1265" s="1">
        <f t="shared" si="98"/>
        <v>2.8724959436891915E-4</v>
      </c>
      <c r="O1265" s="1">
        <f t="shared" si="99"/>
        <v>2.4715064940142897E-4</v>
      </c>
    </row>
    <row r="1266" spans="4:15" x14ac:dyDescent="0.25">
      <c r="D1266" s="3">
        <v>44321</v>
      </c>
      <c r="E1266" s="2">
        <v>4.9506666072586698E-2</v>
      </c>
      <c r="F1266" s="2">
        <v>4.9520394974670298E-2</v>
      </c>
      <c r="G1266" s="2">
        <v>4.9513526000000002E-2</v>
      </c>
      <c r="H1266" s="2">
        <v>0.185587290982314</v>
      </c>
      <c r="I1266" s="2">
        <v>0.18565964873194499</v>
      </c>
      <c r="J1266" s="2">
        <v>0.18562347000000001</v>
      </c>
      <c r="K1266">
        <f t="shared" si="95"/>
        <v>2.5250858924232844E-3</v>
      </c>
      <c r="L1266">
        <f t="shared" si="96"/>
        <v>1.3337017133766338E-2</v>
      </c>
      <c r="M1266" s="1">
        <f t="shared" si="97"/>
        <v>8.1823488936975195E-3</v>
      </c>
      <c r="N1266" s="1">
        <f t="shared" si="98"/>
        <v>2.7727579093437692E-4</v>
      </c>
      <c r="O1266" s="1">
        <f t="shared" si="99"/>
        <v>3.8980927159152495E-4</v>
      </c>
    </row>
    <row r="1267" spans="4:15" x14ac:dyDescent="0.25">
      <c r="D1267" s="5">
        <v>44320</v>
      </c>
      <c r="E1267" s="4">
        <v>4.93817406075929E-2</v>
      </c>
      <c r="F1267" s="4">
        <v>4.9395888286259099E-2</v>
      </c>
      <c r="G1267" s="4">
        <v>4.9388815000000003E-2</v>
      </c>
      <c r="H1267" s="4">
        <v>0.18316024690001301</v>
      </c>
      <c r="I1267" s="4">
        <v>0.183200512961436</v>
      </c>
      <c r="J1267" s="4">
        <v>0.18318039</v>
      </c>
      <c r="K1267">
        <f t="shared" si="95"/>
        <v>-2.247209760506963E-3</v>
      </c>
      <c r="L1267">
        <f t="shared" si="96"/>
        <v>-1.0523603023865458E-2</v>
      </c>
      <c r="M1267" s="1">
        <f t="shared" si="97"/>
        <v>-6.577771280705566E-3</v>
      </c>
      <c r="N1267" s="1">
        <f t="shared" si="98"/>
        <v>2.8645511470965044E-4</v>
      </c>
      <c r="O1267" s="1">
        <f t="shared" si="99"/>
        <v>2.1981644117576577E-4</v>
      </c>
    </row>
    <row r="1268" spans="4:15" x14ac:dyDescent="0.25">
      <c r="D1268" s="3">
        <v>44319</v>
      </c>
      <c r="E1268" s="2">
        <v>4.9492209926157597E-2</v>
      </c>
      <c r="F1268" s="2">
        <v>4.9507891557914303E-2</v>
      </c>
      <c r="G1268" s="2">
        <v>4.9500052000000003E-2</v>
      </c>
      <c r="H1268" s="2">
        <v>0.185109770093666</v>
      </c>
      <c r="I1268" s="2">
        <v>0.18514746995982301</v>
      </c>
      <c r="J1268" s="2">
        <v>0.18512861</v>
      </c>
      <c r="K1268">
        <f t="shared" si="95"/>
        <v>-1.3612138463885426E-3</v>
      </c>
      <c r="L1268">
        <f t="shared" si="96"/>
        <v>4.3690081503531264E-3</v>
      </c>
      <c r="M1268" s="1">
        <f t="shared" si="97"/>
        <v>1.6370824031561918E-3</v>
      </c>
      <c r="N1268" s="1">
        <f t="shared" si="98"/>
        <v>3.1680030874929192E-4</v>
      </c>
      <c r="O1268" s="1">
        <f t="shared" si="99"/>
        <v>2.0364149094518333E-4</v>
      </c>
    </row>
    <row r="1269" spans="4:15" x14ac:dyDescent="0.25">
      <c r="D1269" s="5">
        <v>44316</v>
      </c>
      <c r="E1269" s="4">
        <v>4.9561136139484901E-2</v>
      </c>
      <c r="F1269" s="4">
        <v>4.9573912224430999E-2</v>
      </c>
      <c r="G1269" s="4">
        <v>4.9567524000000002E-2</v>
      </c>
      <c r="H1269" s="4">
        <v>0.18430461867374401</v>
      </c>
      <c r="I1269" s="4">
        <v>0.18434199126219</v>
      </c>
      <c r="J1269" s="4">
        <v>0.1843233</v>
      </c>
      <c r="K1269">
        <f t="shared" si="95"/>
        <v>-4.5354641663065687E-3</v>
      </c>
      <c r="L1269">
        <f t="shared" si="96"/>
        <v>-1.3086965014045271E-2</v>
      </c>
      <c r="M1269" s="1">
        <f t="shared" si="97"/>
        <v>-9.009973693918762E-3</v>
      </c>
      <c r="N1269" s="1">
        <f t="shared" si="98"/>
        <v>2.5775112241026668E-4</v>
      </c>
      <c r="O1269" s="1">
        <f t="shared" si="99"/>
        <v>2.0275563884757986E-4</v>
      </c>
    </row>
    <row r="1270" spans="4:15" x14ac:dyDescent="0.25">
      <c r="D1270" s="3">
        <v>44315</v>
      </c>
      <c r="E1270" s="2">
        <v>4.9786168406693303E-2</v>
      </c>
      <c r="F1270" s="2">
        <v>4.9800548802047803E-2</v>
      </c>
      <c r="G1270" s="2">
        <v>4.9793360000000002E-2</v>
      </c>
      <c r="H1270" s="2">
        <v>0.18674485051074699</v>
      </c>
      <c r="I1270" s="2">
        <v>0.18679019725044799</v>
      </c>
      <c r="J1270" s="2">
        <v>0.18676751999999999</v>
      </c>
      <c r="K1270">
        <f t="shared" si="95"/>
        <v>-5.5145381007627448E-3</v>
      </c>
      <c r="L1270">
        <f t="shared" si="96"/>
        <v>9.8333128411820514E-3</v>
      </c>
      <c r="M1270" s="1">
        <f t="shared" si="97"/>
        <v>2.5161113128151606E-3</v>
      </c>
      <c r="N1270" s="1">
        <f t="shared" si="98"/>
        <v>2.8880146578781738E-4</v>
      </c>
      <c r="O1270" s="1">
        <f t="shared" si="99"/>
        <v>2.4279778251055947E-4</v>
      </c>
    </row>
    <row r="1271" spans="4:15" x14ac:dyDescent="0.25">
      <c r="D1271" s="5">
        <v>44314</v>
      </c>
      <c r="E1271" s="4">
        <v>5.0063330112592397E-2</v>
      </c>
      <c r="F1271" s="4">
        <v>5.0075614177407898E-2</v>
      </c>
      <c r="G1271" s="4">
        <v>5.0069469999999998E-2</v>
      </c>
      <c r="H1271" s="4">
        <v>0.18492150082290101</v>
      </c>
      <c r="I1271" s="4">
        <v>0.18497623055437401</v>
      </c>
      <c r="J1271" s="4">
        <v>0.18494885999999999</v>
      </c>
      <c r="K1271">
        <f t="shared" si="95"/>
        <v>-3.1298700816406733E-4</v>
      </c>
      <c r="L1271">
        <f t="shared" si="96"/>
        <v>5.9923135077559753E-3</v>
      </c>
      <c r="M1271" s="1">
        <f t="shared" si="97"/>
        <v>2.9862148202965807E-3</v>
      </c>
      <c r="N1271" s="1">
        <f t="shared" si="98"/>
        <v>2.4534042033002315E-4</v>
      </c>
      <c r="O1271" s="1">
        <f t="shared" si="99"/>
        <v>2.9591818772495623E-4</v>
      </c>
    </row>
    <row r="1272" spans="4:15" x14ac:dyDescent="0.25">
      <c r="D1272" s="3">
        <v>44313</v>
      </c>
      <c r="E1272" s="2">
        <v>5.0078874226907398E-2</v>
      </c>
      <c r="F1272" s="2">
        <v>5.0091416835725197E-2</v>
      </c>
      <c r="G1272" s="2">
        <v>5.0085145999999997E-2</v>
      </c>
      <c r="H1272" s="2">
        <v>0.18382690858287801</v>
      </c>
      <c r="I1272" s="2">
        <v>0.183867468328829</v>
      </c>
      <c r="J1272" s="2">
        <v>0.18384718999999999</v>
      </c>
      <c r="K1272">
        <f t="shared" si="95"/>
        <v>-6.7238757142603633E-3</v>
      </c>
      <c r="L1272">
        <f t="shared" si="96"/>
        <v>2.7209960495953034E-3</v>
      </c>
      <c r="M1272" s="1">
        <f t="shared" si="97"/>
        <v>-1.7819164667649005E-3</v>
      </c>
      <c r="N1272" s="1">
        <f t="shared" si="98"/>
        <v>2.5042572138651772E-4</v>
      </c>
      <c r="O1272" s="1">
        <f t="shared" si="99"/>
        <v>2.2061662161380324E-4</v>
      </c>
    </row>
    <row r="1273" spans="4:15" x14ac:dyDescent="0.25">
      <c r="D1273" s="5">
        <v>44312</v>
      </c>
      <c r="E1273" s="4">
        <v>5.0416693975709199E-2</v>
      </c>
      <c r="F1273" s="4">
        <v>5.0431695311869598E-2</v>
      </c>
      <c r="G1273" s="4">
        <v>5.0424192E-2</v>
      </c>
      <c r="H1273" s="4">
        <v>0.18332813903606099</v>
      </c>
      <c r="I1273" s="4">
        <v>0.183368478958467</v>
      </c>
      <c r="J1273" s="4">
        <v>0.18334829999999999</v>
      </c>
      <c r="K1273">
        <f t="shared" si="95"/>
        <v>3.9960579406896901E-3</v>
      </c>
      <c r="L1273">
        <f t="shared" si="96"/>
        <v>5.8212547718665686E-3</v>
      </c>
      <c r="M1273" s="1">
        <f t="shared" si="97"/>
        <v>4.9510786740417905E-3</v>
      </c>
      <c r="N1273" s="1">
        <f t="shared" si="98"/>
        <v>2.9750275741451099E-4</v>
      </c>
      <c r="O1273" s="1">
        <f t="shared" si="99"/>
        <v>2.2001797892870034E-4</v>
      </c>
    </row>
    <row r="1274" spans="4:15" x14ac:dyDescent="0.25">
      <c r="D1274" s="3">
        <v>44309</v>
      </c>
      <c r="E1274" s="2">
        <v>5.0215676329836603E-2</v>
      </c>
      <c r="F1274" s="2">
        <v>5.02313152065261E-2</v>
      </c>
      <c r="G1274" s="2">
        <v>5.0223495999999999E-2</v>
      </c>
      <c r="H1274" s="2">
        <v>0.18226223890934301</v>
      </c>
      <c r="I1274" s="2">
        <v>0.182312081821662</v>
      </c>
      <c r="J1274" s="2">
        <v>0.18228716</v>
      </c>
      <c r="K1274">
        <f t="shared" si="95"/>
        <v>-1.7577936876765898E-3</v>
      </c>
      <c r="L1274">
        <f t="shared" si="96"/>
        <v>2.1419199983727655E-3</v>
      </c>
      <c r="M1274" s="1">
        <f t="shared" si="97"/>
        <v>2.8270263617066532E-4</v>
      </c>
      <c r="N1274" s="1">
        <f t="shared" si="98"/>
        <v>3.1138566477923303E-4</v>
      </c>
      <c r="O1274" s="1">
        <f t="shared" si="99"/>
        <v>2.7343073598267982E-4</v>
      </c>
    </row>
    <row r="1275" spans="4:15" x14ac:dyDescent="0.25">
      <c r="D1275" s="5">
        <v>44308</v>
      </c>
      <c r="E1275" s="4">
        <v>5.0307378080069201E-2</v>
      </c>
      <c r="F1275" s="4">
        <v>5.0316490726670798E-2</v>
      </c>
      <c r="G1275" s="4">
        <v>5.0311934000000003E-2</v>
      </c>
      <c r="H1275" s="4">
        <v>0.181864474593533</v>
      </c>
      <c r="I1275" s="4">
        <v>0.18193064803696801</v>
      </c>
      <c r="J1275" s="4">
        <v>0.18189754999999999</v>
      </c>
      <c r="K1275">
        <f t="shared" si="95"/>
        <v>3.0188829298127828E-4</v>
      </c>
      <c r="L1275">
        <f t="shared" si="96"/>
        <v>1.2778327788589561E-2</v>
      </c>
      <c r="M1275" s="1">
        <f t="shared" si="97"/>
        <v>6.8300929190193548E-3</v>
      </c>
      <c r="N1275" s="1">
        <f t="shared" si="98"/>
        <v>1.8112296382002079E-4</v>
      </c>
      <c r="O1275" s="1">
        <f t="shared" si="99"/>
        <v>3.6379513322204525E-4</v>
      </c>
    </row>
    <row r="1276" spans="4:15" x14ac:dyDescent="0.25">
      <c r="D1276" s="3">
        <v>44307</v>
      </c>
      <c r="E1276" s="2">
        <v>5.0289162685441299E-2</v>
      </c>
      <c r="F1276" s="2">
        <v>5.0304341264651102E-2</v>
      </c>
      <c r="G1276" s="2">
        <v>5.0296750000000001E-2</v>
      </c>
      <c r="H1276" s="2">
        <v>0.17955900308841499</v>
      </c>
      <c r="I1276" s="2">
        <v>0.17964609718853899</v>
      </c>
      <c r="J1276" s="2">
        <v>0.17960253000000001</v>
      </c>
      <c r="K1276">
        <f t="shared" si="95"/>
        <v>-1.4083038125856095E-3</v>
      </c>
      <c r="L1276">
        <f t="shared" si="96"/>
        <v>-1.0228395948915225E-2</v>
      </c>
      <c r="M1276" s="1">
        <f t="shared" si="97"/>
        <v>-6.0233517440677481E-3</v>
      </c>
      <c r="N1276" s="1">
        <f t="shared" si="98"/>
        <v>3.0178051682867694E-4</v>
      </c>
      <c r="O1276" s="1">
        <f t="shared" si="99"/>
        <v>4.8492691124118461E-4</v>
      </c>
    </row>
    <row r="1277" spans="4:15" x14ac:dyDescent="0.25">
      <c r="D1277" s="5">
        <v>44306</v>
      </c>
      <c r="E1277" s="4">
        <v>5.0357031352287702E-2</v>
      </c>
      <c r="F1277" s="4">
        <v>5.0378341343489598E-2</v>
      </c>
      <c r="G1277" s="4">
        <v>5.0367683000000003E-2</v>
      </c>
      <c r="H1277" s="4">
        <v>0.181432225991981</v>
      </c>
      <c r="I1277" s="4">
        <v>0.181484909529773</v>
      </c>
      <c r="J1277" s="4">
        <v>0.18145855999999999</v>
      </c>
      <c r="K1277">
        <f t="shared" si="95"/>
        <v>-2.5687857196606823E-3</v>
      </c>
      <c r="L1277">
        <f t="shared" si="96"/>
        <v>7.1221741135245598E-3</v>
      </c>
      <c r="M1277" s="1">
        <f t="shared" si="97"/>
        <v>2.5019372887760015E-3</v>
      </c>
      <c r="N1277" s="1">
        <f t="shared" si="98"/>
        <v>4.2308857451107035E-4</v>
      </c>
      <c r="O1277" s="1">
        <f t="shared" si="99"/>
        <v>2.9033371471703066E-4</v>
      </c>
    </row>
    <row r="1278" spans="4:15" x14ac:dyDescent="0.25">
      <c r="D1278" s="3">
        <v>44305</v>
      </c>
      <c r="E1278" s="2">
        <v>5.0491790034940302E-2</v>
      </c>
      <c r="F1278" s="2">
        <v>5.0503009979394803E-2</v>
      </c>
      <c r="G1278" s="2">
        <v>5.0497399999999998E-2</v>
      </c>
      <c r="H1278" s="2">
        <v>0.18015096650993501</v>
      </c>
      <c r="I1278" s="2">
        <v>0.18019966122463699</v>
      </c>
      <c r="J1278" s="2">
        <v>0.18017532</v>
      </c>
      <c r="K1278">
        <f t="shared" si="95"/>
        <v>5.6051934117320457E-3</v>
      </c>
      <c r="L1278">
        <f t="shared" si="96"/>
        <v>1.2846530764368147E-2</v>
      </c>
      <c r="M1278" s="1">
        <f t="shared" si="97"/>
        <v>9.3941695872524281E-3</v>
      </c>
      <c r="N1278" s="1">
        <f t="shared" si="98"/>
        <v>2.2218855732177362E-4</v>
      </c>
      <c r="O1278" s="1">
        <f t="shared" si="99"/>
        <v>2.7026295666898249E-4</v>
      </c>
    </row>
    <row r="1279" spans="4:15" x14ac:dyDescent="0.25">
      <c r="D1279" s="5">
        <v>44302</v>
      </c>
      <c r="E1279" s="4">
        <v>5.0209120988918901E-2</v>
      </c>
      <c r="F1279" s="4">
        <v>5.0222737842330702E-2</v>
      </c>
      <c r="G1279" s="4">
        <v>5.0215929999999999E-2</v>
      </c>
      <c r="H1279" s="4">
        <v>0.17786947937603401</v>
      </c>
      <c r="I1279" s="4">
        <v>0.17791061770566499</v>
      </c>
      <c r="J1279" s="4">
        <v>0.17789004999999999</v>
      </c>
      <c r="K1279">
        <f t="shared" si="95"/>
        <v>-7.5269251853526953E-5</v>
      </c>
      <c r="L1279">
        <f t="shared" si="96"/>
        <v>1.3163628016563678E-3</v>
      </c>
      <c r="M1279" s="1">
        <f t="shared" si="97"/>
        <v>6.528919204636266E-4</v>
      </c>
      <c r="N1279" s="1">
        <f t="shared" si="98"/>
        <v>2.7116601070219308E-4</v>
      </c>
      <c r="O1279" s="1">
        <f t="shared" si="99"/>
        <v>2.312570581153094E-4</v>
      </c>
    </row>
    <row r="1280" spans="4:15" x14ac:dyDescent="0.25">
      <c r="D1280" s="3">
        <v>44301</v>
      </c>
      <c r="E1280" s="2">
        <v>5.0212650575185903E-2</v>
      </c>
      <c r="F1280" s="2">
        <v>5.0226773884086598E-2</v>
      </c>
      <c r="G1280" s="2">
        <v>5.0219710000000001E-2</v>
      </c>
      <c r="H1280" s="2">
        <v>0.177638824741536</v>
      </c>
      <c r="I1280" s="2">
        <v>0.177673542632767</v>
      </c>
      <c r="J1280" s="2">
        <v>0.17765618999999999</v>
      </c>
      <c r="K1280">
        <f t="shared" si="95"/>
        <v>6.6540578274980611E-3</v>
      </c>
      <c r="L1280">
        <f t="shared" si="96"/>
        <v>9.5135882386132575E-3</v>
      </c>
      <c r="M1280" s="1">
        <f t="shared" si="97"/>
        <v>8.1502859512916949E-3</v>
      </c>
      <c r="N1280" s="1">
        <f t="shared" si="98"/>
        <v>2.8123039541037809E-4</v>
      </c>
      <c r="O1280" s="1">
        <f t="shared" si="99"/>
        <v>1.9542179324568052E-4</v>
      </c>
    </row>
    <row r="1281" spans="4:15" x14ac:dyDescent="0.25">
      <c r="D1281" s="5">
        <v>44300</v>
      </c>
      <c r="E1281" s="4">
        <v>4.98787945292938E-2</v>
      </c>
      <c r="F1281" s="4">
        <v>4.9896713802429001E-2</v>
      </c>
      <c r="G1281" s="4">
        <v>4.9887753999999999E-2</v>
      </c>
      <c r="H1281" s="4">
        <v>0.17596339961288099</v>
      </c>
      <c r="I1281" s="4">
        <v>0.17600056320180199</v>
      </c>
      <c r="J1281" s="4">
        <v>0.17598196999999999</v>
      </c>
      <c r="K1281">
        <f t="shared" si="95"/>
        <v>2.3697900393833127E-3</v>
      </c>
      <c r="L1281">
        <f t="shared" si="96"/>
        <v>6.748825787492585E-3</v>
      </c>
      <c r="M1281" s="1">
        <f t="shared" si="97"/>
        <v>4.6610880846674491E-3</v>
      </c>
      <c r="N1281" s="1">
        <f t="shared" si="98"/>
        <v>3.5919181960366751E-4</v>
      </c>
      <c r="O1281" s="1">
        <f t="shared" si="99"/>
        <v>2.1117838901906841E-4</v>
      </c>
    </row>
    <row r="1282" spans="4:15" x14ac:dyDescent="0.25">
      <c r="D1282" s="3">
        <v>44299</v>
      </c>
      <c r="E1282" s="2">
        <v>4.9761146496815303E-2</v>
      </c>
      <c r="F1282" s="2">
        <v>4.9778485738463801E-2</v>
      </c>
      <c r="G1282" s="2">
        <v>4.9769809999999998E-2</v>
      </c>
      <c r="H1282" s="2">
        <v>0.174779341081884</v>
      </c>
      <c r="I1282" s="2">
        <v>0.17482517482517501</v>
      </c>
      <c r="J1282" s="2">
        <v>0.17480225999999999</v>
      </c>
      <c r="K1282">
        <f t="shared" si="95"/>
        <v>-7.4668219326601282E-4</v>
      </c>
      <c r="L1282">
        <f t="shared" si="96"/>
        <v>-1.0391939169103526E-2</v>
      </c>
      <c r="M1282" s="1">
        <f t="shared" si="97"/>
        <v>-5.7934915198493411E-3</v>
      </c>
      <c r="N1282" s="1">
        <f t="shared" si="98"/>
        <v>3.4838874507453379E-4</v>
      </c>
      <c r="O1282" s="1">
        <f t="shared" si="99"/>
        <v>2.6220337935566279E-4</v>
      </c>
    </row>
    <row r="1283" spans="4:15" x14ac:dyDescent="0.25">
      <c r="D1283" s="5">
        <v>44298</v>
      </c>
      <c r="E1283" s="4">
        <v>4.9797324887707002E-2</v>
      </c>
      <c r="F1283" s="4">
        <v>4.98166746373346E-2</v>
      </c>
      <c r="G1283" s="4">
        <v>4.9806999999999997E-2</v>
      </c>
      <c r="H1283" s="4">
        <v>0.17661291746878399</v>
      </c>
      <c r="I1283" s="4">
        <v>0.176662838971822</v>
      </c>
      <c r="J1283" s="4">
        <v>0.17663787</v>
      </c>
      <c r="K1283">
        <f t="shared" si="95"/>
        <v>4.183833847948959E-3</v>
      </c>
      <c r="L1283">
        <f t="shared" si="96"/>
        <v>-3.3738099119122733E-3</v>
      </c>
      <c r="M1283" s="1">
        <f t="shared" si="97"/>
        <v>2.2935268588017573E-4</v>
      </c>
      <c r="N1283" s="1">
        <f t="shared" si="98"/>
        <v>3.8849458163707804E-4</v>
      </c>
      <c r="O1283" s="1">
        <f t="shared" si="99"/>
        <v>2.8262061265802438E-4</v>
      </c>
    </row>
    <row r="1284" spans="4:15" x14ac:dyDescent="0.25">
      <c r="D1284" s="3">
        <v>44295</v>
      </c>
      <c r="E1284" s="2">
        <v>4.9592350875800897E-2</v>
      </c>
      <c r="F1284" s="2">
        <v>4.9606619507307097E-2</v>
      </c>
      <c r="G1284" s="2">
        <v>4.9599483999999999E-2</v>
      </c>
      <c r="H1284" s="2">
        <v>0.177204423022399</v>
      </c>
      <c r="I1284" s="2">
        <v>0.17726724810323999</v>
      </c>
      <c r="J1284" s="2">
        <v>0.17723583000000001</v>
      </c>
      <c r="K1284">
        <f t="shared" si="95"/>
        <v>-3.7447535367428619E-3</v>
      </c>
      <c r="L1284">
        <f t="shared" si="96"/>
        <v>-1.0235402988138631E-2</v>
      </c>
      <c r="M1284" s="1">
        <f t="shared" si="97"/>
        <v>-7.140937823895333E-3</v>
      </c>
      <c r="N1284" s="1">
        <f t="shared" si="98"/>
        <v>2.8767701507135309E-4</v>
      </c>
      <c r="O1284" s="1">
        <f t="shared" si="99"/>
        <v>3.5447167111181269E-4</v>
      </c>
    </row>
    <row r="1285" spans="4:15" x14ac:dyDescent="0.25">
      <c r="D1285" s="5">
        <v>44294</v>
      </c>
      <c r="E1285" s="4">
        <v>4.9776751270551603E-2</v>
      </c>
      <c r="F1285" s="4">
        <v>4.9795093191516898E-2</v>
      </c>
      <c r="G1285" s="4">
        <v>4.9785919999999997E-2</v>
      </c>
      <c r="H1285" s="4">
        <v>0.179047823673703</v>
      </c>
      <c r="I1285" s="4">
        <v>0.179089508936566</v>
      </c>
      <c r="J1285" s="4">
        <v>0.17906867000000001</v>
      </c>
      <c r="K1285">
        <f t="shared" si="95"/>
        <v>3.2734099553917151E-3</v>
      </c>
      <c r="L1285">
        <f t="shared" si="96"/>
        <v>-4.4588145216329922E-3</v>
      </c>
      <c r="M1285" s="1">
        <f t="shared" si="97"/>
        <v>-7.7241927483423858E-4</v>
      </c>
      <c r="N1285" s="1">
        <f t="shared" si="98"/>
        <v>3.684158285172834E-4</v>
      </c>
      <c r="O1285" s="1">
        <f t="shared" si="99"/>
        <v>2.3278925823816581E-4</v>
      </c>
    </row>
    <row r="1286" spans="4:15" x14ac:dyDescent="0.25">
      <c r="D1286" s="3">
        <v>44293</v>
      </c>
      <c r="E1286" s="2">
        <v>4.9616218549519503E-2</v>
      </c>
      <c r="F1286" s="2">
        <v>4.9630747240530501E-2</v>
      </c>
      <c r="G1286" s="2">
        <v>4.9623481999999997E-2</v>
      </c>
      <c r="H1286" s="2">
        <v>0.17983347420288801</v>
      </c>
      <c r="I1286" s="2">
        <v>0.179907887161773</v>
      </c>
      <c r="J1286" s="2">
        <v>0.17987068000000001</v>
      </c>
      <c r="K1286">
        <f t="shared" si="95"/>
        <v>3.1021148101784135E-4</v>
      </c>
      <c r="L1286">
        <f t="shared" si="96"/>
        <v>9.8749190396327791E-3</v>
      </c>
      <c r="M1286" s="1">
        <f t="shared" si="97"/>
        <v>5.3148739211980271E-3</v>
      </c>
      <c r="N1286" s="1">
        <f t="shared" si="98"/>
        <v>2.9277854808733869E-4</v>
      </c>
      <c r="O1286" s="1">
        <f t="shared" si="99"/>
        <v>4.1370254943715734E-4</v>
      </c>
    </row>
    <row r="1287" spans="4:15" x14ac:dyDescent="0.25">
      <c r="D1287" s="5">
        <v>44292</v>
      </c>
      <c r="E1287" s="4">
        <v>4.9598746143697497E-2</v>
      </c>
      <c r="F1287" s="4">
        <v>4.9617449464627698E-2</v>
      </c>
      <c r="G1287" s="4">
        <v>4.9608092999999999E-2</v>
      </c>
      <c r="H1287" s="4">
        <v>0.17808170388574299</v>
      </c>
      <c r="I1287" s="4">
        <v>0.178141979157388</v>
      </c>
      <c r="J1287" s="4">
        <v>0.17811183999999999</v>
      </c>
      <c r="K1287">
        <f t="shared" si="95"/>
        <v>5.7545319234928449E-3</v>
      </c>
      <c r="L1287">
        <f t="shared" si="96"/>
        <v>6.8840057412882238E-3</v>
      </c>
      <c r="M1287" s="1">
        <f t="shared" si="97"/>
        <v>6.345520739245619E-3</v>
      </c>
      <c r="N1287" s="1">
        <f t="shared" si="98"/>
        <v>3.770215664246747E-4</v>
      </c>
      <c r="O1287" s="1">
        <f t="shared" si="99"/>
        <v>3.3841249208929944E-4</v>
      </c>
    </row>
    <row r="1288" spans="4:15" x14ac:dyDescent="0.25">
      <c r="D1288" s="3">
        <v>44291</v>
      </c>
      <c r="E1288" s="2">
        <v>4.9313798493956597E-2</v>
      </c>
      <c r="F1288" s="2">
        <v>4.9334721283492103E-2</v>
      </c>
      <c r="G1288" s="2">
        <v>4.9324254999999997E-2</v>
      </c>
      <c r="H1288" s="2">
        <v>0.176875320586519</v>
      </c>
      <c r="I1288" s="2">
        <v>0.176912870411322</v>
      </c>
      <c r="J1288" s="2">
        <v>0.1768941</v>
      </c>
      <c r="K1288">
        <f t="shared" si="95"/>
        <v>2.3662296913875558E-3</v>
      </c>
      <c r="L1288">
        <f t="shared" si="96"/>
        <v>5.202908309821952E-3</v>
      </c>
      <c r="M1288" s="1">
        <f t="shared" si="97"/>
        <v>3.8505007837905782E-3</v>
      </c>
      <c r="N1288" s="1">
        <f t="shared" si="98"/>
        <v>4.2418865800418124E-4</v>
      </c>
      <c r="O1288" s="1">
        <f t="shared" si="99"/>
        <v>2.1227290680130942E-4</v>
      </c>
    </row>
    <row r="1289" spans="4:15" x14ac:dyDescent="0.25">
      <c r="D1289" s="5">
        <v>44288</v>
      </c>
      <c r="E1289" s="4">
        <v>4.9198071435599698E-2</v>
      </c>
      <c r="F1289" s="4">
        <v>4.9217442661679302E-2</v>
      </c>
      <c r="G1289" s="4">
        <v>4.9207818E-2</v>
      </c>
      <c r="H1289" s="4">
        <v>0.17596339961288099</v>
      </c>
      <c r="I1289" s="4">
        <v>0.17599436818021799</v>
      </c>
      <c r="J1289" s="4">
        <v>0.17597850000000001</v>
      </c>
      <c r="K1289">
        <f t="shared" si="95"/>
        <v>1.3006080301636302E-6</v>
      </c>
      <c r="L1289">
        <f t="shared" si="96"/>
        <v>-2.1593500311167801E-6</v>
      </c>
      <c r="M1289" s="1">
        <f t="shared" si="97"/>
        <v>-5.0978941772198369E-7</v>
      </c>
      <c r="N1289" s="1">
        <f t="shared" si="98"/>
        <v>3.9366155352801093E-4</v>
      </c>
      <c r="O1289" s="1">
        <f t="shared" si="99"/>
        <v>1.7597926642745016E-4</v>
      </c>
    </row>
    <row r="1290" spans="4:15" x14ac:dyDescent="0.25">
      <c r="D1290" s="3">
        <v>44287</v>
      </c>
      <c r="E1290" s="2">
        <v>4.9198071435599698E-2</v>
      </c>
      <c r="F1290" s="2">
        <v>4.9217442661679302E-2</v>
      </c>
      <c r="G1290" s="2">
        <v>4.9207753999999999E-2</v>
      </c>
      <c r="H1290" s="2">
        <v>0.17596339961288099</v>
      </c>
      <c r="I1290" s="2">
        <v>0.17599436818021799</v>
      </c>
      <c r="J1290" s="2">
        <v>0.17597888</v>
      </c>
      <c r="K1290">
        <f t="shared" si="95"/>
        <v>6.8153111168571812E-3</v>
      </c>
      <c r="L1290">
        <f t="shared" si="96"/>
        <v>-6.9511603983281045E-3</v>
      </c>
      <c r="M1290" s="1">
        <f t="shared" si="97"/>
        <v>-3.8789321570007135E-4</v>
      </c>
      <c r="N1290" s="1">
        <f t="shared" si="98"/>
        <v>3.9366206552738866E-4</v>
      </c>
      <c r="O1290" s="1">
        <f t="shared" si="99"/>
        <v>1.7597888642661573E-4</v>
      </c>
    </row>
    <row r="1291" spans="4:15" x14ac:dyDescent="0.25">
      <c r="D1291" s="5">
        <v>44286</v>
      </c>
      <c r="E1291" s="4">
        <v>4.8867973396275299E-2</v>
      </c>
      <c r="F1291" s="4">
        <v>4.8881350298420598E-2</v>
      </c>
      <c r="G1291" s="4">
        <v>4.8874658000000001E-2</v>
      </c>
      <c r="H1291" s="4">
        <v>0.17719186334963499</v>
      </c>
      <c r="I1291" s="4">
        <v>0.177229547710194</v>
      </c>
      <c r="J1291" s="4">
        <v>0.1772107</v>
      </c>
      <c r="K1291">
        <f t="shared" si="95"/>
        <v>6.9889955060471465E-3</v>
      </c>
      <c r="L1291">
        <f t="shared" si="96"/>
        <v>2.1291901200469976E-2</v>
      </c>
      <c r="M1291" s="1">
        <f t="shared" si="97"/>
        <v>1.447288505265895E-2</v>
      </c>
      <c r="N1291" s="1">
        <f t="shared" si="98"/>
        <v>2.7369812276330214E-4</v>
      </c>
      <c r="O1291" s="1">
        <f t="shared" si="99"/>
        <v>2.1265285086628159E-4</v>
      </c>
    </row>
    <row r="1292" spans="4:15" x14ac:dyDescent="0.25">
      <c r="D1292" s="3">
        <v>44285</v>
      </c>
      <c r="E1292" s="2">
        <v>4.8526493038874602E-2</v>
      </c>
      <c r="F1292" s="2">
        <v>4.8544396277615698E-2</v>
      </c>
      <c r="G1292" s="2">
        <v>4.8535443999999997E-2</v>
      </c>
      <c r="H1292" s="2">
        <v>0.173490631505899</v>
      </c>
      <c r="I1292" s="2">
        <v>0.17354181490029999</v>
      </c>
      <c r="J1292" s="2">
        <v>0.17351621</v>
      </c>
      <c r="K1292">
        <f t="shared" si="95"/>
        <v>6.1396866080269952E-3</v>
      </c>
      <c r="L1292">
        <f t="shared" si="96"/>
        <v>6.9839857496349911E-3</v>
      </c>
      <c r="M1292" s="1">
        <f t="shared" si="97"/>
        <v>6.5814598850861619E-3</v>
      </c>
      <c r="N1292" s="1">
        <f t="shared" si="98"/>
        <v>3.6886937185731742E-4</v>
      </c>
      <c r="O1292" s="1">
        <f t="shared" si="99"/>
        <v>2.9497759547073027E-4</v>
      </c>
    </row>
    <row r="1293" spans="4:15" x14ac:dyDescent="0.25">
      <c r="D1293" s="5">
        <v>44284</v>
      </c>
      <c r="E1293" s="4">
        <v>4.8229960451432401E-2</v>
      </c>
      <c r="F1293" s="4">
        <v>4.8248576666988299E-2</v>
      </c>
      <c r="G1293" s="4">
        <v>4.8239270000000001E-2</v>
      </c>
      <c r="H1293" s="4">
        <v>0.17230090630276701</v>
      </c>
      <c r="I1293" s="4">
        <v>0.17232465965879701</v>
      </c>
      <c r="J1293" s="4">
        <v>0.17231278</v>
      </c>
      <c r="K1293">
        <f t="shared" si="95"/>
        <v>-7.1876462472906244E-3</v>
      </c>
      <c r="L1293">
        <f t="shared" si="96"/>
        <v>-1.481025440709649E-2</v>
      </c>
      <c r="M1293" s="1">
        <f t="shared" si="97"/>
        <v>-1.1176119550818965E-2</v>
      </c>
      <c r="N1293" s="1">
        <f t="shared" si="98"/>
        <v>3.8591412257894028E-4</v>
      </c>
      <c r="O1293" s="1">
        <f t="shared" si="99"/>
        <v>1.3785022811423799E-4</v>
      </c>
    </row>
    <row r="1294" spans="4:15" x14ac:dyDescent="0.25">
      <c r="D1294" s="3">
        <v>44281</v>
      </c>
      <c r="E1294" s="2">
        <v>4.8578826432710998E-2</v>
      </c>
      <c r="F1294" s="2">
        <v>4.8598185343759301E-2</v>
      </c>
      <c r="G1294" s="2">
        <v>4.8588507000000003E-2</v>
      </c>
      <c r="H1294" s="2">
        <v>0.17488632388947201</v>
      </c>
      <c r="I1294" s="2">
        <v>0.17491997411184401</v>
      </c>
      <c r="J1294" s="2">
        <v>0.17490314000000001</v>
      </c>
      <c r="K1294">
        <f t="shared" si="95"/>
        <v>9.863504201018003E-3</v>
      </c>
      <c r="L1294">
        <f t="shared" si="96"/>
        <v>-1.4114704144741697E-2</v>
      </c>
      <c r="M1294" s="1">
        <f t="shared" si="97"/>
        <v>-2.6829158495095236E-3</v>
      </c>
      <c r="N1294" s="1">
        <f t="shared" si="98"/>
        <v>3.984257233568288E-4</v>
      </c>
      <c r="O1294" s="1">
        <f t="shared" si="99"/>
        <v>1.9239347202117625E-4</v>
      </c>
    </row>
    <row r="1295" spans="4:15" x14ac:dyDescent="0.25">
      <c r="D1295" s="5">
        <v>44280</v>
      </c>
      <c r="E1295" s="4">
        <v>4.81060642504594E-2</v>
      </c>
      <c r="F1295" s="4">
        <v>4.8121805915132397E-2</v>
      </c>
      <c r="G1295" s="4">
        <v>4.8113934999999997E-2</v>
      </c>
      <c r="H1295" s="4">
        <v>0.17738359201773801</v>
      </c>
      <c r="I1295" s="4">
        <v>0.177430801987225</v>
      </c>
      <c r="J1295" s="4">
        <v>0.17740718999999999</v>
      </c>
      <c r="K1295">
        <f t="shared" si="95"/>
        <v>8.6609128333781094E-4</v>
      </c>
      <c r="L1295">
        <f t="shared" si="96"/>
        <v>-1.3491815511317284E-2</v>
      </c>
      <c r="M1295" s="1">
        <f t="shared" si="97"/>
        <v>-6.646577181898961E-3</v>
      </c>
      <c r="N1295" s="1">
        <f t="shared" si="98"/>
        <v>3.2717475037111118E-4</v>
      </c>
      <c r="O1295" s="1">
        <f t="shared" si="99"/>
        <v>2.6611080129831938E-4</v>
      </c>
    </row>
    <row r="1296" spans="4:15" x14ac:dyDescent="0.25">
      <c r="D1296" s="3">
        <v>44279</v>
      </c>
      <c r="E1296" s="2">
        <v>4.8064906850210497E-2</v>
      </c>
      <c r="F1296" s="2">
        <v>4.8079696905590698E-2</v>
      </c>
      <c r="G1296" s="2">
        <v>4.8072299999999998E-2</v>
      </c>
      <c r="H1296" s="2">
        <v>0.17981083899737499</v>
      </c>
      <c r="I1296" s="2">
        <v>0.17985611510791399</v>
      </c>
      <c r="J1296" s="2">
        <v>0.17983347</v>
      </c>
      <c r="K1296">
        <f t="shared" ref="K1296:K1320" si="100">G1296/G1297-1</f>
        <v>-8.1362771645105969E-3</v>
      </c>
      <c r="L1296">
        <f t="shared" ref="L1296:L1320" si="101">J1296/J1297-1</f>
        <v>-1.484529321194783E-2</v>
      </c>
      <c r="M1296" s="1">
        <f t="shared" ref="M1296:M1359" si="102">SUMPRODUCT(K1296:L1296,$O$11:$P$11)</f>
        <v>-1.1646720156877153E-2</v>
      </c>
      <c r="N1296" s="1">
        <f t="shared" ref="N1296:N1320" si="103">(F1296-E1296)/G1296</f>
        <v>3.0766273675694863E-4</v>
      </c>
      <c r="O1296" s="1">
        <f t="shared" ref="O1296:O1320" si="104">(I1296-H1296)/J1296</f>
        <v>2.5176687375829082E-4</v>
      </c>
    </row>
    <row r="1297" spans="4:15" x14ac:dyDescent="0.25">
      <c r="D1297" s="5">
        <v>44278</v>
      </c>
      <c r="E1297" s="4">
        <v>4.8458064391076E-2</v>
      </c>
      <c r="F1297" s="4">
        <v>4.8475212200241397E-2</v>
      </c>
      <c r="G1297" s="4">
        <v>4.8466637999999999E-2</v>
      </c>
      <c r="H1297" s="4">
        <v>0.18252172008469</v>
      </c>
      <c r="I1297" s="4">
        <v>0.18256503879507099</v>
      </c>
      <c r="J1297" s="4">
        <v>0.18254338000000001</v>
      </c>
      <c r="K1297">
        <f t="shared" si="100"/>
        <v>-1.7811214880395498E-3</v>
      </c>
      <c r="L1297">
        <f t="shared" si="101"/>
        <v>9.6200284020202531E-3</v>
      </c>
      <c r="M1297" s="1">
        <f t="shared" si="102"/>
        <v>4.1844458102782917E-3</v>
      </c>
      <c r="N1297" s="1">
        <f t="shared" si="103"/>
        <v>3.5380645064335777E-4</v>
      </c>
      <c r="O1297" s="1">
        <f t="shared" si="104"/>
        <v>2.3730638920453135E-4</v>
      </c>
    </row>
    <row r="1298" spans="4:15" x14ac:dyDescent="0.25">
      <c r="D1298" s="3">
        <v>44277</v>
      </c>
      <c r="E1298" s="2">
        <v>4.8543453672554998E-2</v>
      </c>
      <c r="F1298" s="2">
        <v>4.8562784395806101E-2</v>
      </c>
      <c r="G1298" s="2">
        <v>4.8553117E-2</v>
      </c>
      <c r="H1298" s="2">
        <v>0.180776253231376</v>
      </c>
      <c r="I1298" s="2">
        <v>0.18083182640144699</v>
      </c>
      <c r="J1298" s="2">
        <v>0.18080404</v>
      </c>
      <c r="K1298">
        <f t="shared" si="100"/>
        <v>-4.5396638003964984E-3</v>
      </c>
      <c r="L1298">
        <f t="shared" si="101"/>
        <v>-1.0396244800386145E-2</v>
      </c>
      <c r="M1298" s="1">
        <f t="shared" si="102"/>
        <v>-7.6040764631884073E-3</v>
      </c>
      <c r="N1298" s="1">
        <f t="shared" si="103"/>
        <v>3.9813557698268476E-4</v>
      </c>
      <c r="O1298" s="1">
        <f t="shared" si="104"/>
        <v>3.0736686011545027E-4</v>
      </c>
    </row>
    <row r="1299" spans="4:15" x14ac:dyDescent="0.25">
      <c r="D1299" s="5">
        <v>44274</v>
      </c>
      <c r="E1299" s="4">
        <v>4.8768830864817703E-2</v>
      </c>
      <c r="F1299" s="4">
        <v>4.87802498524397E-2</v>
      </c>
      <c r="G1299" s="4">
        <v>4.8774537E-2</v>
      </c>
      <c r="H1299" s="4">
        <v>0.18269178069678599</v>
      </c>
      <c r="I1299" s="4">
        <v>0.182715147085693</v>
      </c>
      <c r="J1299" s="4">
        <v>0.18270347000000001</v>
      </c>
      <c r="K1299">
        <f t="shared" si="100"/>
        <v>-2.8533282986573649E-3</v>
      </c>
      <c r="L1299">
        <f t="shared" si="101"/>
        <v>1.2003675492090693E-2</v>
      </c>
      <c r="M1299" s="1">
        <f t="shared" si="102"/>
        <v>4.9204889758917656E-3</v>
      </c>
      <c r="N1299" s="1">
        <f t="shared" si="103"/>
        <v>2.3411780663335098E-4</v>
      </c>
      <c r="O1299" s="1">
        <f t="shared" si="104"/>
        <v>1.278924199251092E-4</v>
      </c>
    </row>
    <row r="1300" spans="4:15" x14ac:dyDescent="0.25">
      <c r="D1300" s="3">
        <v>44273</v>
      </c>
      <c r="E1300" s="2">
        <v>4.8902146804244699E-2</v>
      </c>
      <c r="F1300" s="2">
        <v>4.8926072704144001E-2</v>
      </c>
      <c r="G1300" s="2">
        <v>4.8914104999999999E-2</v>
      </c>
      <c r="H1300" s="2">
        <v>0.18049564103026899</v>
      </c>
      <c r="I1300" s="2">
        <v>0.18057712448987001</v>
      </c>
      <c r="J1300" s="2">
        <v>0.18053637</v>
      </c>
      <c r="K1300">
        <f t="shared" si="100"/>
        <v>1.1335789888069714E-2</v>
      </c>
      <c r="L1300">
        <f t="shared" si="101"/>
        <v>2.1023415861969319E-2</v>
      </c>
      <c r="M1300" s="1">
        <f t="shared" si="102"/>
        <v>1.6404768479309592E-2</v>
      </c>
      <c r="N1300" s="1">
        <f t="shared" si="103"/>
        <v>4.8914111582542381E-4</v>
      </c>
      <c r="O1300" s="1">
        <f t="shared" si="104"/>
        <v>4.5134096581767551E-4</v>
      </c>
    </row>
    <row r="1301" spans="4:15" x14ac:dyDescent="0.25">
      <c r="D1301" s="5">
        <v>44272</v>
      </c>
      <c r="E1301" s="4">
        <v>4.8356834755024301E-2</v>
      </c>
      <c r="F1301" s="4">
        <v>4.83748470145463E-2</v>
      </c>
      <c r="G1301" s="4">
        <v>4.836584E-2</v>
      </c>
      <c r="H1301" s="4">
        <v>0.176803394625177</v>
      </c>
      <c r="I1301" s="4">
        <v>0.17683465959328001</v>
      </c>
      <c r="J1301" s="4">
        <v>0.17681902999999999</v>
      </c>
      <c r="K1301">
        <f t="shared" si="100"/>
        <v>-4.244113144645012E-3</v>
      </c>
      <c r="L1301">
        <f t="shared" si="101"/>
        <v>-1.3570866831169148E-2</v>
      </c>
      <c r="M1301" s="1">
        <f t="shared" si="102"/>
        <v>-9.1242679823867259E-3</v>
      </c>
      <c r="N1301" s="1">
        <f t="shared" si="103"/>
        <v>3.7241696871177917E-4</v>
      </c>
      <c r="O1301" s="1">
        <f t="shared" si="104"/>
        <v>1.7681902283378373E-4</v>
      </c>
    </row>
    <row r="1302" spans="4:15" x14ac:dyDescent="0.25">
      <c r="D1302" s="3">
        <v>44271</v>
      </c>
      <c r="E1302" s="2">
        <v>4.8563963596452903E-2</v>
      </c>
      <c r="F1302" s="2">
        <v>4.85800064125608E-2</v>
      </c>
      <c r="G1302" s="2">
        <v>4.8571984999999998E-2</v>
      </c>
      <c r="H1302" s="2">
        <v>0.17922110507733399</v>
      </c>
      <c r="I1302" s="2">
        <v>0.179282154254366</v>
      </c>
      <c r="J1302" s="2">
        <v>0.17925163</v>
      </c>
      <c r="K1302">
        <f t="shared" si="100"/>
        <v>7.7229669703613446E-3</v>
      </c>
      <c r="L1302">
        <f t="shared" si="101"/>
        <v>1.2968878827419372E-2</v>
      </c>
      <c r="M1302" s="1">
        <f t="shared" si="102"/>
        <v>1.0467851523770107E-2</v>
      </c>
      <c r="N1302" s="1">
        <f t="shared" si="103"/>
        <v>3.302894890521228E-4</v>
      </c>
      <c r="O1302" s="1">
        <f t="shared" si="104"/>
        <v>3.405780858562214E-4</v>
      </c>
    </row>
    <row r="1303" spans="4:15" x14ac:dyDescent="0.25">
      <c r="D1303" s="5">
        <v>44270</v>
      </c>
      <c r="E1303" s="4">
        <v>4.8192306580177501E-2</v>
      </c>
      <c r="F1303" s="4">
        <v>4.8207175155950202E-2</v>
      </c>
      <c r="G1303" s="4">
        <v>4.8199739999999998E-2</v>
      </c>
      <c r="H1303" s="4">
        <v>0.176941043244391</v>
      </c>
      <c r="I1303" s="4">
        <v>0.17697235691784899</v>
      </c>
      <c r="J1303" s="4">
        <v>0.17695669999999999</v>
      </c>
      <c r="K1303">
        <f t="shared" si="100"/>
        <v>5.3015929688493557E-4</v>
      </c>
      <c r="L1303">
        <f t="shared" si="101"/>
        <v>-1.4041424070329711E-2</v>
      </c>
      <c r="M1303" s="1">
        <f t="shared" si="102"/>
        <v>-7.094313853490593E-3</v>
      </c>
      <c r="N1303" s="1">
        <f t="shared" si="103"/>
        <v>3.0847833977323456E-4</v>
      </c>
      <c r="O1303" s="1">
        <f t="shared" si="104"/>
        <v>1.7695669877426995E-4</v>
      </c>
    </row>
    <row r="1304" spans="4:15" x14ac:dyDescent="0.25">
      <c r="D1304" s="3">
        <v>44267</v>
      </c>
      <c r="E1304" s="2">
        <v>4.8164916674694101E-2</v>
      </c>
      <c r="F1304" s="2">
        <v>4.8183482702129701E-2</v>
      </c>
      <c r="G1304" s="2">
        <v>4.81742E-2</v>
      </c>
      <c r="H1304" s="2">
        <v>0.17945588974230101</v>
      </c>
      <c r="I1304" s="2">
        <v>0.17949776525282299</v>
      </c>
      <c r="J1304" s="2">
        <v>0.17947680999999999</v>
      </c>
      <c r="K1304">
        <f t="shared" si="100"/>
        <v>-1.0959201674628494E-3</v>
      </c>
      <c r="L1304">
        <f t="shared" si="101"/>
        <v>-1.1757040965492127E-3</v>
      </c>
      <c r="M1304" s="1">
        <f t="shared" si="102"/>
        <v>-1.137666517864214E-3</v>
      </c>
      <c r="N1304" s="1">
        <f t="shared" si="103"/>
        <v>3.853935807050255E-4</v>
      </c>
      <c r="O1304" s="1">
        <f t="shared" si="104"/>
        <v>2.3331989532231252E-4</v>
      </c>
    </row>
    <row r="1305" spans="4:15" x14ac:dyDescent="0.25">
      <c r="D1305" s="5">
        <v>44266</v>
      </c>
      <c r="E1305" s="4">
        <v>4.8221355309412302E-2</v>
      </c>
      <c r="F1305" s="4">
        <v>4.8232751967896302E-2</v>
      </c>
      <c r="G1305" s="4">
        <v>4.8227052999999999E-2</v>
      </c>
      <c r="H1305" s="4">
        <v>0.179662234998203</v>
      </c>
      <c r="I1305" s="4">
        <v>0.179713895478398</v>
      </c>
      <c r="J1305" s="4">
        <v>0.17968807000000001</v>
      </c>
      <c r="K1305">
        <f t="shared" si="100"/>
        <v>1.5878757119511366E-2</v>
      </c>
      <c r="L1305">
        <f t="shared" si="101"/>
        <v>3.4383354912720376E-2</v>
      </c>
      <c r="M1305" s="1">
        <f t="shared" si="102"/>
        <v>2.5561150959446499E-2</v>
      </c>
      <c r="N1305" s="1">
        <f t="shared" si="103"/>
        <v>2.3631256266063547E-4</v>
      </c>
      <c r="O1305" s="1">
        <f t="shared" si="104"/>
        <v>2.875008908215431E-4</v>
      </c>
    </row>
    <row r="1306" spans="4:15" x14ac:dyDescent="0.25">
      <c r="D1306" s="3">
        <v>44265</v>
      </c>
      <c r="E1306" s="2">
        <v>4.7466026191753302E-2</v>
      </c>
      <c r="F1306" s="2">
        <v>4.7480449924743498E-2</v>
      </c>
      <c r="G1306" s="2">
        <v>4.7473237000000001E-2</v>
      </c>
      <c r="H1306" s="2">
        <v>0.17369856351287999</v>
      </c>
      <c r="I1306" s="2">
        <v>0.17373175816539299</v>
      </c>
      <c r="J1306" s="2">
        <v>0.17371516000000001</v>
      </c>
      <c r="K1306">
        <f t="shared" si="100"/>
        <v>1.0681409786335472E-2</v>
      </c>
      <c r="L1306">
        <f t="shared" si="101"/>
        <v>9.2590419278291147E-3</v>
      </c>
      <c r="M1306" s="1">
        <f t="shared" si="102"/>
        <v>9.9371663315343164E-3</v>
      </c>
      <c r="N1306" s="1">
        <f t="shared" si="103"/>
        <v>3.0382872333301888E-4</v>
      </c>
      <c r="O1306" s="1">
        <f t="shared" si="104"/>
        <v>1.9108667610243251E-4</v>
      </c>
    </row>
    <row r="1307" spans="4:15" x14ac:dyDescent="0.25">
      <c r="D1307" s="5">
        <v>44264</v>
      </c>
      <c r="E1307" s="4">
        <v>4.6962247049596798E-2</v>
      </c>
      <c r="F1307" s="4">
        <v>4.6980780162835398E-2</v>
      </c>
      <c r="G1307" s="4">
        <v>4.6971514999999998E-2</v>
      </c>
      <c r="H1307" s="4">
        <v>0.17209926685712301</v>
      </c>
      <c r="I1307" s="4">
        <v>0.17214370556540601</v>
      </c>
      <c r="J1307" s="4">
        <v>0.17212147999999999</v>
      </c>
      <c r="K1307">
        <f t="shared" si="100"/>
        <v>7.609490873297986E-3</v>
      </c>
      <c r="L1307">
        <f t="shared" si="101"/>
        <v>-1.5990080862829603E-2</v>
      </c>
      <c r="M1307" s="1">
        <f t="shared" si="102"/>
        <v>-4.7388103735870601E-3</v>
      </c>
      <c r="N1307" s="1">
        <f t="shared" si="103"/>
        <v>3.945606872292747E-4</v>
      </c>
      <c r="O1307" s="1">
        <f t="shared" si="104"/>
        <v>2.5818223433237715E-4</v>
      </c>
    </row>
    <row r="1308" spans="4:15" x14ac:dyDescent="0.25">
      <c r="D1308" s="3">
        <v>44263</v>
      </c>
      <c r="E1308" s="2">
        <v>4.6607661367375597E-2</v>
      </c>
      <c r="F1308" s="2">
        <v>4.66259156164179E-2</v>
      </c>
      <c r="G1308" s="2">
        <v>4.6616785000000001E-2</v>
      </c>
      <c r="H1308" s="2">
        <v>0.17489244114869401</v>
      </c>
      <c r="I1308" s="2">
        <v>0.174944455135494</v>
      </c>
      <c r="J1308" s="2">
        <v>0.17491844000000001</v>
      </c>
      <c r="K1308">
        <f t="shared" si="100"/>
        <v>-7.5053482800022664E-3</v>
      </c>
      <c r="L1308">
        <f t="shared" si="101"/>
        <v>-6.3321045871486126E-3</v>
      </c>
      <c r="M1308" s="1">
        <f t="shared" si="102"/>
        <v>-6.8914572010727957E-3</v>
      </c>
      <c r="N1308" s="1">
        <f t="shared" si="103"/>
        <v>3.9158103765205899E-4</v>
      </c>
      <c r="O1308" s="1">
        <f t="shared" si="104"/>
        <v>2.9736136910432355E-4</v>
      </c>
    </row>
    <row r="1309" spans="4:15" x14ac:dyDescent="0.25">
      <c r="D1309" s="5">
        <v>44260</v>
      </c>
      <c r="E1309" s="4">
        <v>4.6960041700517E-2</v>
      </c>
      <c r="F1309" s="4">
        <v>4.6978573072821501E-2</v>
      </c>
      <c r="G1309" s="4">
        <v>4.6969306000000002E-2</v>
      </c>
      <c r="H1309" s="4">
        <v>0.17600985655196699</v>
      </c>
      <c r="I1309" s="4">
        <v>0.176056338028169</v>
      </c>
      <c r="J1309" s="4">
        <v>0.1760331</v>
      </c>
      <c r="K1309">
        <f t="shared" si="100"/>
        <v>-2.2533546407658811E-2</v>
      </c>
      <c r="L1309">
        <f t="shared" si="101"/>
        <v>-1.9064299779548266E-2</v>
      </c>
      <c r="M1309" s="1">
        <f t="shared" si="102"/>
        <v>-2.071828878592543E-2</v>
      </c>
      <c r="N1309" s="1">
        <f t="shared" si="103"/>
        <v>3.945421783430633E-4</v>
      </c>
      <c r="O1309" s="1">
        <f t="shared" si="104"/>
        <v>2.6404963726713542E-4</v>
      </c>
    </row>
    <row r="1310" spans="4:15" x14ac:dyDescent="0.25">
      <c r="D1310" s="3">
        <v>44259</v>
      </c>
      <c r="E1310" s="2">
        <v>4.8043431261860697E-2</v>
      </c>
      <c r="F1310" s="2">
        <v>4.8060748786466101E-2</v>
      </c>
      <c r="G1310" s="2">
        <v>4.8052089999999999E-2</v>
      </c>
      <c r="H1310" s="2">
        <v>0.179426910448029</v>
      </c>
      <c r="I1310" s="2">
        <v>0.17948165697465701</v>
      </c>
      <c r="J1310" s="2">
        <v>0.17945427</v>
      </c>
      <c r="K1310">
        <f t="shared" si="100"/>
        <v>3.6639975169534544E-3</v>
      </c>
      <c r="L1310">
        <f t="shared" si="101"/>
        <v>3.2687567451106903E-2</v>
      </c>
      <c r="M1310" s="1">
        <f t="shared" si="102"/>
        <v>1.8850365677114407E-2</v>
      </c>
      <c r="N1310" s="1">
        <f t="shared" si="103"/>
        <v>3.6039066366111422E-4</v>
      </c>
      <c r="O1310" s="1">
        <f t="shared" si="104"/>
        <v>3.0507229851935749E-4</v>
      </c>
    </row>
    <row r="1311" spans="4:15" x14ac:dyDescent="0.25">
      <c r="D1311" s="5">
        <v>44258</v>
      </c>
      <c r="E1311" s="4">
        <v>4.7869106714599603E-2</v>
      </c>
      <c r="F1311" s="4">
        <v>4.7884235073286797E-2</v>
      </c>
      <c r="G1311" s="4">
        <v>4.7876670000000003E-2</v>
      </c>
      <c r="H1311" s="4">
        <v>0.17375590770086199</v>
      </c>
      <c r="I1311" s="4">
        <v>0.17379214459506401</v>
      </c>
      <c r="J1311" s="4">
        <v>0.17377402</v>
      </c>
      <c r="K1311">
        <f t="shared" si="100"/>
        <v>-1.1011626999029467E-2</v>
      </c>
      <c r="L1311">
        <f t="shared" si="101"/>
        <v>-9.9485985088895168E-3</v>
      </c>
      <c r="M1311" s="1">
        <f t="shared" si="102"/>
        <v>-1.0455405209200352E-2</v>
      </c>
      <c r="N1311" s="1">
        <f t="shared" si="103"/>
        <v>3.159860259118731E-4</v>
      </c>
      <c r="O1311" s="1">
        <f t="shared" si="104"/>
        <v>2.0852883648552893E-4</v>
      </c>
    </row>
    <row r="1312" spans="4:15" x14ac:dyDescent="0.25">
      <c r="D1312" s="3">
        <v>44257</v>
      </c>
      <c r="E1312" s="2">
        <v>4.8401539168945601E-2</v>
      </c>
      <c r="F1312" s="2">
        <v>4.8417943689931499E-2</v>
      </c>
      <c r="G1312" s="2">
        <v>4.840974E-2</v>
      </c>
      <c r="H1312" s="2">
        <v>0.175494015654066</v>
      </c>
      <c r="I1312" s="2">
        <v>0.175546388133064</v>
      </c>
      <c r="J1312" s="2">
        <v>0.17552019999999999</v>
      </c>
      <c r="K1312">
        <f t="shared" si="100"/>
        <v>-2.3720838263366906E-3</v>
      </c>
      <c r="L1312">
        <f t="shared" si="101"/>
        <v>-2.2124355532938678E-2</v>
      </c>
      <c r="M1312" s="1">
        <f t="shared" si="102"/>
        <v>-1.2707313807229037E-2</v>
      </c>
      <c r="N1312" s="1">
        <f t="shared" si="103"/>
        <v>3.3886819028356477E-4</v>
      </c>
      <c r="O1312" s="1">
        <f t="shared" si="104"/>
        <v>2.983843397968035E-4</v>
      </c>
    </row>
    <row r="1313" spans="4:15" x14ac:dyDescent="0.25">
      <c r="D1313" s="5">
        <v>44256</v>
      </c>
      <c r="E1313" s="4">
        <v>4.8517781767017598E-2</v>
      </c>
      <c r="F1313" s="4">
        <v>4.8531909730647901E-2</v>
      </c>
      <c r="G1313" s="4">
        <v>4.8524844999999997E-2</v>
      </c>
      <c r="H1313" s="4">
        <v>0.179459110241731</v>
      </c>
      <c r="I1313" s="4">
        <v>0.17952354451286301</v>
      </c>
      <c r="J1313" s="4">
        <v>0.17949133</v>
      </c>
      <c r="K1313">
        <f t="shared" si="100"/>
        <v>1.467871008235444E-2</v>
      </c>
      <c r="L1313">
        <f t="shared" si="101"/>
        <v>3.1415282729740923E-4</v>
      </c>
      <c r="M1313" s="1">
        <f t="shared" si="102"/>
        <v>7.1625618129334285E-3</v>
      </c>
      <c r="N1313" s="1">
        <f t="shared" si="103"/>
        <v>2.9114907281627009E-4</v>
      </c>
      <c r="O1313" s="1">
        <f t="shared" si="104"/>
        <v>3.5898263794695729E-4</v>
      </c>
    </row>
    <row r="1314" spans="4:15" x14ac:dyDescent="0.25">
      <c r="D1314" s="3">
        <v>44253</v>
      </c>
      <c r="E1314" s="2">
        <v>4.7813031919980098E-2</v>
      </c>
      <c r="F1314" s="2">
        <v>4.7832700347265403E-2</v>
      </c>
      <c r="G1314" s="2">
        <v>4.7822866999999998E-2</v>
      </c>
      <c r="H1314" s="2">
        <v>0.17942047187584101</v>
      </c>
      <c r="I1314" s="2">
        <v>0.179449449090191</v>
      </c>
      <c r="J1314" s="2">
        <v>0.17943496</v>
      </c>
      <c r="K1314">
        <f t="shared" si="100"/>
        <v>-4.4952608530260951E-3</v>
      </c>
      <c r="L1314">
        <f t="shared" si="101"/>
        <v>-1.1806827921514773E-2</v>
      </c>
      <c r="M1314" s="1">
        <f t="shared" si="102"/>
        <v>-8.3209842075854575E-3</v>
      </c>
      <c r="N1314" s="1">
        <f t="shared" si="103"/>
        <v>4.1127662390681897E-4</v>
      </c>
      <c r="O1314" s="1">
        <f t="shared" si="104"/>
        <v>1.6149146381505344E-4</v>
      </c>
    </row>
    <row r="1315" spans="4:15" x14ac:dyDescent="0.25">
      <c r="D1315" s="5">
        <v>44252</v>
      </c>
      <c r="E1315" s="4">
        <v>4.8031201068213902E-2</v>
      </c>
      <c r="F1315" s="4">
        <v>4.8046432071954297E-2</v>
      </c>
      <c r="G1315" s="4">
        <v>4.8038813999999999E-2</v>
      </c>
      <c r="H1315" s="4">
        <v>0.18155410312273099</v>
      </c>
      <c r="I1315" s="4">
        <v>0.181603559429765</v>
      </c>
      <c r="J1315" s="4">
        <v>0.18157883</v>
      </c>
      <c r="K1315">
        <f t="shared" si="100"/>
        <v>-1.676550354904438E-2</v>
      </c>
      <c r="L1315">
        <f t="shared" si="101"/>
        <v>-1.476238165121746E-2</v>
      </c>
      <c r="M1315" s="1">
        <f t="shared" si="102"/>
        <v>-1.5717384841418304E-2</v>
      </c>
      <c r="N1315" s="1">
        <f t="shared" si="103"/>
        <v>3.1705619835648686E-4</v>
      </c>
      <c r="O1315" s="1">
        <f t="shared" si="104"/>
        <v>2.7236824377606465E-4</v>
      </c>
    </row>
    <row r="1316" spans="4:15" x14ac:dyDescent="0.25">
      <c r="D1316" s="3">
        <v>44251</v>
      </c>
      <c r="E1316" s="2">
        <v>4.8850308001191903E-2</v>
      </c>
      <c r="F1316" s="2">
        <v>4.8865585434146298E-2</v>
      </c>
      <c r="G1316" s="2">
        <v>4.8857942000000001E-2</v>
      </c>
      <c r="H1316" s="2">
        <v>0.18428084400626599</v>
      </c>
      <c r="I1316" s="2">
        <v>0.18431820695248299</v>
      </c>
      <c r="J1316" s="2">
        <v>0.18429952999999999</v>
      </c>
      <c r="K1316">
        <f t="shared" si="100"/>
        <v>4.9223937280657992E-3</v>
      </c>
      <c r="L1316">
        <f t="shared" si="101"/>
        <v>-9.2150724954453977E-4</v>
      </c>
      <c r="M1316" s="1">
        <f t="shared" si="102"/>
        <v>1.8646157931370756E-3</v>
      </c>
      <c r="N1316" s="1">
        <f t="shared" si="103"/>
        <v>3.1269088154379479E-4</v>
      </c>
      <c r="O1316" s="1">
        <f t="shared" si="104"/>
        <v>2.0272947097047206E-4</v>
      </c>
    </row>
    <row r="1317" spans="4:15" x14ac:dyDescent="0.25">
      <c r="D1317" s="5">
        <v>44250</v>
      </c>
      <c r="E1317" s="4">
        <v>4.8611414932454397E-2</v>
      </c>
      <c r="F1317" s="4">
        <v>4.86258339330519E-2</v>
      </c>
      <c r="G1317" s="4">
        <v>4.8618622E-2</v>
      </c>
      <c r="H1317" s="4">
        <v>0.184443993581349</v>
      </c>
      <c r="I1317" s="4">
        <v>0.18449503708350201</v>
      </c>
      <c r="J1317" s="4">
        <v>0.18446952</v>
      </c>
      <c r="K1317">
        <f t="shared" si="100"/>
        <v>8.5689718300070439E-3</v>
      </c>
      <c r="L1317">
        <f t="shared" si="101"/>
        <v>1.3899868512009084E-2</v>
      </c>
      <c r="M1317" s="1">
        <f t="shared" si="102"/>
        <v>1.135832406408206E-2</v>
      </c>
      <c r="N1317" s="1">
        <f t="shared" si="103"/>
        <v>2.9657361735803292E-4</v>
      </c>
      <c r="O1317" s="1">
        <f t="shared" si="104"/>
        <v>2.7670426069853834E-4</v>
      </c>
    </row>
    <row r="1318" spans="4:15" x14ac:dyDescent="0.25">
      <c r="D1318" s="3">
        <v>44249</v>
      </c>
      <c r="E1318" s="2">
        <v>4.8198113525836597E-2</v>
      </c>
      <c r="F1318" s="2">
        <v>4.8212985685564501E-2</v>
      </c>
      <c r="G1318" s="2">
        <v>4.820555E-2</v>
      </c>
      <c r="H1318" s="2">
        <v>0.18191740949608901</v>
      </c>
      <c r="I1318" s="2">
        <v>0.181963752820438</v>
      </c>
      <c r="J1318" s="2">
        <v>0.18194057</v>
      </c>
      <c r="K1318">
        <f t="shared" si="100"/>
        <v>-1.4787018717811184E-2</v>
      </c>
      <c r="L1318">
        <f t="shared" si="101"/>
        <v>-2.1587338087032393E-2</v>
      </c>
      <c r="M1318" s="1">
        <f t="shared" si="102"/>
        <v>-1.8345235497551342E-2</v>
      </c>
      <c r="N1318" s="1">
        <f t="shared" si="103"/>
        <v>3.0851550761071332E-4</v>
      </c>
      <c r="O1318" s="1">
        <f t="shared" si="104"/>
        <v>2.5471682510940993E-4</v>
      </c>
    </row>
    <row r="1319" spans="4:15" x14ac:dyDescent="0.25">
      <c r="D1319" s="5">
        <v>44246</v>
      </c>
      <c r="E1319" s="4">
        <v>4.8922961013292403E-2</v>
      </c>
      <c r="F1319" s="4">
        <v>4.8935170685875398E-2</v>
      </c>
      <c r="G1319" s="4">
        <v>4.8929065000000001E-2</v>
      </c>
      <c r="H1319" s="4">
        <v>0.185932357808229</v>
      </c>
      <c r="I1319" s="4">
        <v>0.18597731076808599</v>
      </c>
      <c r="J1319" s="4">
        <v>0.18595484000000001</v>
      </c>
      <c r="K1319">
        <f t="shared" si="100"/>
        <v>3.6695134155295683E-4</v>
      </c>
      <c r="L1319">
        <f t="shared" si="101"/>
        <v>1.3100610830104387E-2</v>
      </c>
      <c r="M1319" s="1">
        <f t="shared" si="102"/>
        <v>7.0297444251739847E-3</v>
      </c>
      <c r="N1319" s="1">
        <f t="shared" si="103"/>
        <v>2.4953823628134686E-4</v>
      </c>
      <c r="O1319" s="1">
        <f t="shared" si="104"/>
        <v>2.4174127361775816E-4</v>
      </c>
    </row>
    <row r="1320" spans="4:15" x14ac:dyDescent="0.25">
      <c r="D1320" s="3">
        <v>44245</v>
      </c>
      <c r="E1320" s="2">
        <v>4.8904060015062499E-2</v>
      </c>
      <c r="F1320" s="2">
        <v>4.8918174569397802E-2</v>
      </c>
      <c r="G1320" s="2">
        <v>4.8911116999999997E-2</v>
      </c>
      <c r="H1320" s="2">
        <v>0.18351991191044201</v>
      </c>
      <c r="I1320" s="2">
        <v>0.18358055514759899</v>
      </c>
      <c r="J1320" s="2">
        <v>0.18355021999999999</v>
      </c>
      <c r="K1320" t="e">
        <f t="shared" si="100"/>
        <v>#DIV/0!</v>
      </c>
      <c r="L1320" t="e">
        <f t="shared" si="101"/>
        <v>#DIV/0!</v>
      </c>
      <c r="M1320" s="1" t="e">
        <f t="shared" si="102"/>
        <v>#DIV/0!</v>
      </c>
      <c r="N1320" s="1">
        <f t="shared" si="103"/>
        <v>2.8857558774015435E-4</v>
      </c>
      <c r="O1320" s="1">
        <f t="shared" si="104"/>
        <v>3.3039043569104744E-4</v>
      </c>
    </row>
  </sheetData>
  <mergeCells count="5">
    <mergeCell ref="E14:G14"/>
    <mergeCell ref="H14:J14"/>
    <mergeCell ref="K14:L14"/>
    <mergeCell ref="M10:N10"/>
    <mergeCell ref="O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2026-02-19T01:38:02Z</dcterms:created>
  <dcterms:modified xsi:type="dcterms:W3CDTF">2026-02-21T22:26:44Z</dcterms:modified>
</cp:coreProperties>
</file>